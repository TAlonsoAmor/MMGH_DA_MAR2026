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3"/>
  <workbookPr hidePivotFieldList="1"/>
  <mc:AlternateContent xmlns:mc="http://schemas.openxmlformats.org/markup-compatibility/2006">
    <mc:Choice Requires="x15">
      <x15ac:absPath xmlns:x15ac="http://schemas.microsoft.com/office/spreadsheetml/2010/11/ac" url="https://mmglobalhealth.sharepoint.com/sites/MR_MAPs/Shared Documents/5. Demand Forecast/Feedback on Manuscript/"/>
    </mc:Choice>
  </mc:AlternateContent>
  <xr:revisionPtr revIDLastSave="0" documentId="8_{7E2B737C-9197-4500-B713-081527FAD373}" xr6:coauthVersionLast="47" xr6:coauthVersionMax="47" xr10:uidLastSave="{00000000-0000-0000-0000-000000000000}"/>
  <bookViews>
    <workbookView xWindow="2180" yWindow="500" windowWidth="23420" windowHeight="15500" tabRatio="736" xr2:uid="{32ECB50B-BF8A-48AD-8C82-9CC7119DB799}"/>
  </bookViews>
  <sheets>
    <sheet name="TOC" sheetId="123" r:id="rId1"/>
    <sheet name="1. Overview" sheetId="122" r:id="rId2"/>
    <sheet name="2a. SI Pop" sheetId="37" r:id="rId3"/>
    <sheet name="2b. 2 yr pop" sheetId="121" r:id="rId4"/>
    <sheet name="2c. U2 pop" sheetId="60" r:id="rId5"/>
    <sheet name="2d. U2 pop %" sheetId="38" r:id="rId6"/>
    <sheet name="2e. 2-15 pop" sheetId="62" r:id="rId7"/>
    <sheet name="2f. 2-15 pop %" sheetId="39" r:id="rId8"/>
    <sheet name="2g. U5 pop for SIA" sheetId="71" r:id="rId9"/>
    <sheet name="3a. % MOV" sheetId="44" r:id="rId10"/>
    <sheet name="3b. Sec comp pop" sheetId="40" r:id="rId11"/>
    <sheet name="3c. Rural Pop" sheetId="41" r:id="rId12"/>
    <sheet name="3d. % remote rural" sheetId="43" r:id="rId13"/>
    <sheet name="3e. Slum Pop" sheetId="42" r:id="rId14"/>
    <sheet name="4a. MCV1" sheetId="50" r:id="rId15"/>
    <sheet name="4b. MCV2" sheetId="51" r:id="rId16"/>
    <sheet name="4c. %HTR coverage U2" sheetId="45" r:id="rId17"/>
    <sheet name="4d. %HTR Coverage 2-15" sheetId="46" r:id="rId18"/>
    <sheet name="Input" sheetId="2" state="hidden" r:id="rId19"/>
    <sheet name="5. Routine Wastage N&amp;S" sheetId="52" r:id="rId20"/>
    <sheet name="6a. %FP-Routine" sheetId="47" r:id="rId21"/>
    <sheet name="6b. %FP- SIA" sheetId="48" r:id="rId22"/>
    <sheet name="6c. CHW to HW" sheetId="49" r:id="rId23"/>
    <sheet name="7a. UC1 MP" sheetId="54" r:id="rId24"/>
    <sheet name="7b. UC2 MP" sheetId="55" r:id="rId25"/>
    <sheet name="7c. UC3&amp;4 MP" sheetId="56" r:id="rId26"/>
    <sheet name="8a. Historical intro dates" sheetId="124" r:id="rId27"/>
    <sheet name="8b. MR burden" sheetId="125" r:id="rId28"/>
    <sheet name="8c. Financing" sheetId="126" r:id="rId29"/>
    <sheet name="8d. - S1 Base" sheetId="127" r:id="rId30"/>
    <sheet name="8e. S3 - Greatest need" sheetId="128" r:id="rId31"/>
  </sheets>
  <externalReferences>
    <externalReference r:id="rId32"/>
    <externalReference r:id="rId33"/>
    <externalReference r:id="rId34"/>
    <externalReference r:id="rId35"/>
  </externalReferences>
  <definedNames>
    <definedName name="_xlnm._FilterDatabase" localSheetId="2" hidden="1">'2a. SI Pop'!$A$4:$P$204</definedName>
    <definedName name="_xlnm._FilterDatabase" localSheetId="3" hidden="1">'2b. 2 yr pop'!$A$4:$P$204</definedName>
    <definedName name="_xlnm._FilterDatabase" localSheetId="4" hidden="1">'2c. U2 pop'!$A$4:$P$198</definedName>
    <definedName name="_xlnm._FilterDatabase" localSheetId="5" hidden="1">'2d. U2 pop %'!$A$4:$P$198</definedName>
    <definedName name="_xlnm._FilterDatabase" localSheetId="6" hidden="1">'2e. 2-15 pop'!$A$4:$P$198</definedName>
    <definedName name="_xlnm._FilterDatabase" localSheetId="7" hidden="1">'2f. 2-15 pop %'!$A$4:$P$198</definedName>
    <definedName name="_xlnm._FilterDatabase" localSheetId="8" hidden="1">'2g. U5 pop for SIA'!$A$4:$P$205</definedName>
    <definedName name="_xlnm._FilterDatabase" localSheetId="9" hidden="1">'3a. % MOV'!$A$4:$P$198</definedName>
    <definedName name="_xlnm._FilterDatabase" localSheetId="10" hidden="1">'3b. Sec comp pop'!$A$4:$E$198</definedName>
    <definedName name="_xlnm._FilterDatabase" localSheetId="11" hidden="1">'3c. Rural Pop'!$A$4:$P$199</definedName>
    <definedName name="_xlnm._FilterDatabase" localSheetId="12" hidden="1">'3d. % remote rural'!$A$4:$P$198</definedName>
    <definedName name="_xlnm._FilterDatabase" localSheetId="13" hidden="1">'3e. Slum Pop'!$A$4:$AA$204</definedName>
    <definedName name="_xlnm._FilterDatabase" localSheetId="14" hidden="1">'4a. MCV1'!$A$4:$P$198</definedName>
    <definedName name="_xlnm._FilterDatabase" localSheetId="15" hidden="1">'4b. MCV2'!$A$4:$Q$198</definedName>
    <definedName name="_xlnm._FilterDatabase" localSheetId="16" hidden="1">'4c. %HTR coverage U2'!$A$4:$Q$198</definedName>
    <definedName name="_xlnm._FilterDatabase" localSheetId="17" hidden="1">'4d. %HTR Coverage 2-15'!$A$4:$P$198</definedName>
    <definedName name="_xlnm._FilterDatabase" localSheetId="19" hidden="1">'5. Routine Wastage N&amp;S'!$A$4:$P$198</definedName>
    <definedName name="_xlnm._FilterDatabase" localSheetId="20" hidden="1">'6a. %FP-Routine'!$A$4:$P$198</definedName>
    <definedName name="_xlnm._FilterDatabase" localSheetId="21" hidden="1">'6b. %FP- SIA'!$A$4:$P$198</definedName>
    <definedName name="_xlnm._FilterDatabase" localSheetId="22" hidden="1">'6c. CHW to HW'!$A$4:$P$198</definedName>
    <definedName name="_xlnm._FilterDatabase" localSheetId="23" hidden="1">'7a. UC1 MP'!$A$4:$Q$198</definedName>
    <definedName name="_xlnm._FilterDatabase" localSheetId="24" hidden="1">'7b. UC2 MP'!$A$4:$Q$198</definedName>
    <definedName name="_xlnm._FilterDatabase" localSheetId="25" hidden="1">'7c. UC3&amp;4 MP'!$A$4:$Q$198</definedName>
    <definedName name="_xlnm._FilterDatabase" localSheetId="26" hidden="1">'8a. Historical intro dates'!$A$4:$Q$198</definedName>
    <definedName name="_xlnm._FilterDatabase" localSheetId="27" hidden="1">'8b. MR burden'!$A$4:$N$198</definedName>
    <definedName name="_xlnm._FilterDatabase" localSheetId="28" hidden="1">'8c. Financing'!$A$4:$K$198</definedName>
    <definedName name="_xlnm._FilterDatabase" localSheetId="29" hidden="1">'8d. - S1 Base'!$A$3:$AH$197</definedName>
    <definedName name="_xlnm._FilterDatabase" localSheetId="30" hidden="1">'8e. S3 - Greatest need'!$A$3:$AK$197</definedName>
    <definedName name="_xlnm._FilterDatabase" localSheetId="18" hidden="1">Input!$A$2:$D$185</definedName>
    <definedName name="DataDate">[1]OfDates!$B$2</definedName>
    <definedName name="DataWuenic">[1]OfDates!$B$4</definedName>
    <definedName name="DataYear">[1]OfDates!$B$6</definedName>
    <definedName name="DDL_Private">[2]drop_down_lists!$G$60:$G$63</definedName>
    <definedName name="DDL_target_group">[3]drop_down_lists!$G$3:$G$4</definedName>
    <definedName name="DDL_target_group_vitA">[3]drop_down_lists!$G$7:$G$10</definedName>
    <definedName name="DDL_target_TT">[3]drop_down_lists!$G$12:$G$13</definedName>
    <definedName name="DDL_yes_no_NR_ND">[2]drop_down_lists!$F$33:$F$36</definedName>
    <definedName name="Filename">[4]drop_down_lists!$H$3</definedName>
    <definedName name="Usys_Xprt_IndicatorTextT">#REF!</definedName>
    <definedName name="WHOUNICEF_MCV1">#REF!</definedName>
    <definedName name="WHOUNICEF_MCV2">#REF!</definedName>
    <definedName name="world_whounicef">#REF!</definedName>
    <definedName name="zCountryProfile_ScheduleT_200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E204" i="128" l="1"/>
  <c r="Y204" i="128"/>
  <c r="W204" i="128"/>
  <c r="J204" i="128"/>
  <c r="I204" i="128"/>
  <c r="H204" i="128"/>
  <c r="G204" i="128"/>
  <c r="F204" i="128"/>
  <c r="AE203" i="128"/>
  <c r="Y203" i="128"/>
  <c r="W203" i="128"/>
  <c r="J203" i="128"/>
  <c r="I203" i="128"/>
  <c r="H203" i="128"/>
  <c r="G203" i="128"/>
  <c r="F203" i="128"/>
  <c r="AE202" i="128"/>
  <c r="Y202" i="128"/>
  <c r="W202" i="128"/>
  <c r="J202" i="128"/>
  <c r="I202" i="128"/>
  <c r="H202" i="128"/>
  <c r="G202" i="128"/>
  <c r="F202" i="128"/>
  <c r="AE201" i="128"/>
  <c r="Y201" i="128"/>
  <c r="W201" i="128"/>
  <c r="J201" i="128"/>
  <c r="I201" i="128"/>
  <c r="H201" i="128"/>
  <c r="G201" i="128"/>
  <c r="F201" i="128"/>
  <c r="K194" i="128" s="1"/>
  <c r="AE200" i="128"/>
  <c r="Y200" i="128"/>
  <c r="W200" i="128"/>
  <c r="J200" i="128"/>
  <c r="I200" i="128"/>
  <c r="N191" i="128" s="1"/>
  <c r="H200" i="128"/>
  <c r="G200" i="128"/>
  <c r="F200" i="128"/>
  <c r="AJ197" i="128"/>
  <c r="AG197" i="128"/>
  <c r="V197" i="128"/>
  <c r="T197" i="128"/>
  <c r="R197" i="128"/>
  <c r="N197" i="128"/>
  <c r="K197" i="128"/>
  <c r="AJ196" i="128"/>
  <c r="V196" i="128"/>
  <c r="T196" i="128"/>
  <c r="R196" i="128"/>
  <c r="O196" i="128"/>
  <c r="N196" i="128"/>
  <c r="AJ195" i="128"/>
  <c r="V195" i="128"/>
  <c r="T195" i="128"/>
  <c r="R195" i="128"/>
  <c r="O195" i="128"/>
  <c r="N195" i="128"/>
  <c r="AJ194" i="128"/>
  <c r="AG194" i="128"/>
  <c r="Z194" i="128"/>
  <c r="V194" i="128"/>
  <c r="T194" i="128"/>
  <c r="R194" i="128"/>
  <c r="O194" i="128"/>
  <c r="AJ193" i="128"/>
  <c r="X193" i="128"/>
  <c r="V193" i="128"/>
  <c r="T193" i="128"/>
  <c r="R193" i="128"/>
  <c r="N193" i="128"/>
  <c r="L193" i="128"/>
  <c r="AJ192" i="128"/>
  <c r="V192" i="128"/>
  <c r="T192" i="128"/>
  <c r="R192" i="128"/>
  <c r="O192" i="128"/>
  <c r="L192" i="128"/>
  <c r="AJ191" i="128"/>
  <c r="AG191" i="128"/>
  <c r="V191" i="128"/>
  <c r="T191" i="128"/>
  <c r="R191" i="128"/>
  <c r="K191" i="128"/>
  <c r="AJ190" i="128"/>
  <c r="AG190" i="128"/>
  <c r="Z190" i="128"/>
  <c r="V190" i="128"/>
  <c r="T190" i="128"/>
  <c r="R190" i="128"/>
  <c r="N190" i="128"/>
  <c r="AJ189" i="128"/>
  <c r="V189" i="128"/>
  <c r="T189" i="128"/>
  <c r="R189" i="128"/>
  <c r="N189" i="128"/>
  <c r="AJ188" i="128"/>
  <c r="V188" i="128"/>
  <c r="T188" i="128"/>
  <c r="R188" i="128"/>
  <c r="N188" i="128"/>
  <c r="AJ187" i="128"/>
  <c r="V187" i="128"/>
  <c r="T187" i="128"/>
  <c r="R187" i="128"/>
  <c r="N187" i="128"/>
  <c r="K187" i="128"/>
  <c r="AJ186" i="128"/>
  <c r="V186" i="128"/>
  <c r="T186" i="128"/>
  <c r="R186" i="128"/>
  <c r="N186" i="128"/>
  <c r="AJ185" i="128"/>
  <c r="V185" i="128"/>
  <c r="T185" i="128"/>
  <c r="R185" i="128"/>
  <c r="O185" i="128"/>
  <c r="N185" i="128"/>
  <c r="AJ184" i="128"/>
  <c r="V184" i="128"/>
  <c r="T184" i="128"/>
  <c r="R184" i="128"/>
  <c r="N184" i="128"/>
  <c r="L184" i="128"/>
  <c r="AJ183" i="128"/>
  <c r="X183" i="128"/>
  <c r="V183" i="128"/>
  <c r="T183" i="128"/>
  <c r="R183" i="128"/>
  <c r="N183" i="128"/>
  <c r="L183" i="128"/>
  <c r="K183" i="128"/>
  <c r="AJ182" i="128"/>
  <c r="AF182" i="128"/>
  <c r="AG182" i="128" s="1"/>
  <c r="V182" i="128"/>
  <c r="T182" i="128"/>
  <c r="R182" i="128"/>
  <c r="N182" i="128"/>
  <c r="L182" i="128"/>
  <c r="AJ181" i="128"/>
  <c r="AF181" i="128"/>
  <c r="AG181" i="128" s="1"/>
  <c r="X181" i="128"/>
  <c r="V181" i="128"/>
  <c r="T181" i="128"/>
  <c r="R181" i="128"/>
  <c r="O181" i="128"/>
  <c r="N181" i="128"/>
  <c r="L181" i="128"/>
  <c r="AJ180" i="128"/>
  <c r="X180" i="128"/>
  <c r="V180" i="128"/>
  <c r="T180" i="128"/>
  <c r="R180" i="128"/>
  <c r="O180" i="128"/>
  <c r="N180" i="128"/>
  <c r="L180" i="128"/>
  <c r="AJ179" i="128"/>
  <c r="X179" i="128"/>
  <c r="V179" i="128"/>
  <c r="T179" i="128"/>
  <c r="R179" i="128"/>
  <c r="N179" i="128"/>
  <c r="L179" i="128"/>
  <c r="K179" i="128"/>
  <c r="AJ178" i="128"/>
  <c r="AF178" i="128"/>
  <c r="AG178" i="128" s="1"/>
  <c r="X178" i="128"/>
  <c r="V178" i="128"/>
  <c r="T178" i="128"/>
  <c r="R178" i="128"/>
  <c r="O178" i="128"/>
  <c r="N178" i="128"/>
  <c r="L178" i="128"/>
  <c r="AJ177" i="128"/>
  <c r="AF177" i="128"/>
  <c r="AG177" i="128" s="1"/>
  <c r="Z177" i="128"/>
  <c r="V177" i="128"/>
  <c r="T177" i="128"/>
  <c r="R177" i="128"/>
  <c r="N177" i="128"/>
  <c r="M177" i="128"/>
  <c r="AJ176" i="128"/>
  <c r="AF176" i="128"/>
  <c r="AG176" i="128" s="1"/>
  <c r="Z176" i="128"/>
  <c r="V176" i="128"/>
  <c r="T176" i="128"/>
  <c r="R176" i="128"/>
  <c r="N176" i="128"/>
  <c r="M176" i="128"/>
  <c r="K176" i="128"/>
  <c r="AJ175" i="128"/>
  <c r="AF175" i="128"/>
  <c r="AG175" i="128" s="1"/>
  <c r="Z175" i="128"/>
  <c r="V175" i="128"/>
  <c r="T175" i="128"/>
  <c r="R175" i="128"/>
  <c r="O175" i="128"/>
  <c r="N175" i="128"/>
  <c r="M175" i="128"/>
  <c r="AJ174" i="128"/>
  <c r="AF174" i="128"/>
  <c r="AG174" i="128" s="1"/>
  <c r="Z174" i="128"/>
  <c r="V174" i="128"/>
  <c r="T174" i="128"/>
  <c r="R174" i="128"/>
  <c r="N174" i="128"/>
  <c r="M174" i="128"/>
  <c r="K174" i="128"/>
  <c r="AJ173" i="128"/>
  <c r="AF173" i="128"/>
  <c r="AG173" i="128" s="1"/>
  <c r="Z173" i="128"/>
  <c r="V173" i="128"/>
  <c r="T173" i="128"/>
  <c r="R173" i="128"/>
  <c r="O173" i="128"/>
  <c r="N173" i="128"/>
  <c r="M173" i="128"/>
  <c r="K173" i="128"/>
  <c r="AJ172" i="128"/>
  <c r="AF172" i="128"/>
  <c r="AG172" i="128" s="1"/>
  <c r="Z172" i="128"/>
  <c r="V172" i="128"/>
  <c r="T172" i="128"/>
  <c r="R172" i="128"/>
  <c r="N172" i="128"/>
  <c r="M172" i="128"/>
  <c r="L172" i="128"/>
  <c r="K172" i="128"/>
  <c r="AJ171" i="128"/>
  <c r="AG171" i="128"/>
  <c r="Z171" i="128"/>
  <c r="V171" i="128"/>
  <c r="T171" i="128"/>
  <c r="R171" i="128"/>
  <c r="O171" i="128"/>
  <c r="N171" i="128"/>
  <c r="L171" i="128"/>
  <c r="AJ170" i="128"/>
  <c r="X170" i="128"/>
  <c r="V170" i="128"/>
  <c r="T170" i="128"/>
  <c r="R170" i="128"/>
  <c r="O170" i="128"/>
  <c r="N170" i="128"/>
  <c r="L170" i="128"/>
  <c r="K170" i="128"/>
  <c r="AJ169" i="128"/>
  <c r="AF169" i="128"/>
  <c r="AG169" i="128" s="1"/>
  <c r="Z169" i="128"/>
  <c r="X169" i="128"/>
  <c r="V169" i="128"/>
  <c r="T169" i="128"/>
  <c r="R169" i="128"/>
  <c r="O169" i="128"/>
  <c r="N169" i="128"/>
  <c r="M169" i="128"/>
  <c r="L169" i="128"/>
  <c r="AJ168" i="128"/>
  <c r="AF168" i="128"/>
  <c r="AG168" i="128" s="1"/>
  <c r="Z168" i="128"/>
  <c r="X168" i="128"/>
  <c r="V168" i="128"/>
  <c r="T168" i="128"/>
  <c r="R168" i="128"/>
  <c r="N168" i="128"/>
  <c r="M168" i="128"/>
  <c r="L168" i="128"/>
  <c r="AJ167" i="128"/>
  <c r="AF167" i="128"/>
  <c r="AG167" i="128" s="1"/>
  <c r="Z167" i="128"/>
  <c r="X167" i="128"/>
  <c r="V167" i="128"/>
  <c r="T167" i="128"/>
  <c r="R167" i="128"/>
  <c r="O167" i="128"/>
  <c r="N167" i="128"/>
  <c r="M167" i="128"/>
  <c r="L167" i="128"/>
  <c r="AJ166" i="128"/>
  <c r="AF166" i="128"/>
  <c r="AG166" i="128" s="1"/>
  <c r="Z166" i="128"/>
  <c r="X166" i="128"/>
  <c r="V166" i="128"/>
  <c r="T166" i="128"/>
  <c r="R166" i="128"/>
  <c r="N166" i="128"/>
  <c r="M166" i="128"/>
  <c r="L166" i="128"/>
  <c r="K166" i="128"/>
  <c r="AJ165" i="128"/>
  <c r="AF165" i="128"/>
  <c r="AG165" i="128" s="1"/>
  <c r="Z165" i="128"/>
  <c r="X165" i="128"/>
  <c r="V165" i="128"/>
  <c r="T165" i="128"/>
  <c r="R165" i="128"/>
  <c r="N165" i="128"/>
  <c r="M165" i="128"/>
  <c r="L165" i="128"/>
  <c r="K165" i="128"/>
  <c r="AJ164" i="128"/>
  <c r="AG164" i="128"/>
  <c r="Z164" i="128"/>
  <c r="X164" i="128"/>
  <c r="V164" i="128"/>
  <c r="T164" i="128"/>
  <c r="R164" i="128"/>
  <c r="O164" i="128"/>
  <c r="N164" i="128"/>
  <c r="L164" i="128"/>
  <c r="K164" i="128"/>
  <c r="AJ163" i="128"/>
  <c r="AG163" i="128"/>
  <c r="Z163" i="128"/>
  <c r="V163" i="128"/>
  <c r="T163" i="128"/>
  <c r="R163" i="128"/>
  <c r="O163" i="128"/>
  <c r="N163" i="128"/>
  <c r="L163" i="128"/>
  <c r="K163" i="128"/>
  <c r="AJ162" i="128"/>
  <c r="AF162" i="128"/>
  <c r="AG162" i="128" s="1"/>
  <c r="Z162" i="128"/>
  <c r="X162" i="128"/>
  <c r="V162" i="128"/>
  <c r="T162" i="128"/>
  <c r="R162" i="128"/>
  <c r="O162" i="128"/>
  <c r="N162" i="128"/>
  <c r="L162" i="128"/>
  <c r="AJ161" i="128"/>
  <c r="AF161" i="128"/>
  <c r="AG161" i="128" s="1"/>
  <c r="Z161" i="128"/>
  <c r="X161" i="128"/>
  <c r="V161" i="128"/>
  <c r="T161" i="128"/>
  <c r="R161" i="128"/>
  <c r="O161" i="128"/>
  <c r="N161" i="128"/>
  <c r="L161" i="128"/>
  <c r="AJ160" i="128"/>
  <c r="AF160" i="128"/>
  <c r="AG160" i="128" s="1"/>
  <c r="Z160" i="128"/>
  <c r="X160" i="128"/>
  <c r="V160" i="128"/>
  <c r="T160" i="128"/>
  <c r="R160" i="128"/>
  <c r="O160" i="128"/>
  <c r="N160" i="128"/>
  <c r="L160" i="128"/>
  <c r="K160" i="128"/>
  <c r="AJ159" i="128"/>
  <c r="AG159" i="128"/>
  <c r="Z159" i="128"/>
  <c r="V159" i="128"/>
  <c r="T159" i="128"/>
  <c r="R159" i="128"/>
  <c r="O159" i="128"/>
  <c r="N159" i="128"/>
  <c r="L159" i="128"/>
  <c r="K159" i="128"/>
  <c r="AJ158" i="128"/>
  <c r="AG158" i="128"/>
  <c r="AF158" i="128"/>
  <c r="Z158" i="128"/>
  <c r="X158" i="128"/>
  <c r="V158" i="128"/>
  <c r="T158" i="128"/>
  <c r="R158" i="128"/>
  <c r="O158" i="128"/>
  <c r="N158" i="128"/>
  <c r="L158" i="128"/>
  <c r="K158" i="128"/>
  <c r="AJ157" i="128"/>
  <c r="AG157" i="128"/>
  <c r="Z157" i="128"/>
  <c r="V157" i="128"/>
  <c r="T157" i="128"/>
  <c r="R157" i="128"/>
  <c r="O157" i="128"/>
  <c r="N157" i="128"/>
  <c r="L157" i="128"/>
  <c r="K157" i="128"/>
  <c r="AJ156" i="128"/>
  <c r="AF156" i="128"/>
  <c r="AG156" i="128" s="1"/>
  <c r="Z156" i="128"/>
  <c r="X156" i="128"/>
  <c r="V156" i="128"/>
  <c r="T156" i="128"/>
  <c r="R156" i="128"/>
  <c r="O156" i="128"/>
  <c r="N156" i="128"/>
  <c r="L156" i="128"/>
  <c r="K156" i="128"/>
  <c r="AJ155" i="128"/>
  <c r="AF155" i="128"/>
  <c r="AG155" i="128" s="1"/>
  <c r="Z155" i="128"/>
  <c r="X155" i="128"/>
  <c r="V155" i="128"/>
  <c r="T155" i="128"/>
  <c r="R155" i="128"/>
  <c r="O155" i="128"/>
  <c r="N155" i="128"/>
  <c r="L155" i="128"/>
  <c r="K155" i="128"/>
  <c r="AJ154" i="128"/>
  <c r="AF154" i="128"/>
  <c r="AG154" i="128" s="1"/>
  <c r="Z154" i="128"/>
  <c r="X154" i="128"/>
  <c r="V154" i="128"/>
  <c r="T154" i="128"/>
  <c r="R154" i="128"/>
  <c r="O154" i="128"/>
  <c r="N154" i="128"/>
  <c r="L154" i="128"/>
  <c r="K154" i="128"/>
  <c r="AJ153" i="128"/>
  <c r="AF153" i="128"/>
  <c r="AG153" i="128" s="1"/>
  <c r="Z153" i="128"/>
  <c r="X153" i="128"/>
  <c r="V153" i="128"/>
  <c r="T153" i="128"/>
  <c r="R153" i="128"/>
  <c r="O153" i="128"/>
  <c r="N153" i="128"/>
  <c r="L153" i="128"/>
  <c r="K153" i="128"/>
  <c r="AJ152" i="128"/>
  <c r="AF152" i="128"/>
  <c r="AG152" i="128" s="1"/>
  <c r="Z152" i="128"/>
  <c r="X152" i="128"/>
  <c r="V152" i="128"/>
  <c r="T152" i="128"/>
  <c r="R152" i="128"/>
  <c r="O152" i="128"/>
  <c r="N152" i="128"/>
  <c r="L152" i="128"/>
  <c r="K152" i="128"/>
  <c r="AJ151" i="128"/>
  <c r="AF151" i="128"/>
  <c r="AG151" i="128" s="1"/>
  <c r="Z151" i="128"/>
  <c r="X151" i="128"/>
  <c r="V151" i="128"/>
  <c r="T151" i="128"/>
  <c r="R151" i="128"/>
  <c r="O151" i="128"/>
  <c r="N151" i="128"/>
  <c r="L151" i="128"/>
  <c r="K151" i="128"/>
  <c r="AJ150" i="128"/>
  <c r="AG150" i="128"/>
  <c r="Z150" i="128"/>
  <c r="X150" i="128"/>
  <c r="V150" i="128"/>
  <c r="T150" i="128"/>
  <c r="R150" i="128"/>
  <c r="O150" i="128"/>
  <c r="N150" i="128"/>
  <c r="M150" i="128"/>
  <c r="L150" i="128"/>
  <c r="K150" i="128"/>
  <c r="AJ149" i="128"/>
  <c r="AF149" i="128"/>
  <c r="AG149" i="128" s="1"/>
  <c r="Z149" i="128"/>
  <c r="X149" i="128"/>
  <c r="V149" i="128"/>
  <c r="T149" i="128"/>
  <c r="R149" i="128"/>
  <c r="O149" i="128"/>
  <c r="N149" i="128"/>
  <c r="M149" i="128"/>
  <c r="L149" i="128"/>
  <c r="K149" i="128"/>
  <c r="P149" i="128" s="1"/>
  <c r="AJ148" i="128"/>
  <c r="AF148" i="128"/>
  <c r="AG148" i="128" s="1"/>
  <c r="Z148" i="128"/>
  <c r="X148" i="128"/>
  <c r="V148" i="128"/>
  <c r="T148" i="128"/>
  <c r="R148" i="128"/>
  <c r="O148" i="128"/>
  <c r="N148" i="128"/>
  <c r="M148" i="128"/>
  <c r="L148" i="128"/>
  <c r="K148" i="128"/>
  <c r="P148" i="128" s="1"/>
  <c r="AJ147" i="128"/>
  <c r="AF147" i="128"/>
  <c r="AG147" i="128" s="1"/>
  <c r="Z147" i="128"/>
  <c r="X147" i="128"/>
  <c r="V147" i="128"/>
  <c r="T147" i="128"/>
  <c r="R147" i="128"/>
  <c r="O147" i="128"/>
  <c r="N147" i="128"/>
  <c r="M147" i="128"/>
  <c r="L147" i="128"/>
  <c r="K147" i="128"/>
  <c r="AJ146" i="128"/>
  <c r="AG146" i="128"/>
  <c r="Z146" i="128"/>
  <c r="X146" i="128"/>
  <c r="V146" i="128"/>
  <c r="T146" i="128"/>
  <c r="R146" i="128"/>
  <c r="O146" i="128"/>
  <c r="N146" i="128"/>
  <c r="M146" i="128"/>
  <c r="L146" i="128"/>
  <c r="P146" i="128" s="1"/>
  <c r="K146" i="128"/>
  <c r="AJ145" i="128"/>
  <c r="AG145" i="128"/>
  <c r="AF145" i="128"/>
  <c r="Z145" i="128"/>
  <c r="X145" i="128"/>
  <c r="V145" i="128"/>
  <c r="T145" i="128"/>
  <c r="R145" i="128"/>
  <c r="O145" i="128"/>
  <c r="N145" i="128"/>
  <c r="M145" i="128"/>
  <c r="L145" i="128"/>
  <c r="P145" i="128" s="1"/>
  <c r="K145" i="128"/>
  <c r="AJ144" i="128"/>
  <c r="AG144" i="128"/>
  <c r="Z144" i="128"/>
  <c r="X144" i="128"/>
  <c r="V144" i="128"/>
  <c r="T144" i="128"/>
  <c r="R144" i="128"/>
  <c r="O144" i="128"/>
  <c r="N144" i="128"/>
  <c r="M144" i="128"/>
  <c r="L144" i="128"/>
  <c r="K144" i="128"/>
  <c r="P144" i="128" s="1"/>
  <c r="AJ143" i="128"/>
  <c r="AG143" i="128"/>
  <c r="Z143" i="128"/>
  <c r="X143" i="128"/>
  <c r="V143" i="128"/>
  <c r="T143" i="128"/>
  <c r="R143" i="128"/>
  <c r="O143" i="128"/>
  <c r="N143" i="128"/>
  <c r="L143" i="128"/>
  <c r="K143" i="128"/>
  <c r="AJ142" i="128"/>
  <c r="AF142" i="128"/>
  <c r="AG142" i="128" s="1"/>
  <c r="Z142" i="128"/>
  <c r="X142" i="128"/>
  <c r="V142" i="128"/>
  <c r="T142" i="128"/>
  <c r="R142" i="128"/>
  <c r="O142" i="128"/>
  <c r="N142" i="128"/>
  <c r="L142" i="128"/>
  <c r="K142" i="128"/>
  <c r="AJ141" i="128"/>
  <c r="AG141" i="128"/>
  <c r="Z141" i="128"/>
  <c r="V141" i="128"/>
  <c r="T141" i="128"/>
  <c r="R141" i="128"/>
  <c r="O141" i="128"/>
  <c r="N141" i="128"/>
  <c r="M141" i="128"/>
  <c r="L141" i="128"/>
  <c r="P141" i="128" s="1"/>
  <c r="K141" i="128"/>
  <c r="AJ140" i="128"/>
  <c r="AG140" i="128"/>
  <c r="AF140" i="128"/>
  <c r="Z140" i="128"/>
  <c r="X140" i="128"/>
  <c r="V140" i="128"/>
  <c r="T140" i="128"/>
  <c r="R140" i="128"/>
  <c r="O140" i="128"/>
  <c r="N140" i="128"/>
  <c r="M140" i="128"/>
  <c r="L140" i="128"/>
  <c r="P140" i="128" s="1"/>
  <c r="K140" i="128"/>
  <c r="AJ139" i="128"/>
  <c r="AG139" i="128"/>
  <c r="AF139" i="128"/>
  <c r="Z139" i="128"/>
  <c r="X139" i="128"/>
  <c r="V139" i="128"/>
  <c r="T139" i="128"/>
  <c r="R139" i="128"/>
  <c r="O139" i="128"/>
  <c r="N139" i="128"/>
  <c r="M139" i="128"/>
  <c r="L139" i="128"/>
  <c r="P139" i="128" s="1"/>
  <c r="K139" i="128"/>
  <c r="AJ138" i="128"/>
  <c r="AG138" i="128"/>
  <c r="AF138" i="128"/>
  <c r="Z138" i="128"/>
  <c r="X138" i="128"/>
  <c r="V138" i="128"/>
  <c r="T138" i="128"/>
  <c r="R138" i="128"/>
  <c r="O138" i="128"/>
  <c r="N138" i="128"/>
  <c r="M138" i="128"/>
  <c r="L138" i="128"/>
  <c r="P138" i="128" s="1"/>
  <c r="K138" i="128"/>
  <c r="AJ137" i="128"/>
  <c r="AG137" i="128"/>
  <c r="AF137" i="128"/>
  <c r="Z137" i="128"/>
  <c r="X137" i="128"/>
  <c r="V137" i="128"/>
  <c r="T137" i="128"/>
  <c r="R137" i="128"/>
  <c r="O137" i="128"/>
  <c r="N137" i="128"/>
  <c r="M137" i="128"/>
  <c r="L137" i="128"/>
  <c r="P137" i="128" s="1"/>
  <c r="K137" i="128"/>
  <c r="AJ136" i="128"/>
  <c r="AG136" i="128"/>
  <c r="Z136" i="128"/>
  <c r="V136" i="128"/>
  <c r="T136" i="128"/>
  <c r="R136" i="128"/>
  <c r="O136" i="128"/>
  <c r="N136" i="128"/>
  <c r="M136" i="128"/>
  <c r="L136" i="128"/>
  <c r="K136" i="128"/>
  <c r="P136" i="128" s="1"/>
  <c r="AJ135" i="128"/>
  <c r="AG135" i="128"/>
  <c r="Z135" i="128"/>
  <c r="X135" i="128"/>
  <c r="V135" i="128"/>
  <c r="T135" i="128"/>
  <c r="AA135" i="128" s="1"/>
  <c r="AH135" i="128" s="1"/>
  <c r="R135" i="128"/>
  <c r="O135" i="128"/>
  <c r="N135" i="128"/>
  <c r="M135" i="128"/>
  <c r="L135" i="128"/>
  <c r="K135" i="128"/>
  <c r="P135" i="128" s="1"/>
  <c r="AJ134" i="128"/>
  <c r="AG134" i="128"/>
  <c r="Z134" i="128"/>
  <c r="X134" i="128"/>
  <c r="V134" i="128"/>
  <c r="T134" i="128"/>
  <c r="AA134" i="128" s="1"/>
  <c r="AH134" i="128" s="1"/>
  <c r="R134" i="128"/>
  <c r="O134" i="128"/>
  <c r="N134" i="128"/>
  <c r="M134" i="128"/>
  <c r="L134" i="128"/>
  <c r="P134" i="128" s="1"/>
  <c r="K134" i="128"/>
  <c r="AJ133" i="128"/>
  <c r="AG133" i="128"/>
  <c r="AF133" i="128"/>
  <c r="Z133" i="128"/>
  <c r="X133" i="128"/>
  <c r="V133" i="128"/>
  <c r="T133" i="128"/>
  <c r="R133" i="128"/>
  <c r="O133" i="128"/>
  <c r="N133" i="128"/>
  <c r="M133" i="128"/>
  <c r="L133" i="128"/>
  <c r="P133" i="128" s="1"/>
  <c r="K133" i="128"/>
  <c r="AJ132" i="128"/>
  <c r="AG132" i="128"/>
  <c r="Z132" i="128"/>
  <c r="X132" i="128"/>
  <c r="V132" i="128"/>
  <c r="T132" i="128"/>
  <c r="R132" i="128"/>
  <c r="O132" i="128"/>
  <c r="N132" i="128"/>
  <c r="M132" i="128"/>
  <c r="L132" i="128"/>
  <c r="P132" i="128" s="1"/>
  <c r="K132" i="128"/>
  <c r="AJ131" i="128"/>
  <c r="AG131" i="128"/>
  <c r="AF131" i="128"/>
  <c r="Z131" i="128"/>
  <c r="X131" i="128"/>
  <c r="V131" i="128"/>
  <c r="T131" i="128"/>
  <c r="R131" i="128"/>
  <c r="O131" i="128"/>
  <c r="N131" i="128"/>
  <c r="M131" i="128"/>
  <c r="L131" i="128"/>
  <c r="K131" i="128"/>
  <c r="P131" i="128" s="1"/>
  <c r="AJ130" i="128"/>
  <c r="AG130" i="128"/>
  <c r="Z130" i="128"/>
  <c r="V130" i="128"/>
  <c r="T130" i="128"/>
  <c r="R130" i="128"/>
  <c r="O130" i="128"/>
  <c r="N130" i="128"/>
  <c r="M130" i="128"/>
  <c r="L130" i="128"/>
  <c r="K130" i="128"/>
  <c r="AJ129" i="128"/>
  <c r="AG129" i="128"/>
  <c r="AF129" i="128"/>
  <c r="Z129" i="128"/>
  <c r="X129" i="128"/>
  <c r="V129" i="128"/>
  <c r="T129" i="128"/>
  <c r="R129" i="128"/>
  <c r="O129" i="128"/>
  <c r="N129" i="128"/>
  <c r="M129" i="128"/>
  <c r="L129" i="128"/>
  <c r="P129" i="128" s="1"/>
  <c r="K129" i="128"/>
  <c r="AJ128" i="128"/>
  <c r="AG128" i="128"/>
  <c r="AF128" i="128"/>
  <c r="Z128" i="128"/>
  <c r="X128" i="128"/>
  <c r="V128" i="128"/>
  <c r="T128" i="128"/>
  <c r="R128" i="128"/>
  <c r="O128" i="128"/>
  <c r="N128" i="128"/>
  <c r="M128" i="128"/>
  <c r="L128" i="128"/>
  <c r="P128" i="128" s="1"/>
  <c r="K128" i="128"/>
  <c r="AJ127" i="128"/>
  <c r="AG127" i="128"/>
  <c r="AF127" i="128"/>
  <c r="Z127" i="128"/>
  <c r="X127" i="128"/>
  <c r="V127" i="128"/>
  <c r="T127" i="128"/>
  <c r="AA127" i="128" s="1"/>
  <c r="AH127" i="128" s="1"/>
  <c r="R127" i="128"/>
  <c r="O127" i="128"/>
  <c r="N127" i="128"/>
  <c r="M127" i="128"/>
  <c r="L127" i="128"/>
  <c r="P127" i="128" s="1"/>
  <c r="K127" i="128"/>
  <c r="AJ126" i="128"/>
  <c r="AG126" i="128"/>
  <c r="AF126" i="128"/>
  <c r="Z126" i="128"/>
  <c r="X126" i="128"/>
  <c r="V126" i="128"/>
  <c r="T126" i="128"/>
  <c r="R126" i="128"/>
  <c r="O126" i="128"/>
  <c r="N126" i="128"/>
  <c r="M126" i="128"/>
  <c r="L126" i="128"/>
  <c r="P126" i="128" s="1"/>
  <c r="K126" i="128"/>
  <c r="AJ125" i="128"/>
  <c r="AG125" i="128"/>
  <c r="AF125" i="128"/>
  <c r="Z125" i="128"/>
  <c r="X125" i="128"/>
  <c r="V125" i="128"/>
  <c r="T125" i="128"/>
  <c r="R125" i="128"/>
  <c r="O125" i="128"/>
  <c r="N125" i="128"/>
  <c r="M125" i="128"/>
  <c r="L125" i="128"/>
  <c r="P125" i="128" s="1"/>
  <c r="K125" i="128"/>
  <c r="AJ124" i="128"/>
  <c r="AG124" i="128"/>
  <c r="AF124" i="128"/>
  <c r="Z124" i="128"/>
  <c r="X124" i="128"/>
  <c r="V124" i="128"/>
  <c r="T124" i="128"/>
  <c r="R124" i="128"/>
  <c r="O124" i="128"/>
  <c r="N124" i="128"/>
  <c r="M124" i="128"/>
  <c r="L124" i="128"/>
  <c r="P124" i="128" s="1"/>
  <c r="K124" i="128"/>
  <c r="AJ123" i="128"/>
  <c r="AG123" i="128"/>
  <c r="AF123" i="128"/>
  <c r="Z123" i="128"/>
  <c r="X123" i="128"/>
  <c r="V123" i="128"/>
  <c r="AA123" i="128" s="1"/>
  <c r="AH123" i="128" s="1"/>
  <c r="T123" i="128"/>
  <c r="R123" i="128"/>
  <c r="O123" i="128"/>
  <c r="N123" i="128"/>
  <c r="M123" i="128"/>
  <c r="L123" i="128"/>
  <c r="P123" i="128" s="1"/>
  <c r="K123" i="128"/>
  <c r="AJ122" i="128"/>
  <c r="AG122" i="128"/>
  <c r="AF122" i="128"/>
  <c r="Z122" i="128"/>
  <c r="X122" i="128"/>
  <c r="V122" i="128"/>
  <c r="AA122" i="128" s="1"/>
  <c r="AH122" i="128" s="1"/>
  <c r="T122" i="128"/>
  <c r="R122" i="128"/>
  <c r="O122" i="128"/>
  <c r="N122" i="128"/>
  <c r="M122" i="128"/>
  <c r="L122" i="128"/>
  <c r="P122" i="128" s="1"/>
  <c r="K122" i="128"/>
  <c r="AJ121" i="128"/>
  <c r="AG121" i="128"/>
  <c r="AF121" i="128"/>
  <c r="Z121" i="128"/>
  <c r="X121" i="128"/>
  <c r="V121" i="128"/>
  <c r="T121" i="128"/>
  <c r="R121" i="128"/>
  <c r="O121" i="128"/>
  <c r="N121" i="128"/>
  <c r="M121" i="128"/>
  <c r="L121" i="128"/>
  <c r="P121" i="128" s="1"/>
  <c r="K121" i="128"/>
  <c r="AJ120" i="128"/>
  <c r="AG120" i="128"/>
  <c r="Z120" i="128"/>
  <c r="X120" i="128"/>
  <c r="V120" i="128"/>
  <c r="T120" i="128"/>
  <c r="R120" i="128"/>
  <c r="O120" i="128"/>
  <c r="N120" i="128"/>
  <c r="M120" i="128"/>
  <c r="L120" i="128"/>
  <c r="K120" i="128"/>
  <c r="P120" i="128" s="1"/>
  <c r="AJ119" i="128"/>
  <c r="AG119" i="128"/>
  <c r="Z119" i="128"/>
  <c r="X119" i="128"/>
  <c r="V119" i="128"/>
  <c r="T119" i="128"/>
  <c r="R119" i="128"/>
  <c r="O119" i="128"/>
  <c r="N119" i="128"/>
  <c r="M119" i="128"/>
  <c r="L119" i="128"/>
  <c r="K119" i="128"/>
  <c r="P119" i="128" s="1"/>
  <c r="AJ118" i="128"/>
  <c r="AF118" i="128"/>
  <c r="AG118" i="128" s="1"/>
  <c r="Z118" i="128"/>
  <c r="V118" i="128"/>
  <c r="T118" i="128"/>
  <c r="R118" i="128"/>
  <c r="O118" i="128"/>
  <c r="N118" i="128"/>
  <c r="M118" i="128"/>
  <c r="L118" i="128"/>
  <c r="P118" i="128" s="1"/>
  <c r="K118" i="128"/>
  <c r="AJ117" i="128"/>
  <c r="AG117" i="128"/>
  <c r="AF117" i="128"/>
  <c r="Z117" i="128"/>
  <c r="X117" i="128"/>
  <c r="V117" i="128"/>
  <c r="T117" i="128"/>
  <c r="R117" i="128"/>
  <c r="O117" i="128"/>
  <c r="N117" i="128"/>
  <c r="M117" i="128"/>
  <c r="L117" i="128"/>
  <c r="P117" i="128" s="1"/>
  <c r="K117" i="128"/>
  <c r="AJ116" i="128"/>
  <c r="AG116" i="128"/>
  <c r="AF116" i="128"/>
  <c r="Z116" i="128"/>
  <c r="X116" i="128"/>
  <c r="V116" i="128"/>
  <c r="T116" i="128"/>
  <c r="R116" i="128"/>
  <c r="O116" i="128"/>
  <c r="N116" i="128"/>
  <c r="M116" i="128"/>
  <c r="L116" i="128"/>
  <c r="P116" i="128" s="1"/>
  <c r="K116" i="128"/>
  <c r="AJ115" i="128"/>
  <c r="AG115" i="128"/>
  <c r="AF115" i="128"/>
  <c r="Z115" i="128"/>
  <c r="V115" i="128"/>
  <c r="T115" i="128"/>
  <c r="R115" i="128"/>
  <c r="O115" i="128"/>
  <c r="N115" i="128"/>
  <c r="M115" i="128"/>
  <c r="L115" i="128"/>
  <c r="P115" i="128" s="1"/>
  <c r="K115" i="128"/>
  <c r="AJ114" i="128"/>
  <c r="AG114" i="128"/>
  <c r="AF114" i="128"/>
  <c r="Z114" i="128"/>
  <c r="X114" i="128"/>
  <c r="V114" i="128"/>
  <c r="AA114" i="128" s="1"/>
  <c r="AH114" i="128" s="1"/>
  <c r="T114" i="128"/>
  <c r="R114" i="128"/>
  <c r="O114" i="128"/>
  <c r="N114" i="128"/>
  <c r="M114" i="128"/>
  <c r="L114" i="128"/>
  <c r="P114" i="128" s="1"/>
  <c r="K114" i="128"/>
  <c r="AJ113" i="128"/>
  <c r="AG113" i="128"/>
  <c r="Z113" i="128"/>
  <c r="X113" i="128"/>
  <c r="V113" i="128"/>
  <c r="AA113" i="128" s="1"/>
  <c r="AH113" i="128" s="1"/>
  <c r="T113" i="128"/>
  <c r="R113" i="128"/>
  <c r="O113" i="128"/>
  <c r="N113" i="128"/>
  <c r="M113" i="128"/>
  <c r="L113" i="128"/>
  <c r="K113" i="128"/>
  <c r="P113" i="128" s="1"/>
  <c r="AJ112" i="128"/>
  <c r="AG112" i="128"/>
  <c r="Z112" i="128"/>
  <c r="X112" i="128"/>
  <c r="V112" i="128"/>
  <c r="AA112" i="128" s="1"/>
  <c r="AH112" i="128" s="1"/>
  <c r="T112" i="128"/>
  <c r="R112" i="128"/>
  <c r="O112" i="128"/>
  <c r="N112" i="128"/>
  <c r="M112" i="128"/>
  <c r="L112" i="128"/>
  <c r="K112" i="128"/>
  <c r="P112" i="128" s="1"/>
  <c r="AJ111" i="128"/>
  <c r="AF111" i="128"/>
  <c r="AG111" i="128" s="1"/>
  <c r="Z111" i="128"/>
  <c r="X111" i="128"/>
  <c r="V111" i="128"/>
  <c r="T111" i="128"/>
  <c r="AA111" i="128" s="1"/>
  <c r="AH111" i="128" s="1"/>
  <c r="R111" i="128"/>
  <c r="O111" i="128"/>
  <c r="N111" i="128"/>
  <c r="M111" i="128"/>
  <c r="L111" i="128"/>
  <c r="K111" i="128"/>
  <c r="P111" i="128" s="1"/>
  <c r="AJ110" i="128"/>
  <c r="AG110" i="128"/>
  <c r="Z110" i="128"/>
  <c r="X110" i="128"/>
  <c r="V110" i="128"/>
  <c r="T110" i="128"/>
  <c r="AA110" i="128" s="1"/>
  <c r="AH110" i="128" s="1"/>
  <c r="R110" i="128"/>
  <c r="O110" i="128"/>
  <c r="N110" i="128"/>
  <c r="M110" i="128"/>
  <c r="L110" i="128"/>
  <c r="P110" i="128" s="1"/>
  <c r="K110" i="128"/>
  <c r="AJ109" i="128"/>
  <c r="AG109" i="128"/>
  <c r="AF109" i="128"/>
  <c r="Z109" i="128"/>
  <c r="X109" i="128"/>
  <c r="V109" i="128"/>
  <c r="T109" i="128"/>
  <c r="R109" i="128"/>
  <c r="O109" i="128"/>
  <c r="N109" i="128"/>
  <c r="M109" i="128"/>
  <c r="L109" i="128"/>
  <c r="P109" i="128" s="1"/>
  <c r="K109" i="128"/>
  <c r="AJ108" i="128"/>
  <c r="AG108" i="128"/>
  <c r="Z108" i="128"/>
  <c r="X108" i="128"/>
  <c r="V108" i="128"/>
  <c r="AA108" i="128" s="1"/>
  <c r="AH108" i="128" s="1"/>
  <c r="T108" i="128"/>
  <c r="R108" i="128"/>
  <c r="O108" i="128"/>
  <c r="N108" i="128"/>
  <c r="M108" i="128"/>
  <c r="L108" i="128"/>
  <c r="P108" i="128" s="1"/>
  <c r="K108" i="128"/>
  <c r="AJ107" i="128"/>
  <c r="AG107" i="128"/>
  <c r="Z107" i="128"/>
  <c r="X107" i="128"/>
  <c r="V107" i="128"/>
  <c r="AA107" i="128" s="1"/>
  <c r="AH107" i="128" s="1"/>
  <c r="T107" i="128"/>
  <c r="R107" i="128"/>
  <c r="O107" i="128"/>
  <c r="N107" i="128"/>
  <c r="M107" i="128"/>
  <c r="L107" i="128"/>
  <c r="K107" i="128"/>
  <c r="P107" i="128" s="1"/>
  <c r="AJ106" i="128"/>
  <c r="AF106" i="128"/>
  <c r="AG106" i="128" s="1"/>
  <c r="Z106" i="128"/>
  <c r="X106" i="128"/>
  <c r="V106" i="128"/>
  <c r="AA106" i="128" s="1"/>
  <c r="AH106" i="128" s="1"/>
  <c r="T106" i="128"/>
  <c r="R106" i="128"/>
  <c r="O106" i="128"/>
  <c r="N106" i="128"/>
  <c r="M106" i="128"/>
  <c r="L106" i="128"/>
  <c r="K106" i="128"/>
  <c r="P106" i="128" s="1"/>
  <c r="AJ105" i="128"/>
  <c r="AG105" i="128"/>
  <c r="Z105" i="128"/>
  <c r="X105" i="128"/>
  <c r="V105" i="128"/>
  <c r="T105" i="128"/>
  <c r="R105" i="128"/>
  <c r="O105" i="128"/>
  <c r="N105" i="128"/>
  <c r="M105" i="128"/>
  <c r="L105" i="128"/>
  <c r="K105" i="128"/>
  <c r="P105" i="128" s="1"/>
  <c r="AJ104" i="128"/>
  <c r="AF104" i="128"/>
  <c r="AG104" i="128" s="1"/>
  <c r="Z104" i="128"/>
  <c r="X104" i="128"/>
  <c r="V104" i="128"/>
  <c r="T104" i="128"/>
  <c r="R104" i="128"/>
  <c r="O104" i="128"/>
  <c r="N104" i="128"/>
  <c r="M104" i="128"/>
  <c r="L104" i="128"/>
  <c r="K104" i="128"/>
  <c r="P104" i="128" s="1"/>
  <c r="AJ103" i="128"/>
  <c r="AF103" i="128"/>
  <c r="AG103" i="128" s="1"/>
  <c r="Z103" i="128"/>
  <c r="X103" i="128"/>
  <c r="V103" i="128"/>
  <c r="AA103" i="128" s="1"/>
  <c r="AH103" i="128" s="1"/>
  <c r="T103" i="128"/>
  <c r="R103" i="128"/>
  <c r="O103" i="128"/>
  <c r="N103" i="128"/>
  <c r="M103" i="128"/>
  <c r="L103" i="128"/>
  <c r="K103" i="128"/>
  <c r="P103" i="128" s="1"/>
  <c r="AJ102" i="128"/>
  <c r="AF102" i="128"/>
  <c r="AG102" i="128" s="1"/>
  <c r="Z102" i="128"/>
  <c r="X102" i="128"/>
  <c r="V102" i="128"/>
  <c r="AA102" i="128" s="1"/>
  <c r="AH102" i="128" s="1"/>
  <c r="T102" i="128"/>
  <c r="R102" i="128"/>
  <c r="O102" i="128"/>
  <c r="N102" i="128"/>
  <c r="M102" i="128"/>
  <c r="L102" i="128"/>
  <c r="K102" i="128"/>
  <c r="P102" i="128" s="1"/>
  <c r="AJ101" i="128"/>
  <c r="AF101" i="128"/>
  <c r="AG101" i="128" s="1"/>
  <c r="Z101" i="128"/>
  <c r="X101" i="128"/>
  <c r="V101" i="128"/>
  <c r="AA101" i="128" s="1"/>
  <c r="AH101" i="128" s="1"/>
  <c r="T101" i="128"/>
  <c r="R101" i="128"/>
  <c r="O101" i="128"/>
  <c r="N101" i="128"/>
  <c r="M101" i="128"/>
  <c r="L101" i="128"/>
  <c r="K101" i="128"/>
  <c r="P101" i="128" s="1"/>
  <c r="AJ100" i="128"/>
  <c r="AG100" i="128"/>
  <c r="Z100" i="128"/>
  <c r="X100" i="128"/>
  <c r="V100" i="128"/>
  <c r="T100" i="128"/>
  <c r="R100" i="128"/>
  <c r="O100" i="128"/>
  <c r="N100" i="128"/>
  <c r="M100" i="128"/>
  <c r="L100" i="128"/>
  <c r="P100" i="128" s="1"/>
  <c r="K100" i="128"/>
  <c r="AJ99" i="128"/>
  <c r="AG99" i="128"/>
  <c r="Z99" i="128"/>
  <c r="X99" i="128"/>
  <c r="V99" i="128"/>
  <c r="AA99" i="128" s="1"/>
  <c r="AH99" i="128" s="1"/>
  <c r="T99" i="128"/>
  <c r="R99" i="128"/>
  <c r="O99" i="128"/>
  <c r="N99" i="128"/>
  <c r="M99" i="128"/>
  <c r="L99" i="128"/>
  <c r="P99" i="128" s="1"/>
  <c r="K99" i="128"/>
  <c r="AJ98" i="128"/>
  <c r="AG98" i="128"/>
  <c r="AF98" i="128"/>
  <c r="Z98" i="128"/>
  <c r="X98" i="128"/>
  <c r="V98" i="128"/>
  <c r="T98" i="128"/>
  <c r="R98" i="128"/>
  <c r="O98" i="128"/>
  <c r="N98" i="128"/>
  <c r="M98" i="128"/>
  <c r="L98" i="128"/>
  <c r="P98" i="128" s="1"/>
  <c r="K98" i="128"/>
  <c r="AJ97" i="128"/>
  <c r="AG97" i="128"/>
  <c r="AF97" i="128"/>
  <c r="Z97" i="128"/>
  <c r="V97" i="128"/>
  <c r="T97" i="128"/>
  <c r="R97" i="128"/>
  <c r="O97" i="128"/>
  <c r="N97" i="128"/>
  <c r="M97" i="128"/>
  <c r="L97" i="128"/>
  <c r="P97" i="128" s="1"/>
  <c r="K97" i="128"/>
  <c r="AJ96" i="128"/>
  <c r="AG96" i="128"/>
  <c r="Z96" i="128"/>
  <c r="X96" i="128"/>
  <c r="V96" i="128"/>
  <c r="T96" i="128"/>
  <c r="R96" i="128"/>
  <c r="O96" i="128"/>
  <c r="N96" i="128"/>
  <c r="M96" i="128"/>
  <c r="L96" i="128"/>
  <c r="K96" i="128"/>
  <c r="P96" i="128" s="1"/>
  <c r="AJ95" i="128"/>
  <c r="AF95" i="128"/>
  <c r="AG95" i="128" s="1"/>
  <c r="Z95" i="128"/>
  <c r="X95" i="128"/>
  <c r="V95" i="128"/>
  <c r="T95" i="128"/>
  <c r="R95" i="128"/>
  <c r="O95" i="128"/>
  <c r="N95" i="128"/>
  <c r="M95" i="128"/>
  <c r="L95" i="128"/>
  <c r="K95" i="128"/>
  <c r="P95" i="128" s="1"/>
  <c r="AJ94" i="128"/>
  <c r="AG94" i="128"/>
  <c r="Z94" i="128"/>
  <c r="X94" i="128"/>
  <c r="V94" i="128"/>
  <c r="T94" i="128"/>
  <c r="R94" i="128"/>
  <c r="O94" i="128"/>
  <c r="N94" i="128"/>
  <c r="M94" i="128"/>
  <c r="L94" i="128"/>
  <c r="P94" i="128" s="1"/>
  <c r="K94" i="128"/>
  <c r="AJ93" i="128"/>
  <c r="AG93" i="128"/>
  <c r="Z93" i="128"/>
  <c r="X93" i="128"/>
  <c r="V93" i="128"/>
  <c r="T93" i="128"/>
  <c r="R93" i="128"/>
  <c r="O93" i="128"/>
  <c r="N93" i="128"/>
  <c r="M93" i="128"/>
  <c r="L93" i="128"/>
  <c r="P93" i="128" s="1"/>
  <c r="K93" i="128"/>
  <c r="AJ92" i="128"/>
  <c r="AG92" i="128"/>
  <c r="AF92" i="128"/>
  <c r="Z92" i="128"/>
  <c r="X92" i="128"/>
  <c r="V92" i="128"/>
  <c r="T92" i="128"/>
  <c r="R92" i="128"/>
  <c r="O92" i="128"/>
  <c r="N92" i="128"/>
  <c r="M92" i="128"/>
  <c r="L92" i="128"/>
  <c r="P92" i="128" s="1"/>
  <c r="K92" i="128"/>
  <c r="AJ91" i="128"/>
  <c r="AG91" i="128"/>
  <c r="AF91" i="128"/>
  <c r="Z91" i="128"/>
  <c r="X91" i="128"/>
  <c r="V91" i="128"/>
  <c r="AA91" i="128" s="1"/>
  <c r="AH91" i="128" s="1"/>
  <c r="T91" i="128"/>
  <c r="R91" i="128"/>
  <c r="O91" i="128"/>
  <c r="N91" i="128"/>
  <c r="M91" i="128"/>
  <c r="L91" i="128"/>
  <c r="P91" i="128" s="1"/>
  <c r="K91" i="128"/>
  <c r="AJ90" i="128"/>
  <c r="AG90" i="128"/>
  <c r="Z90" i="128"/>
  <c r="X90" i="128"/>
  <c r="V90" i="128"/>
  <c r="AA90" i="128" s="1"/>
  <c r="AH90" i="128" s="1"/>
  <c r="T90" i="128"/>
  <c r="R90" i="128"/>
  <c r="O90" i="128"/>
  <c r="N90" i="128"/>
  <c r="M90" i="128"/>
  <c r="L90" i="128"/>
  <c r="P90" i="128" s="1"/>
  <c r="K90" i="128"/>
  <c r="AJ89" i="128"/>
  <c r="AG89" i="128"/>
  <c r="AF89" i="128"/>
  <c r="Z89" i="128"/>
  <c r="X89" i="128"/>
  <c r="V89" i="128"/>
  <c r="AA89" i="128" s="1"/>
  <c r="AH89" i="128" s="1"/>
  <c r="T89" i="128"/>
  <c r="R89" i="128"/>
  <c r="O89" i="128"/>
  <c r="N89" i="128"/>
  <c r="M89" i="128"/>
  <c r="L89" i="128"/>
  <c r="P89" i="128" s="1"/>
  <c r="K89" i="128"/>
  <c r="AJ88" i="128"/>
  <c r="AG88" i="128"/>
  <c r="Z88" i="128"/>
  <c r="X88" i="128"/>
  <c r="V88" i="128"/>
  <c r="AA88" i="128" s="1"/>
  <c r="AH88" i="128" s="1"/>
  <c r="T88" i="128"/>
  <c r="R88" i="128"/>
  <c r="O88" i="128"/>
  <c r="N88" i="128"/>
  <c r="M88" i="128"/>
  <c r="L88" i="128"/>
  <c r="K88" i="128"/>
  <c r="P88" i="128" s="1"/>
  <c r="AJ87" i="128"/>
  <c r="AF87" i="128"/>
  <c r="AG87" i="128" s="1"/>
  <c r="Z87" i="128"/>
  <c r="X87" i="128"/>
  <c r="V87" i="128"/>
  <c r="AA87" i="128" s="1"/>
  <c r="AH87" i="128" s="1"/>
  <c r="T87" i="128"/>
  <c r="R87" i="128"/>
  <c r="O87" i="128"/>
  <c r="N87" i="128"/>
  <c r="M87" i="128"/>
  <c r="L87" i="128"/>
  <c r="K87" i="128"/>
  <c r="P87" i="128" s="1"/>
  <c r="AJ86" i="128"/>
  <c r="AF86" i="128"/>
  <c r="AG86" i="128" s="1"/>
  <c r="Z86" i="128"/>
  <c r="X86" i="128"/>
  <c r="V86" i="128"/>
  <c r="AA86" i="128" s="1"/>
  <c r="AH86" i="128" s="1"/>
  <c r="T86" i="128"/>
  <c r="R86" i="128"/>
  <c r="O86" i="128"/>
  <c r="N86" i="128"/>
  <c r="M86" i="128"/>
  <c r="L86" i="128"/>
  <c r="K86" i="128"/>
  <c r="P86" i="128" s="1"/>
  <c r="AJ85" i="128"/>
  <c r="AF85" i="128"/>
  <c r="AG85" i="128" s="1"/>
  <c r="Z85" i="128"/>
  <c r="X85" i="128"/>
  <c r="V85" i="128"/>
  <c r="AA85" i="128" s="1"/>
  <c r="AH85" i="128" s="1"/>
  <c r="T85" i="128"/>
  <c r="R85" i="128"/>
  <c r="O85" i="128"/>
  <c r="N85" i="128"/>
  <c r="M85" i="128"/>
  <c r="L85" i="128"/>
  <c r="K85" i="128"/>
  <c r="P85" i="128" s="1"/>
  <c r="AJ84" i="128"/>
  <c r="AG84" i="128"/>
  <c r="Z84" i="128"/>
  <c r="V84" i="128"/>
  <c r="T84" i="128"/>
  <c r="R84" i="128"/>
  <c r="O84" i="128"/>
  <c r="N84" i="128"/>
  <c r="M84" i="128"/>
  <c r="L84" i="128"/>
  <c r="K84" i="128"/>
  <c r="AJ83" i="128"/>
  <c r="AG83" i="128"/>
  <c r="AF83" i="128"/>
  <c r="Z83" i="128"/>
  <c r="X83" i="128"/>
  <c r="V83" i="128"/>
  <c r="T83" i="128"/>
  <c r="R83" i="128"/>
  <c r="O83" i="128"/>
  <c r="N83" i="128"/>
  <c r="M83" i="128"/>
  <c r="L83" i="128"/>
  <c r="P83" i="128" s="1"/>
  <c r="K83" i="128"/>
  <c r="AJ82" i="128"/>
  <c r="AG82" i="128"/>
  <c r="AF82" i="128"/>
  <c r="Z82" i="128"/>
  <c r="X82" i="128"/>
  <c r="V82" i="128"/>
  <c r="T82" i="128"/>
  <c r="R82" i="128"/>
  <c r="O82" i="128"/>
  <c r="N82" i="128"/>
  <c r="M82" i="128"/>
  <c r="L82" i="128"/>
  <c r="P82" i="128" s="1"/>
  <c r="K82" i="128"/>
  <c r="AJ81" i="128"/>
  <c r="AG81" i="128"/>
  <c r="AF81" i="128"/>
  <c r="Z81" i="128"/>
  <c r="X81" i="128"/>
  <c r="V81" i="128"/>
  <c r="T81" i="128"/>
  <c r="R81" i="128"/>
  <c r="O81" i="128"/>
  <c r="N81" i="128"/>
  <c r="M81" i="128"/>
  <c r="L81" i="128"/>
  <c r="P81" i="128" s="1"/>
  <c r="K81" i="128"/>
  <c r="AJ80" i="128"/>
  <c r="AG80" i="128"/>
  <c r="AF80" i="128"/>
  <c r="Z80" i="128"/>
  <c r="X80" i="128"/>
  <c r="V80" i="128"/>
  <c r="T80" i="128"/>
  <c r="R80" i="128"/>
  <c r="O80" i="128"/>
  <c r="N80" i="128"/>
  <c r="M80" i="128"/>
  <c r="L80" i="128"/>
  <c r="K80" i="128"/>
  <c r="P80" i="128" s="1"/>
  <c r="AJ79" i="128"/>
  <c r="AF79" i="128"/>
  <c r="AG79" i="128" s="1"/>
  <c r="Z79" i="128"/>
  <c r="X79" i="128"/>
  <c r="V79" i="128"/>
  <c r="T79" i="128"/>
  <c r="R79" i="128"/>
  <c r="O79" i="128"/>
  <c r="N79" i="128"/>
  <c r="M79" i="128"/>
  <c r="L79" i="128"/>
  <c r="P79" i="128" s="1"/>
  <c r="K79" i="128"/>
  <c r="AJ78" i="128"/>
  <c r="AG78" i="128"/>
  <c r="AF78" i="128"/>
  <c r="Z78" i="128"/>
  <c r="X78" i="128"/>
  <c r="V78" i="128"/>
  <c r="T78" i="128"/>
  <c r="R78" i="128"/>
  <c r="O78" i="128"/>
  <c r="N78" i="128"/>
  <c r="M78" i="128"/>
  <c r="L78" i="128"/>
  <c r="K78" i="128"/>
  <c r="P78" i="128" s="1"/>
  <c r="AJ77" i="128"/>
  <c r="AF77" i="128"/>
  <c r="AG77" i="128" s="1"/>
  <c r="Z77" i="128"/>
  <c r="X77" i="128"/>
  <c r="V77" i="128"/>
  <c r="T77" i="128"/>
  <c r="R77" i="128"/>
  <c r="O77" i="128"/>
  <c r="N77" i="128"/>
  <c r="M77" i="128"/>
  <c r="L77" i="128"/>
  <c r="K77" i="128"/>
  <c r="P77" i="128" s="1"/>
  <c r="AJ76" i="128"/>
  <c r="AF76" i="128"/>
  <c r="AG76" i="128" s="1"/>
  <c r="Z76" i="128"/>
  <c r="X76" i="128"/>
  <c r="V76" i="128"/>
  <c r="T76" i="128"/>
  <c r="R76" i="128"/>
  <c r="O76" i="128"/>
  <c r="N76" i="128"/>
  <c r="M76" i="128"/>
  <c r="L76" i="128"/>
  <c r="K76" i="128"/>
  <c r="P76" i="128" s="1"/>
  <c r="AJ75" i="128"/>
  <c r="AG75" i="128"/>
  <c r="Z75" i="128"/>
  <c r="X75" i="128"/>
  <c r="V75" i="128"/>
  <c r="T75" i="128"/>
  <c r="AA75" i="128" s="1"/>
  <c r="AH75" i="128" s="1"/>
  <c r="R75" i="128"/>
  <c r="O75" i="128"/>
  <c r="N75" i="128"/>
  <c r="M75" i="128"/>
  <c r="L75" i="128"/>
  <c r="P75" i="128" s="1"/>
  <c r="K75" i="128"/>
  <c r="AJ74" i="128"/>
  <c r="AG74" i="128"/>
  <c r="Z74" i="128"/>
  <c r="X74" i="128"/>
  <c r="V74" i="128"/>
  <c r="AA74" i="128" s="1"/>
  <c r="AH74" i="128" s="1"/>
  <c r="T74" i="128"/>
  <c r="R74" i="128"/>
  <c r="O74" i="128"/>
  <c r="N74" i="128"/>
  <c r="M74" i="128"/>
  <c r="L74" i="128"/>
  <c r="P74" i="128" s="1"/>
  <c r="K74" i="128"/>
  <c r="AJ73" i="128"/>
  <c r="AG73" i="128"/>
  <c r="Z73" i="128"/>
  <c r="X73" i="128"/>
  <c r="V73" i="128"/>
  <c r="AA73" i="128" s="1"/>
  <c r="AH73" i="128" s="1"/>
  <c r="T73" i="128"/>
  <c r="R73" i="128"/>
  <c r="O73" i="128"/>
  <c r="N73" i="128"/>
  <c r="M73" i="128"/>
  <c r="L73" i="128"/>
  <c r="K73" i="128"/>
  <c r="P73" i="128" s="1"/>
  <c r="AJ72" i="128"/>
  <c r="AF72" i="128"/>
  <c r="AG72" i="128" s="1"/>
  <c r="Z72" i="128"/>
  <c r="X72" i="128"/>
  <c r="V72" i="128"/>
  <c r="AA72" i="128" s="1"/>
  <c r="AH72" i="128" s="1"/>
  <c r="T72" i="128"/>
  <c r="R72" i="128"/>
  <c r="O72" i="128"/>
  <c r="N72" i="128"/>
  <c r="M72" i="128"/>
  <c r="L72" i="128"/>
  <c r="K72" i="128"/>
  <c r="P72" i="128" s="1"/>
  <c r="AJ71" i="128"/>
  <c r="AF71" i="128"/>
  <c r="AG71" i="128" s="1"/>
  <c r="Z71" i="128"/>
  <c r="X71" i="128"/>
  <c r="V71" i="128"/>
  <c r="AA71" i="128" s="1"/>
  <c r="AH71" i="128" s="1"/>
  <c r="T71" i="128"/>
  <c r="R71" i="128"/>
  <c r="O71" i="128"/>
  <c r="N71" i="128"/>
  <c r="M71" i="128"/>
  <c r="L71" i="128"/>
  <c r="K71" i="128"/>
  <c r="P71" i="128" s="1"/>
  <c r="AJ70" i="128"/>
  <c r="AG70" i="128"/>
  <c r="Z70" i="128"/>
  <c r="X70" i="128"/>
  <c r="V70" i="128"/>
  <c r="T70" i="128"/>
  <c r="R70" i="128"/>
  <c r="O70" i="128"/>
  <c r="N70" i="128"/>
  <c r="M70" i="128"/>
  <c r="L70" i="128"/>
  <c r="K70" i="128"/>
  <c r="P70" i="128" s="1"/>
  <c r="AJ69" i="128"/>
  <c r="AF69" i="128"/>
  <c r="AG69" i="128" s="1"/>
  <c r="Z69" i="128"/>
  <c r="X69" i="128"/>
  <c r="V69" i="128"/>
  <c r="T69" i="128"/>
  <c r="AA69" i="128" s="1"/>
  <c r="AH69" i="128" s="1"/>
  <c r="R69" i="128"/>
  <c r="O69" i="128"/>
  <c r="N69" i="128"/>
  <c r="M69" i="128"/>
  <c r="L69" i="128"/>
  <c r="K69" i="128"/>
  <c r="P69" i="128" s="1"/>
  <c r="AJ68" i="128"/>
  <c r="AF68" i="128"/>
  <c r="AG68" i="128" s="1"/>
  <c r="Z68" i="128"/>
  <c r="X68" i="128"/>
  <c r="V68" i="128"/>
  <c r="T68" i="128"/>
  <c r="AA68" i="128" s="1"/>
  <c r="AH68" i="128" s="1"/>
  <c r="R68" i="128"/>
  <c r="O68" i="128"/>
  <c r="N68" i="128"/>
  <c r="M68" i="128"/>
  <c r="L68" i="128"/>
  <c r="K68" i="128"/>
  <c r="P68" i="128" s="1"/>
  <c r="AJ67" i="128"/>
  <c r="AF67" i="128"/>
  <c r="AG67" i="128" s="1"/>
  <c r="Z67" i="128"/>
  <c r="X67" i="128"/>
  <c r="V67" i="128"/>
  <c r="T67" i="128"/>
  <c r="AA67" i="128" s="1"/>
  <c r="AH67" i="128" s="1"/>
  <c r="R67" i="128"/>
  <c r="O67" i="128"/>
  <c r="N67" i="128"/>
  <c r="M67" i="128"/>
  <c r="L67" i="128"/>
  <c r="K67" i="128"/>
  <c r="P67" i="128" s="1"/>
  <c r="AJ66" i="128"/>
  <c r="AF66" i="128"/>
  <c r="AG66" i="128" s="1"/>
  <c r="Z66" i="128"/>
  <c r="X66" i="128"/>
  <c r="V66" i="128"/>
  <c r="AA66" i="128" s="1"/>
  <c r="T66" i="128"/>
  <c r="R66" i="128"/>
  <c r="O66" i="128"/>
  <c r="N66" i="128"/>
  <c r="M66" i="128"/>
  <c r="L66" i="128"/>
  <c r="K66" i="128"/>
  <c r="P66" i="128" s="1"/>
  <c r="AJ65" i="128"/>
  <c r="AF65" i="128"/>
  <c r="AG65" i="128" s="1"/>
  <c r="Z65" i="128"/>
  <c r="X65" i="128"/>
  <c r="V65" i="128"/>
  <c r="AA65" i="128" s="1"/>
  <c r="T65" i="128"/>
  <c r="R65" i="128"/>
  <c r="O65" i="128"/>
  <c r="N65" i="128"/>
  <c r="M65" i="128"/>
  <c r="L65" i="128"/>
  <c r="K65" i="128"/>
  <c r="P65" i="128" s="1"/>
  <c r="AJ64" i="128"/>
  <c r="AG64" i="128"/>
  <c r="Z64" i="128"/>
  <c r="X64" i="128"/>
  <c r="V64" i="128"/>
  <c r="T64" i="128"/>
  <c r="AA64" i="128" s="1"/>
  <c r="AH64" i="128" s="1"/>
  <c r="R64" i="128"/>
  <c r="O64" i="128"/>
  <c r="N64" i="128"/>
  <c r="M64" i="128"/>
  <c r="L64" i="128"/>
  <c r="K64" i="128"/>
  <c r="P64" i="128" s="1"/>
  <c r="AJ63" i="128"/>
  <c r="AF63" i="128"/>
  <c r="AG63" i="128" s="1"/>
  <c r="Z63" i="128"/>
  <c r="X63" i="128"/>
  <c r="V63" i="128"/>
  <c r="T63" i="128"/>
  <c r="AA63" i="128" s="1"/>
  <c r="AH63" i="128" s="1"/>
  <c r="R63" i="128"/>
  <c r="O63" i="128"/>
  <c r="N63" i="128"/>
  <c r="M63" i="128"/>
  <c r="L63" i="128"/>
  <c r="K63" i="128"/>
  <c r="P63" i="128" s="1"/>
  <c r="AJ62" i="128"/>
  <c r="AF62" i="128"/>
  <c r="AG62" i="128" s="1"/>
  <c r="Z62" i="128"/>
  <c r="X62" i="128"/>
  <c r="V62" i="128"/>
  <c r="T62" i="128"/>
  <c r="AA62" i="128" s="1"/>
  <c r="AH62" i="128" s="1"/>
  <c r="R62" i="128"/>
  <c r="O62" i="128"/>
  <c r="N62" i="128"/>
  <c r="M62" i="128"/>
  <c r="L62" i="128"/>
  <c r="K62" i="128"/>
  <c r="P62" i="128" s="1"/>
  <c r="AJ61" i="128"/>
  <c r="AF61" i="128"/>
  <c r="AG61" i="128" s="1"/>
  <c r="Z61" i="128"/>
  <c r="X61" i="128"/>
  <c r="V61" i="128"/>
  <c r="T61" i="128"/>
  <c r="AA61" i="128" s="1"/>
  <c r="AH61" i="128" s="1"/>
  <c r="R61" i="128"/>
  <c r="O61" i="128"/>
  <c r="N61" i="128"/>
  <c r="M61" i="128"/>
  <c r="L61" i="128"/>
  <c r="K61" i="128"/>
  <c r="P61" i="128" s="1"/>
  <c r="AJ60" i="128"/>
  <c r="AF60" i="128"/>
  <c r="AG60" i="128" s="1"/>
  <c r="Z60" i="128"/>
  <c r="X60" i="128"/>
  <c r="V60" i="128"/>
  <c r="T60" i="128"/>
  <c r="AA60" i="128" s="1"/>
  <c r="AH60" i="128" s="1"/>
  <c r="R60" i="128"/>
  <c r="O60" i="128"/>
  <c r="N60" i="128"/>
  <c r="M60" i="128"/>
  <c r="L60" i="128"/>
  <c r="K60" i="128"/>
  <c r="P60" i="128" s="1"/>
  <c r="AJ59" i="128"/>
  <c r="AG59" i="128"/>
  <c r="Z59" i="128"/>
  <c r="X59" i="128"/>
  <c r="V59" i="128"/>
  <c r="T59" i="128"/>
  <c r="AA59" i="128" s="1"/>
  <c r="AH59" i="128" s="1"/>
  <c r="R59" i="128"/>
  <c r="O59" i="128"/>
  <c r="N59" i="128"/>
  <c r="M59" i="128"/>
  <c r="L59" i="128"/>
  <c r="P59" i="128" s="1"/>
  <c r="K59" i="128"/>
  <c r="AJ58" i="128"/>
  <c r="AG58" i="128"/>
  <c r="Z58" i="128"/>
  <c r="X58" i="128"/>
  <c r="V58" i="128"/>
  <c r="T58" i="128"/>
  <c r="R58" i="128"/>
  <c r="O58" i="128"/>
  <c r="N58" i="128"/>
  <c r="M58" i="128"/>
  <c r="L58" i="128"/>
  <c r="K58" i="128"/>
  <c r="P58" i="128" s="1"/>
  <c r="AJ57" i="128"/>
  <c r="AF57" i="128"/>
  <c r="AG57" i="128" s="1"/>
  <c r="Z57" i="128"/>
  <c r="X57" i="128"/>
  <c r="V57" i="128"/>
  <c r="T57" i="128"/>
  <c r="R57" i="128"/>
  <c r="O57" i="128"/>
  <c r="N57" i="128"/>
  <c r="M57" i="128"/>
  <c r="L57" i="128"/>
  <c r="K57" i="128"/>
  <c r="P57" i="128" s="1"/>
  <c r="AJ56" i="128"/>
  <c r="AF56" i="128"/>
  <c r="AG56" i="128" s="1"/>
  <c r="Z56" i="128"/>
  <c r="X56" i="128"/>
  <c r="V56" i="128"/>
  <c r="T56" i="128"/>
  <c r="R56" i="128"/>
  <c r="O56" i="128"/>
  <c r="N56" i="128"/>
  <c r="M56" i="128"/>
  <c r="L56" i="128"/>
  <c r="K56" i="128"/>
  <c r="P56" i="128" s="1"/>
  <c r="AJ55" i="128"/>
  <c r="AF55" i="128"/>
  <c r="AG55" i="128" s="1"/>
  <c r="Z55" i="128"/>
  <c r="X55" i="128"/>
  <c r="V55" i="128"/>
  <c r="T55" i="128"/>
  <c r="R55" i="128"/>
  <c r="O55" i="128"/>
  <c r="N55" i="128"/>
  <c r="M55" i="128"/>
  <c r="L55" i="128"/>
  <c r="K55" i="128"/>
  <c r="P55" i="128" s="1"/>
  <c r="AJ54" i="128"/>
  <c r="AF54" i="128"/>
  <c r="AG54" i="128" s="1"/>
  <c r="Z54" i="128"/>
  <c r="X54" i="128"/>
  <c r="V54" i="128"/>
  <c r="T54" i="128"/>
  <c r="R54" i="128"/>
  <c r="O54" i="128"/>
  <c r="N54" i="128"/>
  <c r="M54" i="128"/>
  <c r="L54" i="128"/>
  <c r="K54" i="128"/>
  <c r="P54" i="128" s="1"/>
  <c r="AJ53" i="128"/>
  <c r="AF53" i="128"/>
  <c r="AG53" i="128" s="1"/>
  <c r="Z53" i="128"/>
  <c r="X53" i="128"/>
  <c r="V53" i="128"/>
  <c r="T53" i="128"/>
  <c r="R53" i="128"/>
  <c r="O53" i="128"/>
  <c r="N53" i="128"/>
  <c r="M53" i="128"/>
  <c r="L53" i="128"/>
  <c r="K53" i="128"/>
  <c r="P53" i="128" s="1"/>
  <c r="AJ52" i="128"/>
  <c r="AF52" i="128"/>
  <c r="AG52" i="128" s="1"/>
  <c r="Z52" i="128"/>
  <c r="X52" i="128"/>
  <c r="V52" i="128"/>
  <c r="T52" i="128"/>
  <c r="R52" i="128"/>
  <c r="O52" i="128"/>
  <c r="N52" i="128"/>
  <c r="M52" i="128"/>
  <c r="L52" i="128"/>
  <c r="K52" i="128"/>
  <c r="P52" i="128" s="1"/>
  <c r="AJ51" i="128"/>
  <c r="AF51" i="128"/>
  <c r="AG51" i="128" s="1"/>
  <c r="Z51" i="128"/>
  <c r="X51" i="128"/>
  <c r="V51" i="128"/>
  <c r="T51" i="128"/>
  <c r="R51" i="128"/>
  <c r="O51" i="128"/>
  <c r="N51" i="128"/>
  <c r="M51" i="128"/>
  <c r="L51" i="128"/>
  <c r="K51" i="128"/>
  <c r="P51" i="128" s="1"/>
  <c r="AJ50" i="128"/>
  <c r="AG50" i="128"/>
  <c r="Z50" i="128"/>
  <c r="X50" i="128"/>
  <c r="V50" i="128"/>
  <c r="T50" i="128"/>
  <c r="AA50" i="128" s="1"/>
  <c r="AH50" i="128" s="1"/>
  <c r="R50" i="128"/>
  <c r="O50" i="128"/>
  <c r="N50" i="128"/>
  <c r="M50" i="128"/>
  <c r="L50" i="128"/>
  <c r="K50" i="128"/>
  <c r="P50" i="128" s="1"/>
  <c r="AJ49" i="128"/>
  <c r="AG49" i="128"/>
  <c r="Z49" i="128"/>
  <c r="X49" i="128"/>
  <c r="V49" i="128"/>
  <c r="T49" i="128"/>
  <c r="AA49" i="128" s="1"/>
  <c r="AH49" i="128" s="1"/>
  <c r="R49" i="128"/>
  <c r="O49" i="128"/>
  <c r="N49" i="128"/>
  <c r="M49" i="128"/>
  <c r="L49" i="128"/>
  <c r="K49" i="128"/>
  <c r="P49" i="128" s="1"/>
  <c r="AJ48" i="128"/>
  <c r="AF48" i="128"/>
  <c r="AG48" i="128" s="1"/>
  <c r="Z48" i="128"/>
  <c r="X48" i="128"/>
  <c r="V48" i="128"/>
  <c r="T48" i="128"/>
  <c r="AA48" i="128" s="1"/>
  <c r="AH48" i="128" s="1"/>
  <c r="R48" i="128"/>
  <c r="O48" i="128"/>
  <c r="N48" i="128"/>
  <c r="M48" i="128"/>
  <c r="L48" i="128"/>
  <c r="K48" i="128"/>
  <c r="P48" i="128" s="1"/>
  <c r="AJ47" i="128"/>
  <c r="AF47" i="128"/>
  <c r="AG47" i="128" s="1"/>
  <c r="Z47" i="128"/>
  <c r="X47" i="128"/>
  <c r="V47" i="128"/>
  <c r="T47" i="128"/>
  <c r="AA47" i="128" s="1"/>
  <c r="AH47" i="128" s="1"/>
  <c r="R47" i="128"/>
  <c r="O47" i="128"/>
  <c r="N47" i="128"/>
  <c r="M47" i="128"/>
  <c r="L47" i="128"/>
  <c r="K47" i="128"/>
  <c r="P47" i="128" s="1"/>
  <c r="AJ46" i="128"/>
  <c r="AF46" i="128"/>
  <c r="AG46" i="128" s="1"/>
  <c r="Z46" i="128"/>
  <c r="X46" i="128"/>
  <c r="V46" i="128"/>
  <c r="T46" i="128"/>
  <c r="AA46" i="128" s="1"/>
  <c r="AH46" i="128" s="1"/>
  <c r="R46" i="128"/>
  <c r="O46" i="128"/>
  <c r="N46" i="128"/>
  <c r="M46" i="128"/>
  <c r="L46" i="128"/>
  <c r="K46" i="128"/>
  <c r="P46" i="128" s="1"/>
  <c r="AJ45" i="128"/>
  <c r="AF45" i="128"/>
  <c r="AG45" i="128" s="1"/>
  <c r="Z45" i="128"/>
  <c r="X45" i="128"/>
  <c r="V45" i="128"/>
  <c r="T45" i="128"/>
  <c r="R45" i="128"/>
  <c r="O45" i="128"/>
  <c r="N45" i="128"/>
  <c r="M45" i="128"/>
  <c r="L45" i="128"/>
  <c r="K45" i="128"/>
  <c r="P45" i="128" s="1"/>
  <c r="AJ44" i="128"/>
  <c r="AF44" i="128"/>
  <c r="AG44" i="128" s="1"/>
  <c r="Z44" i="128"/>
  <c r="X44" i="128"/>
  <c r="V44" i="128"/>
  <c r="T44" i="128"/>
  <c r="R44" i="128"/>
  <c r="O44" i="128"/>
  <c r="N44" i="128"/>
  <c r="M44" i="128"/>
  <c r="L44" i="128"/>
  <c r="K44" i="128"/>
  <c r="P44" i="128" s="1"/>
  <c r="AJ43" i="128"/>
  <c r="AF43" i="128"/>
  <c r="AG43" i="128" s="1"/>
  <c r="Z43" i="128"/>
  <c r="X43" i="128"/>
  <c r="V43" i="128"/>
  <c r="T43" i="128"/>
  <c r="R43" i="128"/>
  <c r="O43" i="128"/>
  <c r="N43" i="128"/>
  <c r="M43" i="128"/>
  <c r="L43" i="128"/>
  <c r="K43" i="128"/>
  <c r="P43" i="128" s="1"/>
  <c r="AJ42" i="128"/>
  <c r="AG42" i="128"/>
  <c r="Z42" i="128"/>
  <c r="X42" i="128"/>
  <c r="V42" i="128"/>
  <c r="T42" i="128"/>
  <c r="AA42" i="128" s="1"/>
  <c r="AH42" i="128" s="1"/>
  <c r="R42" i="128"/>
  <c r="O42" i="128"/>
  <c r="N42" i="128"/>
  <c r="M42" i="128"/>
  <c r="L42" i="128"/>
  <c r="P42" i="128" s="1"/>
  <c r="K42" i="128"/>
  <c r="AJ41" i="128"/>
  <c r="AG41" i="128"/>
  <c r="AF41" i="128"/>
  <c r="Z41" i="128"/>
  <c r="X41" i="128"/>
  <c r="V41" i="128"/>
  <c r="T41" i="128"/>
  <c r="R41" i="128"/>
  <c r="O41" i="128"/>
  <c r="N41" i="128"/>
  <c r="M41" i="128"/>
  <c r="L41" i="128"/>
  <c r="P41" i="128" s="1"/>
  <c r="K41" i="128"/>
  <c r="AJ40" i="128"/>
  <c r="AG40" i="128"/>
  <c r="Z40" i="128"/>
  <c r="X40" i="128"/>
  <c r="V40" i="128"/>
  <c r="AA40" i="128" s="1"/>
  <c r="AH40" i="128" s="1"/>
  <c r="T40" i="128"/>
  <c r="R40" i="128"/>
  <c r="O40" i="128"/>
  <c r="N40" i="128"/>
  <c r="M40" i="128"/>
  <c r="L40" i="128"/>
  <c r="K40" i="128"/>
  <c r="P40" i="128" s="1"/>
  <c r="AJ39" i="128"/>
  <c r="AG39" i="128"/>
  <c r="Z39" i="128"/>
  <c r="X39" i="128"/>
  <c r="V39" i="128"/>
  <c r="T39" i="128"/>
  <c r="R39" i="128"/>
  <c r="O39" i="128"/>
  <c r="N39" i="128"/>
  <c r="M39" i="128"/>
  <c r="L39" i="128"/>
  <c r="P39" i="128" s="1"/>
  <c r="K39" i="128"/>
  <c r="AJ38" i="128"/>
  <c r="AG38" i="128"/>
  <c r="AF38" i="128"/>
  <c r="Z38" i="128"/>
  <c r="X38" i="128"/>
  <c r="V38" i="128"/>
  <c r="T38" i="128"/>
  <c r="AA38" i="128" s="1"/>
  <c r="AH38" i="128" s="1"/>
  <c r="R38" i="128"/>
  <c r="O38" i="128"/>
  <c r="N38" i="128"/>
  <c r="M38" i="128"/>
  <c r="L38" i="128"/>
  <c r="P38" i="128" s="1"/>
  <c r="K38" i="128"/>
  <c r="AJ37" i="128"/>
  <c r="AG37" i="128"/>
  <c r="AF37" i="128"/>
  <c r="Z37" i="128"/>
  <c r="X37" i="128"/>
  <c r="V37" i="128"/>
  <c r="T37" i="128"/>
  <c r="R37" i="128"/>
  <c r="O37" i="128"/>
  <c r="N37" i="128"/>
  <c r="M37" i="128"/>
  <c r="L37" i="128"/>
  <c r="P37" i="128" s="1"/>
  <c r="K37" i="128"/>
  <c r="AJ36" i="128"/>
  <c r="AG36" i="128"/>
  <c r="AF36" i="128"/>
  <c r="Z36" i="128"/>
  <c r="X36" i="128"/>
  <c r="V36" i="128"/>
  <c r="T36" i="128"/>
  <c r="AA36" i="128" s="1"/>
  <c r="AH36" i="128" s="1"/>
  <c r="R36" i="128"/>
  <c r="O36" i="128"/>
  <c r="N36" i="128"/>
  <c r="M36" i="128"/>
  <c r="L36" i="128"/>
  <c r="K36" i="128"/>
  <c r="P36" i="128" s="1"/>
  <c r="AJ35" i="128"/>
  <c r="AG35" i="128"/>
  <c r="Z35" i="128"/>
  <c r="X35" i="128"/>
  <c r="V35" i="128"/>
  <c r="T35" i="128"/>
  <c r="R35" i="128"/>
  <c r="O35" i="128"/>
  <c r="N35" i="128"/>
  <c r="M35" i="128"/>
  <c r="L35" i="128"/>
  <c r="K35" i="128"/>
  <c r="P35" i="128" s="1"/>
  <c r="AJ34" i="128"/>
  <c r="AG34" i="128"/>
  <c r="Z34" i="128"/>
  <c r="X34" i="128"/>
  <c r="V34" i="128"/>
  <c r="T34" i="128"/>
  <c r="AA34" i="128" s="1"/>
  <c r="AH34" i="128" s="1"/>
  <c r="R34" i="128"/>
  <c r="O34" i="128"/>
  <c r="N34" i="128"/>
  <c r="M34" i="128"/>
  <c r="L34" i="128"/>
  <c r="P34" i="128" s="1"/>
  <c r="K34" i="128"/>
  <c r="AJ33" i="128"/>
  <c r="AG33" i="128"/>
  <c r="Z33" i="128"/>
  <c r="X33" i="128"/>
  <c r="V33" i="128"/>
  <c r="T33" i="128"/>
  <c r="R33" i="128"/>
  <c r="O33" i="128"/>
  <c r="N33" i="128"/>
  <c r="M33" i="128"/>
  <c r="L33" i="128"/>
  <c r="K33" i="128"/>
  <c r="P33" i="128" s="1"/>
  <c r="AJ32" i="128"/>
  <c r="AF32" i="128"/>
  <c r="AG32" i="128" s="1"/>
  <c r="Z32" i="128"/>
  <c r="X32" i="128"/>
  <c r="V32" i="128"/>
  <c r="T32" i="128"/>
  <c r="R32" i="128"/>
  <c r="O32" i="128"/>
  <c r="N32" i="128"/>
  <c r="M32" i="128"/>
  <c r="L32" i="128"/>
  <c r="K32" i="128"/>
  <c r="P32" i="128" s="1"/>
  <c r="AJ31" i="128"/>
  <c r="AF31" i="128"/>
  <c r="AG31" i="128" s="1"/>
  <c r="Z31" i="128"/>
  <c r="X31" i="128"/>
  <c r="V31" i="128"/>
  <c r="T31" i="128"/>
  <c r="R31" i="128"/>
  <c r="O31" i="128"/>
  <c r="N31" i="128"/>
  <c r="M31" i="128"/>
  <c r="L31" i="128"/>
  <c r="K31" i="128"/>
  <c r="AJ30" i="128"/>
  <c r="AF30" i="128"/>
  <c r="AG30" i="128" s="1"/>
  <c r="Z30" i="128"/>
  <c r="X30" i="128"/>
  <c r="V30" i="128"/>
  <c r="T30" i="128"/>
  <c r="AA30" i="128" s="1"/>
  <c r="AH30" i="128" s="1"/>
  <c r="R30" i="128"/>
  <c r="O30" i="128"/>
  <c r="N30" i="128"/>
  <c r="M30" i="128"/>
  <c r="L30" i="128"/>
  <c r="K30" i="128"/>
  <c r="P30" i="128" s="1"/>
  <c r="AJ29" i="128"/>
  <c r="AF29" i="128"/>
  <c r="AG29" i="128" s="1"/>
  <c r="Z29" i="128"/>
  <c r="X29" i="128"/>
  <c r="V29" i="128"/>
  <c r="T29" i="128"/>
  <c r="R29" i="128"/>
  <c r="O29" i="128"/>
  <c r="N29" i="128"/>
  <c r="M29" i="128"/>
  <c r="L29" i="128"/>
  <c r="K29" i="128"/>
  <c r="AJ28" i="128"/>
  <c r="AF28" i="128"/>
  <c r="AG28" i="128" s="1"/>
  <c r="Z28" i="128"/>
  <c r="X28" i="128"/>
  <c r="V28" i="128"/>
  <c r="T28" i="128"/>
  <c r="AA28" i="128" s="1"/>
  <c r="AH28" i="128" s="1"/>
  <c r="R28" i="128"/>
  <c r="O28" i="128"/>
  <c r="N28" i="128"/>
  <c r="M28" i="128"/>
  <c r="L28" i="128"/>
  <c r="K28" i="128"/>
  <c r="P28" i="128" s="1"/>
  <c r="AJ27" i="128"/>
  <c r="AF27" i="128"/>
  <c r="AG27" i="128" s="1"/>
  <c r="Z27" i="128"/>
  <c r="X27" i="128"/>
  <c r="V27" i="128"/>
  <c r="T27" i="128"/>
  <c r="R27" i="128"/>
  <c r="O27" i="128"/>
  <c r="N27" i="128"/>
  <c r="M27" i="128"/>
  <c r="L27" i="128"/>
  <c r="K27" i="128"/>
  <c r="AJ26" i="128"/>
  <c r="AF26" i="128"/>
  <c r="AG26" i="128" s="1"/>
  <c r="Z26" i="128"/>
  <c r="X26" i="128"/>
  <c r="V26" i="128"/>
  <c r="T26" i="128"/>
  <c r="AA26" i="128" s="1"/>
  <c r="AH26" i="128" s="1"/>
  <c r="R26" i="128"/>
  <c r="O26" i="128"/>
  <c r="N26" i="128"/>
  <c r="M26" i="128"/>
  <c r="L26" i="128"/>
  <c r="K26" i="128"/>
  <c r="P26" i="128" s="1"/>
  <c r="AJ25" i="128"/>
  <c r="AF25" i="128"/>
  <c r="AG25" i="128" s="1"/>
  <c r="Z25" i="128"/>
  <c r="X25" i="128"/>
  <c r="V25" i="128"/>
  <c r="T25" i="128"/>
  <c r="R25" i="128"/>
  <c r="O25" i="128"/>
  <c r="N25" i="128"/>
  <c r="M25" i="128"/>
  <c r="L25" i="128"/>
  <c r="K25" i="128"/>
  <c r="AJ24" i="128"/>
  <c r="AF24" i="128"/>
  <c r="AG24" i="128" s="1"/>
  <c r="Z24" i="128"/>
  <c r="X24" i="128"/>
  <c r="V24" i="128"/>
  <c r="T24" i="128"/>
  <c r="AA24" i="128" s="1"/>
  <c r="AH24" i="128" s="1"/>
  <c r="R24" i="128"/>
  <c r="O24" i="128"/>
  <c r="N24" i="128"/>
  <c r="M24" i="128"/>
  <c r="L24" i="128"/>
  <c r="K24" i="128"/>
  <c r="P24" i="128" s="1"/>
  <c r="AJ23" i="128"/>
  <c r="AF23" i="128"/>
  <c r="AG23" i="128" s="1"/>
  <c r="Z23" i="128"/>
  <c r="X23" i="128"/>
  <c r="V23" i="128"/>
  <c r="T23" i="128"/>
  <c r="R23" i="128"/>
  <c r="O23" i="128"/>
  <c r="N23" i="128"/>
  <c r="M23" i="128"/>
  <c r="L23" i="128"/>
  <c r="K23" i="128"/>
  <c r="AJ22" i="128"/>
  <c r="AF22" i="128"/>
  <c r="AG22" i="128" s="1"/>
  <c r="Z22" i="128"/>
  <c r="X22" i="128"/>
  <c r="V22" i="128"/>
  <c r="T22" i="128"/>
  <c r="AA22" i="128" s="1"/>
  <c r="AH22" i="128" s="1"/>
  <c r="R22" i="128"/>
  <c r="O22" i="128"/>
  <c r="N22" i="128"/>
  <c r="M22" i="128"/>
  <c r="L22" i="128"/>
  <c r="K22" i="128"/>
  <c r="P22" i="128" s="1"/>
  <c r="AJ21" i="128"/>
  <c r="AF21" i="128"/>
  <c r="AG21" i="128" s="1"/>
  <c r="Z21" i="128"/>
  <c r="X21" i="128"/>
  <c r="V21" i="128"/>
  <c r="T21" i="128"/>
  <c r="R21" i="128"/>
  <c r="O21" i="128"/>
  <c r="N21" i="128"/>
  <c r="M21" i="128"/>
  <c r="L21" i="128"/>
  <c r="K21" i="128"/>
  <c r="AJ20" i="128"/>
  <c r="AG20" i="128"/>
  <c r="Z20" i="128"/>
  <c r="X20" i="128"/>
  <c r="V20" i="128"/>
  <c r="T20" i="128"/>
  <c r="R20" i="128"/>
  <c r="O20" i="128"/>
  <c r="N20" i="128"/>
  <c r="M20" i="128"/>
  <c r="L20" i="128"/>
  <c r="K20" i="128"/>
  <c r="AJ19" i="128"/>
  <c r="AF19" i="128"/>
  <c r="AG19" i="128" s="1"/>
  <c r="Z19" i="128"/>
  <c r="X19" i="128"/>
  <c r="V19" i="128"/>
  <c r="T19" i="128"/>
  <c r="R19" i="128"/>
  <c r="O19" i="128"/>
  <c r="N19" i="128"/>
  <c r="M19" i="128"/>
  <c r="L19" i="128"/>
  <c r="K19" i="128"/>
  <c r="AJ18" i="128"/>
  <c r="AG18" i="128"/>
  <c r="Z18" i="128"/>
  <c r="X18" i="128"/>
  <c r="V18" i="128"/>
  <c r="T18" i="128"/>
  <c r="R18" i="128"/>
  <c r="O18" i="128"/>
  <c r="N18" i="128"/>
  <c r="M18" i="128"/>
  <c r="L18" i="128"/>
  <c r="P18" i="128" s="1"/>
  <c r="K18" i="128"/>
  <c r="AJ17" i="128"/>
  <c r="AG17" i="128"/>
  <c r="AF17" i="128"/>
  <c r="Z17" i="128"/>
  <c r="X17" i="128"/>
  <c r="V17" i="128"/>
  <c r="T17" i="128"/>
  <c r="R17" i="128"/>
  <c r="O17" i="128"/>
  <c r="N17" i="128"/>
  <c r="M17" i="128"/>
  <c r="L17" i="128"/>
  <c r="P17" i="128" s="1"/>
  <c r="K17" i="128"/>
  <c r="AJ16" i="128"/>
  <c r="AG16" i="128"/>
  <c r="AF16" i="128"/>
  <c r="Z16" i="128"/>
  <c r="X16" i="128"/>
  <c r="V16" i="128"/>
  <c r="T16" i="128"/>
  <c r="R16" i="128"/>
  <c r="O16" i="128"/>
  <c r="N16" i="128"/>
  <c r="M16" i="128"/>
  <c r="L16" i="128"/>
  <c r="P16" i="128" s="1"/>
  <c r="K16" i="128"/>
  <c r="AJ15" i="128"/>
  <c r="AG15" i="128"/>
  <c r="Z15" i="128"/>
  <c r="X15" i="128"/>
  <c r="V15" i="128"/>
  <c r="T15" i="128"/>
  <c r="R15" i="128"/>
  <c r="O15" i="128"/>
  <c r="N15" i="128"/>
  <c r="M15" i="128"/>
  <c r="L15" i="128"/>
  <c r="K15" i="128"/>
  <c r="P15" i="128" s="1"/>
  <c r="AJ14" i="128"/>
  <c r="AF14" i="128"/>
  <c r="AG14" i="128" s="1"/>
  <c r="Z14" i="128"/>
  <c r="X14" i="128"/>
  <c r="V14" i="128"/>
  <c r="T14" i="128"/>
  <c r="R14" i="128"/>
  <c r="O14" i="128"/>
  <c r="N14" i="128"/>
  <c r="M14" i="128"/>
  <c r="L14" i="128"/>
  <c r="K14" i="128"/>
  <c r="P14" i="128" s="1"/>
  <c r="AJ13" i="128"/>
  <c r="AF13" i="128"/>
  <c r="AG13" i="128" s="1"/>
  <c r="Z13" i="128"/>
  <c r="X13" i="128"/>
  <c r="V13" i="128"/>
  <c r="T13" i="128"/>
  <c r="R13" i="128"/>
  <c r="O13" i="128"/>
  <c r="N13" i="128"/>
  <c r="M13" i="128"/>
  <c r="L13" i="128"/>
  <c r="K13" i="128"/>
  <c r="P13" i="128" s="1"/>
  <c r="AJ12" i="128"/>
  <c r="AF12" i="128"/>
  <c r="AG12" i="128" s="1"/>
  <c r="Z12" i="128"/>
  <c r="X12" i="128"/>
  <c r="V12" i="128"/>
  <c r="T12" i="128"/>
  <c r="R12" i="128"/>
  <c r="O12" i="128"/>
  <c r="N12" i="128"/>
  <c r="M12" i="128"/>
  <c r="L12" i="128"/>
  <c r="K12" i="128"/>
  <c r="P12" i="128" s="1"/>
  <c r="AJ11" i="128"/>
  <c r="AF11" i="128"/>
  <c r="AG11" i="128" s="1"/>
  <c r="Z11" i="128"/>
  <c r="X11" i="128"/>
  <c r="V11" i="128"/>
  <c r="T11" i="128"/>
  <c r="R11" i="128"/>
  <c r="O11" i="128"/>
  <c r="N11" i="128"/>
  <c r="M11" i="128"/>
  <c r="L11" i="128"/>
  <c r="K11" i="128"/>
  <c r="P11" i="128" s="1"/>
  <c r="AJ10" i="128"/>
  <c r="AF10" i="128"/>
  <c r="AG10" i="128" s="1"/>
  <c r="Z10" i="128"/>
  <c r="X10" i="128"/>
  <c r="V10" i="128"/>
  <c r="T10" i="128"/>
  <c r="R10" i="128"/>
  <c r="O10" i="128"/>
  <c r="N10" i="128"/>
  <c r="M10" i="128"/>
  <c r="L10" i="128"/>
  <c r="K10" i="128"/>
  <c r="P10" i="128" s="1"/>
  <c r="AJ9" i="128"/>
  <c r="AF9" i="128"/>
  <c r="AG9" i="128" s="1"/>
  <c r="Z9" i="128"/>
  <c r="X9" i="128"/>
  <c r="V9" i="128"/>
  <c r="T9" i="128"/>
  <c r="R9" i="128"/>
  <c r="O9" i="128"/>
  <c r="N9" i="128"/>
  <c r="M9" i="128"/>
  <c r="L9" i="128"/>
  <c r="K9" i="128"/>
  <c r="P9" i="128" s="1"/>
  <c r="AJ8" i="128"/>
  <c r="AG8" i="128"/>
  <c r="Z8" i="128"/>
  <c r="X8" i="128"/>
  <c r="V8" i="128"/>
  <c r="T8" i="128"/>
  <c r="R8" i="128"/>
  <c r="O8" i="128"/>
  <c r="N8" i="128"/>
  <c r="M8" i="128"/>
  <c r="L8" i="128"/>
  <c r="K8" i="128"/>
  <c r="AJ7" i="128"/>
  <c r="AF7" i="128"/>
  <c r="AG7" i="128" s="1"/>
  <c r="Z7" i="128"/>
  <c r="X7" i="128"/>
  <c r="V7" i="128"/>
  <c r="T7" i="128"/>
  <c r="AA7" i="128" s="1"/>
  <c r="AH7" i="128" s="1"/>
  <c r="R7" i="128"/>
  <c r="O7" i="128"/>
  <c r="N7" i="128"/>
  <c r="M7" i="128"/>
  <c r="L7" i="128"/>
  <c r="K7" i="128"/>
  <c r="P7" i="128" s="1"/>
  <c r="AJ6" i="128"/>
  <c r="AG6" i="128"/>
  <c r="Z6" i="128"/>
  <c r="X6" i="128"/>
  <c r="V6" i="128"/>
  <c r="T6" i="128"/>
  <c r="R6" i="128"/>
  <c r="O6" i="128"/>
  <c r="N6" i="128"/>
  <c r="M6" i="128"/>
  <c r="L6" i="128"/>
  <c r="K6" i="128"/>
  <c r="AJ5" i="128"/>
  <c r="AF5" i="128"/>
  <c r="AG5" i="128" s="1"/>
  <c r="Z5" i="128"/>
  <c r="X5" i="128"/>
  <c r="V5" i="128"/>
  <c r="T5" i="128"/>
  <c r="R5" i="128"/>
  <c r="O5" i="128"/>
  <c r="N5" i="128"/>
  <c r="M5" i="128"/>
  <c r="L5" i="128"/>
  <c r="K5" i="128"/>
  <c r="AJ4" i="128"/>
  <c r="AG4" i="128"/>
  <c r="Z4" i="128"/>
  <c r="X4" i="128"/>
  <c r="V4" i="128"/>
  <c r="T4" i="128"/>
  <c r="R4" i="128"/>
  <c r="O4" i="128"/>
  <c r="N4" i="128"/>
  <c r="M4" i="128"/>
  <c r="L4" i="128"/>
  <c r="P4" i="128" s="1"/>
  <c r="K4" i="128"/>
  <c r="N3" i="128"/>
  <c r="M3" i="128"/>
  <c r="L3" i="128"/>
  <c r="K3" i="128"/>
  <c r="AC204" i="127"/>
  <c r="W204" i="127"/>
  <c r="J204" i="127"/>
  <c r="I204" i="127"/>
  <c r="H204" i="127"/>
  <c r="G204" i="127"/>
  <c r="F204" i="127"/>
  <c r="AC203" i="127"/>
  <c r="W203" i="127"/>
  <c r="J203" i="127"/>
  <c r="I203" i="127"/>
  <c r="H203" i="127"/>
  <c r="G203" i="127"/>
  <c r="F203" i="127"/>
  <c r="AC202" i="127"/>
  <c r="AD182" i="127" s="1"/>
  <c r="AE182" i="127" s="1"/>
  <c r="W202" i="127"/>
  <c r="J202" i="127"/>
  <c r="O194" i="127" s="1"/>
  <c r="I202" i="127"/>
  <c r="H202" i="127"/>
  <c r="G202" i="127"/>
  <c r="F202" i="127"/>
  <c r="K190" i="127" s="1"/>
  <c r="AC201" i="127"/>
  <c r="W201" i="127"/>
  <c r="J201" i="127"/>
  <c r="I201" i="127"/>
  <c r="H201" i="127"/>
  <c r="M187" i="127" s="1"/>
  <c r="G201" i="127"/>
  <c r="F201" i="127"/>
  <c r="AC200" i="127"/>
  <c r="W200" i="127"/>
  <c r="J200" i="127"/>
  <c r="O188" i="127" s="1"/>
  <c r="I200" i="127"/>
  <c r="H200" i="127"/>
  <c r="G200" i="127"/>
  <c r="L196" i="127" s="1"/>
  <c r="F200" i="127"/>
  <c r="AH197" i="127"/>
  <c r="AD197" i="127"/>
  <c r="AE197" i="127" s="1"/>
  <c r="X197" i="127"/>
  <c r="V197" i="127"/>
  <c r="T197" i="127"/>
  <c r="R197" i="127"/>
  <c r="N197" i="127"/>
  <c r="AH196" i="127"/>
  <c r="X196" i="127"/>
  <c r="V196" i="127"/>
  <c r="T196" i="127"/>
  <c r="R196" i="127"/>
  <c r="N196" i="127"/>
  <c r="M196" i="127"/>
  <c r="AH195" i="127"/>
  <c r="X195" i="127"/>
  <c r="V195" i="127"/>
  <c r="T195" i="127"/>
  <c r="R195" i="127"/>
  <c r="N195" i="127"/>
  <c r="AH194" i="127"/>
  <c r="X194" i="127"/>
  <c r="V194" i="127"/>
  <c r="T194" i="127"/>
  <c r="R194" i="127"/>
  <c r="N194" i="127"/>
  <c r="K194" i="127"/>
  <c r="AH193" i="127"/>
  <c r="AD193" i="127"/>
  <c r="AE193" i="127" s="1"/>
  <c r="X193" i="127"/>
  <c r="V193" i="127"/>
  <c r="T193" i="127"/>
  <c r="R193" i="127"/>
  <c r="N193" i="127"/>
  <c r="L193" i="127"/>
  <c r="AH192" i="127"/>
  <c r="X192" i="127"/>
  <c r="V192" i="127"/>
  <c r="T192" i="127"/>
  <c r="R192" i="127"/>
  <c r="N192" i="127"/>
  <c r="M192" i="127"/>
  <c r="AH191" i="127"/>
  <c r="X191" i="127"/>
  <c r="V191" i="127"/>
  <c r="T191" i="127"/>
  <c r="R191" i="127"/>
  <c r="N191" i="127"/>
  <c r="L191" i="127"/>
  <c r="AH190" i="127"/>
  <c r="X190" i="127"/>
  <c r="V190" i="127"/>
  <c r="T190" i="127"/>
  <c r="R190" i="127"/>
  <c r="O190" i="127"/>
  <c r="N190" i="127"/>
  <c r="L190" i="127"/>
  <c r="AH189" i="127"/>
  <c r="AE189" i="127"/>
  <c r="X189" i="127"/>
  <c r="V189" i="127"/>
  <c r="T189" i="127"/>
  <c r="R189" i="127"/>
  <c r="N189" i="127"/>
  <c r="M189" i="127"/>
  <c r="L189" i="127"/>
  <c r="AH188" i="127"/>
  <c r="AE188" i="127"/>
  <c r="X188" i="127"/>
  <c r="V188" i="127"/>
  <c r="T188" i="127"/>
  <c r="R188" i="127"/>
  <c r="N188" i="127"/>
  <c r="L188" i="127"/>
  <c r="K188" i="127"/>
  <c r="AH187" i="127"/>
  <c r="AE187" i="127"/>
  <c r="X187" i="127"/>
  <c r="V187" i="127"/>
  <c r="T187" i="127"/>
  <c r="R187" i="127"/>
  <c r="N187" i="127"/>
  <c r="L187" i="127"/>
  <c r="AH186" i="127"/>
  <c r="X186" i="127"/>
  <c r="V186" i="127"/>
  <c r="T186" i="127"/>
  <c r="R186" i="127"/>
  <c r="N186" i="127"/>
  <c r="L186" i="127"/>
  <c r="AH185" i="127"/>
  <c r="X185" i="127"/>
  <c r="V185" i="127"/>
  <c r="T185" i="127"/>
  <c r="R185" i="127"/>
  <c r="N185" i="127"/>
  <c r="K185" i="127"/>
  <c r="AH184" i="127"/>
  <c r="AE184" i="127"/>
  <c r="V184" i="127"/>
  <c r="T184" i="127"/>
  <c r="R184" i="127"/>
  <c r="N184" i="127"/>
  <c r="L184" i="127"/>
  <c r="AH183" i="127"/>
  <c r="X183" i="127"/>
  <c r="V183" i="127"/>
  <c r="T183" i="127"/>
  <c r="R183" i="127"/>
  <c r="O183" i="127"/>
  <c r="N183" i="127"/>
  <c r="L183" i="127"/>
  <c r="K183" i="127"/>
  <c r="AH182" i="127"/>
  <c r="X182" i="127"/>
  <c r="V182" i="127"/>
  <c r="T182" i="127"/>
  <c r="R182" i="127"/>
  <c r="N182" i="127"/>
  <c r="L182" i="127"/>
  <c r="AH181" i="127"/>
  <c r="X181" i="127"/>
  <c r="V181" i="127"/>
  <c r="T181" i="127"/>
  <c r="R181" i="127"/>
  <c r="N181" i="127"/>
  <c r="M181" i="127"/>
  <c r="L181" i="127"/>
  <c r="AH180" i="127"/>
  <c r="X180" i="127"/>
  <c r="V180" i="127"/>
  <c r="T180" i="127"/>
  <c r="R180" i="127"/>
  <c r="N180" i="127"/>
  <c r="L180" i="127"/>
  <c r="AH179" i="127"/>
  <c r="X179" i="127"/>
  <c r="V179" i="127"/>
  <c r="T179" i="127"/>
  <c r="R179" i="127"/>
  <c r="O179" i="127"/>
  <c r="N179" i="127"/>
  <c r="L179" i="127"/>
  <c r="AH178" i="127"/>
  <c r="AD178" i="127"/>
  <c r="AE178" i="127" s="1"/>
  <c r="X178" i="127"/>
  <c r="V178" i="127"/>
  <c r="T178" i="127"/>
  <c r="R178" i="127"/>
  <c r="N178" i="127"/>
  <c r="AH177" i="127"/>
  <c r="X177" i="127"/>
  <c r="V177" i="127"/>
  <c r="T177" i="127"/>
  <c r="R177" i="127"/>
  <c r="N177" i="127"/>
  <c r="M177" i="127"/>
  <c r="AH176" i="127"/>
  <c r="X176" i="127"/>
  <c r="V176" i="127"/>
  <c r="T176" i="127"/>
  <c r="R176" i="127"/>
  <c r="N176" i="127"/>
  <c r="L176" i="127"/>
  <c r="AH175" i="127"/>
  <c r="X175" i="127"/>
  <c r="V175" i="127"/>
  <c r="T175" i="127"/>
  <c r="R175" i="127"/>
  <c r="O175" i="127"/>
  <c r="N175" i="127"/>
  <c r="K175" i="127"/>
  <c r="AH174" i="127"/>
  <c r="AD174" i="127"/>
  <c r="AE174" i="127" s="1"/>
  <c r="X174" i="127"/>
  <c r="V174" i="127"/>
  <c r="T174" i="127"/>
  <c r="R174" i="127"/>
  <c r="N174" i="127"/>
  <c r="L174" i="127"/>
  <c r="AH173" i="127"/>
  <c r="X173" i="127"/>
  <c r="V173" i="127"/>
  <c r="T173" i="127"/>
  <c r="R173" i="127"/>
  <c r="N173" i="127"/>
  <c r="M173" i="127"/>
  <c r="L173" i="127"/>
  <c r="AH172" i="127"/>
  <c r="AE172" i="127"/>
  <c r="X172" i="127"/>
  <c r="V172" i="127"/>
  <c r="T172" i="127"/>
  <c r="R172" i="127"/>
  <c r="O172" i="127"/>
  <c r="N172" i="127"/>
  <c r="L172" i="127"/>
  <c r="K172" i="127"/>
  <c r="AH171" i="127"/>
  <c r="AE171" i="127"/>
  <c r="X171" i="127"/>
  <c r="V171" i="127"/>
  <c r="T171" i="127"/>
  <c r="R171" i="127"/>
  <c r="N171" i="127"/>
  <c r="L171" i="127"/>
  <c r="AH170" i="127"/>
  <c r="X170" i="127"/>
  <c r="V170" i="127"/>
  <c r="T170" i="127"/>
  <c r="R170" i="127"/>
  <c r="N170" i="127"/>
  <c r="L170" i="127"/>
  <c r="AH169" i="127"/>
  <c r="X169" i="127"/>
  <c r="V169" i="127"/>
  <c r="T169" i="127"/>
  <c r="R169" i="127"/>
  <c r="O169" i="127"/>
  <c r="N169" i="127"/>
  <c r="K169" i="127"/>
  <c r="AH168" i="127"/>
  <c r="AD168" i="127"/>
  <c r="AE168" i="127" s="1"/>
  <c r="X168" i="127"/>
  <c r="V168" i="127"/>
  <c r="T168" i="127"/>
  <c r="R168" i="127"/>
  <c r="N168" i="127"/>
  <c r="L168" i="127"/>
  <c r="AH167" i="127"/>
  <c r="AE167" i="127"/>
  <c r="X167" i="127"/>
  <c r="V167" i="127"/>
  <c r="T167" i="127"/>
  <c r="R167" i="127"/>
  <c r="N167" i="127"/>
  <c r="L167" i="127"/>
  <c r="AH166" i="127"/>
  <c r="V166" i="127"/>
  <c r="T166" i="127"/>
  <c r="R166" i="127"/>
  <c r="N166" i="127"/>
  <c r="AH165" i="127"/>
  <c r="AE165" i="127"/>
  <c r="X165" i="127"/>
  <c r="V165" i="127"/>
  <c r="T165" i="127"/>
  <c r="R165" i="127"/>
  <c r="N165" i="127"/>
  <c r="L165" i="127"/>
  <c r="AH164" i="127"/>
  <c r="AE164" i="127"/>
  <c r="X164" i="127"/>
  <c r="V164" i="127"/>
  <c r="T164" i="127"/>
  <c r="R164" i="127"/>
  <c r="N164" i="127"/>
  <c r="L164" i="127"/>
  <c r="AH163" i="127"/>
  <c r="X163" i="127"/>
  <c r="V163" i="127"/>
  <c r="T163" i="127"/>
  <c r="R163" i="127"/>
  <c r="N163" i="127"/>
  <c r="M163" i="127"/>
  <c r="K163" i="127"/>
  <c r="AH162" i="127"/>
  <c r="AE162" i="127"/>
  <c r="X162" i="127"/>
  <c r="V162" i="127"/>
  <c r="T162" i="127"/>
  <c r="R162" i="127"/>
  <c r="O162" i="127"/>
  <c r="N162" i="127"/>
  <c r="M162" i="127"/>
  <c r="L162" i="127"/>
  <c r="K162" i="127"/>
  <c r="AH161" i="127"/>
  <c r="AE161" i="127"/>
  <c r="X161" i="127"/>
  <c r="V161" i="127"/>
  <c r="T161" i="127"/>
  <c r="R161" i="127"/>
  <c r="O161" i="127"/>
  <c r="N161" i="127"/>
  <c r="M161" i="127"/>
  <c r="L161" i="127"/>
  <c r="K161" i="127"/>
  <c r="AH160" i="127"/>
  <c r="AE160" i="127"/>
  <c r="X160" i="127"/>
  <c r="V160" i="127"/>
  <c r="T160" i="127"/>
  <c r="R160" i="127"/>
  <c r="O160" i="127"/>
  <c r="N160" i="127"/>
  <c r="M160" i="127"/>
  <c r="L160" i="127"/>
  <c r="AH159" i="127"/>
  <c r="AD159" i="127"/>
  <c r="AE159" i="127" s="1"/>
  <c r="X159" i="127"/>
  <c r="V159" i="127"/>
  <c r="T159" i="127"/>
  <c r="R159" i="127"/>
  <c r="N159" i="127"/>
  <c r="L159" i="127"/>
  <c r="AH158" i="127"/>
  <c r="V158" i="127"/>
  <c r="T158" i="127"/>
  <c r="R158" i="127"/>
  <c r="N158" i="127"/>
  <c r="L158" i="127"/>
  <c r="AH157" i="127"/>
  <c r="AE157" i="127"/>
  <c r="X157" i="127"/>
  <c r="V157" i="127"/>
  <c r="T157" i="127"/>
  <c r="R157" i="127"/>
  <c r="N157" i="127"/>
  <c r="L157" i="127"/>
  <c r="AH156" i="127"/>
  <c r="X156" i="127"/>
  <c r="V156" i="127"/>
  <c r="T156" i="127"/>
  <c r="R156" i="127"/>
  <c r="O156" i="127"/>
  <c r="N156" i="127"/>
  <c r="M156" i="127"/>
  <c r="K156" i="127"/>
  <c r="AH155" i="127"/>
  <c r="AE155" i="127"/>
  <c r="X155" i="127"/>
  <c r="V155" i="127"/>
  <c r="Y155" i="127" s="1"/>
  <c r="AF155" i="127" s="1"/>
  <c r="T155" i="127"/>
  <c r="R155" i="127"/>
  <c r="O155" i="127"/>
  <c r="N155" i="127"/>
  <c r="M155" i="127"/>
  <c r="L155" i="127"/>
  <c r="K155" i="127"/>
  <c r="P155" i="127" s="1"/>
  <c r="AH154" i="127"/>
  <c r="AD154" i="127"/>
  <c r="AE154" i="127" s="1"/>
  <c r="X154" i="127"/>
  <c r="V154" i="127"/>
  <c r="T154" i="127"/>
  <c r="R154" i="127"/>
  <c r="N154" i="127"/>
  <c r="L154" i="127"/>
  <c r="AH153" i="127"/>
  <c r="AE153" i="127"/>
  <c r="V153" i="127"/>
  <c r="Y153" i="127" s="1"/>
  <c r="AF153" i="127" s="1"/>
  <c r="T153" i="127"/>
  <c r="R153" i="127"/>
  <c r="O153" i="127"/>
  <c r="N153" i="127"/>
  <c r="M153" i="127"/>
  <c r="L153" i="127"/>
  <c r="K153" i="127"/>
  <c r="P153" i="127" s="1"/>
  <c r="AH152" i="127"/>
  <c r="AE152" i="127"/>
  <c r="X152" i="127"/>
  <c r="V152" i="127"/>
  <c r="T152" i="127"/>
  <c r="R152" i="127"/>
  <c r="Y152" i="127" s="1"/>
  <c r="AF152" i="127" s="1"/>
  <c r="O152" i="127"/>
  <c r="N152" i="127"/>
  <c r="M152" i="127"/>
  <c r="L152" i="127"/>
  <c r="K152" i="127"/>
  <c r="P152" i="127" s="1"/>
  <c r="AH151" i="127"/>
  <c r="AD151" i="127"/>
  <c r="AE151" i="127" s="1"/>
  <c r="X151" i="127"/>
  <c r="V151" i="127"/>
  <c r="T151" i="127"/>
  <c r="R151" i="127"/>
  <c r="N151" i="127"/>
  <c r="L151" i="127"/>
  <c r="K151" i="127"/>
  <c r="AH150" i="127"/>
  <c r="AD150" i="127"/>
  <c r="AE150" i="127" s="1"/>
  <c r="X150" i="127"/>
  <c r="V150" i="127"/>
  <c r="T150" i="127"/>
  <c r="R150" i="127"/>
  <c r="O150" i="127"/>
  <c r="N150" i="127"/>
  <c r="M150" i="127"/>
  <c r="L150" i="127"/>
  <c r="P150" i="127" s="1"/>
  <c r="K150" i="127"/>
  <c r="AH149" i="127"/>
  <c r="AE149" i="127"/>
  <c r="AD149" i="127"/>
  <c r="V149" i="127"/>
  <c r="T149" i="127"/>
  <c r="Y149" i="127" s="1"/>
  <c r="AF149" i="127" s="1"/>
  <c r="R149" i="127"/>
  <c r="O149" i="127"/>
  <c r="N149" i="127"/>
  <c r="M149" i="127"/>
  <c r="L149" i="127"/>
  <c r="P149" i="127" s="1"/>
  <c r="K149" i="127"/>
  <c r="AH148" i="127"/>
  <c r="AE148" i="127"/>
  <c r="AD148" i="127"/>
  <c r="X148" i="127"/>
  <c r="V148" i="127"/>
  <c r="T148" i="127"/>
  <c r="R148" i="127"/>
  <c r="O148" i="127"/>
  <c r="N148" i="127"/>
  <c r="M148" i="127"/>
  <c r="L148" i="127"/>
  <c r="K148" i="127"/>
  <c r="P148" i="127" s="1"/>
  <c r="AH147" i="127"/>
  <c r="AE147" i="127"/>
  <c r="X147" i="127"/>
  <c r="V147" i="127"/>
  <c r="Y147" i="127" s="1"/>
  <c r="AF147" i="127" s="1"/>
  <c r="T147" i="127"/>
  <c r="R147" i="127"/>
  <c r="O147" i="127"/>
  <c r="N147" i="127"/>
  <c r="M147" i="127"/>
  <c r="L147" i="127"/>
  <c r="K147" i="127"/>
  <c r="P147" i="127" s="1"/>
  <c r="AH146" i="127"/>
  <c r="AE146" i="127"/>
  <c r="X146" i="127"/>
  <c r="V146" i="127"/>
  <c r="T146" i="127"/>
  <c r="R146" i="127"/>
  <c r="O146" i="127"/>
  <c r="N146" i="127"/>
  <c r="M146" i="127"/>
  <c r="L146" i="127"/>
  <c r="K146" i="127"/>
  <c r="P146" i="127" s="1"/>
  <c r="AH145" i="127"/>
  <c r="AD145" i="127"/>
  <c r="AE145" i="127" s="1"/>
  <c r="X145" i="127"/>
  <c r="V145" i="127"/>
  <c r="T145" i="127"/>
  <c r="R145" i="127"/>
  <c r="O145" i="127"/>
  <c r="N145" i="127"/>
  <c r="M145" i="127"/>
  <c r="L145" i="127"/>
  <c r="P145" i="127" s="1"/>
  <c r="K145" i="127"/>
  <c r="AH144" i="127"/>
  <c r="AE144" i="127"/>
  <c r="X144" i="127"/>
  <c r="V144" i="127"/>
  <c r="Y144" i="127" s="1"/>
  <c r="AF144" i="127" s="1"/>
  <c r="T144" i="127"/>
  <c r="R144" i="127"/>
  <c r="O144" i="127"/>
  <c r="N144" i="127"/>
  <c r="M144" i="127"/>
  <c r="L144" i="127"/>
  <c r="P144" i="127" s="1"/>
  <c r="K144" i="127"/>
  <c r="AH143" i="127"/>
  <c r="AE143" i="127"/>
  <c r="X143" i="127"/>
  <c r="V143" i="127"/>
  <c r="T143" i="127"/>
  <c r="R143" i="127"/>
  <c r="O143" i="127"/>
  <c r="N143" i="127"/>
  <c r="M143" i="127"/>
  <c r="L143" i="127"/>
  <c r="P143" i="127" s="1"/>
  <c r="K143" i="127"/>
  <c r="AH142" i="127"/>
  <c r="AE142" i="127"/>
  <c r="AD142" i="127"/>
  <c r="X142" i="127"/>
  <c r="V142" i="127"/>
  <c r="Y142" i="127" s="1"/>
  <c r="AF142" i="127" s="1"/>
  <c r="T142" i="127"/>
  <c r="R142" i="127"/>
  <c r="O142" i="127"/>
  <c r="N142" i="127"/>
  <c r="M142" i="127"/>
  <c r="L142" i="127"/>
  <c r="K142" i="127"/>
  <c r="P142" i="127" s="1"/>
  <c r="AH141" i="127"/>
  <c r="AD141" i="127"/>
  <c r="AE141" i="127" s="1"/>
  <c r="X141" i="127"/>
  <c r="V141" i="127"/>
  <c r="T141" i="127"/>
  <c r="R141" i="127"/>
  <c r="O141" i="127"/>
  <c r="N141" i="127"/>
  <c r="M141" i="127"/>
  <c r="L141" i="127"/>
  <c r="P141" i="127" s="1"/>
  <c r="K141" i="127"/>
  <c r="AH140" i="127"/>
  <c r="AE140" i="127"/>
  <c r="AD140" i="127"/>
  <c r="X140" i="127"/>
  <c r="V140" i="127"/>
  <c r="T140" i="127"/>
  <c r="R140" i="127"/>
  <c r="O140" i="127"/>
  <c r="N140" i="127"/>
  <c r="M140" i="127"/>
  <c r="L140" i="127"/>
  <c r="K140" i="127"/>
  <c r="P140" i="127" s="1"/>
  <c r="AH139" i="127"/>
  <c r="AD139" i="127"/>
  <c r="AE139" i="127" s="1"/>
  <c r="X139" i="127"/>
  <c r="V139" i="127"/>
  <c r="T139" i="127"/>
  <c r="R139" i="127"/>
  <c r="O139" i="127"/>
  <c r="N139" i="127"/>
  <c r="M139" i="127"/>
  <c r="L139" i="127"/>
  <c r="P139" i="127" s="1"/>
  <c r="K139" i="127"/>
  <c r="AH138" i="127"/>
  <c r="AE138" i="127"/>
  <c r="AD138" i="127"/>
  <c r="X138" i="127"/>
  <c r="V138" i="127"/>
  <c r="Y138" i="127" s="1"/>
  <c r="AF138" i="127" s="1"/>
  <c r="T138" i="127"/>
  <c r="R138" i="127"/>
  <c r="O138" i="127"/>
  <c r="N138" i="127"/>
  <c r="M138" i="127"/>
  <c r="L138" i="127"/>
  <c r="K138" i="127"/>
  <c r="P138" i="127" s="1"/>
  <c r="AH137" i="127"/>
  <c r="AE137" i="127"/>
  <c r="V137" i="127"/>
  <c r="T137" i="127"/>
  <c r="R137" i="127"/>
  <c r="O137" i="127"/>
  <c r="N137" i="127"/>
  <c r="M137" i="127"/>
  <c r="L137" i="127"/>
  <c r="P137" i="127" s="1"/>
  <c r="Y137" i="127" s="1"/>
  <c r="AF137" i="127" s="1"/>
  <c r="K137" i="127"/>
  <c r="AH136" i="127"/>
  <c r="AE136" i="127"/>
  <c r="AD136" i="127"/>
  <c r="X136" i="127"/>
  <c r="V136" i="127"/>
  <c r="Y136" i="127" s="1"/>
  <c r="AF136" i="127" s="1"/>
  <c r="T136" i="127"/>
  <c r="R136" i="127"/>
  <c r="O136" i="127"/>
  <c r="N136" i="127"/>
  <c r="M136" i="127"/>
  <c r="L136" i="127"/>
  <c r="K136" i="127"/>
  <c r="P136" i="127" s="1"/>
  <c r="AH135" i="127"/>
  <c r="AE135" i="127"/>
  <c r="X135" i="127"/>
  <c r="V135" i="127"/>
  <c r="T135" i="127"/>
  <c r="R135" i="127"/>
  <c r="O135" i="127"/>
  <c r="N135" i="127"/>
  <c r="M135" i="127"/>
  <c r="L135" i="127"/>
  <c r="K135" i="127"/>
  <c r="P135" i="127" s="1"/>
  <c r="AH134" i="127"/>
  <c r="AE134" i="127"/>
  <c r="X134" i="127"/>
  <c r="V134" i="127"/>
  <c r="Y134" i="127" s="1"/>
  <c r="AF134" i="127" s="1"/>
  <c r="T134" i="127"/>
  <c r="R134" i="127"/>
  <c r="O134" i="127"/>
  <c r="N134" i="127"/>
  <c r="M134" i="127"/>
  <c r="L134" i="127"/>
  <c r="K134" i="127"/>
  <c r="P134" i="127" s="1"/>
  <c r="AH133" i="127"/>
  <c r="AE133" i="127"/>
  <c r="V133" i="127"/>
  <c r="T133" i="127"/>
  <c r="R133" i="127"/>
  <c r="O133" i="127"/>
  <c r="N133" i="127"/>
  <c r="M133" i="127"/>
  <c r="L133" i="127"/>
  <c r="P133" i="127" s="1"/>
  <c r="Y133" i="127" s="1"/>
  <c r="AF133" i="127" s="1"/>
  <c r="K133" i="127"/>
  <c r="AH132" i="127"/>
  <c r="AE132" i="127"/>
  <c r="AD132" i="127"/>
  <c r="X132" i="127"/>
  <c r="V132" i="127"/>
  <c r="Y132" i="127" s="1"/>
  <c r="AF132" i="127" s="1"/>
  <c r="T132" i="127"/>
  <c r="R132" i="127"/>
  <c r="O132" i="127"/>
  <c r="N132" i="127"/>
  <c r="M132" i="127"/>
  <c r="L132" i="127"/>
  <c r="K132" i="127"/>
  <c r="P132" i="127" s="1"/>
  <c r="AH131" i="127"/>
  <c r="AD131" i="127"/>
  <c r="AE131" i="127" s="1"/>
  <c r="X131" i="127"/>
  <c r="V131" i="127"/>
  <c r="T131" i="127"/>
  <c r="R131" i="127"/>
  <c r="O131" i="127"/>
  <c r="N131" i="127"/>
  <c r="M131" i="127"/>
  <c r="L131" i="127"/>
  <c r="P131" i="127" s="1"/>
  <c r="K131" i="127"/>
  <c r="AH130" i="127"/>
  <c r="AE130" i="127"/>
  <c r="AD130" i="127"/>
  <c r="X130" i="127"/>
  <c r="V130" i="127"/>
  <c r="T130" i="127"/>
  <c r="R130" i="127"/>
  <c r="O130" i="127"/>
  <c r="N130" i="127"/>
  <c r="M130" i="127"/>
  <c r="L130" i="127"/>
  <c r="K130" i="127"/>
  <c r="P130" i="127" s="1"/>
  <c r="AH129" i="127"/>
  <c r="AD129" i="127"/>
  <c r="AE129" i="127" s="1"/>
  <c r="X129" i="127"/>
  <c r="V129" i="127"/>
  <c r="T129" i="127"/>
  <c r="R129" i="127"/>
  <c r="O129" i="127"/>
  <c r="N129" i="127"/>
  <c r="M129" i="127"/>
  <c r="L129" i="127"/>
  <c r="P129" i="127" s="1"/>
  <c r="K129" i="127"/>
  <c r="AH128" i="127"/>
  <c r="AE128" i="127"/>
  <c r="AD128" i="127"/>
  <c r="X128" i="127"/>
  <c r="V128" i="127"/>
  <c r="Y128" i="127" s="1"/>
  <c r="AF128" i="127" s="1"/>
  <c r="T128" i="127"/>
  <c r="R128" i="127"/>
  <c r="O128" i="127"/>
  <c r="N128" i="127"/>
  <c r="M128" i="127"/>
  <c r="L128" i="127"/>
  <c r="K128" i="127"/>
  <c r="P128" i="127" s="1"/>
  <c r="AH127" i="127"/>
  <c r="AD127" i="127"/>
  <c r="AE127" i="127" s="1"/>
  <c r="X127" i="127"/>
  <c r="V127" i="127"/>
  <c r="Y127" i="127" s="1"/>
  <c r="AF127" i="127" s="1"/>
  <c r="T127" i="127"/>
  <c r="R127" i="127"/>
  <c r="O127" i="127"/>
  <c r="N127" i="127"/>
  <c r="M127" i="127"/>
  <c r="L127" i="127"/>
  <c r="P127" i="127" s="1"/>
  <c r="K127" i="127"/>
  <c r="AH126" i="127"/>
  <c r="AE126" i="127"/>
  <c r="V126" i="127"/>
  <c r="T126" i="127"/>
  <c r="R126" i="127"/>
  <c r="O126" i="127"/>
  <c r="N126" i="127"/>
  <c r="M126" i="127"/>
  <c r="L126" i="127"/>
  <c r="K126" i="127"/>
  <c r="P126" i="127" s="1"/>
  <c r="AH125" i="127"/>
  <c r="AD125" i="127"/>
  <c r="AE125" i="127" s="1"/>
  <c r="X125" i="127"/>
  <c r="V125" i="127"/>
  <c r="Y125" i="127" s="1"/>
  <c r="AF125" i="127" s="1"/>
  <c r="T125" i="127"/>
  <c r="R125" i="127"/>
  <c r="O125" i="127"/>
  <c r="N125" i="127"/>
  <c r="M125" i="127"/>
  <c r="L125" i="127"/>
  <c r="P125" i="127" s="1"/>
  <c r="K125" i="127"/>
  <c r="AH124" i="127"/>
  <c r="AE124" i="127"/>
  <c r="AD124" i="127"/>
  <c r="X124" i="127"/>
  <c r="V124" i="127"/>
  <c r="T124" i="127"/>
  <c r="R124" i="127"/>
  <c r="Y124" i="127" s="1"/>
  <c r="AF124" i="127" s="1"/>
  <c r="O124" i="127"/>
  <c r="N124" i="127"/>
  <c r="M124" i="127"/>
  <c r="L124" i="127"/>
  <c r="K124" i="127"/>
  <c r="P124" i="127" s="1"/>
  <c r="AH123" i="127"/>
  <c r="AD123" i="127"/>
  <c r="AE123" i="127" s="1"/>
  <c r="X123" i="127"/>
  <c r="V123" i="127"/>
  <c r="T123" i="127"/>
  <c r="Y123" i="127" s="1"/>
  <c r="AF123" i="127" s="1"/>
  <c r="R123" i="127"/>
  <c r="O123" i="127"/>
  <c r="N123" i="127"/>
  <c r="M123" i="127"/>
  <c r="L123" i="127"/>
  <c r="P123" i="127" s="1"/>
  <c r="K123" i="127"/>
  <c r="AH122" i="127"/>
  <c r="AE122" i="127"/>
  <c r="AD122" i="127"/>
  <c r="X122" i="127"/>
  <c r="V122" i="127"/>
  <c r="T122" i="127"/>
  <c r="R122" i="127"/>
  <c r="O122" i="127"/>
  <c r="N122" i="127"/>
  <c r="M122" i="127"/>
  <c r="L122" i="127"/>
  <c r="K122" i="127"/>
  <c r="P122" i="127" s="1"/>
  <c r="AH121" i="127"/>
  <c r="AE121" i="127"/>
  <c r="X121" i="127"/>
  <c r="V121" i="127"/>
  <c r="T121" i="127"/>
  <c r="R121" i="127"/>
  <c r="Y121" i="127" s="1"/>
  <c r="AF121" i="127" s="1"/>
  <c r="O121" i="127"/>
  <c r="N121" i="127"/>
  <c r="M121" i="127"/>
  <c r="L121" i="127"/>
  <c r="K121" i="127"/>
  <c r="P121" i="127" s="1"/>
  <c r="AH120" i="127"/>
  <c r="AD120" i="127"/>
  <c r="AE120" i="127" s="1"/>
  <c r="X120" i="127"/>
  <c r="V120" i="127"/>
  <c r="T120" i="127"/>
  <c r="Y120" i="127" s="1"/>
  <c r="AF120" i="127" s="1"/>
  <c r="R120" i="127"/>
  <c r="O120" i="127"/>
  <c r="N120" i="127"/>
  <c r="M120" i="127"/>
  <c r="L120" i="127"/>
  <c r="P120" i="127" s="1"/>
  <c r="K120" i="127"/>
  <c r="AH119" i="127"/>
  <c r="AE119" i="127"/>
  <c r="V119" i="127"/>
  <c r="T119" i="127"/>
  <c r="R119" i="127"/>
  <c r="O119" i="127"/>
  <c r="N119" i="127"/>
  <c r="M119" i="127"/>
  <c r="L119" i="127"/>
  <c r="K119" i="127"/>
  <c r="P119" i="127" s="1"/>
  <c r="AH118" i="127"/>
  <c r="AD118" i="127"/>
  <c r="AE118" i="127" s="1"/>
  <c r="X118" i="127"/>
  <c r="V118" i="127"/>
  <c r="T118" i="127"/>
  <c r="R118" i="127"/>
  <c r="O118" i="127"/>
  <c r="N118" i="127"/>
  <c r="M118" i="127"/>
  <c r="L118" i="127"/>
  <c r="P118" i="127" s="1"/>
  <c r="K118" i="127"/>
  <c r="AH117" i="127"/>
  <c r="AE117" i="127"/>
  <c r="X117" i="127"/>
  <c r="V117" i="127"/>
  <c r="T117" i="127"/>
  <c r="R117" i="127"/>
  <c r="O117" i="127"/>
  <c r="N117" i="127"/>
  <c r="M117" i="127"/>
  <c r="L117" i="127"/>
  <c r="P117" i="127" s="1"/>
  <c r="K117" i="127"/>
  <c r="AH116" i="127"/>
  <c r="AE116" i="127"/>
  <c r="AD116" i="127"/>
  <c r="X116" i="127"/>
  <c r="V116" i="127"/>
  <c r="T116" i="127"/>
  <c r="R116" i="127"/>
  <c r="O116" i="127"/>
  <c r="N116" i="127"/>
  <c r="M116" i="127"/>
  <c r="L116" i="127"/>
  <c r="K116" i="127"/>
  <c r="P116" i="127" s="1"/>
  <c r="AH115" i="127"/>
  <c r="AD115" i="127"/>
  <c r="AE115" i="127" s="1"/>
  <c r="X115" i="127"/>
  <c r="V115" i="127"/>
  <c r="T115" i="127"/>
  <c r="R115" i="127"/>
  <c r="O115" i="127"/>
  <c r="N115" i="127"/>
  <c r="M115" i="127"/>
  <c r="L115" i="127"/>
  <c r="P115" i="127" s="1"/>
  <c r="K115" i="127"/>
  <c r="AH114" i="127"/>
  <c r="AE114" i="127"/>
  <c r="AD114" i="127"/>
  <c r="X114" i="127"/>
  <c r="V114" i="127"/>
  <c r="Y114" i="127" s="1"/>
  <c r="AF114" i="127" s="1"/>
  <c r="T114" i="127"/>
  <c r="R114" i="127"/>
  <c r="O114" i="127"/>
  <c r="N114" i="127"/>
  <c r="M114" i="127"/>
  <c r="L114" i="127"/>
  <c r="K114" i="127"/>
  <c r="P114" i="127" s="1"/>
  <c r="AH113" i="127"/>
  <c r="AD113" i="127"/>
  <c r="AE113" i="127" s="1"/>
  <c r="V113" i="127"/>
  <c r="Y113" i="127" s="1"/>
  <c r="AF113" i="127" s="1"/>
  <c r="T113" i="127"/>
  <c r="R113" i="127"/>
  <c r="O113" i="127"/>
  <c r="N113" i="127"/>
  <c r="M113" i="127"/>
  <c r="L113" i="127"/>
  <c r="K113" i="127"/>
  <c r="P113" i="127" s="1"/>
  <c r="AH112" i="127"/>
  <c r="AE112" i="127"/>
  <c r="X112" i="127"/>
  <c r="V112" i="127"/>
  <c r="T112" i="127"/>
  <c r="R112" i="127"/>
  <c r="O112" i="127"/>
  <c r="N112" i="127"/>
  <c r="M112" i="127"/>
  <c r="L112" i="127"/>
  <c r="K112" i="127"/>
  <c r="P112" i="127" s="1"/>
  <c r="AH111" i="127"/>
  <c r="AD111" i="127"/>
  <c r="AE111" i="127" s="1"/>
  <c r="X111" i="127"/>
  <c r="V111" i="127"/>
  <c r="Y111" i="127" s="1"/>
  <c r="AF111" i="127" s="1"/>
  <c r="T111" i="127"/>
  <c r="R111" i="127"/>
  <c r="O111" i="127"/>
  <c r="N111" i="127"/>
  <c r="M111" i="127"/>
  <c r="L111" i="127"/>
  <c r="P111" i="127" s="1"/>
  <c r="K111" i="127"/>
  <c r="AH110" i="127"/>
  <c r="AE110" i="127"/>
  <c r="AD110" i="127"/>
  <c r="X110" i="127"/>
  <c r="V110" i="127"/>
  <c r="T110" i="127"/>
  <c r="R110" i="127"/>
  <c r="Y110" i="127" s="1"/>
  <c r="AF110" i="127" s="1"/>
  <c r="O110" i="127"/>
  <c r="N110" i="127"/>
  <c r="M110" i="127"/>
  <c r="L110" i="127"/>
  <c r="K110" i="127"/>
  <c r="P110" i="127" s="1"/>
  <c r="AH109" i="127"/>
  <c r="AE109" i="127"/>
  <c r="X109" i="127"/>
  <c r="V109" i="127"/>
  <c r="T109" i="127"/>
  <c r="R109" i="127"/>
  <c r="O109" i="127"/>
  <c r="N109" i="127"/>
  <c r="M109" i="127"/>
  <c r="L109" i="127"/>
  <c r="K109" i="127"/>
  <c r="P109" i="127" s="1"/>
  <c r="AH108" i="127"/>
  <c r="AD108" i="127"/>
  <c r="AE108" i="127" s="1"/>
  <c r="X108" i="127"/>
  <c r="V108" i="127"/>
  <c r="T108" i="127"/>
  <c r="R108" i="127"/>
  <c r="O108" i="127"/>
  <c r="N108" i="127"/>
  <c r="M108" i="127"/>
  <c r="L108" i="127"/>
  <c r="P108" i="127" s="1"/>
  <c r="K108" i="127"/>
  <c r="AH107" i="127"/>
  <c r="AE107" i="127"/>
  <c r="AD107" i="127"/>
  <c r="X107" i="127"/>
  <c r="V107" i="127"/>
  <c r="T107" i="127"/>
  <c r="R107" i="127"/>
  <c r="Y107" i="127" s="1"/>
  <c r="AF107" i="127" s="1"/>
  <c r="O107" i="127"/>
  <c r="N107" i="127"/>
  <c r="M107" i="127"/>
  <c r="L107" i="127"/>
  <c r="K107" i="127"/>
  <c r="P107" i="127" s="1"/>
  <c r="AH106" i="127"/>
  <c r="AE106" i="127"/>
  <c r="X106" i="127"/>
  <c r="V106" i="127"/>
  <c r="T106" i="127"/>
  <c r="R106" i="127"/>
  <c r="O106" i="127"/>
  <c r="N106" i="127"/>
  <c r="M106" i="127"/>
  <c r="L106" i="127"/>
  <c r="K106" i="127"/>
  <c r="P106" i="127" s="1"/>
  <c r="AH105" i="127"/>
  <c r="AE105" i="127"/>
  <c r="X105" i="127"/>
  <c r="V105" i="127"/>
  <c r="T105" i="127"/>
  <c r="R105" i="127"/>
  <c r="Y105" i="127" s="1"/>
  <c r="AF105" i="127" s="1"/>
  <c r="O105" i="127"/>
  <c r="N105" i="127"/>
  <c r="M105" i="127"/>
  <c r="L105" i="127"/>
  <c r="K105" i="127"/>
  <c r="P105" i="127" s="1"/>
  <c r="AH104" i="127"/>
  <c r="AE104" i="127"/>
  <c r="X104" i="127"/>
  <c r="V104" i="127"/>
  <c r="T104" i="127"/>
  <c r="R104" i="127"/>
  <c r="O104" i="127"/>
  <c r="N104" i="127"/>
  <c r="M104" i="127"/>
  <c r="L104" i="127"/>
  <c r="K104" i="127"/>
  <c r="P104" i="127" s="1"/>
  <c r="AH103" i="127"/>
  <c r="AE103" i="127"/>
  <c r="X103" i="127"/>
  <c r="V103" i="127"/>
  <c r="T103" i="127"/>
  <c r="R103" i="127"/>
  <c r="Y103" i="127" s="1"/>
  <c r="AF103" i="127" s="1"/>
  <c r="O103" i="127"/>
  <c r="N103" i="127"/>
  <c r="M103" i="127"/>
  <c r="L103" i="127"/>
  <c r="K103" i="127"/>
  <c r="P103" i="127" s="1"/>
  <c r="AH102" i="127"/>
  <c r="AE102" i="127"/>
  <c r="X102" i="127"/>
  <c r="V102" i="127"/>
  <c r="T102" i="127"/>
  <c r="R102" i="127"/>
  <c r="O102" i="127"/>
  <c r="N102" i="127"/>
  <c r="M102" i="127"/>
  <c r="L102" i="127"/>
  <c r="K102" i="127"/>
  <c r="P102" i="127" s="1"/>
  <c r="AH101" i="127"/>
  <c r="AD101" i="127"/>
  <c r="AE101" i="127" s="1"/>
  <c r="X101" i="127"/>
  <c r="V101" i="127"/>
  <c r="Y101" i="127" s="1"/>
  <c r="AF101" i="127" s="1"/>
  <c r="T101" i="127"/>
  <c r="R101" i="127"/>
  <c r="O101" i="127"/>
  <c r="N101" i="127"/>
  <c r="M101" i="127"/>
  <c r="L101" i="127"/>
  <c r="P101" i="127" s="1"/>
  <c r="K101" i="127"/>
  <c r="AH100" i="127"/>
  <c r="AE100" i="127"/>
  <c r="AD100" i="127"/>
  <c r="X100" i="127"/>
  <c r="V100" i="127"/>
  <c r="T100" i="127"/>
  <c r="R100" i="127"/>
  <c r="Y100" i="127" s="1"/>
  <c r="AF100" i="127" s="1"/>
  <c r="O100" i="127"/>
  <c r="N100" i="127"/>
  <c r="M100" i="127"/>
  <c r="L100" i="127"/>
  <c r="K100" i="127"/>
  <c r="P100" i="127" s="1"/>
  <c r="AH99" i="127"/>
  <c r="AD99" i="127"/>
  <c r="AE99" i="127" s="1"/>
  <c r="X99" i="127"/>
  <c r="V99" i="127"/>
  <c r="T99" i="127"/>
  <c r="Y99" i="127" s="1"/>
  <c r="AF99" i="127" s="1"/>
  <c r="R99" i="127"/>
  <c r="O99" i="127"/>
  <c r="N99" i="127"/>
  <c r="M99" i="127"/>
  <c r="L99" i="127"/>
  <c r="P99" i="127" s="1"/>
  <c r="K99" i="127"/>
  <c r="AH98" i="127"/>
  <c r="AE98" i="127"/>
  <c r="AD98" i="127"/>
  <c r="X98" i="127"/>
  <c r="V98" i="127"/>
  <c r="T98" i="127"/>
  <c r="R98" i="127"/>
  <c r="O98" i="127"/>
  <c r="N98" i="127"/>
  <c r="M98" i="127"/>
  <c r="L98" i="127"/>
  <c r="K98" i="127"/>
  <c r="P98" i="127" s="1"/>
  <c r="AH97" i="127"/>
  <c r="AD97" i="127"/>
  <c r="AE97" i="127" s="1"/>
  <c r="X97" i="127"/>
  <c r="V97" i="127"/>
  <c r="T97" i="127"/>
  <c r="R97" i="127"/>
  <c r="O97" i="127"/>
  <c r="N97" i="127"/>
  <c r="M97" i="127"/>
  <c r="L97" i="127"/>
  <c r="P97" i="127" s="1"/>
  <c r="K97" i="127"/>
  <c r="AH96" i="127"/>
  <c r="AE96" i="127"/>
  <c r="X96" i="127"/>
  <c r="V96" i="127"/>
  <c r="T96" i="127"/>
  <c r="Y96" i="127" s="1"/>
  <c r="AF96" i="127" s="1"/>
  <c r="R96" i="127"/>
  <c r="O96" i="127"/>
  <c r="N96" i="127"/>
  <c r="M96" i="127"/>
  <c r="L96" i="127"/>
  <c r="P96" i="127" s="1"/>
  <c r="K96" i="127"/>
  <c r="AH95" i="127"/>
  <c r="AE95" i="127"/>
  <c r="AD95" i="127"/>
  <c r="X95" i="127"/>
  <c r="V95" i="127"/>
  <c r="T95" i="127"/>
  <c r="R95" i="127"/>
  <c r="O95" i="127"/>
  <c r="N95" i="127"/>
  <c r="M95" i="127"/>
  <c r="L95" i="127"/>
  <c r="K95" i="127"/>
  <c r="P95" i="127" s="1"/>
  <c r="AH94" i="127"/>
  <c r="AE94" i="127"/>
  <c r="V94" i="127"/>
  <c r="T94" i="127"/>
  <c r="R94" i="127"/>
  <c r="O94" i="127"/>
  <c r="N94" i="127"/>
  <c r="M94" i="127"/>
  <c r="L94" i="127"/>
  <c r="P94" i="127" s="1"/>
  <c r="Y94" i="127" s="1"/>
  <c r="AF94" i="127" s="1"/>
  <c r="K94" i="127"/>
  <c r="AH93" i="127"/>
  <c r="AE93" i="127"/>
  <c r="AD93" i="127"/>
  <c r="X93" i="127"/>
  <c r="V93" i="127"/>
  <c r="T93" i="127"/>
  <c r="R93" i="127"/>
  <c r="O93" i="127"/>
  <c r="N93" i="127"/>
  <c r="M93" i="127"/>
  <c r="L93" i="127"/>
  <c r="K93" i="127"/>
  <c r="P93" i="127" s="1"/>
  <c r="AH92" i="127"/>
  <c r="AD92" i="127"/>
  <c r="AE92" i="127" s="1"/>
  <c r="X92" i="127"/>
  <c r="V92" i="127"/>
  <c r="T92" i="127"/>
  <c r="R92" i="127"/>
  <c r="O92" i="127"/>
  <c r="N92" i="127"/>
  <c r="M92" i="127"/>
  <c r="L92" i="127"/>
  <c r="P92" i="127" s="1"/>
  <c r="K92" i="127"/>
  <c r="AH91" i="127"/>
  <c r="AE91" i="127"/>
  <c r="AD91" i="127"/>
  <c r="X91" i="127"/>
  <c r="V91" i="127"/>
  <c r="T91" i="127"/>
  <c r="R91" i="127"/>
  <c r="O91" i="127"/>
  <c r="N91" i="127"/>
  <c r="M91" i="127"/>
  <c r="L91" i="127"/>
  <c r="K91" i="127"/>
  <c r="AH90" i="127"/>
  <c r="AE90" i="127"/>
  <c r="X90" i="127"/>
  <c r="V90" i="127"/>
  <c r="T90" i="127"/>
  <c r="R90" i="127"/>
  <c r="O90" i="127"/>
  <c r="N90" i="127"/>
  <c r="M90" i="127"/>
  <c r="L90" i="127"/>
  <c r="K90" i="127"/>
  <c r="P90" i="127" s="1"/>
  <c r="AH89" i="127"/>
  <c r="AD89" i="127"/>
  <c r="AE89" i="127" s="1"/>
  <c r="X89" i="127"/>
  <c r="V89" i="127"/>
  <c r="T89" i="127"/>
  <c r="R89" i="127"/>
  <c r="O89" i="127"/>
  <c r="N89" i="127"/>
  <c r="M89" i="127"/>
  <c r="L89" i="127"/>
  <c r="P89" i="127" s="1"/>
  <c r="K89" i="127"/>
  <c r="AH88" i="127"/>
  <c r="AE88" i="127"/>
  <c r="X88" i="127"/>
  <c r="V88" i="127"/>
  <c r="T88" i="127"/>
  <c r="R88" i="127"/>
  <c r="O88" i="127"/>
  <c r="N88" i="127"/>
  <c r="M88" i="127"/>
  <c r="L88" i="127"/>
  <c r="P88" i="127" s="1"/>
  <c r="K88" i="127"/>
  <c r="AH87" i="127"/>
  <c r="AE87" i="127"/>
  <c r="X87" i="127"/>
  <c r="V87" i="127"/>
  <c r="T87" i="127"/>
  <c r="R87" i="127"/>
  <c r="O87" i="127"/>
  <c r="N87" i="127"/>
  <c r="M87" i="127"/>
  <c r="L87" i="127"/>
  <c r="P87" i="127" s="1"/>
  <c r="K87" i="127"/>
  <c r="AH86" i="127"/>
  <c r="AE86" i="127"/>
  <c r="AD86" i="127"/>
  <c r="X86" i="127"/>
  <c r="V86" i="127"/>
  <c r="T86" i="127"/>
  <c r="R86" i="127"/>
  <c r="O86" i="127"/>
  <c r="N86" i="127"/>
  <c r="M86" i="127"/>
  <c r="L86" i="127"/>
  <c r="K86" i="127"/>
  <c r="AH85" i="127"/>
  <c r="AD85" i="127"/>
  <c r="AE85" i="127" s="1"/>
  <c r="X85" i="127"/>
  <c r="V85" i="127"/>
  <c r="T85" i="127"/>
  <c r="R85" i="127"/>
  <c r="O85" i="127"/>
  <c r="N85" i="127"/>
  <c r="M85" i="127"/>
  <c r="L85" i="127"/>
  <c r="P85" i="127" s="1"/>
  <c r="K85" i="127"/>
  <c r="AH84" i="127"/>
  <c r="AE84" i="127"/>
  <c r="AD84" i="127"/>
  <c r="X84" i="127"/>
  <c r="V84" i="127"/>
  <c r="T84" i="127"/>
  <c r="R84" i="127"/>
  <c r="O84" i="127"/>
  <c r="N84" i="127"/>
  <c r="M84" i="127"/>
  <c r="L84" i="127"/>
  <c r="P84" i="127" s="1"/>
  <c r="K84" i="127"/>
  <c r="AH83" i="127"/>
  <c r="AE83" i="127"/>
  <c r="AD83" i="127"/>
  <c r="X83" i="127"/>
  <c r="V83" i="127"/>
  <c r="T83" i="127"/>
  <c r="R83" i="127"/>
  <c r="O83" i="127"/>
  <c r="N83" i="127"/>
  <c r="M83" i="127"/>
  <c r="L83" i="127"/>
  <c r="P83" i="127" s="1"/>
  <c r="K83" i="127"/>
  <c r="AH82" i="127"/>
  <c r="AD82" i="127"/>
  <c r="AE82" i="127" s="1"/>
  <c r="X82" i="127"/>
  <c r="V82" i="127"/>
  <c r="T82" i="127"/>
  <c r="Y82" i="127" s="1"/>
  <c r="R82" i="127"/>
  <c r="O82" i="127"/>
  <c r="N82" i="127"/>
  <c r="M82" i="127"/>
  <c r="L82" i="127"/>
  <c r="K82" i="127"/>
  <c r="P82" i="127" s="1"/>
  <c r="AH81" i="127"/>
  <c r="AD81" i="127"/>
  <c r="AE81" i="127" s="1"/>
  <c r="X81" i="127"/>
  <c r="V81" i="127"/>
  <c r="T81" i="127"/>
  <c r="R81" i="127"/>
  <c r="O81" i="127"/>
  <c r="N81" i="127"/>
  <c r="M81" i="127"/>
  <c r="L81" i="127"/>
  <c r="P81" i="127" s="1"/>
  <c r="K81" i="127"/>
  <c r="AH80" i="127"/>
  <c r="AE80" i="127"/>
  <c r="AD80" i="127"/>
  <c r="X80" i="127"/>
  <c r="V80" i="127"/>
  <c r="T80" i="127"/>
  <c r="R80" i="127"/>
  <c r="O80" i="127"/>
  <c r="N80" i="127"/>
  <c r="M80" i="127"/>
  <c r="L80" i="127"/>
  <c r="P80" i="127" s="1"/>
  <c r="K80" i="127"/>
  <c r="AH79" i="127"/>
  <c r="AE79" i="127"/>
  <c r="AD79" i="127"/>
  <c r="X79" i="127"/>
  <c r="V79" i="127"/>
  <c r="T79" i="127"/>
  <c r="R79" i="127"/>
  <c r="O79" i="127"/>
  <c r="N79" i="127"/>
  <c r="M79" i="127"/>
  <c r="L79" i="127"/>
  <c r="P79" i="127" s="1"/>
  <c r="K79" i="127"/>
  <c r="AH78" i="127"/>
  <c r="AE78" i="127"/>
  <c r="X78" i="127"/>
  <c r="V78" i="127"/>
  <c r="T78" i="127"/>
  <c r="R78" i="127"/>
  <c r="O78" i="127"/>
  <c r="N78" i="127"/>
  <c r="M78" i="127"/>
  <c r="L78" i="127"/>
  <c r="P78" i="127" s="1"/>
  <c r="K78" i="127"/>
  <c r="AH77" i="127"/>
  <c r="AE77" i="127"/>
  <c r="AD77" i="127"/>
  <c r="X77" i="127"/>
  <c r="V77" i="127"/>
  <c r="T77" i="127"/>
  <c r="R77" i="127"/>
  <c r="O77" i="127"/>
  <c r="N77" i="127"/>
  <c r="M77" i="127"/>
  <c r="L77" i="127"/>
  <c r="K77" i="127"/>
  <c r="P77" i="127" s="1"/>
  <c r="AH76" i="127"/>
  <c r="AE76" i="127"/>
  <c r="AD76" i="127"/>
  <c r="X76" i="127"/>
  <c r="V76" i="127"/>
  <c r="T76" i="127"/>
  <c r="R76" i="127"/>
  <c r="Y76" i="127" s="1"/>
  <c r="AF76" i="127" s="1"/>
  <c r="O76" i="127"/>
  <c r="N76" i="127"/>
  <c r="M76" i="127"/>
  <c r="L76" i="127"/>
  <c r="K76" i="127"/>
  <c r="P76" i="127" s="1"/>
  <c r="AH75" i="127"/>
  <c r="AD75" i="127"/>
  <c r="AE75" i="127" s="1"/>
  <c r="X75" i="127"/>
  <c r="V75" i="127"/>
  <c r="T75" i="127"/>
  <c r="R75" i="127"/>
  <c r="O75" i="127"/>
  <c r="N75" i="127"/>
  <c r="M75" i="127"/>
  <c r="L75" i="127"/>
  <c r="P75" i="127" s="1"/>
  <c r="K75" i="127"/>
  <c r="AH74" i="127"/>
  <c r="AE74" i="127"/>
  <c r="AD74" i="127"/>
  <c r="X74" i="127"/>
  <c r="V74" i="127"/>
  <c r="T74" i="127"/>
  <c r="R74" i="127"/>
  <c r="O74" i="127"/>
  <c r="N74" i="127"/>
  <c r="M74" i="127"/>
  <c r="L74" i="127"/>
  <c r="K74" i="127"/>
  <c r="P74" i="127" s="1"/>
  <c r="AH73" i="127"/>
  <c r="AD73" i="127"/>
  <c r="AE73" i="127" s="1"/>
  <c r="X73" i="127"/>
  <c r="V73" i="127"/>
  <c r="Y73" i="127" s="1"/>
  <c r="AF73" i="127" s="1"/>
  <c r="T73" i="127"/>
  <c r="R73" i="127"/>
  <c r="O73" i="127"/>
  <c r="N73" i="127"/>
  <c r="M73" i="127"/>
  <c r="L73" i="127"/>
  <c r="P73" i="127" s="1"/>
  <c r="K73" i="127"/>
  <c r="AH72" i="127"/>
  <c r="AE72" i="127"/>
  <c r="X72" i="127"/>
  <c r="V72" i="127"/>
  <c r="T72" i="127"/>
  <c r="Y72" i="127" s="1"/>
  <c r="AF72" i="127" s="1"/>
  <c r="R72" i="127"/>
  <c r="O72" i="127"/>
  <c r="N72" i="127"/>
  <c r="M72" i="127"/>
  <c r="L72" i="127"/>
  <c r="P72" i="127" s="1"/>
  <c r="K72" i="127"/>
  <c r="AH71" i="127"/>
  <c r="AE71" i="127"/>
  <c r="AD71" i="127"/>
  <c r="X71" i="127"/>
  <c r="V71" i="127"/>
  <c r="Y71" i="127" s="1"/>
  <c r="AF71" i="127" s="1"/>
  <c r="T71" i="127"/>
  <c r="R71" i="127"/>
  <c r="O71" i="127"/>
  <c r="N71" i="127"/>
  <c r="M71" i="127"/>
  <c r="L71" i="127"/>
  <c r="K71" i="127"/>
  <c r="P71" i="127" s="1"/>
  <c r="AH70" i="127"/>
  <c r="AE70" i="127"/>
  <c r="X70" i="127"/>
  <c r="V70" i="127"/>
  <c r="T70" i="127"/>
  <c r="R70" i="127"/>
  <c r="Y70" i="127" s="1"/>
  <c r="AF70" i="127" s="1"/>
  <c r="O70" i="127"/>
  <c r="N70" i="127"/>
  <c r="M70" i="127"/>
  <c r="L70" i="127"/>
  <c r="K70" i="127"/>
  <c r="P70" i="127" s="1"/>
  <c r="AH69" i="127"/>
  <c r="AD69" i="127"/>
  <c r="AE69" i="127" s="1"/>
  <c r="X69" i="127"/>
  <c r="V69" i="127"/>
  <c r="T69" i="127"/>
  <c r="R69" i="127"/>
  <c r="O69" i="127"/>
  <c r="N69" i="127"/>
  <c r="M69" i="127"/>
  <c r="L69" i="127"/>
  <c r="P69" i="127" s="1"/>
  <c r="K69" i="127"/>
  <c r="AH68" i="127"/>
  <c r="AE68" i="127"/>
  <c r="AD68" i="127"/>
  <c r="X68" i="127"/>
  <c r="V68" i="127"/>
  <c r="T68" i="127"/>
  <c r="R68" i="127"/>
  <c r="O68" i="127"/>
  <c r="N68" i="127"/>
  <c r="M68" i="127"/>
  <c r="L68" i="127"/>
  <c r="K68" i="127"/>
  <c r="P68" i="127" s="1"/>
  <c r="AH67" i="127"/>
  <c r="AD67" i="127"/>
  <c r="AE67" i="127" s="1"/>
  <c r="X67" i="127"/>
  <c r="V67" i="127"/>
  <c r="Y67" i="127" s="1"/>
  <c r="AF67" i="127" s="1"/>
  <c r="T67" i="127"/>
  <c r="R67" i="127"/>
  <c r="O67" i="127"/>
  <c r="N67" i="127"/>
  <c r="M67" i="127"/>
  <c r="L67" i="127"/>
  <c r="K67" i="127"/>
  <c r="P67" i="127" s="1"/>
  <c r="AH66" i="127"/>
  <c r="AE66" i="127"/>
  <c r="X66" i="127"/>
  <c r="V66" i="127"/>
  <c r="T66" i="127"/>
  <c r="Y66" i="127" s="1"/>
  <c r="AF66" i="127" s="1"/>
  <c r="R66" i="127"/>
  <c r="O66" i="127"/>
  <c r="N66" i="127"/>
  <c r="M66" i="127"/>
  <c r="L66" i="127"/>
  <c r="P66" i="127" s="1"/>
  <c r="K66" i="127"/>
  <c r="AH65" i="127"/>
  <c r="AE65" i="127"/>
  <c r="AD65" i="127"/>
  <c r="X65" i="127"/>
  <c r="V65" i="127"/>
  <c r="Y65" i="127" s="1"/>
  <c r="AF65" i="127" s="1"/>
  <c r="T65" i="127"/>
  <c r="R65" i="127"/>
  <c r="O65" i="127"/>
  <c r="N65" i="127"/>
  <c r="M65" i="127"/>
  <c r="L65" i="127"/>
  <c r="K65" i="127"/>
  <c r="P65" i="127" s="1"/>
  <c r="AH64" i="127"/>
  <c r="AE64" i="127"/>
  <c r="X64" i="127"/>
  <c r="V64" i="127"/>
  <c r="T64" i="127"/>
  <c r="R64" i="127"/>
  <c r="Y64" i="127" s="1"/>
  <c r="AF64" i="127" s="1"/>
  <c r="O64" i="127"/>
  <c r="N64" i="127"/>
  <c r="M64" i="127"/>
  <c r="L64" i="127"/>
  <c r="K64" i="127"/>
  <c r="P64" i="127" s="1"/>
  <c r="AH63" i="127"/>
  <c r="AD63" i="127"/>
  <c r="AE63" i="127" s="1"/>
  <c r="X63" i="127"/>
  <c r="V63" i="127"/>
  <c r="T63" i="127"/>
  <c r="R63" i="127"/>
  <c r="O63" i="127"/>
  <c r="N63" i="127"/>
  <c r="M63" i="127"/>
  <c r="L63" i="127"/>
  <c r="P63" i="127" s="1"/>
  <c r="K63" i="127"/>
  <c r="AH62" i="127"/>
  <c r="AE62" i="127"/>
  <c r="AD62" i="127"/>
  <c r="X62" i="127"/>
  <c r="V62" i="127"/>
  <c r="T62" i="127"/>
  <c r="R62" i="127"/>
  <c r="O62" i="127"/>
  <c r="N62" i="127"/>
  <c r="M62" i="127"/>
  <c r="L62" i="127"/>
  <c r="K62" i="127"/>
  <c r="P62" i="127" s="1"/>
  <c r="AH61" i="127"/>
  <c r="AD61" i="127"/>
  <c r="AE61" i="127" s="1"/>
  <c r="X61" i="127"/>
  <c r="V61" i="127"/>
  <c r="Y61" i="127" s="1"/>
  <c r="AF61" i="127" s="1"/>
  <c r="T61" i="127"/>
  <c r="R61" i="127"/>
  <c r="O61" i="127"/>
  <c r="N61" i="127"/>
  <c r="M61" i="127"/>
  <c r="L61" i="127"/>
  <c r="K61" i="127"/>
  <c r="P61" i="127" s="1"/>
  <c r="AH60" i="127"/>
  <c r="AD60" i="127"/>
  <c r="AE60" i="127" s="1"/>
  <c r="X60" i="127"/>
  <c r="V60" i="127"/>
  <c r="T60" i="127"/>
  <c r="R60" i="127"/>
  <c r="O60" i="127"/>
  <c r="N60" i="127"/>
  <c r="M60" i="127"/>
  <c r="L60" i="127"/>
  <c r="K60" i="127"/>
  <c r="P60" i="127" s="1"/>
  <c r="AH59" i="127"/>
  <c r="AD59" i="127"/>
  <c r="AE59" i="127" s="1"/>
  <c r="X59" i="127"/>
  <c r="V59" i="127"/>
  <c r="T59" i="127"/>
  <c r="R59" i="127"/>
  <c r="O59" i="127"/>
  <c r="N59" i="127"/>
  <c r="M59" i="127"/>
  <c r="L59" i="127"/>
  <c r="P59" i="127" s="1"/>
  <c r="K59" i="127"/>
  <c r="AH58" i="127"/>
  <c r="AE58" i="127"/>
  <c r="AD58" i="127"/>
  <c r="X58" i="127"/>
  <c r="V58" i="127"/>
  <c r="T58" i="127"/>
  <c r="R58" i="127"/>
  <c r="O58" i="127"/>
  <c r="N58" i="127"/>
  <c r="M58" i="127"/>
  <c r="L58" i="127"/>
  <c r="K58" i="127"/>
  <c r="P58" i="127" s="1"/>
  <c r="AH57" i="127"/>
  <c r="AD57" i="127"/>
  <c r="AE57" i="127" s="1"/>
  <c r="X57" i="127"/>
  <c r="V57" i="127"/>
  <c r="T57" i="127"/>
  <c r="R57" i="127"/>
  <c r="O57" i="127"/>
  <c r="N57" i="127"/>
  <c r="M57" i="127"/>
  <c r="L57" i="127"/>
  <c r="P57" i="127" s="1"/>
  <c r="K57" i="127"/>
  <c r="AH56" i="127"/>
  <c r="AE56" i="127"/>
  <c r="AD56" i="127"/>
  <c r="X56" i="127"/>
  <c r="V56" i="127"/>
  <c r="T56" i="127"/>
  <c r="R56" i="127"/>
  <c r="O56" i="127"/>
  <c r="N56" i="127"/>
  <c r="M56" i="127"/>
  <c r="L56" i="127"/>
  <c r="K56" i="127"/>
  <c r="P56" i="127" s="1"/>
  <c r="AH55" i="127"/>
  <c r="AD55" i="127"/>
  <c r="AE55" i="127" s="1"/>
  <c r="X55" i="127"/>
  <c r="V55" i="127"/>
  <c r="T55" i="127"/>
  <c r="R55" i="127"/>
  <c r="O55" i="127"/>
  <c r="N55" i="127"/>
  <c r="M55" i="127"/>
  <c r="L55" i="127"/>
  <c r="P55" i="127" s="1"/>
  <c r="K55" i="127"/>
  <c r="AH54" i="127"/>
  <c r="AE54" i="127"/>
  <c r="AD54" i="127"/>
  <c r="V54" i="127"/>
  <c r="T54" i="127"/>
  <c r="Y54" i="127" s="1"/>
  <c r="AF54" i="127" s="1"/>
  <c r="R54" i="127"/>
  <c r="O54" i="127"/>
  <c r="N54" i="127"/>
  <c r="M54" i="127"/>
  <c r="L54" i="127"/>
  <c r="P54" i="127" s="1"/>
  <c r="K54" i="127"/>
  <c r="AH53" i="127"/>
  <c r="AE53" i="127"/>
  <c r="AD53" i="127"/>
  <c r="X53" i="127"/>
  <c r="V53" i="127"/>
  <c r="T53" i="127"/>
  <c r="R53" i="127"/>
  <c r="O53" i="127"/>
  <c r="N53" i="127"/>
  <c r="M53" i="127"/>
  <c r="L53" i="127"/>
  <c r="K53" i="127"/>
  <c r="P53" i="127" s="1"/>
  <c r="AH52" i="127"/>
  <c r="AE52" i="127"/>
  <c r="X52" i="127"/>
  <c r="V52" i="127"/>
  <c r="T52" i="127"/>
  <c r="R52" i="127"/>
  <c r="O52" i="127"/>
  <c r="N52" i="127"/>
  <c r="M52" i="127"/>
  <c r="L52" i="127"/>
  <c r="K52" i="127"/>
  <c r="P52" i="127" s="1"/>
  <c r="AH51" i="127"/>
  <c r="AD51" i="127"/>
  <c r="AE51" i="127" s="1"/>
  <c r="X51" i="127"/>
  <c r="V51" i="127"/>
  <c r="T51" i="127"/>
  <c r="R51" i="127"/>
  <c r="O51" i="127"/>
  <c r="N51" i="127"/>
  <c r="M51" i="127"/>
  <c r="L51" i="127"/>
  <c r="P51" i="127" s="1"/>
  <c r="K51" i="127"/>
  <c r="AH50" i="127"/>
  <c r="AE50" i="127"/>
  <c r="AD50" i="127"/>
  <c r="X50" i="127"/>
  <c r="V50" i="127"/>
  <c r="T50" i="127"/>
  <c r="R50" i="127"/>
  <c r="O50" i="127"/>
  <c r="N50" i="127"/>
  <c r="M50" i="127"/>
  <c r="L50" i="127"/>
  <c r="K50" i="127"/>
  <c r="P50" i="127" s="1"/>
  <c r="AH49" i="127"/>
  <c r="AE49" i="127"/>
  <c r="X49" i="127"/>
  <c r="V49" i="127"/>
  <c r="Y49" i="127" s="1"/>
  <c r="AF49" i="127" s="1"/>
  <c r="T49" i="127"/>
  <c r="R49" i="127"/>
  <c r="O49" i="127"/>
  <c r="N49" i="127"/>
  <c r="M49" i="127"/>
  <c r="L49" i="127"/>
  <c r="K49" i="127"/>
  <c r="P49" i="127" s="1"/>
  <c r="AH48" i="127"/>
  <c r="AE48" i="127"/>
  <c r="X48" i="127"/>
  <c r="V48" i="127"/>
  <c r="T48" i="127"/>
  <c r="R48" i="127"/>
  <c r="O48" i="127"/>
  <c r="N48" i="127"/>
  <c r="M48" i="127"/>
  <c r="L48" i="127"/>
  <c r="K48" i="127"/>
  <c r="P48" i="127" s="1"/>
  <c r="AH47" i="127"/>
  <c r="AD47" i="127"/>
  <c r="AE47" i="127" s="1"/>
  <c r="X47" i="127"/>
  <c r="V47" i="127"/>
  <c r="T47" i="127"/>
  <c r="R47" i="127"/>
  <c r="O47" i="127"/>
  <c r="N47" i="127"/>
  <c r="M47" i="127"/>
  <c r="L47" i="127"/>
  <c r="P47" i="127" s="1"/>
  <c r="K47" i="127"/>
  <c r="AH46" i="127"/>
  <c r="AE46" i="127"/>
  <c r="AD46" i="127"/>
  <c r="X46" i="127"/>
  <c r="V46" i="127"/>
  <c r="T46" i="127"/>
  <c r="R46" i="127"/>
  <c r="O46" i="127"/>
  <c r="N46" i="127"/>
  <c r="M46" i="127"/>
  <c r="L46" i="127"/>
  <c r="K46" i="127"/>
  <c r="P46" i="127" s="1"/>
  <c r="AH45" i="127"/>
  <c r="AD45" i="127"/>
  <c r="AE45" i="127" s="1"/>
  <c r="X45" i="127"/>
  <c r="V45" i="127"/>
  <c r="T45" i="127"/>
  <c r="R45" i="127"/>
  <c r="O45" i="127"/>
  <c r="N45" i="127"/>
  <c r="M45" i="127"/>
  <c r="L45" i="127"/>
  <c r="K45" i="127"/>
  <c r="P45" i="127" s="1"/>
  <c r="AH44" i="127"/>
  <c r="AD44" i="127"/>
  <c r="AE44" i="127" s="1"/>
  <c r="X44" i="127"/>
  <c r="V44" i="127"/>
  <c r="T44" i="127"/>
  <c r="R44" i="127"/>
  <c r="O44" i="127"/>
  <c r="N44" i="127"/>
  <c r="M44" i="127"/>
  <c r="L44" i="127"/>
  <c r="K44" i="127"/>
  <c r="P44" i="127" s="1"/>
  <c r="AH43" i="127"/>
  <c r="AE43" i="127"/>
  <c r="V43" i="127"/>
  <c r="T43" i="127"/>
  <c r="R43" i="127"/>
  <c r="O43" i="127"/>
  <c r="N43" i="127"/>
  <c r="M43" i="127"/>
  <c r="L43" i="127"/>
  <c r="K43" i="127"/>
  <c r="P43" i="127" s="1"/>
  <c r="AH42" i="127"/>
  <c r="AD42" i="127"/>
  <c r="AE42" i="127" s="1"/>
  <c r="X42" i="127"/>
  <c r="V42" i="127"/>
  <c r="T42" i="127"/>
  <c r="R42" i="127"/>
  <c r="O42" i="127"/>
  <c r="N42" i="127"/>
  <c r="M42" i="127"/>
  <c r="L42" i="127"/>
  <c r="K42" i="127"/>
  <c r="P42" i="127" s="1"/>
  <c r="AH41" i="127"/>
  <c r="AD41" i="127"/>
  <c r="AE41" i="127" s="1"/>
  <c r="X41" i="127"/>
  <c r="V41" i="127"/>
  <c r="T41" i="127"/>
  <c r="R41" i="127"/>
  <c r="O41" i="127"/>
  <c r="N41" i="127"/>
  <c r="M41" i="127"/>
  <c r="L41" i="127"/>
  <c r="P41" i="127" s="1"/>
  <c r="K41" i="127"/>
  <c r="AH40" i="127"/>
  <c r="AE40" i="127"/>
  <c r="AD40" i="127"/>
  <c r="X40" i="127"/>
  <c r="V40" i="127"/>
  <c r="Y40" i="127" s="1"/>
  <c r="AF40" i="127" s="1"/>
  <c r="T40" i="127"/>
  <c r="R40" i="127"/>
  <c r="O40" i="127"/>
  <c r="N40" i="127"/>
  <c r="M40" i="127"/>
  <c r="L40" i="127"/>
  <c r="P40" i="127" s="1"/>
  <c r="K40" i="127"/>
  <c r="AH39" i="127"/>
  <c r="AE39" i="127"/>
  <c r="AD39" i="127"/>
  <c r="X39" i="127"/>
  <c r="V39" i="127"/>
  <c r="Y39" i="127" s="1"/>
  <c r="AF39" i="127" s="1"/>
  <c r="T39" i="127"/>
  <c r="R39" i="127"/>
  <c r="O39" i="127"/>
  <c r="N39" i="127"/>
  <c r="M39" i="127"/>
  <c r="L39" i="127"/>
  <c r="K39" i="127"/>
  <c r="P39" i="127" s="1"/>
  <c r="AH38" i="127"/>
  <c r="AD38" i="127"/>
  <c r="AE38" i="127" s="1"/>
  <c r="X38" i="127"/>
  <c r="V38" i="127"/>
  <c r="T38" i="127"/>
  <c r="Y38" i="127" s="1"/>
  <c r="AF38" i="127" s="1"/>
  <c r="R38" i="127"/>
  <c r="O38" i="127"/>
  <c r="N38" i="127"/>
  <c r="M38" i="127"/>
  <c r="L38" i="127"/>
  <c r="K38" i="127"/>
  <c r="P38" i="127" s="1"/>
  <c r="AH37" i="127"/>
  <c r="AD37" i="127"/>
  <c r="AE37" i="127" s="1"/>
  <c r="X37" i="127"/>
  <c r="V37" i="127"/>
  <c r="T37" i="127"/>
  <c r="R37" i="127"/>
  <c r="O37" i="127"/>
  <c r="N37" i="127"/>
  <c r="M37" i="127"/>
  <c r="L37" i="127"/>
  <c r="P37" i="127" s="1"/>
  <c r="K37" i="127"/>
  <c r="AH36" i="127"/>
  <c r="AE36" i="127"/>
  <c r="AD36" i="127"/>
  <c r="X36" i="127"/>
  <c r="V36" i="127"/>
  <c r="T36" i="127"/>
  <c r="R36" i="127"/>
  <c r="O36" i="127"/>
  <c r="N36" i="127"/>
  <c r="M36" i="127"/>
  <c r="L36" i="127"/>
  <c r="P36" i="127" s="1"/>
  <c r="K36" i="127"/>
  <c r="AH35" i="127"/>
  <c r="AE35" i="127"/>
  <c r="AD35" i="127"/>
  <c r="X35" i="127"/>
  <c r="V35" i="127"/>
  <c r="Y35" i="127" s="1"/>
  <c r="AF35" i="127" s="1"/>
  <c r="T35" i="127"/>
  <c r="R35" i="127"/>
  <c r="O35" i="127"/>
  <c r="N35" i="127"/>
  <c r="M35" i="127"/>
  <c r="L35" i="127"/>
  <c r="K35" i="127"/>
  <c r="P35" i="127" s="1"/>
  <c r="AH34" i="127"/>
  <c r="AE34" i="127"/>
  <c r="X34" i="127"/>
  <c r="V34" i="127"/>
  <c r="T34" i="127"/>
  <c r="R34" i="127"/>
  <c r="O34" i="127"/>
  <c r="N34" i="127"/>
  <c r="M34" i="127"/>
  <c r="L34" i="127"/>
  <c r="P34" i="127" s="1"/>
  <c r="K34" i="127"/>
  <c r="AH33" i="127"/>
  <c r="AE33" i="127"/>
  <c r="AD33" i="127"/>
  <c r="X33" i="127"/>
  <c r="V33" i="127"/>
  <c r="T33" i="127"/>
  <c r="R33" i="127"/>
  <c r="O33" i="127"/>
  <c r="N33" i="127"/>
  <c r="M33" i="127"/>
  <c r="L33" i="127"/>
  <c r="P33" i="127" s="1"/>
  <c r="K33" i="127"/>
  <c r="AH32" i="127"/>
  <c r="AE32" i="127"/>
  <c r="AD32" i="127"/>
  <c r="X32" i="127"/>
  <c r="V32" i="127"/>
  <c r="T32" i="127"/>
  <c r="R32" i="127"/>
  <c r="O32" i="127"/>
  <c r="N32" i="127"/>
  <c r="M32" i="127"/>
  <c r="L32" i="127"/>
  <c r="K32" i="127"/>
  <c r="P32" i="127" s="1"/>
  <c r="AH31" i="127"/>
  <c r="AD31" i="127"/>
  <c r="AE31" i="127" s="1"/>
  <c r="X31" i="127"/>
  <c r="V31" i="127"/>
  <c r="T31" i="127"/>
  <c r="R31" i="127"/>
  <c r="O31" i="127"/>
  <c r="N31" i="127"/>
  <c r="M31" i="127"/>
  <c r="L31" i="127"/>
  <c r="K31" i="127"/>
  <c r="P31" i="127" s="1"/>
  <c r="AH30" i="127"/>
  <c r="AD30" i="127"/>
  <c r="AE30" i="127" s="1"/>
  <c r="X30" i="127"/>
  <c r="V30" i="127"/>
  <c r="T30" i="127"/>
  <c r="R30" i="127"/>
  <c r="O30" i="127"/>
  <c r="N30" i="127"/>
  <c r="M30" i="127"/>
  <c r="L30" i="127"/>
  <c r="P30" i="127" s="1"/>
  <c r="K30" i="127"/>
  <c r="AH29" i="127"/>
  <c r="AE29" i="127"/>
  <c r="AD29" i="127"/>
  <c r="X29" i="127"/>
  <c r="V29" i="127"/>
  <c r="Y29" i="127" s="1"/>
  <c r="AF29" i="127" s="1"/>
  <c r="T29" i="127"/>
  <c r="R29" i="127"/>
  <c r="O29" i="127"/>
  <c r="N29" i="127"/>
  <c r="M29" i="127"/>
  <c r="L29" i="127"/>
  <c r="P29" i="127" s="1"/>
  <c r="K29" i="127"/>
  <c r="AH28" i="127"/>
  <c r="AE28" i="127"/>
  <c r="X28" i="127"/>
  <c r="V28" i="127"/>
  <c r="T28" i="127"/>
  <c r="Y28" i="127" s="1"/>
  <c r="AF28" i="127" s="1"/>
  <c r="R28" i="127"/>
  <c r="O28" i="127"/>
  <c r="N28" i="127"/>
  <c r="M28" i="127"/>
  <c r="L28" i="127"/>
  <c r="K28" i="127"/>
  <c r="P28" i="127" s="1"/>
  <c r="AH27" i="127"/>
  <c r="AD27" i="127"/>
  <c r="AE27" i="127" s="1"/>
  <c r="X27" i="127"/>
  <c r="V27" i="127"/>
  <c r="T27" i="127"/>
  <c r="R27" i="127"/>
  <c r="O27" i="127"/>
  <c r="N27" i="127"/>
  <c r="M27" i="127"/>
  <c r="L27" i="127"/>
  <c r="P27" i="127" s="1"/>
  <c r="K27" i="127"/>
  <c r="AH26" i="127"/>
  <c r="AE26" i="127"/>
  <c r="AD26" i="127"/>
  <c r="X26" i="127"/>
  <c r="V26" i="127"/>
  <c r="T26" i="127"/>
  <c r="R26" i="127"/>
  <c r="O26" i="127"/>
  <c r="N26" i="127"/>
  <c r="M26" i="127"/>
  <c r="L26" i="127"/>
  <c r="P26" i="127" s="1"/>
  <c r="K26" i="127"/>
  <c r="AH25" i="127"/>
  <c r="AE25" i="127"/>
  <c r="X25" i="127"/>
  <c r="V25" i="127"/>
  <c r="T25" i="127"/>
  <c r="R25" i="127"/>
  <c r="O25" i="127"/>
  <c r="N25" i="127"/>
  <c r="M25" i="127"/>
  <c r="L25" i="127"/>
  <c r="K25" i="127"/>
  <c r="P25" i="127" s="1"/>
  <c r="AH24" i="127"/>
  <c r="AD24" i="127"/>
  <c r="AE24" i="127" s="1"/>
  <c r="X24" i="127"/>
  <c r="V24" i="127"/>
  <c r="T24" i="127"/>
  <c r="R24" i="127"/>
  <c r="O24" i="127"/>
  <c r="N24" i="127"/>
  <c r="M24" i="127"/>
  <c r="L24" i="127"/>
  <c r="P24" i="127" s="1"/>
  <c r="K24" i="127"/>
  <c r="AH23" i="127"/>
  <c r="AE23" i="127"/>
  <c r="AD23" i="127"/>
  <c r="X23" i="127"/>
  <c r="V23" i="127"/>
  <c r="Y23" i="127" s="1"/>
  <c r="AF23" i="127" s="1"/>
  <c r="T23" i="127"/>
  <c r="R23" i="127"/>
  <c r="O23" i="127"/>
  <c r="N23" i="127"/>
  <c r="M23" i="127"/>
  <c r="L23" i="127"/>
  <c r="P23" i="127" s="1"/>
  <c r="K23" i="127"/>
  <c r="AH22" i="127"/>
  <c r="AE22" i="127"/>
  <c r="AD22" i="127"/>
  <c r="X22" i="127"/>
  <c r="V22" i="127"/>
  <c r="Y22" i="127" s="1"/>
  <c r="AF22" i="127" s="1"/>
  <c r="T22" i="127"/>
  <c r="R22" i="127"/>
  <c r="O22" i="127"/>
  <c r="N22" i="127"/>
  <c r="M22" i="127"/>
  <c r="L22" i="127"/>
  <c r="K22" i="127"/>
  <c r="P22" i="127" s="1"/>
  <c r="AH21" i="127"/>
  <c r="AD21" i="127"/>
  <c r="AE21" i="127" s="1"/>
  <c r="X21" i="127"/>
  <c r="V21" i="127"/>
  <c r="T21" i="127"/>
  <c r="Y21" i="127" s="1"/>
  <c r="R21" i="127"/>
  <c r="O21" i="127"/>
  <c r="N21" i="127"/>
  <c r="M21" i="127"/>
  <c r="L21" i="127"/>
  <c r="K21" i="127"/>
  <c r="P21" i="127" s="1"/>
  <c r="AH20" i="127"/>
  <c r="AE20" i="127"/>
  <c r="X20" i="127"/>
  <c r="V20" i="127"/>
  <c r="T20" i="127"/>
  <c r="R20" i="127"/>
  <c r="O20" i="127"/>
  <c r="N20" i="127"/>
  <c r="M20" i="127"/>
  <c r="L20" i="127"/>
  <c r="P20" i="127" s="1"/>
  <c r="K20" i="127"/>
  <c r="AH19" i="127"/>
  <c r="AE19" i="127"/>
  <c r="AD19" i="127"/>
  <c r="X19" i="127"/>
  <c r="V19" i="127"/>
  <c r="T19" i="127"/>
  <c r="R19" i="127"/>
  <c r="O19" i="127"/>
  <c r="N19" i="127"/>
  <c r="M19" i="127"/>
  <c r="L19" i="127"/>
  <c r="K19" i="127"/>
  <c r="P19" i="127" s="1"/>
  <c r="AH18" i="127"/>
  <c r="AD18" i="127"/>
  <c r="AE18" i="127" s="1"/>
  <c r="X18" i="127"/>
  <c r="V18" i="127"/>
  <c r="T18" i="127"/>
  <c r="R18" i="127"/>
  <c r="O18" i="127"/>
  <c r="N18" i="127"/>
  <c r="M18" i="127"/>
  <c r="L18" i="127"/>
  <c r="K18" i="127"/>
  <c r="P18" i="127" s="1"/>
  <c r="AH17" i="127"/>
  <c r="AD17" i="127"/>
  <c r="AE17" i="127" s="1"/>
  <c r="X17" i="127"/>
  <c r="V17" i="127"/>
  <c r="T17" i="127"/>
  <c r="R17" i="127"/>
  <c r="O17" i="127"/>
  <c r="N17" i="127"/>
  <c r="M17" i="127"/>
  <c r="L17" i="127"/>
  <c r="P17" i="127" s="1"/>
  <c r="K17" i="127"/>
  <c r="AH16" i="127"/>
  <c r="AE16" i="127"/>
  <c r="AD16" i="127"/>
  <c r="X16" i="127"/>
  <c r="V16" i="127"/>
  <c r="Y16" i="127" s="1"/>
  <c r="AF16" i="127" s="1"/>
  <c r="T16" i="127"/>
  <c r="R16" i="127"/>
  <c r="O16" i="127"/>
  <c r="N16" i="127"/>
  <c r="M16" i="127"/>
  <c r="L16" i="127"/>
  <c r="P16" i="127" s="1"/>
  <c r="K16" i="127"/>
  <c r="AH15" i="127"/>
  <c r="AE15" i="127"/>
  <c r="AD15" i="127"/>
  <c r="X15" i="127"/>
  <c r="V15" i="127"/>
  <c r="Y15" i="127" s="1"/>
  <c r="AF15" i="127" s="1"/>
  <c r="T15" i="127"/>
  <c r="R15" i="127"/>
  <c r="O15" i="127"/>
  <c r="N15" i="127"/>
  <c r="M15" i="127"/>
  <c r="L15" i="127"/>
  <c r="K15" i="127"/>
  <c r="P15" i="127" s="1"/>
  <c r="AH14" i="127"/>
  <c r="AD14" i="127"/>
  <c r="AE14" i="127" s="1"/>
  <c r="X14" i="127"/>
  <c r="V14" i="127"/>
  <c r="T14" i="127"/>
  <c r="Y14" i="127" s="1"/>
  <c r="R14" i="127"/>
  <c r="O14" i="127"/>
  <c r="N14" i="127"/>
  <c r="M14" i="127"/>
  <c r="L14" i="127"/>
  <c r="K14" i="127"/>
  <c r="P14" i="127" s="1"/>
  <c r="AH13" i="127"/>
  <c r="AE13" i="127"/>
  <c r="X13" i="127"/>
  <c r="V13" i="127"/>
  <c r="T13" i="127"/>
  <c r="R13" i="127"/>
  <c r="O13" i="127"/>
  <c r="N13" i="127"/>
  <c r="M13" i="127"/>
  <c r="L13" i="127"/>
  <c r="P13" i="127" s="1"/>
  <c r="K13" i="127"/>
  <c r="AH12" i="127"/>
  <c r="AE12" i="127"/>
  <c r="AD12" i="127"/>
  <c r="X12" i="127"/>
  <c r="V12" i="127"/>
  <c r="T12" i="127"/>
  <c r="R12" i="127"/>
  <c r="O12" i="127"/>
  <c r="N12" i="127"/>
  <c r="M12" i="127"/>
  <c r="L12" i="127"/>
  <c r="K12" i="127"/>
  <c r="P12" i="127" s="1"/>
  <c r="AH11" i="127"/>
  <c r="AD11" i="127"/>
  <c r="AE11" i="127" s="1"/>
  <c r="X11" i="127"/>
  <c r="V11" i="127"/>
  <c r="T11" i="127"/>
  <c r="R11" i="127"/>
  <c r="O11" i="127"/>
  <c r="N11" i="127"/>
  <c r="M11" i="127"/>
  <c r="L11" i="127"/>
  <c r="K11" i="127"/>
  <c r="P11" i="127" s="1"/>
  <c r="AH10" i="127"/>
  <c r="AD10" i="127"/>
  <c r="AE10" i="127" s="1"/>
  <c r="X10" i="127"/>
  <c r="V10" i="127"/>
  <c r="T10" i="127"/>
  <c r="R10" i="127"/>
  <c r="O10" i="127"/>
  <c r="N10" i="127"/>
  <c r="M10" i="127"/>
  <c r="L10" i="127"/>
  <c r="P10" i="127" s="1"/>
  <c r="K10" i="127"/>
  <c r="AH9" i="127"/>
  <c r="AE9" i="127"/>
  <c r="V9" i="127"/>
  <c r="T9" i="127"/>
  <c r="R9" i="127"/>
  <c r="O9" i="127"/>
  <c r="N9" i="127"/>
  <c r="M9" i="127"/>
  <c r="L9" i="127"/>
  <c r="K9" i="127"/>
  <c r="P9" i="127" s="1"/>
  <c r="AH8" i="127"/>
  <c r="AD8" i="127"/>
  <c r="AE8" i="127" s="1"/>
  <c r="X8" i="127"/>
  <c r="V8" i="127"/>
  <c r="T8" i="127"/>
  <c r="R8" i="127"/>
  <c r="O8" i="127"/>
  <c r="N8" i="127"/>
  <c r="M8" i="127"/>
  <c r="L8" i="127"/>
  <c r="P8" i="127" s="1"/>
  <c r="K8" i="127"/>
  <c r="AH7" i="127"/>
  <c r="AE7" i="127"/>
  <c r="V7" i="127"/>
  <c r="T7" i="127"/>
  <c r="R7" i="127"/>
  <c r="O7" i="127"/>
  <c r="N7" i="127"/>
  <c r="M7" i="127"/>
  <c r="L7" i="127"/>
  <c r="K7" i="127"/>
  <c r="P7" i="127" s="1"/>
  <c r="AH6" i="127"/>
  <c r="AD6" i="127"/>
  <c r="AE6" i="127" s="1"/>
  <c r="X6" i="127"/>
  <c r="V6" i="127"/>
  <c r="T6" i="127"/>
  <c r="R6" i="127"/>
  <c r="O6" i="127"/>
  <c r="N6" i="127"/>
  <c r="M6" i="127"/>
  <c r="L6" i="127"/>
  <c r="P6" i="127" s="1"/>
  <c r="K6" i="127"/>
  <c r="AH5" i="127"/>
  <c r="AE5" i="127"/>
  <c r="AD5" i="127"/>
  <c r="X5" i="127"/>
  <c r="V5" i="127"/>
  <c r="T5" i="127"/>
  <c r="R5" i="127"/>
  <c r="O5" i="127"/>
  <c r="N5" i="127"/>
  <c r="M5" i="127"/>
  <c r="L5" i="127"/>
  <c r="P5" i="127" s="1"/>
  <c r="K5" i="127"/>
  <c r="AH4" i="127"/>
  <c r="AE4" i="127"/>
  <c r="AD4" i="127"/>
  <c r="X4" i="127"/>
  <c r="V4" i="127"/>
  <c r="T4" i="127"/>
  <c r="R4" i="127"/>
  <c r="O4" i="127"/>
  <c r="N4" i="127"/>
  <c r="M4" i="127"/>
  <c r="L4" i="127"/>
  <c r="K4" i="127"/>
  <c r="P4" i="127" s="1"/>
  <c r="N3" i="127"/>
  <c r="M3" i="127"/>
  <c r="L3" i="127"/>
  <c r="K3" i="127"/>
  <c r="E198" i="126"/>
  <c r="E197" i="126"/>
  <c r="E196" i="126"/>
  <c r="E195" i="126"/>
  <c r="E194" i="126"/>
  <c r="E193" i="126"/>
  <c r="E192" i="126"/>
  <c r="E191" i="126"/>
  <c r="E190" i="126"/>
  <c r="E189" i="126"/>
  <c r="E188" i="126"/>
  <c r="E187" i="126"/>
  <c r="E186" i="126"/>
  <c r="E185" i="126"/>
  <c r="E184" i="126"/>
  <c r="E183" i="126"/>
  <c r="E182" i="126"/>
  <c r="E181" i="126"/>
  <c r="E180" i="126"/>
  <c r="E179" i="126"/>
  <c r="E178" i="126"/>
  <c r="E177" i="126"/>
  <c r="E176" i="126"/>
  <c r="E175" i="126"/>
  <c r="E174" i="126"/>
  <c r="E173" i="126"/>
  <c r="E172" i="126"/>
  <c r="E171" i="126"/>
  <c r="E170" i="126"/>
  <c r="E169" i="126"/>
  <c r="E168" i="126"/>
  <c r="E167" i="126"/>
  <c r="E166" i="126"/>
  <c r="E165" i="126"/>
  <c r="E164" i="126"/>
  <c r="E163" i="126"/>
  <c r="E162" i="126"/>
  <c r="E161" i="126"/>
  <c r="E160" i="126"/>
  <c r="E159" i="126"/>
  <c r="E158" i="126"/>
  <c r="E157" i="126"/>
  <c r="E156" i="126"/>
  <c r="E155" i="126"/>
  <c r="E154" i="126"/>
  <c r="E153" i="126"/>
  <c r="E152" i="126"/>
  <c r="E151" i="126"/>
  <c r="E150" i="126"/>
  <c r="E149" i="126"/>
  <c r="E148" i="126"/>
  <c r="E147" i="126"/>
  <c r="E146" i="126"/>
  <c r="E145" i="126"/>
  <c r="E144" i="126"/>
  <c r="E143" i="126"/>
  <c r="E142" i="126"/>
  <c r="E141" i="126"/>
  <c r="E140" i="126"/>
  <c r="E139" i="126"/>
  <c r="E138" i="126"/>
  <c r="E137" i="126"/>
  <c r="E136" i="126"/>
  <c r="E135" i="126"/>
  <c r="E134" i="126"/>
  <c r="E133" i="126"/>
  <c r="E132" i="126"/>
  <c r="E131" i="126"/>
  <c r="E130" i="126"/>
  <c r="E129" i="126"/>
  <c r="E128" i="126"/>
  <c r="E127" i="126"/>
  <c r="E126" i="126"/>
  <c r="E125" i="126"/>
  <c r="E124" i="126"/>
  <c r="E123" i="126"/>
  <c r="E122" i="126"/>
  <c r="E121" i="126"/>
  <c r="E120" i="126"/>
  <c r="E119" i="126"/>
  <c r="E118" i="126"/>
  <c r="E117" i="126"/>
  <c r="E116" i="126"/>
  <c r="E115" i="126"/>
  <c r="E114" i="126"/>
  <c r="E113" i="126"/>
  <c r="E112" i="126"/>
  <c r="E111" i="126"/>
  <c r="E110" i="126"/>
  <c r="E109" i="126"/>
  <c r="E108" i="126"/>
  <c r="E107" i="126"/>
  <c r="E106" i="126"/>
  <c r="E105" i="126"/>
  <c r="E104" i="126"/>
  <c r="E103" i="126"/>
  <c r="E102" i="126"/>
  <c r="E101" i="126"/>
  <c r="E100" i="126"/>
  <c r="E99" i="126"/>
  <c r="E98" i="126"/>
  <c r="E97" i="126"/>
  <c r="E96" i="126"/>
  <c r="E95" i="126"/>
  <c r="E94" i="126"/>
  <c r="E93" i="126"/>
  <c r="E92" i="126"/>
  <c r="E91" i="126"/>
  <c r="E90" i="126"/>
  <c r="E89" i="126"/>
  <c r="E88" i="126"/>
  <c r="E87" i="126"/>
  <c r="E86" i="126"/>
  <c r="E85" i="126"/>
  <c r="E84" i="126"/>
  <c r="E83" i="126"/>
  <c r="E82" i="126"/>
  <c r="E81" i="126"/>
  <c r="E80" i="126"/>
  <c r="E79" i="126"/>
  <c r="E78" i="126"/>
  <c r="E77" i="126"/>
  <c r="E76" i="126"/>
  <c r="E75" i="126"/>
  <c r="E74" i="126"/>
  <c r="E73" i="126"/>
  <c r="E72" i="126"/>
  <c r="E71" i="126"/>
  <c r="E70" i="126"/>
  <c r="E69" i="126"/>
  <c r="E68" i="126"/>
  <c r="E67" i="126"/>
  <c r="E66" i="126"/>
  <c r="E65" i="126"/>
  <c r="E64" i="126"/>
  <c r="E63" i="126"/>
  <c r="E62" i="126"/>
  <c r="E61" i="126"/>
  <c r="E60" i="126"/>
  <c r="E59" i="126"/>
  <c r="E58" i="126"/>
  <c r="E57" i="126"/>
  <c r="E56" i="126"/>
  <c r="E55" i="126"/>
  <c r="E54" i="126"/>
  <c r="E53" i="126"/>
  <c r="E52" i="126"/>
  <c r="E51" i="126"/>
  <c r="E50" i="126"/>
  <c r="E49" i="126"/>
  <c r="E48" i="126"/>
  <c r="E47" i="126"/>
  <c r="E46" i="126"/>
  <c r="E45" i="126"/>
  <c r="E44" i="126"/>
  <c r="E43" i="126"/>
  <c r="E42" i="126"/>
  <c r="E41" i="126"/>
  <c r="E40" i="126"/>
  <c r="E39" i="126"/>
  <c r="E38" i="126"/>
  <c r="E37" i="126"/>
  <c r="E36" i="126"/>
  <c r="E35" i="126"/>
  <c r="E34" i="126"/>
  <c r="E33" i="126"/>
  <c r="E32" i="126"/>
  <c r="E31" i="126"/>
  <c r="E30" i="126"/>
  <c r="E29" i="126"/>
  <c r="E28" i="126"/>
  <c r="E27" i="126"/>
  <c r="E26" i="126"/>
  <c r="E25" i="126"/>
  <c r="E24" i="126"/>
  <c r="E23" i="126"/>
  <c r="E22" i="126"/>
  <c r="E21" i="126"/>
  <c r="E20" i="126"/>
  <c r="E19" i="126"/>
  <c r="E18" i="126"/>
  <c r="E17" i="126"/>
  <c r="E16" i="126"/>
  <c r="E15" i="126"/>
  <c r="E14" i="126"/>
  <c r="E13" i="126"/>
  <c r="E12" i="126"/>
  <c r="E11" i="126"/>
  <c r="E10" i="126"/>
  <c r="E9" i="126"/>
  <c r="E8" i="126"/>
  <c r="E7" i="126"/>
  <c r="E6" i="126"/>
  <c r="E5" i="126"/>
  <c r="E198" i="125"/>
  <c r="E197" i="125"/>
  <c r="E196" i="125"/>
  <c r="E195" i="125"/>
  <c r="E194" i="125"/>
  <c r="E193" i="125"/>
  <c r="E192" i="125"/>
  <c r="E191" i="125"/>
  <c r="E190" i="125"/>
  <c r="E189" i="125"/>
  <c r="E188" i="125"/>
  <c r="E187" i="125"/>
  <c r="E186" i="125"/>
  <c r="E185" i="125"/>
  <c r="E184" i="125"/>
  <c r="E183" i="125"/>
  <c r="E182" i="125"/>
  <c r="E181" i="125"/>
  <c r="E180" i="125"/>
  <c r="E179" i="125"/>
  <c r="E178" i="125"/>
  <c r="E177" i="125"/>
  <c r="E176" i="125"/>
  <c r="E175" i="125"/>
  <c r="E174" i="125"/>
  <c r="E173" i="125"/>
  <c r="E172" i="125"/>
  <c r="E171" i="125"/>
  <c r="E170" i="125"/>
  <c r="E169" i="125"/>
  <c r="E168" i="125"/>
  <c r="E167" i="125"/>
  <c r="E166" i="125"/>
  <c r="E165" i="125"/>
  <c r="E164" i="125"/>
  <c r="E163" i="125"/>
  <c r="E162" i="125"/>
  <c r="E161" i="125"/>
  <c r="E160" i="125"/>
  <c r="E159" i="125"/>
  <c r="E158" i="125"/>
  <c r="E157" i="125"/>
  <c r="E156" i="125"/>
  <c r="E155" i="125"/>
  <c r="E154" i="125"/>
  <c r="E153" i="125"/>
  <c r="E152" i="125"/>
  <c r="E151" i="125"/>
  <c r="E150" i="125"/>
  <c r="E149" i="125"/>
  <c r="E148" i="125"/>
  <c r="E147" i="125"/>
  <c r="E146" i="125"/>
  <c r="E145" i="125"/>
  <c r="E144" i="125"/>
  <c r="E143" i="125"/>
  <c r="E142" i="125"/>
  <c r="E141" i="125"/>
  <c r="E140" i="125"/>
  <c r="E139" i="125"/>
  <c r="E138" i="125"/>
  <c r="E137" i="125"/>
  <c r="E136" i="125"/>
  <c r="E135" i="125"/>
  <c r="E134" i="125"/>
  <c r="E133" i="125"/>
  <c r="E132" i="125"/>
  <c r="E131" i="125"/>
  <c r="E130" i="125"/>
  <c r="E129" i="125"/>
  <c r="E128" i="125"/>
  <c r="E127" i="125"/>
  <c r="E126" i="125"/>
  <c r="E125" i="125"/>
  <c r="E124" i="125"/>
  <c r="E123" i="125"/>
  <c r="E122" i="125"/>
  <c r="E121" i="125"/>
  <c r="E120" i="125"/>
  <c r="E119" i="125"/>
  <c r="E118" i="125"/>
  <c r="E117" i="125"/>
  <c r="E116" i="125"/>
  <c r="E115" i="125"/>
  <c r="E114" i="125"/>
  <c r="E113" i="125"/>
  <c r="E112" i="125"/>
  <c r="E111" i="125"/>
  <c r="E110" i="125"/>
  <c r="E109" i="125"/>
  <c r="E108" i="125"/>
  <c r="E107" i="125"/>
  <c r="E106" i="125"/>
  <c r="E105" i="125"/>
  <c r="E104" i="125"/>
  <c r="E103" i="125"/>
  <c r="E102" i="125"/>
  <c r="E101" i="125"/>
  <c r="E100" i="125"/>
  <c r="E99" i="125"/>
  <c r="E98" i="125"/>
  <c r="E97" i="125"/>
  <c r="E96" i="125"/>
  <c r="E95" i="125"/>
  <c r="E94" i="125"/>
  <c r="E93" i="125"/>
  <c r="E92" i="125"/>
  <c r="E91" i="125"/>
  <c r="E90" i="125"/>
  <c r="E89" i="125"/>
  <c r="E88" i="125"/>
  <c r="E87" i="125"/>
  <c r="E86" i="125"/>
  <c r="E85" i="125"/>
  <c r="E84" i="125"/>
  <c r="E83" i="125"/>
  <c r="E82" i="125"/>
  <c r="E81" i="125"/>
  <c r="E80" i="125"/>
  <c r="E79" i="125"/>
  <c r="E78" i="125"/>
  <c r="E77" i="125"/>
  <c r="E76" i="125"/>
  <c r="E75" i="125"/>
  <c r="E74" i="125"/>
  <c r="E73" i="125"/>
  <c r="E72" i="125"/>
  <c r="E71" i="125"/>
  <c r="E70" i="125"/>
  <c r="E69" i="125"/>
  <c r="E68" i="125"/>
  <c r="E67" i="125"/>
  <c r="E66" i="125"/>
  <c r="E65" i="125"/>
  <c r="E64" i="125"/>
  <c r="E63" i="125"/>
  <c r="E62" i="125"/>
  <c r="E61" i="125"/>
  <c r="E60" i="125"/>
  <c r="E59" i="125"/>
  <c r="E58" i="125"/>
  <c r="E57" i="125"/>
  <c r="E56" i="125"/>
  <c r="E55" i="125"/>
  <c r="E54" i="125"/>
  <c r="E53" i="125"/>
  <c r="E52" i="125"/>
  <c r="E51" i="125"/>
  <c r="E50" i="125"/>
  <c r="E49" i="125"/>
  <c r="E48" i="125"/>
  <c r="E47" i="125"/>
  <c r="E46" i="125"/>
  <c r="E45" i="125"/>
  <c r="E44" i="125"/>
  <c r="E43" i="125"/>
  <c r="E42" i="125"/>
  <c r="E41" i="125"/>
  <c r="E40" i="125"/>
  <c r="E39" i="125"/>
  <c r="E38" i="125"/>
  <c r="E37" i="125"/>
  <c r="E36" i="125"/>
  <c r="E35" i="125"/>
  <c r="E34" i="125"/>
  <c r="E33" i="125"/>
  <c r="E32" i="125"/>
  <c r="E31" i="125"/>
  <c r="E30" i="125"/>
  <c r="E29" i="125"/>
  <c r="E28" i="125"/>
  <c r="E27" i="125"/>
  <c r="E26" i="125"/>
  <c r="E25" i="125"/>
  <c r="E24" i="125"/>
  <c r="E23" i="125"/>
  <c r="E22" i="125"/>
  <c r="E21" i="125"/>
  <c r="E20" i="125"/>
  <c r="E19" i="125"/>
  <c r="E18" i="125"/>
  <c r="E17" i="125"/>
  <c r="E16" i="125"/>
  <c r="E15" i="125"/>
  <c r="E14" i="125"/>
  <c r="E13" i="125"/>
  <c r="E12" i="125"/>
  <c r="E11" i="125"/>
  <c r="E10" i="125"/>
  <c r="E9" i="125"/>
  <c r="E8" i="125"/>
  <c r="E7" i="125"/>
  <c r="E6" i="125"/>
  <c r="E5" i="125"/>
  <c r="Y37" i="127" l="1"/>
  <c r="AF37" i="127" s="1"/>
  <c r="Y78" i="127"/>
  <c r="AF78" i="127" s="1"/>
  <c r="Y6" i="127"/>
  <c r="AF6" i="127" s="1"/>
  <c r="AF14" i="127"/>
  <c r="Y27" i="127"/>
  <c r="AF27" i="127" s="1"/>
  <c r="Y34" i="127"/>
  <c r="AF34" i="127" s="1"/>
  <c r="Y47" i="127"/>
  <c r="AF47" i="127" s="1"/>
  <c r="Y50" i="127"/>
  <c r="AF50" i="127" s="1"/>
  <c r="Y56" i="127"/>
  <c r="AF56" i="127" s="1"/>
  <c r="Y84" i="127"/>
  <c r="AF84" i="127" s="1"/>
  <c r="AF21" i="127"/>
  <c r="Y59" i="127"/>
  <c r="AF59" i="127" s="1"/>
  <c r="Y7" i="127"/>
  <c r="AF7" i="127" s="1"/>
  <c r="Y8" i="127"/>
  <c r="AF8" i="127" s="1"/>
  <c r="Y36" i="127"/>
  <c r="AF36" i="127" s="1"/>
  <c r="Y41" i="127"/>
  <c r="AF41" i="127" s="1"/>
  <c r="Y42" i="127"/>
  <c r="AF42" i="127" s="1"/>
  <c r="Y43" i="127"/>
  <c r="AF43" i="127" s="1"/>
  <c r="Y46" i="127"/>
  <c r="AF46" i="127" s="1"/>
  <c r="Y52" i="127"/>
  <c r="AF52" i="127" s="1"/>
  <c r="Y58" i="127"/>
  <c r="AF58" i="127" s="1"/>
  <c r="Y63" i="127"/>
  <c r="AF63" i="127" s="1"/>
  <c r="Y69" i="127"/>
  <c r="AF69" i="127" s="1"/>
  <c r="Y75" i="127"/>
  <c r="AF75" i="127" s="1"/>
  <c r="Y77" i="127"/>
  <c r="AF77" i="127" s="1"/>
  <c r="Y4" i="127"/>
  <c r="AF4" i="127" s="1"/>
  <c r="Y5" i="127"/>
  <c r="AF5" i="127" s="1"/>
  <c r="Y9" i="127"/>
  <c r="AF9" i="127" s="1"/>
  <c r="Y10" i="127"/>
  <c r="AF10" i="127" s="1"/>
  <c r="Y11" i="127"/>
  <c r="AF11" i="127" s="1"/>
  <c r="Y12" i="127"/>
  <c r="AF12" i="127" s="1"/>
  <c r="Y13" i="127"/>
  <c r="AF13" i="127" s="1"/>
  <c r="Y17" i="127"/>
  <c r="AF17" i="127" s="1"/>
  <c r="Y18" i="127"/>
  <c r="AF18" i="127" s="1"/>
  <c r="Y19" i="127"/>
  <c r="AF19" i="127" s="1"/>
  <c r="Y20" i="127"/>
  <c r="AF20" i="127" s="1"/>
  <c r="Y24" i="127"/>
  <c r="AF24" i="127" s="1"/>
  <c r="Y25" i="127"/>
  <c r="AF25" i="127" s="1"/>
  <c r="Y26" i="127"/>
  <c r="AF26" i="127" s="1"/>
  <c r="Y30" i="127"/>
  <c r="AF30" i="127" s="1"/>
  <c r="Y31" i="127"/>
  <c r="AF31" i="127" s="1"/>
  <c r="Y32" i="127"/>
  <c r="AF32" i="127" s="1"/>
  <c r="Y33" i="127"/>
  <c r="AF33" i="127" s="1"/>
  <c r="Y44" i="127"/>
  <c r="AF44" i="127" s="1"/>
  <c r="Y45" i="127"/>
  <c r="AF45" i="127" s="1"/>
  <c r="Y48" i="127"/>
  <c r="AF48" i="127" s="1"/>
  <c r="Y51" i="127"/>
  <c r="AF51" i="127" s="1"/>
  <c r="Y53" i="127"/>
  <c r="AF53" i="127" s="1"/>
  <c r="Y55" i="127"/>
  <c r="AF55" i="127" s="1"/>
  <c r="Y57" i="127"/>
  <c r="AF57" i="127" s="1"/>
  <c r="Y60" i="127"/>
  <c r="AF60" i="127" s="1"/>
  <c r="Y62" i="127"/>
  <c r="AF62" i="127" s="1"/>
  <c r="Y68" i="127"/>
  <c r="AF68" i="127" s="1"/>
  <c r="Y74" i="127"/>
  <c r="AF74" i="127" s="1"/>
  <c r="Y80" i="127"/>
  <c r="AF80" i="127" s="1"/>
  <c r="Y81" i="127"/>
  <c r="AF81" i="127" s="1"/>
  <c r="AF82" i="127"/>
  <c r="Y79" i="127"/>
  <c r="AF79" i="127" s="1"/>
  <c r="Y83" i="127"/>
  <c r="AF83" i="127" s="1"/>
  <c r="Y85" i="127"/>
  <c r="AF85" i="127" s="1"/>
  <c r="Y90" i="127"/>
  <c r="AF90" i="127" s="1"/>
  <c r="Y93" i="127"/>
  <c r="AF93" i="127" s="1"/>
  <c r="Y98" i="127"/>
  <c r="AF98" i="127" s="1"/>
  <c r="Y104" i="127"/>
  <c r="AF104" i="127" s="1"/>
  <c r="Y109" i="127"/>
  <c r="AF109" i="127" s="1"/>
  <c r="Y116" i="127"/>
  <c r="AF116" i="127" s="1"/>
  <c r="Y118" i="127"/>
  <c r="AF118" i="127" s="1"/>
  <c r="Y119" i="127"/>
  <c r="AF119" i="127" s="1"/>
  <c r="Y122" i="127"/>
  <c r="AF122" i="127" s="1"/>
  <c r="Y130" i="127"/>
  <c r="AF130" i="127" s="1"/>
  <c r="Y135" i="127"/>
  <c r="AF135" i="127" s="1"/>
  <c r="Y140" i="127"/>
  <c r="AF140" i="127" s="1"/>
  <c r="Y143" i="127"/>
  <c r="AF143" i="127" s="1"/>
  <c r="Y146" i="127"/>
  <c r="AF146" i="127" s="1"/>
  <c r="Y88" i="127"/>
  <c r="AF88" i="127" s="1"/>
  <c r="Y89" i="127"/>
  <c r="AF89" i="127" s="1"/>
  <c r="P91" i="127"/>
  <c r="Y91" i="127" s="1"/>
  <c r="AF91" i="127" s="1"/>
  <c r="Y92" i="127"/>
  <c r="AF92" i="127" s="1"/>
  <c r="Y97" i="127"/>
  <c r="AF97" i="127" s="1"/>
  <c r="Y108" i="127"/>
  <c r="AF108" i="127" s="1"/>
  <c r="R202" i="127"/>
  <c r="R200" i="127"/>
  <c r="R201" i="127"/>
  <c r="R203" i="127"/>
  <c r="P86" i="127"/>
  <c r="Y87" i="127"/>
  <c r="AF87" i="127" s="1"/>
  <c r="Y95" i="127"/>
  <c r="AF95" i="127" s="1"/>
  <c r="Y102" i="127"/>
  <c r="AF102" i="127" s="1"/>
  <c r="Y106" i="127"/>
  <c r="AF106" i="127" s="1"/>
  <c r="Y112" i="127"/>
  <c r="AF112" i="127" s="1"/>
  <c r="Y115" i="127"/>
  <c r="AF115" i="127" s="1"/>
  <c r="Y117" i="127"/>
  <c r="AF117" i="127" s="1"/>
  <c r="Y126" i="127"/>
  <c r="AF126" i="127" s="1"/>
  <c r="Y129" i="127"/>
  <c r="AF129" i="127" s="1"/>
  <c r="Y131" i="127"/>
  <c r="AF131" i="127" s="1"/>
  <c r="Y139" i="127"/>
  <c r="AF139" i="127" s="1"/>
  <c r="Y141" i="127"/>
  <c r="AF141" i="127" s="1"/>
  <c r="Y145" i="127"/>
  <c r="AF145" i="127" s="1"/>
  <c r="Y148" i="127"/>
  <c r="AF148" i="127" s="1"/>
  <c r="Y150" i="127"/>
  <c r="AF150" i="127" s="1"/>
  <c r="P162" i="127"/>
  <c r="Y162" i="127" s="1"/>
  <c r="AF162" i="127" s="1"/>
  <c r="O163" i="127"/>
  <c r="M171" i="127"/>
  <c r="M195" i="127"/>
  <c r="AD195" i="127"/>
  <c r="AE195" i="127" s="1"/>
  <c r="AD191" i="127"/>
  <c r="AE191" i="127" s="1"/>
  <c r="AD186" i="127"/>
  <c r="AE186" i="127" s="1"/>
  <c r="AD180" i="127"/>
  <c r="AE180" i="127" s="1"/>
  <c r="AD176" i="127"/>
  <c r="AE176" i="127" s="1"/>
  <c r="AD170" i="127"/>
  <c r="AE170" i="127" s="1"/>
  <c r="AD196" i="127"/>
  <c r="AE196" i="127" s="1"/>
  <c r="AD192" i="127"/>
  <c r="AE192" i="127" s="1"/>
  <c r="AD181" i="127"/>
  <c r="AE181" i="127" s="1"/>
  <c r="AD177" i="127"/>
  <c r="AE177" i="127" s="1"/>
  <c r="AD173" i="127"/>
  <c r="AE173" i="127" s="1"/>
  <c r="AD163" i="127"/>
  <c r="AE163" i="127" s="1"/>
  <c r="AD158" i="127"/>
  <c r="AE158" i="127" s="1"/>
  <c r="AD156" i="127"/>
  <c r="AE156" i="127" s="1"/>
  <c r="AD194" i="127"/>
  <c r="AE194" i="127" s="1"/>
  <c r="AD190" i="127"/>
  <c r="AE190" i="127" s="1"/>
  <c r="AD185" i="127"/>
  <c r="AE185" i="127" s="1"/>
  <c r="AD183" i="127"/>
  <c r="AE183" i="127" s="1"/>
  <c r="AD179" i="127"/>
  <c r="AE179" i="127" s="1"/>
  <c r="AD175" i="127"/>
  <c r="AE175" i="127" s="1"/>
  <c r="AD169" i="127"/>
  <c r="AE169" i="127" s="1"/>
  <c r="AD166" i="127"/>
  <c r="AE166" i="127" s="1"/>
  <c r="P8" i="128"/>
  <c r="AA8" i="128" s="1"/>
  <c r="AH8" i="128" s="1"/>
  <c r="AA9" i="128"/>
  <c r="AH9" i="128" s="1"/>
  <c r="AA10" i="128"/>
  <c r="AH10" i="128" s="1"/>
  <c r="AA11" i="128"/>
  <c r="AH11" i="128" s="1"/>
  <c r="AA12" i="128"/>
  <c r="AH12" i="128" s="1"/>
  <c r="AA13" i="128"/>
  <c r="AH13" i="128" s="1"/>
  <c r="AA14" i="128"/>
  <c r="AH14" i="128" s="1"/>
  <c r="AA15" i="128"/>
  <c r="AH15" i="128" s="1"/>
  <c r="AA16" i="128"/>
  <c r="AH16" i="128" s="1"/>
  <c r="AA18" i="128"/>
  <c r="AH18" i="128" s="1"/>
  <c r="P20" i="128"/>
  <c r="P21" i="128"/>
  <c r="AA21" i="128" s="1"/>
  <c r="AH21" i="128" s="1"/>
  <c r="P25" i="128"/>
  <c r="AA25" i="128" s="1"/>
  <c r="AH25" i="128" s="1"/>
  <c r="P29" i="128"/>
  <c r="AA29" i="128" s="1"/>
  <c r="AH29" i="128" s="1"/>
  <c r="AA39" i="128"/>
  <c r="AH39" i="128" s="1"/>
  <c r="AA41" i="128"/>
  <c r="AH41" i="128" s="1"/>
  <c r="P163" i="127"/>
  <c r="Y163" i="127" s="1"/>
  <c r="AF163" i="127" s="1"/>
  <c r="L197" i="127"/>
  <c r="L178" i="127"/>
  <c r="L166" i="127"/>
  <c r="L194" i="127"/>
  <c r="P194" i="127" s="1"/>
  <c r="Y194" i="127" s="1"/>
  <c r="AF194" i="127" s="1"/>
  <c r="L185" i="127"/>
  <c r="P185" i="127" s="1"/>
  <c r="Y185" i="127" s="1"/>
  <c r="AF185" i="127" s="1"/>
  <c r="L175" i="127"/>
  <c r="L169" i="127"/>
  <c r="L192" i="127"/>
  <c r="L177" i="127"/>
  <c r="L163" i="127"/>
  <c r="L156" i="127"/>
  <c r="AA70" i="128"/>
  <c r="AH70" i="128" s="1"/>
  <c r="AA76" i="128"/>
  <c r="AH76" i="128" s="1"/>
  <c r="K160" i="127"/>
  <c r="P160" i="127" s="1"/>
  <c r="Y160" i="127" s="1"/>
  <c r="AF160" i="127" s="1"/>
  <c r="K179" i="127"/>
  <c r="L195" i="127"/>
  <c r="K196" i="127"/>
  <c r="K192" i="127"/>
  <c r="P192" i="127" s="1"/>
  <c r="Y192" i="127" s="1"/>
  <c r="AF192" i="127" s="1"/>
  <c r="K189" i="127"/>
  <c r="K187" i="127"/>
  <c r="K181" i="127"/>
  <c r="K177" i="127"/>
  <c r="P177" i="127" s="1"/>
  <c r="Y177" i="127" s="1"/>
  <c r="AF177" i="127" s="1"/>
  <c r="K173" i="127"/>
  <c r="K171" i="127"/>
  <c r="K197" i="127"/>
  <c r="K193" i="127"/>
  <c r="K182" i="127"/>
  <c r="K178" i="127"/>
  <c r="K174" i="127"/>
  <c r="K168" i="127"/>
  <c r="K166" i="127"/>
  <c r="K164" i="127"/>
  <c r="K159" i="127"/>
  <c r="K157" i="127"/>
  <c r="K154" i="127"/>
  <c r="K195" i="127"/>
  <c r="K191" i="127"/>
  <c r="K186" i="127"/>
  <c r="K184" i="127"/>
  <c r="K180" i="127"/>
  <c r="K176" i="127"/>
  <c r="K170" i="127"/>
  <c r="K167" i="127"/>
  <c r="K165" i="127"/>
  <c r="K158" i="127"/>
  <c r="O196" i="127"/>
  <c r="O192" i="127"/>
  <c r="O189" i="127"/>
  <c r="O187" i="127"/>
  <c r="O181" i="127"/>
  <c r="O177" i="127"/>
  <c r="O173" i="127"/>
  <c r="O171" i="127"/>
  <c r="O197" i="127"/>
  <c r="O193" i="127"/>
  <c r="O182" i="127"/>
  <c r="O178" i="127"/>
  <c r="O174" i="127"/>
  <c r="O168" i="127"/>
  <c r="O166" i="127"/>
  <c r="O164" i="127"/>
  <c r="O159" i="127"/>
  <c r="O157" i="127"/>
  <c r="O154" i="127"/>
  <c r="O195" i="127"/>
  <c r="O191" i="127"/>
  <c r="O186" i="127"/>
  <c r="O184" i="127"/>
  <c r="O180" i="127"/>
  <c r="O176" i="127"/>
  <c r="O170" i="127"/>
  <c r="O167" i="127"/>
  <c r="O165" i="127"/>
  <c r="O158" i="127"/>
  <c r="O151" i="127"/>
  <c r="P5" i="128"/>
  <c r="AA17" i="128"/>
  <c r="AH17" i="128" s="1"/>
  <c r="AA20" i="128"/>
  <c r="AH20" i="128" s="1"/>
  <c r="P23" i="128"/>
  <c r="AA23" i="128" s="1"/>
  <c r="AH23" i="128" s="1"/>
  <c r="P27" i="128"/>
  <c r="AA27" i="128" s="1"/>
  <c r="AH27" i="128" s="1"/>
  <c r="P31" i="128"/>
  <c r="AA31" i="128" s="1"/>
  <c r="AH31" i="128" s="1"/>
  <c r="AA32" i="128"/>
  <c r="AH32" i="128" s="1"/>
  <c r="AA33" i="128"/>
  <c r="AH33" i="128" s="1"/>
  <c r="AA35" i="128"/>
  <c r="AH35" i="128" s="1"/>
  <c r="AA37" i="128"/>
  <c r="AH37" i="128" s="1"/>
  <c r="AA43" i="128"/>
  <c r="AH43" i="128" s="1"/>
  <c r="AA44" i="128"/>
  <c r="AH44" i="128" s="1"/>
  <c r="AA45" i="128"/>
  <c r="AH45" i="128" s="1"/>
  <c r="AA51" i="128"/>
  <c r="AH51" i="128" s="1"/>
  <c r="AA52" i="128"/>
  <c r="AH52" i="128" s="1"/>
  <c r="AA53" i="128"/>
  <c r="AH53" i="128" s="1"/>
  <c r="AA54" i="128"/>
  <c r="AH54" i="128" s="1"/>
  <c r="AA55" i="128"/>
  <c r="AH55" i="128" s="1"/>
  <c r="AA56" i="128"/>
  <c r="AH56" i="128" s="1"/>
  <c r="AA57" i="128"/>
  <c r="AH57" i="128" s="1"/>
  <c r="AA58" i="128"/>
  <c r="AH58" i="128" s="1"/>
  <c r="AH65" i="128"/>
  <c r="AH66" i="128"/>
  <c r="P156" i="127"/>
  <c r="Y156" i="127" s="1"/>
  <c r="AF156" i="127" s="1"/>
  <c r="P161" i="127"/>
  <c r="Y161" i="127" s="1"/>
  <c r="AF161" i="127" s="1"/>
  <c r="O185" i="127"/>
  <c r="M194" i="127"/>
  <c r="M190" i="127"/>
  <c r="P190" i="127" s="1"/>
  <c r="Y190" i="127" s="1"/>
  <c r="AF190" i="127" s="1"/>
  <c r="M188" i="127"/>
  <c r="P188" i="127" s="1"/>
  <c r="Y188" i="127" s="1"/>
  <c r="AF188" i="127" s="1"/>
  <c r="M185" i="127"/>
  <c r="M183" i="127"/>
  <c r="P183" i="127" s="1"/>
  <c r="Y183" i="127" s="1"/>
  <c r="AF183" i="127" s="1"/>
  <c r="M179" i="127"/>
  <c r="M175" i="127"/>
  <c r="P175" i="127" s="1"/>
  <c r="Y175" i="127" s="1"/>
  <c r="AF175" i="127" s="1"/>
  <c r="M172" i="127"/>
  <c r="P172" i="127" s="1"/>
  <c r="Y172" i="127" s="1"/>
  <c r="AF172" i="127" s="1"/>
  <c r="M169" i="127"/>
  <c r="P169" i="127" s="1"/>
  <c r="Y169" i="127" s="1"/>
  <c r="AF169" i="127" s="1"/>
  <c r="M184" i="127"/>
  <c r="M180" i="127"/>
  <c r="M176" i="127"/>
  <c r="M170" i="127"/>
  <c r="M167" i="127"/>
  <c r="M165" i="127"/>
  <c r="M158" i="127"/>
  <c r="M151" i="127"/>
  <c r="P151" i="127" s="1"/>
  <c r="Y151" i="127" s="1"/>
  <c r="AF151" i="127" s="1"/>
  <c r="M182" i="127"/>
  <c r="M178" i="127"/>
  <c r="M174" i="127"/>
  <c r="M168" i="127"/>
  <c r="M166" i="127"/>
  <c r="M164" i="127"/>
  <c r="M159" i="127"/>
  <c r="M157" i="127"/>
  <c r="M154" i="127"/>
  <c r="AA4" i="128"/>
  <c r="AH4" i="128" s="1"/>
  <c r="P6" i="128"/>
  <c r="AA6" i="128" s="1"/>
  <c r="AH6" i="128" s="1"/>
  <c r="P19" i="128"/>
  <c r="AA19" i="128" s="1"/>
  <c r="AH19" i="128" s="1"/>
  <c r="M193" i="127"/>
  <c r="M197" i="127"/>
  <c r="AA80" i="128"/>
  <c r="AH80" i="128" s="1"/>
  <c r="AA83" i="128"/>
  <c r="AH83" i="128" s="1"/>
  <c r="P84" i="128"/>
  <c r="AA84" i="128" s="1"/>
  <c r="AH84" i="128" s="1"/>
  <c r="AA92" i="128"/>
  <c r="AH92" i="128" s="1"/>
  <c r="AA94" i="128"/>
  <c r="AH94" i="128" s="1"/>
  <c r="AA117" i="128"/>
  <c r="AH117" i="128" s="1"/>
  <c r="AA124" i="128"/>
  <c r="AH124" i="128" s="1"/>
  <c r="AA125" i="128"/>
  <c r="AH125" i="128" s="1"/>
  <c r="AA129" i="128"/>
  <c r="AH129" i="128" s="1"/>
  <c r="AA141" i="128"/>
  <c r="AH141" i="128" s="1"/>
  <c r="AA79" i="128"/>
  <c r="AH79" i="128" s="1"/>
  <c r="AA93" i="128"/>
  <c r="AH93" i="128" s="1"/>
  <c r="AA95" i="128"/>
  <c r="AH95" i="128" s="1"/>
  <c r="AA96" i="128"/>
  <c r="AH96" i="128" s="1"/>
  <c r="AA97" i="128"/>
  <c r="AH97" i="128" s="1"/>
  <c r="AA98" i="128"/>
  <c r="AH98" i="128" s="1"/>
  <c r="AA100" i="128"/>
  <c r="AH100" i="128" s="1"/>
  <c r="AA104" i="128"/>
  <c r="AH104" i="128" s="1"/>
  <c r="AA105" i="128"/>
  <c r="AH105" i="128" s="1"/>
  <c r="AA109" i="128"/>
  <c r="AH109" i="128" s="1"/>
  <c r="AA118" i="128"/>
  <c r="AH118" i="128" s="1"/>
  <c r="AA119" i="128"/>
  <c r="AH119" i="128" s="1"/>
  <c r="AA120" i="128"/>
  <c r="AH120" i="128" s="1"/>
  <c r="AA121" i="128"/>
  <c r="AH121" i="128" s="1"/>
  <c r="AA126" i="128"/>
  <c r="AH126" i="128" s="1"/>
  <c r="AA133" i="128"/>
  <c r="AH133" i="128" s="1"/>
  <c r="AA137" i="128"/>
  <c r="AH137" i="128" s="1"/>
  <c r="M186" i="127"/>
  <c r="M191" i="127"/>
  <c r="R203" i="128"/>
  <c r="R200" i="128"/>
  <c r="R202" i="128"/>
  <c r="R201" i="128"/>
  <c r="AA78" i="128"/>
  <c r="AH78" i="128" s="1"/>
  <c r="AA82" i="128"/>
  <c r="AH82" i="128" s="1"/>
  <c r="AA115" i="128"/>
  <c r="AH115" i="128" s="1"/>
  <c r="AA77" i="128"/>
  <c r="AH77" i="128" s="1"/>
  <c r="AA81" i="128"/>
  <c r="AH81" i="128" s="1"/>
  <c r="AA116" i="128"/>
  <c r="AH116" i="128" s="1"/>
  <c r="AA128" i="128"/>
  <c r="AH128" i="128" s="1"/>
  <c r="AA131" i="128"/>
  <c r="AH131" i="128" s="1"/>
  <c r="AA139" i="128"/>
  <c r="AH139" i="128" s="1"/>
  <c r="AA144" i="128"/>
  <c r="AH144" i="128" s="1"/>
  <c r="AA146" i="128"/>
  <c r="AH146" i="128" s="1"/>
  <c r="AA136" i="128"/>
  <c r="AH136" i="128" s="1"/>
  <c r="AA138" i="128"/>
  <c r="AH138" i="128" s="1"/>
  <c r="AA145" i="128"/>
  <c r="AH145" i="128" s="1"/>
  <c r="AA148" i="128"/>
  <c r="AH148" i="128" s="1"/>
  <c r="P150" i="128"/>
  <c r="AA150" i="128" s="1"/>
  <c r="AH150" i="128" s="1"/>
  <c r="P130" i="128"/>
  <c r="AA130" i="128" s="1"/>
  <c r="AH130" i="128" s="1"/>
  <c r="AA132" i="128"/>
  <c r="AH132" i="128" s="1"/>
  <c r="AA140" i="128"/>
  <c r="AH140" i="128" s="1"/>
  <c r="P147" i="128"/>
  <c r="AA147" i="128" s="1"/>
  <c r="AH147" i="128" s="1"/>
  <c r="AA149" i="128"/>
  <c r="AH149" i="128" s="1"/>
  <c r="M191" i="128"/>
  <c r="M194" i="128"/>
  <c r="M193" i="128"/>
  <c r="M192" i="128"/>
  <c r="M188" i="128"/>
  <c r="M187" i="128"/>
  <c r="M186" i="128"/>
  <c r="M185" i="128"/>
  <c r="M184" i="128"/>
  <c r="M183" i="128"/>
  <c r="P183" i="128" s="1"/>
  <c r="AA183" i="128" s="1"/>
  <c r="AH183" i="128" s="1"/>
  <c r="M182" i="128"/>
  <c r="M181" i="128"/>
  <c r="M180" i="128"/>
  <c r="M179" i="128"/>
  <c r="P179" i="128" s="1"/>
  <c r="AA179" i="128" s="1"/>
  <c r="AH179" i="128" s="1"/>
  <c r="M178" i="128"/>
  <c r="M171" i="128"/>
  <c r="M170" i="128"/>
  <c r="P170" i="128" s="1"/>
  <c r="AA170" i="128" s="1"/>
  <c r="AH170" i="128" s="1"/>
  <c r="K196" i="128"/>
  <c r="K195" i="128"/>
  <c r="K190" i="128"/>
  <c r="K189" i="128"/>
  <c r="K188" i="128"/>
  <c r="K186" i="128"/>
  <c r="K185" i="128"/>
  <c r="O197" i="128"/>
  <c r="O190" i="128"/>
  <c r="O189" i="128"/>
  <c r="O188" i="128"/>
  <c r="O187" i="128"/>
  <c r="O186" i="128"/>
  <c r="O184" i="128"/>
  <c r="O193" i="128"/>
  <c r="O172" i="128"/>
  <c r="P172" i="128" s="1"/>
  <c r="AA172" i="128" s="1"/>
  <c r="AH172" i="128" s="1"/>
  <c r="M158" i="128"/>
  <c r="P158" i="128" s="1"/>
  <c r="AA158" i="128" s="1"/>
  <c r="AH158" i="128" s="1"/>
  <c r="M159" i="128"/>
  <c r="P159" i="128" s="1"/>
  <c r="AA159" i="128" s="1"/>
  <c r="AH159" i="128" s="1"/>
  <c r="K161" i="128"/>
  <c r="K162" i="128"/>
  <c r="M164" i="128"/>
  <c r="P164" i="128" s="1"/>
  <c r="AA164" i="128" s="1"/>
  <c r="AH164" i="128" s="1"/>
  <c r="K180" i="128"/>
  <c r="P180" i="128" s="1"/>
  <c r="K184" i="128"/>
  <c r="AF196" i="128"/>
  <c r="AG196" i="128" s="1"/>
  <c r="AF195" i="128"/>
  <c r="AG195" i="128" s="1"/>
  <c r="AF189" i="128"/>
  <c r="AG189" i="128" s="1"/>
  <c r="AF188" i="128"/>
  <c r="AG188" i="128" s="1"/>
  <c r="AF187" i="128"/>
  <c r="AG187" i="128" s="1"/>
  <c r="AF186" i="128"/>
  <c r="AG186" i="128" s="1"/>
  <c r="AF185" i="128"/>
  <c r="AG185" i="128" s="1"/>
  <c r="AF184" i="128"/>
  <c r="AG184" i="128" s="1"/>
  <c r="AF193" i="128"/>
  <c r="AG193" i="128" s="1"/>
  <c r="AF192" i="128"/>
  <c r="AG192" i="128" s="1"/>
  <c r="X196" i="128"/>
  <c r="X195" i="128"/>
  <c r="X190" i="128"/>
  <c r="X189" i="128"/>
  <c r="X188" i="128"/>
  <c r="X187" i="128"/>
  <c r="X186" i="128"/>
  <c r="X185" i="128"/>
  <c r="X184" i="128"/>
  <c r="X191" i="128"/>
  <c r="X176" i="128"/>
  <c r="X175" i="128"/>
  <c r="X174" i="128"/>
  <c r="X173" i="128"/>
  <c r="O165" i="128"/>
  <c r="P165" i="128" s="1"/>
  <c r="AA165" i="128" s="1"/>
  <c r="AH165" i="128" s="1"/>
  <c r="O166" i="128"/>
  <c r="P166" i="128" s="1"/>
  <c r="AA166" i="128" s="1"/>
  <c r="AH166" i="128" s="1"/>
  <c r="K167" i="128"/>
  <c r="P167" i="128" s="1"/>
  <c r="AA167" i="128" s="1"/>
  <c r="AH167" i="128" s="1"/>
  <c r="K168" i="128"/>
  <c r="P168" i="128" s="1"/>
  <c r="AA168" i="128" s="1"/>
  <c r="AH168" i="128" s="1"/>
  <c r="O168" i="128"/>
  <c r="K169" i="128"/>
  <c r="P169" i="128" s="1"/>
  <c r="AA169" i="128" s="1"/>
  <c r="AH169" i="128" s="1"/>
  <c r="K171" i="128"/>
  <c r="P171" i="128" s="1"/>
  <c r="AA171" i="128" s="1"/>
  <c r="AH171" i="128" s="1"/>
  <c r="O174" i="128"/>
  <c r="O176" i="128"/>
  <c r="O177" i="128"/>
  <c r="AF179" i="128"/>
  <c r="AG179" i="128" s="1"/>
  <c r="K181" i="128"/>
  <c r="P181" i="128" s="1"/>
  <c r="AA181" i="128" s="1"/>
  <c r="AH181" i="128" s="1"/>
  <c r="O182" i="128"/>
  <c r="AF183" i="128"/>
  <c r="AG183" i="128" s="1"/>
  <c r="L197" i="128"/>
  <c r="L196" i="128"/>
  <c r="L195" i="128"/>
  <c r="L190" i="128"/>
  <c r="L189" i="128"/>
  <c r="L188" i="128"/>
  <c r="L187" i="128"/>
  <c r="P187" i="128" s="1"/>
  <c r="L186" i="128"/>
  <c r="L185" i="128"/>
  <c r="L191" i="128"/>
  <c r="P191" i="128" s="1"/>
  <c r="AA191" i="128" s="1"/>
  <c r="AH191" i="128" s="1"/>
  <c r="L177" i="128"/>
  <c r="L176" i="128"/>
  <c r="L175" i="128"/>
  <c r="L174" i="128"/>
  <c r="L173" i="128"/>
  <c r="Z197" i="128"/>
  <c r="Z191" i="128"/>
  <c r="Z193" i="128"/>
  <c r="Z192" i="128"/>
  <c r="Z196" i="128"/>
  <c r="Z195" i="128"/>
  <c r="Z189" i="128"/>
  <c r="Z188" i="128"/>
  <c r="Z187" i="128"/>
  <c r="Z186" i="128"/>
  <c r="Z185" i="128"/>
  <c r="Z184" i="128"/>
  <c r="Z183" i="128"/>
  <c r="Z182" i="128"/>
  <c r="Z181" i="128"/>
  <c r="Z180" i="128"/>
  <c r="AA180" i="128" s="1"/>
  <c r="AH180" i="128" s="1"/>
  <c r="Z179" i="128"/>
  <c r="Z178" i="128"/>
  <c r="Z170" i="128"/>
  <c r="M142" i="128"/>
  <c r="P142" i="128" s="1"/>
  <c r="AA142" i="128" s="1"/>
  <c r="AH142" i="128" s="1"/>
  <c r="M143" i="128"/>
  <c r="P143" i="128" s="1"/>
  <c r="AA143" i="128" s="1"/>
  <c r="AH143" i="128" s="1"/>
  <c r="M151" i="128"/>
  <c r="P151" i="128" s="1"/>
  <c r="AA151" i="128" s="1"/>
  <c r="AH151" i="128" s="1"/>
  <c r="M152" i="128"/>
  <c r="P152" i="128" s="1"/>
  <c r="AA152" i="128" s="1"/>
  <c r="AH152" i="128" s="1"/>
  <c r="M153" i="128"/>
  <c r="P153" i="128" s="1"/>
  <c r="AA153" i="128" s="1"/>
  <c r="AH153" i="128" s="1"/>
  <c r="M154" i="128"/>
  <c r="P154" i="128" s="1"/>
  <c r="AA154" i="128" s="1"/>
  <c r="AH154" i="128" s="1"/>
  <c r="M155" i="128"/>
  <c r="P155" i="128" s="1"/>
  <c r="AA155" i="128" s="1"/>
  <c r="AH155" i="128" s="1"/>
  <c r="M156" i="128"/>
  <c r="P156" i="128" s="1"/>
  <c r="AA156" i="128" s="1"/>
  <c r="AH156" i="128" s="1"/>
  <c r="M157" i="128"/>
  <c r="P157" i="128" s="1"/>
  <c r="AA157" i="128" s="1"/>
  <c r="AH157" i="128" s="1"/>
  <c r="M160" i="128"/>
  <c r="P160" i="128" s="1"/>
  <c r="AA160" i="128" s="1"/>
  <c r="AH160" i="128" s="1"/>
  <c r="M161" i="128"/>
  <c r="M162" i="128"/>
  <c r="M163" i="128"/>
  <c r="P163" i="128" s="1"/>
  <c r="AA163" i="128" s="1"/>
  <c r="AH163" i="128" s="1"/>
  <c r="AF170" i="128"/>
  <c r="AG170" i="128" s="1"/>
  <c r="P173" i="128"/>
  <c r="AA173" i="128" s="1"/>
  <c r="AH173" i="128" s="1"/>
  <c r="P174" i="128"/>
  <c r="AA174" i="128" s="1"/>
  <c r="AH174" i="128" s="1"/>
  <c r="K175" i="128"/>
  <c r="P175" i="128" s="1"/>
  <c r="AA175" i="128" s="1"/>
  <c r="AH175" i="128" s="1"/>
  <c r="P176" i="128"/>
  <c r="AA176" i="128" s="1"/>
  <c r="AH176" i="128" s="1"/>
  <c r="K177" i="128"/>
  <c r="P177" i="128" s="1"/>
  <c r="AA177" i="128" s="1"/>
  <c r="AH177" i="128" s="1"/>
  <c r="K178" i="128"/>
  <c r="P178" i="128" s="1"/>
  <c r="AA178" i="128" s="1"/>
  <c r="AH178" i="128" s="1"/>
  <c r="O179" i="128"/>
  <c r="AF180" i="128"/>
  <c r="AG180" i="128" s="1"/>
  <c r="K182" i="128"/>
  <c r="P182" i="128" s="1"/>
  <c r="X182" i="128"/>
  <c r="O183" i="128"/>
  <c r="O191" i="128"/>
  <c r="X192" i="128"/>
  <c r="L194" i="128"/>
  <c r="P194" i="128" s="1"/>
  <c r="AA194" i="128" s="1"/>
  <c r="AH194" i="128" s="1"/>
  <c r="M197" i="128"/>
  <c r="N194" i="128"/>
  <c r="N192" i="128"/>
  <c r="M189" i="128"/>
  <c r="M190" i="128"/>
  <c r="K192" i="128"/>
  <c r="K193" i="128"/>
  <c r="P193" i="128" s="1"/>
  <c r="AA193" i="128" s="1"/>
  <c r="AH193" i="128" s="1"/>
  <c r="M195" i="128"/>
  <c r="M196" i="128"/>
  <c r="E198" i="124"/>
  <c r="E197" i="124"/>
  <c r="E196" i="124"/>
  <c r="E195" i="124"/>
  <c r="E194" i="124"/>
  <c r="E193" i="124"/>
  <c r="E192" i="124"/>
  <c r="E191" i="124"/>
  <c r="E190" i="124"/>
  <c r="E189" i="124"/>
  <c r="E188" i="124"/>
  <c r="E187" i="124"/>
  <c r="E186" i="124"/>
  <c r="E185" i="124"/>
  <c r="E184" i="124"/>
  <c r="E183" i="124"/>
  <c r="E182" i="124"/>
  <c r="E181" i="124"/>
  <c r="E180" i="124"/>
  <c r="E179" i="124"/>
  <c r="E178" i="124"/>
  <c r="E177" i="124"/>
  <c r="E176" i="124"/>
  <c r="E175" i="124"/>
  <c r="E174" i="124"/>
  <c r="E173" i="124"/>
  <c r="E172" i="124"/>
  <c r="E171" i="124"/>
  <c r="E170" i="124"/>
  <c r="E169" i="124"/>
  <c r="E168" i="124"/>
  <c r="E167" i="124"/>
  <c r="E166" i="124"/>
  <c r="E165" i="124"/>
  <c r="E164" i="124"/>
  <c r="E163" i="124"/>
  <c r="E162" i="124"/>
  <c r="E161" i="124"/>
  <c r="E160" i="124"/>
  <c r="E159" i="124"/>
  <c r="E158" i="124"/>
  <c r="E157" i="124"/>
  <c r="E156" i="124"/>
  <c r="E155" i="124"/>
  <c r="E154" i="124"/>
  <c r="E153" i="124"/>
  <c r="E152" i="124"/>
  <c r="E151" i="124"/>
  <c r="E150" i="124"/>
  <c r="E149" i="124"/>
  <c r="E148" i="124"/>
  <c r="E147" i="124"/>
  <c r="E146" i="124"/>
  <c r="E145" i="124"/>
  <c r="E144" i="124"/>
  <c r="E143" i="124"/>
  <c r="E142" i="124"/>
  <c r="E141" i="124"/>
  <c r="E140" i="124"/>
  <c r="E139" i="124"/>
  <c r="E138" i="124"/>
  <c r="E137" i="124"/>
  <c r="E136" i="124"/>
  <c r="E135" i="124"/>
  <c r="E134" i="124"/>
  <c r="E133" i="124"/>
  <c r="E132" i="124"/>
  <c r="E131" i="124"/>
  <c r="E130" i="124"/>
  <c r="E129" i="124"/>
  <c r="E128" i="124"/>
  <c r="E127" i="124"/>
  <c r="E126" i="124"/>
  <c r="E125" i="124"/>
  <c r="E124" i="124"/>
  <c r="E123" i="124"/>
  <c r="E122" i="124"/>
  <c r="E121" i="124"/>
  <c r="E120" i="124"/>
  <c r="E119" i="124"/>
  <c r="E118" i="124"/>
  <c r="E117" i="124"/>
  <c r="E116" i="124"/>
  <c r="E115" i="124"/>
  <c r="E114" i="124"/>
  <c r="E113" i="124"/>
  <c r="E112" i="124"/>
  <c r="E111" i="124"/>
  <c r="E110" i="124"/>
  <c r="E109" i="124"/>
  <c r="E108" i="124"/>
  <c r="E107" i="124"/>
  <c r="E106" i="124"/>
  <c r="E105" i="124"/>
  <c r="E104" i="124"/>
  <c r="E103" i="124"/>
  <c r="E102" i="124"/>
  <c r="E101" i="124"/>
  <c r="E100" i="124"/>
  <c r="E99" i="124"/>
  <c r="E98" i="124"/>
  <c r="E97" i="124"/>
  <c r="E96" i="124"/>
  <c r="E95" i="124"/>
  <c r="E94" i="124"/>
  <c r="E93" i="124"/>
  <c r="E92" i="124"/>
  <c r="E91" i="124"/>
  <c r="E90" i="124"/>
  <c r="E89" i="124"/>
  <c r="E88" i="124"/>
  <c r="E87" i="124"/>
  <c r="E86" i="124"/>
  <c r="E85" i="124"/>
  <c r="E84" i="124"/>
  <c r="E83" i="124"/>
  <c r="E82" i="124"/>
  <c r="E81" i="124"/>
  <c r="E80" i="124"/>
  <c r="E79" i="124"/>
  <c r="E78" i="124"/>
  <c r="E77" i="124"/>
  <c r="E76" i="124"/>
  <c r="E75" i="124"/>
  <c r="E74" i="124"/>
  <c r="E73" i="124"/>
  <c r="E72" i="124"/>
  <c r="E71" i="124"/>
  <c r="E70" i="124"/>
  <c r="E69" i="124"/>
  <c r="E68" i="124"/>
  <c r="E67" i="124"/>
  <c r="E66" i="124"/>
  <c r="E65" i="124"/>
  <c r="E64" i="124"/>
  <c r="E63" i="124"/>
  <c r="E62" i="124"/>
  <c r="E61" i="124"/>
  <c r="E60" i="124"/>
  <c r="E59" i="124"/>
  <c r="E58" i="124"/>
  <c r="E57" i="124"/>
  <c r="E56" i="124"/>
  <c r="E55" i="124"/>
  <c r="E54" i="124"/>
  <c r="E53" i="124"/>
  <c r="E52" i="124"/>
  <c r="E51" i="124"/>
  <c r="E50" i="124"/>
  <c r="E49" i="124"/>
  <c r="E48" i="124"/>
  <c r="E47" i="124"/>
  <c r="E46" i="124"/>
  <c r="E45" i="124"/>
  <c r="E44" i="124"/>
  <c r="E43" i="124"/>
  <c r="E42" i="124"/>
  <c r="E41" i="124"/>
  <c r="E40" i="124"/>
  <c r="E39" i="124"/>
  <c r="E38" i="124"/>
  <c r="E37" i="124"/>
  <c r="E36" i="124"/>
  <c r="E35" i="124"/>
  <c r="E34" i="124"/>
  <c r="E33" i="124"/>
  <c r="E32" i="124"/>
  <c r="E31" i="124"/>
  <c r="E30" i="124"/>
  <c r="E29" i="124"/>
  <c r="E28" i="124"/>
  <c r="E27" i="124"/>
  <c r="E26" i="124"/>
  <c r="E25" i="124"/>
  <c r="E24" i="124"/>
  <c r="E23" i="124"/>
  <c r="E22" i="124"/>
  <c r="E21" i="124"/>
  <c r="E20" i="124"/>
  <c r="E19" i="124"/>
  <c r="E18" i="124"/>
  <c r="E17" i="124"/>
  <c r="E16" i="124"/>
  <c r="E15" i="124"/>
  <c r="E14" i="124"/>
  <c r="E13" i="124"/>
  <c r="E12" i="124"/>
  <c r="E11" i="124"/>
  <c r="E10" i="124"/>
  <c r="E9" i="124"/>
  <c r="E8" i="124"/>
  <c r="E7" i="124"/>
  <c r="E6" i="124"/>
  <c r="E5" i="124"/>
  <c r="F198" i="45"/>
  <c r="F197" i="45"/>
  <c r="F196" i="45"/>
  <c r="F195" i="45"/>
  <c r="O195" i="45" s="1"/>
  <c r="F194" i="45"/>
  <c r="F193" i="45"/>
  <c r="F192" i="45"/>
  <c r="F191" i="45"/>
  <c r="O191" i="45" s="1"/>
  <c r="F190" i="45"/>
  <c r="F189" i="45"/>
  <c r="F188" i="45"/>
  <c r="F187" i="45"/>
  <c r="O187" i="45" s="1"/>
  <c r="F186" i="45"/>
  <c r="F185" i="45"/>
  <c r="F184" i="45"/>
  <c r="F183" i="45"/>
  <c r="O183" i="45" s="1"/>
  <c r="F182" i="45"/>
  <c r="F181" i="45"/>
  <c r="F180" i="45"/>
  <c r="F179" i="45"/>
  <c r="O179" i="45" s="1"/>
  <c r="F178" i="45"/>
  <c r="F177" i="45"/>
  <c r="F176" i="45"/>
  <c r="F175" i="45"/>
  <c r="O175" i="45" s="1"/>
  <c r="F174" i="45"/>
  <c r="F173" i="45"/>
  <c r="F172" i="45"/>
  <c r="F171" i="45"/>
  <c r="O171" i="45" s="1"/>
  <c r="F170" i="45"/>
  <c r="F169" i="45"/>
  <c r="F168" i="45"/>
  <c r="F167" i="45"/>
  <c r="O167" i="45" s="1"/>
  <c r="F166" i="45"/>
  <c r="F165" i="45"/>
  <c r="F164" i="45"/>
  <c r="F163" i="45"/>
  <c r="O163" i="45" s="1"/>
  <c r="F162" i="45"/>
  <c r="F161" i="45"/>
  <c r="F160" i="45"/>
  <c r="F159" i="45"/>
  <c r="O159" i="45" s="1"/>
  <c r="F158" i="45"/>
  <c r="F157" i="45"/>
  <c r="F156" i="45"/>
  <c r="F155" i="45"/>
  <c r="O155" i="45" s="1"/>
  <c r="F154" i="45"/>
  <c r="F153" i="45"/>
  <c r="F152" i="45"/>
  <c r="F151" i="45"/>
  <c r="O151" i="45" s="1"/>
  <c r="F150" i="45"/>
  <c r="F149" i="45"/>
  <c r="F148" i="45"/>
  <c r="F147" i="45"/>
  <c r="O147" i="45" s="1"/>
  <c r="F146" i="45"/>
  <c r="F145" i="45"/>
  <c r="F144" i="45"/>
  <c r="F143" i="45"/>
  <c r="O143" i="45" s="1"/>
  <c r="F142" i="45"/>
  <c r="F141" i="45"/>
  <c r="F140" i="45"/>
  <c r="F139" i="45"/>
  <c r="O139" i="45" s="1"/>
  <c r="F138" i="45"/>
  <c r="F137" i="45"/>
  <c r="Q137" i="45" s="1"/>
  <c r="F136" i="45"/>
  <c r="F135" i="45"/>
  <c r="O135" i="45" s="1"/>
  <c r="F134" i="45"/>
  <c r="F133" i="45"/>
  <c r="F132" i="45"/>
  <c r="F131" i="45"/>
  <c r="O131" i="45" s="1"/>
  <c r="F130" i="45"/>
  <c r="F129" i="45"/>
  <c r="F128" i="45"/>
  <c r="F127" i="45"/>
  <c r="O127" i="45" s="1"/>
  <c r="F126" i="45"/>
  <c r="F125" i="45"/>
  <c r="F124" i="45"/>
  <c r="F123" i="45"/>
  <c r="O123" i="45" s="1"/>
  <c r="F122" i="45"/>
  <c r="F121" i="45"/>
  <c r="Q121" i="45" s="1"/>
  <c r="F120" i="45"/>
  <c r="F119" i="45"/>
  <c r="O119" i="45" s="1"/>
  <c r="F118" i="45"/>
  <c r="F117" i="45"/>
  <c r="F116" i="45"/>
  <c r="F115" i="45"/>
  <c r="O115" i="45" s="1"/>
  <c r="F114" i="45"/>
  <c r="F113" i="45"/>
  <c r="F112" i="45"/>
  <c r="F111" i="45"/>
  <c r="O111" i="45" s="1"/>
  <c r="F110" i="45"/>
  <c r="F109" i="45"/>
  <c r="F108" i="45"/>
  <c r="F107" i="45"/>
  <c r="O107" i="45" s="1"/>
  <c r="F106" i="45"/>
  <c r="F105" i="45"/>
  <c r="Q105" i="45" s="1"/>
  <c r="F104" i="45"/>
  <c r="F103" i="45"/>
  <c r="O103" i="45" s="1"/>
  <c r="F102" i="45"/>
  <c r="F101" i="45"/>
  <c r="F100" i="45"/>
  <c r="F99" i="45"/>
  <c r="O99" i="45" s="1"/>
  <c r="F98" i="45"/>
  <c r="F97" i="45"/>
  <c r="F96" i="45"/>
  <c r="F95" i="45"/>
  <c r="O95" i="45" s="1"/>
  <c r="F94" i="45"/>
  <c r="F93" i="45"/>
  <c r="F92" i="45"/>
  <c r="F91" i="45"/>
  <c r="O91" i="45" s="1"/>
  <c r="F90" i="45"/>
  <c r="F89" i="45"/>
  <c r="Q89" i="45" s="1"/>
  <c r="F88" i="45"/>
  <c r="F87" i="45"/>
  <c r="O87" i="45" s="1"/>
  <c r="F86" i="45"/>
  <c r="F85" i="45"/>
  <c r="F84" i="45"/>
  <c r="F83" i="45"/>
  <c r="O83" i="45" s="1"/>
  <c r="F82" i="45"/>
  <c r="F81" i="45"/>
  <c r="F80" i="45"/>
  <c r="F79" i="45"/>
  <c r="O79" i="45" s="1"/>
  <c r="F78" i="45"/>
  <c r="F77" i="45"/>
  <c r="F76" i="45"/>
  <c r="F75" i="45"/>
  <c r="O75" i="45" s="1"/>
  <c r="F74" i="45"/>
  <c r="F73" i="45"/>
  <c r="Q73" i="45" s="1"/>
  <c r="F72" i="45"/>
  <c r="F71" i="45"/>
  <c r="O71" i="45" s="1"/>
  <c r="F70" i="45"/>
  <c r="F69" i="45"/>
  <c r="F68" i="45"/>
  <c r="F67" i="45"/>
  <c r="O67" i="45" s="1"/>
  <c r="F66" i="45"/>
  <c r="F65" i="45"/>
  <c r="F64" i="45"/>
  <c r="F63" i="45"/>
  <c r="O63" i="45" s="1"/>
  <c r="F62" i="45"/>
  <c r="F61" i="45"/>
  <c r="F60" i="45"/>
  <c r="F59" i="45"/>
  <c r="O59" i="45" s="1"/>
  <c r="F58" i="45"/>
  <c r="F57" i="45"/>
  <c r="Q57" i="45" s="1"/>
  <c r="F56" i="45"/>
  <c r="F55" i="45"/>
  <c r="O55" i="45" s="1"/>
  <c r="F54" i="45"/>
  <c r="F53" i="45"/>
  <c r="F52" i="45"/>
  <c r="F51" i="45"/>
  <c r="O51" i="45" s="1"/>
  <c r="F50" i="45"/>
  <c r="F49" i="45"/>
  <c r="F48" i="45"/>
  <c r="F47" i="45"/>
  <c r="O47" i="45" s="1"/>
  <c r="F46" i="45"/>
  <c r="F45" i="45"/>
  <c r="F44" i="45"/>
  <c r="F43" i="45"/>
  <c r="O43" i="45" s="1"/>
  <c r="F42" i="45"/>
  <c r="F41" i="45"/>
  <c r="Q41" i="45" s="1"/>
  <c r="F40" i="45"/>
  <c r="F39" i="45"/>
  <c r="O39" i="45" s="1"/>
  <c r="F38" i="45"/>
  <c r="F37" i="45"/>
  <c r="F36" i="45"/>
  <c r="F35" i="45"/>
  <c r="O35" i="45" s="1"/>
  <c r="F34" i="45"/>
  <c r="F33" i="45"/>
  <c r="F32" i="45"/>
  <c r="F31" i="45"/>
  <c r="O31" i="45" s="1"/>
  <c r="F30" i="45"/>
  <c r="F29" i="45"/>
  <c r="F28" i="45"/>
  <c r="F27" i="45"/>
  <c r="O27" i="45" s="1"/>
  <c r="F26" i="45"/>
  <c r="F25" i="45"/>
  <c r="Q25" i="45" s="1"/>
  <c r="F24" i="45"/>
  <c r="F23" i="45"/>
  <c r="O23" i="45" s="1"/>
  <c r="F22" i="45"/>
  <c r="F21" i="45"/>
  <c r="F20" i="45"/>
  <c r="F19" i="45"/>
  <c r="O19" i="45" s="1"/>
  <c r="F18" i="45"/>
  <c r="F17" i="45"/>
  <c r="F16" i="45"/>
  <c r="F15" i="45"/>
  <c r="O15" i="45" s="1"/>
  <c r="F14" i="45"/>
  <c r="F13" i="45"/>
  <c r="F12" i="45"/>
  <c r="F11" i="45"/>
  <c r="O11" i="45" s="1"/>
  <c r="F10" i="45"/>
  <c r="F9" i="45"/>
  <c r="Q9" i="45" s="1"/>
  <c r="F8" i="45"/>
  <c r="F7" i="45"/>
  <c r="O7" i="45" s="1"/>
  <c r="F6" i="45"/>
  <c r="N6" i="45" s="1"/>
  <c r="F5" i="45"/>
  <c r="Q5" i="45" s="1"/>
  <c r="N198" i="45"/>
  <c r="Q197" i="45"/>
  <c r="P196" i="45"/>
  <c r="N194" i="45"/>
  <c r="Q193" i="45"/>
  <c r="P192" i="45"/>
  <c r="N190" i="45"/>
  <c r="Q189" i="45"/>
  <c r="P188" i="45"/>
  <c r="N186" i="45"/>
  <c r="Q185" i="45"/>
  <c r="P184" i="45"/>
  <c r="N182" i="45"/>
  <c r="Q181" i="45"/>
  <c r="P180" i="45"/>
  <c r="N178" i="45"/>
  <c r="Q177" i="45"/>
  <c r="P176" i="45"/>
  <c r="N174" i="45"/>
  <c r="Q173" i="45"/>
  <c r="P172" i="45"/>
  <c r="N170" i="45"/>
  <c r="Q169" i="45"/>
  <c r="P168" i="45"/>
  <c r="N166" i="45"/>
  <c r="Q165" i="45"/>
  <c r="P164" i="45"/>
  <c r="N162" i="45"/>
  <c r="Q161" i="45"/>
  <c r="P160" i="45"/>
  <c r="N158" i="45"/>
  <c r="Q157" i="45"/>
  <c r="P156" i="45"/>
  <c r="N154" i="45"/>
  <c r="Q153" i="45"/>
  <c r="P152" i="45"/>
  <c r="N150" i="45"/>
  <c r="Q149" i="45"/>
  <c r="P148" i="45"/>
  <c r="N146" i="45"/>
  <c r="Q145" i="45"/>
  <c r="P144" i="45"/>
  <c r="N142" i="45"/>
  <c r="Q141" i="45"/>
  <c r="P140" i="45"/>
  <c r="N138" i="45"/>
  <c r="P136" i="45"/>
  <c r="N134" i="45"/>
  <c r="Q133" i="45"/>
  <c r="P132" i="45"/>
  <c r="N130" i="45"/>
  <c r="Q129" i="45"/>
  <c r="P128" i="45"/>
  <c r="N126" i="45"/>
  <c r="Q125" i="45"/>
  <c r="P124" i="45"/>
  <c r="N122" i="45"/>
  <c r="P120" i="45"/>
  <c r="N118" i="45"/>
  <c r="Q117" i="45"/>
  <c r="P116" i="45"/>
  <c r="N114" i="45"/>
  <c r="Q113" i="45"/>
  <c r="P112" i="45"/>
  <c r="N110" i="45"/>
  <c r="Q109" i="45"/>
  <c r="P108" i="45"/>
  <c r="N106" i="45"/>
  <c r="P104" i="45"/>
  <c r="N102" i="45"/>
  <c r="Q101" i="45"/>
  <c r="P100" i="45"/>
  <c r="N98" i="45"/>
  <c r="Q97" i="45"/>
  <c r="P96" i="45"/>
  <c r="N94" i="45"/>
  <c r="Q93" i="45"/>
  <c r="P92" i="45"/>
  <c r="N90" i="45"/>
  <c r="P88" i="45"/>
  <c r="N86" i="45"/>
  <c r="Q85" i="45"/>
  <c r="P84" i="45"/>
  <c r="N82" i="45"/>
  <c r="Q81" i="45"/>
  <c r="P80" i="45"/>
  <c r="N78" i="45"/>
  <c r="Q77" i="45"/>
  <c r="P76" i="45"/>
  <c r="N74" i="45"/>
  <c r="P72" i="45"/>
  <c r="N70" i="45"/>
  <c r="Q69" i="45"/>
  <c r="P68" i="45"/>
  <c r="N66" i="45"/>
  <c r="Q65" i="45"/>
  <c r="P64" i="45"/>
  <c r="N62" i="45"/>
  <c r="Q61" i="45"/>
  <c r="P60" i="45"/>
  <c r="N58" i="45"/>
  <c r="P56" i="45"/>
  <c r="N54" i="45"/>
  <c r="Q53" i="45"/>
  <c r="P52" i="45"/>
  <c r="N50" i="45"/>
  <c r="Q49" i="45"/>
  <c r="P48" i="45"/>
  <c r="N46" i="45"/>
  <c r="Q45" i="45"/>
  <c r="P44" i="45"/>
  <c r="N42" i="45"/>
  <c r="P40" i="45"/>
  <c r="N38" i="45"/>
  <c r="Q37" i="45"/>
  <c r="P36" i="45"/>
  <c r="N34" i="45"/>
  <c r="Q33" i="45"/>
  <c r="P32" i="45"/>
  <c r="N30" i="45"/>
  <c r="Q29" i="45"/>
  <c r="P28" i="45"/>
  <c r="N26" i="45"/>
  <c r="P24" i="45"/>
  <c r="N22" i="45"/>
  <c r="Q21" i="45"/>
  <c r="P20" i="45"/>
  <c r="N18" i="45"/>
  <c r="Q17" i="45"/>
  <c r="P16" i="45"/>
  <c r="N14" i="45"/>
  <c r="Q13" i="45"/>
  <c r="P12" i="45"/>
  <c r="N10" i="45"/>
  <c r="P8" i="45"/>
  <c r="AA187" i="128" l="1"/>
  <c r="AH187" i="128" s="1"/>
  <c r="P186" i="128"/>
  <c r="AA186" i="128" s="1"/>
  <c r="AH186" i="128" s="1"/>
  <c r="P195" i="128"/>
  <c r="AA195" i="128" s="1"/>
  <c r="AH195" i="128" s="1"/>
  <c r="AH201" i="128"/>
  <c r="P167" i="127"/>
  <c r="Y167" i="127" s="1"/>
  <c r="AF167" i="127" s="1"/>
  <c r="P184" i="127"/>
  <c r="Y184" i="127" s="1"/>
  <c r="AF184" i="127" s="1"/>
  <c r="P154" i="127"/>
  <c r="Y154" i="127" s="1"/>
  <c r="AF154" i="127" s="1"/>
  <c r="P166" i="127"/>
  <c r="Y166" i="127" s="1"/>
  <c r="AF166" i="127" s="1"/>
  <c r="P182" i="127"/>
  <c r="Y182" i="127" s="1"/>
  <c r="AF182" i="127" s="1"/>
  <c r="P173" i="127"/>
  <c r="Y173" i="127" s="1"/>
  <c r="AF173" i="127" s="1"/>
  <c r="P189" i="127"/>
  <c r="Y189" i="127" s="1"/>
  <c r="AF189" i="127" s="1"/>
  <c r="AA5" i="128"/>
  <c r="AH5" i="128" s="1"/>
  <c r="AH200" i="128" s="1"/>
  <c r="P188" i="128"/>
  <c r="AA188" i="128" s="1"/>
  <c r="AH188" i="128" s="1"/>
  <c r="P196" i="128"/>
  <c r="AA196" i="128" s="1"/>
  <c r="AH196" i="128" s="1"/>
  <c r="P170" i="127"/>
  <c r="Y170" i="127" s="1"/>
  <c r="AF170" i="127" s="1"/>
  <c r="P186" i="127"/>
  <c r="Y186" i="127" s="1"/>
  <c r="AF186" i="127" s="1"/>
  <c r="P157" i="127"/>
  <c r="Y157" i="127" s="1"/>
  <c r="AF157" i="127" s="1"/>
  <c r="P168" i="127"/>
  <c r="Y168" i="127" s="1"/>
  <c r="AF168" i="127" s="1"/>
  <c r="P193" i="127"/>
  <c r="Y193" i="127" s="1"/>
  <c r="AF193" i="127" s="1"/>
  <c r="P192" i="128"/>
  <c r="AA192" i="128" s="1"/>
  <c r="AH192" i="128" s="1"/>
  <c r="AA182" i="128"/>
  <c r="AH182" i="128" s="1"/>
  <c r="P197" i="128"/>
  <c r="AA197" i="128" s="1"/>
  <c r="AH197" i="128" s="1"/>
  <c r="P184" i="128"/>
  <c r="AA184" i="128" s="1"/>
  <c r="AH184" i="128" s="1"/>
  <c r="P162" i="128"/>
  <c r="AA162" i="128" s="1"/>
  <c r="AH162" i="128" s="1"/>
  <c r="P189" i="128"/>
  <c r="AA189" i="128" s="1"/>
  <c r="AH189" i="128" s="1"/>
  <c r="P158" i="127"/>
  <c r="Y158" i="127" s="1"/>
  <c r="AF158" i="127" s="1"/>
  <c r="P176" i="127"/>
  <c r="Y176" i="127" s="1"/>
  <c r="AF176" i="127" s="1"/>
  <c r="P191" i="127"/>
  <c r="Y191" i="127" s="1"/>
  <c r="AF191" i="127" s="1"/>
  <c r="P159" i="127"/>
  <c r="Y159" i="127" s="1"/>
  <c r="AF159" i="127" s="1"/>
  <c r="P174" i="127"/>
  <c r="Y174" i="127" s="1"/>
  <c r="AF174" i="127" s="1"/>
  <c r="P197" i="127"/>
  <c r="Y197" i="127" s="1"/>
  <c r="AF197" i="127" s="1"/>
  <c r="P181" i="127"/>
  <c r="Y181" i="127" s="1"/>
  <c r="AF181" i="127" s="1"/>
  <c r="P196" i="127"/>
  <c r="Y196" i="127" s="1"/>
  <c r="AF196" i="127" s="1"/>
  <c r="P200" i="127"/>
  <c r="P161" i="128"/>
  <c r="AA161" i="128" s="1"/>
  <c r="AH161" i="128" s="1"/>
  <c r="P185" i="128"/>
  <c r="AA185" i="128" s="1"/>
  <c r="AH185" i="128" s="1"/>
  <c r="P190" i="128"/>
  <c r="AA190" i="128" s="1"/>
  <c r="AH190" i="128" s="1"/>
  <c r="P165" i="127"/>
  <c r="Y165" i="127" s="1"/>
  <c r="AF165" i="127" s="1"/>
  <c r="P180" i="127"/>
  <c r="Y180" i="127" s="1"/>
  <c r="AF180" i="127" s="1"/>
  <c r="P195" i="127"/>
  <c r="Y195" i="127" s="1"/>
  <c r="AF195" i="127" s="1"/>
  <c r="P164" i="127"/>
  <c r="Y164" i="127" s="1"/>
  <c r="AF164" i="127" s="1"/>
  <c r="P178" i="127"/>
  <c r="Y178" i="127" s="1"/>
  <c r="AF178" i="127" s="1"/>
  <c r="P171" i="127"/>
  <c r="Y171" i="127" s="1"/>
  <c r="AF171" i="127" s="1"/>
  <c r="P187" i="127"/>
  <c r="Y187" i="127" s="1"/>
  <c r="AF187" i="127" s="1"/>
  <c r="P179" i="127"/>
  <c r="Y179" i="127" s="1"/>
  <c r="AF179" i="127" s="1"/>
  <c r="AF202" i="127"/>
  <c r="Y86" i="127"/>
  <c r="AF86" i="127" s="1"/>
  <c r="AF200" i="127" s="1"/>
  <c r="P204" i="127"/>
  <c r="J5" i="45"/>
  <c r="N5" i="45"/>
  <c r="G6" i="45"/>
  <c r="K6" i="45"/>
  <c r="O6" i="45"/>
  <c r="H7" i="45"/>
  <c r="L7" i="45"/>
  <c r="P7" i="45"/>
  <c r="I8" i="45"/>
  <c r="M8" i="45"/>
  <c r="Q8" i="45"/>
  <c r="J9" i="45"/>
  <c r="N9" i="45"/>
  <c r="G10" i="45"/>
  <c r="K10" i="45"/>
  <c r="O10" i="45"/>
  <c r="H11" i="45"/>
  <c r="L11" i="45"/>
  <c r="P11" i="45"/>
  <c r="I12" i="45"/>
  <c r="M12" i="45"/>
  <c r="Q12" i="45"/>
  <c r="J13" i="45"/>
  <c r="N13" i="45"/>
  <c r="G14" i="45"/>
  <c r="K14" i="45"/>
  <c r="O14" i="45"/>
  <c r="H15" i="45"/>
  <c r="L15" i="45"/>
  <c r="P15" i="45"/>
  <c r="I16" i="45"/>
  <c r="M16" i="45"/>
  <c r="Q16" i="45"/>
  <c r="J17" i="45"/>
  <c r="N17" i="45"/>
  <c r="G18" i="45"/>
  <c r="K18" i="45"/>
  <c r="O18" i="45"/>
  <c r="H19" i="45"/>
  <c r="L19" i="45"/>
  <c r="P19" i="45"/>
  <c r="I20" i="45"/>
  <c r="M20" i="45"/>
  <c r="Q20" i="45"/>
  <c r="J21" i="45"/>
  <c r="N21" i="45"/>
  <c r="G22" i="45"/>
  <c r="K22" i="45"/>
  <c r="O22" i="45"/>
  <c r="H23" i="45"/>
  <c r="L23" i="45"/>
  <c r="P23" i="45"/>
  <c r="I24" i="45"/>
  <c r="M24" i="45"/>
  <c r="Q24" i="45"/>
  <c r="J25" i="45"/>
  <c r="N25" i="45"/>
  <c r="G26" i="45"/>
  <c r="K26" i="45"/>
  <c r="O26" i="45"/>
  <c r="H27" i="45"/>
  <c r="L27" i="45"/>
  <c r="P27" i="45"/>
  <c r="I28" i="45"/>
  <c r="M28" i="45"/>
  <c r="Q28" i="45"/>
  <c r="J29" i="45"/>
  <c r="N29" i="45"/>
  <c r="G30" i="45"/>
  <c r="K30" i="45"/>
  <c r="O30" i="45"/>
  <c r="H31" i="45"/>
  <c r="L31" i="45"/>
  <c r="P31" i="45"/>
  <c r="I32" i="45"/>
  <c r="M32" i="45"/>
  <c r="Q32" i="45"/>
  <c r="J33" i="45"/>
  <c r="N33" i="45"/>
  <c r="G34" i="45"/>
  <c r="K34" i="45"/>
  <c r="O34" i="45"/>
  <c r="H35" i="45"/>
  <c r="L35" i="45"/>
  <c r="P35" i="45"/>
  <c r="I36" i="45"/>
  <c r="M36" i="45"/>
  <c r="Q36" i="45"/>
  <c r="J37" i="45"/>
  <c r="N37" i="45"/>
  <c r="G38" i="45"/>
  <c r="K38" i="45"/>
  <c r="O38" i="45"/>
  <c r="H39" i="45"/>
  <c r="L39" i="45"/>
  <c r="P39" i="45"/>
  <c r="I40" i="45"/>
  <c r="M40" i="45"/>
  <c r="Q40" i="45"/>
  <c r="J41" i="45"/>
  <c r="N41" i="45"/>
  <c r="G42" i="45"/>
  <c r="K42" i="45"/>
  <c r="O42" i="45"/>
  <c r="H43" i="45"/>
  <c r="L43" i="45"/>
  <c r="P43" i="45"/>
  <c r="I44" i="45"/>
  <c r="M44" i="45"/>
  <c r="Q44" i="45"/>
  <c r="J45" i="45"/>
  <c r="N45" i="45"/>
  <c r="G46" i="45"/>
  <c r="K46" i="45"/>
  <c r="O46" i="45"/>
  <c r="H47" i="45"/>
  <c r="L47" i="45"/>
  <c r="P47" i="45"/>
  <c r="I48" i="45"/>
  <c r="M48" i="45"/>
  <c r="Q48" i="45"/>
  <c r="J49" i="45"/>
  <c r="N49" i="45"/>
  <c r="G50" i="45"/>
  <c r="K50" i="45"/>
  <c r="O50" i="45"/>
  <c r="H51" i="45"/>
  <c r="L51" i="45"/>
  <c r="P51" i="45"/>
  <c r="I52" i="45"/>
  <c r="M52" i="45"/>
  <c r="Q52" i="45"/>
  <c r="J53" i="45"/>
  <c r="N53" i="45"/>
  <c r="G54" i="45"/>
  <c r="K54" i="45"/>
  <c r="O54" i="45"/>
  <c r="H55" i="45"/>
  <c r="L55" i="45"/>
  <c r="P55" i="45"/>
  <c r="I56" i="45"/>
  <c r="M56" i="45"/>
  <c r="Q56" i="45"/>
  <c r="J57" i="45"/>
  <c r="N57" i="45"/>
  <c r="G58" i="45"/>
  <c r="K58" i="45"/>
  <c r="O58" i="45"/>
  <c r="H59" i="45"/>
  <c r="L59" i="45"/>
  <c r="P59" i="45"/>
  <c r="I60" i="45"/>
  <c r="M60" i="45"/>
  <c r="Q60" i="45"/>
  <c r="J61" i="45"/>
  <c r="N61" i="45"/>
  <c r="G62" i="45"/>
  <c r="K62" i="45"/>
  <c r="O62" i="45"/>
  <c r="H63" i="45"/>
  <c r="L63" i="45"/>
  <c r="P63" i="45"/>
  <c r="I64" i="45"/>
  <c r="M64" i="45"/>
  <c r="Q64" i="45"/>
  <c r="J65" i="45"/>
  <c r="N65" i="45"/>
  <c r="G66" i="45"/>
  <c r="K66" i="45"/>
  <c r="O66" i="45"/>
  <c r="H67" i="45"/>
  <c r="L67" i="45"/>
  <c r="P67" i="45"/>
  <c r="I68" i="45"/>
  <c r="M68" i="45"/>
  <c r="Q68" i="45"/>
  <c r="J69" i="45"/>
  <c r="N69" i="45"/>
  <c r="G70" i="45"/>
  <c r="K70" i="45"/>
  <c r="O70" i="45"/>
  <c r="H71" i="45"/>
  <c r="L71" i="45"/>
  <c r="P71" i="45"/>
  <c r="I72" i="45"/>
  <c r="M72" i="45"/>
  <c r="Q72" i="45"/>
  <c r="J73" i="45"/>
  <c r="N73" i="45"/>
  <c r="G74" i="45"/>
  <c r="K74" i="45"/>
  <c r="O74" i="45"/>
  <c r="H75" i="45"/>
  <c r="L75" i="45"/>
  <c r="P75" i="45"/>
  <c r="I76" i="45"/>
  <c r="M76" i="45"/>
  <c r="Q76" i="45"/>
  <c r="J77" i="45"/>
  <c r="N77" i="45"/>
  <c r="G78" i="45"/>
  <c r="K78" i="45"/>
  <c r="O78" i="45"/>
  <c r="H79" i="45"/>
  <c r="L79" i="45"/>
  <c r="P79" i="45"/>
  <c r="I80" i="45"/>
  <c r="M80" i="45"/>
  <c r="Q80" i="45"/>
  <c r="J81" i="45"/>
  <c r="N81" i="45"/>
  <c r="G82" i="45"/>
  <c r="K82" i="45"/>
  <c r="O82" i="45"/>
  <c r="H83" i="45"/>
  <c r="L83" i="45"/>
  <c r="P83" i="45"/>
  <c r="I84" i="45"/>
  <c r="M84" i="45"/>
  <c r="Q84" i="45"/>
  <c r="J85" i="45"/>
  <c r="N85" i="45"/>
  <c r="G86" i="45"/>
  <c r="K86" i="45"/>
  <c r="O86" i="45"/>
  <c r="H87" i="45"/>
  <c r="L87" i="45"/>
  <c r="P87" i="45"/>
  <c r="I88" i="45"/>
  <c r="M88" i="45"/>
  <c r="Q88" i="45"/>
  <c r="J89" i="45"/>
  <c r="N89" i="45"/>
  <c r="G90" i="45"/>
  <c r="K90" i="45"/>
  <c r="O90" i="45"/>
  <c r="H91" i="45"/>
  <c r="L91" i="45"/>
  <c r="P91" i="45"/>
  <c r="I92" i="45"/>
  <c r="M92" i="45"/>
  <c r="Q92" i="45"/>
  <c r="J93" i="45"/>
  <c r="N93" i="45"/>
  <c r="G94" i="45"/>
  <c r="K94" i="45"/>
  <c r="O94" i="45"/>
  <c r="H95" i="45"/>
  <c r="L95" i="45"/>
  <c r="P95" i="45"/>
  <c r="I96" i="45"/>
  <c r="M96" i="45"/>
  <c r="Q96" i="45"/>
  <c r="J97" i="45"/>
  <c r="N97" i="45"/>
  <c r="G98" i="45"/>
  <c r="K98" i="45"/>
  <c r="O98" i="45"/>
  <c r="H99" i="45"/>
  <c r="L99" i="45"/>
  <c r="P99" i="45"/>
  <c r="I100" i="45"/>
  <c r="M100" i="45"/>
  <c r="Q100" i="45"/>
  <c r="J101" i="45"/>
  <c r="N101" i="45"/>
  <c r="G102" i="45"/>
  <c r="K102" i="45"/>
  <c r="O102" i="45"/>
  <c r="H103" i="45"/>
  <c r="L103" i="45"/>
  <c r="P103" i="45"/>
  <c r="I104" i="45"/>
  <c r="M104" i="45"/>
  <c r="Q104" i="45"/>
  <c r="J105" i="45"/>
  <c r="N105" i="45"/>
  <c r="G106" i="45"/>
  <c r="K106" i="45"/>
  <c r="O106" i="45"/>
  <c r="H107" i="45"/>
  <c r="L107" i="45"/>
  <c r="P107" i="45"/>
  <c r="I108" i="45"/>
  <c r="M108" i="45"/>
  <c r="Q108" i="45"/>
  <c r="J109" i="45"/>
  <c r="N109" i="45"/>
  <c r="G110" i="45"/>
  <c r="K110" i="45"/>
  <c r="O110" i="45"/>
  <c r="H111" i="45"/>
  <c r="L111" i="45"/>
  <c r="P111" i="45"/>
  <c r="I112" i="45"/>
  <c r="M112" i="45"/>
  <c r="Q112" i="45"/>
  <c r="J113" i="45"/>
  <c r="N113" i="45"/>
  <c r="G114" i="45"/>
  <c r="K114" i="45"/>
  <c r="O114" i="45"/>
  <c r="H115" i="45"/>
  <c r="L115" i="45"/>
  <c r="P115" i="45"/>
  <c r="I116" i="45"/>
  <c r="M116" i="45"/>
  <c r="Q116" i="45"/>
  <c r="J117" i="45"/>
  <c r="N117" i="45"/>
  <c r="G118" i="45"/>
  <c r="K118" i="45"/>
  <c r="O118" i="45"/>
  <c r="H119" i="45"/>
  <c r="L119" i="45"/>
  <c r="P119" i="45"/>
  <c r="I120" i="45"/>
  <c r="M120" i="45"/>
  <c r="Q120" i="45"/>
  <c r="J121" i="45"/>
  <c r="N121" i="45"/>
  <c r="G122" i="45"/>
  <c r="K122" i="45"/>
  <c r="O122" i="45"/>
  <c r="H123" i="45"/>
  <c r="L123" i="45"/>
  <c r="P123" i="45"/>
  <c r="I124" i="45"/>
  <c r="M124" i="45"/>
  <c r="Q124" i="45"/>
  <c r="J125" i="45"/>
  <c r="N125" i="45"/>
  <c r="G126" i="45"/>
  <c r="K126" i="45"/>
  <c r="O126" i="45"/>
  <c r="H127" i="45"/>
  <c r="L127" i="45"/>
  <c r="P127" i="45"/>
  <c r="I128" i="45"/>
  <c r="M128" i="45"/>
  <c r="Q128" i="45"/>
  <c r="J129" i="45"/>
  <c r="N129" i="45"/>
  <c r="G130" i="45"/>
  <c r="K130" i="45"/>
  <c r="O130" i="45"/>
  <c r="H131" i="45"/>
  <c r="L131" i="45"/>
  <c r="P131" i="45"/>
  <c r="I132" i="45"/>
  <c r="M132" i="45"/>
  <c r="Q132" i="45"/>
  <c r="J133" i="45"/>
  <c r="N133" i="45"/>
  <c r="G134" i="45"/>
  <c r="K134" i="45"/>
  <c r="O134" i="45"/>
  <c r="H135" i="45"/>
  <c r="L135" i="45"/>
  <c r="P135" i="45"/>
  <c r="I136" i="45"/>
  <c r="M136" i="45"/>
  <c r="Q136" i="45"/>
  <c r="J137" i="45"/>
  <c r="N137" i="45"/>
  <c r="G138" i="45"/>
  <c r="K138" i="45"/>
  <c r="O138" i="45"/>
  <c r="H139" i="45"/>
  <c r="L139" i="45"/>
  <c r="P139" i="45"/>
  <c r="I140" i="45"/>
  <c r="M140" i="45"/>
  <c r="Q140" i="45"/>
  <c r="J141" i="45"/>
  <c r="N141" i="45"/>
  <c r="G142" i="45"/>
  <c r="K142" i="45"/>
  <c r="O142" i="45"/>
  <c r="H143" i="45"/>
  <c r="L143" i="45"/>
  <c r="P143" i="45"/>
  <c r="I144" i="45"/>
  <c r="M144" i="45"/>
  <c r="Q144" i="45"/>
  <c r="J145" i="45"/>
  <c r="N145" i="45"/>
  <c r="G146" i="45"/>
  <c r="K146" i="45"/>
  <c r="O146" i="45"/>
  <c r="H147" i="45"/>
  <c r="L147" i="45"/>
  <c r="P147" i="45"/>
  <c r="I148" i="45"/>
  <c r="M148" i="45"/>
  <c r="Q148" i="45"/>
  <c r="J149" i="45"/>
  <c r="N149" i="45"/>
  <c r="G150" i="45"/>
  <c r="K150" i="45"/>
  <c r="O150" i="45"/>
  <c r="H151" i="45"/>
  <c r="L151" i="45"/>
  <c r="P151" i="45"/>
  <c r="I152" i="45"/>
  <c r="M152" i="45"/>
  <c r="Q152" i="45"/>
  <c r="J153" i="45"/>
  <c r="N153" i="45"/>
  <c r="G154" i="45"/>
  <c r="K154" i="45"/>
  <c r="O154" i="45"/>
  <c r="H155" i="45"/>
  <c r="L155" i="45"/>
  <c r="P155" i="45"/>
  <c r="I156" i="45"/>
  <c r="M156" i="45"/>
  <c r="Q156" i="45"/>
  <c r="J157" i="45"/>
  <c r="N157" i="45"/>
  <c r="G158" i="45"/>
  <c r="K158" i="45"/>
  <c r="O158" i="45"/>
  <c r="H159" i="45"/>
  <c r="L159" i="45"/>
  <c r="P159" i="45"/>
  <c r="I160" i="45"/>
  <c r="M160" i="45"/>
  <c r="Q160" i="45"/>
  <c r="J161" i="45"/>
  <c r="N161" i="45"/>
  <c r="G162" i="45"/>
  <c r="K162" i="45"/>
  <c r="O162" i="45"/>
  <c r="H163" i="45"/>
  <c r="L163" i="45"/>
  <c r="P163" i="45"/>
  <c r="I164" i="45"/>
  <c r="M164" i="45"/>
  <c r="Q164" i="45"/>
  <c r="J165" i="45"/>
  <c r="N165" i="45"/>
  <c r="G166" i="45"/>
  <c r="K166" i="45"/>
  <c r="O166" i="45"/>
  <c r="H167" i="45"/>
  <c r="L167" i="45"/>
  <c r="P167" i="45"/>
  <c r="I168" i="45"/>
  <c r="M168" i="45"/>
  <c r="Q168" i="45"/>
  <c r="J169" i="45"/>
  <c r="N169" i="45"/>
  <c r="G170" i="45"/>
  <c r="K170" i="45"/>
  <c r="O170" i="45"/>
  <c r="H171" i="45"/>
  <c r="L171" i="45"/>
  <c r="P171" i="45"/>
  <c r="I172" i="45"/>
  <c r="M172" i="45"/>
  <c r="Q172" i="45"/>
  <c r="J173" i="45"/>
  <c r="N173" i="45"/>
  <c r="G174" i="45"/>
  <c r="K174" i="45"/>
  <c r="O174" i="45"/>
  <c r="H175" i="45"/>
  <c r="L175" i="45"/>
  <c r="P175" i="45"/>
  <c r="I176" i="45"/>
  <c r="M176" i="45"/>
  <c r="Q176" i="45"/>
  <c r="J177" i="45"/>
  <c r="N177" i="45"/>
  <c r="G178" i="45"/>
  <c r="K178" i="45"/>
  <c r="O178" i="45"/>
  <c r="H179" i="45"/>
  <c r="L179" i="45"/>
  <c r="P179" i="45"/>
  <c r="I180" i="45"/>
  <c r="M180" i="45"/>
  <c r="Q180" i="45"/>
  <c r="J181" i="45"/>
  <c r="N181" i="45"/>
  <c r="G182" i="45"/>
  <c r="K182" i="45"/>
  <c r="O182" i="45"/>
  <c r="H183" i="45"/>
  <c r="L183" i="45"/>
  <c r="P183" i="45"/>
  <c r="I184" i="45"/>
  <c r="M184" i="45"/>
  <c r="Q184" i="45"/>
  <c r="J185" i="45"/>
  <c r="N185" i="45"/>
  <c r="G186" i="45"/>
  <c r="K186" i="45"/>
  <c r="O186" i="45"/>
  <c r="H187" i="45"/>
  <c r="L187" i="45"/>
  <c r="P187" i="45"/>
  <c r="I188" i="45"/>
  <c r="M188" i="45"/>
  <c r="Q188" i="45"/>
  <c r="J189" i="45"/>
  <c r="N189" i="45"/>
  <c r="G190" i="45"/>
  <c r="K190" i="45"/>
  <c r="O190" i="45"/>
  <c r="H191" i="45"/>
  <c r="L191" i="45"/>
  <c r="P191" i="45"/>
  <c r="I192" i="45"/>
  <c r="M192" i="45"/>
  <c r="Q192" i="45"/>
  <c r="J193" i="45"/>
  <c r="N193" i="45"/>
  <c r="G194" i="45"/>
  <c r="K194" i="45"/>
  <c r="O194" i="45"/>
  <c r="H195" i="45"/>
  <c r="L195" i="45"/>
  <c r="P195" i="45"/>
  <c r="I196" i="45"/>
  <c r="M196" i="45"/>
  <c r="Q196" i="45"/>
  <c r="J197" i="45"/>
  <c r="N197" i="45"/>
  <c r="G198" i="45"/>
  <c r="K198" i="45"/>
  <c r="O198" i="45"/>
  <c r="G5" i="45"/>
  <c r="K5" i="45"/>
  <c r="O5" i="45"/>
  <c r="H6" i="45"/>
  <c r="L6" i="45"/>
  <c r="P6" i="45"/>
  <c r="I7" i="45"/>
  <c r="M7" i="45"/>
  <c r="Q7" i="45"/>
  <c r="J8" i="45"/>
  <c r="N8" i="45"/>
  <c r="G9" i="45"/>
  <c r="K9" i="45"/>
  <c r="O9" i="45"/>
  <c r="H10" i="45"/>
  <c r="L10" i="45"/>
  <c r="P10" i="45"/>
  <c r="I11" i="45"/>
  <c r="M11" i="45"/>
  <c r="Q11" i="45"/>
  <c r="J12" i="45"/>
  <c r="N12" i="45"/>
  <c r="G13" i="45"/>
  <c r="K13" i="45"/>
  <c r="O13" i="45"/>
  <c r="H14" i="45"/>
  <c r="L14" i="45"/>
  <c r="P14" i="45"/>
  <c r="I15" i="45"/>
  <c r="M15" i="45"/>
  <c r="Q15" i="45"/>
  <c r="J16" i="45"/>
  <c r="N16" i="45"/>
  <c r="G17" i="45"/>
  <c r="K17" i="45"/>
  <c r="O17" i="45"/>
  <c r="H18" i="45"/>
  <c r="L18" i="45"/>
  <c r="P18" i="45"/>
  <c r="I19" i="45"/>
  <c r="M19" i="45"/>
  <c r="Q19" i="45"/>
  <c r="J20" i="45"/>
  <c r="N20" i="45"/>
  <c r="G21" i="45"/>
  <c r="K21" i="45"/>
  <c r="O21" i="45"/>
  <c r="H22" i="45"/>
  <c r="L22" i="45"/>
  <c r="P22" i="45"/>
  <c r="I23" i="45"/>
  <c r="M23" i="45"/>
  <c r="Q23" i="45"/>
  <c r="J24" i="45"/>
  <c r="N24" i="45"/>
  <c r="G25" i="45"/>
  <c r="K25" i="45"/>
  <c r="O25" i="45"/>
  <c r="H26" i="45"/>
  <c r="L26" i="45"/>
  <c r="P26" i="45"/>
  <c r="I27" i="45"/>
  <c r="M27" i="45"/>
  <c r="Q27" i="45"/>
  <c r="J28" i="45"/>
  <c r="N28" i="45"/>
  <c r="G29" i="45"/>
  <c r="K29" i="45"/>
  <c r="O29" i="45"/>
  <c r="H30" i="45"/>
  <c r="L30" i="45"/>
  <c r="P30" i="45"/>
  <c r="I31" i="45"/>
  <c r="M31" i="45"/>
  <c r="Q31" i="45"/>
  <c r="J32" i="45"/>
  <c r="N32" i="45"/>
  <c r="G33" i="45"/>
  <c r="K33" i="45"/>
  <c r="O33" i="45"/>
  <c r="H34" i="45"/>
  <c r="L34" i="45"/>
  <c r="P34" i="45"/>
  <c r="I35" i="45"/>
  <c r="M35" i="45"/>
  <c r="Q35" i="45"/>
  <c r="J36" i="45"/>
  <c r="N36" i="45"/>
  <c r="G37" i="45"/>
  <c r="K37" i="45"/>
  <c r="O37" i="45"/>
  <c r="H38" i="45"/>
  <c r="L38" i="45"/>
  <c r="P38" i="45"/>
  <c r="I39" i="45"/>
  <c r="M39" i="45"/>
  <c r="Q39" i="45"/>
  <c r="J40" i="45"/>
  <c r="N40" i="45"/>
  <c r="G41" i="45"/>
  <c r="K41" i="45"/>
  <c r="O41" i="45"/>
  <c r="H42" i="45"/>
  <c r="L42" i="45"/>
  <c r="P42" i="45"/>
  <c r="I43" i="45"/>
  <c r="M43" i="45"/>
  <c r="Q43" i="45"/>
  <c r="J44" i="45"/>
  <c r="N44" i="45"/>
  <c r="G45" i="45"/>
  <c r="K45" i="45"/>
  <c r="O45" i="45"/>
  <c r="H46" i="45"/>
  <c r="L46" i="45"/>
  <c r="P46" i="45"/>
  <c r="I47" i="45"/>
  <c r="M47" i="45"/>
  <c r="Q47" i="45"/>
  <c r="J48" i="45"/>
  <c r="N48" i="45"/>
  <c r="G49" i="45"/>
  <c r="K49" i="45"/>
  <c r="O49" i="45"/>
  <c r="H50" i="45"/>
  <c r="L50" i="45"/>
  <c r="P50" i="45"/>
  <c r="I51" i="45"/>
  <c r="M51" i="45"/>
  <c r="Q51" i="45"/>
  <c r="J52" i="45"/>
  <c r="N52" i="45"/>
  <c r="G53" i="45"/>
  <c r="K53" i="45"/>
  <c r="O53" i="45"/>
  <c r="H54" i="45"/>
  <c r="L54" i="45"/>
  <c r="P54" i="45"/>
  <c r="I55" i="45"/>
  <c r="M55" i="45"/>
  <c r="Q55" i="45"/>
  <c r="J56" i="45"/>
  <c r="N56" i="45"/>
  <c r="G57" i="45"/>
  <c r="K57" i="45"/>
  <c r="O57" i="45"/>
  <c r="H58" i="45"/>
  <c r="L58" i="45"/>
  <c r="P58" i="45"/>
  <c r="I59" i="45"/>
  <c r="M59" i="45"/>
  <c r="Q59" i="45"/>
  <c r="J60" i="45"/>
  <c r="N60" i="45"/>
  <c r="G61" i="45"/>
  <c r="K61" i="45"/>
  <c r="O61" i="45"/>
  <c r="H62" i="45"/>
  <c r="L62" i="45"/>
  <c r="P62" i="45"/>
  <c r="I63" i="45"/>
  <c r="M63" i="45"/>
  <c r="Q63" i="45"/>
  <c r="J64" i="45"/>
  <c r="N64" i="45"/>
  <c r="G65" i="45"/>
  <c r="K65" i="45"/>
  <c r="O65" i="45"/>
  <c r="H66" i="45"/>
  <c r="L66" i="45"/>
  <c r="P66" i="45"/>
  <c r="I67" i="45"/>
  <c r="M67" i="45"/>
  <c r="Q67" i="45"/>
  <c r="J68" i="45"/>
  <c r="N68" i="45"/>
  <c r="G69" i="45"/>
  <c r="K69" i="45"/>
  <c r="O69" i="45"/>
  <c r="H70" i="45"/>
  <c r="L70" i="45"/>
  <c r="P70" i="45"/>
  <c r="I71" i="45"/>
  <c r="M71" i="45"/>
  <c r="Q71" i="45"/>
  <c r="J72" i="45"/>
  <c r="N72" i="45"/>
  <c r="G73" i="45"/>
  <c r="K73" i="45"/>
  <c r="O73" i="45"/>
  <c r="H74" i="45"/>
  <c r="L74" i="45"/>
  <c r="P74" i="45"/>
  <c r="I75" i="45"/>
  <c r="M75" i="45"/>
  <c r="Q75" i="45"/>
  <c r="J76" i="45"/>
  <c r="N76" i="45"/>
  <c r="G77" i="45"/>
  <c r="K77" i="45"/>
  <c r="O77" i="45"/>
  <c r="H78" i="45"/>
  <c r="L78" i="45"/>
  <c r="P78" i="45"/>
  <c r="I79" i="45"/>
  <c r="M79" i="45"/>
  <c r="Q79" i="45"/>
  <c r="J80" i="45"/>
  <c r="N80" i="45"/>
  <c r="G81" i="45"/>
  <c r="K81" i="45"/>
  <c r="O81" i="45"/>
  <c r="H82" i="45"/>
  <c r="L82" i="45"/>
  <c r="P82" i="45"/>
  <c r="I83" i="45"/>
  <c r="M83" i="45"/>
  <c r="Q83" i="45"/>
  <c r="J84" i="45"/>
  <c r="N84" i="45"/>
  <c r="G85" i="45"/>
  <c r="K85" i="45"/>
  <c r="O85" i="45"/>
  <c r="H86" i="45"/>
  <c r="L86" i="45"/>
  <c r="P86" i="45"/>
  <c r="I87" i="45"/>
  <c r="M87" i="45"/>
  <c r="Q87" i="45"/>
  <c r="J88" i="45"/>
  <c r="N88" i="45"/>
  <c r="G89" i="45"/>
  <c r="K89" i="45"/>
  <c r="O89" i="45"/>
  <c r="H90" i="45"/>
  <c r="L90" i="45"/>
  <c r="P90" i="45"/>
  <c r="I91" i="45"/>
  <c r="M91" i="45"/>
  <c r="Q91" i="45"/>
  <c r="J92" i="45"/>
  <c r="N92" i="45"/>
  <c r="G93" i="45"/>
  <c r="K93" i="45"/>
  <c r="O93" i="45"/>
  <c r="H94" i="45"/>
  <c r="L94" i="45"/>
  <c r="P94" i="45"/>
  <c r="I95" i="45"/>
  <c r="M95" i="45"/>
  <c r="Q95" i="45"/>
  <c r="J96" i="45"/>
  <c r="N96" i="45"/>
  <c r="G97" i="45"/>
  <c r="K97" i="45"/>
  <c r="O97" i="45"/>
  <c r="H98" i="45"/>
  <c r="L98" i="45"/>
  <c r="P98" i="45"/>
  <c r="I99" i="45"/>
  <c r="M99" i="45"/>
  <c r="Q99" i="45"/>
  <c r="J100" i="45"/>
  <c r="N100" i="45"/>
  <c r="G101" i="45"/>
  <c r="K101" i="45"/>
  <c r="O101" i="45"/>
  <c r="H102" i="45"/>
  <c r="L102" i="45"/>
  <c r="P102" i="45"/>
  <c r="I103" i="45"/>
  <c r="M103" i="45"/>
  <c r="Q103" i="45"/>
  <c r="J104" i="45"/>
  <c r="N104" i="45"/>
  <c r="G105" i="45"/>
  <c r="K105" i="45"/>
  <c r="O105" i="45"/>
  <c r="H106" i="45"/>
  <c r="L106" i="45"/>
  <c r="P106" i="45"/>
  <c r="I107" i="45"/>
  <c r="M107" i="45"/>
  <c r="Q107" i="45"/>
  <c r="J108" i="45"/>
  <c r="N108" i="45"/>
  <c r="G109" i="45"/>
  <c r="K109" i="45"/>
  <c r="O109" i="45"/>
  <c r="H110" i="45"/>
  <c r="L110" i="45"/>
  <c r="P110" i="45"/>
  <c r="I111" i="45"/>
  <c r="M111" i="45"/>
  <c r="Q111" i="45"/>
  <c r="J112" i="45"/>
  <c r="N112" i="45"/>
  <c r="G113" i="45"/>
  <c r="K113" i="45"/>
  <c r="O113" i="45"/>
  <c r="H114" i="45"/>
  <c r="L114" i="45"/>
  <c r="P114" i="45"/>
  <c r="I115" i="45"/>
  <c r="M115" i="45"/>
  <c r="Q115" i="45"/>
  <c r="J116" i="45"/>
  <c r="N116" i="45"/>
  <c r="G117" i="45"/>
  <c r="K117" i="45"/>
  <c r="O117" i="45"/>
  <c r="H118" i="45"/>
  <c r="L118" i="45"/>
  <c r="P118" i="45"/>
  <c r="I119" i="45"/>
  <c r="M119" i="45"/>
  <c r="Q119" i="45"/>
  <c r="J120" i="45"/>
  <c r="N120" i="45"/>
  <c r="G121" i="45"/>
  <c r="K121" i="45"/>
  <c r="O121" i="45"/>
  <c r="H122" i="45"/>
  <c r="L122" i="45"/>
  <c r="P122" i="45"/>
  <c r="I123" i="45"/>
  <c r="M123" i="45"/>
  <c r="Q123" i="45"/>
  <c r="J124" i="45"/>
  <c r="N124" i="45"/>
  <c r="G125" i="45"/>
  <c r="K125" i="45"/>
  <c r="O125" i="45"/>
  <c r="H126" i="45"/>
  <c r="L126" i="45"/>
  <c r="P126" i="45"/>
  <c r="I127" i="45"/>
  <c r="M127" i="45"/>
  <c r="Q127" i="45"/>
  <c r="J128" i="45"/>
  <c r="N128" i="45"/>
  <c r="G129" i="45"/>
  <c r="K129" i="45"/>
  <c r="O129" i="45"/>
  <c r="H130" i="45"/>
  <c r="L130" i="45"/>
  <c r="P130" i="45"/>
  <c r="I131" i="45"/>
  <c r="M131" i="45"/>
  <c r="Q131" i="45"/>
  <c r="J132" i="45"/>
  <c r="N132" i="45"/>
  <c r="G133" i="45"/>
  <c r="K133" i="45"/>
  <c r="O133" i="45"/>
  <c r="H134" i="45"/>
  <c r="L134" i="45"/>
  <c r="P134" i="45"/>
  <c r="I135" i="45"/>
  <c r="M135" i="45"/>
  <c r="Q135" i="45"/>
  <c r="J136" i="45"/>
  <c r="N136" i="45"/>
  <c r="G137" i="45"/>
  <c r="K137" i="45"/>
  <c r="O137" i="45"/>
  <c r="H138" i="45"/>
  <c r="L138" i="45"/>
  <c r="P138" i="45"/>
  <c r="I139" i="45"/>
  <c r="M139" i="45"/>
  <c r="Q139" i="45"/>
  <c r="J140" i="45"/>
  <c r="N140" i="45"/>
  <c r="G141" i="45"/>
  <c r="K141" i="45"/>
  <c r="O141" i="45"/>
  <c r="H142" i="45"/>
  <c r="L142" i="45"/>
  <c r="P142" i="45"/>
  <c r="I143" i="45"/>
  <c r="M143" i="45"/>
  <c r="Q143" i="45"/>
  <c r="J144" i="45"/>
  <c r="N144" i="45"/>
  <c r="G145" i="45"/>
  <c r="K145" i="45"/>
  <c r="O145" i="45"/>
  <c r="H146" i="45"/>
  <c r="L146" i="45"/>
  <c r="P146" i="45"/>
  <c r="I147" i="45"/>
  <c r="M147" i="45"/>
  <c r="Q147" i="45"/>
  <c r="J148" i="45"/>
  <c r="N148" i="45"/>
  <c r="G149" i="45"/>
  <c r="K149" i="45"/>
  <c r="O149" i="45"/>
  <c r="H150" i="45"/>
  <c r="L150" i="45"/>
  <c r="P150" i="45"/>
  <c r="I151" i="45"/>
  <c r="M151" i="45"/>
  <c r="Q151" i="45"/>
  <c r="J152" i="45"/>
  <c r="N152" i="45"/>
  <c r="G153" i="45"/>
  <c r="K153" i="45"/>
  <c r="O153" i="45"/>
  <c r="H154" i="45"/>
  <c r="L154" i="45"/>
  <c r="P154" i="45"/>
  <c r="I155" i="45"/>
  <c r="M155" i="45"/>
  <c r="Q155" i="45"/>
  <c r="J156" i="45"/>
  <c r="N156" i="45"/>
  <c r="G157" i="45"/>
  <c r="K157" i="45"/>
  <c r="O157" i="45"/>
  <c r="H158" i="45"/>
  <c r="L158" i="45"/>
  <c r="P158" i="45"/>
  <c r="I159" i="45"/>
  <c r="M159" i="45"/>
  <c r="Q159" i="45"/>
  <c r="J160" i="45"/>
  <c r="N160" i="45"/>
  <c r="G161" i="45"/>
  <c r="K161" i="45"/>
  <c r="O161" i="45"/>
  <c r="H162" i="45"/>
  <c r="L162" i="45"/>
  <c r="P162" i="45"/>
  <c r="I163" i="45"/>
  <c r="M163" i="45"/>
  <c r="Q163" i="45"/>
  <c r="J164" i="45"/>
  <c r="N164" i="45"/>
  <c r="G165" i="45"/>
  <c r="K165" i="45"/>
  <c r="O165" i="45"/>
  <c r="H166" i="45"/>
  <c r="L166" i="45"/>
  <c r="P166" i="45"/>
  <c r="I167" i="45"/>
  <c r="M167" i="45"/>
  <c r="Q167" i="45"/>
  <c r="J168" i="45"/>
  <c r="N168" i="45"/>
  <c r="G169" i="45"/>
  <c r="K169" i="45"/>
  <c r="O169" i="45"/>
  <c r="H170" i="45"/>
  <c r="L170" i="45"/>
  <c r="P170" i="45"/>
  <c r="I171" i="45"/>
  <c r="M171" i="45"/>
  <c r="Q171" i="45"/>
  <c r="J172" i="45"/>
  <c r="N172" i="45"/>
  <c r="G173" i="45"/>
  <c r="K173" i="45"/>
  <c r="O173" i="45"/>
  <c r="H174" i="45"/>
  <c r="L174" i="45"/>
  <c r="P174" i="45"/>
  <c r="I175" i="45"/>
  <c r="M175" i="45"/>
  <c r="Q175" i="45"/>
  <c r="J176" i="45"/>
  <c r="N176" i="45"/>
  <c r="G177" i="45"/>
  <c r="K177" i="45"/>
  <c r="O177" i="45"/>
  <c r="H178" i="45"/>
  <c r="L178" i="45"/>
  <c r="P178" i="45"/>
  <c r="I179" i="45"/>
  <c r="M179" i="45"/>
  <c r="Q179" i="45"/>
  <c r="J180" i="45"/>
  <c r="N180" i="45"/>
  <c r="G181" i="45"/>
  <c r="K181" i="45"/>
  <c r="O181" i="45"/>
  <c r="H182" i="45"/>
  <c r="L182" i="45"/>
  <c r="P182" i="45"/>
  <c r="I183" i="45"/>
  <c r="M183" i="45"/>
  <c r="Q183" i="45"/>
  <c r="J184" i="45"/>
  <c r="N184" i="45"/>
  <c r="G185" i="45"/>
  <c r="K185" i="45"/>
  <c r="O185" i="45"/>
  <c r="H186" i="45"/>
  <c r="L186" i="45"/>
  <c r="P186" i="45"/>
  <c r="I187" i="45"/>
  <c r="M187" i="45"/>
  <c r="Q187" i="45"/>
  <c r="J188" i="45"/>
  <c r="N188" i="45"/>
  <c r="G189" i="45"/>
  <c r="K189" i="45"/>
  <c r="O189" i="45"/>
  <c r="H190" i="45"/>
  <c r="L190" i="45"/>
  <c r="P190" i="45"/>
  <c r="I191" i="45"/>
  <c r="M191" i="45"/>
  <c r="Q191" i="45"/>
  <c r="J192" i="45"/>
  <c r="N192" i="45"/>
  <c r="G193" i="45"/>
  <c r="K193" i="45"/>
  <c r="O193" i="45"/>
  <c r="H194" i="45"/>
  <c r="L194" i="45"/>
  <c r="P194" i="45"/>
  <c r="I195" i="45"/>
  <c r="M195" i="45"/>
  <c r="Q195" i="45"/>
  <c r="J196" i="45"/>
  <c r="N196" i="45"/>
  <c r="G197" i="45"/>
  <c r="K197" i="45"/>
  <c r="O197" i="45"/>
  <c r="H198" i="45"/>
  <c r="L198" i="45"/>
  <c r="P198" i="45"/>
  <c r="H5" i="45"/>
  <c r="L5" i="45"/>
  <c r="P5" i="45"/>
  <c r="I6" i="45"/>
  <c r="M6" i="45"/>
  <c r="Q6" i="45"/>
  <c r="J7" i="45"/>
  <c r="N7" i="45"/>
  <c r="G8" i="45"/>
  <c r="K8" i="45"/>
  <c r="O8" i="45"/>
  <c r="H9" i="45"/>
  <c r="L9" i="45"/>
  <c r="P9" i="45"/>
  <c r="I10" i="45"/>
  <c r="M10" i="45"/>
  <c r="Q10" i="45"/>
  <c r="J11" i="45"/>
  <c r="N11" i="45"/>
  <c r="G12" i="45"/>
  <c r="K12" i="45"/>
  <c r="O12" i="45"/>
  <c r="H13" i="45"/>
  <c r="L13" i="45"/>
  <c r="P13" i="45"/>
  <c r="I14" i="45"/>
  <c r="M14" i="45"/>
  <c r="Q14" i="45"/>
  <c r="J15" i="45"/>
  <c r="N15" i="45"/>
  <c r="G16" i="45"/>
  <c r="K16" i="45"/>
  <c r="O16" i="45"/>
  <c r="H17" i="45"/>
  <c r="L17" i="45"/>
  <c r="P17" i="45"/>
  <c r="I18" i="45"/>
  <c r="M18" i="45"/>
  <c r="Q18" i="45"/>
  <c r="J19" i="45"/>
  <c r="N19" i="45"/>
  <c r="G20" i="45"/>
  <c r="K20" i="45"/>
  <c r="O20" i="45"/>
  <c r="H21" i="45"/>
  <c r="L21" i="45"/>
  <c r="P21" i="45"/>
  <c r="I22" i="45"/>
  <c r="M22" i="45"/>
  <c r="Q22" i="45"/>
  <c r="J23" i="45"/>
  <c r="N23" i="45"/>
  <c r="G24" i="45"/>
  <c r="K24" i="45"/>
  <c r="O24" i="45"/>
  <c r="H25" i="45"/>
  <c r="L25" i="45"/>
  <c r="P25" i="45"/>
  <c r="I26" i="45"/>
  <c r="M26" i="45"/>
  <c r="Q26" i="45"/>
  <c r="J27" i="45"/>
  <c r="N27" i="45"/>
  <c r="G28" i="45"/>
  <c r="K28" i="45"/>
  <c r="O28" i="45"/>
  <c r="H29" i="45"/>
  <c r="L29" i="45"/>
  <c r="P29" i="45"/>
  <c r="I30" i="45"/>
  <c r="M30" i="45"/>
  <c r="Q30" i="45"/>
  <c r="J31" i="45"/>
  <c r="N31" i="45"/>
  <c r="G32" i="45"/>
  <c r="K32" i="45"/>
  <c r="O32" i="45"/>
  <c r="H33" i="45"/>
  <c r="L33" i="45"/>
  <c r="P33" i="45"/>
  <c r="I34" i="45"/>
  <c r="M34" i="45"/>
  <c r="Q34" i="45"/>
  <c r="J35" i="45"/>
  <c r="N35" i="45"/>
  <c r="G36" i="45"/>
  <c r="K36" i="45"/>
  <c r="O36" i="45"/>
  <c r="H37" i="45"/>
  <c r="L37" i="45"/>
  <c r="P37" i="45"/>
  <c r="I38" i="45"/>
  <c r="M38" i="45"/>
  <c r="Q38" i="45"/>
  <c r="J39" i="45"/>
  <c r="N39" i="45"/>
  <c r="G40" i="45"/>
  <c r="K40" i="45"/>
  <c r="O40" i="45"/>
  <c r="H41" i="45"/>
  <c r="L41" i="45"/>
  <c r="P41" i="45"/>
  <c r="I42" i="45"/>
  <c r="M42" i="45"/>
  <c r="Q42" i="45"/>
  <c r="J43" i="45"/>
  <c r="N43" i="45"/>
  <c r="G44" i="45"/>
  <c r="K44" i="45"/>
  <c r="O44" i="45"/>
  <c r="H45" i="45"/>
  <c r="L45" i="45"/>
  <c r="P45" i="45"/>
  <c r="I46" i="45"/>
  <c r="M46" i="45"/>
  <c r="Q46" i="45"/>
  <c r="J47" i="45"/>
  <c r="N47" i="45"/>
  <c r="G48" i="45"/>
  <c r="K48" i="45"/>
  <c r="O48" i="45"/>
  <c r="H49" i="45"/>
  <c r="L49" i="45"/>
  <c r="P49" i="45"/>
  <c r="I50" i="45"/>
  <c r="M50" i="45"/>
  <c r="Q50" i="45"/>
  <c r="J51" i="45"/>
  <c r="N51" i="45"/>
  <c r="G52" i="45"/>
  <c r="K52" i="45"/>
  <c r="O52" i="45"/>
  <c r="H53" i="45"/>
  <c r="L53" i="45"/>
  <c r="P53" i="45"/>
  <c r="I54" i="45"/>
  <c r="M54" i="45"/>
  <c r="Q54" i="45"/>
  <c r="J55" i="45"/>
  <c r="N55" i="45"/>
  <c r="G56" i="45"/>
  <c r="K56" i="45"/>
  <c r="O56" i="45"/>
  <c r="H57" i="45"/>
  <c r="L57" i="45"/>
  <c r="P57" i="45"/>
  <c r="I58" i="45"/>
  <c r="M58" i="45"/>
  <c r="Q58" i="45"/>
  <c r="J59" i="45"/>
  <c r="N59" i="45"/>
  <c r="G60" i="45"/>
  <c r="K60" i="45"/>
  <c r="O60" i="45"/>
  <c r="H61" i="45"/>
  <c r="L61" i="45"/>
  <c r="P61" i="45"/>
  <c r="I62" i="45"/>
  <c r="M62" i="45"/>
  <c r="Q62" i="45"/>
  <c r="J63" i="45"/>
  <c r="N63" i="45"/>
  <c r="G64" i="45"/>
  <c r="K64" i="45"/>
  <c r="O64" i="45"/>
  <c r="H65" i="45"/>
  <c r="L65" i="45"/>
  <c r="P65" i="45"/>
  <c r="I66" i="45"/>
  <c r="M66" i="45"/>
  <c r="Q66" i="45"/>
  <c r="J67" i="45"/>
  <c r="N67" i="45"/>
  <c r="G68" i="45"/>
  <c r="K68" i="45"/>
  <c r="O68" i="45"/>
  <c r="H69" i="45"/>
  <c r="L69" i="45"/>
  <c r="P69" i="45"/>
  <c r="I70" i="45"/>
  <c r="M70" i="45"/>
  <c r="Q70" i="45"/>
  <c r="J71" i="45"/>
  <c r="N71" i="45"/>
  <c r="G72" i="45"/>
  <c r="K72" i="45"/>
  <c r="O72" i="45"/>
  <c r="H73" i="45"/>
  <c r="L73" i="45"/>
  <c r="P73" i="45"/>
  <c r="I74" i="45"/>
  <c r="M74" i="45"/>
  <c r="Q74" i="45"/>
  <c r="J75" i="45"/>
  <c r="N75" i="45"/>
  <c r="G76" i="45"/>
  <c r="K76" i="45"/>
  <c r="O76" i="45"/>
  <c r="H77" i="45"/>
  <c r="L77" i="45"/>
  <c r="P77" i="45"/>
  <c r="I78" i="45"/>
  <c r="M78" i="45"/>
  <c r="Q78" i="45"/>
  <c r="J79" i="45"/>
  <c r="N79" i="45"/>
  <c r="G80" i="45"/>
  <c r="K80" i="45"/>
  <c r="O80" i="45"/>
  <c r="H81" i="45"/>
  <c r="L81" i="45"/>
  <c r="P81" i="45"/>
  <c r="I82" i="45"/>
  <c r="M82" i="45"/>
  <c r="Q82" i="45"/>
  <c r="J83" i="45"/>
  <c r="N83" i="45"/>
  <c r="G84" i="45"/>
  <c r="K84" i="45"/>
  <c r="O84" i="45"/>
  <c r="H85" i="45"/>
  <c r="L85" i="45"/>
  <c r="P85" i="45"/>
  <c r="I86" i="45"/>
  <c r="M86" i="45"/>
  <c r="Q86" i="45"/>
  <c r="J87" i="45"/>
  <c r="N87" i="45"/>
  <c r="G88" i="45"/>
  <c r="K88" i="45"/>
  <c r="O88" i="45"/>
  <c r="H89" i="45"/>
  <c r="L89" i="45"/>
  <c r="P89" i="45"/>
  <c r="I90" i="45"/>
  <c r="M90" i="45"/>
  <c r="Q90" i="45"/>
  <c r="J91" i="45"/>
  <c r="N91" i="45"/>
  <c r="G92" i="45"/>
  <c r="K92" i="45"/>
  <c r="O92" i="45"/>
  <c r="H93" i="45"/>
  <c r="L93" i="45"/>
  <c r="P93" i="45"/>
  <c r="I94" i="45"/>
  <c r="M94" i="45"/>
  <c r="Q94" i="45"/>
  <c r="J95" i="45"/>
  <c r="N95" i="45"/>
  <c r="G96" i="45"/>
  <c r="K96" i="45"/>
  <c r="O96" i="45"/>
  <c r="H97" i="45"/>
  <c r="L97" i="45"/>
  <c r="P97" i="45"/>
  <c r="I98" i="45"/>
  <c r="M98" i="45"/>
  <c r="Q98" i="45"/>
  <c r="J99" i="45"/>
  <c r="N99" i="45"/>
  <c r="G100" i="45"/>
  <c r="K100" i="45"/>
  <c r="O100" i="45"/>
  <c r="H101" i="45"/>
  <c r="L101" i="45"/>
  <c r="P101" i="45"/>
  <c r="I102" i="45"/>
  <c r="M102" i="45"/>
  <c r="Q102" i="45"/>
  <c r="J103" i="45"/>
  <c r="N103" i="45"/>
  <c r="G104" i="45"/>
  <c r="K104" i="45"/>
  <c r="O104" i="45"/>
  <c r="H105" i="45"/>
  <c r="L105" i="45"/>
  <c r="P105" i="45"/>
  <c r="I106" i="45"/>
  <c r="M106" i="45"/>
  <c r="Q106" i="45"/>
  <c r="J107" i="45"/>
  <c r="N107" i="45"/>
  <c r="G108" i="45"/>
  <c r="K108" i="45"/>
  <c r="O108" i="45"/>
  <c r="H109" i="45"/>
  <c r="L109" i="45"/>
  <c r="P109" i="45"/>
  <c r="I110" i="45"/>
  <c r="M110" i="45"/>
  <c r="Q110" i="45"/>
  <c r="J111" i="45"/>
  <c r="N111" i="45"/>
  <c r="G112" i="45"/>
  <c r="K112" i="45"/>
  <c r="O112" i="45"/>
  <c r="H113" i="45"/>
  <c r="L113" i="45"/>
  <c r="P113" i="45"/>
  <c r="I114" i="45"/>
  <c r="M114" i="45"/>
  <c r="Q114" i="45"/>
  <c r="J115" i="45"/>
  <c r="N115" i="45"/>
  <c r="G116" i="45"/>
  <c r="K116" i="45"/>
  <c r="O116" i="45"/>
  <c r="H117" i="45"/>
  <c r="L117" i="45"/>
  <c r="P117" i="45"/>
  <c r="I118" i="45"/>
  <c r="M118" i="45"/>
  <c r="Q118" i="45"/>
  <c r="J119" i="45"/>
  <c r="N119" i="45"/>
  <c r="G120" i="45"/>
  <c r="K120" i="45"/>
  <c r="O120" i="45"/>
  <c r="H121" i="45"/>
  <c r="L121" i="45"/>
  <c r="P121" i="45"/>
  <c r="I122" i="45"/>
  <c r="M122" i="45"/>
  <c r="Q122" i="45"/>
  <c r="J123" i="45"/>
  <c r="N123" i="45"/>
  <c r="G124" i="45"/>
  <c r="K124" i="45"/>
  <c r="O124" i="45"/>
  <c r="H125" i="45"/>
  <c r="L125" i="45"/>
  <c r="P125" i="45"/>
  <c r="I126" i="45"/>
  <c r="M126" i="45"/>
  <c r="Q126" i="45"/>
  <c r="J127" i="45"/>
  <c r="N127" i="45"/>
  <c r="G128" i="45"/>
  <c r="K128" i="45"/>
  <c r="O128" i="45"/>
  <c r="H129" i="45"/>
  <c r="L129" i="45"/>
  <c r="P129" i="45"/>
  <c r="I130" i="45"/>
  <c r="M130" i="45"/>
  <c r="Q130" i="45"/>
  <c r="J131" i="45"/>
  <c r="N131" i="45"/>
  <c r="G132" i="45"/>
  <c r="K132" i="45"/>
  <c r="O132" i="45"/>
  <c r="H133" i="45"/>
  <c r="L133" i="45"/>
  <c r="P133" i="45"/>
  <c r="I134" i="45"/>
  <c r="M134" i="45"/>
  <c r="Q134" i="45"/>
  <c r="J135" i="45"/>
  <c r="N135" i="45"/>
  <c r="G136" i="45"/>
  <c r="K136" i="45"/>
  <c r="O136" i="45"/>
  <c r="H137" i="45"/>
  <c r="L137" i="45"/>
  <c r="P137" i="45"/>
  <c r="I138" i="45"/>
  <c r="M138" i="45"/>
  <c r="Q138" i="45"/>
  <c r="J139" i="45"/>
  <c r="N139" i="45"/>
  <c r="G140" i="45"/>
  <c r="K140" i="45"/>
  <c r="O140" i="45"/>
  <c r="H141" i="45"/>
  <c r="L141" i="45"/>
  <c r="P141" i="45"/>
  <c r="I142" i="45"/>
  <c r="M142" i="45"/>
  <c r="Q142" i="45"/>
  <c r="J143" i="45"/>
  <c r="N143" i="45"/>
  <c r="G144" i="45"/>
  <c r="K144" i="45"/>
  <c r="O144" i="45"/>
  <c r="H145" i="45"/>
  <c r="L145" i="45"/>
  <c r="P145" i="45"/>
  <c r="I146" i="45"/>
  <c r="M146" i="45"/>
  <c r="Q146" i="45"/>
  <c r="J147" i="45"/>
  <c r="N147" i="45"/>
  <c r="G148" i="45"/>
  <c r="K148" i="45"/>
  <c r="O148" i="45"/>
  <c r="H149" i="45"/>
  <c r="L149" i="45"/>
  <c r="P149" i="45"/>
  <c r="I150" i="45"/>
  <c r="M150" i="45"/>
  <c r="Q150" i="45"/>
  <c r="J151" i="45"/>
  <c r="N151" i="45"/>
  <c r="G152" i="45"/>
  <c r="K152" i="45"/>
  <c r="O152" i="45"/>
  <c r="H153" i="45"/>
  <c r="L153" i="45"/>
  <c r="P153" i="45"/>
  <c r="I154" i="45"/>
  <c r="M154" i="45"/>
  <c r="Q154" i="45"/>
  <c r="J155" i="45"/>
  <c r="N155" i="45"/>
  <c r="G156" i="45"/>
  <c r="K156" i="45"/>
  <c r="O156" i="45"/>
  <c r="H157" i="45"/>
  <c r="L157" i="45"/>
  <c r="P157" i="45"/>
  <c r="I158" i="45"/>
  <c r="M158" i="45"/>
  <c r="Q158" i="45"/>
  <c r="J159" i="45"/>
  <c r="N159" i="45"/>
  <c r="G160" i="45"/>
  <c r="K160" i="45"/>
  <c r="O160" i="45"/>
  <c r="H161" i="45"/>
  <c r="L161" i="45"/>
  <c r="P161" i="45"/>
  <c r="I162" i="45"/>
  <c r="M162" i="45"/>
  <c r="Q162" i="45"/>
  <c r="J163" i="45"/>
  <c r="N163" i="45"/>
  <c r="G164" i="45"/>
  <c r="K164" i="45"/>
  <c r="O164" i="45"/>
  <c r="H165" i="45"/>
  <c r="L165" i="45"/>
  <c r="P165" i="45"/>
  <c r="I166" i="45"/>
  <c r="M166" i="45"/>
  <c r="Q166" i="45"/>
  <c r="J167" i="45"/>
  <c r="N167" i="45"/>
  <c r="G168" i="45"/>
  <c r="K168" i="45"/>
  <c r="O168" i="45"/>
  <c r="H169" i="45"/>
  <c r="L169" i="45"/>
  <c r="P169" i="45"/>
  <c r="I170" i="45"/>
  <c r="M170" i="45"/>
  <c r="Q170" i="45"/>
  <c r="J171" i="45"/>
  <c r="N171" i="45"/>
  <c r="G172" i="45"/>
  <c r="K172" i="45"/>
  <c r="O172" i="45"/>
  <c r="H173" i="45"/>
  <c r="L173" i="45"/>
  <c r="P173" i="45"/>
  <c r="I174" i="45"/>
  <c r="M174" i="45"/>
  <c r="Q174" i="45"/>
  <c r="J175" i="45"/>
  <c r="N175" i="45"/>
  <c r="G176" i="45"/>
  <c r="K176" i="45"/>
  <c r="O176" i="45"/>
  <c r="H177" i="45"/>
  <c r="L177" i="45"/>
  <c r="P177" i="45"/>
  <c r="I178" i="45"/>
  <c r="M178" i="45"/>
  <c r="Q178" i="45"/>
  <c r="J179" i="45"/>
  <c r="N179" i="45"/>
  <c r="G180" i="45"/>
  <c r="K180" i="45"/>
  <c r="O180" i="45"/>
  <c r="H181" i="45"/>
  <c r="L181" i="45"/>
  <c r="P181" i="45"/>
  <c r="I182" i="45"/>
  <c r="M182" i="45"/>
  <c r="Q182" i="45"/>
  <c r="J183" i="45"/>
  <c r="N183" i="45"/>
  <c r="G184" i="45"/>
  <c r="K184" i="45"/>
  <c r="O184" i="45"/>
  <c r="H185" i="45"/>
  <c r="L185" i="45"/>
  <c r="P185" i="45"/>
  <c r="I186" i="45"/>
  <c r="M186" i="45"/>
  <c r="Q186" i="45"/>
  <c r="J187" i="45"/>
  <c r="N187" i="45"/>
  <c r="G188" i="45"/>
  <c r="K188" i="45"/>
  <c r="O188" i="45"/>
  <c r="H189" i="45"/>
  <c r="L189" i="45"/>
  <c r="P189" i="45"/>
  <c r="I190" i="45"/>
  <c r="M190" i="45"/>
  <c r="Q190" i="45"/>
  <c r="J191" i="45"/>
  <c r="N191" i="45"/>
  <c r="G192" i="45"/>
  <c r="K192" i="45"/>
  <c r="O192" i="45"/>
  <c r="H193" i="45"/>
  <c r="L193" i="45"/>
  <c r="P193" i="45"/>
  <c r="I194" i="45"/>
  <c r="M194" i="45"/>
  <c r="Q194" i="45"/>
  <c r="J195" i="45"/>
  <c r="N195" i="45"/>
  <c r="G196" i="45"/>
  <c r="K196" i="45"/>
  <c r="O196" i="45"/>
  <c r="H197" i="45"/>
  <c r="L197" i="45"/>
  <c r="P197" i="45"/>
  <c r="I198" i="45"/>
  <c r="M198" i="45"/>
  <c r="Q198" i="45"/>
  <c r="I5" i="45"/>
  <c r="M5" i="45"/>
  <c r="J6" i="45"/>
  <c r="G7" i="45"/>
  <c r="K7" i="45"/>
  <c r="H8" i="45"/>
  <c r="L8" i="45"/>
  <c r="I9" i="45"/>
  <c r="M9" i="45"/>
  <c r="J10" i="45"/>
  <c r="G11" i="45"/>
  <c r="K11" i="45"/>
  <c r="H12" i="45"/>
  <c r="L12" i="45"/>
  <c r="I13" i="45"/>
  <c r="M13" i="45"/>
  <c r="J14" i="45"/>
  <c r="G15" i="45"/>
  <c r="K15" i="45"/>
  <c r="H16" i="45"/>
  <c r="L16" i="45"/>
  <c r="I17" i="45"/>
  <c r="M17" i="45"/>
  <c r="J18" i="45"/>
  <c r="G19" i="45"/>
  <c r="K19" i="45"/>
  <c r="H20" i="45"/>
  <c r="L20" i="45"/>
  <c r="I21" i="45"/>
  <c r="M21" i="45"/>
  <c r="J22" i="45"/>
  <c r="G23" i="45"/>
  <c r="K23" i="45"/>
  <c r="H24" i="45"/>
  <c r="L24" i="45"/>
  <c r="I25" i="45"/>
  <c r="M25" i="45"/>
  <c r="J26" i="45"/>
  <c r="G27" i="45"/>
  <c r="K27" i="45"/>
  <c r="H28" i="45"/>
  <c r="L28" i="45"/>
  <c r="I29" i="45"/>
  <c r="M29" i="45"/>
  <c r="J30" i="45"/>
  <c r="G31" i="45"/>
  <c r="K31" i="45"/>
  <c r="H32" i="45"/>
  <c r="L32" i="45"/>
  <c r="I33" i="45"/>
  <c r="M33" i="45"/>
  <c r="J34" i="45"/>
  <c r="G35" i="45"/>
  <c r="K35" i="45"/>
  <c r="H36" i="45"/>
  <c r="L36" i="45"/>
  <c r="I37" i="45"/>
  <c r="M37" i="45"/>
  <c r="J38" i="45"/>
  <c r="G39" i="45"/>
  <c r="K39" i="45"/>
  <c r="H40" i="45"/>
  <c r="L40" i="45"/>
  <c r="I41" i="45"/>
  <c r="M41" i="45"/>
  <c r="J42" i="45"/>
  <c r="G43" i="45"/>
  <c r="K43" i="45"/>
  <c r="H44" i="45"/>
  <c r="L44" i="45"/>
  <c r="I45" i="45"/>
  <c r="M45" i="45"/>
  <c r="J46" i="45"/>
  <c r="G47" i="45"/>
  <c r="K47" i="45"/>
  <c r="H48" i="45"/>
  <c r="L48" i="45"/>
  <c r="I49" i="45"/>
  <c r="M49" i="45"/>
  <c r="J50" i="45"/>
  <c r="G51" i="45"/>
  <c r="K51" i="45"/>
  <c r="H52" i="45"/>
  <c r="L52" i="45"/>
  <c r="I53" i="45"/>
  <c r="M53" i="45"/>
  <c r="J54" i="45"/>
  <c r="G55" i="45"/>
  <c r="K55" i="45"/>
  <c r="H56" i="45"/>
  <c r="L56" i="45"/>
  <c r="I57" i="45"/>
  <c r="M57" i="45"/>
  <c r="J58" i="45"/>
  <c r="G59" i="45"/>
  <c r="K59" i="45"/>
  <c r="H60" i="45"/>
  <c r="L60" i="45"/>
  <c r="I61" i="45"/>
  <c r="M61" i="45"/>
  <c r="J62" i="45"/>
  <c r="G63" i="45"/>
  <c r="K63" i="45"/>
  <c r="H64" i="45"/>
  <c r="L64" i="45"/>
  <c r="I65" i="45"/>
  <c r="M65" i="45"/>
  <c r="J66" i="45"/>
  <c r="G67" i="45"/>
  <c r="K67" i="45"/>
  <c r="H68" i="45"/>
  <c r="L68" i="45"/>
  <c r="I69" i="45"/>
  <c r="M69" i="45"/>
  <c r="J70" i="45"/>
  <c r="G71" i="45"/>
  <c r="K71" i="45"/>
  <c r="H72" i="45"/>
  <c r="L72" i="45"/>
  <c r="I73" i="45"/>
  <c r="M73" i="45"/>
  <c r="J74" i="45"/>
  <c r="G75" i="45"/>
  <c r="K75" i="45"/>
  <c r="H76" i="45"/>
  <c r="L76" i="45"/>
  <c r="I77" i="45"/>
  <c r="M77" i="45"/>
  <c r="J78" i="45"/>
  <c r="G79" i="45"/>
  <c r="K79" i="45"/>
  <c r="H80" i="45"/>
  <c r="L80" i="45"/>
  <c r="I81" i="45"/>
  <c r="M81" i="45"/>
  <c r="J82" i="45"/>
  <c r="G83" i="45"/>
  <c r="K83" i="45"/>
  <c r="H84" i="45"/>
  <c r="L84" i="45"/>
  <c r="I85" i="45"/>
  <c r="M85" i="45"/>
  <c r="J86" i="45"/>
  <c r="G87" i="45"/>
  <c r="K87" i="45"/>
  <c r="H88" i="45"/>
  <c r="L88" i="45"/>
  <c r="I89" i="45"/>
  <c r="M89" i="45"/>
  <c r="J90" i="45"/>
  <c r="G91" i="45"/>
  <c r="K91" i="45"/>
  <c r="H92" i="45"/>
  <c r="L92" i="45"/>
  <c r="I93" i="45"/>
  <c r="M93" i="45"/>
  <c r="J94" i="45"/>
  <c r="G95" i="45"/>
  <c r="K95" i="45"/>
  <c r="H96" i="45"/>
  <c r="L96" i="45"/>
  <c r="I97" i="45"/>
  <c r="M97" i="45"/>
  <c r="J98" i="45"/>
  <c r="G99" i="45"/>
  <c r="K99" i="45"/>
  <c r="H100" i="45"/>
  <c r="L100" i="45"/>
  <c r="I101" i="45"/>
  <c r="M101" i="45"/>
  <c r="J102" i="45"/>
  <c r="G103" i="45"/>
  <c r="K103" i="45"/>
  <c r="H104" i="45"/>
  <c r="L104" i="45"/>
  <c r="I105" i="45"/>
  <c r="M105" i="45"/>
  <c r="J106" i="45"/>
  <c r="G107" i="45"/>
  <c r="K107" i="45"/>
  <c r="H108" i="45"/>
  <c r="L108" i="45"/>
  <c r="I109" i="45"/>
  <c r="M109" i="45"/>
  <c r="J110" i="45"/>
  <c r="G111" i="45"/>
  <c r="K111" i="45"/>
  <c r="H112" i="45"/>
  <c r="L112" i="45"/>
  <c r="I113" i="45"/>
  <c r="M113" i="45"/>
  <c r="J114" i="45"/>
  <c r="G115" i="45"/>
  <c r="K115" i="45"/>
  <c r="H116" i="45"/>
  <c r="L116" i="45"/>
  <c r="I117" i="45"/>
  <c r="M117" i="45"/>
  <c r="J118" i="45"/>
  <c r="G119" i="45"/>
  <c r="K119" i="45"/>
  <c r="H120" i="45"/>
  <c r="L120" i="45"/>
  <c r="I121" i="45"/>
  <c r="M121" i="45"/>
  <c r="J122" i="45"/>
  <c r="G123" i="45"/>
  <c r="K123" i="45"/>
  <c r="H124" i="45"/>
  <c r="L124" i="45"/>
  <c r="I125" i="45"/>
  <c r="M125" i="45"/>
  <c r="J126" i="45"/>
  <c r="G127" i="45"/>
  <c r="K127" i="45"/>
  <c r="H128" i="45"/>
  <c r="L128" i="45"/>
  <c r="I129" i="45"/>
  <c r="M129" i="45"/>
  <c r="J130" i="45"/>
  <c r="G131" i="45"/>
  <c r="K131" i="45"/>
  <c r="H132" i="45"/>
  <c r="L132" i="45"/>
  <c r="I133" i="45"/>
  <c r="M133" i="45"/>
  <c r="J134" i="45"/>
  <c r="G135" i="45"/>
  <c r="K135" i="45"/>
  <c r="H136" i="45"/>
  <c r="L136" i="45"/>
  <c r="I137" i="45"/>
  <c r="M137" i="45"/>
  <c r="J138" i="45"/>
  <c r="G139" i="45"/>
  <c r="K139" i="45"/>
  <c r="H140" i="45"/>
  <c r="L140" i="45"/>
  <c r="I141" i="45"/>
  <c r="M141" i="45"/>
  <c r="J142" i="45"/>
  <c r="G143" i="45"/>
  <c r="K143" i="45"/>
  <c r="H144" i="45"/>
  <c r="L144" i="45"/>
  <c r="I145" i="45"/>
  <c r="M145" i="45"/>
  <c r="J146" i="45"/>
  <c r="G147" i="45"/>
  <c r="K147" i="45"/>
  <c r="H148" i="45"/>
  <c r="L148" i="45"/>
  <c r="I149" i="45"/>
  <c r="M149" i="45"/>
  <c r="J150" i="45"/>
  <c r="G151" i="45"/>
  <c r="K151" i="45"/>
  <c r="H152" i="45"/>
  <c r="L152" i="45"/>
  <c r="I153" i="45"/>
  <c r="M153" i="45"/>
  <c r="J154" i="45"/>
  <c r="G155" i="45"/>
  <c r="K155" i="45"/>
  <c r="H156" i="45"/>
  <c r="L156" i="45"/>
  <c r="I157" i="45"/>
  <c r="M157" i="45"/>
  <c r="J158" i="45"/>
  <c r="G159" i="45"/>
  <c r="K159" i="45"/>
  <c r="H160" i="45"/>
  <c r="L160" i="45"/>
  <c r="I161" i="45"/>
  <c r="M161" i="45"/>
  <c r="J162" i="45"/>
  <c r="G163" i="45"/>
  <c r="K163" i="45"/>
  <c r="H164" i="45"/>
  <c r="L164" i="45"/>
  <c r="I165" i="45"/>
  <c r="M165" i="45"/>
  <c r="J166" i="45"/>
  <c r="G167" i="45"/>
  <c r="K167" i="45"/>
  <c r="H168" i="45"/>
  <c r="L168" i="45"/>
  <c r="I169" i="45"/>
  <c r="M169" i="45"/>
  <c r="J170" i="45"/>
  <c r="G171" i="45"/>
  <c r="K171" i="45"/>
  <c r="H172" i="45"/>
  <c r="L172" i="45"/>
  <c r="I173" i="45"/>
  <c r="M173" i="45"/>
  <c r="J174" i="45"/>
  <c r="G175" i="45"/>
  <c r="K175" i="45"/>
  <c r="H176" i="45"/>
  <c r="L176" i="45"/>
  <c r="I177" i="45"/>
  <c r="M177" i="45"/>
  <c r="J178" i="45"/>
  <c r="G179" i="45"/>
  <c r="K179" i="45"/>
  <c r="H180" i="45"/>
  <c r="L180" i="45"/>
  <c r="I181" i="45"/>
  <c r="M181" i="45"/>
  <c r="J182" i="45"/>
  <c r="G183" i="45"/>
  <c r="K183" i="45"/>
  <c r="H184" i="45"/>
  <c r="L184" i="45"/>
  <c r="I185" i="45"/>
  <c r="M185" i="45"/>
  <c r="J186" i="45"/>
  <c r="G187" i="45"/>
  <c r="K187" i="45"/>
  <c r="H188" i="45"/>
  <c r="L188" i="45"/>
  <c r="I189" i="45"/>
  <c r="M189" i="45"/>
  <c r="J190" i="45"/>
  <c r="G191" i="45"/>
  <c r="K191" i="45"/>
  <c r="H192" i="45"/>
  <c r="L192" i="45"/>
  <c r="I193" i="45"/>
  <c r="M193" i="45"/>
  <c r="J194" i="45"/>
  <c r="G195" i="45"/>
  <c r="K195" i="45"/>
  <c r="H196" i="45"/>
  <c r="L196" i="45"/>
  <c r="I197" i="45"/>
  <c r="M197" i="45"/>
  <c r="J198" i="45"/>
  <c r="P203" i="127" l="1"/>
  <c r="P204" i="128"/>
  <c r="P201" i="128"/>
  <c r="P201" i="127"/>
  <c r="AH202" i="128"/>
  <c r="AF201" i="127"/>
  <c r="P202" i="128"/>
  <c r="P202" i="127"/>
  <c r="P200" i="128"/>
  <c r="P203" i="128"/>
  <c r="E198" i="40"/>
  <c r="E197" i="40"/>
  <c r="E196" i="40"/>
  <c r="E195" i="40"/>
  <c r="E194" i="40"/>
  <c r="E193" i="40"/>
  <c r="E192" i="40"/>
  <c r="E191" i="40"/>
  <c r="E190" i="40"/>
  <c r="E189" i="40"/>
  <c r="E188" i="40"/>
  <c r="E187" i="40"/>
  <c r="E186" i="40"/>
  <c r="E185" i="40"/>
  <c r="E184" i="40"/>
  <c r="E183" i="40"/>
  <c r="E182" i="40"/>
  <c r="E181" i="40"/>
  <c r="E180" i="40"/>
  <c r="E179" i="40"/>
  <c r="E178" i="40"/>
  <c r="E177" i="40"/>
  <c r="E176" i="40"/>
  <c r="E175" i="40"/>
  <c r="E174" i="40"/>
  <c r="E173" i="40"/>
  <c r="E172" i="40"/>
  <c r="E171" i="40"/>
  <c r="E170" i="40"/>
  <c r="E169" i="40"/>
  <c r="E168" i="40"/>
  <c r="E167" i="40"/>
  <c r="E166" i="40"/>
  <c r="E165" i="40"/>
  <c r="E164" i="40"/>
  <c r="E163" i="40"/>
  <c r="E162" i="40"/>
  <c r="E161" i="40"/>
  <c r="E160" i="40"/>
  <c r="E159" i="40"/>
  <c r="E158" i="40"/>
  <c r="E157" i="40"/>
  <c r="E156" i="40"/>
  <c r="E155" i="40"/>
  <c r="E154" i="40"/>
  <c r="E153" i="40"/>
  <c r="E152" i="40"/>
  <c r="E151" i="40"/>
  <c r="E150" i="40"/>
  <c r="E149" i="40"/>
  <c r="E148" i="40"/>
  <c r="E147" i="40"/>
  <c r="E146" i="40"/>
  <c r="E145" i="40"/>
  <c r="E144" i="40"/>
  <c r="E143" i="40"/>
  <c r="E142" i="40"/>
  <c r="E141" i="40"/>
  <c r="E140" i="40"/>
  <c r="E139" i="40"/>
  <c r="E138" i="40"/>
  <c r="E137" i="40"/>
  <c r="E136" i="40"/>
  <c r="E135" i="40"/>
  <c r="E134" i="40"/>
  <c r="E133" i="40"/>
  <c r="E132" i="40"/>
  <c r="E131" i="40"/>
  <c r="E130" i="40"/>
  <c r="E129" i="40"/>
  <c r="E128" i="40"/>
  <c r="E127" i="40"/>
  <c r="E126" i="40"/>
  <c r="E125" i="40"/>
  <c r="E124" i="40"/>
  <c r="E123" i="40"/>
  <c r="E122" i="40"/>
  <c r="E121" i="40"/>
  <c r="E120" i="40"/>
  <c r="E119" i="40"/>
  <c r="E118" i="40"/>
  <c r="E117" i="40"/>
  <c r="E116" i="40"/>
  <c r="E115" i="40"/>
  <c r="E114" i="40"/>
  <c r="E113" i="40"/>
  <c r="E112" i="40"/>
  <c r="E111" i="40"/>
  <c r="E110" i="40"/>
  <c r="E109" i="40"/>
  <c r="E108" i="40"/>
  <c r="E107" i="40"/>
  <c r="E106" i="40"/>
  <c r="E105" i="40"/>
  <c r="E104" i="40"/>
  <c r="E103" i="40"/>
  <c r="E102" i="40"/>
  <c r="E101" i="40"/>
  <c r="E100" i="40"/>
  <c r="E99" i="40"/>
  <c r="E98" i="40"/>
  <c r="E97" i="40"/>
  <c r="E96" i="40"/>
  <c r="E95" i="40"/>
  <c r="E94" i="40"/>
  <c r="E93" i="40"/>
  <c r="E92" i="40"/>
  <c r="E91" i="40"/>
  <c r="E90" i="40"/>
  <c r="E89" i="40"/>
  <c r="E88" i="40"/>
  <c r="E87" i="40"/>
  <c r="E86" i="40"/>
  <c r="E85" i="40"/>
  <c r="E84" i="40"/>
  <c r="E83" i="40"/>
  <c r="E82" i="40"/>
  <c r="E81" i="40"/>
  <c r="E80" i="40"/>
  <c r="E79" i="40"/>
  <c r="E78" i="40"/>
  <c r="E77" i="40"/>
  <c r="E76" i="40"/>
  <c r="E75" i="40"/>
  <c r="E74" i="40"/>
  <c r="E73" i="40"/>
  <c r="E72" i="40"/>
  <c r="E71" i="40"/>
  <c r="E70" i="40"/>
  <c r="E69" i="40"/>
  <c r="E68" i="40"/>
  <c r="E67" i="40"/>
  <c r="E66" i="40"/>
  <c r="E65" i="40"/>
  <c r="E64" i="40"/>
  <c r="E63" i="40"/>
  <c r="E62" i="40"/>
  <c r="E61" i="40"/>
  <c r="E60" i="40"/>
  <c r="E59" i="40"/>
  <c r="E58" i="40"/>
  <c r="E57" i="40"/>
  <c r="E56" i="40"/>
  <c r="E55" i="40"/>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198" i="41"/>
  <c r="E197" i="41"/>
  <c r="E196" i="41"/>
  <c r="E195" i="41"/>
  <c r="E194" i="41"/>
  <c r="E193" i="41"/>
  <c r="E192" i="41"/>
  <c r="E191" i="41"/>
  <c r="E190" i="41"/>
  <c r="E189" i="41"/>
  <c r="E188" i="41"/>
  <c r="E187" i="41"/>
  <c r="E186" i="41"/>
  <c r="E185" i="41"/>
  <c r="E184" i="41"/>
  <c r="E183" i="41"/>
  <c r="E182" i="41"/>
  <c r="E181" i="41"/>
  <c r="E180" i="41"/>
  <c r="E179" i="41"/>
  <c r="E178" i="41"/>
  <c r="E177" i="41"/>
  <c r="E176" i="41"/>
  <c r="E175" i="41"/>
  <c r="E174" i="41"/>
  <c r="E173" i="41"/>
  <c r="E172" i="41"/>
  <c r="E171" i="41"/>
  <c r="E170" i="41"/>
  <c r="E169" i="41"/>
  <c r="E168" i="41"/>
  <c r="E167" i="41"/>
  <c r="E166" i="41"/>
  <c r="E165" i="41"/>
  <c r="E164" i="41"/>
  <c r="E163" i="41"/>
  <c r="E162" i="41"/>
  <c r="E161" i="41"/>
  <c r="E160" i="41"/>
  <c r="E159" i="41"/>
  <c r="E158" i="41"/>
  <c r="E157" i="41"/>
  <c r="E156" i="41"/>
  <c r="E155" i="41"/>
  <c r="E154" i="41"/>
  <c r="E153" i="41"/>
  <c r="E152" i="41"/>
  <c r="E151" i="41"/>
  <c r="E150" i="41"/>
  <c r="E149" i="41"/>
  <c r="E148" i="41"/>
  <c r="E147" i="41"/>
  <c r="E146" i="41"/>
  <c r="E145" i="41"/>
  <c r="E144" i="41"/>
  <c r="E143" i="41"/>
  <c r="E142" i="41"/>
  <c r="E141" i="41"/>
  <c r="E140" i="41"/>
  <c r="E139" i="41"/>
  <c r="E138" i="41"/>
  <c r="E137" i="41"/>
  <c r="E136" i="41"/>
  <c r="E135" i="41"/>
  <c r="E134" i="41"/>
  <c r="E133" i="41"/>
  <c r="E132" i="41"/>
  <c r="E131" i="41"/>
  <c r="E130" i="41"/>
  <c r="E129" i="41"/>
  <c r="E128" i="41"/>
  <c r="E127" i="41"/>
  <c r="E126" i="41"/>
  <c r="E125" i="41"/>
  <c r="E124" i="41"/>
  <c r="E123" i="41"/>
  <c r="E122" i="41"/>
  <c r="E121" i="41"/>
  <c r="E120" i="41"/>
  <c r="E119" i="41"/>
  <c r="E118" i="41"/>
  <c r="E117" i="41"/>
  <c r="E116" i="41"/>
  <c r="E115" i="41"/>
  <c r="E114" i="41"/>
  <c r="E113" i="41"/>
  <c r="E112" i="41"/>
  <c r="E111" i="41"/>
  <c r="E110" i="41"/>
  <c r="E109" i="41"/>
  <c r="E108" i="41"/>
  <c r="E107"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2"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4" i="41"/>
  <c r="E13" i="41"/>
  <c r="E12" i="41"/>
  <c r="E11" i="41"/>
  <c r="E10" i="41"/>
  <c r="E9" i="41"/>
  <c r="E8" i="41"/>
  <c r="E7" i="41"/>
  <c r="E6" i="41"/>
  <c r="E198" i="43"/>
  <c r="E197" i="43"/>
  <c r="E196" i="43"/>
  <c r="E195" i="43"/>
  <c r="E194" i="43"/>
  <c r="E193" i="43"/>
  <c r="E192" i="43"/>
  <c r="E191" i="43"/>
  <c r="E190" i="43"/>
  <c r="E189" i="43"/>
  <c r="E188" i="43"/>
  <c r="E187" i="43"/>
  <c r="E186" i="43"/>
  <c r="E185" i="43"/>
  <c r="E184" i="43"/>
  <c r="E183" i="43"/>
  <c r="E182" i="43"/>
  <c r="E181" i="43"/>
  <c r="E180" i="43"/>
  <c r="E179" i="43"/>
  <c r="E178" i="43"/>
  <c r="E177" i="43"/>
  <c r="E176" i="43"/>
  <c r="E175" i="43"/>
  <c r="E174" i="43"/>
  <c r="E173" i="43"/>
  <c r="E172" i="43"/>
  <c r="E171" i="43"/>
  <c r="E170" i="43"/>
  <c r="E169" i="43"/>
  <c r="E168" i="43"/>
  <c r="E167" i="43"/>
  <c r="E166" i="43"/>
  <c r="E165" i="43"/>
  <c r="E164" i="43"/>
  <c r="E163" i="43"/>
  <c r="E162" i="43"/>
  <c r="E161" i="43"/>
  <c r="E160" i="43"/>
  <c r="E159" i="43"/>
  <c r="E158" i="43"/>
  <c r="E157" i="43"/>
  <c r="E156" i="43"/>
  <c r="E155" i="43"/>
  <c r="E154" i="43"/>
  <c r="E153" i="43"/>
  <c r="E152" i="43"/>
  <c r="E151" i="43"/>
  <c r="E150" i="43"/>
  <c r="E149" i="43"/>
  <c r="E148" i="43"/>
  <c r="E147" i="43"/>
  <c r="E146" i="43"/>
  <c r="E145" i="43"/>
  <c r="E144" i="43"/>
  <c r="E143" i="43"/>
  <c r="E142" i="43"/>
  <c r="E141" i="43"/>
  <c r="E140" i="43"/>
  <c r="E139" i="43"/>
  <c r="E138" i="43"/>
  <c r="E137" i="43"/>
  <c r="E136" i="43"/>
  <c r="E135" i="43"/>
  <c r="E134" i="43"/>
  <c r="E133" i="43"/>
  <c r="E132" i="43"/>
  <c r="E131" i="43"/>
  <c r="E130" i="43"/>
  <c r="E129" i="43"/>
  <c r="E128" i="43"/>
  <c r="E127" i="43"/>
  <c r="E126" i="43"/>
  <c r="E125" i="43"/>
  <c r="E124" i="43"/>
  <c r="E123" i="43"/>
  <c r="E122" i="43"/>
  <c r="E121" i="43"/>
  <c r="E120" i="43"/>
  <c r="E119" i="43"/>
  <c r="E118" i="43"/>
  <c r="E117" i="43"/>
  <c r="E116" i="43"/>
  <c r="E115" i="43"/>
  <c r="E114" i="43"/>
  <c r="E113" i="43"/>
  <c r="E112" i="43"/>
  <c r="E111" i="43"/>
  <c r="E110" i="43"/>
  <c r="E109" i="43"/>
  <c r="E108" i="43"/>
  <c r="E107" i="43"/>
  <c r="E106" i="43"/>
  <c r="E105" i="43"/>
  <c r="E104" i="43"/>
  <c r="E103" i="43"/>
  <c r="E102" i="43"/>
  <c r="E101" i="43"/>
  <c r="E100" i="43"/>
  <c r="E99" i="43"/>
  <c r="E98" i="43"/>
  <c r="E97" i="43"/>
  <c r="E96" i="43"/>
  <c r="E95" i="43"/>
  <c r="E94" i="43"/>
  <c r="E93" i="43"/>
  <c r="E92" i="43"/>
  <c r="E91" i="43"/>
  <c r="E90" i="43"/>
  <c r="E89" i="43"/>
  <c r="E88" i="43"/>
  <c r="E87" i="43"/>
  <c r="E86" i="43"/>
  <c r="E85" i="43"/>
  <c r="E84" i="43"/>
  <c r="E83" i="43"/>
  <c r="E82" i="43"/>
  <c r="E81" i="43"/>
  <c r="E80" i="43"/>
  <c r="E79" i="43"/>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F44" i="43" s="1"/>
  <c r="E43" i="43"/>
  <c r="E42" i="43"/>
  <c r="E41" i="43"/>
  <c r="E40" i="43"/>
  <c r="E39" i="43"/>
  <c r="E38" i="43"/>
  <c r="E37" i="43"/>
  <c r="E36" i="43"/>
  <c r="E35" i="43"/>
  <c r="E34" i="43"/>
  <c r="E33" i="43"/>
  <c r="E32" i="43"/>
  <c r="E31" i="43"/>
  <c r="E30" i="43"/>
  <c r="E29" i="43"/>
  <c r="E28" i="43"/>
  <c r="E27" i="43"/>
  <c r="E26" i="43"/>
  <c r="E25" i="43"/>
  <c r="E24" i="43"/>
  <c r="E23" i="43"/>
  <c r="E22" i="43"/>
  <c r="E21" i="43"/>
  <c r="E20" i="43"/>
  <c r="E19" i="43"/>
  <c r="E18" i="43"/>
  <c r="E17" i="43"/>
  <c r="E16" i="43"/>
  <c r="E15" i="43"/>
  <c r="E14" i="43"/>
  <c r="E13" i="43"/>
  <c r="E12" i="43"/>
  <c r="E11" i="43"/>
  <c r="E10" i="43"/>
  <c r="E9" i="43"/>
  <c r="E8" i="43"/>
  <c r="E7" i="43"/>
  <c r="E6" i="43"/>
  <c r="E198" i="42"/>
  <c r="E197" i="42"/>
  <c r="E196" i="42"/>
  <c r="E195" i="42"/>
  <c r="E194" i="42"/>
  <c r="E193" i="42"/>
  <c r="E192" i="42"/>
  <c r="E191" i="42"/>
  <c r="E190" i="42"/>
  <c r="E189" i="42"/>
  <c r="E188" i="42"/>
  <c r="E187" i="42"/>
  <c r="E186" i="42"/>
  <c r="E185" i="42"/>
  <c r="E184" i="42"/>
  <c r="E183" i="42"/>
  <c r="E182" i="42"/>
  <c r="E181" i="42"/>
  <c r="E180" i="42"/>
  <c r="E179" i="42"/>
  <c r="E178" i="42"/>
  <c r="E177" i="42"/>
  <c r="E176" i="42"/>
  <c r="E175" i="42"/>
  <c r="E174" i="42"/>
  <c r="E173" i="42"/>
  <c r="E172" i="42"/>
  <c r="E171" i="42"/>
  <c r="E170" i="42"/>
  <c r="E169" i="42"/>
  <c r="E168" i="42"/>
  <c r="E167" i="42"/>
  <c r="E166" i="42"/>
  <c r="E165" i="42"/>
  <c r="E164" i="42"/>
  <c r="E163" i="42"/>
  <c r="E162" i="42"/>
  <c r="E161" i="42"/>
  <c r="E160" i="42"/>
  <c r="E159" i="42"/>
  <c r="E158" i="42"/>
  <c r="E157" i="42"/>
  <c r="E156" i="42"/>
  <c r="E155" i="42"/>
  <c r="E154" i="42"/>
  <c r="E153" i="42"/>
  <c r="E152" i="42"/>
  <c r="E151" i="42"/>
  <c r="E150" i="42"/>
  <c r="E149" i="42"/>
  <c r="E148" i="42"/>
  <c r="E147" i="42"/>
  <c r="E146" i="42"/>
  <c r="E145" i="42"/>
  <c r="E144" i="42"/>
  <c r="E143" i="42"/>
  <c r="E142" i="42"/>
  <c r="E141" i="42"/>
  <c r="E140" i="42"/>
  <c r="E139" i="42"/>
  <c r="E138" i="42"/>
  <c r="E137" i="42"/>
  <c r="E136" i="42"/>
  <c r="E135" i="42"/>
  <c r="E134" i="42"/>
  <c r="E133" i="42"/>
  <c r="E132" i="42"/>
  <c r="E131" i="42"/>
  <c r="E130" i="42"/>
  <c r="E129" i="42"/>
  <c r="E128" i="42"/>
  <c r="E127" i="42"/>
  <c r="E126" i="42"/>
  <c r="E125" i="42"/>
  <c r="E124" i="42"/>
  <c r="E123" i="42"/>
  <c r="E122" i="42"/>
  <c r="E121" i="42"/>
  <c r="E120" i="42"/>
  <c r="E119" i="42"/>
  <c r="E118" i="42"/>
  <c r="E117" i="42"/>
  <c r="E116" i="42"/>
  <c r="E115" i="42"/>
  <c r="E114" i="42"/>
  <c r="E113" i="42"/>
  <c r="E112" i="42"/>
  <c r="E111" i="42"/>
  <c r="E110" i="42"/>
  <c r="E109" i="42"/>
  <c r="E108" i="42"/>
  <c r="E107"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2"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4" i="42"/>
  <c r="E13" i="42"/>
  <c r="E12" i="42"/>
  <c r="E11" i="42"/>
  <c r="E10" i="42"/>
  <c r="E9" i="42"/>
  <c r="E8" i="42"/>
  <c r="E7" i="42"/>
  <c r="E6" i="42"/>
  <c r="E198" i="45"/>
  <c r="E197" i="45"/>
  <c r="E196" i="45"/>
  <c r="E195" i="45"/>
  <c r="E194" i="45"/>
  <c r="E193" i="45"/>
  <c r="E192" i="45"/>
  <c r="E191" i="45"/>
  <c r="E190" i="45"/>
  <c r="E189" i="45"/>
  <c r="E188" i="45"/>
  <c r="E187" i="45"/>
  <c r="E186" i="45"/>
  <c r="E185" i="45"/>
  <c r="E184" i="45"/>
  <c r="E183" i="45"/>
  <c r="E182" i="45"/>
  <c r="E181" i="45"/>
  <c r="E180" i="45"/>
  <c r="E179" i="45"/>
  <c r="E178" i="45"/>
  <c r="E177" i="45"/>
  <c r="E176" i="45"/>
  <c r="E175" i="45"/>
  <c r="E174" i="45"/>
  <c r="E173" i="45"/>
  <c r="E172" i="45"/>
  <c r="E171" i="45"/>
  <c r="E170" i="45"/>
  <c r="E169" i="45"/>
  <c r="E168" i="45"/>
  <c r="E167" i="45"/>
  <c r="E166" i="45"/>
  <c r="E165" i="45"/>
  <c r="E164" i="45"/>
  <c r="E163" i="45"/>
  <c r="E162" i="45"/>
  <c r="E161" i="45"/>
  <c r="E160" i="45"/>
  <c r="E159" i="45"/>
  <c r="E158" i="45"/>
  <c r="E157" i="45"/>
  <c r="E156" i="45"/>
  <c r="E155" i="45"/>
  <c r="E154" i="45"/>
  <c r="E153" i="45"/>
  <c r="E152" i="45"/>
  <c r="E151" i="45"/>
  <c r="E150" i="45"/>
  <c r="E149" i="45"/>
  <c r="E148" i="45"/>
  <c r="E147" i="45"/>
  <c r="E146" i="45"/>
  <c r="E145" i="45"/>
  <c r="E144" i="45"/>
  <c r="E143" i="45"/>
  <c r="E142" i="45"/>
  <c r="E141" i="45"/>
  <c r="E140" i="45"/>
  <c r="E139" i="45"/>
  <c r="E138" i="45"/>
  <c r="E137" i="45"/>
  <c r="E136" i="45"/>
  <c r="E135" i="45"/>
  <c r="E134" i="45"/>
  <c r="E133" i="45"/>
  <c r="E132" i="45"/>
  <c r="E131" i="45"/>
  <c r="E130" i="45"/>
  <c r="E129" i="45"/>
  <c r="E128" i="45"/>
  <c r="E127" i="45"/>
  <c r="E126" i="45"/>
  <c r="E125" i="45"/>
  <c r="E124" i="45"/>
  <c r="E123" i="45"/>
  <c r="E122" i="45"/>
  <c r="E121" i="45"/>
  <c r="E120" i="45"/>
  <c r="E119" i="45"/>
  <c r="E118" i="45"/>
  <c r="E117" i="45"/>
  <c r="E116" i="45"/>
  <c r="E115" i="45"/>
  <c r="E114" i="45"/>
  <c r="E113" i="45"/>
  <c r="E112" i="45"/>
  <c r="E111" i="45"/>
  <c r="E110" i="45"/>
  <c r="E109" i="45"/>
  <c r="E108" i="45"/>
  <c r="E107" i="45"/>
  <c r="E106" i="45"/>
  <c r="E105" i="45"/>
  <c r="E104" i="45"/>
  <c r="E103" i="45"/>
  <c r="E102" i="45"/>
  <c r="E101" i="45"/>
  <c r="E100" i="45"/>
  <c r="E99" i="45"/>
  <c r="E98" i="45"/>
  <c r="E97" i="45"/>
  <c r="E96" i="45"/>
  <c r="E95" i="45"/>
  <c r="E94" i="45"/>
  <c r="E93" i="45"/>
  <c r="E92" i="45"/>
  <c r="E91" i="45"/>
  <c r="E90" i="45"/>
  <c r="E89" i="45"/>
  <c r="E88" i="45"/>
  <c r="E87" i="45"/>
  <c r="E86" i="45"/>
  <c r="E85" i="45"/>
  <c r="E84" i="45"/>
  <c r="E83" i="45"/>
  <c r="E82" i="45"/>
  <c r="E81" i="45"/>
  <c r="E80" i="45"/>
  <c r="E79" i="45"/>
  <c r="E78" i="45"/>
  <c r="E77" i="45"/>
  <c r="E76" i="45"/>
  <c r="E75" i="45"/>
  <c r="E74" i="45"/>
  <c r="E73" i="45"/>
  <c r="E72" i="45"/>
  <c r="E71" i="45"/>
  <c r="E70" i="45"/>
  <c r="E69" i="45"/>
  <c r="E68" i="45"/>
  <c r="E67" i="45"/>
  <c r="E66" i="45"/>
  <c r="E65" i="45"/>
  <c r="E64" i="45"/>
  <c r="E63" i="45"/>
  <c r="E62" i="45"/>
  <c r="E61" i="45"/>
  <c r="E60" i="45"/>
  <c r="E59" i="45"/>
  <c r="E58" i="45"/>
  <c r="E57" i="45"/>
  <c r="E56" i="45"/>
  <c r="E55" i="45"/>
  <c r="E54" i="45"/>
  <c r="E53" i="45"/>
  <c r="E52" i="45"/>
  <c r="E51" i="45"/>
  <c r="E50" i="45"/>
  <c r="E49" i="45"/>
  <c r="E48" i="45"/>
  <c r="E47" i="45"/>
  <c r="E46" i="45"/>
  <c r="E45" i="45"/>
  <c r="E44" i="45"/>
  <c r="E43" i="45"/>
  <c r="E42" i="45"/>
  <c r="E41" i="45"/>
  <c r="E40" i="45"/>
  <c r="E39" i="45"/>
  <c r="E38" i="45"/>
  <c r="E37" i="45"/>
  <c r="E36" i="45"/>
  <c r="E35" i="45"/>
  <c r="E34" i="45"/>
  <c r="E33" i="45"/>
  <c r="E32" i="45"/>
  <c r="E31" i="45"/>
  <c r="E30" i="45"/>
  <c r="E29" i="45"/>
  <c r="E28" i="45"/>
  <c r="E27" i="45"/>
  <c r="E26" i="45"/>
  <c r="E25" i="45"/>
  <c r="E24" i="45"/>
  <c r="E23" i="45"/>
  <c r="E22" i="45"/>
  <c r="E21" i="45"/>
  <c r="E20" i="45"/>
  <c r="E19" i="45"/>
  <c r="E18" i="45"/>
  <c r="E17" i="45"/>
  <c r="E16" i="45"/>
  <c r="E15" i="45"/>
  <c r="E14" i="45"/>
  <c r="E13" i="45"/>
  <c r="E12" i="45"/>
  <c r="E11" i="45"/>
  <c r="E10" i="45"/>
  <c r="E9" i="45"/>
  <c r="E8" i="45"/>
  <c r="E7" i="45"/>
  <c r="E6" i="45"/>
  <c r="E198" i="46"/>
  <c r="E197" i="46"/>
  <c r="E196" i="46"/>
  <c r="E195" i="46"/>
  <c r="E194" i="46"/>
  <c r="E193" i="46"/>
  <c r="E192" i="46"/>
  <c r="E191" i="46"/>
  <c r="E190" i="46"/>
  <c r="E189" i="46"/>
  <c r="E188" i="46"/>
  <c r="E187" i="46"/>
  <c r="E186" i="46"/>
  <c r="E185" i="46"/>
  <c r="E184" i="46"/>
  <c r="E183" i="46"/>
  <c r="E182" i="46"/>
  <c r="E181" i="46"/>
  <c r="E180" i="46"/>
  <c r="E179" i="46"/>
  <c r="E178" i="46"/>
  <c r="E177" i="46"/>
  <c r="E176" i="46"/>
  <c r="E175" i="46"/>
  <c r="E174" i="46"/>
  <c r="E173" i="46"/>
  <c r="E172" i="46"/>
  <c r="E171" i="46"/>
  <c r="E170" i="46"/>
  <c r="E169" i="46"/>
  <c r="E168" i="46"/>
  <c r="E167" i="46"/>
  <c r="E166" i="46"/>
  <c r="E165" i="46"/>
  <c r="E164" i="46"/>
  <c r="E163" i="46"/>
  <c r="E162" i="46"/>
  <c r="E161" i="46"/>
  <c r="E160" i="46"/>
  <c r="E159" i="46"/>
  <c r="E158" i="46"/>
  <c r="E157" i="46"/>
  <c r="E156" i="46"/>
  <c r="E155" i="46"/>
  <c r="E154" i="46"/>
  <c r="E153" i="46"/>
  <c r="E152" i="46"/>
  <c r="E151" i="46"/>
  <c r="E150" i="46"/>
  <c r="E149" i="46"/>
  <c r="E148" i="46"/>
  <c r="E147" i="46"/>
  <c r="E146" i="46"/>
  <c r="E145" i="46"/>
  <c r="E144" i="46"/>
  <c r="E143" i="46"/>
  <c r="E142" i="46"/>
  <c r="E141" i="46"/>
  <c r="E140" i="46"/>
  <c r="E139" i="46"/>
  <c r="E138" i="46"/>
  <c r="E137" i="46"/>
  <c r="E136" i="46"/>
  <c r="E135" i="46"/>
  <c r="E134" i="46"/>
  <c r="E133" i="46"/>
  <c r="E132" i="46"/>
  <c r="E131" i="46"/>
  <c r="E130" i="46"/>
  <c r="E129" i="46"/>
  <c r="E128" i="46"/>
  <c r="E127" i="46"/>
  <c r="E126" i="46"/>
  <c r="E125" i="46"/>
  <c r="E124" i="46"/>
  <c r="E123" i="46"/>
  <c r="E122" i="46"/>
  <c r="E121" i="46"/>
  <c r="E120" i="46"/>
  <c r="E119" i="46"/>
  <c r="E118" i="46"/>
  <c r="E117" i="46"/>
  <c r="E116" i="46"/>
  <c r="E115" i="46"/>
  <c r="E114" i="46"/>
  <c r="E113" i="46"/>
  <c r="E112" i="46"/>
  <c r="E111" i="46"/>
  <c r="E110" i="46"/>
  <c r="E109" i="46"/>
  <c r="E108" i="46"/>
  <c r="E107" i="46"/>
  <c r="E106" i="46"/>
  <c r="E105" i="46"/>
  <c r="E104" i="46"/>
  <c r="E103" i="46"/>
  <c r="E102" i="46"/>
  <c r="E101" i="46"/>
  <c r="E100" i="46"/>
  <c r="E99" i="46"/>
  <c r="E98" i="46"/>
  <c r="E97" i="46"/>
  <c r="E96" i="46"/>
  <c r="E95" i="46"/>
  <c r="E94" i="46"/>
  <c r="E93" i="46"/>
  <c r="E92" i="46"/>
  <c r="E91" i="46"/>
  <c r="E90" i="46"/>
  <c r="E89" i="46"/>
  <c r="E88" i="46"/>
  <c r="E87" i="46"/>
  <c r="E86" i="46"/>
  <c r="E85" i="46"/>
  <c r="E84" i="46"/>
  <c r="E83" i="46"/>
  <c r="E82" i="46"/>
  <c r="E81" i="46"/>
  <c r="E80" i="46"/>
  <c r="E79" i="46"/>
  <c r="E78" i="46"/>
  <c r="E77" i="46"/>
  <c r="E76" i="46"/>
  <c r="E75" i="46"/>
  <c r="E74" i="46"/>
  <c r="E73" i="46"/>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F44" i="46" s="1"/>
  <c r="G44" i="46" s="1"/>
  <c r="H44" i="46" s="1"/>
  <c r="I44" i="46" s="1"/>
  <c r="J44" i="46" s="1"/>
  <c r="K44" i="46" s="1"/>
  <c r="L44" i="46" s="1"/>
  <c r="M44" i="46" s="1"/>
  <c r="N44" i="46" s="1"/>
  <c r="O44" i="46" s="1"/>
  <c r="P44" i="46" s="1"/>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198" i="50"/>
  <c r="E197" i="50"/>
  <c r="E196" i="50"/>
  <c r="E195" i="50"/>
  <c r="E194" i="50"/>
  <c r="E193" i="50"/>
  <c r="E192" i="50"/>
  <c r="E191" i="50"/>
  <c r="E190" i="50"/>
  <c r="E189" i="50"/>
  <c r="E188" i="50"/>
  <c r="E187" i="50"/>
  <c r="E186" i="50"/>
  <c r="E185" i="50"/>
  <c r="E184" i="50"/>
  <c r="E183" i="50"/>
  <c r="E182" i="50"/>
  <c r="E181" i="50"/>
  <c r="E180" i="50"/>
  <c r="E179" i="50"/>
  <c r="E178" i="50"/>
  <c r="E177" i="50"/>
  <c r="E176" i="50"/>
  <c r="E175" i="50"/>
  <c r="E174" i="50"/>
  <c r="E173" i="50"/>
  <c r="E172" i="50"/>
  <c r="E171" i="50"/>
  <c r="E170" i="50"/>
  <c r="E169" i="50"/>
  <c r="E168" i="50"/>
  <c r="E167" i="50"/>
  <c r="E166" i="50"/>
  <c r="E165" i="50"/>
  <c r="E164" i="50"/>
  <c r="E163" i="50"/>
  <c r="E162" i="50"/>
  <c r="E161" i="50"/>
  <c r="E160" i="50"/>
  <c r="E159" i="50"/>
  <c r="E158" i="50"/>
  <c r="E157" i="50"/>
  <c r="E156" i="50"/>
  <c r="E155" i="50"/>
  <c r="E154" i="50"/>
  <c r="E153" i="50"/>
  <c r="E152" i="50"/>
  <c r="E151" i="50"/>
  <c r="E150" i="50"/>
  <c r="E149" i="50"/>
  <c r="E148" i="50"/>
  <c r="E147" i="50"/>
  <c r="E146" i="50"/>
  <c r="E145" i="50"/>
  <c r="E144" i="50"/>
  <c r="E143" i="50"/>
  <c r="E142" i="50"/>
  <c r="E141" i="50"/>
  <c r="E140" i="50"/>
  <c r="E139" i="50"/>
  <c r="E138" i="50"/>
  <c r="E137" i="50"/>
  <c r="E136" i="50"/>
  <c r="E135" i="50"/>
  <c r="E134" i="50"/>
  <c r="E133" i="50"/>
  <c r="E132" i="50"/>
  <c r="E131" i="50"/>
  <c r="E130" i="50"/>
  <c r="E129" i="50"/>
  <c r="E128" i="50"/>
  <c r="E127" i="50"/>
  <c r="E126" i="50"/>
  <c r="E125" i="50"/>
  <c r="E124" i="50"/>
  <c r="E123" i="50"/>
  <c r="E122" i="50"/>
  <c r="E121" i="50"/>
  <c r="E120" i="50"/>
  <c r="E119" i="50"/>
  <c r="E118" i="50"/>
  <c r="E117" i="50"/>
  <c r="E116" i="50"/>
  <c r="E115" i="50"/>
  <c r="E114" i="50"/>
  <c r="E113" i="50"/>
  <c r="E112" i="50"/>
  <c r="E111" i="50"/>
  <c r="E110" i="50"/>
  <c r="E109" i="50"/>
  <c r="E108" i="50"/>
  <c r="E107" i="50"/>
  <c r="E106" i="50"/>
  <c r="E105" i="50"/>
  <c r="E104" i="50"/>
  <c r="E103" i="50"/>
  <c r="E102" i="50"/>
  <c r="E101" i="50"/>
  <c r="E100" i="50"/>
  <c r="E99" i="50"/>
  <c r="E98" i="50"/>
  <c r="E97" i="50"/>
  <c r="E96" i="50"/>
  <c r="E95" i="50"/>
  <c r="E94" i="50"/>
  <c r="E93" i="50"/>
  <c r="E92" i="50"/>
  <c r="E91" i="50"/>
  <c r="E90" i="50"/>
  <c r="E89" i="50"/>
  <c r="E88" i="50"/>
  <c r="E87" i="50"/>
  <c r="E86" i="50"/>
  <c r="E85" i="50"/>
  <c r="E84" i="50"/>
  <c r="E83" i="50"/>
  <c r="E82" i="50"/>
  <c r="E81" i="50"/>
  <c r="E80" i="50"/>
  <c r="E79" i="50"/>
  <c r="E78" i="50"/>
  <c r="E77" i="50"/>
  <c r="E76" i="50"/>
  <c r="E75" i="50"/>
  <c r="E74" i="50"/>
  <c r="E73" i="50"/>
  <c r="E72" i="50"/>
  <c r="E71" i="50"/>
  <c r="E70" i="50"/>
  <c r="E69" i="50"/>
  <c r="E68" i="50"/>
  <c r="E67" i="50"/>
  <c r="E66" i="50"/>
  <c r="E65" i="50"/>
  <c r="E64" i="50"/>
  <c r="E63" i="50"/>
  <c r="E62" i="50"/>
  <c r="E61" i="50"/>
  <c r="E60" i="50"/>
  <c r="E59" i="50"/>
  <c r="E58" i="50"/>
  <c r="E57" i="50"/>
  <c r="E56" i="50"/>
  <c r="E55" i="50"/>
  <c r="E54" i="50"/>
  <c r="E53" i="50"/>
  <c r="E52" i="50"/>
  <c r="E51" i="50"/>
  <c r="E50" i="50"/>
  <c r="E49" i="50"/>
  <c r="E48" i="50"/>
  <c r="E47" i="50"/>
  <c r="E46" i="50"/>
  <c r="E45" i="50"/>
  <c r="E44" i="50"/>
  <c r="E43" i="50"/>
  <c r="E42" i="50"/>
  <c r="E41" i="50"/>
  <c r="E40" i="50"/>
  <c r="E39" i="50"/>
  <c r="E38" i="50"/>
  <c r="E37" i="50"/>
  <c r="E36" i="50"/>
  <c r="E35" i="50"/>
  <c r="E34" i="50"/>
  <c r="E33" i="50"/>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E198" i="51"/>
  <c r="E197" i="51"/>
  <c r="E196" i="51"/>
  <c r="E195" i="51"/>
  <c r="E194" i="51"/>
  <c r="E193" i="51"/>
  <c r="E192" i="51"/>
  <c r="E191" i="51"/>
  <c r="E190" i="51"/>
  <c r="E189" i="51"/>
  <c r="E188" i="51"/>
  <c r="E187" i="51"/>
  <c r="E186" i="51"/>
  <c r="E185" i="51"/>
  <c r="E184" i="51"/>
  <c r="E183" i="51"/>
  <c r="E182" i="51"/>
  <c r="E181" i="51"/>
  <c r="E180" i="51"/>
  <c r="E179" i="51"/>
  <c r="E178" i="51"/>
  <c r="E177" i="51"/>
  <c r="E176" i="51"/>
  <c r="E175" i="51"/>
  <c r="E174" i="51"/>
  <c r="E173" i="51"/>
  <c r="E172" i="51"/>
  <c r="E171" i="51"/>
  <c r="E170" i="51"/>
  <c r="E169" i="51"/>
  <c r="E168" i="51"/>
  <c r="E167" i="51"/>
  <c r="E166" i="51"/>
  <c r="E165" i="51"/>
  <c r="E164" i="51"/>
  <c r="E163" i="51"/>
  <c r="E162" i="51"/>
  <c r="E161" i="51"/>
  <c r="E160" i="51"/>
  <c r="E159" i="51"/>
  <c r="E158" i="51"/>
  <c r="E157" i="51"/>
  <c r="E156" i="51"/>
  <c r="E155" i="51"/>
  <c r="E154" i="51"/>
  <c r="E153" i="51"/>
  <c r="E152" i="51"/>
  <c r="E151" i="51"/>
  <c r="E150" i="51"/>
  <c r="E149" i="51"/>
  <c r="E148" i="51"/>
  <c r="E147" i="51"/>
  <c r="E146" i="51"/>
  <c r="E145" i="51"/>
  <c r="E144" i="51"/>
  <c r="E143" i="51"/>
  <c r="E142" i="51"/>
  <c r="E141" i="51"/>
  <c r="E140" i="51"/>
  <c r="E139" i="51"/>
  <c r="E138" i="51"/>
  <c r="E137" i="51"/>
  <c r="E136" i="51"/>
  <c r="E135" i="51"/>
  <c r="E134" i="51"/>
  <c r="E133" i="51"/>
  <c r="E132" i="51"/>
  <c r="E131" i="51"/>
  <c r="E130" i="51"/>
  <c r="E129" i="51"/>
  <c r="E128" i="51"/>
  <c r="E127" i="51"/>
  <c r="E126" i="51"/>
  <c r="E125" i="51"/>
  <c r="E124" i="51"/>
  <c r="E123" i="51"/>
  <c r="E122" i="51"/>
  <c r="E121" i="51"/>
  <c r="E120" i="51"/>
  <c r="E119" i="51"/>
  <c r="E118" i="51"/>
  <c r="E117" i="51"/>
  <c r="E116" i="51"/>
  <c r="E115" i="51"/>
  <c r="E114" i="51"/>
  <c r="E113" i="51"/>
  <c r="E112" i="51"/>
  <c r="E111" i="51"/>
  <c r="E110" i="51"/>
  <c r="E109" i="51"/>
  <c r="E108" i="51"/>
  <c r="E107" i="51"/>
  <c r="E106" i="51"/>
  <c r="E105" i="51"/>
  <c r="E104" i="51"/>
  <c r="E103" i="51"/>
  <c r="E102" i="51"/>
  <c r="E101" i="51"/>
  <c r="E100" i="51"/>
  <c r="E99" i="51"/>
  <c r="E98" i="51"/>
  <c r="E97" i="51"/>
  <c r="E96" i="51"/>
  <c r="E95" i="51"/>
  <c r="E94" i="51"/>
  <c r="E93" i="51"/>
  <c r="E92" i="51"/>
  <c r="E91" i="51"/>
  <c r="E90" i="51"/>
  <c r="E89" i="51"/>
  <c r="E88" i="51"/>
  <c r="E87" i="51"/>
  <c r="E86" i="51"/>
  <c r="E85" i="51"/>
  <c r="E84" i="51"/>
  <c r="E83" i="51"/>
  <c r="E82" i="51"/>
  <c r="E81" i="51"/>
  <c r="E80" i="51"/>
  <c r="E79" i="51"/>
  <c r="E78" i="51"/>
  <c r="E77" i="51"/>
  <c r="E76" i="51"/>
  <c r="E75" i="51"/>
  <c r="E74" i="51"/>
  <c r="E73" i="51"/>
  <c r="E72" i="51"/>
  <c r="E71" i="51"/>
  <c r="E70" i="51"/>
  <c r="E69" i="51"/>
  <c r="E68" i="51"/>
  <c r="E67" i="51"/>
  <c r="E66" i="51"/>
  <c r="E65" i="51"/>
  <c r="E64" i="51"/>
  <c r="E63" i="51"/>
  <c r="E62" i="51"/>
  <c r="E61" i="51"/>
  <c r="E60" i="51"/>
  <c r="E59" i="51"/>
  <c r="E58" i="51"/>
  <c r="E57" i="51"/>
  <c r="E56" i="51"/>
  <c r="E55" i="51"/>
  <c r="E54" i="51"/>
  <c r="E53" i="51"/>
  <c r="E52" i="51"/>
  <c r="E51" i="51"/>
  <c r="E50" i="51"/>
  <c r="E49" i="51"/>
  <c r="E48" i="51"/>
  <c r="E47" i="51"/>
  <c r="E46" i="51"/>
  <c r="E45" i="51"/>
  <c r="E44" i="51"/>
  <c r="E43" i="51"/>
  <c r="E42" i="51"/>
  <c r="E41" i="51"/>
  <c r="E40" i="51"/>
  <c r="E39" i="51"/>
  <c r="E38" i="51"/>
  <c r="E37" i="51"/>
  <c r="E36" i="51"/>
  <c r="E35" i="51"/>
  <c r="E34" i="51"/>
  <c r="E33" i="51"/>
  <c r="E32" i="51"/>
  <c r="E31" i="51"/>
  <c r="E30" i="51"/>
  <c r="E29" i="51"/>
  <c r="E28" i="51"/>
  <c r="E27" i="51"/>
  <c r="E26" i="51"/>
  <c r="E25" i="51"/>
  <c r="E24" i="51"/>
  <c r="E23" i="51"/>
  <c r="E22" i="51"/>
  <c r="E21" i="51"/>
  <c r="E20" i="51"/>
  <c r="E19" i="51"/>
  <c r="E18" i="51"/>
  <c r="E17" i="51"/>
  <c r="E16" i="51"/>
  <c r="E15" i="51"/>
  <c r="E14" i="51"/>
  <c r="E13" i="51"/>
  <c r="E12" i="51"/>
  <c r="E11" i="51"/>
  <c r="E10" i="51"/>
  <c r="E9" i="51"/>
  <c r="E8" i="51"/>
  <c r="E7" i="51"/>
  <c r="E6" i="51"/>
  <c r="E198" i="52"/>
  <c r="E197" i="52"/>
  <c r="E196" i="52"/>
  <c r="E195" i="52"/>
  <c r="E194" i="52"/>
  <c r="E193" i="52"/>
  <c r="E192" i="52"/>
  <c r="E191" i="52"/>
  <c r="E190" i="52"/>
  <c r="E189" i="52"/>
  <c r="E188" i="52"/>
  <c r="E187" i="52"/>
  <c r="E186" i="52"/>
  <c r="E185" i="52"/>
  <c r="E184" i="52"/>
  <c r="E183" i="52"/>
  <c r="E182" i="52"/>
  <c r="E181" i="52"/>
  <c r="E180" i="52"/>
  <c r="E179" i="52"/>
  <c r="E178" i="52"/>
  <c r="E177" i="52"/>
  <c r="E176" i="52"/>
  <c r="E175" i="52"/>
  <c r="E174" i="52"/>
  <c r="E173" i="52"/>
  <c r="E172" i="52"/>
  <c r="E171" i="52"/>
  <c r="E170" i="52"/>
  <c r="E169" i="52"/>
  <c r="E168" i="52"/>
  <c r="E167" i="52"/>
  <c r="E166" i="52"/>
  <c r="E165" i="52"/>
  <c r="E164" i="52"/>
  <c r="E163" i="52"/>
  <c r="E162" i="52"/>
  <c r="E161" i="52"/>
  <c r="E160" i="52"/>
  <c r="E159" i="52"/>
  <c r="E158" i="52"/>
  <c r="E157" i="52"/>
  <c r="E156" i="52"/>
  <c r="E155" i="52"/>
  <c r="E154" i="52"/>
  <c r="E153" i="52"/>
  <c r="E152" i="52"/>
  <c r="E151" i="52"/>
  <c r="E150" i="52"/>
  <c r="E149" i="52"/>
  <c r="E148" i="52"/>
  <c r="E147" i="52"/>
  <c r="E146" i="52"/>
  <c r="E145" i="52"/>
  <c r="E144" i="52"/>
  <c r="E143" i="52"/>
  <c r="E142" i="52"/>
  <c r="E141" i="52"/>
  <c r="E140" i="52"/>
  <c r="E139" i="52"/>
  <c r="E138" i="52"/>
  <c r="E137" i="52"/>
  <c r="E136" i="52"/>
  <c r="E135" i="52"/>
  <c r="E134" i="52"/>
  <c r="E133" i="52"/>
  <c r="E132" i="52"/>
  <c r="E131" i="52"/>
  <c r="E130" i="52"/>
  <c r="E129" i="52"/>
  <c r="E128" i="52"/>
  <c r="E127" i="52"/>
  <c r="E126" i="52"/>
  <c r="E125" i="52"/>
  <c r="E124" i="52"/>
  <c r="E123" i="52"/>
  <c r="E122" i="52"/>
  <c r="E121" i="52"/>
  <c r="E120" i="52"/>
  <c r="E119" i="52"/>
  <c r="E118" i="52"/>
  <c r="E117" i="52"/>
  <c r="E116" i="52"/>
  <c r="E115" i="52"/>
  <c r="E114" i="52"/>
  <c r="E113" i="52"/>
  <c r="E112" i="52"/>
  <c r="E111" i="52"/>
  <c r="E110" i="52"/>
  <c r="E109" i="52"/>
  <c r="E108" i="52"/>
  <c r="E107" i="52"/>
  <c r="E106" i="52"/>
  <c r="E105" i="52"/>
  <c r="E104" i="52"/>
  <c r="E103" i="52"/>
  <c r="E102" i="52"/>
  <c r="E101" i="52"/>
  <c r="E100" i="52"/>
  <c r="E99" i="52"/>
  <c r="E98" i="52"/>
  <c r="E97" i="52"/>
  <c r="E96" i="52"/>
  <c r="E95" i="52"/>
  <c r="E94" i="52"/>
  <c r="E93" i="52"/>
  <c r="E92" i="52"/>
  <c r="E91" i="52"/>
  <c r="E90" i="52"/>
  <c r="E89" i="52"/>
  <c r="E88" i="52"/>
  <c r="E87" i="52"/>
  <c r="E86" i="52"/>
  <c r="E85" i="52"/>
  <c r="E84" i="52"/>
  <c r="E83" i="52"/>
  <c r="E82" i="52"/>
  <c r="E81" i="52"/>
  <c r="E80" i="52"/>
  <c r="E79" i="52"/>
  <c r="E78" i="52"/>
  <c r="E77" i="52"/>
  <c r="E76" i="52"/>
  <c r="E75" i="52"/>
  <c r="E74" i="52"/>
  <c r="E73" i="52"/>
  <c r="E72" i="52"/>
  <c r="E71" i="52"/>
  <c r="E70" i="52"/>
  <c r="E69" i="52"/>
  <c r="E68" i="52"/>
  <c r="E67" i="52"/>
  <c r="E66" i="52"/>
  <c r="E65" i="52"/>
  <c r="E64" i="52"/>
  <c r="E63" i="52"/>
  <c r="E62" i="52"/>
  <c r="E61" i="52"/>
  <c r="E60" i="52"/>
  <c r="E59" i="52"/>
  <c r="E58" i="52"/>
  <c r="E57" i="52"/>
  <c r="E56" i="52"/>
  <c r="E55" i="52"/>
  <c r="E54" i="52"/>
  <c r="E53" i="52"/>
  <c r="E52" i="52"/>
  <c r="E51" i="52"/>
  <c r="E50" i="52"/>
  <c r="E49" i="52"/>
  <c r="E48" i="52"/>
  <c r="E47" i="52"/>
  <c r="E46" i="52"/>
  <c r="E45" i="52"/>
  <c r="E44" i="52"/>
  <c r="E43" i="52"/>
  <c r="E42" i="52"/>
  <c r="E41" i="52"/>
  <c r="E40" i="52"/>
  <c r="E39" i="52"/>
  <c r="E38" i="52"/>
  <c r="E37" i="52"/>
  <c r="E36" i="52"/>
  <c r="E35" i="52"/>
  <c r="E34" i="52"/>
  <c r="E33" i="52"/>
  <c r="E32" i="52"/>
  <c r="E31" i="52"/>
  <c r="E30" i="52"/>
  <c r="E29" i="52"/>
  <c r="E28" i="52"/>
  <c r="E27" i="52"/>
  <c r="E26" i="52"/>
  <c r="E25" i="52"/>
  <c r="E24" i="52"/>
  <c r="E23" i="52"/>
  <c r="E22" i="52"/>
  <c r="E21" i="52"/>
  <c r="E20" i="52"/>
  <c r="E19" i="52"/>
  <c r="E18" i="52"/>
  <c r="E17" i="52"/>
  <c r="E16" i="52"/>
  <c r="E15" i="52"/>
  <c r="E14" i="52"/>
  <c r="E13" i="52"/>
  <c r="E12" i="52"/>
  <c r="E11" i="52"/>
  <c r="E10" i="52"/>
  <c r="E9" i="52"/>
  <c r="E8" i="52"/>
  <c r="E7" i="52"/>
  <c r="E6" i="52"/>
  <c r="E198" i="47"/>
  <c r="E197" i="47"/>
  <c r="E196" i="47"/>
  <c r="E195" i="47"/>
  <c r="E194" i="47"/>
  <c r="E193" i="47"/>
  <c r="E192" i="47"/>
  <c r="E191" i="47"/>
  <c r="E190" i="47"/>
  <c r="E189" i="47"/>
  <c r="E188" i="47"/>
  <c r="E187" i="47"/>
  <c r="E186" i="47"/>
  <c r="E185" i="47"/>
  <c r="E184" i="47"/>
  <c r="E183" i="47"/>
  <c r="E182" i="47"/>
  <c r="E181" i="47"/>
  <c r="E180" i="47"/>
  <c r="E179" i="47"/>
  <c r="E178" i="47"/>
  <c r="E177" i="47"/>
  <c r="E176" i="47"/>
  <c r="E175" i="47"/>
  <c r="E174" i="47"/>
  <c r="E173" i="47"/>
  <c r="E172" i="47"/>
  <c r="E171" i="47"/>
  <c r="E170" i="47"/>
  <c r="E169" i="47"/>
  <c r="E168" i="47"/>
  <c r="E167" i="47"/>
  <c r="E166" i="47"/>
  <c r="E165" i="47"/>
  <c r="E164" i="47"/>
  <c r="E163" i="47"/>
  <c r="E162" i="47"/>
  <c r="E161" i="47"/>
  <c r="E160" i="47"/>
  <c r="E159" i="47"/>
  <c r="E158" i="47"/>
  <c r="E157" i="47"/>
  <c r="E156" i="47"/>
  <c r="E155" i="47"/>
  <c r="E154" i="47"/>
  <c r="E153" i="47"/>
  <c r="E152" i="47"/>
  <c r="E151" i="47"/>
  <c r="E150" i="47"/>
  <c r="E149" i="47"/>
  <c r="E148" i="47"/>
  <c r="E147" i="47"/>
  <c r="E146" i="47"/>
  <c r="E145" i="47"/>
  <c r="E144" i="47"/>
  <c r="E143" i="47"/>
  <c r="E142" i="47"/>
  <c r="E141" i="47"/>
  <c r="E140" i="47"/>
  <c r="E139" i="47"/>
  <c r="E138" i="47"/>
  <c r="E137" i="47"/>
  <c r="E136" i="47"/>
  <c r="E135" i="47"/>
  <c r="E134" i="47"/>
  <c r="E133" i="47"/>
  <c r="E132" i="47"/>
  <c r="E131" i="47"/>
  <c r="E130" i="47"/>
  <c r="E129" i="47"/>
  <c r="E128" i="47"/>
  <c r="E127" i="47"/>
  <c r="E126" i="47"/>
  <c r="E125" i="47"/>
  <c r="E124" i="47"/>
  <c r="E123" i="47"/>
  <c r="E122" i="47"/>
  <c r="E121" i="47"/>
  <c r="E120" i="47"/>
  <c r="E119" i="47"/>
  <c r="E118" i="47"/>
  <c r="E117" i="47"/>
  <c r="E116" i="47"/>
  <c r="E115" i="47"/>
  <c r="E114" i="47"/>
  <c r="E113" i="47"/>
  <c r="E112" i="47"/>
  <c r="E111" i="47"/>
  <c r="E110" i="47"/>
  <c r="E109" i="47"/>
  <c r="E108" i="47"/>
  <c r="E107" i="47"/>
  <c r="E106" i="47"/>
  <c r="E105" i="47"/>
  <c r="E104" i="47"/>
  <c r="E103" i="47"/>
  <c r="E102" i="47"/>
  <c r="E101" i="47"/>
  <c r="E100" i="47"/>
  <c r="E99" i="47"/>
  <c r="E98" i="47"/>
  <c r="E97" i="47"/>
  <c r="E96" i="47"/>
  <c r="E95" i="47"/>
  <c r="E94" i="47"/>
  <c r="E93" i="47"/>
  <c r="E92" i="47"/>
  <c r="E91" i="47"/>
  <c r="E90" i="47"/>
  <c r="E89" i="47"/>
  <c r="E88" i="47"/>
  <c r="E87" i="47"/>
  <c r="E86" i="47"/>
  <c r="E85" i="47"/>
  <c r="E84" i="47"/>
  <c r="E83" i="47"/>
  <c r="E82" i="47"/>
  <c r="E81" i="47"/>
  <c r="E80" i="47"/>
  <c r="E79" i="47"/>
  <c r="E78" i="47"/>
  <c r="E77" i="47"/>
  <c r="E76" i="47"/>
  <c r="E75" i="47"/>
  <c r="E74" i="47"/>
  <c r="E73" i="47"/>
  <c r="E72" i="47"/>
  <c r="E71" i="47"/>
  <c r="E70" i="47"/>
  <c r="E69" i="47"/>
  <c r="E68" i="47"/>
  <c r="E67" i="47"/>
  <c r="E66" i="47"/>
  <c r="E65" i="47"/>
  <c r="E64" i="47"/>
  <c r="E63" i="47"/>
  <c r="E62" i="47"/>
  <c r="E61" i="47"/>
  <c r="E60" i="47"/>
  <c r="E59" i="47"/>
  <c r="E58" i="47"/>
  <c r="E57" i="47"/>
  <c r="E56" i="47"/>
  <c r="E55" i="47"/>
  <c r="E54" i="47"/>
  <c r="E53" i="47"/>
  <c r="E52" i="47"/>
  <c r="E51" i="47"/>
  <c r="E50" i="47"/>
  <c r="E49" i="47"/>
  <c r="E48" i="47"/>
  <c r="E47" i="47"/>
  <c r="E46" i="47"/>
  <c r="E45" i="47"/>
  <c r="E44" i="47"/>
  <c r="E43" i="47"/>
  <c r="E42" i="47"/>
  <c r="E41" i="47"/>
  <c r="E40" i="47"/>
  <c r="E39" i="47"/>
  <c r="E38" i="47"/>
  <c r="E37" i="47"/>
  <c r="E36" i="47"/>
  <c r="E35" i="47"/>
  <c r="E34" i="47"/>
  <c r="E33" i="47"/>
  <c r="E32" i="47"/>
  <c r="E31" i="47"/>
  <c r="E30" i="47"/>
  <c r="E29" i="47"/>
  <c r="E28" i="47"/>
  <c r="E27" i="47"/>
  <c r="E26" i="47"/>
  <c r="E25" i="47"/>
  <c r="E24" i="47"/>
  <c r="E23" i="47"/>
  <c r="E22" i="47"/>
  <c r="E21" i="47"/>
  <c r="E20" i="47"/>
  <c r="E19" i="47"/>
  <c r="E18" i="47"/>
  <c r="E17" i="47"/>
  <c r="E16" i="47"/>
  <c r="E15" i="47"/>
  <c r="E14" i="47"/>
  <c r="E13" i="47"/>
  <c r="E12" i="47"/>
  <c r="E11" i="47"/>
  <c r="E10" i="47"/>
  <c r="E9" i="47"/>
  <c r="E8" i="47"/>
  <c r="E7" i="47"/>
  <c r="E6" i="47"/>
  <c r="E198" i="48"/>
  <c r="E197" i="48"/>
  <c r="E196" i="48"/>
  <c r="E195" i="48"/>
  <c r="E194" i="48"/>
  <c r="E193" i="48"/>
  <c r="E192" i="48"/>
  <c r="E191" i="48"/>
  <c r="E190" i="48"/>
  <c r="E189" i="48"/>
  <c r="E188" i="48"/>
  <c r="E187" i="48"/>
  <c r="E186" i="48"/>
  <c r="E185" i="48"/>
  <c r="E184" i="48"/>
  <c r="E183" i="48"/>
  <c r="E182" i="48"/>
  <c r="E181" i="48"/>
  <c r="E180" i="48"/>
  <c r="E179" i="48"/>
  <c r="E178" i="48"/>
  <c r="E177" i="48"/>
  <c r="E176" i="48"/>
  <c r="E175" i="48"/>
  <c r="E174" i="48"/>
  <c r="E173" i="48"/>
  <c r="E172" i="48"/>
  <c r="E171" i="48"/>
  <c r="E170" i="48"/>
  <c r="E169" i="48"/>
  <c r="E168" i="48"/>
  <c r="E167" i="48"/>
  <c r="E166" i="48"/>
  <c r="E165" i="48"/>
  <c r="E164" i="48"/>
  <c r="E163" i="48"/>
  <c r="E162" i="48"/>
  <c r="E161" i="48"/>
  <c r="E160" i="48"/>
  <c r="E159" i="48"/>
  <c r="E158" i="48"/>
  <c r="E157" i="48"/>
  <c r="E156" i="48"/>
  <c r="E155" i="48"/>
  <c r="E154" i="48"/>
  <c r="E153" i="48"/>
  <c r="E152" i="48"/>
  <c r="E151" i="48"/>
  <c r="E150" i="48"/>
  <c r="E149" i="48"/>
  <c r="E148" i="48"/>
  <c r="E147" i="48"/>
  <c r="E146" i="48"/>
  <c r="E145" i="48"/>
  <c r="E144" i="48"/>
  <c r="E143" i="48"/>
  <c r="E142" i="48"/>
  <c r="E141" i="48"/>
  <c r="E140" i="48"/>
  <c r="E139" i="48"/>
  <c r="E138" i="48"/>
  <c r="E137" i="48"/>
  <c r="E136" i="48"/>
  <c r="E135" i="48"/>
  <c r="E134" i="48"/>
  <c r="E133" i="48"/>
  <c r="E132" i="48"/>
  <c r="E131" i="48"/>
  <c r="E130" i="48"/>
  <c r="E129" i="48"/>
  <c r="E128" i="48"/>
  <c r="E127" i="48"/>
  <c r="E126" i="48"/>
  <c r="E125" i="48"/>
  <c r="E124" i="48"/>
  <c r="E123" i="48"/>
  <c r="E122" i="48"/>
  <c r="E121" i="48"/>
  <c r="E120" i="48"/>
  <c r="E119" i="48"/>
  <c r="E118" i="48"/>
  <c r="E117" i="48"/>
  <c r="E116" i="48"/>
  <c r="E115" i="48"/>
  <c r="E114" i="48"/>
  <c r="E113" i="48"/>
  <c r="E112" i="48"/>
  <c r="E111" i="48"/>
  <c r="E110" i="48"/>
  <c r="E109" i="48"/>
  <c r="E108" i="48"/>
  <c r="E107" i="48"/>
  <c r="E106" i="48"/>
  <c r="E105" i="48"/>
  <c r="E104" i="48"/>
  <c r="E103" i="48"/>
  <c r="E102" i="48"/>
  <c r="E101" i="48"/>
  <c r="E100" i="48"/>
  <c r="E99" i="48"/>
  <c r="E98" i="48"/>
  <c r="E97" i="48"/>
  <c r="E96" i="48"/>
  <c r="E95" i="48"/>
  <c r="E94" i="48"/>
  <c r="E93" i="48"/>
  <c r="E92" i="48"/>
  <c r="E91" i="48"/>
  <c r="E90" i="48"/>
  <c r="E89" i="48"/>
  <c r="E88" i="48"/>
  <c r="E87" i="48"/>
  <c r="E86" i="48"/>
  <c r="E85" i="48"/>
  <c r="E84" i="48"/>
  <c r="E83" i="48"/>
  <c r="E82" i="48"/>
  <c r="E81" i="48"/>
  <c r="E80" i="48"/>
  <c r="E79" i="48"/>
  <c r="E78" i="48"/>
  <c r="E77" i="48"/>
  <c r="E76" i="48"/>
  <c r="E75" i="48"/>
  <c r="E74" i="48"/>
  <c r="E73" i="48"/>
  <c r="E72" i="48"/>
  <c r="E71" i="48"/>
  <c r="E70" i="48"/>
  <c r="E69" i="48"/>
  <c r="E68" i="48"/>
  <c r="E67" i="48"/>
  <c r="E66" i="48"/>
  <c r="E65" i="48"/>
  <c r="E64" i="48"/>
  <c r="E63" i="48"/>
  <c r="E62" i="48"/>
  <c r="E61" i="48"/>
  <c r="E60" i="48"/>
  <c r="E59" i="48"/>
  <c r="E58" i="48"/>
  <c r="E57" i="48"/>
  <c r="E56" i="48"/>
  <c r="E55" i="48"/>
  <c r="E54" i="48"/>
  <c r="E53" i="48"/>
  <c r="E52" i="48"/>
  <c r="E51" i="48"/>
  <c r="E50" i="48"/>
  <c r="E49" i="48"/>
  <c r="E48" i="48"/>
  <c r="E47" i="48"/>
  <c r="E46" i="48"/>
  <c r="E45" i="48"/>
  <c r="E44" i="48"/>
  <c r="E43" i="48"/>
  <c r="E42" i="48"/>
  <c r="E41" i="48"/>
  <c r="E40" i="48"/>
  <c r="E39" i="48"/>
  <c r="E38" i="48"/>
  <c r="E37" i="48"/>
  <c r="E36" i="48"/>
  <c r="E35" i="48"/>
  <c r="E34" i="48"/>
  <c r="E33" i="48"/>
  <c r="E32" i="48"/>
  <c r="E31" i="48"/>
  <c r="E30" i="48"/>
  <c r="E29" i="48"/>
  <c r="E28" i="48"/>
  <c r="E27" i="48"/>
  <c r="E26" i="48"/>
  <c r="E25" i="48"/>
  <c r="E24" i="48"/>
  <c r="E23" i="48"/>
  <c r="E22" i="48"/>
  <c r="E21" i="48"/>
  <c r="E20" i="48"/>
  <c r="E19" i="48"/>
  <c r="E18" i="48"/>
  <c r="E17" i="48"/>
  <c r="E16" i="48"/>
  <c r="E15" i="48"/>
  <c r="E14" i="48"/>
  <c r="E13" i="48"/>
  <c r="E12" i="48"/>
  <c r="E11" i="48"/>
  <c r="E10" i="48"/>
  <c r="E9" i="48"/>
  <c r="E8" i="48"/>
  <c r="E7" i="48"/>
  <c r="E6" i="48"/>
  <c r="E198" i="49"/>
  <c r="E197" i="49"/>
  <c r="E196" i="49"/>
  <c r="E195" i="49"/>
  <c r="E194" i="49"/>
  <c r="E193" i="49"/>
  <c r="E192" i="49"/>
  <c r="E191" i="49"/>
  <c r="E190" i="49"/>
  <c r="E189" i="49"/>
  <c r="E188" i="49"/>
  <c r="E187" i="49"/>
  <c r="E186" i="49"/>
  <c r="E185" i="49"/>
  <c r="E184" i="49"/>
  <c r="E183" i="49"/>
  <c r="E182" i="49"/>
  <c r="E181" i="49"/>
  <c r="E180" i="49"/>
  <c r="E179" i="49"/>
  <c r="E178" i="49"/>
  <c r="E177" i="49"/>
  <c r="E176" i="49"/>
  <c r="E175" i="49"/>
  <c r="E174" i="49"/>
  <c r="E173" i="49"/>
  <c r="E172" i="49"/>
  <c r="E171" i="49"/>
  <c r="E170" i="49"/>
  <c r="E169" i="49"/>
  <c r="E168" i="49"/>
  <c r="E167" i="49"/>
  <c r="E166" i="49"/>
  <c r="E165" i="49"/>
  <c r="E164" i="49"/>
  <c r="E163" i="49"/>
  <c r="E162" i="49"/>
  <c r="E161" i="49"/>
  <c r="E160" i="49"/>
  <c r="E159" i="49"/>
  <c r="E158" i="49"/>
  <c r="E157" i="49"/>
  <c r="E156" i="49"/>
  <c r="E155" i="49"/>
  <c r="E154" i="49"/>
  <c r="E153" i="49"/>
  <c r="E152" i="49"/>
  <c r="E151" i="49"/>
  <c r="E150" i="49"/>
  <c r="E149" i="49"/>
  <c r="E148" i="49"/>
  <c r="E147" i="49"/>
  <c r="E146" i="49"/>
  <c r="E145" i="49"/>
  <c r="E144" i="49"/>
  <c r="E143" i="49"/>
  <c r="E142" i="49"/>
  <c r="E141" i="49"/>
  <c r="E140" i="49"/>
  <c r="E139" i="49"/>
  <c r="E138" i="49"/>
  <c r="E137" i="49"/>
  <c r="E136" i="49"/>
  <c r="E135" i="49"/>
  <c r="E134" i="49"/>
  <c r="E133" i="49"/>
  <c r="E132" i="49"/>
  <c r="E131" i="49"/>
  <c r="E130" i="49"/>
  <c r="E129" i="49"/>
  <c r="E128" i="49"/>
  <c r="E127" i="49"/>
  <c r="E126" i="49"/>
  <c r="E125" i="49"/>
  <c r="E124" i="49"/>
  <c r="E123" i="49"/>
  <c r="E122" i="49"/>
  <c r="E121" i="49"/>
  <c r="E120" i="49"/>
  <c r="E119" i="49"/>
  <c r="E118" i="49"/>
  <c r="E117" i="49"/>
  <c r="E116" i="49"/>
  <c r="E115" i="49"/>
  <c r="E114" i="49"/>
  <c r="E113" i="49"/>
  <c r="E112" i="49"/>
  <c r="E111" i="49"/>
  <c r="E110" i="49"/>
  <c r="E109" i="49"/>
  <c r="E108" i="49"/>
  <c r="E107" i="49"/>
  <c r="E106" i="49"/>
  <c r="E105" i="49"/>
  <c r="E104" i="49"/>
  <c r="E103" i="49"/>
  <c r="E102" i="49"/>
  <c r="E101" i="49"/>
  <c r="E100" i="49"/>
  <c r="E99" i="49"/>
  <c r="E98" i="49"/>
  <c r="E97" i="49"/>
  <c r="E96" i="49"/>
  <c r="E95" i="49"/>
  <c r="E94" i="49"/>
  <c r="E93" i="49"/>
  <c r="E92" i="49"/>
  <c r="E91" i="49"/>
  <c r="E90" i="49"/>
  <c r="E89" i="49"/>
  <c r="E88" i="49"/>
  <c r="E87" i="49"/>
  <c r="E86" i="49"/>
  <c r="E85" i="49"/>
  <c r="E84" i="49"/>
  <c r="E83" i="49"/>
  <c r="E82" i="49"/>
  <c r="E81" i="49"/>
  <c r="E80" i="49"/>
  <c r="E79" i="49"/>
  <c r="E78" i="49"/>
  <c r="E77" i="49"/>
  <c r="E76" i="49"/>
  <c r="E75" i="49"/>
  <c r="E74" i="49"/>
  <c r="E73" i="49"/>
  <c r="E72" i="49"/>
  <c r="E71" i="49"/>
  <c r="E70" i="49"/>
  <c r="E69" i="49"/>
  <c r="E68" i="49"/>
  <c r="E67" i="49"/>
  <c r="E66" i="49"/>
  <c r="E65" i="49"/>
  <c r="E64" i="49"/>
  <c r="E63" i="49"/>
  <c r="E62" i="49"/>
  <c r="E61" i="49"/>
  <c r="E60" i="49"/>
  <c r="E59" i="49"/>
  <c r="E58" i="49"/>
  <c r="E57" i="49"/>
  <c r="E56" i="49"/>
  <c r="E55" i="49"/>
  <c r="E54" i="49"/>
  <c r="E53" i="49"/>
  <c r="E52" i="49"/>
  <c r="E51" i="49"/>
  <c r="E50" i="49"/>
  <c r="E49" i="49"/>
  <c r="E48" i="49"/>
  <c r="E47" i="49"/>
  <c r="E46" i="49"/>
  <c r="E45" i="49"/>
  <c r="E44" i="49"/>
  <c r="F44" i="49" s="1"/>
  <c r="E43" i="49"/>
  <c r="E42" i="49"/>
  <c r="E41" i="49"/>
  <c r="E40" i="49"/>
  <c r="E39" i="49"/>
  <c r="E38" i="49"/>
  <c r="E37" i="49"/>
  <c r="E36" i="49"/>
  <c r="E35" i="49"/>
  <c r="E34" i="49"/>
  <c r="E33" i="49"/>
  <c r="E32" i="49"/>
  <c r="E31" i="49"/>
  <c r="E30" i="49"/>
  <c r="E29" i="49"/>
  <c r="E28" i="49"/>
  <c r="E27" i="49"/>
  <c r="E26" i="49"/>
  <c r="E25" i="49"/>
  <c r="E24" i="49"/>
  <c r="E23" i="49"/>
  <c r="E22" i="49"/>
  <c r="E21" i="49"/>
  <c r="E20" i="49"/>
  <c r="E19" i="49"/>
  <c r="E18" i="49"/>
  <c r="E17" i="49"/>
  <c r="E16" i="49"/>
  <c r="E15" i="49"/>
  <c r="E14" i="49"/>
  <c r="E13" i="49"/>
  <c r="E12" i="49"/>
  <c r="E11" i="49"/>
  <c r="E10" i="49"/>
  <c r="E9" i="49"/>
  <c r="E8" i="49"/>
  <c r="E7" i="49"/>
  <c r="E6" i="49"/>
  <c r="E198" i="54"/>
  <c r="E197" i="54"/>
  <c r="E196" i="54"/>
  <c r="E195" i="54"/>
  <c r="E194" i="54"/>
  <c r="E193" i="54"/>
  <c r="E192" i="54"/>
  <c r="E191" i="54"/>
  <c r="E190" i="54"/>
  <c r="E189" i="54"/>
  <c r="E188" i="54"/>
  <c r="E187" i="54"/>
  <c r="E186" i="54"/>
  <c r="E185" i="54"/>
  <c r="E184" i="54"/>
  <c r="E183" i="54"/>
  <c r="E182" i="54"/>
  <c r="E181" i="54"/>
  <c r="E180" i="54"/>
  <c r="E179" i="54"/>
  <c r="E178" i="54"/>
  <c r="E177" i="54"/>
  <c r="E176" i="54"/>
  <c r="E175" i="54"/>
  <c r="E174" i="54"/>
  <c r="E173" i="54"/>
  <c r="E172" i="54"/>
  <c r="E171" i="54"/>
  <c r="E170" i="54"/>
  <c r="E169" i="54"/>
  <c r="E168" i="54"/>
  <c r="E167" i="54"/>
  <c r="E166" i="54"/>
  <c r="E165" i="54"/>
  <c r="E164" i="54"/>
  <c r="E163" i="54"/>
  <c r="E162" i="54"/>
  <c r="E161" i="54"/>
  <c r="E160" i="54"/>
  <c r="E159" i="54"/>
  <c r="E158" i="54"/>
  <c r="E157" i="54"/>
  <c r="E156" i="54"/>
  <c r="E155" i="54"/>
  <c r="E154" i="54"/>
  <c r="E153" i="54"/>
  <c r="E152" i="54"/>
  <c r="E151" i="54"/>
  <c r="E150" i="54"/>
  <c r="E149" i="54"/>
  <c r="E148" i="54"/>
  <c r="E147" i="54"/>
  <c r="E146" i="54"/>
  <c r="E145" i="54"/>
  <c r="E144" i="54"/>
  <c r="E143" i="54"/>
  <c r="E142" i="54"/>
  <c r="E141" i="54"/>
  <c r="E140" i="54"/>
  <c r="E139" i="54"/>
  <c r="E138" i="54"/>
  <c r="E137" i="54"/>
  <c r="E136" i="54"/>
  <c r="E135" i="54"/>
  <c r="E134" i="54"/>
  <c r="E133" i="54"/>
  <c r="E132" i="54"/>
  <c r="E131" i="54"/>
  <c r="E130" i="54"/>
  <c r="E129" i="54"/>
  <c r="E128" i="54"/>
  <c r="E127" i="54"/>
  <c r="E126" i="54"/>
  <c r="E125" i="54"/>
  <c r="E124" i="54"/>
  <c r="E123" i="54"/>
  <c r="E122" i="54"/>
  <c r="E121" i="54"/>
  <c r="E120" i="54"/>
  <c r="E119" i="54"/>
  <c r="E118" i="54"/>
  <c r="E117" i="54"/>
  <c r="E116" i="54"/>
  <c r="E115" i="54"/>
  <c r="E114" i="54"/>
  <c r="E113" i="54"/>
  <c r="E112" i="54"/>
  <c r="E111" i="54"/>
  <c r="E110" i="54"/>
  <c r="E109" i="54"/>
  <c r="E108" i="54"/>
  <c r="E107" i="54"/>
  <c r="E106" i="54"/>
  <c r="E105" i="54"/>
  <c r="E104" i="54"/>
  <c r="E103" i="54"/>
  <c r="E102" i="54"/>
  <c r="E101" i="54"/>
  <c r="E100" i="54"/>
  <c r="E99" i="54"/>
  <c r="E98" i="54"/>
  <c r="E97" i="54"/>
  <c r="E96" i="54"/>
  <c r="E95" i="54"/>
  <c r="E94" i="54"/>
  <c r="E93" i="54"/>
  <c r="E92" i="54"/>
  <c r="E91" i="54"/>
  <c r="E90" i="54"/>
  <c r="E89" i="54"/>
  <c r="E88" i="54"/>
  <c r="E87" i="54"/>
  <c r="E86" i="54"/>
  <c r="E85" i="54"/>
  <c r="E84" i="54"/>
  <c r="E83" i="54"/>
  <c r="E82" i="54"/>
  <c r="E81" i="54"/>
  <c r="E80" i="54"/>
  <c r="E79" i="54"/>
  <c r="E78" i="54"/>
  <c r="E77" i="54"/>
  <c r="E76" i="54"/>
  <c r="E75" i="54"/>
  <c r="E74" i="54"/>
  <c r="E73" i="54"/>
  <c r="E72" i="54"/>
  <c r="E71" i="54"/>
  <c r="E70" i="54"/>
  <c r="E69" i="54"/>
  <c r="E68" i="54"/>
  <c r="E67" i="54"/>
  <c r="E66" i="54"/>
  <c r="E65" i="54"/>
  <c r="E64" i="54"/>
  <c r="E63" i="54"/>
  <c r="E62" i="54"/>
  <c r="E61" i="54"/>
  <c r="E60" i="54"/>
  <c r="E59" i="54"/>
  <c r="E58" i="54"/>
  <c r="E57" i="54"/>
  <c r="E56" i="54"/>
  <c r="E55" i="54"/>
  <c r="E54" i="54"/>
  <c r="E53" i="54"/>
  <c r="E52" i="54"/>
  <c r="E51" i="54"/>
  <c r="E50" i="54"/>
  <c r="E49" i="54"/>
  <c r="E48" i="54"/>
  <c r="E47" i="54"/>
  <c r="E46" i="54"/>
  <c r="E45" i="54"/>
  <c r="E44" i="54"/>
  <c r="E43" i="54"/>
  <c r="E42" i="54"/>
  <c r="E41" i="54"/>
  <c r="E40" i="54"/>
  <c r="E39" i="54"/>
  <c r="E38" i="54"/>
  <c r="E37" i="54"/>
  <c r="E36" i="54"/>
  <c r="E35" i="54"/>
  <c r="E34" i="54"/>
  <c r="E33" i="54"/>
  <c r="E32" i="54"/>
  <c r="E31" i="54"/>
  <c r="E30" i="54"/>
  <c r="E29" i="54"/>
  <c r="E28" i="54"/>
  <c r="E27" i="54"/>
  <c r="E26" i="54"/>
  <c r="E25" i="54"/>
  <c r="E24" i="54"/>
  <c r="E23" i="54"/>
  <c r="E22" i="54"/>
  <c r="E21" i="54"/>
  <c r="E20" i="54"/>
  <c r="E19" i="54"/>
  <c r="E18" i="54"/>
  <c r="E17" i="54"/>
  <c r="E16" i="54"/>
  <c r="E15" i="54"/>
  <c r="E14" i="54"/>
  <c r="E13" i="54"/>
  <c r="E12" i="54"/>
  <c r="E11" i="54"/>
  <c r="E10" i="54"/>
  <c r="E9" i="54"/>
  <c r="E8" i="54"/>
  <c r="E7" i="54"/>
  <c r="E6" i="54"/>
  <c r="E198" i="55"/>
  <c r="E197" i="55"/>
  <c r="E196" i="55"/>
  <c r="E195" i="55"/>
  <c r="E194" i="55"/>
  <c r="E193" i="55"/>
  <c r="E192" i="55"/>
  <c r="E191" i="55"/>
  <c r="E190" i="55"/>
  <c r="E189" i="55"/>
  <c r="E188" i="55"/>
  <c r="E187" i="55"/>
  <c r="E186" i="55"/>
  <c r="E185" i="55"/>
  <c r="E184" i="55"/>
  <c r="E183" i="55"/>
  <c r="E182" i="55"/>
  <c r="E181" i="55"/>
  <c r="E180" i="55"/>
  <c r="E179" i="55"/>
  <c r="E178" i="55"/>
  <c r="E177" i="55"/>
  <c r="E176" i="55"/>
  <c r="E175" i="55"/>
  <c r="E174" i="55"/>
  <c r="E173" i="55"/>
  <c r="E172" i="55"/>
  <c r="E171" i="55"/>
  <c r="E170" i="55"/>
  <c r="E169" i="55"/>
  <c r="E168" i="55"/>
  <c r="E167" i="55"/>
  <c r="E166" i="55"/>
  <c r="E165" i="55"/>
  <c r="E164" i="55"/>
  <c r="E163" i="55"/>
  <c r="E162" i="55"/>
  <c r="E161" i="55"/>
  <c r="E160" i="55"/>
  <c r="E159" i="55"/>
  <c r="E158" i="55"/>
  <c r="E157" i="55"/>
  <c r="E156" i="55"/>
  <c r="E155" i="55"/>
  <c r="E154" i="55"/>
  <c r="E153" i="55"/>
  <c r="E152" i="55"/>
  <c r="E151" i="55"/>
  <c r="E150" i="55"/>
  <c r="E149" i="55"/>
  <c r="E148" i="55"/>
  <c r="E147" i="55"/>
  <c r="E146" i="55"/>
  <c r="E145" i="55"/>
  <c r="E144" i="55"/>
  <c r="E143" i="55"/>
  <c r="E142" i="55"/>
  <c r="E141" i="55"/>
  <c r="E140" i="55"/>
  <c r="E139" i="55"/>
  <c r="E138" i="55"/>
  <c r="E137" i="55"/>
  <c r="E136" i="55"/>
  <c r="E135" i="55"/>
  <c r="E134" i="55"/>
  <c r="E133" i="55"/>
  <c r="E132" i="55"/>
  <c r="E131" i="55"/>
  <c r="E130" i="55"/>
  <c r="E129" i="55"/>
  <c r="E128" i="55"/>
  <c r="E127" i="55"/>
  <c r="E126" i="55"/>
  <c r="E125" i="55"/>
  <c r="E124" i="55"/>
  <c r="E123" i="55"/>
  <c r="E122" i="55"/>
  <c r="E121" i="55"/>
  <c r="E120" i="55"/>
  <c r="E119" i="55"/>
  <c r="E118" i="55"/>
  <c r="E117" i="55"/>
  <c r="E116" i="55"/>
  <c r="E115" i="55"/>
  <c r="E114" i="55"/>
  <c r="E113" i="55"/>
  <c r="E112" i="55"/>
  <c r="E111" i="55"/>
  <c r="E110" i="55"/>
  <c r="E109" i="55"/>
  <c r="E108" i="55"/>
  <c r="E107" i="55"/>
  <c r="E106" i="55"/>
  <c r="E105" i="55"/>
  <c r="E104" i="55"/>
  <c r="E103" i="55"/>
  <c r="E102" i="55"/>
  <c r="E101" i="55"/>
  <c r="E100" i="55"/>
  <c r="E99" i="55"/>
  <c r="E98" i="55"/>
  <c r="E97" i="55"/>
  <c r="E96" i="55"/>
  <c r="E95" i="55"/>
  <c r="E94" i="55"/>
  <c r="E93" i="55"/>
  <c r="E92" i="55"/>
  <c r="E91" i="55"/>
  <c r="E90" i="55"/>
  <c r="E89" i="55"/>
  <c r="E88" i="55"/>
  <c r="E87" i="55"/>
  <c r="E86" i="55"/>
  <c r="E85" i="55"/>
  <c r="E84" i="55"/>
  <c r="E83" i="55"/>
  <c r="E82" i="55"/>
  <c r="E81" i="55"/>
  <c r="E80" i="55"/>
  <c r="E79" i="55"/>
  <c r="E78" i="55"/>
  <c r="E77" i="55"/>
  <c r="E76" i="55"/>
  <c r="E75" i="55"/>
  <c r="E74" i="55"/>
  <c r="E73" i="55"/>
  <c r="E72" i="55"/>
  <c r="E71" i="55"/>
  <c r="E70" i="55"/>
  <c r="E69" i="55"/>
  <c r="E68" i="55"/>
  <c r="E67" i="55"/>
  <c r="E66" i="55"/>
  <c r="E65" i="55"/>
  <c r="E64" i="55"/>
  <c r="E63" i="55"/>
  <c r="E62" i="55"/>
  <c r="E61" i="55"/>
  <c r="E60" i="55"/>
  <c r="E59" i="55"/>
  <c r="E58" i="55"/>
  <c r="E57" i="55"/>
  <c r="E56" i="55"/>
  <c r="E55" i="55"/>
  <c r="E54" i="55"/>
  <c r="E53" i="55"/>
  <c r="E52" i="55"/>
  <c r="E51" i="55"/>
  <c r="E50" i="55"/>
  <c r="E49" i="55"/>
  <c r="E48" i="55"/>
  <c r="E47" i="55"/>
  <c r="E46" i="55"/>
  <c r="E45" i="55"/>
  <c r="E44" i="55"/>
  <c r="E43" i="55"/>
  <c r="E42" i="55"/>
  <c r="E41" i="55"/>
  <c r="E40" i="55"/>
  <c r="E39" i="55"/>
  <c r="E38" i="55"/>
  <c r="E37" i="55"/>
  <c r="E36" i="55"/>
  <c r="E35" i="55"/>
  <c r="E34" i="55"/>
  <c r="E33" i="55"/>
  <c r="E32" i="55"/>
  <c r="E31" i="55"/>
  <c r="E30" i="55"/>
  <c r="E29" i="55"/>
  <c r="E28" i="55"/>
  <c r="E27" i="55"/>
  <c r="E26" i="55"/>
  <c r="E25" i="55"/>
  <c r="E24" i="55"/>
  <c r="E23" i="55"/>
  <c r="E22" i="55"/>
  <c r="E21" i="55"/>
  <c r="E20" i="55"/>
  <c r="E19" i="55"/>
  <c r="E18" i="55"/>
  <c r="E17" i="55"/>
  <c r="E16" i="55"/>
  <c r="E15" i="55"/>
  <c r="E14" i="55"/>
  <c r="E13" i="55"/>
  <c r="E12" i="55"/>
  <c r="E11" i="55"/>
  <c r="E10" i="55"/>
  <c r="E9" i="55"/>
  <c r="E8" i="55"/>
  <c r="E7" i="55"/>
  <c r="E6" i="55"/>
  <c r="E198" i="56"/>
  <c r="E197" i="56"/>
  <c r="E196" i="56"/>
  <c r="E195" i="56"/>
  <c r="E194" i="56"/>
  <c r="E193" i="56"/>
  <c r="E192" i="56"/>
  <c r="E191" i="56"/>
  <c r="E190" i="56"/>
  <c r="E189" i="56"/>
  <c r="E188" i="56"/>
  <c r="E187" i="56"/>
  <c r="E186" i="56"/>
  <c r="E185" i="56"/>
  <c r="E184" i="56"/>
  <c r="E183" i="56"/>
  <c r="E182" i="56"/>
  <c r="E181" i="56"/>
  <c r="E180" i="56"/>
  <c r="E179" i="56"/>
  <c r="E178" i="56"/>
  <c r="E177" i="56"/>
  <c r="E176" i="56"/>
  <c r="E175" i="56"/>
  <c r="E174" i="56"/>
  <c r="E173" i="56"/>
  <c r="E172" i="56"/>
  <c r="E171" i="56"/>
  <c r="E170" i="56"/>
  <c r="E169" i="56"/>
  <c r="E168" i="56"/>
  <c r="E167" i="56"/>
  <c r="E166" i="56"/>
  <c r="E165" i="56"/>
  <c r="E164" i="56"/>
  <c r="E163" i="56"/>
  <c r="E162" i="56"/>
  <c r="E161" i="56"/>
  <c r="E160" i="56"/>
  <c r="E159" i="56"/>
  <c r="E158" i="56"/>
  <c r="E157" i="56"/>
  <c r="E156" i="56"/>
  <c r="E155" i="56"/>
  <c r="E154" i="56"/>
  <c r="E153" i="56"/>
  <c r="E152" i="56"/>
  <c r="E151" i="56"/>
  <c r="E150" i="56"/>
  <c r="E149" i="56"/>
  <c r="E148" i="56"/>
  <c r="E147" i="56"/>
  <c r="E146" i="56"/>
  <c r="E145" i="56"/>
  <c r="E144" i="56"/>
  <c r="E143" i="56"/>
  <c r="E142" i="56"/>
  <c r="E141" i="56"/>
  <c r="E140" i="56"/>
  <c r="E139" i="56"/>
  <c r="E138" i="56"/>
  <c r="E137" i="56"/>
  <c r="E136" i="56"/>
  <c r="E135" i="56"/>
  <c r="E134" i="56"/>
  <c r="E133" i="56"/>
  <c r="E132" i="56"/>
  <c r="E131" i="56"/>
  <c r="E130" i="56"/>
  <c r="E129" i="56"/>
  <c r="E128" i="56"/>
  <c r="E127" i="56"/>
  <c r="E126" i="56"/>
  <c r="E125" i="56"/>
  <c r="E124" i="56"/>
  <c r="E123" i="56"/>
  <c r="E122" i="56"/>
  <c r="E121" i="56"/>
  <c r="E120" i="56"/>
  <c r="E119" i="56"/>
  <c r="E118" i="56"/>
  <c r="E117" i="56"/>
  <c r="E116" i="56"/>
  <c r="E115" i="56"/>
  <c r="E114" i="56"/>
  <c r="E113" i="56"/>
  <c r="E112" i="56"/>
  <c r="E111" i="56"/>
  <c r="E110" i="56"/>
  <c r="E109" i="56"/>
  <c r="E108" i="56"/>
  <c r="E107" i="56"/>
  <c r="E106" i="56"/>
  <c r="E105" i="56"/>
  <c r="E104" i="56"/>
  <c r="E103" i="56"/>
  <c r="E102" i="56"/>
  <c r="E101" i="56"/>
  <c r="E100" i="56"/>
  <c r="E99" i="56"/>
  <c r="E98" i="56"/>
  <c r="E97" i="56"/>
  <c r="E96" i="56"/>
  <c r="E95" i="56"/>
  <c r="E94" i="56"/>
  <c r="E93" i="56"/>
  <c r="E92" i="56"/>
  <c r="E91" i="56"/>
  <c r="E90" i="56"/>
  <c r="E89" i="56"/>
  <c r="E88" i="56"/>
  <c r="E87" i="56"/>
  <c r="E86" i="56"/>
  <c r="E85" i="56"/>
  <c r="E84" i="56"/>
  <c r="E83" i="56"/>
  <c r="E82" i="56"/>
  <c r="E81" i="56"/>
  <c r="E80" i="56"/>
  <c r="E79" i="56"/>
  <c r="E78" i="56"/>
  <c r="E77" i="56"/>
  <c r="E76" i="56"/>
  <c r="E75" i="56"/>
  <c r="E74" i="56"/>
  <c r="E73" i="56"/>
  <c r="E72" i="56"/>
  <c r="E71" i="56"/>
  <c r="E70" i="56"/>
  <c r="E69" i="56"/>
  <c r="E68" i="56"/>
  <c r="E67" i="56"/>
  <c r="E66" i="56"/>
  <c r="E65" i="56"/>
  <c r="E64" i="56"/>
  <c r="E63" i="56"/>
  <c r="E62" i="56"/>
  <c r="E61" i="56"/>
  <c r="E60" i="56"/>
  <c r="E59" i="56"/>
  <c r="E58" i="56"/>
  <c r="E57" i="56"/>
  <c r="E56" i="56"/>
  <c r="E55" i="56"/>
  <c r="E54" i="56"/>
  <c r="E53" i="56"/>
  <c r="E52" i="56"/>
  <c r="E51" i="56"/>
  <c r="E50" i="56"/>
  <c r="E49" i="56"/>
  <c r="E48" i="56"/>
  <c r="E47" i="56"/>
  <c r="E46" i="56"/>
  <c r="E45" i="56"/>
  <c r="E44" i="56"/>
  <c r="E43" i="56"/>
  <c r="E42" i="56"/>
  <c r="E41" i="56"/>
  <c r="E40" i="56"/>
  <c r="E39" i="56"/>
  <c r="E38" i="56"/>
  <c r="E37" i="56"/>
  <c r="E36" i="56"/>
  <c r="E35" i="56"/>
  <c r="E34" i="56"/>
  <c r="E33" i="56"/>
  <c r="E32" i="56"/>
  <c r="E31" i="56"/>
  <c r="E30" i="56"/>
  <c r="E29" i="56"/>
  <c r="E28" i="56"/>
  <c r="E27" i="56"/>
  <c r="E26" i="56"/>
  <c r="E25" i="56"/>
  <c r="E24" i="56"/>
  <c r="E23" i="56"/>
  <c r="E22" i="56"/>
  <c r="E21" i="56"/>
  <c r="E20" i="56"/>
  <c r="E19" i="56"/>
  <c r="E18" i="56"/>
  <c r="E17" i="56"/>
  <c r="E16" i="56"/>
  <c r="E15" i="56"/>
  <c r="E14" i="56"/>
  <c r="E13" i="56"/>
  <c r="E12" i="56"/>
  <c r="E11" i="56"/>
  <c r="E10" i="56"/>
  <c r="E9" i="56"/>
  <c r="E8" i="56"/>
  <c r="E7" i="56"/>
  <c r="E6" i="56"/>
  <c r="E5" i="40"/>
  <c r="E5" i="41"/>
  <c r="E5" i="43"/>
  <c r="E5" i="42"/>
  <c r="E5" i="45"/>
  <c r="E5" i="46"/>
  <c r="E5" i="50"/>
  <c r="E5" i="51"/>
  <c r="E5" i="52"/>
  <c r="E5" i="47"/>
  <c r="E5" i="48"/>
  <c r="E5" i="49"/>
  <c r="E5" i="54"/>
  <c r="E5" i="55"/>
  <c r="E5" i="56"/>
  <c r="F113" i="43"/>
  <c r="G44" i="49" l="1"/>
  <c r="G44" i="43"/>
  <c r="H44" i="49"/>
  <c r="H44" i="43" l="1"/>
  <c r="I44" i="49"/>
  <c r="I44" i="43" l="1"/>
  <c r="J44" i="49"/>
  <c r="G110" i="56"/>
  <c r="G94" i="56"/>
  <c r="G5" i="55"/>
  <c r="J44" i="43" l="1"/>
  <c r="G113" i="55"/>
  <c r="G133" i="55"/>
  <c r="G137" i="55"/>
  <c r="G149" i="55"/>
  <c r="G153" i="55"/>
  <c r="G185" i="55"/>
  <c r="G119" i="56"/>
  <c r="G126" i="55"/>
  <c r="G44" i="56"/>
  <c r="G119" i="55"/>
  <c r="G113" i="56"/>
  <c r="G133" i="56"/>
  <c r="G137" i="56"/>
  <c r="G149" i="56"/>
  <c r="G153" i="56"/>
  <c r="G185" i="56"/>
  <c r="G44" i="55"/>
  <c r="G126" i="56"/>
  <c r="K44" i="49"/>
  <c r="G33" i="55"/>
  <c r="G53" i="55"/>
  <c r="G57" i="55"/>
  <c r="G69" i="55"/>
  <c r="G81" i="55"/>
  <c r="G93" i="55"/>
  <c r="G97" i="55"/>
  <c r="G101" i="55"/>
  <c r="G105" i="55"/>
  <c r="G109" i="55"/>
  <c r="G117" i="55"/>
  <c r="G121" i="55"/>
  <c r="G125" i="55"/>
  <c r="G129" i="55"/>
  <c r="G141" i="55"/>
  <c r="G145" i="55"/>
  <c r="G157" i="55"/>
  <c r="G161" i="55"/>
  <c r="G165" i="55"/>
  <c r="G169" i="55"/>
  <c r="G173" i="55"/>
  <c r="G177" i="55"/>
  <c r="G181" i="55"/>
  <c r="G189" i="55"/>
  <c r="G193" i="55"/>
  <c r="G197" i="55"/>
  <c r="G7" i="56"/>
  <c r="G11" i="56"/>
  <c r="G15" i="56"/>
  <c r="G19" i="56"/>
  <c r="G23" i="56"/>
  <c r="G27" i="56"/>
  <c r="G31" i="56"/>
  <c r="G35" i="56"/>
  <c r="G39" i="56"/>
  <c r="G43" i="56"/>
  <c r="G47" i="56"/>
  <c r="G51" i="56"/>
  <c r="G55" i="56"/>
  <c r="G59" i="56"/>
  <c r="G63" i="56"/>
  <c r="G67" i="56"/>
  <c r="G71" i="56"/>
  <c r="G75" i="56"/>
  <c r="G79" i="56"/>
  <c r="G83" i="56"/>
  <c r="G87" i="56"/>
  <c r="G91" i="56"/>
  <c r="G95" i="56"/>
  <c r="G99" i="56"/>
  <c r="G103" i="56"/>
  <c r="G107" i="56"/>
  <c r="G111" i="56"/>
  <c r="G115" i="56"/>
  <c r="G123" i="56"/>
  <c r="G127" i="56"/>
  <c r="G131" i="56"/>
  <c r="G135" i="56"/>
  <c r="G139" i="56"/>
  <c r="G143" i="56"/>
  <c r="G147" i="56"/>
  <c r="G151" i="56"/>
  <c r="G155" i="56"/>
  <c r="G159" i="56"/>
  <c r="G41" i="55"/>
  <c r="G45" i="55"/>
  <c r="G65" i="55"/>
  <c r="G73" i="55"/>
  <c r="G89" i="55"/>
  <c r="G36" i="56"/>
  <c r="G40" i="56"/>
  <c r="G48" i="56"/>
  <c r="G60" i="56"/>
  <c r="G64" i="56"/>
  <c r="G76" i="56"/>
  <c r="G80" i="56"/>
  <c r="G92" i="56"/>
  <c r="G96" i="56"/>
  <c r="G108" i="56"/>
  <c r="G112" i="56"/>
  <c r="G116" i="56"/>
  <c r="G9" i="55"/>
  <c r="G17" i="55"/>
  <c r="G25" i="55"/>
  <c r="G37" i="55"/>
  <c r="G49" i="55"/>
  <c r="G61" i="55"/>
  <c r="G77" i="55"/>
  <c r="G85" i="55"/>
  <c r="G33" i="56"/>
  <c r="G41" i="56"/>
  <c r="G49" i="56"/>
  <c r="G53" i="56"/>
  <c r="G57" i="56"/>
  <c r="G65" i="56"/>
  <c r="G69" i="56"/>
  <c r="G73" i="56"/>
  <c r="G81" i="56"/>
  <c r="G85" i="56"/>
  <c r="G89" i="56"/>
  <c r="G97" i="56"/>
  <c r="G101" i="56"/>
  <c r="G105" i="56"/>
  <c r="G121" i="56"/>
  <c r="G13" i="55"/>
  <c r="G21" i="55"/>
  <c r="G29" i="55"/>
  <c r="G12" i="55"/>
  <c r="G16" i="55"/>
  <c r="G28" i="55"/>
  <c r="G32" i="55"/>
  <c r="G48" i="55"/>
  <c r="G60" i="55"/>
  <c r="G64" i="55"/>
  <c r="G76" i="55"/>
  <c r="G80" i="55"/>
  <c r="G92" i="55"/>
  <c r="G96" i="55"/>
  <c r="G108" i="55"/>
  <c r="G116" i="55"/>
  <c r="G120" i="55"/>
  <c r="G132" i="55"/>
  <c r="G136" i="55"/>
  <c r="G148" i="55"/>
  <c r="G156" i="55"/>
  <c r="G160" i="55"/>
  <c r="G172" i="55"/>
  <c r="G176" i="55"/>
  <c r="G188" i="55"/>
  <c r="G192" i="55"/>
  <c r="G138" i="56"/>
  <c r="G50" i="56"/>
  <c r="G82" i="56"/>
  <c r="G38" i="56"/>
  <c r="G62" i="56"/>
  <c r="G118" i="56"/>
  <c r="G62" i="55"/>
  <c r="G8" i="55"/>
  <c r="G20" i="55"/>
  <c r="G24" i="55"/>
  <c r="G36" i="55"/>
  <c r="G40" i="55"/>
  <c r="G52" i="55"/>
  <c r="G56" i="55"/>
  <c r="G68" i="55"/>
  <c r="G72" i="55"/>
  <c r="G84" i="55"/>
  <c r="G88" i="55"/>
  <c r="G100" i="55"/>
  <c r="G104" i="55"/>
  <c r="G112" i="55"/>
  <c r="G124" i="55"/>
  <c r="G128" i="55"/>
  <c r="G140" i="55"/>
  <c r="G144" i="55"/>
  <c r="G152" i="55"/>
  <c r="G164" i="55"/>
  <c r="G168" i="55"/>
  <c r="G180" i="55"/>
  <c r="G184" i="55"/>
  <c r="G196" i="55"/>
  <c r="G122" i="56"/>
  <c r="G130" i="56"/>
  <c r="G134" i="56"/>
  <c r="G42" i="56"/>
  <c r="G66" i="56"/>
  <c r="G98" i="56"/>
  <c r="G46" i="56"/>
  <c r="G78" i="56"/>
  <c r="G6" i="55"/>
  <c r="G10" i="55"/>
  <c r="G14" i="55"/>
  <c r="G18" i="55"/>
  <c r="G22" i="55"/>
  <c r="G26" i="55"/>
  <c r="G30" i="55"/>
  <c r="G34" i="55"/>
  <c r="G38" i="55"/>
  <c r="G42" i="55"/>
  <c r="G46" i="55"/>
  <c r="G50" i="55"/>
  <c r="G54" i="55"/>
  <c r="G58" i="55"/>
  <c r="G66" i="55"/>
  <c r="G70" i="55"/>
  <c r="G74" i="55"/>
  <c r="G78" i="55"/>
  <c r="G82" i="55"/>
  <c r="G86" i="55"/>
  <c r="G90" i="55"/>
  <c r="G94" i="55"/>
  <c r="G98" i="55"/>
  <c r="G102" i="55"/>
  <c r="G106" i="55"/>
  <c r="G110" i="55"/>
  <c r="G114" i="55"/>
  <c r="G118" i="55"/>
  <c r="G122" i="55"/>
  <c r="G130" i="55"/>
  <c r="G134" i="55"/>
  <c r="G138" i="55"/>
  <c r="G142" i="55"/>
  <c r="G146" i="55"/>
  <c r="G150" i="55"/>
  <c r="G154" i="55"/>
  <c r="G158" i="55"/>
  <c r="G162" i="55"/>
  <c r="G166" i="55"/>
  <c r="G170" i="55"/>
  <c r="G174" i="55"/>
  <c r="G178" i="55"/>
  <c r="G182" i="55"/>
  <c r="G186" i="55"/>
  <c r="G190" i="55"/>
  <c r="G194" i="55"/>
  <c r="G198" i="55"/>
  <c r="G124" i="56"/>
  <c r="G128" i="56"/>
  <c r="G132" i="56"/>
  <c r="G136" i="56"/>
  <c r="G140" i="56"/>
  <c r="G144" i="56"/>
  <c r="G148" i="56"/>
  <c r="G152" i="56"/>
  <c r="G156" i="56"/>
  <c r="G160" i="56"/>
  <c r="G164" i="56"/>
  <c r="G168" i="56"/>
  <c r="G172" i="56"/>
  <c r="G176" i="56"/>
  <c r="G180" i="56"/>
  <c r="G184" i="56"/>
  <c r="G188" i="56"/>
  <c r="G192" i="56"/>
  <c r="G196" i="56"/>
  <c r="G32" i="56"/>
  <c r="G34" i="56"/>
  <c r="G56" i="56"/>
  <c r="G58" i="56"/>
  <c r="G72" i="56"/>
  <c r="G74" i="56"/>
  <c r="G88" i="56"/>
  <c r="G90" i="56"/>
  <c r="G104" i="56"/>
  <c r="G106" i="56"/>
  <c r="G114" i="56"/>
  <c r="G7" i="55"/>
  <c r="G11" i="55"/>
  <c r="G15" i="55"/>
  <c r="G19" i="55"/>
  <c r="G23" i="55"/>
  <c r="G27" i="55"/>
  <c r="G31" i="55"/>
  <c r="G35" i="55"/>
  <c r="G39" i="55"/>
  <c r="G43" i="55"/>
  <c r="G47" i="55"/>
  <c r="G51" i="55"/>
  <c r="G55" i="55"/>
  <c r="G59" i="55"/>
  <c r="G63" i="55"/>
  <c r="G67" i="55"/>
  <c r="G71" i="55"/>
  <c r="G75" i="55"/>
  <c r="G79" i="55"/>
  <c r="G83" i="55"/>
  <c r="G87" i="55"/>
  <c r="G91" i="55"/>
  <c r="G95" i="55"/>
  <c r="G99" i="55"/>
  <c r="G103" i="55"/>
  <c r="G107" i="55"/>
  <c r="G111" i="55"/>
  <c r="G115" i="55"/>
  <c r="G123" i="55"/>
  <c r="G127" i="55"/>
  <c r="G131" i="55"/>
  <c r="G135" i="55"/>
  <c r="G139" i="55"/>
  <c r="G143" i="55"/>
  <c r="G147" i="55"/>
  <c r="G151" i="55"/>
  <c r="G155" i="55"/>
  <c r="G159" i="55"/>
  <c r="G163" i="55"/>
  <c r="G167" i="55"/>
  <c r="G171" i="55"/>
  <c r="G175" i="55"/>
  <c r="G179" i="55"/>
  <c r="G183" i="55"/>
  <c r="G187" i="55"/>
  <c r="G191" i="55"/>
  <c r="G195" i="55"/>
  <c r="G5" i="56"/>
  <c r="G125" i="56"/>
  <c r="G129" i="56"/>
  <c r="G141" i="56"/>
  <c r="G145" i="56"/>
  <c r="G157" i="56"/>
  <c r="G161" i="56"/>
  <c r="G165" i="56"/>
  <c r="G169" i="56"/>
  <c r="G173" i="56"/>
  <c r="G177" i="56"/>
  <c r="G181" i="56"/>
  <c r="G189" i="56"/>
  <c r="G193" i="56"/>
  <c r="G197" i="56"/>
  <c r="G6" i="56"/>
  <c r="G8" i="56"/>
  <c r="G9" i="56"/>
  <c r="G10" i="56"/>
  <c r="G12" i="56"/>
  <c r="G13" i="56"/>
  <c r="G14" i="56"/>
  <c r="G16" i="56"/>
  <c r="G17" i="56"/>
  <c r="G18" i="56"/>
  <c r="G20" i="56"/>
  <c r="G21" i="56"/>
  <c r="G22" i="56"/>
  <c r="G24" i="56"/>
  <c r="G25" i="56"/>
  <c r="G26" i="56"/>
  <c r="G28" i="56"/>
  <c r="G29" i="56"/>
  <c r="G30" i="56"/>
  <c r="G37" i="56"/>
  <c r="G45" i="56"/>
  <c r="G52" i="56"/>
  <c r="G54" i="56"/>
  <c r="G61" i="56"/>
  <c r="G68" i="56"/>
  <c r="G70" i="56"/>
  <c r="G77" i="56"/>
  <c r="G84" i="56"/>
  <c r="G86" i="56"/>
  <c r="G93" i="56"/>
  <c r="G100" i="56"/>
  <c r="G102" i="56"/>
  <c r="G109" i="56"/>
  <c r="G117" i="56"/>
  <c r="G120" i="56"/>
  <c r="G170" i="56"/>
  <c r="G182" i="56"/>
  <c r="G194" i="56"/>
  <c r="G142" i="56"/>
  <c r="G146" i="56"/>
  <c r="G150" i="56"/>
  <c r="G154" i="56"/>
  <c r="G158" i="56"/>
  <c r="G162" i="56"/>
  <c r="G166" i="56"/>
  <c r="G174" i="56"/>
  <c r="G178" i="56"/>
  <c r="G186" i="56"/>
  <c r="G190" i="56"/>
  <c r="G198" i="56"/>
  <c r="G163" i="56"/>
  <c r="G167" i="56"/>
  <c r="G171" i="56"/>
  <c r="G175" i="56"/>
  <c r="G179" i="56"/>
  <c r="G183" i="56"/>
  <c r="G187" i="56"/>
  <c r="G191" i="56"/>
  <c r="G195" i="56"/>
  <c r="G99" i="54"/>
  <c r="G97" i="54"/>
  <c r="G89" i="54"/>
  <c r="G87" i="54"/>
  <c r="K44" i="43" l="1"/>
  <c r="G126" i="54"/>
  <c r="G119" i="54"/>
  <c r="G113" i="54"/>
  <c r="G133" i="54"/>
  <c r="G137" i="54"/>
  <c r="G149" i="54"/>
  <c r="G153" i="54"/>
  <c r="G185" i="54"/>
  <c r="L44" i="49"/>
  <c r="G44" i="54"/>
  <c r="G79" i="54"/>
  <c r="G81" i="54"/>
  <c r="G95" i="54"/>
  <c r="G5" i="54"/>
  <c r="G86" i="54"/>
  <c r="G104" i="54"/>
  <c r="G128" i="54"/>
  <c r="G140" i="54"/>
  <c r="G172" i="54"/>
  <c r="G184" i="54"/>
  <c r="G88" i="54"/>
  <c r="G105" i="54"/>
  <c r="G117" i="54"/>
  <c r="G121" i="54"/>
  <c r="G129" i="54"/>
  <c r="G145" i="54"/>
  <c r="G157" i="54"/>
  <c r="G161" i="54"/>
  <c r="G173" i="54"/>
  <c r="G177" i="54"/>
  <c r="G181" i="54"/>
  <c r="G189" i="54"/>
  <c r="G112" i="54"/>
  <c r="G144" i="54"/>
  <c r="G160" i="54"/>
  <c r="G180" i="54"/>
  <c r="G188" i="54"/>
  <c r="G96" i="54"/>
  <c r="G106" i="54"/>
  <c r="G118" i="54"/>
  <c r="G134" i="54"/>
  <c r="G138" i="54"/>
  <c r="G150" i="54"/>
  <c r="G158" i="54"/>
  <c r="G162" i="54"/>
  <c r="G166" i="54"/>
  <c r="G170" i="54"/>
  <c r="G190" i="54"/>
  <c r="G194" i="54"/>
  <c r="G80" i="54"/>
  <c r="G115" i="54"/>
  <c r="G135" i="54"/>
  <c r="G143" i="54"/>
  <c r="G151" i="54"/>
  <c r="G155" i="54"/>
  <c r="G183" i="54"/>
  <c r="G187" i="54"/>
  <c r="G191" i="54"/>
  <c r="G6" i="54"/>
  <c r="G8" i="54"/>
  <c r="G10" i="54"/>
  <c r="G11" i="54"/>
  <c r="G12" i="54"/>
  <c r="G13" i="54"/>
  <c r="G14" i="54"/>
  <c r="G15" i="54"/>
  <c r="G16" i="54"/>
  <c r="G17" i="54"/>
  <c r="G19" i="54"/>
  <c r="G21" i="54"/>
  <c r="G22" i="54"/>
  <c r="G26" i="54"/>
  <c r="G29" i="54"/>
  <c r="G30" i="54"/>
  <c r="G35" i="54"/>
  <c r="G40" i="54"/>
  <c r="G47" i="54"/>
  <c r="G48" i="54"/>
  <c r="G49" i="54"/>
  <c r="G50" i="54"/>
  <c r="G53" i="54"/>
  <c r="G59" i="54"/>
  <c r="G62" i="54"/>
  <c r="G65" i="54"/>
  <c r="G66" i="54"/>
  <c r="G69" i="54"/>
  <c r="G70" i="54"/>
  <c r="G72" i="54"/>
  <c r="G73" i="54"/>
  <c r="G74" i="54"/>
  <c r="G78" i="54"/>
  <c r="G91" i="54"/>
  <c r="G103" i="54"/>
  <c r="G147" i="54"/>
  <c r="G167" i="54"/>
  <c r="G7" i="54"/>
  <c r="G20" i="54"/>
  <c r="G24" i="54"/>
  <c r="G25" i="54"/>
  <c r="G27" i="54"/>
  <c r="G28" i="54"/>
  <c r="G36" i="54"/>
  <c r="G39" i="54"/>
  <c r="G41" i="54"/>
  <c r="G45" i="54"/>
  <c r="G55" i="54"/>
  <c r="G56" i="54"/>
  <c r="G57" i="54"/>
  <c r="G58" i="54"/>
  <c r="G84" i="54"/>
  <c r="G92" i="54"/>
  <c r="G100" i="54"/>
  <c r="G116" i="54"/>
  <c r="G120" i="54"/>
  <c r="G152" i="54"/>
  <c r="G176" i="54"/>
  <c r="G192" i="54"/>
  <c r="G77" i="54"/>
  <c r="G85" i="54"/>
  <c r="G109" i="54"/>
  <c r="G141" i="54"/>
  <c r="G110" i="54"/>
  <c r="G130" i="54"/>
  <c r="G146" i="54"/>
  <c r="G174" i="54"/>
  <c r="G9" i="54"/>
  <c r="G33" i="54"/>
  <c r="G61" i="54"/>
  <c r="G93" i="54"/>
  <c r="G101" i="54"/>
  <c r="G125" i="54"/>
  <c r="G165" i="54"/>
  <c r="G169" i="54"/>
  <c r="G193" i="54"/>
  <c r="G197" i="54"/>
  <c r="G18" i="54"/>
  <c r="G34" i="54"/>
  <c r="G38" i="54"/>
  <c r="G42" i="54"/>
  <c r="G46" i="54"/>
  <c r="G54" i="54"/>
  <c r="G82" i="54"/>
  <c r="G90" i="54"/>
  <c r="G94" i="54"/>
  <c r="G98" i="54"/>
  <c r="G102" i="54"/>
  <c r="G114" i="54"/>
  <c r="G122" i="54"/>
  <c r="G142" i="54"/>
  <c r="G154" i="54"/>
  <c r="G178" i="54"/>
  <c r="G182" i="54"/>
  <c r="G186" i="54"/>
  <c r="G37" i="54"/>
  <c r="G23" i="54"/>
  <c r="G31" i="54"/>
  <c r="G43" i="54"/>
  <c r="G51" i="54"/>
  <c r="G63" i="54"/>
  <c r="G67" i="54"/>
  <c r="G71" i="54"/>
  <c r="G75" i="54"/>
  <c r="G83" i="54"/>
  <c r="G107" i="54"/>
  <c r="G111" i="54"/>
  <c r="G123" i="54"/>
  <c r="G127" i="54"/>
  <c r="G131" i="54"/>
  <c r="G139" i="54"/>
  <c r="G159" i="54"/>
  <c r="G163" i="54"/>
  <c r="G171" i="54"/>
  <c r="G175" i="54"/>
  <c r="G179" i="54"/>
  <c r="G32" i="54"/>
  <c r="G52" i="54"/>
  <c r="G60" i="54"/>
  <c r="G64" i="54"/>
  <c r="G68" i="54"/>
  <c r="G76" i="54"/>
  <c r="G108" i="54"/>
  <c r="G124" i="54"/>
  <c r="G132" i="54"/>
  <c r="G136" i="54"/>
  <c r="G148" i="54"/>
  <c r="G156" i="54"/>
  <c r="G164" i="54"/>
  <c r="G168" i="54"/>
  <c r="G196" i="54"/>
  <c r="G198" i="54"/>
  <c r="G195" i="54"/>
  <c r="L44" i="43" l="1"/>
  <c r="M44" i="49"/>
  <c r="M44" i="43" l="1"/>
  <c r="N44" i="49"/>
  <c r="N44" i="43" l="1"/>
  <c r="O44" i="49"/>
  <c r="O44" i="43" l="1"/>
  <c r="P44" i="49"/>
  <c r="P44" i="43" l="1"/>
  <c r="G198" i="40" l="1"/>
  <c r="H198" i="40" s="1"/>
  <c r="I198" i="40" s="1"/>
  <c r="J198" i="40" s="1"/>
  <c r="K198" i="40" s="1"/>
  <c r="L198" i="40" s="1"/>
  <c r="M198" i="40" s="1"/>
  <c r="N198" i="40" s="1"/>
  <c r="O198" i="40" s="1"/>
  <c r="P198" i="40" s="1"/>
  <c r="Q198" i="40" s="1"/>
  <c r="G197" i="40"/>
  <c r="H197" i="40" s="1"/>
  <c r="I197" i="40" s="1"/>
  <c r="J197" i="40" s="1"/>
  <c r="K197" i="40" s="1"/>
  <c r="L197" i="40" s="1"/>
  <c r="M197" i="40" s="1"/>
  <c r="N197" i="40" s="1"/>
  <c r="O197" i="40" s="1"/>
  <c r="P197" i="40" s="1"/>
  <c r="Q197" i="40" s="1"/>
  <c r="G196" i="40"/>
  <c r="H196" i="40" s="1"/>
  <c r="I196" i="40" s="1"/>
  <c r="J196" i="40" s="1"/>
  <c r="K196" i="40" s="1"/>
  <c r="L196" i="40" s="1"/>
  <c r="M196" i="40" s="1"/>
  <c r="N196" i="40" s="1"/>
  <c r="O196" i="40" s="1"/>
  <c r="P196" i="40" s="1"/>
  <c r="Q196" i="40" s="1"/>
  <c r="G195" i="40"/>
  <c r="H195" i="40" s="1"/>
  <c r="I195" i="40" s="1"/>
  <c r="J195" i="40" s="1"/>
  <c r="K195" i="40" s="1"/>
  <c r="L195" i="40" s="1"/>
  <c r="M195" i="40" s="1"/>
  <c r="N195" i="40" s="1"/>
  <c r="O195" i="40" s="1"/>
  <c r="P195" i="40" s="1"/>
  <c r="Q195" i="40" s="1"/>
  <c r="G194" i="40"/>
  <c r="H194" i="40" s="1"/>
  <c r="I194" i="40" s="1"/>
  <c r="J194" i="40" s="1"/>
  <c r="K194" i="40" s="1"/>
  <c r="L194" i="40" s="1"/>
  <c r="M194" i="40" s="1"/>
  <c r="N194" i="40" s="1"/>
  <c r="O194" i="40" s="1"/>
  <c r="P194" i="40" s="1"/>
  <c r="Q194" i="40" s="1"/>
  <c r="G193" i="40"/>
  <c r="H193" i="40" s="1"/>
  <c r="I193" i="40" s="1"/>
  <c r="J193" i="40" s="1"/>
  <c r="K193" i="40" s="1"/>
  <c r="L193" i="40" s="1"/>
  <c r="M193" i="40" s="1"/>
  <c r="N193" i="40" s="1"/>
  <c r="O193" i="40" s="1"/>
  <c r="P193" i="40" s="1"/>
  <c r="Q193" i="40" s="1"/>
  <c r="G192" i="40"/>
  <c r="H192" i="40" s="1"/>
  <c r="I192" i="40" s="1"/>
  <c r="J192" i="40" s="1"/>
  <c r="K192" i="40" s="1"/>
  <c r="L192" i="40" s="1"/>
  <c r="M192" i="40" s="1"/>
  <c r="N192" i="40" s="1"/>
  <c r="O192" i="40" s="1"/>
  <c r="P192" i="40" s="1"/>
  <c r="Q192" i="40" s="1"/>
  <c r="G191" i="40"/>
  <c r="H191" i="40" s="1"/>
  <c r="I191" i="40" s="1"/>
  <c r="J191" i="40" s="1"/>
  <c r="K191" i="40" s="1"/>
  <c r="L191" i="40" s="1"/>
  <c r="M191" i="40" s="1"/>
  <c r="N191" i="40" s="1"/>
  <c r="O191" i="40" s="1"/>
  <c r="P191" i="40" s="1"/>
  <c r="Q191" i="40" s="1"/>
  <c r="G190" i="40"/>
  <c r="H190" i="40" s="1"/>
  <c r="I190" i="40" s="1"/>
  <c r="J190" i="40" s="1"/>
  <c r="K190" i="40" s="1"/>
  <c r="L190" i="40" s="1"/>
  <c r="M190" i="40" s="1"/>
  <c r="N190" i="40" s="1"/>
  <c r="O190" i="40" s="1"/>
  <c r="P190" i="40" s="1"/>
  <c r="Q190" i="40" s="1"/>
  <c r="G189" i="40"/>
  <c r="H189" i="40" s="1"/>
  <c r="I189" i="40" s="1"/>
  <c r="J189" i="40" s="1"/>
  <c r="K189" i="40" s="1"/>
  <c r="L189" i="40" s="1"/>
  <c r="M189" i="40" s="1"/>
  <c r="N189" i="40" s="1"/>
  <c r="O189" i="40" s="1"/>
  <c r="P189" i="40" s="1"/>
  <c r="Q189" i="40" s="1"/>
  <c r="G188" i="40"/>
  <c r="H188" i="40" s="1"/>
  <c r="I188" i="40" s="1"/>
  <c r="J188" i="40" s="1"/>
  <c r="K188" i="40" s="1"/>
  <c r="L188" i="40" s="1"/>
  <c r="M188" i="40" s="1"/>
  <c r="N188" i="40" s="1"/>
  <c r="O188" i="40" s="1"/>
  <c r="P188" i="40" s="1"/>
  <c r="Q188" i="40" s="1"/>
  <c r="G187" i="40"/>
  <c r="H187" i="40" s="1"/>
  <c r="I187" i="40" s="1"/>
  <c r="J187" i="40" s="1"/>
  <c r="K187" i="40" s="1"/>
  <c r="L187" i="40" s="1"/>
  <c r="M187" i="40" s="1"/>
  <c r="N187" i="40" s="1"/>
  <c r="O187" i="40" s="1"/>
  <c r="P187" i="40" s="1"/>
  <c r="Q187" i="40" s="1"/>
  <c r="G186" i="40"/>
  <c r="H186" i="40" s="1"/>
  <c r="I186" i="40" s="1"/>
  <c r="J186" i="40" s="1"/>
  <c r="K186" i="40" s="1"/>
  <c r="L186" i="40" s="1"/>
  <c r="M186" i="40" s="1"/>
  <c r="N186" i="40" s="1"/>
  <c r="O186" i="40" s="1"/>
  <c r="P186" i="40" s="1"/>
  <c r="Q186" i="40" s="1"/>
  <c r="G185" i="40"/>
  <c r="H185" i="40" s="1"/>
  <c r="I185" i="40" s="1"/>
  <c r="J185" i="40" s="1"/>
  <c r="K185" i="40" s="1"/>
  <c r="L185" i="40" s="1"/>
  <c r="M185" i="40" s="1"/>
  <c r="N185" i="40" s="1"/>
  <c r="O185" i="40" s="1"/>
  <c r="P185" i="40" s="1"/>
  <c r="Q185" i="40" s="1"/>
  <c r="G184" i="40"/>
  <c r="H184" i="40" s="1"/>
  <c r="I184" i="40" s="1"/>
  <c r="J184" i="40" s="1"/>
  <c r="K184" i="40" s="1"/>
  <c r="L184" i="40" s="1"/>
  <c r="M184" i="40" s="1"/>
  <c r="N184" i="40" s="1"/>
  <c r="O184" i="40" s="1"/>
  <c r="P184" i="40" s="1"/>
  <c r="Q184" i="40" s="1"/>
  <c r="G183" i="40"/>
  <c r="H183" i="40" s="1"/>
  <c r="I183" i="40" s="1"/>
  <c r="J183" i="40" s="1"/>
  <c r="K183" i="40" s="1"/>
  <c r="L183" i="40" s="1"/>
  <c r="M183" i="40" s="1"/>
  <c r="N183" i="40" s="1"/>
  <c r="O183" i="40" s="1"/>
  <c r="P183" i="40" s="1"/>
  <c r="Q183" i="40" s="1"/>
  <c r="G182" i="40"/>
  <c r="H182" i="40" s="1"/>
  <c r="I182" i="40" s="1"/>
  <c r="J182" i="40" s="1"/>
  <c r="K182" i="40" s="1"/>
  <c r="L182" i="40" s="1"/>
  <c r="M182" i="40" s="1"/>
  <c r="N182" i="40" s="1"/>
  <c r="O182" i="40" s="1"/>
  <c r="P182" i="40" s="1"/>
  <c r="Q182" i="40" s="1"/>
  <c r="G181" i="40"/>
  <c r="H181" i="40" s="1"/>
  <c r="I181" i="40" s="1"/>
  <c r="J181" i="40" s="1"/>
  <c r="K181" i="40" s="1"/>
  <c r="L181" i="40" s="1"/>
  <c r="M181" i="40" s="1"/>
  <c r="N181" i="40" s="1"/>
  <c r="O181" i="40" s="1"/>
  <c r="P181" i="40" s="1"/>
  <c r="Q181" i="40" s="1"/>
  <c r="G180" i="40"/>
  <c r="H180" i="40" s="1"/>
  <c r="I180" i="40" s="1"/>
  <c r="J180" i="40" s="1"/>
  <c r="K180" i="40" s="1"/>
  <c r="L180" i="40" s="1"/>
  <c r="M180" i="40" s="1"/>
  <c r="N180" i="40" s="1"/>
  <c r="O180" i="40" s="1"/>
  <c r="P180" i="40" s="1"/>
  <c r="Q180" i="40" s="1"/>
  <c r="G179" i="40"/>
  <c r="H179" i="40" s="1"/>
  <c r="I179" i="40" s="1"/>
  <c r="J179" i="40" s="1"/>
  <c r="K179" i="40" s="1"/>
  <c r="L179" i="40" s="1"/>
  <c r="M179" i="40" s="1"/>
  <c r="N179" i="40" s="1"/>
  <c r="O179" i="40" s="1"/>
  <c r="P179" i="40" s="1"/>
  <c r="Q179" i="40" s="1"/>
  <c r="G178" i="40"/>
  <c r="H178" i="40" s="1"/>
  <c r="I178" i="40" s="1"/>
  <c r="J178" i="40" s="1"/>
  <c r="K178" i="40" s="1"/>
  <c r="L178" i="40" s="1"/>
  <c r="M178" i="40" s="1"/>
  <c r="N178" i="40" s="1"/>
  <c r="O178" i="40" s="1"/>
  <c r="P178" i="40" s="1"/>
  <c r="Q178" i="40" s="1"/>
  <c r="G177" i="40"/>
  <c r="H177" i="40" s="1"/>
  <c r="I177" i="40" s="1"/>
  <c r="J177" i="40" s="1"/>
  <c r="K177" i="40" s="1"/>
  <c r="L177" i="40" s="1"/>
  <c r="M177" i="40" s="1"/>
  <c r="N177" i="40" s="1"/>
  <c r="O177" i="40" s="1"/>
  <c r="P177" i="40" s="1"/>
  <c r="Q177" i="40" s="1"/>
  <c r="G176" i="40"/>
  <c r="H176" i="40" s="1"/>
  <c r="I176" i="40" s="1"/>
  <c r="J176" i="40" s="1"/>
  <c r="K176" i="40" s="1"/>
  <c r="L176" i="40" s="1"/>
  <c r="M176" i="40" s="1"/>
  <c r="N176" i="40" s="1"/>
  <c r="O176" i="40" s="1"/>
  <c r="P176" i="40" s="1"/>
  <c r="Q176" i="40" s="1"/>
  <c r="G175" i="40"/>
  <c r="H175" i="40" s="1"/>
  <c r="I175" i="40" s="1"/>
  <c r="J175" i="40" s="1"/>
  <c r="K175" i="40" s="1"/>
  <c r="L175" i="40" s="1"/>
  <c r="M175" i="40" s="1"/>
  <c r="N175" i="40" s="1"/>
  <c r="O175" i="40" s="1"/>
  <c r="P175" i="40" s="1"/>
  <c r="Q175" i="40" s="1"/>
  <c r="G174" i="40"/>
  <c r="H174" i="40" s="1"/>
  <c r="I174" i="40" s="1"/>
  <c r="J174" i="40" s="1"/>
  <c r="K174" i="40" s="1"/>
  <c r="L174" i="40" s="1"/>
  <c r="M174" i="40" s="1"/>
  <c r="N174" i="40" s="1"/>
  <c r="O174" i="40" s="1"/>
  <c r="P174" i="40" s="1"/>
  <c r="Q174" i="40" s="1"/>
  <c r="G173" i="40"/>
  <c r="H173" i="40" s="1"/>
  <c r="I173" i="40" s="1"/>
  <c r="J173" i="40" s="1"/>
  <c r="K173" i="40" s="1"/>
  <c r="L173" i="40" s="1"/>
  <c r="M173" i="40" s="1"/>
  <c r="N173" i="40" s="1"/>
  <c r="O173" i="40" s="1"/>
  <c r="P173" i="40" s="1"/>
  <c r="Q173" i="40" s="1"/>
  <c r="G172" i="40"/>
  <c r="H172" i="40" s="1"/>
  <c r="I172" i="40" s="1"/>
  <c r="J172" i="40" s="1"/>
  <c r="K172" i="40" s="1"/>
  <c r="L172" i="40" s="1"/>
  <c r="M172" i="40" s="1"/>
  <c r="N172" i="40" s="1"/>
  <c r="O172" i="40" s="1"/>
  <c r="P172" i="40" s="1"/>
  <c r="Q172" i="40" s="1"/>
  <c r="G171" i="40"/>
  <c r="H171" i="40" s="1"/>
  <c r="I171" i="40" s="1"/>
  <c r="J171" i="40" s="1"/>
  <c r="K171" i="40" s="1"/>
  <c r="L171" i="40" s="1"/>
  <c r="M171" i="40" s="1"/>
  <c r="N171" i="40" s="1"/>
  <c r="O171" i="40" s="1"/>
  <c r="P171" i="40" s="1"/>
  <c r="Q171" i="40" s="1"/>
  <c r="G170" i="40"/>
  <c r="H170" i="40" s="1"/>
  <c r="I170" i="40" s="1"/>
  <c r="J170" i="40" s="1"/>
  <c r="K170" i="40" s="1"/>
  <c r="L170" i="40" s="1"/>
  <c r="M170" i="40" s="1"/>
  <c r="N170" i="40" s="1"/>
  <c r="O170" i="40" s="1"/>
  <c r="P170" i="40" s="1"/>
  <c r="Q170" i="40" s="1"/>
  <c r="G169" i="40"/>
  <c r="H169" i="40" s="1"/>
  <c r="I169" i="40" s="1"/>
  <c r="J169" i="40" s="1"/>
  <c r="K169" i="40" s="1"/>
  <c r="L169" i="40" s="1"/>
  <c r="M169" i="40" s="1"/>
  <c r="N169" i="40" s="1"/>
  <c r="O169" i="40" s="1"/>
  <c r="P169" i="40" s="1"/>
  <c r="Q169" i="40" s="1"/>
  <c r="G168" i="40"/>
  <c r="H168" i="40" s="1"/>
  <c r="I168" i="40" s="1"/>
  <c r="J168" i="40" s="1"/>
  <c r="K168" i="40" s="1"/>
  <c r="L168" i="40" s="1"/>
  <c r="M168" i="40" s="1"/>
  <c r="N168" i="40" s="1"/>
  <c r="O168" i="40" s="1"/>
  <c r="P168" i="40" s="1"/>
  <c r="Q168" i="40" s="1"/>
  <c r="G167" i="40"/>
  <c r="H167" i="40" s="1"/>
  <c r="I167" i="40" s="1"/>
  <c r="J167" i="40" s="1"/>
  <c r="K167" i="40" s="1"/>
  <c r="L167" i="40" s="1"/>
  <c r="M167" i="40" s="1"/>
  <c r="N167" i="40" s="1"/>
  <c r="O167" i="40" s="1"/>
  <c r="P167" i="40" s="1"/>
  <c r="Q167" i="40" s="1"/>
  <c r="G166" i="40"/>
  <c r="H166" i="40" s="1"/>
  <c r="I166" i="40" s="1"/>
  <c r="J166" i="40" s="1"/>
  <c r="K166" i="40" s="1"/>
  <c r="L166" i="40" s="1"/>
  <c r="M166" i="40" s="1"/>
  <c r="N166" i="40" s="1"/>
  <c r="O166" i="40" s="1"/>
  <c r="P166" i="40" s="1"/>
  <c r="Q166" i="40" s="1"/>
  <c r="G165" i="40"/>
  <c r="H165" i="40" s="1"/>
  <c r="I165" i="40" s="1"/>
  <c r="J165" i="40" s="1"/>
  <c r="K165" i="40" s="1"/>
  <c r="L165" i="40" s="1"/>
  <c r="M165" i="40" s="1"/>
  <c r="N165" i="40" s="1"/>
  <c r="O165" i="40" s="1"/>
  <c r="P165" i="40" s="1"/>
  <c r="Q165" i="40" s="1"/>
  <c r="G164" i="40"/>
  <c r="H164" i="40" s="1"/>
  <c r="I164" i="40" s="1"/>
  <c r="J164" i="40" s="1"/>
  <c r="K164" i="40" s="1"/>
  <c r="L164" i="40" s="1"/>
  <c r="M164" i="40" s="1"/>
  <c r="N164" i="40" s="1"/>
  <c r="O164" i="40" s="1"/>
  <c r="P164" i="40" s="1"/>
  <c r="Q164" i="40" s="1"/>
  <c r="G163" i="40"/>
  <c r="H163" i="40" s="1"/>
  <c r="I163" i="40" s="1"/>
  <c r="J163" i="40" s="1"/>
  <c r="K163" i="40" s="1"/>
  <c r="L163" i="40" s="1"/>
  <c r="M163" i="40" s="1"/>
  <c r="N163" i="40" s="1"/>
  <c r="O163" i="40" s="1"/>
  <c r="P163" i="40" s="1"/>
  <c r="Q163" i="40" s="1"/>
  <c r="G162" i="40"/>
  <c r="H162" i="40" s="1"/>
  <c r="I162" i="40" s="1"/>
  <c r="J162" i="40" s="1"/>
  <c r="K162" i="40" s="1"/>
  <c r="L162" i="40" s="1"/>
  <c r="M162" i="40" s="1"/>
  <c r="N162" i="40" s="1"/>
  <c r="O162" i="40" s="1"/>
  <c r="P162" i="40" s="1"/>
  <c r="Q162" i="40" s="1"/>
  <c r="G161" i="40"/>
  <c r="H161" i="40" s="1"/>
  <c r="I161" i="40" s="1"/>
  <c r="J161" i="40" s="1"/>
  <c r="K161" i="40" s="1"/>
  <c r="L161" i="40" s="1"/>
  <c r="M161" i="40" s="1"/>
  <c r="N161" i="40" s="1"/>
  <c r="O161" i="40" s="1"/>
  <c r="P161" i="40" s="1"/>
  <c r="Q161" i="40" s="1"/>
  <c r="G160" i="40"/>
  <c r="H160" i="40" s="1"/>
  <c r="I160" i="40" s="1"/>
  <c r="J160" i="40" s="1"/>
  <c r="K160" i="40" s="1"/>
  <c r="L160" i="40" s="1"/>
  <c r="M160" i="40" s="1"/>
  <c r="N160" i="40" s="1"/>
  <c r="O160" i="40" s="1"/>
  <c r="P160" i="40" s="1"/>
  <c r="Q160" i="40" s="1"/>
  <c r="G159" i="40"/>
  <c r="H159" i="40" s="1"/>
  <c r="I159" i="40" s="1"/>
  <c r="J159" i="40" s="1"/>
  <c r="K159" i="40" s="1"/>
  <c r="L159" i="40" s="1"/>
  <c r="M159" i="40" s="1"/>
  <c r="N159" i="40" s="1"/>
  <c r="O159" i="40" s="1"/>
  <c r="P159" i="40" s="1"/>
  <c r="Q159" i="40" s="1"/>
  <c r="G158" i="40"/>
  <c r="H158" i="40" s="1"/>
  <c r="I158" i="40" s="1"/>
  <c r="J158" i="40" s="1"/>
  <c r="K158" i="40" s="1"/>
  <c r="L158" i="40" s="1"/>
  <c r="M158" i="40" s="1"/>
  <c r="N158" i="40" s="1"/>
  <c r="O158" i="40" s="1"/>
  <c r="P158" i="40" s="1"/>
  <c r="Q158" i="40" s="1"/>
  <c r="G157" i="40"/>
  <c r="H157" i="40" s="1"/>
  <c r="I157" i="40" s="1"/>
  <c r="J157" i="40" s="1"/>
  <c r="K157" i="40" s="1"/>
  <c r="L157" i="40" s="1"/>
  <c r="M157" i="40" s="1"/>
  <c r="N157" i="40" s="1"/>
  <c r="O157" i="40" s="1"/>
  <c r="P157" i="40" s="1"/>
  <c r="Q157" i="40" s="1"/>
  <c r="G156" i="40"/>
  <c r="H156" i="40" s="1"/>
  <c r="I156" i="40" s="1"/>
  <c r="J156" i="40" s="1"/>
  <c r="K156" i="40" s="1"/>
  <c r="L156" i="40" s="1"/>
  <c r="M156" i="40" s="1"/>
  <c r="N156" i="40" s="1"/>
  <c r="O156" i="40" s="1"/>
  <c r="P156" i="40" s="1"/>
  <c r="Q156" i="40" s="1"/>
  <c r="G155" i="40"/>
  <c r="H155" i="40" s="1"/>
  <c r="I155" i="40" s="1"/>
  <c r="J155" i="40" s="1"/>
  <c r="K155" i="40" s="1"/>
  <c r="L155" i="40" s="1"/>
  <c r="M155" i="40" s="1"/>
  <c r="N155" i="40" s="1"/>
  <c r="O155" i="40" s="1"/>
  <c r="P155" i="40" s="1"/>
  <c r="Q155" i="40" s="1"/>
  <c r="G154" i="40"/>
  <c r="H154" i="40" s="1"/>
  <c r="I154" i="40" s="1"/>
  <c r="J154" i="40" s="1"/>
  <c r="K154" i="40" s="1"/>
  <c r="L154" i="40" s="1"/>
  <c r="M154" i="40" s="1"/>
  <c r="N154" i="40" s="1"/>
  <c r="O154" i="40" s="1"/>
  <c r="P154" i="40" s="1"/>
  <c r="Q154" i="40" s="1"/>
  <c r="G153" i="40"/>
  <c r="H153" i="40" s="1"/>
  <c r="I153" i="40" s="1"/>
  <c r="J153" i="40" s="1"/>
  <c r="K153" i="40" s="1"/>
  <c r="L153" i="40" s="1"/>
  <c r="M153" i="40" s="1"/>
  <c r="N153" i="40" s="1"/>
  <c r="O153" i="40" s="1"/>
  <c r="P153" i="40" s="1"/>
  <c r="Q153" i="40" s="1"/>
  <c r="G152" i="40"/>
  <c r="H152" i="40" s="1"/>
  <c r="I152" i="40" s="1"/>
  <c r="J152" i="40" s="1"/>
  <c r="K152" i="40" s="1"/>
  <c r="L152" i="40" s="1"/>
  <c r="M152" i="40" s="1"/>
  <c r="N152" i="40" s="1"/>
  <c r="O152" i="40" s="1"/>
  <c r="P152" i="40" s="1"/>
  <c r="Q152" i="40" s="1"/>
  <c r="G151" i="40"/>
  <c r="H151" i="40" s="1"/>
  <c r="I151" i="40" s="1"/>
  <c r="J151" i="40" s="1"/>
  <c r="K151" i="40" s="1"/>
  <c r="L151" i="40" s="1"/>
  <c r="M151" i="40" s="1"/>
  <c r="N151" i="40" s="1"/>
  <c r="O151" i="40" s="1"/>
  <c r="P151" i="40" s="1"/>
  <c r="Q151" i="40" s="1"/>
  <c r="G150" i="40"/>
  <c r="H150" i="40" s="1"/>
  <c r="I150" i="40" s="1"/>
  <c r="J150" i="40" s="1"/>
  <c r="K150" i="40" s="1"/>
  <c r="L150" i="40" s="1"/>
  <c r="M150" i="40" s="1"/>
  <c r="N150" i="40" s="1"/>
  <c r="O150" i="40" s="1"/>
  <c r="P150" i="40" s="1"/>
  <c r="Q150" i="40" s="1"/>
  <c r="G149" i="40"/>
  <c r="H149" i="40" s="1"/>
  <c r="I149" i="40" s="1"/>
  <c r="J149" i="40" s="1"/>
  <c r="K149" i="40" s="1"/>
  <c r="L149" i="40" s="1"/>
  <c r="M149" i="40" s="1"/>
  <c r="N149" i="40" s="1"/>
  <c r="O149" i="40" s="1"/>
  <c r="P149" i="40" s="1"/>
  <c r="Q149" i="40" s="1"/>
  <c r="G148" i="40"/>
  <c r="H148" i="40" s="1"/>
  <c r="I148" i="40" s="1"/>
  <c r="J148" i="40" s="1"/>
  <c r="K148" i="40" s="1"/>
  <c r="L148" i="40" s="1"/>
  <c r="M148" i="40" s="1"/>
  <c r="N148" i="40" s="1"/>
  <c r="O148" i="40" s="1"/>
  <c r="P148" i="40" s="1"/>
  <c r="Q148" i="40" s="1"/>
  <c r="G147" i="40"/>
  <c r="H147" i="40" s="1"/>
  <c r="I147" i="40" s="1"/>
  <c r="J147" i="40" s="1"/>
  <c r="K147" i="40" s="1"/>
  <c r="L147" i="40" s="1"/>
  <c r="M147" i="40" s="1"/>
  <c r="N147" i="40" s="1"/>
  <c r="O147" i="40" s="1"/>
  <c r="P147" i="40" s="1"/>
  <c r="Q147" i="40" s="1"/>
  <c r="G146" i="40"/>
  <c r="H146" i="40" s="1"/>
  <c r="I146" i="40" s="1"/>
  <c r="J146" i="40" s="1"/>
  <c r="K146" i="40" s="1"/>
  <c r="L146" i="40" s="1"/>
  <c r="M146" i="40" s="1"/>
  <c r="N146" i="40" s="1"/>
  <c r="O146" i="40" s="1"/>
  <c r="P146" i="40" s="1"/>
  <c r="Q146" i="40" s="1"/>
  <c r="G145" i="40"/>
  <c r="H145" i="40" s="1"/>
  <c r="I145" i="40" s="1"/>
  <c r="J145" i="40" s="1"/>
  <c r="K145" i="40" s="1"/>
  <c r="L145" i="40" s="1"/>
  <c r="M145" i="40" s="1"/>
  <c r="N145" i="40" s="1"/>
  <c r="O145" i="40" s="1"/>
  <c r="P145" i="40" s="1"/>
  <c r="Q145" i="40" s="1"/>
  <c r="G144" i="40"/>
  <c r="H144" i="40" s="1"/>
  <c r="I144" i="40" s="1"/>
  <c r="J144" i="40" s="1"/>
  <c r="K144" i="40" s="1"/>
  <c r="L144" i="40" s="1"/>
  <c r="M144" i="40" s="1"/>
  <c r="N144" i="40" s="1"/>
  <c r="O144" i="40" s="1"/>
  <c r="P144" i="40" s="1"/>
  <c r="Q144" i="40" s="1"/>
  <c r="G143" i="40"/>
  <c r="H143" i="40" s="1"/>
  <c r="I143" i="40" s="1"/>
  <c r="J143" i="40" s="1"/>
  <c r="K143" i="40" s="1"/>
  <c r="L143" i="40" s="1"/>
  <c r="M143" i="40" s="1"/>
  <c r="N143" i="40" s="1"/>
  <c r="O143" i="40" s="1"/>
  <c r="P143" i="40" s="1"/>
  <c r="Q143" i="40" s="1"/>
  <c r="G142" i="40"/>
  <c r="H142" i="40" s="1"/>
  <c r="I142" i="40" s="1"/>
  <c r="J142" i="40" s="1"/>
  <c r="K142" i="40" s="1"/>
  <c r="L142" i="40" s="1"/>
  <c r="M142" i="40" s="1"/>
  <c r="N142" i="40" s="1"/>
  <c r="O142" i="40" s="1"/>
  <c r="P142" i="40" s="1"/>
  <c r="Q142" i="40" s="1"/>
  <c r="G141" i="40"/>
  <c r="H141" i="40" s="1"/>
  <c r="I141" i="40" s="1"/>
  <c r="J141" i="40" s="1"/>
  <c r="K141" i="40" s="1"/>
  <c r="L141" i="40" s="1"/>
  <c r="M141" i="40" s="1"/>
  <c r="N141" i="40" s="1"/>
  <c r="O141" i="40" s="1"/>
  <c r="P141" i="40" s="1"/>
  <c r="Q141" i="40" s="1"/>
  <c r="G140" i="40"/>
  <c r="H140" i="40" s="1"/>
  <c r="I140" i="40" s="1"/>
  <c r="J140" i="40" s="1"/>
  <c r="K140" i="40" s="1"/>
  <c r="L140" i="40" s="1"/>
  <c r="M140" i="40" s="1"/>
  <c r="N140" i="40" s="1"/>
  <c r="O140" i="40" s="1"/>
  <c r="P140" i="40" s="1"/>
  <c r="Q140" i="40" s="1"/>
  <c r="G139" i="40"/>
  <c r="H139" i="40" s="1"/>
  <c r="I139" i="40" s="1"/>
  <c r="J139" i="40" s="1"/>
  <c r="K139" i="40" s="1"/>
  <c r="L139" i="40" s="1"/>
  <c r="M139" i="40" s="1"/>
  <c r="N139" i="40" s="1"/>
  <c r="O139" i="40" s="1"/>
  <c r="P139" i="40" s="1"/>
  <c r="Q139" i="40" s="1"/>
  <c r="G138" i="40"/>
  <c r="H138" i="40" s="1"/>
  <c r="I138" i="40" s="1"/>
  <c r="J138" i="40" s="1"/>
  <c r="K138" i="40" s="1"/>
  <c r="L138" i="40" s="1"/>
  <c r="M138" i="40" s="1"/>
  <c r="N138" i="40" s="1"/>
  <c r="O138" i="40" s="1"/>
  <c r="P138" i="40" s="1"/>
  <c r="Q138" i="40" s="1"/>
  <c r="G137" i="40"/>
  <c r="H137" i="40" s="1"/>
  <c r="I137" i="40" s="1"/>
  <c r="J137" i="40" s="1"/>
  <c r="K137" i="40" s="1"/>
  <c r="L137" i="40" s="1"/>
  <c r="M137" i="40" s="1"/>
  <c r="N137" i="40" s="1"/>
  <c r="O137" i="40" s="1"/>
  <c r="P137" i="40" s="1"/>
  <c r="Q137" i="40" s="1"/>
  <c r="G136" i="40"/>
  <c r="H136" i="40" s="1"/>
  <c r="I136" i="40" s="1"/>
  <c r="J136" i="40" s="1"/>
  <c r="K136" i="40" s="1"/>
  <c r="L136" i="40" s="1"/>
  <c r="M136" i="40" s="1"/>
  <c r="N136" i="40" s="1"/>
  <c r="O136" i="40" s="1"/>
  <c r="P136" i="40" s="1"/>
  <c r="Q136" i="40" s="1"/>
  <c r="G135" i="40"/>
  <c r="H135" i="40" s="1"/>
  <c r="I135" i="40" s="1"/>
  <c r="J135" i="40" s="1"/>
  <c r="K135" i="40" s="1"/>
  <c r="L135" i="40" s="1"/>
  <c r="M135" i="40" s="1"/>
  <c r="N135" i="40" s="1"/>
  <c r="O135" i="40" s="1"/>
  <c r="P135" i="40" s="1"/>
  <c r="Q135" i="40" s="1"/>
  <c r="G134" i="40"/>
  <c r="H134" i="40" s="1"/>
  <c r="I134" i="40" s="1"/>
  <c r="J134" i="40" s="1"/>
  <c r="K134" i="40" s="1"/>
  <c r="L134" i="40" s="1"/>
  <c r="M134" i="40" s="1"/>
  <c r="N134" i="40" s="1"/>
  <c r="O134" i="40" s="1"/>
  <c r="P134" i="40" s="1"/>
  <c r="Q134" i="40" s="1"/>
  <c r="G133" i="40"/>
  <c r="H133" i="40" s="1"/>
  <c r="I133" i="40" s="1"/>
  <c r="J133" i="40" s="1"/>
  <c r="K133" i="40" s="1"/>
  <c r="L133" i="40" s="1"/>
  <c r="M133" i="40" s="1"/>
  <c r="N133" i="40" s="1"/>
  <c r="O133" i="40" s="1"/>
  <c r="P133" i="40" s="1"/>
  <c r="Q133" i="40" s="1"/>
  <c r="G132" i="40"/>
  <c r="H132" i="40" s="1"/>
  <c r="I132" i="40" s="1"/>
  <c r="J132" i="40" s="1"/>
  <c r="K132" i="40" s="1"/>
  <c r="L132" i="40" s="1"/>
  <c r="M132" i="40" s="1"/>
  <c r="N132" i="40" s="1"/>
  <c r="O132" i="40" s="1"/>
  <c r="P132" i="40" s="1"/>
  <c r="Q132" i="40" s="1"/>
  <c r="G131" i="40"/>
  <c r="H131" i="40" s="1"/>
  <c r="I131" i="40" s="1"/>
  <c r="J131" i="40" s="1"/>
  <c r="K131" i="40" s="1"/>
  <c r="L131" i="40" s="1"/>
  <c r="M131" i="40" s="1"/>
  <c r="N131" i="40" s="1"/>
  <c r="O131" i="40" s="1"/>
  <c r="P131" i="40" s="1"/>
  <c r="Q131" i="40" s="1"/>
  <c r="G130" i="40"/>
  <c r="H130" i="40" s="1"/>
  <c r="I130" i="40" s="1"/>
  <c r="J130" i="40" s="1"/>
  <c r="K130" i="40" s="1"/>
  <c r="L130" i="40" s="1"/>
  <c r="M130" i="40" s="1"/>
  <c r="N130" i="40" s="1"/>
  <c r="O130" i="40" s="1"/>
  <c r="P130" i="40" s="1"/>
  <c r="Q130" i="40" s="1"/>
  <c r="G129" i="40"/>
  <c r="H129" i="40" s="1"/>
  <c r="I129" i="40" s="1"/>
  <c r="J129" i="40" s="1"/>
  <c r="K129" i="40" s="1"/>
  <c r="L129" i="40" s="1"/>
  <c r="M129" i="40" s="1"/>
  <c r="N129" i="40" s="1"/>
  <c r="O129" i="40" s="1"/>
  <c r="P129" i="40" s="1"/>
  <c r="Q129" i="40" s="1"/>
  <c r="G128" i="40"/>
  <c r="H128" i="40" s="1"/>
  <c r="I128" i="40" s="1"/>
  <c r="J128" i="40" s="1"/>
  <c r="K128" i="40" s="1"/>
  <c r="L128" i="40" s="1"/>
  <c r="M128" i="40" s="1"/>
  <c r="N128" i="40" s="1"/>
  <c r="O128" i="40" s="1"/>
  <c r="P128" i="40" s="1"/>
  <c r="Q128" i="40" s="1"/>
  <c r="G127" i="40"/>
  <c r="H127" i="40" s="1"/>
  <c r="I127" i="40" s="1"/>
  <c r="J127" i="40" s="1"/>
  <c r="K127" i="40" s="1"/>
  <c r="L127" i="40" s="1"/>
  <c r="M127" i="40" s="1"/>
  <c r="N127" i="40" s="1"/>
  <c r="O127" i="40" s="1"/>
  <c r="P127" i="40" s="1"/>
  <c r="Q127" i="40" s="1"/>
  <c r="G126" i="40"/>
  <c r="H126" i="40" s="1"/>
  <c r="I126" i="40" s="1"/>
  <c r="J126" i="40" s="1"/>
  <c r="K126" i="40" s="1"/>
  <c r="L126" i="40" s="1"/>
  <c r="M126" i="40" s="1"/>
  <c r="N126" i="40" s="1"/>
  <c r="O126" i="40" s="1"/>
  <c r="P126" i="40" s="1"/>
  <c r="Q126" i="40" s="1"/>
  <c r="G125" i="40"/>
  <c r="H125" i="40" s="1"/>
  <c r="I125" i="40" s="1"/>
  <c r="J125" i="40" s="1"/>
  <c r="K125" i="40" s="1"/>
  <c r="L125" i="40" s="1"/>
  <c r="M125" i="40" s="1"/>
  <c r="N125" i="40" s="1"/>
  <c r="O125" i="40" s="1"/>
  <c r="P125" i="40" s="1"/>
  <c r="Q125" i="40" s="1"/>
  <c r="G124" i="40"/>
  <c r="H124" i="40" s="1"/>
  <c r="I124" i="40" s="1"/>
  <c r="J124" i="40" s="1"/>
  <c r="K124" i="40" s="1"/>
  <c r="L124" i="40" s="1"/>
  <c r="M124" i="40" s="1"/>
  <c r="N124" i="40" s="1"/>
  <c r="O124" i="40" s="1"/>
  <c r="P124" i="40" s="1"/>
  <c r="Q124" i="40" s="1"/>
  <c r="G123" i="40"/>
  <c r="H123" i="40" s="1"/>
  <c r="I123" i="40" s="1"/>
  <c r="J123" i="40" s="1"/>
  <c r="K123" i="40" s="1"/>
  <c r="L123" i="40" s="1"/>
  <c r="M123" i="40" s="1"/>
  <c r="N123" i="40" s="1"/>
  <c r="O123" i="40" s="1"/>
  <c r="P123" i="40" s="1"/>
  <c r="Q123" i="40" s="1"/>
  <c r="G122" i="40"/>
  <c r="H122" i="40" s="1"/>
  <c r="I122" i="40" s="1"/>
  <c r="J122" i="40" s="1"/>
  <c r="K122" i="40" s="1"/>
  <c r="L122" i="40" s="1"/>
  <c r="M122" i="40" s="1"/>
  <c r="N122" i="40" s="1"/>
  <c r="O122" i="40" s="1"/>
  <c r="P122" i="40" s="1"/>
  <c r="Q122" i="40" s="1"/>
  <c r="G121" i="40"/>
  <c r="H121" i="40" s="1"/>
  <c r="I121" i="40" s="1"/>
  <c r="J121" i="40" s="1"/>
  <c r="K121" i="40" s="1"/>
  <c r="L121" i="40" s="1"/>
  <c r="M121" i="40" s="1"/>
  <c r="N121" i="40" s="1"/>
  <c r="O121" i="40" s="1"/>
  <c r="P121" i="40" s="1"/>
  <c r="Q121" i="40" s="1"/>
  <c r="G120" i="40"/>
  <c r="H120" i="40" s="1"/>
  <c r="I120" i="40" s="1"/>
  <c r="J120" i="40" s="1"/>
  <c r="K120" i="40" s="1"/>
  <c r="L120" i="40" s="1"/>
  <c r="M120" i="40" s="1"/>
  <c r="N120" i="40" s="1"/>
  <c r="O120" i="40" s="1"/>
  <c r="P120" i="40" s="1"/>
  <c r="Q120" i="40" s="1"/>
  <c r="G119" i="40"/>
  <c r="H119" i="40" s="1"/>
  <c r="I119" i="40" s="1"/>
  <c r="J119" i="40" s="1"/>
  <c r="K119" i="40" s="1"/>
  <c r="L119" i="40" s="1"/>
  <c r="M119" i="40" s="1"/>
  <c r="N119" i="40" s="1"/>
  <c r="O119" i="40" s="1"/>
  <c r="P119" i="40" s="1"/>
  <c r="Q119" i="40" s="1"/>
  <c r="G118" i="40"/>
  <c r="H118" i="40" s="1"/>
  <c r="I118" i="40" s="1"/>
  <c r="J118" i="40" s="1"/>
  <c r="K118" i="40" s="1"/>
  <c r="L118" i="40" s="1"/>
  <c r="M118" i="40" s="1"/>
  <c r="N118" i="40" s="1"/>
  <c r="O118" i="40" s="1"/>
  <c r="P118" i="40" s="1"/>
  <c r="Q118" i="40" s="1"/>
  <c r="G117" i="40"/>
  <c r="H117" i="40" s="1"/>
  <c r="I117" i="40" s="1"/>
  <c r="J117" i="40" s="1"/>
  <c r="K117" i="40" s="1"/>
  <c r="L117" i="40" s="1"/>
  <c r="M117" i="40" s="1"/>
  <c r="N117" i="40" s="1"/>
  <c r="O117" i="40" s="1"/>
  <c r="P117" i="40" s="1"/>
  <c r="Q117" i="40" s="1"/>
  <c r="G116" i="40"/>
  <c r="H116" i="40" s="1"/>
  <c r="I116" i="40" s="1"/>
  <c r="J116" i="40" s="1"/>
  <c r="K116" i="40" s="1"/>
  <c r="L116" i="40" s="1"/>
  <c r="M116" i="40" s="1"/>
  <c r="N116" i="40" s="1"/>
  <c r="O116" i="40" s="1"/>
  <c r="P116" i="40" s="1"/>
  <c r="Q116" i="40" s="1"/>
  <c r="G115" i="40"/>
  <c r="H115" i="40" s="1"/>
  <c r="I115" i="40" s="1"/>
  <c r="J115" i="40" s="1"/>
  <c r="K115" i="40" s="1"/>
  <c r="L115" i="40" s="1"/>
  <c r="M115" i="40" s="1"/>
  <c r="N115" i="40" s="1"/>
  <c r="O115" i="40" s="1"/>
  <c r="P115" i="40" s="1"/>
  <c r="Q115" i="40" s="1"/>
  <c r="G114" i="40"/>
  <c r="H114" i="40" s="1"/>
  <c r="I114" i="40" s="1"/>
  <c r="J114" i="40" s="1"/>
  <c r="K114" i="40" s="1"/>
  <c r="L114" i="40" s="1"/>
  <c r="M114" i="40" s="1"/>
  <c r="N114" i="40" s="1"/>
  <c r="O114" i="40" s="1"/>
  <c r="P114" i="40" s="1"/>
  <c r="Q114" i="40" s="1"/>
  <c r="G113" i="40"/>
  <c r="H113" i="40" s="1"/>
  <c r="I113" i="40" s="1"/>
  <c r="J113" i="40" s="1"/>
  <c r="K113" i="40" s="1"/>
  <c r="L113" i="40" s="1"/>
  <c r="M113" i="40" s="1"/>
  <c r="N113" i="40" s="1"/>
  <c r="O113" i="40" s="1"/>
  <c r="P113" i="40" s="1"/>
  <c r="Q113" i="40" s="1"/>
  <c r="G112" i="40"/>
  <c r="H112" i="40" s="1"/>
  <c r="I112" i="40" s="1"/>
  <c r="J112" i="40" s="1"/>
  <c r="K112" i="40" s="1"/>
  <c r="L112" i="40" s="1"/>
  <c r="M112" i="40" s="1"/>
  <c r="N112" i="40" s="1"/>
  <c r="O112" i="40" s="1"/>
  <c r="P112" i="40" s="1"/>
  <c r="Q112" i="40" s="1"/>
  <c r="G111" i="40"/>
  <c r="H111" i="40" s="1"/>
  <c r="I111" i="40" s="1"/>
  <c r="J111" i="40" s="1"/>
  <c r="K111" i="40" s="1"/>
  <c r="L111" i="40" s="1"/>
  <c r="M111" i="40" s="1"/>
  <c r="N111" i="40" s="1"/>
  <c r="O111" i="40" s="1"/>
  <c r="P111" i="40" s="1"/>
  <c r="Q111" i="40" s="1"/>
  <c r="G110" i="40"/>
  <c r="H110" i="40" s="1"/>
  <c r="I110" i="40" s="1"/>
  <c r="J110" i="40" s="1"/>
  <c r="K110" i="40" s="1"/>
  <c r="L110" i="40" s="1"/>
  <c r="M110" i="40" s="1"/>
  <c r="N110" i="40" s="1"/>
  <c r="O110" i="40" s="1"/>
  <c r="P110" i="40" s="1"/>
  <c r="Q110" i="40" s="1"/>
  <c r="G109" i="40"/>
  <c r="H109" i="40" s="1"/>
  <c r="I109" i="40" s="1"/>
  <c r="J109" i="40" s="1"/>
  <c r="K109" i="40" s="1"/>
  <c r="L109" i="40" s="1"/>
  <c r="M109" i="40" s="1"/>
  <c r="N109" i="40" s="1"/>
  <c r="O109" i="40" s="1"/>
  <c r="P109" i="40" s="1"/>
  <c r="Q109" i="40" s="1"/>
  <c r="G108" i="40"/>
  <c r="H108" i="40" s="1"/>
  <c r="I108" i="40" s="1"/>
  <c r="J108" i="40" s="1"/>
  <c r="K108" i="40" s="1"/>
  <c r="L108" i="40" s="1"/>
  <c r="M108" i="40" s="1"/>
  <c r="N108" i="40" s="1"/>
  <c r="O108" i="40" s="1"/>
  <c r="P108" i="40" s="1"/>
  <c r="Q108" i="40" s="1"/>
  <c r="G107" i="40"/>
  <c r="H107" i="40" s="1"/>
  <c r="I107" i="40" s="1"/>
  <c r="J107" i="40" s="1"/>
  <c r="K107" i="40" s="1"/>
  <c r="L107" i="40" s="1"/>
  <c r="M107" i="40" s="1"/>
  <c r="N107" i="40" s="1"/>
  <c r="O107" i="40" s="1"/>
  <c r="P107" i="40" s="1"/>
  <c r="Q107" i="40" s="1"/>
  <c r="G106" i="40"/>
  <c r="H106" i="40" s="1"/>
  <c r="I106" i="40" s="1"/>
  <c r="J106" i="40" s="1"/>
  <c r="K106" i="40" s="1"/>
  <c r="L106" i="40" s="1"/>
  <c r="M106" i="40" s="1"/>
  <c r="N106" i="40" s="1"/>
  <c r="O106" i="40" s="1"/>
  <c r="P106" i="40" s="1"/>
  <c r="Q106" i="40" s="1"/>
  <c r="G105" i="40"/>
  <c r="H105" i="40" s="1"/>
  <c r="I105" i="40" s="1"/>
  <c r="J105" i="40" s="1"/>
  <c r="K105" i="40" s="1"/>
  <c r="L105" i="40" s="1"/>
  <c r="M105" i="40" s="1"/>
  <c r="N105" i="40" s="1"/>
  <c r="O105" i="40" s="1"/>
  <c r="P105" i="40" s="1"/>
  <c r="Q105" i="40" s="1"/>
  <c r="G104" i="40"/>
  <c r="H104" i="40" s="1"/>
  <c r="I104" i="40" s="1"/>
  <c r="J104" i="40" s="1"/>
  <c r="K104" i="40" s="1"/>
  <c r="L104" i="40" s="1"/>
  <c r="M104" i="40" s="1"/>
  <c r="N104" i="40" s="1"/>
  <c r="O104" i="40" s="1"/>
  <c r="P104" i="40" s="1"/>
  <c r="Q104" i="40" s="1"/>
  <c r="G103" i="40"/>
  <c r="H103" i="40" s="1"/>
  <c r="I103" i="40" s="1"/>
  <c r="J103" i="40" s="1"/>
  <c r="K103" i="40" s="1"/>
  <c r="L103" i="40" s="1"/>
  <c r="M103" i="40" s="1"/>
  <c r="N103" i="40" s="1"/>
  <c r="O103" i="40" s="1"/>
  <c r="P103" i="40" s="1"/>
  <c r="Q103" i="40" s="1"/>
  <c r="G102" i="40"/>
  <c r="H102" i="40" s="1"/>
  <c r="I102" i="40" s="1"/>
  <c r="J102" i="40" s="1"/>
  <c r="K102" i="40" s="1"/>
  <c r="L102" i="40" s="1"/>
  <c r="M102" i="40" s="1"/>
  <c r="N102" i="40" s="1"/>
  <c r="O102" i="40" s="1"/>
  <c r="P102" i="40" s="1"/>
  <c r="Q102" i="40" s="1"/>
  <c r="G101" i="40"/>
  <c r="H101" i="40" s="1"/>
  <c r="I101" i="40" s="1"/>
  <c r="J101" i="40" s="1"/>
  <c r="K101" i="40" s="1"/>
  <c r="L101" i="40" s="1"/>
  <c r="M101" i="40" s="1"/>
  <c r="N101" i="40" s="1"/>
  <c r="O101" i="40" s="1"/>
  <c r="P101" i="40" s="1"/>
  <c r="Q101" i="40" s="1"/>
  <c r="G100" i="40"/>
  <c r="H100" i="40" s="1"/>
  <c r="I100" i="40" s="1"/>
  <c r="J100" i="40" s="1"/>
  <c r="K100" i="40" s="1"/>
  <c r="L100" i="40" s="1"/>
  <c r="M100" i="40" s="1"/>
  <c r="N100" i="40" s="1"/>
  <c r="O100" i="40" s="1"/>
  <c r="P100" i="40" s="1"/>
  <c r="Q100" i="40" s="1"/>
  <c r="G99" i="40"/>
  <c r="H99" i="40" s="1"/>
  <c r="I99" i="40" s="1"/>
  <c r="J99" i="40" s="1"/>
  <c r="K99" i="40" s="1"/>
  <c r="L99" i="40" s="1"/>
  <c r="M99" i="40" s="1"/>
  <c r="N99" i="40" s="1"/>
  <c r="O99" i="40" s="1"/>
  <c r="P99" i="40" s="1"/>
  <c r="Q99" i="40" s="1"/>
  <c r="G98" i="40"/>
  <c r="H98" i="40" s="1"/>
  <c r="I98" i="40" s="1"/>
  <c r="J98" i="40" s="1"/>
  <c r="K98" i="40" s="1"/>
  <c r="L98" i="40" s="1"/>
  <c r="M98" i="40" s="1"/>
  <c r="N98" i="40" s="1"/>
  <c r="O98" i="40" s="1"/>
  <c r="P98" i="40" s="1"/>
  <c r="Q98" i="40" s="1"/>
  <c r="G97" i="40"/>
  <c r="H97" i="40" s="1"/>
  <c r="I97" i="40" s="1"/>
  <c r="J97" i="40" s="1"/>
  <c r="K97" i="40" s="1"/>
  <c r="L97" i="40" s="1"/>
  <c r="M97" i="40" s="1"/>
  <c r="N97" i="40" s="1"/>
  <c r="O97" i="40" s="1"/>
  <c r="P97" i="40" s="1"/>
  <c r="Q97" i="40" s="1"/>
  <c r="G96" i="40"/>
  <c r="H96" i="40" s="1"/>
  <c r="I96" i="40" s="1"/>
  <c r="J96" i="40" s="1"/>
  <c r="K96" i="40" s="1"/>
  <c r="L96" i="40" s="1"/>
  <c r="M96" i="40" s="1"/>
  <c r="N96" i="40" s="1"/>
  <c r="O96" i="40" s="1"/>
  <c r="P96" i="40" s="1"/>
  <c r="Q96" i="40" s="1"/>
  <c r="G95" i="40"/>
  <c r="H95" i="40" s="1"/>
  <c r="I95" i="40" s="1"/>
  <c r="J95" i="40" s="1"/>
  <c r="K95" i="40" s="1"/>
  <c r="L95" i="40" s="1"/>
  <c r="M95" i="40" s="1"/>
  <c r="N95" i="40" s="1"/>
  <c r="O95" i="40" s="1"/>
  <c r="P95" i="40" s="1"/>
  <c r="Q95" i="40" s="1"/>
  <c r="G94" i="40"/>
  <c r="H94" i="40" s="1"/>
  <c r="I94" i="40" s="1"/>
  <c r="J94" i="40" s="1"/>
  <c r="K94" i="40" s="1"/>
  <c r="L94" i="40" s="1"/>
  <c r="M94" i="40" s="1"/>
  <c r="N94" i="40" s="1"/>
  <c r="O94" i="40" s="1"/>
  <c r="P94" i="40" s="1"/>
  <c r="Q94" i="40" s="1"/>
  <c r="G93" i="40"/>
  <c r="H93" i="40" s="1"/>
  <c r="I93" i="40" s="1"/>
  <c r="J93" i="40" s="1"/>
  <c r="K93" i="40" s="1"/>
  <c r="L93" i="40" s="1"/>
  <c r="M93" i="40" s="1"/>
  <c r="N93" i="40" s="1"/>
  <c r="O93" i="40" s="1"/>
  <c r="P93" i="40" s="1"/>
  <c r="Q93" i="40" s="1"/>
  <c r="G92" i="40"/>
  <c r="H92" i="40" s="1"/>
  <c r="I92" i="40" s="1"/>
  <c r="J92" i="40" s="1"/>
  <c r="K92" i="40" s="1"/>
  <c r="L92" i="40" s="1"/>
  <c r="M92" i="40" s="1"/>
  <c r="N92" i="40" s="1"/>
  <c r="O92" i="40" s="1"/>
  <c r="P92" i="40" s="1"/>
  <c r="Q92" i="40" s="1"/>
  <c r="G91" i="40"/>
  <c r="H91" i="40" s="1"/>
  <c r="I91" i="40" s="1"/>
  <c r="J91" i="40" s="1"/>
  <c r="K91" i="40" s="1"/>
  <c r="L91" i="40" s="1"/>
  <c r="M91" i="40" s="1"/>
  <c r="N91" i="40" s="1"/>
  <c r="O91" i="40" s="1"/>
  <c r="P91" i="40" s="1"/>
  <c r="Q91" i="40" s="1"/>
  <c r="G90" i="40"/>
  <c r="H90" i="40" s="1"/>
  <c r="I90" i="40" s="1"/>
  <c r="J90" i="40" s="1"/>
  <c r="K90" i="40" s="1"/>
  <c r="L90" i="40" s="1"/>
  <c r="M90" i="40" s="1"/>
  <c r="N90" i="40" s="1"/>
  <c r="O90" i="40" s="1"/>
  <c r="P90" i="40" s="1"/>
  <c r="Q90" i="40" s="1"/>
  <c r="G89" i="40"/>
  <c r="H89" i="40" s="1"/>
  <c r="I89" i="40" s="1"/>
  <c r="J89" i="40" s="1"/>
  <c r="K89" i="40" s="1"/>
  <c r="L89" i="40" s="1"/>
  <c r="M89" i="40" s="1"/>
  <c r="N89" i="40" s="1"/>
  <c r="O89" i="40" s="1"/>
  <c r="P89" i="40" s="1"/>
  <c r="Q89" i="40" s="1"/>
  <c r="G88" i="40"/>
  <c r="H88" i="40" s="1"/>
  <c r="I88" i="40" s="1"/>
  <c r="J88" i="40" s="1"/>
  <c r="K88" i="40" s="1"/>
  <c r="L88" i="40" s="1"/>
  <c r="M88" i="40" s="1"/>
  <c r="N88" i="40" s="1"/>
  <c r="O88" i="40" s="1"/>
  <c r="P88" i="40" s="1"/>
  <c r="Q88" i="40" s="1"/>
  <c r="G87" i="40"/>
  <c r="H87" i="40" s="1"/>
  <c r="I87" i="40" s="1"/>
  <c r="J87" i="40" s="1"/>
  <c r="K87" i="40" s="1"/>
  <c r="L87" i="40" s="1"/>
  <c r="M87" i="40" s="1"/>
  <c r="N87" i="40" s="1"/>
  <c r="O87" i="40" s="1"/>
  <c r="P87" i="40" s="1"/>
  <c r="Q87" i="40" s="1"/>
  <c r="G86" i="40"/>
  <c r="H86" i="40" s="1"/>
  <c r="I86" i="40" s="1"/>
  <c r="J86" i="40" s="1"/>
  <c r="K86" i="40" s="1"/>
  <c r="L86" i="40" s="1"/>
  <c r="M86" i="40" s="1"/>
  <c r="N86" i="40" s="1"/>
  <c r="O86" i="40" s="1"/>
  <c r="P86" i="40" s="1"/>
  <c r="Q86" i="40" s="1"/>
  <c r="G85" i="40"/>
  <c r="H85" i="40" s="1"/>
  <c r="I85" i="40" s="1"/>
  <c r="J85" i="40" s="1"/>
  <c r="K85" i="40" s="1"/>
  <c r="L85" i="40" s="1"/>
  <c r="M85" i="40" s="1"/>
  <c r="N85" i="40" s="1"/>
  <c r="O85" i="40" s="1"/>
  <c r="P85" i="40" s="1"/>
  <c r="Q85" i="40" s="1"/>
  <c r="G84" i="40"/>
  <c r="H84" i="40" s="1"/>
  <c r="I84" i="40" s="1"/>
  <c r="J84" i="40" s="1"/>
  <c r="K84" i="40" s="1"/>
  <c r="L84" i="40" s="1"/>
  <c r="M84" i="40" s="1"/>
  <c r="N84" i="40" s="1"/>
  <c r="O84" i="40" s="1"/>
  <c r="P84" i="40" s="1"/>
  <c r="Q84" i="40" s="1"/>
  <c r="G83" i="40"/>
  <c r="H83" i="40" s="1"/>
  <c r="I83" i="40" s="1"/>
  <c r="J83" i="40" s="1"/>
  <c r="K83" i="40" s="1"/>
  <c r="L83" i="40" s="1"/>
  <c r="M83" i="40" s="1"/>
  <c r="N83" i="40" s="1"/>
  <c r="O83" i="40" s="1"/>
  <c r="P83" i="40" s="1"/>
  <c r="Q83" i="40" s="1"/>
  <c r="G82" i="40"/>
  <c r="H82" i="40" s="1"/>
  <c r="I82" i="40" s="1"/>
  <c r="J82" i="40" s="1"/>
  <c r="K82" i="40" s="1"/>
  <c r="L82" i="40" s="1"/>
  <c r="M82" i="40" s="1"/>
  <c r="N82" i="40" s="1"/>
  <c r="O82" i="40" s="1"/>
  <c r="P82" i="40" s="1"/>
  <c r="Q82" i="40" s="1"/>
  <c r="G81" i="40"/>
  <c r="H81" i="40" s="1"/>
  <c r="I81" i="40" s="1"/>
  <c r="J81" i="40" s="1"/>
  <c r="K81" i="40" s="1"/>
  <c r="L81" i="40" s="1"/>
  <c r="M81" i="40" s="1"/>
  <c r="N81" i="40" s="1"/>
  <c r="O81" i="40" s="1"/>
  <c r="P81" i="40" s="1"/>
  <c r="Q81" i="40" s="1"/>
  <c r="G80" i="40"/>
  <c r="H80" i="40" s="1"/>
  <c r="I80" i="40" s="1"/>
  <c r="J80" i="40" s="1"/>
  <c r="K80" i="40" s="1"/>
  <c r="L80" i="40" s="1"/>
  <c r="M80" i="40" s="1"/>
  <c r="N80" i="40" s="1"/>
  <c r="O80" i="40" s="1"/>
  <c r="P80" i="40" s="1"/>
  <c r="Q80" i="40" s="1"/>
  <c r="G79" i="40"/>
  <c r="H79" i="40" s="1"/>
  <c r="I79" i="40" s="1"/>
  <c r="J79" i="40" s="1"/>
  <c r="K79" i="40" s="1"/>
  <c r="L79" i="40" s="1"/>
  <c r="M79" i="40" s="1"/>
  <c r="N79" i="40" s="1"/>
  <c r="O79" i="40" s="1"/>
  <c r="P79" i="40" s="1"/>
  <c r="Q79" i="40" s="1"/>
  <c r="G78" i="40"/>
  <c r="H78" i="40" s="1"/>
  <c r="I78" i="40" s="1"/>
  <c r="J78" i="40" s="1"/>
  <c r="K78" i="40" s="1"/>
  <c r="L78" i="40" s="1"/>
  <c r="M78" i="40" s="1"/>
  <c r="N78" i="40" s="1"/>
  <c r="O78" i="40" s="1"/>
  <c r="P78" i="40" s="1"/>
  <c r="Q78" i="40" s="1"/>
  <c r="G77" i="40"/>
  <c r="H77" i="40" s="1"/>
  <c r="I77" i="40" s="1"/>
  <c r="J77" i="40" s="1"/>
  <c r="K77" i="40" s="1"/>
  <c r="L77" i="40" s="1"/>
  <c r="M77" i="40" s="1"/>
  <c r="N77" i="40" s="1"/>
  <c r="O77" i="40" s="1"/>
  <c r="P77" i="40" s="1"/>
  <c r="Q77" i="40" s="1"/>
  <c r="G76" i="40"/>
  <c r="H76" i="40" s="1"/>
  <c r="I76" i="40" s="1"/>
  <c r="J76" i="40" s="1"/>
  <c r="K76" i="40" s="1"/>
  <c r="L76" i="40" s="1"/>
  <c r="M76" i="40" s="1"/>
  <c r="N76" i="40" s="1"/>
  <c r="O76" i="40" s="1"/>
  <c r="P76" i="40" s="1"/>
  <c r="Q76" i="40" s="1"/>
  <c r="G75" i="40"/>
  <c r="H75" i="40" s="1"/>
  <c r="I75" i="40" s="1"/>
  <c r="J75" i="40" s="1"/>
  <c r="K75" i="40" s="1"/>
  <c r="L75" i="40" s="1"/>
  <c r="M75" i="40" s="1"/>
  <c r="N75" i="40" s="1"/>
  <c r="O75" i="40" s="1"/>
  <c r="P75" i="40" s="1"/>
  <c r="Q75" i="40" s="1"/>
  <c r="G74" i="40"/>
  <c r="H74" i="40" s="1"/>
  <c r="I74" i="40" s="1"/>
  <c r="J74" i="40" s="1"/>
  <c r="K74" i="40" s="1"/>
  <c r="L74" i="40" s="1"/>
  <c r="M74" i="40" s="1"/>
  <c r="N74" i="40" s="1"/>
  <c r="O74" i="40" s="1"/>
  <c r="P74" i="40" s="1"/>
  <c r="Q74" i="40" s="1"/>
  <c r="G73" i="40"/>
  <c r="H73" i="40" s="1"/>
  <c r="I73" i="40" s="1"/>
  <c r="J73" i="40" s="1"/>
  <c r="K73" i="40" s="1"/>
  <c r="L73" i="40" s="1"/>
  <c r="M73" i="40" s="1"/>
  <c r="N73" i="40" s="1"/>
  <c r="O73" i="40" s="1"/>
  <c r="P73" i="40" s="1"/>
  <c r="Q73" i="40" s="1"/>
  <c r="G72" i="40"/>
  <c r="H72" i="40" s="1"/>
  <c r="I72" i="40" s="1"/>
  <c r="J72" i="40" s="1"/>
  <c r="K72" i="40" s="1"/>
  <c r="L72" i="40" s="1"/>
  <c r="M72" i="40" s="1"/>
  <c r="N72" i="40" s="1"/>
  <c r="O72" i="40" s="1"/>
  <c r="P72" i="40" s="1"/>
  <c r="Q72" i="40" s="1"/>
  <c r="G71" i="40"/>
  <c r="H71" i="40" s="1"/>
  <c r="I71" i="40" s="1"/>
  <c r="J71" i="40" s="1"/>
  <c r="K71" i="40" s="1"/>
  <c r="L71" i="40" s="1"/>
  <c r="M71" i="40" s="1"/>
  <c r="N71" i="40" s="1"/>
  <c r="O71" i="40" s="1"/>
  <c r="P71" i="40" s="1"/>
  <c r="Q71" i="40" s="1"/>
  <c r="G70" i="40"/>
  <c r="H70" i="40" s="1"/>
  <c r="I70" i="40" s="1"/>
  <c r="J70" i="40" s="1"/>
  <c r="K70" i="40" s="1"/>
  <c r="L70" i="40" s="1"/>
  <c r="M70" i="40" s="1"/>
  <c r="N70" i="40" s="1"/>
  <c r="O70" i="40" s="1"/>
  <c r="P70" i="40" s="1"/>
  <c r="Q70" i="40" s="1"/>
  <c r="G69" i="40"/>
  <c r="H69" i="40" s="1"/>
  <c r="I69" i="40" s="1"/>
  <c r="J69" i="40" s="1"/>
  <c r="K69" i="40" s="1"/>
  <c r="L69" i="40" s="1"/>
  <c r="M69" i="40" s="1"/>
  <c r="N69" i="40" s="1"/>
  <c r="O69" i="40" s="1"/>
  <c r="P69" i="40" s="1"/>
  <c r="Q69" i="40" s="1"/>
  <c r="G68" i="40"/>
  <c r="H68" i="40" s="1"/>
  <c r="I68" i="40" s="1"/>
  <c r="J68" i="40" s="1"/>
  <c r="K68" i="40" s="1"/>
  <c r="L68" i="40" s="1"/>
  <c r="M68" i="40" s="1"/>
  <c r="N68" i="40" s="1"/>
  <c r="O68" i="40" s="1"/>
  <c r="P68" i="40" s="1"/>
  <c r="Q68" i="40" s="1"/>
  <c r="G67" i="40"/>
  <c r="H67" i="40" s="1"/>
  <c r="I67" i="40" s="1"/>
  <c r="J67" i="40" s="1"/>
  <c r="K67" i="40" s="1"/>
  <c r="L67" i="40" s="1"/>
  <c r="M67" i="40" s="1"/>
  <c r="N67" i="40" s="1"/>
  <c r="O67" i="40" s="1"/>
  <c r="P67" i="40" s="1"/>
  <c r="Q67" i="40" s="1"/>
  <c r="G66" i="40"/>
  <c r="H66" i="40" s="1"/>
  <c r="I66" i="40" s="1"/>
  <c r="J66" i="40" s="1"/>
  <c r="K66" i="40" s="1"/>
  <c r="L66" i="40" s="1"/>
  <c r="M66" i="40" s="1"/>
  <c r="N66" i="40" s="1"/>
  <c r="O66" i="40" s="1"/>
  <c r="P66" i="40" s="1"/>
  <c r="Q66" i="40" s="1"/>
  <c r="G65" i="40"/>
  <c r="H65" i="40" s="1"/>
  <c r="I65" i="40" s="1"/>
  <c r="J65" i="40" s="1"/>
  <c r="K65" i="40" s="1"/>
  <c r="L65" i="40" s="1"/>
  <c r="M65" i="40" s="1"/>
  <c r="N65" i="40" s="1"/>
  <c r="O65" i="40" s="1"/>
  <c r="P65" i="40" s="1"/>
  <c r="Q65" i="40" s="1"/>
  <c r="G64" i="40"/>
  <c r="H64" i="40" s="1"/>
  <c r="I64" i="40" s="1"/>
  <c r="J64" i="40" s="1"/>
  <c r="K64" i="40" s="1"/>
  <c r="L64" i="40" s="1"/>
  <c r="M64" i="40" s="1"/>
  <c r="N64" i="40" s="1"/>
  <c r="O64" i="40" s="1"/>
  <c r="P64" i="40" s="1"/>
  <c r="Q64" i="40" s="1"/>
  <c r="G63" i="40"/>
  <c r="H63" i="40" s="1"/>
  <c r="I63" i="40" s="1"/>
  <c r="J63" i="40" s="1"/>
  <c r="K63" i="40" s="1"/>
  <c r="L63" i="40" s="1"/>
  <c r="M63" i="40" s="1"/>
  <c r="N63" i="40" s="1"/>
  <c r="O63" i="40" s="1"/>
  <c r="P63" i="40" s="1"/>
  <c r="Q63" i="40" s="1"/>
  <c r="G62" i="40"/>
  <c r="H62" i="40" s="1"/>
  <c r="I62" i="40" s="1"/>
  <c r="J62" i="40" s="1"/>
  <c r="K62" i="40" s="1"/>
  <c r="L62" i="40" s="1"/>
  <c r="M62" i="40" s="1"/>
  <c r="N62" i="40" s="1"/>
  <c r="O62" i="40" s="1"/>
  <c r="P62" i="40" s="1"/>
  <c r="Q62" i="40" s="1"/>
  <c r="G61" i="40"/>
  <c r="H61" i="40" s="1"/>
  <c r="I61" i="40" s="1"/>
  <c r="J61" i="40" s="1"/>
  <c r="K61" i="40" s="1"/>
  <c r="L61" i="40" s="1"/>
  <c r="M61" i="40" s="1"/>
  <c r="N61" i="40" s="1"/>
  <c r="O61" i="40" s="1"/>
  <c r="P61" i="40" s="1"/>
  <c r="Q61" i="40" s="1"/>
  <c r="G60" i="40"/>
  <c r="H60" i="40" s="1"/>
  <c r="I60" i="40" s="1"/>
  <c r="J60" i="40" s="1"/>
  <c r="K60" i="40" s="1"/>
  <c r="L60" i="40" s="1"/>
  <c r="M60" i="40" s="1"/>
  <c r="N60" i="40" s="1"/>
  <c r="O60" i="40" s="1"/>
  <c r="P60" i="40" s="1"/>
  <c r="Q60" i="40" s="1"/>
  <c r="G59" i="40"/>
  <c r="H59" i="40" s="1"/>
  <c r="I59" i="40" s="1"/>
  <c r="J59" i="40" s="1"/>
  <c r="K59" i="40" s="1"/>
  <c r="L59" i="40" s="1"/>
  <c r="M59" i="40" s="1"/>
  <c r="N59" i="40" s="1"/>
  <c r="O59" i="40" s="1"/>
  <c r="P59" i="40" s="1"/>
  <c r="Q59" i="40" s="1"/>
  <c r="G58" i="40"/>
  <c r="H58" i="40" s="1"/>
  <c r="I58" i="40" s="1"/>
  <c r="J58" i="40" s="1"/>
  <c r="K58" i="40" s="1"/>
  <c r="L58" i="40" s="1"/>
  <c r="M58" i="40" s="1"/>
  <c r="N58" i="40" s="1"/>
  <c r="O58" i="40" s="1"/>
  <c r="P58" i="40" s="1"/>
  <c r="Q58" i="40" s="1"/>
  <c r="G57" i="40"/>
  <c r="H57" i="40" s="1"/>
  <c r="I57" i="40" s="1"/>
  <c r="J57" i="40" s="1"/>
  <c r="K57" i="40" s="1"/>
  <c r="L57" i="40" s="1"/>
  <c r="M57" i="40" s="1"/>
  <c r="N57" i="40" s="1"/>
  <c r="O57" i="40" s="1"/>
  <c r="P57" i="40" s="1"/>
  <c r="Q57" i="40" s="1"/>
  <c r="G56" i="40"/>
  <c r="H56" i="40" s="1"/>
  <c r="I56" i="40" s="1"/>
  <c r="J56" i="40" s="1"/>
  <c r="K56" i="40" s="1"/>
  <c r="L56" i="40" s="1"/>
  <c r="M56" i="40" s="1"/>
  <c r="N56" i="40" s="1"/>
  <c r="O56" i="40" s="1"/>
  <c r="P56" i="40" s="1"/>
  <c r="Q56" i="40" s="1"/>
  <c r="G55" i="40"/>
  <c r="H55" i="40" s="1"/>
  <c r="I55" i="40" s="1"/>
  <c r="J55" i="40" s="1"/>
  <c r="K55" i="40" s="1"/>
  <c r="L55" i="40" s="1"/>
  <c r="M55" i="40" s="1"/>
  <c r="N55" i="40" s="1"/>
  <c r="O55" i="40" s="1"/>
  <c r="P55" i="40" s="1"/>
  <c r="Q55" i="40" s="1"/>
  <c r="G54" i="40"/>
  <c r="H54" i="40" s="1"/>
  <c r="I54" i="40" s="1"/>
  <c r="J54" i="40" s="1"/>
  <c r="K54" i="40" s="1"/>
  <c r="L54" i="40" s="1"/>
  <c r="M54" i="40" s="1"/>
  <c r="N54" i="40" s="1"/>
  <c r="O54" i="40" s="1"/>
  <c r="P54" i="40" s="1"/>
  <c r="Q54" i="40" s="1"/>
  <c r="G53" i="40"/>
  <c r="H53" i="40" s="1"/>
  <c r="I53" i="40" s="1"/>
  <c r="J53" i="40" s="1"/>
  <c r="K53" i="40" s="1"/>
  <c r="L53" i="40" s="1"/>
  <c r="M53" i="40" s="1"/>
  <c r="N53" i="40" s="1"/>
  <c r="O53" i="40" s="1"/>
  <c r="P53" i="40" s="1"/>
  <c r="Q53" i="40" s="1"/>
  <c r="G52" i="40"/>
  <c r="H52" i="40" s="1"/>
  <c r="I52" i="40" s="1"/>
  <c r="J52" i="40" s="1"/>
  <c r="K52" i="40" s="1"/>
  <c r="L52" i="40" s="1"/>
  <c r="M52" i="40" s="1"/>
  <c r="N52" i="40" s="1"/>
  <c r="O52" i="40" s="1"/>
  <c r="P52" i="40" s="1"/>
  <c r="Q52" i="40" s="1"/>
  <c r="G51" i="40"/>
  <c r="H51" i="40" s="1"/>
  <c r="I51" i="40" s="1"/>
  <c r="J51" i="40" s="1"/>
  <c r="K51" i="40" s="1"/>
  <c r="L51" i="40" s="1"/>
  <c r="M51" i="40" s="1"/>
  <c r="N51" i="40" s="1"/>
  <c r="O51" i="40" s="1"/>
  <c r="P51" i="40" s="1"/>
  <c r="Q51" i="40" s="1"/>
  <c r="G50" i="40"/>
  <c r="H50" i="40" s="1"/>
  <c r="I50" i="40" s="1"/>
  <c r="J50" i="40" s="1"/>
  <c r="K50" i="40" s="1"/>
  <c r="L50" i="40" s="1"/>
  <c r="M50" i="40" s="1"/>
  <c r="N50" i="40" s="1"/>
  <c r="O50" i="40" s="1"/>
  <c r="P50" i="40" s="1"/>
  <c r="Q50" i="40" s="1"/>
  <c r="G49" i="40"/>
  <c r="H49" i="40" s="1"/>
  <c r="I49" i="40" s="1"/>
  <c r="J49" i="40" s="1"/>
  <c r="K49" i="40" s="1"/>
  <c r="L49" i="40" s="1"/>
  <c r="M49" i="40" s="1"/>
  <c r="N49" i="40" s="1"/>
  <c r="O49" i="40" s="1"/>
  <c r="P49" i="40" s="1"/>
  <c r="Q49" i="40" s="1"/>
  <c r="G48" i="40"/>
  <c r="H48" i="40" s="1"/>
  <c r="I48" i="40" s="1"/>
  <c r="J48" i="40" s="1"/>
  <c r="K48" i="40" s="1"/>
  <c r="L48" i="40" s="1"/>
  <c r="M48" i="40" s="1"/>
  <c r="N48" i="40" s="1"/>
  <c r="O48" i="40" s="1"/>
  <c r="P48" i="40" s="1"/>
  <c r="Q48" i="40" s="1"/>
  <c r="G47" i="40"/>
  <c r="H47" i="40" s="1"/>
  <c r="I47" i="40" s="1"/>
  <c r="J47" i="40" s="1"/>
  <c r="K47" i="40" s="1"/>
  <c r="L47" i="40" s="1"/>
  <c r="M47" i="40" s="1"/>
  <c r="N47" i="40" s="1"/>
  <c r="O47" i="40" s="1"/>
  <c r="P47" i="40" s="1"/>
  <c r="Q47" i="40" s="1"/>
  <c r="G46" i="40"/>
  <c r="H46" i="40" s="1"/>
  <c r="I46" i="40" s="1"/>
  <c r="J46" i="40" s="1"/>
  <c r="K46" i="40" s="1"/>
  <c r="L46" i="40" s="1"/>
  <c r="M46" i="40" s="1"/>
  <c r="N46" i="40" s="1"/>
  <c r="O46" i="40" s="1"/>
  <c r="P46" i="40" s="1"/>
  <c r="Q46" i="40" s="1"/>
  <c r="G45" i="40"/>
  <c r="H45" i="40" s="1"/>
  <c r="I45" i="40" s="1"/>
  <c r="J45" i="40" s="1"/>
  <c r="K45" i="40" s="1"/>
  <c r="L45" i="40" s="1"/>
  <c r="M45" i="40" s="1"/>
  <c r="N45" i="40" s="1"/>
  <c r="O45" i="40" s="1"/>
  <c r="P45" i="40" s="1"/>
  <c r="Q45" i="40" s="1"/>
  <c r="G44" i="40"/>
  <c r="H44" i="40" s="1"/>
  <c r="I44" i="40" s="1"/>
  <c r="J44" i="40" s="1"/>
  <c r="K44" i="40" s="1"/>
  <c r="L44" i="40" s="1"/>
  <c r="M44" i="40" s="1"/>
  <c r="N44" i="40" s="1"/>
  <c r="O44" i="40" s="1"/>
  <c r="P44" i="40" s="1"/>
  <c r="Q44" i="40" s="1"/>
  <c r="G43" i="40"/>
  <c r="H43" i="40" s="1"/>
  <c r="I43" i="40" s="1"/>
  <c r="J43" i="40" s="1"/>
  <c r="K43" i="40" s="1"/>
  <c r="L43" i="40" s="1"/>
  <c r="M43" i="40" s="1"/>
  <c r="N43" i="40" s="1"/>
  <c r="O43" i="40" s="1"/>
  <c r="P43" i="40" s="1"/>
  <c r="Q43" i="40" s="1"/>
  <c r="G42" i="40"/>
  <c r="H42" i="40" s="1"/>
  <c r="I42" i="40" s="1"/>
  <c r="J42" i="40" s="1"/>
  <c r="K42" i="40" s="1"/>
  <c r="L42" i="40" s="1"/>
  <c r="M42" i="40" s="1"/>
  <c r="N42" i="40" s="1"/>
  <c r="O42" i="40" s="1"/>
  <c r="P42" i="40" s="1"/>
  <c r="Q42" i="40" s="1"/>
  <c r="G41" i="40"/>
  <c r="H41" i="40" s="1"/>
  <c r="I41" i="40" s="1"/>
  <c r="J41" i="40" s="1"/>
  <c r="K41" i="40" s="1"/>
  <c r="L41" i="40" s="1"/>
  <c r="M41" i="40" s="1"/>
  <c r="N41" i="40" s="1"/>
  <c r="O41" i="40" s="1"/>
  <c r="P41" i="40" s="1"/>
  <c r="Q41" i="40" s="1"/>
  <c r="G40" i="40"/>
  <c r="H40" i="40" s="1"/>
  <c r="I40" i="40" s="1"/>
  <c r="J40" i="40" s="1"/>
  <c r="K40" i="40" s="1"/>
  <c r="L40" i="40" s="1"/>
  <c r="M40" i="40" s="1"/>
  <c r="N40" i="40" s="1"/>
  <c r="O40" i="40" s="1"/>
  <c r="P40" i="40" s="1"/>
  <c r="Q40" i="40" s="1"/>
  <c r="G39" i="40"/>
  <c r="H39" i="40" s="1"/>
  <c r="I39" i="40" s="1"/>
  <c r="J39" i="40" s="1"/>
  <c r="K39" i="40" s="1"/>
  <c r="L39" i="40" s="1"/>
  <c r="M39" i="40" s="1"/>
  <c r="N39" i="40" s="1"/>
  <c r="O39" i="40" s="1"/>
  <c r="P39" i="40" s="1"/>
  <c r="Q39" i="40" s="1"/>
  <c r="G38" i="40"/>
  <c r="H38" i="40" s="1"/>
  <c r="I38" i="40" s="1"/>
  <c r="J38" i="40" s="1"/>
  <c r="K38" i="40" s="1"/>
  <c r="L38" i="40" s="1"/>
  <c r="M38" i="40" s="1"/>
  <c r="N38" i="40" s="1"/>
  <c r="O38" i="40" s="1"/>
  <c r="P38" i="40" s="1"/>
  <c r="Q38" i="40" s="1"/>
  <c r="G37" i="40"/>
  <c r="H37" i="40" s="1"/>
  <c r="I37" i="40" s="1"/>
  <c r="J37" i="40" s="1"/>
  <c r="K37" i="40" s="1"/>
  <c r="L37" i="40" s="1"/>
  <c r="M37" i="40" s="1"/>
  <c r="N37" i="40" s="1"/>
  <c r="O37" i="40" s="1"/>
  <c r="P37" i="40" s="1"/>
  <c r="Q37" i="40" s="1"/>
  <c r="G36" i="40"/>
  <c r="H36" i="40" s="1"/>
  <c r="I36" i="40" s="1"/>
  <c r="J36" i="40" s="1"/>
  <c r="K36" i="40" s="1"/>
  <c r="L36" i="40" s="1"/>
  <c r="M36" i="40" s="1"/>
  <c r="N36" i="40" s="1"/>
  <c r="O36" i="40" s="1"/>
  <c r="P36" i="40" s="1"/>
  <c r="Q36" i="40" s="1"/>
  <c r="G35" i="40"/>
  <c r="H35" i="40" s="1"/>
  <c r="I35" i="40" s="1"/>
  <c r="J35" i="40" s="1"/>
  <c r="K35" i="40" s="1"/>
  <c r="L35" i="40" s="1"/>
  <c r="M35" i="40" s="1"/>
  <c r="N35" i="40" s="1"/>
  <c r="O35" i="40" s="1"/>
  <c r="P35" i="40" s="1"/>
  <c r="Q35" i="40" s="1"/>
  <c r="G34" i="40"/>
  <c r="H34" i="40" s="1"/>
  <c r="I34" i="40" s="1"/>
  <c r="J34" i="40" s="1"/>
  <c r="K34" i="40" s="1"/>
  <c r="L34" i="40" s="1"/>
  <c r="M34" i="40" s="1"/>
  <c r="N34" i="40" s="1"/>
  <c r="O34" i="40" s="1"/>
  <c r="P34" i="40" s="1"/>
  <c r="Q34" i="40" s="1"/>
  <c r="G33" i="40"/>
  <c r="G32" i="40"/>
  <c r="H32" i="40" s="1"/>
  <c r="I32" i="40" s="1"/>
  <c r="J32" i="40" s="1"/>
  <c r="K32" i="40" s="1"/>
  <c r="L32" i="40" s="1"/>
  <c r="M32" i="40" s="1"/>
  <c r="N32" i="40" s="1"/>
  <c r="O32" i="40" s="1"/>
  <c r="P32" i="40" s="1"/>
  <c r="Q32" i="40" s="1"/>
  <c r="G31" i="40"/>
  <c r="H31" i="40" s="1"/>
  <c r="I31" i="40" s="1"/>
  <c r="J31" i="40" s="1"/>
  <c r="K31" i="40" s="1"/>
  <c r="L31" i="40" s="1"/>
  <c r="M31" i="40" s="1"/>
  <c r="N31" i="40" s="1"/>
  <c r="O31" i="40" s="1"/>
  <c r="P31" i="40" s="1"/>
  <c r="Q31" i="40" s="1"/>
  <c r="G30" i="40"/>
  <c r="H30" i="40" s="1"/>
  <c r="I30" i="40" s="1"/>
  <c r="J30" i="40" s="1"/>
  <c r="K30" i="40" s="1"/>
  <c r="L30" i="40" s="1"/>
  <c r="M30" i="40" s="1"/>
  <c r="N30" i="40" s="1"/>
  <c r="O30" i="40" s="1"/>
  <c r="P30" i="40" s="1"/>
  <c r="Q30" i="40" s="1"/>
  <c r="G29" i="40"/>
  <c r="H29" i="40" s="1"/>
  <c r="I29" i="40" s="1"/>
  <c r="J29" i="40" s="1"/>
  <c r="K29" i="40" s="1"/>
  <c r="L29" i="40" s="1"/>
  <c r="M29" i="40" s="1"/>
  <c r="N29" i="40" s="1"/>
  <c r="O29" i="40" s="1"/>
  <c r="P29" i="40" s="1"/>
  <c r="Q29" i="40" s="1"/>
  <c r="G28" i="40"/>
  <c r="H28" i="40" s="1"/>
  <c r="I28" i="40" s="1"/>
  <c r="J28" i="40" s="1"/>
  <c r="K28" i="40" s="1"/>
  <c r="L28" i="40" s="1"/>
  <c r="M28" i="40" s="1"/>
  <c r="N28" i="40" s="1"/>
  <c r="O28" i="40" s="1"/>
  <c r="P28" i="40" s="1"/>
  <c r="Q28" i="40" s="1"/>
  <c r="G27" i="40"/>
  <c r="H27" i="40" s="1"/>
  <c r="I27" i="40" s="1"/>
  <c r="J27" i="40" s="1"/>
  <c r="K27" i="40" s="1"/>
  <c r="L27" i="40" s="1"/>
  <c r="M27" i="40" s="1"/>
  <c r="N27" i="40" s="1"/>
  <c r="O27" i="40" s="1"/>
  <c r="P27" i="40" s="1"/>
  <c r="Q27" i="40" s="1"/>
  <c r="G26" i="40"/>
  <c r="H26" i="40" s="1"/>
  <c r="I26" i="40" s="1"/>
  <c r="J26" i="40" s="1"/>
  <c r="K26" i="40" s="1"/>
  <c r="L26" i="40" s="1"/>
  <c r="M26" i="40" s="1"/>
  <c r="N26" i="40" s="1"/>
  <c r="O26" i="40" s="1"/>
  <c r="P26" i="40" s="1"/>
  <c r="Q26" i="40" s="1"/>
  <c r="G25" i="40"/>
  <c r="H25" i="40" s="1"/>
  <c r="I25" i="40" s="1"/>
  <c r="J25" i="40" s="1"/>
  <c r="K25" i="40" s="1"/>
  <c r="L25" i="40" s="1"/>
  <c r="M25" i="40" s="1"/>
  <c r="N25" i="40" s="1"/>
  <c r="O25" i="40" s="1"/>
  <c r="P25" i="40" s="1"/>
  <c r="Q25" i="40" s="1"/>
  <c r="G24" i="40"/>
  <c r="H24" i="40" s="1"/>
  <c r="I24" i="40" s="1"/>
  <c r="J24" i="40" s="1"/>
  <c r="K24" i="40" s="1"/>
  <c r="L24" i="40" s="1"/>
  <c r="M24" i="40" s="1"/>
  <c r="N24" i="40" s="1"/>
  <c r="O24" i="40" s="1"/>
  <c r="P24" i="40" s="1"/>
  <c r="Q24" i="40" s="1"/>
  <c r="G23" i="40"/>
  <c r="H23" i="40" s="1"/>
  <c r="I23" i="40" s="1"/>
  <c r="J23" i="40" s="1"/>
  <c r="K23" i="40" s="1"/>
  <c r="L23" i="40" s="1"/>
  <c r="M23" i="40" s="1"/>
  <c r="N23" i="40" s="1"/>
  <c r="O23" i="40" s="1"/>
  <c r="P23" i="40" s="1"/>
  <c r="Q23" i="40" s="1"/>
  <c r="G22" i="40"/>
  <c r="H22" i="40" s="1"/>
  <c r="I22" i="40" s="1"/>
  <c r="J22" i="40" s="1"/>
  <c r="K22" i="40" s="1"/>
  <c r="L22" i="40" s="1"/>
  <c r="M22" i="40" s="1"/>
  <c r="N22" i="40" s="1"/>
  <c r="O22" i="40" s="1"/>
  <c r="P22" i="40" s="1"/>
  <c r="Q22" i="40" s="1"/>
  <c r="G21" i="40"/>
  <c r="H21" i="40" s="1"/>
  <c r="I21" i="40" s="1"/>
  <c r="J21" i="40" s="1"/>
  <c r="K21" i="40" s="1"/>
  <c r="L21" i="40" s="1"/>
  <c r="M21" i="40" s="1"/>
  <c r="N21" i="40" s="1"/>
  <c r="O21" i="40" s="1"/>
  <c r="P21" i="40" s="1"/>
  <c r="Q21" i="40" s="1"/>
  <c r="G20" i="40"/>
  <c r="H20" i="40" s="1"/>
  <c r="I20" i="40" s="1"/>
  <c r="J20" i="40" s="1"/>
  <c r="K20" i="40" s="1"/>
  <c r="L20" i="40" s="1"/>
  <c r="M20" i="40" s="1"/>
  <c r="N20" i="40" s="1"/>
  <c r="O20" i="40" s="1"/>
  <c r="P20" i="40" s="1"/>
  <c r="Q20" i="40" s="1"/>
  <c r="G19" i="40"/>
  <c r="H19" i="40" s="1"/>
  <c r="I19" i="40" s="1"/>
  <c r="J19" i="40" s="1"/>
  <c r="K19" i="40" s="1"/>
  <c r="L19" i="40" s="1"/>
  <c r="M19" i="40" s="1"/>
  <c r="N19" i="40" s="1"/>
  <c r="O19" i="40" s="1"/>
  <c r="P19" i="40" s="1"/>
  <c r="Q19" i="40" s="1"/>
  <c r="G18" i="40"/>
  <c r="H18" i="40" s="1"/>
  <c r="I18" i="40" s="1"/>
  <c r="J18" i="40" s="1"/>
  <c r="K18" i="40" s="1"/>
  <c r="L18" i="40" s="1"/>
  <c r="M18" i="40" s="1"/>
  <c r="N18" i="40" s="1"/>
  <c r="O18" i="40" s="1"/>
  <c r="P18" i="40" s="1"/>
  <c r="Q18" i="40" s="1"/>
  <c r="G17" i="40"/>
  <c r="H17" i="40" s="1"/>
  <c r="I17" i="40" s="1"/>
  <c r="J17" i="40" s="1"/>
  <c r="K17" i="40" s="1"/>
  <c r="L17" i="40" s="1"/>
  <c r="M17" i="40" s="1"/>
  <c r="N17" i="40" s="1"/>
  <c r="O17" i="40" s="1"/>
  <c r="P17" i="40" s="1"/>
  <c r="Q17" i="40" s="1"/>
  <c r="G16" i="40"/>
  <c r="H16" i="40" s="1"/>
  <c r="I16" i="40" s="1"/>
  <c r="J16" i="40" s="1"/>
  <c r="K16" i="40" s="1"/>
  <c r="L16" i="40" s="1"/>
  <c r="M16" i="40" s="1"/>
  <c r="N16" i="40" s="1"/>
  <c r="O16" i="40" s="1"/>
  <c r="P16" i="40" s="1"/>
  <c r="Q16" i="40" s="1"/>
  <c r="G15" i="40"/>
  <c r="H15" i="40" s="1"/>
  <c r="I15" i="40" s="1"/>
  <c r="J15" i="40" s="1"/>
  <c r="K15" i="40" s="1"/>
  <c r="L15" i="40" s="1"/>
  <c r="M15" i="40" s="1"/>
  <c r="N15" i="40" s="1"/>
  <c r="O15" i="40" s="1"/>
  <c r="P15" i="40" s="1"/>
  <c r="Q15" i="40" s="1"/>
  <c r="G14" i="40"/>
  <c r="H14" i="40" s="1"/>
  <c r="I14" i="40" s="1"/>
  <c r="J14" i="40" s="1"/>
  <c r="K14" i="40" s="1"/>
  <c r="L14" i="40" s="1"/>
  <c r="M14" i="40" s="1"/>
  <c r="N14" i="40" s="1"/>
  <c r="O14" i="40" s="1"/>
  <c r="P14" i="40" s="1"/>
  <c r="Q14" i="40" s="1"/>
  <c r="G13" i="40"/>
  <c r="H13" i="40" s="1"/>
  <c r="I13" i="40" s="1"/>
  <c r="J13" i="40" s="1"/>
  <c r="K13" i="40" s="1"/>
  <c r="L13" i="40" s="1"/>
  <c r="M13" i="40" s="1"/>
  <c r="N13" i="40" s="1"/>
  <c r="O13" i="40" s="1"/>
  <c r="P13" i="40" s="1"/>
  <c r="Q13" i="40" s="1"/>
  <c r="G12" i="40"/>
  <c r="H12" i="40" s="1"/>
  <c r="I12" i="40" s="1"/>
  <c r="J12" i="40" s="1"/>
  <c r="K12" i="40" s="1"/>
  <c r="L12" i="40" s="1"/>
  <c r="M12" i="40" s="1"/>
  <c r="N12" i="40" s="1"/>
  <c r="O12" i="40" s="1"/>
  <c r="P12" i="40" s="1"/>
  <c r="Q12" i="40" s="1"/>
  <c r="G11" i="40"/>
  <c r="H11" i="40" s="1"/>
  <c r="I11" i="40" s="1"/>
  <c r="J11" i="40" s="1"/>
  <c r="K11" i="40" s="1"/>
  <c r="L11" i="40" s="1"/>
  <c r="M11" i="40" s="1"/>
  <c r="N11" i="40" s="1"/>
  <c r="O11" i="40" s="1"/>
  <c r="P11" i="40" s="1"/>
  <c r="Q11" i="40" s="1"/>
  <c r="G10" i="40"/>
  <c r="H10" i="40" s="1"/>
  <c r="I10" i="40" s="1"/>
  <c r="J10" i="40" s="1"/>
  <c r="K10" i="40" s="1"/>
  <c r="L10" i="40" s="1"/>
  <c r="M10" i="40" s="1"/>
  <c r="N10" i="40" s="1"/>
  <c r="O10" i="40" s="1"/>
  <c r="P10" i="40" s="1"/>
  <c r="Q10" i="40" s="1"/>
  <c r="G9" i="40"/>
  <c r="G8" i="40"/>
  <c r="H8" i="40" s="1"/>
  <c r="I8" i="40" s="1"/>
  <c r="J8" i="40" s="1"/>
  <c r="K8" i="40" s="1"/>
  <c r="L8" i="40" s="1"/>
  <c r="M8" i="40" s="1"/>
  <c r="N8" i="40" s="1"/>
  <c r="O8" i="40" s="1"/>
  <c r="P8" i="40" s="1"/>
  <c r="Q8" i="40" s="1"/>
  <c r="G7" i="40"/>
  <c r="G6" i="40"/>
  <c r="G5" i="40"/>
  <c r="L198" i="41"/>
  <c r="L197" i="41"/>
  <c r="L196" i="41"/>
  <c r="L195" i="41"/>
  <c r="L194" i="41"/>
  <c r="L193" i="41"/>
  <c r="L192" i="41"/>
  <c r="L191" i="41"/>
  <c r="L190" i="41"/>
  <c r="L189" i="41"/>
  <c r="L188" i="41"/>
  <c r="L187" i="41"/>
  <c r="L186" i="41"/>
  <c r="L185" i="41"/>
  <c r="L184" i="41"/>
  <c r="L183" i="41"/>
  <c r="L182" i="41"/>
  <c r="L181" i="41"/>
  <c r="L180" i="41"/>
  <c r="L179" i="41"/>
  <c r="L178" i="41"/>
  <c r="L177" i="41"/>
  <c r="L176" i="41"/>
  <c r="L175" i="41"/>
  <c r="L174" i="41"/>
  <c r="L173" i="41"/>
  <c r="L172" i="41"/>
  <c r="L171" i="41"/>
  <c r="L170" i="41"/>
  <c r="L169" i="41"/>
  <c r="L168" i="41"/>
  <c r="L167" i="41"/>
  <c r="L166" i="41"/>
  <c r="L165" i="41"/>
  <c r="L164" i="41"/>
  <c r="L163" i="41"/>
  <c r="L162" i="41"/>
  <c r="L161" i="41"/>
  <c r="L160" i="41"/>
  <c r="L159" i="41"/>
  <c r="L158" i="41"/>
  <c r="L157" i="41"/>
  <c r="L156" i="41"/>
  <c r="L155" i="41"/>
  <c r="L154" i="41"/>
  <c r="L153" i="41"/>
  <c r="L152" i="41"/>
  <c r="L151" i="41"/>
  <c r="L150" i="41"/>
  <c r="L149" i="41"/>
  <c r="L148" i="41"/>
  <c r="L147" i="41"/>
  <c r="L146" i="41"/>
  <c r="L145" i="41"/>
  <c r="L144" i="41"/>
  <c r="L143" i="41"/>
  <c r="L142" i="41"/>
  <c r="L141" i="41"/>
  <c r="L140" i="41"/>
  <c r="L139" i="41"/>
  <c r="L138" i="41"/>
  <c r="L137" i="41"/>
  <c r="L136" i="41"/>
  <c r="L135" i="41"/>
  <c r="L134" i="41"/>
  <c r="L133" i="41"/>
  <c r="L132" i="41"/>
  <c r="L131" i="41"/>
  <c r="L130" i="41"/>
  <c r="L129" i="41"/>
  <c r="L128" i="41"/>
  <c r="L127" i="41"/>
  <c r="L126" i="41"/>
  <c r="L125" i="41"/>
  <c r="L124" i="41"/>
  <c r="L123" i="41"/>
  <c r="L122" i="41"/>
  <c r="L121" i="41"/>
  <c r="L120" i="41"/>
  <c r="L119" i="41"/>
  <c r="L118" i="41"/>
  <c r="L117" i="41"/>
  <c r="L116" i="41"/>
  <c r="L115" i="41"/>
  <c r="L114" i="41"/>
  <c r="L113" i="41"/>
  <c r="L112" i="41"/>
  <c r="L111" i="41"/>
  <c r="L110" i="41"/>
  <c r="L109" i="41"/>
  <c r="L108" i="41"/>
  <c r="L107" i="41"/>
  <c r="L106" i="41"/>
  <c r="L105" i="41"/>
  <c r="L104" i="41"/>
  <c r="L103" i="41"/>
  <c r="L102" i="41"/>
  <c r="L101" i="41"/>
  <c r="L100" i="41"/>
  <c r="L99" i="41"/>
  <c r="L98" i="41"/>
  <c r="L97" i="41"/>
  <c r="L96" i="41"/>
  <c r="L95" i="41"/>
  <c r="L94" i="41"/>
  <c r="L93" i="41"/>
  <c r="L92" i="41"/>
  <c r="L91" i="41"/>
  <c r="L90" i="41"/>
  <c r="L89" i="41"/>
  <c r="L88" i="41"/>
  <c r="L87" i="41"/>
  <c r="L86" i="41"/>
  <c r="L85" i="41"/>
  <c r="L84" i="41"/>
  <c r="L83" i="41"/>
  <c r="L82" i="41"/>
  <c r="L81" i="41"/>
  <c r="L80" i="41"/>
  <c r="L79" i="41"/>
  <c r="L78" i="41"/>
  <c r="L77" i="41"/>
  <c r="L76" i="41"/>
  <c r="L75" i="41"/>
  <c r="L74" i="41"/>
  <c r="L73" i="41"/>
  <c r="L72" i="41"/>
  <c r="L71" i="41"/>
  <c r="L70" i="41"/>
  <c r="L69" i="41"/>
  <c r="L68" i="41"/>
  <c r="L67" i="41"/>
  <c r="L66" i="41"/>
  <c r="L65" i="41"/>
  <c r="L64" i="41"/>
  <c r="L63" i="41"/>
  <c r="L62" i="41"/>
  <c r="L61" i="41"/>
  <c r="L60" i="41"/>
  <c r="L59" i="41"/>
  <c r="L58" i="41"/>
  <c r="L57" i="41"/>
  <c r="L56" i="41"/>
  <c r="L55" i="41"/>
  <c r="L54" i="41"/>
  <c r="L53" i="41"/>
  <c r="L52" i="41"/>
  <c r="L51" i="41"/>
  <c r="L50" i="41"/>
  <c r="L49" i="41"/>
  <c r="L48" i="41"/>
  <c r="L47" i="41"/>
  <c r="L46" i="41"/>
  <c r="L45" i="41"/>
  <c r="L44" i="41"/>
  <c r="L43" i="41"/>
  <c r="L42" i="41"/>
  <c r="L41" i="41"/>
  <c r="L40" i="41"/>
  <c r="L39" i="41"/>
  <c r="L38" i="41"/>
  <c r="L37" i="41"/>
  <c r="L36" i="41"/>
  <c r="L35" i="41"/>
  <c r="L34" i="41"/>
  <c r="L33" i="41"/>
  <c r="L32" i="41"/>
  <c r="L31" i="41"/>
  <c r="L30" i="41"/>
  <c r="L29" i="41"/>
  <c r="L28" i="41"/>
  <c r="L27" i="41"/>
  <c r="L26" i="41"/>
  <c r="L25" i="41"/>
  <c r="L24" i="41"/>
  <c r="L23" i="41"/>
  <c r="L22" i="41"/>
  <c r="L21" i="41"/>
  <c r="L20" i="41"/>
  <c r="L19" i="41"/>
  <c r="L18" i="41"/>
  <c r="L17" i="41"/>
  <c r="L16" i="41"/>
  <c r="L15" i="41"/>
  <c r="L14" i="41"/>
  <c r="L13" i="41"/>
  <c r="L12" i="41"/>
  <c r="L11" i="41"/>
  <c r="L10" i="41"/>
  <c r="L9" i="41"/>
  <c r="L8" i="41"/>
  <c r="L7" i="41"/>
  <c r="L6" i="41"/>
  <c r="L5" i="41"/>
  <c r="G198" i="41"/>
  <c r="G197" i="41"/>
  <c r="G196" i="41"/>
  <c r="G195" i="41"/>
  <c r="G194" i="41"/>
  <c r="G193" i="41"/>
  <c r="G192" i="41"/>
  <c r="G191" i="41"/>
  <c r="G190" i="41"/>
  <c r="G189" i="41"/>
  <c r="G188" i="41"/>
  <c r="G187" i="41"/>
  <c r="G186" i="41"/>
  <c r="G185" i="41"/>
  <c r="G184" i="41"/>
  <c r="G183" i="41"/>
  <c r="G182" i="41"/>
  <c r="G181" i="41"/>
  <c r="G180" i="41"/>
  <c r="G179" i="41"/>
  <c r="G178" i="41"/>
  <c r="G177" i="41"/>
  <c r="G176" i="41"/>
  <c r="G175" i="41"/>
  <c r="G174" i="41"/>
  <c r="G173" i="41"/>
  <c r="G172" i="41"/>
  <c r="G171" i="41"/>
  <c r="G170" i="41"/>
  <c r="G169" i="41"/>
  <c r="G168" i="41"/>
  <c r="G167" i="41"/>
  <c r="G166" i="41"/>
  <c r="G165" i="41"/>
  <c r="G164" i="41"/>
  <c r="G163" i="41"/>
  <c r="G162" i="41"/>
  <c r="G161" i="41"/>
  <c r="G160" i="41"/>
  <c r="G159" i="41"/>
  <c r="G158" i="41"/>
  <c r="G157" i="41"/>
  <c r="G156" i="41"/>
  <c r="G155" i="41"/>
  <c r="G154" i="41"/>
  <c r="G153" i="41"/>
  <c r="G152" i="41"/>
  <c r="G151" i="41"/>
  <c r="G150" i="41"/>
  <c r="G149" i="41"/>
  <c r="G148" i="41"/>
  <c r="G147" i="41"/>
  <c r="G146" i="41"/>
  <c r="G145" i="41"/>
  <c r="G144" i="41"/>
  <c r="G143" i="41"/>
  <c r="G142" i="41"/>
  <c r="G141" i="41"/>
  <c r="G140" i="41"/>
  <c r="G139" i="41"/>
  <c r="G138" i="41"/>
  <c r="G137" i="41"/>
  <c r="G136" i="41"/>
  <c r="G135" i="41"/>
  <c r="G134" i="41"/>
  <c r="G133" i="41"/>
  <c r="G132" i="41"/>
  <c r="G131" i="41"/>
  <c r="G130" i="41"/>
  <c r="G129" i="41"/>
  <c r="G128" i="41"/>
  <c r="G127" i="41"/>
  <c r="G126" i="41"/>
  <c r="G125" i="41"/>
  <c r="G124" i="41"/>
  <c r="G123" i="41"/>
  <c r="G122" i="41"/>
  <c r="G121" i="41"/>
  <c r="G120" i="41"/>
  <c r="G119" i="41"/>
  <c r="G118" i="41"/>
  <c r="G117" i="41"/>
  <c r="G116" i="41"/>
  <c r="G115" i="41"/>
  <c r="G114" i="41"/>
  <c r="G113" i="41"/>
  <c r="G112" i="41"/>
  <c r="G111" i="41"/>
  <c r="G110" i="41"/>
  <c r="G109" i="41"/>
  <c r="G108" i="41"/>
  <c r="G107" i="41"/>
  <c r="G106" i="41"/>
  <c r="G105" i="41"/>
  <c r="G104" i="41"/>
  <c r="G103" i="41"/>
  <c r="G102" i="41"/>
  <c r="G101" i="41"/>
  <c r="G100" i="41"/>
  <c r="G99" i="41"/>
  <c r="G98" i="41"/>
  <c r="G97" i="41"/>
  <c r="G96" i="41"/>
  <c r="G95" i="41"/>
  <c r="G94" i="41"/>
  <c r="G93" i="41"/>
  <c r="G92" i="41"/>
  <c r="G91" i="41"/>
  <c r="G90" i="41"/>
  <c r="G89" i="41"/>
  <c r="G88" i="41"/>
  <c r="G87" i="41"/>
  <c r="G86" i="41"/>
  <c r="G85" i="41"/>
  <c r="G84" i="41"/>
  <c r="G83" i="41"/>
  <c r="G82" i="41"/>
  <c r="G81" i="41"/>
  <c r="G80" i="41"/>
  <c r="G79" i="41"/>
  <c r="G78" i="41"/>
  <c r="G77" i="41"/>
  <c r="G76" i="41"/>
  <c r="G75" i="41"/>
  <c r="G74" i="41"/>
  <c r="G73" i="41"/>
  <c r="G72" i="41"/>
  <c r="G71" i="41"/>
  <c r="G70" i="41"/>
  <c r="G69" i="41"/>
  <c r="G68" i="41"/>
  <c r="G67" i="41"/>
  <c r="G66" i="41"/>
  <c r="G65" i="41"/>
  <c r="G64" i="41"/>
  <c r="G63" i="41"/>
  <c r="G62" i="41"/>
  <c r="G61" i="41"/>
  <c r="G60" i="41"/>
  <c r="G59" i="41"/>
  <c r="G58" i="41"/>
  <c r="G57" i="41"/>
  <c r="G56" i="41"/>
  <c r="G55" i="41"/>
  <c r="G54" i="41"/>
  <c r="G53" i="41"/>
  <c r="G52" i="41"/>
  <c r="G51" i="41"/>
  <c r="G50" i="41"/>
  <c r="G49" i="41"/>
  <c r="G48" i="41"/>
  <c r="G47" i="41"/>
  <c r="G46" i="41"/>
  <c r="G45" i="41"/>
  <c r="G44" i="41"/>
  <c r="G43" i="41"/>
  <c r="G42" i="41"/>
  <c r="G41" i="41"/>
  <c r="G40" i="41"/>
  <c r="G39" i="41"/>
  <c r="G38" i="41"/>
  <c r="G37" i="41"/>
  <c r="G36" i="41"/>
  <c r="G35" i="41"/>
  <c r="G34" i="41"/>
  <c r="G33" i="41"/>
  <c r="G32" i="41"/>
  <c r="G31" i="41"/>
  <c r="G30" i="41"/>
  <c r="G29" i="41"/>
  <c r="G28" i="41"/>
  <c r="G27" i="41"/>
  <c r="G26" i="41"/>
  <c r="G25" i="41"/>
  <c r="G24" i="41"/>
  <c r="G23" i="41"/>
  <c r="G22" i="41"/>
  <c r="G21" i="41"/>
  <c r="G20" i="41"/>
  <c r="G19" i="41"/>
  <c r="G18" i="41"/>
  <c r="G17" i="41"/>
  <c r="G16" i="41"/>
  <c r="G15" i="41"/>
  <c r="G14" i="41"/>
  <c r="G13" i="41"/>
  <c r="G12" i="41"/>
  <c r="G11" i="41"/>
  <c r="G10" i="41"/>
  <c r="G9" i="41"/>
  <c r="G8" i="41"/>
  <c r="G7" i="41"/>
  <c r="G6" i="41"/>
  <c r="G5" i="41"/>
  <c r="H4" i="56"/>
  <c r="H4" i="55"/>
  <c r="H4" i="54"/>
  <c r="H5" i="40" l="1"/>
  <c r="H9" i="40"/>
  <c r="H6" i="40"/>
  <c r="H33" i="40"/>
  <c r="H7" i="40"/>
  <c r="M9" i="41"/>
  <c r="M74" i="41"/>
  <c r="N74" i="41" s="1"/>
  <c r="M106" i="41"/>
  <c r="N106" i="41" s="1"/>
  <c r="M64" i="41"/>
  <c r="N64" i="41" s="1"/>
  <c r="M96" i="41"/>
  <c r="N96" i="41" s="1"/>
  <c r="M7" i="41"/>
  <c r="M17" i="41"/>
  <c r="N17" i="41" s="1"/>
  <c r="M47" i="41"/>
  <c r="M50" i="41"/>
  <c r="N50" i="41" s="1"/>
  <c r="M72" i="41"/>
  <c r="N72" i="41" s="1"/>
  <c r="M82" i="41"/>
  <c r="N82" i="41" s="1"/>
  <c r="M104" i="41"/>
  <c r="M15" i="41"/>
  <c r="N15" i="41" s="1"/>
  <c r="M25" i="41"/>
  <c r="N25" i="41" s="1"/>
  <c r="M58" i="41"/>
  <c r="N58" i="41" s="1"/>
  <c r="M80" i="41"/>
  <c r="M90" i="41"/>
  <c r="N90" i="41" s="1"/>
  <c r="M112" i="41"/>
  <c r="N112" i="41" s="1"/>
  <c r="M23" i="41"/>
  <c r="N23" i="41" s="1"/>
  <c r="M56" i="41"/>
  <c r="N56" i="41" s="1"/>
  <c r="M66" i="41"/>
  <c r="N66" i="41" s="1"/>
  <c r="M88" i="41"/>
  <c r="M98" i="41"/>
  <c r="N98" i="41" s="1"/>
  <c r="R95" i="40"/>
  <c r="R21" i="40"/>
  <c r="R66" i="40"/>
  <c r="R96" i="40"/>
  <c r="R130" i="40"/>
  <c r="R138" i="40"/>
  <c r="R150" i="40"/>
  <c r="R158" i="40"/>
  <c r="R162" i="40"/>
  <c r="R178" i="40"/>
  <c r="R182" i="40"/>
  <c r="R190" i="40"/>
  <c r="R57" i="40"/>
  <c r="R99" i="40"/>
  <c r="R106" i="40"/>
  <c r="R110" i="40"/>
  <c r="R125" i="40"/>
  <c r="R129" i="40"/>
  <c r="R137" i="40"/>
  <c r="R196" i="40"/>
  <c r="R25" i="40"/>
  <c r="R37" i="40"/>
  <c r="R48" i="40"/>
  <c r="R70" i="40"/>
  <c r="R80" i="40"/>
  <c r="R100" i="40"/>
  <c r="R118" i="40"/>
  <c r="R134" i="40"/>
  <c r="R146" i="40"/>
  <c r="R45" i="40"/>
  <c r="R49" i="40"/>
  <c r="R56" i="40"/>
  <c r="R59" i="40"/>
  <c r="R67" i="40"/>
  <c r="R77" i="40"/>
  <c r="R123" i="40"/>
  <c r="R135" i="40"/>
  <c r="R163" i="40"/>
  <c r="R171" i="40"/>
  <c r="R43" i="40"/>
  <c r="R71" i="40"/>
  <c r="R82" i="40"/>
  <c r="R101" i="40"/>
  <c r="R113" i="40"/>
  <c r="R120" i="40"/>
  <c r="R124" i="40"/>
  <c r="R136" i="40"/>
  <c r="R140" i="40"/>
  <c r="R152" i="40"/>
  <c r="R160" i="40"/>
  <c r="R168" i="40"/>
  <c r="R172" i="40"/>
  <c r="R176" i="40"/>
  <c r="R188" i="40"/>
  <c r="H119" i="56"/>
  <c r="H44" i="56"/>
  <c r="H113" i="56"/>
  <c r="H133" i="56"/>
  <c r="H137" i="56"/>
  <c r="H149" i="56"/>
  <c r="H153" i="56"/>
  <c r="H185" i="56"/>
  <c r="H126" i="56"/>
  <c r="H18" i="41"/>
  <c r="H26" i="41"/>
  <c r="H42" i="41"/>
  <c r="H58" i="41"/>
  <c r="H70" i="41"/>
  <c r="H86" i="41"/>
  <c r="H98" i="41"/>
  <c r="H114" i="41"/>
  <c r="H126" i="41"/>
  <c r="H138" i="41"/>
  <c r="H150" i="41"/>
  <c r="H170" i="41"/>
  <c r="H178" i="41"/>
  <c r="H190" i="41"/>
  <c r="N9" i="41"/>
  <c r="M36" i="41"/>
  <c r="M69" i="41"/>
  <c r="M77" i="41"/>
  <c r="M85" i="41"/>
  <c r="M93" i="41"/>
  <c r="M119" i="41"/>
  <c r="M131" i="41"/>
  <c r="M143" i="41"/>
  <c r="M159" i="41"/>
  <c r="M171" i="41"/>
  <c r="M187" i="41"/>
  <c r="R24" i="40"/>
  <c r="R41" i="40"/>
  <c r="R54" i="40"/>
  <c r="R85" i="40"/>
  <c r="R102" i="40"/>
  <c r="R127" i="40"/>
  <c r="R144" i="40"/>
  <c r="R169" i="40"/>
  <c r="R177" i="40"/>
  <c r="R186" i="40"/>
  <c r="R197" i="40"/>
  <c r="H7" i="41"/>
  <c r="H23" i="41"/>
  <c r="H43" i="41"/>
  <c r="H55" i="41"/>
  <c r="H63" i="41"/>
  <c r="H67" i="41"/>
  <c r="H71" i="41"/>
  <c r="H79" i="41"/>
  <c r="H83" i="41"/>
  <c r="H87" i="41"/>
  <c r="H91" i="41"/>
  <c r="H95" i="41"/>
  <c r="H99" i="41"/>
  <c r="H103" i="41"/>
  <c r="H107" i="41"/>
  <c r="H111" i="41"/>
  <c r="H115" i="41"/>
  <c r="H119" i="41"/>
  <c r="H123" i="41"/>
  <c r="H127" i="41"/>
  <c r="H131" i="41"/>
  <c r="H135" i="41"/>
  <c r="H139" i="41"/>
  <c r="H143" i="41"/>
  <c r="H147" i="41"/>
  <c r="H151" i="41"/>
  <c r="H155" i="41"/>
  <c r="H159" i="41"/>
  <c r="H163" i="41"/>
  <c r="H167" i="41"/>
  <c r="H171" i="41"/>
  <c r="H175" i="41"/>
  <c r="H179" i="41"/>
  <c r="H183" i="41"/>
  <c r="H187" i="41"/>
  <c r="H191" i="41"/>
  <c r="H195" i="41"/>
  <c r="M10" i="41"/>
  <c r="M18" i="41"/>
  <c r="M26" i="41"/>
  <c r="M29" i="41"/>
  <c r="M33" i="41"/>
  <c r="M37" i="41"/>
  <c r="M41" i="41"/>
  <c r="M45" i="41"/>
  <c r="M48" i="41"/>
  <c r="M51" i="41"/>
  <c r="M59" i="41"/>
  <c r="M67" i="41"/>
  <c r="M75" i="41"/>
  <c r="M83" i="41"/>
  <c r="M91" i="41"/>
  <c r="M99" i="41"/>
  <c r="M107" i="41"/>
  <c r="M116" i="41"/>
  <c r="M120" i="41"/>
  <c r="M124" i="41"/>
  <c r="M128" i="41"/>
  <c r="M132" i="41"/>
  <c r="M136" i="41"/>
  <c r="M140" i="41"/>
  <c r="M144" i="41"/>
  <c r="M148" i="41"/>
  <c r="M152" i="41"/>
  <c r="M156" i="41"/>
  <c r="M160" i="41"/>
  <c r="M164" i="41"/>
  <c r="M168" i="41"/>
  <c r="M172" i="41"/>
  <c r="M176" i="41"/>
  <c r="M180" i="41"/>
  <c r="M184" i="41"/>
  <c r="M188" i="41"/>
  <c r="M192" i="41"/>
  <c r="M196" i="41"/>
  <c r="R10" i="40"/>
  <c r="R14" i="40"/>
  <c r="R18" i="40"/>
  <c r="R28" i="40"/>
  <c r="R32" i="40"/>
  <c r="R36" i="40"/>
  <c r="R38" i="40"/>
  <c r="R42" i="40"/>
  <c r="R47" i="40"/>
  <c r="R55" i="40"/>
  <c r="R58" i="40"/>
  <c r="R61" i="40"/>
  <c r="R65" i="40"/>
  <c r="R92" i="40"/>
  <c r="R103" i="40"/>
  <c r="R115" i="40"/>
  <c r="R128" i="40"/>
  <c r="R139" i="40"/>
  <c r="R142" i="40"/>
  <c r="R145" i="40"/>
  <c r="R147" i="40"/>
  <c r="R170" i="40"/>
  <c r="R181" i="40"/>
  <c r="R183" i="40"/>
  <c r="R187" i="40"/>
  <c r="R189" i="40"/>
  <c r="R192" i="40"/>
  <c r="R195" i="40"/>
  <c r="R198" i="40"/>
  <c r="H10" i="41"/>
  <c r="H30" i="41"/>
  <c r="H46" i="41"/>
  <c r="H62" i="41"/>
  <c r="H74" i="41"/>
  <c r="H90" i="41"/>
  <c r="H102" i="41"/>
  <c r="H118" i="41"/>
  <c r="H130" i="41"/>
  <c r="H142" i="41"/>
  <c r="H154" i="41"/>
  <c r="H166" i="41"/>
  <c r="H182" i="41"/>
  <c r="H198" i="41"/>
  <c r="M12" i="41"/>
  <c r="M20" i="41"/>
  <c r="M32" i="41"/>
  <c r="M44" i="41"/>
  <c r="M127" i="41"/>
  <c r="M139" i="41"/>
  <c r="M151" i="41"/>
  <c r="M163" i="41"/>
  <c r="M179" i="41"/>
  <c r="M195" i="41"/>
  <c r="R13" i="40"/>
  <c r="R31" i="40"/>
  <c r="R46" i="40"/>
  <c r="R60" i="40"/>
  <c r="R91" i="40"/>
  <c r="R112" i="40"/>
  <c r="R155" i="40"/>
  <c r="R167" i="40"/>
  <c r="R175" i="40"/>
  <c r="R180" i="40"/>
  <c r="R191" i="40"/>
  <c r="H11" i="41"/>
  <c r="H19" i="41"/>
  <c r="H31" i="41"/>
  <c r="H39" i="41"/>
  <c r="H47" i="41"/>
  <c r="H59" i="41"/>
  <c r="H75" i="41"/>
  <c r="H44" i="54"/>
  <c r="H126" i="54"/>
  <c r="H119" i="54"/>
  <c r="H113" i="54"/>
  <c r="H133" i="54"/>
  <c r="H137" i="54"/>
  <c r="H149" i="54"/>
  <c r="H153" i="54"/>
  <c r="H185" i="54"/>
  <c r="H12" i="41"/>
  <c r="H28" i="41"/>
  <c r="H44" i="41"/>
  <c r="H60" i="41"/>
  <c r="H76" i="41"/>
  <c r="H92" i="41"/>
  <c r="H108" i="41"/>
  <c r="H124" i="41"/>
  <c r="H140" i="41"/>
  <c r="H156" i="41"/>
  <c r="H172" i="41"/>
  <c r="H184" i="41"/>
  <c r="H196" i="41"/>
  <c r="M5" i="41"/>
  <c r="M13" i="41"/>
  <c r="M16" i="41"/>
  <c r="M21" i="41"/>
  <c r="M24" i="41"/>
  <c r="M34" i="41"/>
  <c r="M38" i="41"/>
  <c r="M42" i="41"/>
  <c r="M46" i="41"/>
  <c r="M49" i="41"/>
  <c r="M54" i="41"/>
  <c r="M57" i="41"/>
  <c r="M62" i="41"/>
  <c r="M65" i="41"/>
  <c r="M70" i="41"/>
  <c r="M73" i="41"/>
  <c r="M78" i="41"/>
  <c r="M81" i="41"/>
  <c r="M86" i="41"/>
  <c r="M89" i="41"/>
  <c r="M94" i="41"/>
  <c r="M97" i="41"/>
  <c r="M102" i="41"/>
  <c r="M105" i="41"/>
  <c r="M110" i="41"/>
  <c r="M113" i="41"/>
  <c r="M117" i="41"/>
  <c r="M121" i="41"/>
  <c r="M125" i="41"/>
  <c r="M129" i="41"/>
  <c r="M133" i="41"/>
  <c r="M137" i="41"/>
  <c r="M141" i="41"/>
  <c r="M145" i="41"/>
  <c r="M149" i="41"/>
  <c r="M153" i="41"/>
  <c r="M157" i="41"/>
  <c r="M161" i="41"/>
  <c r="M165" i="41"/>
  <c r="M169" i="41"/>
  <c r="M173" i="41"/>
  <c r="M177" i="41"/>
  <c r="M181" i="41"/>
  <c r="M185" i="41"/>
  <c r="M189" i="41"/>
  <c r="M193" i="41"/>
  <c r="M197" i="41"/>
  <c r="R8" i="40"/>
  <c r="R11" i="40"/>
  <c r="R15" i="40"/>
  <c r="R19" i="40"/>
  <c r="R22" i="40"/>
  <c r="R29" i="40"/>
  <c r="R39" i="40"/>
  <c r="R52" i="40"/>
  <c r="R62" i="40"/>
  <c r="R68" i="40"/>
  <c r="R72" i="40"/>
  <c r="R75" i="40"/>
  <c r="R78" i="40"/>
  <c r="R83" i="40"/>
  <c r="R86" i="40"/>
  <c r="R89" i="40"/>
  <c r="R93" i="40"/>
  <c r="R97" i="40"/>
  <c r="R104" i="40"/>
  <c r="R107" i="40"/>
  <c r="R116" i="40"/>
  <c r="R121" i="40"/>
  <c r="R131" i="40"/>
  <c r="R143" i="40"/>
  <c r="R148" i="40"/>
  <c r="R153" i="40"/>
  <c r="R156" i="40"/>
  <c r="R165" i="40"/>
  <c r="R173" i="40"/>
  <c r="R184" i="40"/>
  <c r="R193" i="40"/>
  <c r="H6" i="41"/>
  <c r="H14" i="41"/>
  <c r="H22" i="41"/>
  <c r="H34" i="41"/>
  <c r="H38" i="41"/>
  <c r="H50" i="41"/>
  <c r="H54" i="41"/>
  <c r="H66" i="41"/>
  <c r="H78" i="41"/>
  <c r="H82" i="41"/>
  <c r="H94" i="41"/>
  <c r="H106" i="41"/>
  <c r="H110" i="41"/>
  <c r="H122" i="41"/>
  <c r="H134" i="41"/>
  <c r="H146" i="41"/>
  <c r="H158" i="41"/>
  <c r="H162" i="41"/>
  <c r="H174" i="41"/>
  <c r="H186" i="41"/>
  <c r="H194" i="41"/>
  <c r="M28" i="41"/>
  <c r="M40" i="41"/>
  <c r="M53" i="41"/>
  <c r="M61" i="41"/>
  <c r="M101" i="41"/>
  <c r="M109" i="41"/>
  <c r="M115" i="41"/>
  <c r="M123" i="41"/>
  <c r="M135" i="41"/>
  <c r="M147" i="41"/>
  <c r="M155" i="41"/>
  <c r="M167" i="41"/>
  <c r="M175" i="41"/>
  <c r="M183" i="41"/>
  <c r="M191" i="41"/>
  <c r="R17" i="40"/>
  <c r="R27" i="40"/>
  <c r="R35" i="40"/>
  <c r="R44" i="40"/>
  <c r="R51" i="40"/>
  <c r="R64" i="40"/>
  <c r="R74" i="40"/>
  <c r="R88" i="40"/>
  <c r="R94" i="40"/>
  <c r="R109" i="40"/>
  <c r="R114" i="40"/>
  <c r="R133" i="40"/>
  <c r="R141" i="40"/>
  <c r="R164" i="40"/>
  <c r="R194" i="40"/>
  <c r="H15" i="41"/>
  <c r="H27" i="41"/>
  <c r="H35" i="41"/>
  <c r="H51" i="41"/>
  <c r="H8" i="41"/>
  <c r="H16" i="41"/>
  <c r="H20" i="41"/>
  <c r="H24" i="41"/>
  <c r="H32" i="41"/>
  <c r="H36" i="41"/>
  <c r="H40" i="41"/>
  <c r="H48" i="41"/>
  <c r="H52" i="41"/>
  <c r="H56" i="41"/>
  <c r="H64" i="41"/>
  <c r="H68" i="41"/>
  <c r="H72" i="41"/>
  <c r="H80" i="41"/>
  <c r="H84" i="41"/>
  <c r="H88" i="41"/>
  <c r="H96" i="41"/>
  <c r="H100" i="41"/>
  <c r="H104" i="41"/>
  <c r="H112" i="41"/>
  <c r="H116" i="41"/>
  <c r="H120" i="41"/>
  <c r="H128" i="41"/>
  <c r="H132" i="41"/>
  <c r="H136" i="41"/>
  <c r="H144" i="41"/>
  <c r="H148" i="41"/>
  <c r="H152" i="41"/>
  <c r="H160" i="41"/>
  <c r="H164" i="41"/>
  <c r="H168" i="41"/>
  <c r="H176" i="41"/>
  <c r="H180" i="41"/>
  <c r="H188" i="41"/>
  <c r="H192" i="41"/>
  <c r="M8" i="41"/>
  <c r="M30" i="41"/>
  <c r="H113" i="55"/>
  <c r="H133" i="55"/>
  <c r="H137" i="55"/>
  <c r="H149" i="55"/>
  <c r="H153" i="55"/>
  <c r="H185" i="55"/>
  <c r="H126" i="55"/>
  <c r="H119" i="55"/>
  <c r="H44" i="55"/>
  <c r="H5" i="41"/>
  <c r="H9" i="41"/>
  <c r="H13" i="41"/>
  <c r="H17" i="41"/>
  <c r="H21" i="41"/>
  <c r="H25" i="41"/>
  <c r="H29" i="41"/>
  <c r="H33" i="41"/>
  <c r="H37" i="41"/>
  <c r="H41" i="41"/>
  <c r="H45" i="41"/>
  <c r="H49" i="41"/>
  <c r="H53" i="41"/>
  <c r="H57" i="41"/>
  <c r="H61" i="41"/>
  <c r="H65" i="41"/>
  <c r="H69" i="41"/>
  <c r="H73" i="41"/>
  <c r="H77" i="41"/>
  <c r="H81" i="41"/>
  <c r="H85" i="41"/>
  <c r="H89" i="41"/>
  <c r="H93" i="41"/>
  <c r="H97" i="41"/>
  <c r="H101" i="41"/>
  <c r="H105" i="41"/>
  <c r="H109" i="41"/>
  <c r="H113" i="41"/>
  <c r="H117" i="41"/>
  <c r="H121" i="41"/>
  <c r="H125" i="41"/>
  <c r="H129" i="41"/>
  <c r="H133" i="41"/>
  <c r="H137" i="41"/>
  <c r="H141" i="41"/>
  <c r="H145" i="41"/>
  <c r="H149" i="41"/>
  <c r="H153" i="41"/>
  <c r="H157" i="41"/>
  <c r="H161" i="41"/>
  <c r="H165" i="41"/>
  <c r="H169" i="41"/>
  <c r="H173" i="41"/>
  <c r="H177" i="41"/>
  <c r="H181" i="41"/>
  <c r="H185" i="41"/>
  <c r="H189" i="41"/>
  <c r="H193" i="41"/>
  <c r="H197" i="41"/>
  <c r="M6" i="41"/>
  <c r="M11" i="41"/>
  <c r="M14" i="41"/>
  <c r="M19" i="41"/>
  <c r="M22" i="41"/>
  <c r="M27" i="41"/>
  <c r="M31" i="41"/>
  <c r="M35" i="41"/>
  <c r="M39" i="41"/>
  <c r="M43" i="41"/>
  <c r="M52" i="41"/>
  <c r="M55" i="41"/>
  <c r="M60" i="41"/>
  <c r="M63" i="41"/>
  <c r="M68" i="41"/>
  <c r="M71" i="41"/>
  <c r="M76" i="41"/>
  <c r="M79" i="41"/>
  <c r="M84" i="41"/>
  <c r="M87" i="41"/>
  <c r="M92" i="41"/>
  <c r="M95" i="41"/>
  <c r="M100" i="41"/>
  <c r="M103" i="41"/>
  <c r="M108" i="41"/>
  <c r="M111" i="41"/>
  <c r="M114" i="41"/>
  <c r="M118" i="41"/>
  <c r="M122" i="41"/>
  <c r="M126" i="41"/>
  <c r="M130" i="41"/>
  <c r="M134" i="41"/>
  <c r="M138" i="41"/>
  <c r="M142" i="41"/>
  <c r="M146" i="41"/>
  <c r="M150" i="41"/>
  <c r="M154" i="41"/>
  <c r="M158" i="41"/>
  <c r="M162" i="41"/>
  <c r="M166" i="41"/>
  <c r="M170" i="41"/>
  <c r="M174" i="41"/>
  <c r="M178" i="41"/>
  <c r="M182" i="41"/>
  <c r="M186" i="41"/>
  <c r="M190" i="41"/>
  <c r="M194" i="41"/>
  <c r="M198" i="41"/>
  <c r="R12" i="40"/>
  <c r="R16" i="40"/>
  <c r="R20" i="40"/>
  <c r="R23" i="40"/>
  <c r="R26" i="40"/>
  <c r="R30" i="40"/>
  <c r="R34" i="40"/>
  <c r="R40" i="40"/>
  <c r="R50" i="40"/>
  <c r="R53" i="40"/>
  <c r="R63" i="40"/>
  <c r="R69" i="40"/>
  <c r="R73" i="40"/>
  <c r="R76" i="40"/>
  <c r="R79" i="40"/>
  <c r="R81" i="40"/>
  <c r="R84" i="40"/>
  <c r="R87" i="40"/>
  <c r="R90" i="40"/>
  <c r="R98" i="40"/>
  <c r="R105" i="40"/>
  <c r="R108" i="40"/>
  <c r="R111" i="40"/>
  <c r="R117" i="40"/>
  <c r="R119" i="40"/>
  <c r="R122" i="40"/>
  <c r="R126" i="40"/>
  <c r="R132" i="40"/>
  <c r="R149" i="40"/>
  <c r="R151" i="40"/>
  <c r="R154" i="40"/>
  <c r="R157" i="40"/>
  <c r="R159" i="40"/>
  <c r="R161" i="40"/>
  <c r="R166" i="40"/>
  <c r="R174" i="40"/>
  <c r="R179" i="40"/>
  <c r="R185" i="40"/>
  <c r="I4" i="56"/>
  <c r="H15" i="56"/>
  <c r="H19" i="56"/>
  <c r="H51" i="56"/>
  <c r="H63" i="56"/>
  <c r="H87" i="56"/>
  <c r="H103" i="56"/>
  <c r="H7" i="56"/>
  <c r="H11" i="56"/>
  <c r="H43" i="56"/>
  <c r="H75" i="56"/>
  <c r="H83" i="56"/>
  <c r="H91" i="56"/>
  <c r="H107" i="56"/>
  <c r="H191" i="56"/>
  <c r="H32" i="56"/>
  <c r="H40" i="56"/>
  <c r="H52" i="56"/>
  <c r="H60" i="56"/>
  <c r="H68" i="56"/>
  <c r="H76" i="56"/>
  <c r="H23" i="56"/>
  <c r="H31" i="56"/>
  <c r="H47" i="56"/>
  <c r="H71" i="56"/>
  <c r="H190" i="56"/>
  <c r="H38" i="56"/>
  <c r="H50" i="56"/>
  <c r="H66" i="56"/>
  <c r="H86" i="56"/>
  <c r="H102" i="56"/>
  <c r="H118" i="56"/>
  <c r="H30" i="56"/>
  <c r="H46" i="56"/>
  <c r="H58" i="56"/>
  <c r="H74" i="56"/>
  <c r="H94" i="56"/>
  <c r="H110" i="56"/>
  <c r="H122" i="56"/>
  <c r="H130" i="56"/>
  <c r="H134" i="56"/>
  <c r="H27" i="56"/>
  <c r="H39" i="56"/>
  <c r="H115" i="56"/>
  <c r="H88" i="56"/>
  <c r="H96" i="56"/>
  <c r="H104" i="56"/>
  <c r="H112" i="56"/>
  <c r="H120" i="56"/>
  <c r="H192" i="56"/>
  <c r="H125" i="56"/>
  <c r="H129" i="56"/>
  <c r="H141" i="56"/>
  <c r="H145" i="56"/>
  <c r="H157" i="56"/>
  <c r="H189" i="56"/>
  <c r="H197" i="56"/>
  <c r="H194" i="56"/>
  <c r="H162" i="56"/>
  <c r="H174" i="56"/>
  <c r="H127" i="56"/>
  <c r="H135" i="56"/>
  <c r="H142" i="56"/>
  <c r="H146" i="56"/>
  <c r="H150" i="56"/>
  <c r="H154" i="56"/>
  <c r="H158" i="56"/>
  <c r="H195" i="56"/>
  <c r="H99" i="56"/>
  <c r="H42" i="56"/>
  <c r="H78" i="56"/>
  <c r="H106" i="56"/>
  <c r="H34" i="56"/>
  <c r="H70" i="56"/>
  <c r="H98" i="56"/>
  <c r="H8" i="56"/>
  <c r="H12" i="56"/>
  <c r="H16" i="56"/>
  <c r="H20" i="56"/>
  <c r="H24" i="56"/>
  <c r="H28" i="56"/>
  <c r="H48" i="56"/>
  <c r="H64" i="56"/>
  <c r="H80" i="56"/>
  <c r="H84" i="56"/>
  <c r="H164" i="56"/>
  <c r="H172" i="56"/>
  <c r="H180" i="56"/>
  <c r="H184" i="56"/>
  <c r="H5" i="56"/>
  <c r="H9" i="56"/>
  <c r="H13" i="56"/>
  <c r="H17" i="56"/>
  <c r="H21" i="56"/>
  <c r="H25" i="56"/>
  <c r="H29" i="56"/>
  <c r="H37" i="56"/>
  <c r="H45" i="56"/>
  <c r="H53" i="56"/>
  <c r="H61" i="56"/>
  <c r="H69" i="56"/>
  <c r="H77" i="56"/>
  <c r="H85" i="56"/>
  <c r="H93" i="56"/>
  <c r="H101" i="56"/>
  <c r="H109" i="56"/>
  <c r="H161" i="56"/>
  <c r="H165" i="56"/>
  <c r="H169" i="56"/>
  <c r="H173" i="56"/>
  <c r="H177" i="56"/>
  <c r="H181" i="56"/>
  <c r="H67" i="56"/>
  <c r="H18" i="56"/>
  <c r="H82" i="56"/>
  <c r="H100" i="56"/>
  <c r="H116" i="56"/>
  <c r="H132" i="56"/>
  <c r="H148" i="56"/>
  <c r="H160" i="56"/>
  <c r="H188" i="56"/>
  <c r="H121" i="56"/>
  <c r="H35" i="56"/>
  <c r="H59" i="56"/>
  <c r="H79" i="56"/>
  <c r="H198" i="56"/>
  <c r="H6" i="56"/>
  <c r="H22" i="56"/>
  <c r="H62" i="56"/>
  <c r="H138" i="56"/>
  <c r="H95" i="56"/>
  <c r="H111" i="56"/>
  <c r="H10" i="56"/>
  <c r="H54" i="56"/>
  <c r="H114" i="56"/>
  <c r="H92" i="56"/>
  <c r="H108" i="56"/>
  <c r="H124" i="56"/>
  <c r="H140" i="56"/>
  <c r="H156" i="56"/>
  <c r="H176" i="56"/>
  <c r="H14" i="56"/>
  <c r="H72" i="56"/>
  <c r="H168" i="56"/>
  <c r="H196" i="56"/>
  <c r="H73" i="56"/>
  <c r="H81" i="56"/>
  <c r="H170" i="56"/>
  <c r="H178" i="56"/>
  <c r="H167" i="56"/>
  <c r="H175" i="56"/>
  <c r="H183" i="56"/>
  <c r="H131" i="56"/>
  <c r="H151" i="56"/>
  <c r="H26" i="56"/>
  <c r="H128" i="56"/>
  <c r="H136" i="56"/>
  <c r="H144" i="56"/>
  <c r="H152" i="56"/>
  <c r="H57" i="56"/>
  <c r="H65" i="56"/>
  <c r="H186" i="56"/>
  <c r="H166" i="56"/>
  <c r="H123" i="56"/>
  <c r="H147" i="56"/>
  <c r="H90" i="56"/>
  <c r="H159" i="56"/>
  <c r="H187" i="56"/>
  <c r="H55" i="56"/>
  <c r="H33" i="56"/>
  <c r="H89" i="56"/>
  <c r="H97" i="56"/>
  <c r="H193" i="56"/>
  <c r="H36" i="56"/>
  <c r="H41" i="56"/>
  <c r="H49" i="56"/>
  <c r="H105" i="56"/>
  <c r="H117" i="56"/>
  <c r="H143" i="56"/>
  <c r="H56" i="56"/>
  <c r="H182" i="56"/>
  <c r="H171" i="56"/>
  <c r="H155" i="56"/>
  <c r="H139" i="56"/>
  <c r="H163" i="56"/>
  <c r="H179" i="56"/>
  <c r="I4" i="54"/>
  <c r="H74" i="54"/>
  <c r="H62" i="54"/>
  <c r="H14" i="54"/>
  <c r="H59" i="54"/>
  <c r="H13" i="54"/>
  <c r="H172" i="54"/>
  <c r="H118" i="54"/>
  <c r="H150" i="54"/>
  <c r="H88" i="54"/>
  <c r="H79" i="54"/>
  <c r="H87" i="54"/>
  <c r="H95" i="54"/>
  <c r="H99" i="54"/>
  <c r="H187" i="54"/>
  <c r="H61" i="54"/>
  <c r="H169" i="54"/>
  <c r="H38" i="54"/>
  <c r="H46" i="54"/>
  <c r="H90" i="54"/>
  <c r="H94" i="54"/>
  <c r="H98" i="54"/>
  <c r="H102" i="54"/>
  <c r="H114" i="54"/>
  <c r="H122" i="54"/>
  <c r="H142" i="54"/>
  <c r="H154" i="54"/>
  <c r="H178" i="54"/>
  <c r="H182" i="54"/>
  <c r="H186" i="54"/>
  <c r="H18" i="54"/>
  <c r="H19" i="54"/>
  <c r="H15" i="54"/>
  <c r="H70" i="54"/>
  <c r="H17" i="54"/>
  <c r="H65" i="54"/>
  <c r="H29" i="54"/>
  <c r="H80" i="54"/>
  <c r="H104" i="54"/>
  <c r="H128" i="54"/>
  <c r="H140" i="54"/>
  <c r="H145" i="54"/>
  <c r="H177" i="54"/>
  <c r="H160" i="54"/>
  <c r="H166" i="54"/>
  <c r="H12" i="54"/>
  <c r="H72" i="54"/>
  <c r="H183" i="54"/>
  <c r="H84" i="54"/>
  <c r="H92" i="54"/>
  <c r="H100" i="54"/>
  <c r="H116" i="54"/>
  <c r="H120" i="54"/>
  <c r="H152" i="54"/>
  <c r="H176" i="54"/>
  <c r="H192" i="54"/>
  <c r="H37" i="54"/>
  <c r="H83" i="54"/>
  <c r="H32" i="54"/>
  <c r="H52" i="54"/>
  <c r="H60" i="54"/>
  <c r="H64" i="54"/>
  <c r="H68" i="54"/>
  <c r="H76" i="54"/>
  <c r="H108" i="54"/>
  <c r="H124" i="54"/>
  <c r="H132" i="54"/>
  <c r="H136" i="54"/>
  <c r="H148" i="54"/>
  <c r="H156" i="54"/>
  <c r="H164" i="54"/>
  <c r="H168" i="54"/>
  <c r="H196" i="54"/>
  <c r="H66" i="54"/>
  <c r="H22" i="54"/>
  <c r="H50" i="54"/>
  <c r="H6" i="54"/>
  <c r="H21" i="54"/>
  <c r="H69" i="54"/>
  <c r="H49" i="54"/>
  <c r="H48" i="54"/>
  <c r="H173" i="54"/>
  <c r="H96" i="54"/>
  <c r="H112" i="54"/>
  <c r="H144" i="54"/>
  <c r="H138" i="54"/>
  <c r="H162" i="54"/>
  <c r="H194" i="54"/>
  <c r="H115" i="54"/>
  <c r="H135" i="54"/>
  <c r="H155" i="54"/>
  <c r="H78" i="54"/>
  <c r="H91" i="54"/>
  <c r="H103" i="54"/>
  <c r="H147" i="54"/>
  <c r="H167" i="54"/>
  <c r="H7" i="54"/>
  <c r="H20" i="54"/>
  <c r="H24" i="54"/>
  <c r="H25" i="54"/>
  <c r="H27" i="54"/>
  <c r="H28" i="54"/>
  <c r="H36" i="54"/>
  <c r="H39" i="54"/>
  <c r="H41" i="54"/>
  <c r="H45" i="54"/>
  <c r="H55" i="54"/>
  <c r="H56" i="54"/>
  <c r="H57" i="54"/>
  <c r="H58" i="54"/>
  <c r="H110" i="54"/>
  <c r="H130" i="54"/>
  <c r="H146" i="54"/>
  <c r="H174" i="54"/>
  <c r="H82" i="54"/>
  <c r="H9" i="54"/>
  <c r="H23" i="54"/>
  <c r="H43" i="54"/>
  <c r="H51" i="54"/>
  <c r="H63" i="54"/>
  <c r="H67" i="54"/>
  <c r="H71" i="54"/>
  <c r="H75" i="54"/>
  <c r="H107" i="54"/>
  <c r="H111" i="54"/>
  <c r="H123" i="54"/>
  <c r="H127" i="54"/>
  <c r="H131" i="54"/>
  <c r="H159" i="54"/>
  <c r="H163" i="54"/>
  <c r="H171" i="54"/>
  <c r="H175" i="54"/>
  <c r="H179" i="54"/>
  <c r="H198" i="54"/>
  <c r="H195" i="54"/>
  <c r="H129" i="54"/>
  <c r="H157" i="54"/>
  <c r="H181" i="54"/>
  <c r="H180" i="54"/>
  <c r="H86" i="54"/>
  <c r="H106" i="54"/>
  <c r="H134" i="54"/>
  <c r="H170" i="54"/>
  <c r="H143" i="54"/>
  <c r="H33" i="54"/>
  <c r="H93" i="54"/>
  <c r="H101" i="54"/>
  <c r="H125" i="54"/>
  <c r="H165" i="54"/>
  <c r="H193" i="54"/>
  <c r="H197" i="54"/>
  <c r="H34" i="54"/>
  <c r="H42" i="54"/>
  <c r="H54" i="54"/>
  <c r="H139" i="54"/>
  <c r="H5" i="54"/>
  <c r="H31" i="54"/>
  <c r="H35" i="54"/>
  <c r="H26" i="54"/>
  <c r="H30" i="54"/>
  <c r="H11" i="54"/>
  <c r="H47" i="54"/>
  <c r="H73" i="54"/>
  <c r="H10" i="54"/>
  <c r="H53" i="54"/>
  <c r="H184" i="54"/>
  <c r="H8" i="54"/>
  <c r="H40" i="54"/>
  <c r="H81" i="54"/>
  <c r="H89" i="54"/>
  <c r="H97" i="54"/>
  <c r="H105" i="54"/>
  <c r="H117" i="54"/>
  <c r="H121" i="54"/>
  <c r="H161" i="54"/>
  <c r="H189" i="54"/>
  <c r="H188" i="54"/>
  <c r="H158" i="54"/>
  <c r="H190" i="54"/>
  <c r="H16" i="54"/>
  <c r="H151" i="54"/>
  <c r="H191" i="54"/>
  <c r="H77" i="54"/>
  <c r="H85" i="54"/>
  <c r="H109" i="54"/>
  <c r="H141" i="54"/>
  <c r="I4" i="55"/>
  <c r="H80" i="55"/>
  <c r="H92" i="55"/>
  <c r="H96" i="55"/>
  <c r="H108" i="55"/>
  <c r="H116" i="55"/>
  <c r="H120" i="55"/>
  <c r="H132" i="55"/>
  <c r="H36" i="55"/>
  <c r="H40" i="55"/>
  <c r="H26" i="55"/>
  <c r="H30" i="55"/>
  <c r="H34" i="55"/>
  <c r="H58" i="55"/>
  <c r="H66" i="55"/>
  <c r="H70" i="55"/>
  <c r="H74" i="55"/>
  <c r="H78" i="55"/>
  <c r="H82" i="55"/>
  <c r="H86" i="55"/>
  <c r="H90" i="55"/>
  <c r="H7" i="55"/>
  <c r="H11" i="55"/>
  <c r="H15" i="55"/>
  <c r="H19" i="55"/>
  <c r="H23" i="55"/>
  <c r="H27" i="55"/>
  <c r="H31" i="55"/>
  <c r="H35" i="55"/>
  <c r="H39" i="55"/>
  <c r="H43" i="55"/>
  <c r="H47" i="55"/>
  <c r="H51" i="55"/>
  <c r="H55" i="55"/>
  <c r="H59" i="55"/>
  <c r="H63" i="55"/>
  <c r="H67" i="55"/>
  <c r="H71" i="55"/>
  <c r="H75" i="55"/>
  <c r="H79" i="55"/>
  <c r="H83" i="55"/>
  <c r="H87" i="55"/>
  <c r="H91" i="55"/>
  <c r="H95" i="55"/>
  <c r="H99" i="55"/>
  <c r="H103" i="55"/>
  <c r="H107" i="55"/>
  <c r="H111" i="55"/>
  <c r="H115" i="55"/>
  <c r="H123" i="55"/>
  <c r="H127" i="55"/>
  <c r="H131" i="55"/>
  <c r="H135" i="55"/>
  <c r="H139" i="55"/>
  <c r="H143" i="55"/>
  <c r="H147" i="55"/>
  <c r="H151" i="55"/>
  <c r="H155" i="55"/>
  <c r="H159" i="55"/>
  <c r="H163" i="55"/>
  <c r="H167" i="55"/>
  <c r="H171" i="55"/>
  <c r="H175" i="55"/>
  <c r="H179" i="55"/>
  <c r="H183" i="55"/>
  <c r="H187" i="55"/>
  <c r="H191" i="55"/>
  <c r="H195" i="55"/>
  <c r="H5" i="55"/>
  <c r="H9" i="55"/>
  <c r="H25" i="55"/>
  <c r="H41" i="55"/>
  <c r="H57" i="55"/>
  <c r="H73" i="55"/>
  <c r="H89" i="55"/>
  <c r="H105" i="55"/>
  <c r="H125" i="55"/>
  <c r="H157" i="55"/>
  <c r="H173" i="55"/>
  <c r="H193" i="55"/>
  <c r="H136" i="55"/>
  <c r="H148" i="55"/>
  <c r="H156" i="55"/>
  <c r="H160" i="55"/>
  <c r="H172" i="55"/>
  <c r="H176" i="55"/>
  <c r="H188" i="55"/>
  <c r="H192" i="55"/>
  <c r="H52" i="55"/>
  <c r="H56" i="55"/>
  <c r="H68" i="55"/>
  <c r="H72" i="55"/>
  <c r="H84" i="55"/>
  <c r="H88" i="55"/>
  <c r="H100" i="55"/>
  <c r="H104" i="55"/>
  <c r="H112" i="55"/>
  <c r="H124" i="55"/>
  <c r="H128" i="55"/>
  <c r="H140" i="55"/>
  <c r="H144" i="55"/>
  <c r="H152" i="55"/>
  <c r="H164" i="55"/>
  <c r="H168" i="55"/>
  <c r="H180" i="55"/>
  <c r="H184" i="55"/>
  <c r="H196" i="55"/>
  <c r="H6" i="55"/>
  <c r="H38" i="55"/>
  <c r="H94" i="55"/>
  <c r="H98" i="55"/>
  <c r="H102" i="55"/>
  <c r="H106" i="55"/>
  <c r="H110" i="55"/>
  <c r="H114" i="55"/>
  <c r="H28" i="55"/>
  <c r="H64" i="55"/>
  <c r="H8" i="55"/>
  <c r="H10" i="55"/>
  <c r="H14" i="55"/>
  <c r="H50" i="55"/>
  <c r="H54" i="55"/>
  <c r="H118" i="55"/>
  <c r="H142" i="55"/>
  <c r="H158" i="55"/>
  <c r="H174" i="55"/>
  <c r="H190" i="55"/>
  <c r="H16" i="55"/>
  <c r="H60" i="55"/>
  <c r="H62" i="55"/>
  <c r="H12" i="55"/>
  <c r="H48" i="55"/>
  <c r="H24" i="55"/>
  <c r="H22" i="55"/>
  <c r="H42" i="55"/>
  <c r="H130" i="55"/>
  <c r="H134" i="55"/>
  <c r="H150" i="55"/>
  <c r="H166" i="55"/>
  <c r="H182" i="55"/>
  <c r="H198" i="55"/>
  <c r="H76" i="55"/>
  <c r="H122" i="55"/>
  <c r="H17" i="55"/>
  <c r="H45" i="55"/>
  <c r="H53" i="55"/>
  <c r="H81" i="55"/>
  <c r="H109" i="55"/>
  <c r="H121" i="55"/>
  <c r="H165" i="55"/>
  <c r="H197" i="55"/>
  <c r="H46" i="55"/>
  <c r="H33" i="55"/>
  <c r="H61" i="55"/>
  <c r="H69" i="55"/>
  <c r="H97" i="55"/>
  <c r="H129" i="55"/>
  <c r="H145" i="55"/>
  <c r="H181" i="55"/>
  <c r="H32" i="55"/>
  <c r="H21" i="55"/>
  <c r="H49" i="55"/>
  <c r="H85" i="55"/>
  <c r="H117" i="55"/>
  <c r="H161" i="55"/>
  <c r="H20" i="55"/>
  <c r="H138" i="55"/>
  <c r="H146" i="55"/>
  <c r="H154" i="55"/>
  <c r="H162" i="55"/>
  <c r="H170" i="55"/>
  <c r="H178" i="55"/>
  <c r="H186" i="55"/>
  <c r="H194" i="55"/>
  <c r="H13" i="55"/>
  <c r="H77" i="55"/>
  <c r="H169" i="55"/>
  <c r="H18" i="55"/>
  <c r="H29" i="55"/>
  <c r="H37" i="55"/>
  <c r="H65" i="55"/>
  <c r="H93" i="55"/>
  <c r="H101" i="55"/>
  <c r="H141" i="55"/>
  <c r="H177" i="55"/>
  <c r="H189" i="55"/>
  <c r="G191" i="52"/>
  <c r="G190" i="52"/>
  <c r="G189" i="52"/>
  <c r="G188" i="52"/>
  <c r="G187" i="52"/>
  <c r="G184" i="52"/>
  <c r="G183" i="52"/>
  <c r="G181" i="52"/>
  <c r="G177" i="52"/>
  <c r="G173" i="52"/>
  <c r="G172" i="52"/>
  <c r="G170" i="52"/>
  <c r="G166" i="52"/>
  <c r="G162" i="52"/>
  <c r="G161" i="52"/>
  <c r="G160" i="52"/>
  <c r="G158" i="52"/>
  <c r="G157" i="52"/>
  <c r="G155" i="52"/>
  <c r="G153" i="52"/>
  <c r="G151" i="52"/>
  <c r="G150" i="52"/>
  <c r="G149" i="52"/>
  <c r="G147" i="52"/>
  <c r="G146" i="52"/>
  <c r="G145" i="52"/>
  <c r="G144" i="52"/>
  <c r="G143" i="52"/>
  <c r="G141" i="52"/>
  <c r="G140" i="52"/>
  <c r="G138" i="52"/>
  <c r="G137" i="52"/>
  <c r="G135" i="52"/>
  <c r="G134" i="52"/>
  <c r="G133" i="52"/>
  <c r="G130" i="52"/>
  <c r="G129" i="52"/>
  <c r="G128" i="52"/>
  <c r="G126" i="52"/>
  <c r="G121" i="52"/>
  <c r="G119" i="52"/>
  <c r="G118" i="52"/>
  <c r="G117" i="52"/>
  <c r="G115" i="52"/>
  <c r="G113" i="52"/>
  <c r="G112" i="52"/>
  <c r="G109" i="52"/>
  <c r="G106" i="52"/>
  <c r="G105" i="52"/>
  <c r="G104" i="52"/>
  <c r="G103" i="52"/>
  <c r="G100" i="52"/>
  <c r="G99" i="52"/>
  <c r="G96" i="52"/>
  <c r="G95" i="52"/>
  <c r="G92" i="52"/>
  <c r="G91" i="52"/>
  <c r="G90" i="52"/>
  <c r="G89" i="52"/>
  <c r="G88" i="52"/>
  <c r="G87" i="52"/>
  <c r="G86" i="52"/>
  <c r="G81" i="52"/>
  <c r="G80" i="52"/>
  <c r="G79" i="52"/>
  <c r="G77" i="52"/>
  <c r="G74" i="52"/>
  <c r="G73" i="52"/>
  <c r="G72" i="52"/>
  <c r="G70" i="52"/>
  <c r="G69" i="52"/>
  <c r="G66" i="52"/>
  <c r="G65" i="52"/>
  <c r="G62" i="52"/>
  <c r="G59" i="52"/>
  <c r="G57" i="52"/>
  <c r="G56" i="52"/>
  <c r="G55" i="52"/>
  <c r="G50" i="52"/>
  <c r="G49" i="52"/>
  <c r="G47" i="52"/>
  <c r="G45" i="52"/>
  <c r="G44" i="52"/>
  <c r="G41" i="52"/>
  <c r="G40" i="52"/>
  <c r="G39" i="52"/>
  <c r="G35" i="52"/>
  <c r="G30" i="52"/>
  <c r="G29" i="52"/>
  <c r="G28" i="52"/>
  <c r="G27" i="52"/>
  <c r="G26" i="52"/>
  <c r="G25" i="52"/>
  <c r="G24" i="52"/>
  <c r="G22" i="52"/>
  <c r="G21" i="52"/>
  <c r="G20" i="52"/>
  <c r="G19" i="52"/>
  <c r="G17" i="52"/>
  <c r="G16" i="52"/>
  <c r="G15" i="52"/>
  <c r="G14" i="52"/>
  <c r="G13" i="52"/>
  <c r="G12" i="52"/>
  <c r="G11" i="52"/>
  <c r="G10" i="52"/>
  <c r="G8" i="52"/>
  <c r="G6" i="52"/>
  <c r="F198" i="52"/>
  <c r="G198" i="52" s="1"/>
  <c r="F195" i="52"/>
  <c r="G195" i="52" s="1"/>
  <c r="F193" i="52"/>
  <c r="G193" i="52" s="1"/>
  <c r="F192" i="52"/>
  <c r="G192" i="52" s="1"/>
  <c r="F186" i="52"/>
  <c r="G186" i="52" s="1"/>
  <c r="F185" i="52"/>
  <c r="G185" i="52" s="1"/>
  <c r="F182" i="52"/>
  <c r="G182" i="52" s="1"/>
  <c r="F180" i="52"/>
  <c r="G180" i="52" s="1"/>
  <c r="F174" i="52"/>
  <c r="G174" i="52" s="1"/>
  <c r="F169" i="52"/>
  <c r="G169" i="52" s="1"/>
  <c r="F167" i="52"/>
  <c r="G167" i="52" s="1"/>
  <c r="F165" i="52"/>
  <c r="G165" i="52" s="1"/>
  <c r="F148" i="52"/>
  <c r="G148" i="52" s="1"/>
  <c r="F139" i="52"/>
  <c r="G139" i="52" s="1"/>
  <c r="F136" i="52"/>
  <c r="G136" i="52" s="1"/>
  <c r="F131" i="52"/>
  <c r="G131" i="52" s="1"/>
  <c r="F127" i="52"/>
  <c r="G127" i="52" s="1"/>
  <c r="F125" i="52"/>
  <c r="G125" i="52" s="1"/>
  <c r="F123" i="52"/>
  <c r="G123" i="52" s="1"/>
  <c r="F122" i="52"/>
  <c r="G122" i="52" s="1"/>
  <c r="F116" i="52"/>
  <c r="G116" i="52" s="1"/>
  <c r="F108" i="52"/>
  <c r="G108" i="52" s="1"/>
  <c r="F94" i="52"/>
  <c r="G94" i="52" s="1"/>
  <c r="F85" i="52"/>
  <c r="G85" i="52" s="1"/>
  <c r="F83" i="52"/>
  <c r="G83" i="52" s="1"/>
  <c r="F76" i="52"/>
  <c r="G76" i="52" s="1"/>
  <c r="F68" i="52"/>
  <c r="G68" i="52" s="1"/>
  <c r="F67" i="52"/>
  <c r="G67" i="52" s="1"/>
  <c r="F64" i="52"/>
  <c r="G64" i="52" s="1"/>
  <c r="F60" i="52"/>
  <c r="G60" i="52" s="1"/>
  <c r="F58" i="52"/>
  <c r="G58" i="52" s="1"/>
  <c r="F54" i="52"/>
  <c r="G54" i="52" s="1"/>
  <c r="F53" i="52"/>
  <c r="G53" i="52" s="1"/>
  <c r="F52" i="52"/>
  <c r="G52" i="52" s="1"/>
  <c r="F51" i="52"/>
  <c r="G51" i="52" s="1"/>
  <c r="F48" i="52"/>
  <c r="G48" i="52" s="1"/>
  <c r="F46" i="52"/>
  <c r="G46" i="52" s="1"/>
  <c r="F38" i="52"/>
  <c r="G38" i="52" s="1"/>
  <c r="F37" i="52"/>
  <c r="G37" i="52" s="1"/>
  <c r="F31" i="52"/>
  <c r="G31" i="52" s="1"/>
  <c r="F23" i="52"/>
  <c r="G23" i="52" s="1"/>
  <c r="F9" i="52"/>
  <c r="G9" i="52" s="1"/>
  <c r="F7" i="52"/>
  <c r="G7" i="52" s="1"/>
  <c r="F5" i="52"/>
  <c r="G5" i="52" s="1"/>
  <c r="F197" i="52"/>
  <c r="G197" i="52" s="1"/>
  <c r="F196" i="52"/>
  <c r="G196" i="52" s="1"/>
  <c r="F194" i="52"/>
  <c r="G194" i="52" s="1"/>
  <c r="F179" i="52"/>
  <c r="G179" i="52" s="1"/>
  <c r="F178" i="52"/>
  <c r="G178" i="52" s="1"/>
  <c r="F176" i="52"/>
  <c r="G176" i="52" s="1"/>
  <c r="F175" i="52"/>
  <c r="G175" i="52" s="1"/>
  <c r="F171" i="52"/>
  <c r="G171" i="52" s="1"/>
  <c r="F168" i="52"/>
  <c r="G168" i="52" s="1"/>
  <c r="F164" i="52"/>
  <c r="G164" i="52" s="1"/>
  <c r="F163" i="52"/>
  <c r="G163" i="52" s="1"/>
  <c r="F159" i="52"/>
  <c r="G159" i="52" s="1"/>
  <c r="F156" i="52"/>
  <c r="G156" i="52" s="1"/>
  <c r="F154" i="52"/>
  <c r="G154" i="52" s="1"/>
  <c r="F152" i="52"/>
  <c r="G152" i="52" s="1"/>
  <c r="F142" i="52"/>
  <c r="G142" i="52" s="1"/>
  <c r="F132" i="52"/>
  <c r="G132" i="52" s="1"/>
  <c r="F124" i="52"/>
  <c r="G124" i="52" s="1"/>
  <c r="F120" i="52"/>
  <c r="G120" i="52" s="1"/>
  <c r="F114" i="52"/>
  <c r="G114" i="52" s="1"/>
  <c r="F111" i="52"/>
  <c r="G111" i="52" s="1"/>
  <c r="F110" i="52"/>
  <c r="G110" i="52" s="1"/>
  <c r="F107" i="52"/>
  <c r="G107" i="52" s="1"/>
  <c r="F102" i="52"/>
  <c r="G102" i="52" s="1"/>
  <c r="F101" i="52"/>
  <c r="G101" i="52" s="1"/>
  <c r="F98" i="52"/>
  <c r="G98" i="52" s="1"/>
  <c r="F97" i="52"/>
  <c r="G97" i="52" s="1"/>
  <c r="F93" i="52"/>
  <c r="G93" i="52" s="1"/>
  <c r="F84" i="52"/>
  <c r="G84" i="52" s="1"/>
  <c r="F82" i="52"/>
  <c r="G82" i="52" s="1"/>
  <c r="F78" i="52"/>
  <c r="G78" i="52" s="1"/>
  <c r="F75" i="52"/>
  <c r="G75" i="52" s="1"/>
  <c r="F71" i="52"/>
  <c r="G71" i="52" s="1"/>
  <c r="F63" i="52"/>
  <c r="G63" i="52" s="1"/>
  <c r="F61" i="52"/>
  <c r="G61" i="52" s="1"/>
  <c r="F43" i="52"/>
  <c r="G43" i="52" s="1"/>
  <c r="F42" i="52"/>
  <c r="G42" i="52" s="1"/>
  <c r="F36" i="52"/>
  <c r="G36" i="52" s="1"/>
  <c r="F34" i="52"/>
  <c r="G34" i="52" s="1"/>
  <c r="F33" i="52"/>
  <c r="G33" i="52" s="1"/>
  <c r="F32" i="52"/>
  <c r="G32" i="52" s="1"/>
  <c r="F18" i="52"/>
  <c r="G18" i="52" s="1"/>
  <c r="N7" i="41" l="1"/>
  <c r="I33" i="40"/>
  <c r="I9" i="40"/>
  <c r="I7" i="40"/>
  <c r="I6" i="40"/>
  <c r="I5" i="40"/>
  <c r="N88" i="41"/>
  <c r="N80" i="41"/>
  <c r="N104" i="41"/>
  <c r="O104" i="41" s="1"/>
  <c r="N47" i="41"/>
  <c r="I113" i="55"/>
  <c r="I133" i="55"/>
  <c r="I137" i="55"/>
  <c r="I149" i="55"/>
  <c r="I153" i="55"/>
  <c r="I185" i="55"/>
  <c r="I126" i="55"/>
  <c r="I119" i="55"/>
  <c r="I44" i="55"/>
  <c r="I119" i="56"/>
  <c r="I44" i="56"/>
  <c r="I113" i="56"/>
  <c r="I133" i="56"/>
  <c r="I137" i="56"/>
  <c r="I149" i="56"/>
  <c r="I153" i="56"/>
  <c r="I185" i="56"/>
  <c r="I126" i="56"/>
  <c r="S166" i="40"/>
  <c r="S154" i="40"/>
  <c r="S126" i="40"/>
  <c r="S111" i="40"/>
  <c r="S90" i="40"/>
  <c r="S79" i="40"/>
  <c r="S63" i="40"/>
  <c r="S34" i="40"/>
  <c r="S20" i="40"/>
  <c r="N194" i="41"/>
  <c r="N178" i="41"/>
  <c r="N162" i="41"/>
  <c r="N146" i="41"/>
  <c r="N130" i="41"/>
  <c r="N114" i="41"/>
  <c r="N108" i="41"/>
  <c r="N92" i="41"/>
  <c r="N76" i="41"/>
  <c r="N60" i="41"/>
  <c r="N39" i="41"/>
  <c r="N22" i="41"/>
  <c r="N6" i="41"/>
  <c r="I185" i="41"/>
  <c r="I169" i="41"/>
  <c r="I153" i="41"/>
  <c r="I137" i="41"/>
  <c r="I121" i="41"/>
  <c r="I105" i="41"/>
  <c r="I89" i="41"/>
  <c r="I73" i="41"/>
  <c r="I57" i="41"/>
  <c r="I41" i="41"/>
  <c r="I25" i="41"/>
  <c r="I9" i="41"/>
  <c r="I188" i="41"/>
  <c r="I164" i="41"/>
  <c r="I144" i="41"/>
  <c r="I120" i="41"/>
  <c r="I100" i="41"/>
  <c r="I80" i="41"/>
  <c r="I56" i="41"/>
  <c r="I36" i="41"/>
  <c r="I16" i="41"/>
  <c r="I27" i="41"/>
  <c r="S141" i="40"/>
  <c r="S94" i="40"/>
  <c r="S51" i="40"/>
  <c r="S17" i="40"/>
  <c r="N191" i="41"/>
  <c r="N155" i="41"/>
  <c r="N115" i="41"/>
  <c r="O66" i="41"/>
  <c r="N40" i="41"/>
  <c r="I194" i="41"/>
  <c r="I158" i="41"/>
  <c r="I110" i="41"/>
  <c r="I78" i="41"/>
  <c r="I38" i="41"/>
  <c r="I6" i="41"/>
  <c r="S153" i="40"/>
  <c r="S121" i="40"/>
  <c r="S97" i="40"/>
  <c r="S83" i="40"/>
  <c r="S68" i="40"/>
  <c r="S15" i="40"/>
  <c r="N197" i="41"/>
  <c r="N181" i="41"/>
  <c r="N165" i="41"/>
  <c r="N149" i="41"/>
  <c r="N133" i="41"/>
  <c r="N117" i="41"/>
  <c r="N110" i="41"/>
  <c r="N94" i="41"/>
  <c r="N78" i="41"/>
  <c r="N62" i="41"/>
  <c r="N38" i="41"/>
  <c r="N24" i="41"/>
  <c r="I184" i="41"/>
  <c r="I124" i="41"/>
  <c r="I60" i="41"/>
  <c r="I59" i="41"/>
  <c r="I19" i="41"/>
  <c r="S175" i="40"/>
  <c r="S91" i="40"/>
  <c r="S13" i="40"/>
  <c r="N163" i="41"/>
  <c r="O98" i="41"/>
  <c r="N32" i="41"/>
  <c r="I182" i="41"/>
  <c r="I130" i="41"/>
  <c r="I74" i="41"/>
  <c r="I10" i="41"/>
  <c r="S189" i="40"/>
  <c r="S170" i="40"/>
  <c r="S115" i="40"/>
  <c r="S61" i="40"/>
  <c r="S42" i="40"/>
  <c r="S28" i="40"/>
  <c r="S14" i="40"/>
  <c r="N192" i="41"/>
  <c r="N176" i="41"/>
  <c r="N160" i="41"/>
  <c r="N144" i="41"/>
  <c r="N128" i="41"/>
  <c r="N91" i="41"/>
  <c r="N59" i="41"/>
  <c r="N48" i="41"/>
  <c r="N33" i="41"/>
  <c r="N10" i="41"/>
  <c r="I191" i="41"/>
  <c r="I175" i="41"/>
  <c r="I159" i="41"/>
  <c r="I143" i="41"/>
  <c r="I127" i="41"/>
  <c r="I111" i="41"/>
  <c r="I95" i="41"/>
  <c r="I79" i="41"/>
  <c r="I55" i="41"/>
  <c r="S197" i="40"/>
  <c r="S144" i="40"/>
  <c r="S54" i="40"/>
  <c r="N171" i="41"/>
  <c r="N119" i="41"/>
  <c r="N77" i="41"/>
  <c r="N36" i="41"/>
  <c r="I190" i="41"/>
  <c r="I138" i="41"/>
  <c r="I86" i="41"/>
  <c r="I26" i="41"/>
  <c r="S168" i="40"/>
  <c r="S136" i="40"/>
  <c r="S101" i="40"/>
  <c r="S135" i="40"/>
  <c r="S59" i="40"/>
  <c r="O112" i="41"/>
  <c r="S134" i="40"/>
  <c r="S70" i="40"/>
  <c r="O7" i="41"/>
  <c r="S125" i="40"/>
  <c r="S57" i="40"/>
  <c r="S190" i="40"/>
  <c r="S158" i="40"/>
  <c r="S96" i="40"/>
  <c r="S174" i="40"/>
  <c r="S157" i="40"/>
  <c r="S132" i="40"/>
  <c r="S117" i="40"/>
  <c r="S98" i="40"/>
  <c r="S81" i="40"/>
  <c r="S69" i="40"/>
  <c r="S40" i="40"/>
  <c r="S23" i="40"/>
  <c r="N198" i="41"/>
  <c r="N182" i="41"/>
  <c r="N166" i="41"/>
  <c r="N150" i="41"/>
  <c r="N134" i="41"/>
  <c r="N118" i="41"/>
  <c r="N103" i="41"/>
  <c r="N87" i="41"/>
  <c r="N71" i="41"/>
  <c r="N55" i="41"/>
  <c r="N43" i="41"/>
  <c r="N19" i="41"/>
  <c r="I189" i="41"/>
  <c r="I173" i="41"/>
  <c r="I157" i="41"/>
  <c r="I141" i="41"/>
  <c r="I125" i="41"/>
  <c r="I109" i="41"/>
  <c r="I93" i="41"/>
  <c r="I77" i="41"/>
  <c r="I61" i="41"/>
  <c r="I45" i="41"/>
  <c r="I29" i="41"/>
  <c r="I13" i="41"/>
  <c r="I192" i="41"/>
  <c r="I168" i="41"/>
  <c r="I148" i="41"/>
  <c r="I128" i="41"/>
  <c r="I104" i="41"/>
  <c r="I84" i="41"/>
  <c r="I64" i="41"/>
  <c r="I40" i="41"/>
  <c r="I20" i="41"/>
  <c r="I35" i="41"/>
  <c r="S164" i="40"/>
  <c r="S109" i="40"/>
  <c r="S64" i="40"/>
  <c r="S27" i="40"/>
  <c r="N167" i="41"/>
  <c r="N123" i="41"/>
  <c r="O74" i="41"/>
  <c r="O47" i="41"/>
  <c r="I162" i="41"/>
  <c r="I122" i="41"/>
  <c r="I82" i="41"/>
  <c r="I50" i="41"/>
  <c r="I14" i="41"/>
  <c r="S156" i="40"/>
  <c r="S131" i="40"/>
  <c r="S104" i="40"/>
  <c r="S86" i="40"/>
  <c r="S72" i="40"/>
  <c r="S39" i="40"/>
  <c r="S19" i="40"/>
  <c r="N185" i="41"/>
  <c r="N169" i="41"/>
  <c r="N153" i="41"/>
  <c r="N137" i="41"/>
  <c r="N121" i="41"/>
  <c r="N105" i="41"/>
  <c r="N89" i="41"/>
  <c r="N73" i="41"/>
  <c r="N57" i="41"/>
  <c r="N42" i="41"/>
  <c r="N21" i="41"/>
  <c r="I196" i="41"/>
  <c r="I140" i="41"/>
  <c r="I76" i="41"/>
  <c r="I12" i="41"/>
  <c r="I75" i="41"/>
  <c r="I31" i="41"/>
  <c r="S180" i="40"/>
  <c r="S112" i="40"/>
  <c r="S31" i="40"/>
  <c r="N179" i="41"/>
  <c r="N127" i="41"/>
  <c r="N44" i="41"/>
  <c r="I198" i="41"/>
  <c r="I142" i="41"/>
  <c r="I90" i="41"/>
  <c r="I30" i="41"/>
  <c r="S192" i="40"/>
  <c r="S181" i="40"/>
  <c r="S128" i="40"/>
  <c r="S65" i="40"/>
  <c r="S47" i="40"/>
  <c r="S32" i="40"/>
  <c r="N196" i="41"/>
  <c r="N180" i="41"/>
  <c r="N164" i="41"/>
  <c r="N148" i="41"/>
  <c r="N132" i="41"/>
  <c r="N116" i="41"/>
  <c r="N83" i="41"/>
  <c r="N51" i="41"/>
  <c r="N37" i="41"/>
  <c r="I195" i="41"/>
  <c r="I179" i="41"/>
  <c r="I163" i="41"/>
  <c r="I147" i="41"/>
  <c r="I131" i="41"/>
  <c r="I115" i="41"/>
  <c r="I99" i="41"/>
  <c r="I83" i="41"/>
  <c r="I63" i="41"/>
  <c r="I7" i="41"/>
  <c r="S169" i="40"/>
  <c r="S85" i="40"/>
  <c r="N187" i="41"/>
  <c r="N131" i="41"/>
  <c r="N85" i="41"/>
  <c r="O50" i="41"/>
  <c r="O9" i="41"/>
  <c r="I150" i="41"/>
  <c r="I98" i="41"/>
  <c r="I42" i="41"/>
  <c r="S172" i="40"/>
  <c r="S140" i="40"/>
  <c r="S113" i="40"/>
  <c r="S43" i="40"/>
  <c r="O23" i="41"/>
  <c r="S163" i="40"/>
  <c r="S67" i="40"/>
  <c r="S45" i="40"/>
  <c r="S146" i="40"/>
  <c r="S80" i="40"/>
  <c r="S25" i="40"/>
  <c r="O72" i="41"/>
  <c r="S129" i="40"/>
  <c r="S99" i="40"/>
  <c r="O96" i="41"/>
  <c r="S162" i="40"/>
  <c r="S130" i="40"/>
  <c r="S95" i="40"/>
  <c r="I44" i="54"/>
  <c r="I126" i="54"/>
  <c r="I119" i="54"/>
  <c r="I113" i="54"/>
  <c r="I133" i="54"/>
  <c r="I137" i="54"/>
  <c r="I149" i="54"/>
  <c r="I153" i="54"/>
  <c r="I185" i="54"/>
  <c r="S179" i="40"/>
  <c r="S159" i="40"/>
  <c r="S149" i="40"/>
  <c r="S119" i="40"/>
  <c r="S105" i="40"/>
  <c r="S84" i="40"/>
  <c r="S73" i="40"/>
  <c r="S50" i="40"/>
  <c r="S26" i="40"/>
  <c r="S12" i="40"/>
  <c r="N186" i="41"/>
  <c r="N170" i="41"/>
  <c r="N154" i="41"/>
  <c r="N138" i="41"/>
  <c r="N122" i="41"/>
  <c r="N100" i="41"/>
  <c r="N84" i="41"/>
  <c r="N68" i="41"/>
  <c r="N52" i="41"/>
  <c r="N31" i="41"/>
  <c r="N14" i="41"/>
  <c r="I193" i="41"/>
  <c r="I177" i="41"/>
  <c r="I161" i="41"/>
  <c r="I145" i="41"/>
  <c r="I129" i="41"/>
  <c r="I113" i="41"/>
  <c r="I97" i="41"/>
  <c r="I81" i="41"/>
  <c r="I65" i="41"/>
  <c r="I49" i="41"/>
  <c r="I33" i="41"/>
  <c r="I17" i="41"/>
  <c r="N8" i="41"/>
  <c r="I176" i="41"/>
  <c r="I152" i="41"/>
  <c r="I132" i="41"/>
  <c r="I112" i="41"/>
  <c r="I88" i="41"/>
  <c r="I68" i="41"/>
  <c r="I48" i="41"/>
  <c r="I24" i="41"/>
  <c r="I51" i="41"/>
  <c r="S194" i="40"/>
  <c r="S114" i="40"/>
  <c r="S74" i="40"/>
  <c r="S35" i="40"/>
  <c r="N175" i="41"/>
  <c r="N135" i="41"/>
  <c r="N101" i="41"/>
  <c r="O82" i="41"/>
  <c r="N53" i="41"/>
  <c r="I174" i="41"/>
  <c r="I134" i="41"/>
  <c r="I94" i="41"/>
  <c r="I54" i="41"/>
  <c r="I22" i="41"/>
  <c r="S184" i="40"/>
  <c r="S165" i="40"/>
  <c r="S143" i="40"/>
  <c r="S107" i="40"/>
  <c r="S89" i="40"/>
  <c r="S75" i="40"/>
  <c r="S52" i="40"/>
  <c r="S22" i="40"/>
  <c r="S8" i="40"/>
  <c r="N189" i="41"/>
  <c r="N173" i="41"/>
  <c r="N157" i="41"/>
  <c r="N141" i="41"/>
  <c r="N125" i="41"/>
  <c r="N102" i="41"/>
  <c r="N86" i="41"/>
  <c r="N70" i="41"/>
  <c r="N54" i="41"/>
  <c r="N46" i="41"/>
  <c r="N16" i="41"/>
  <c r="N5" i="41"/>
  <c r="I156" i="41"/>
  <c r="I92" i="41"/>
  <c r="I28" i="41"/>
  <c r="I39" i="41"/>
  <c r="S191" i="40"/>
  <c r="S155" i="40"/>
  <c r="S46" i="40"/>
  <c r="N195" i="41"/>
  <c r="N139" i="41"/>
  <c r="N12" i="41"/>
  <c r="I154" i="41"/>
  <c r="I102" i="41"/>
  <c r="I46" i="41"/>
  <c r="S195" i="40"/>
  <c r="S183" i="40"/>
  <c r="S145" i="40"/>
  <c r="S139" i="40"/>
  <c r="S92" i="40"/>
  <c r="S55" i="40"/>
  <c r="S36" i="40"/>
  <c r="N184" i="41"/>
  <c r="N168" i="41"/>
  <c r="N152" i="41"/>
  <c r="N136" i="41"/>
  <c r="N120" i="41"/>
  <c r="N107" i="41"/>
  <c r="N75" i="41"/>
  <c r="N41" i="41"/>
  <c r="N26" i="41"/>
  <c r="I183" i="41"/>
  <c r="I167" i="41"/>
  <c r="I151" i="41"/>
  <c r="I135" i="41"/>
  <c r="I119" i="41"/>
  <c r="I103" i="41"/>
  <c r="I87" i="41"/>
  <c r="I67" i="41"/>
  <c r="I23" i="41"/>
  <c r="S177" i="40"/>
  <c r="S102" i="40"/>
  <c r="S24" i="40"/>
  <c r="N143" i="41"/>
  <c r="N93" i="41"/>
  <c r="O58" i="41"/>
  <c r="O17" i="41"/>
  <c r="I170" i="41"/>
  <c r="I114" i="41"/>
  <c r="I58" i="41"/>
  <c r="S176" i="40"/>
  <c r="S152" i="40"/>
  <c r="S120" i="40"/>
  <c r="S71" i="40"/>
  <c r="O56" i="41"/>
  <c r="S171" i="40"/>
  <c r="S77" i="40"/>
  <c r="S49" i="40"/>
  <c r="O15" i="41"/>
  <c r="S100" i="40"/>
  <c r="S37" i="40"/>
  <c r="S137" i="40"/>
  <c r="S106" i="40"/>
  <c r="S178" i="40"/>
  <c r="S138" i="40"/>
  <c r="S21" i="40"/>
  <c r="S185" i="40"/>
  <c r="S161" i="40"/>
  <c r="S151" i="40"/>
  <c r="S122" i="40"/>
  <c r="S108" i="40"/>
  <c r="S87" i="40"/>
  <c r="S76" i="40"/>
  <c r="S53" i="40"/>
  <c r="S30" i="40"/>
  <c r="S16" i="40"/>
  <c r="N190" i="41"/>
  <c r="N174" i="41"/>
  <c r="N158" i="41"/>
  <c r="N142" i="41"/>
  <c r="N126" i="41"/>
  <c r="N111" i="41"/>
  <c r="N95" i="41"/>
  <c r="N79" i="41"/>
  <c r="N63" i="41"/>
  <c r="N35" i="41"/>
  <c r="N27" i="41"/>
  <c r="N11" i="41"/>
  <c r="I197" i="41"/>
  <c r="I181" i="41"/>
  <c r="I165" i="41"/>
  <c r="I149" i="41"/>
  <c r="I133" i="41"/>
  <c r="I117" i="41"/>
  <c r="I101" i="41"/>
  <c r="I85" i="41"/>
  <c r="I69" i="41"/>
  <c r="I53" i="41"/>
  <c r="I37" i="41"/>
  <c r="I21" i="41"/>
  <c r="I5" i="41"/>
  <c r="N30" i="41"/>
  <c r="I180" i="41"/>
  <c r="I160" i="41"/>
  <c r="I136" i="41"/>
  <c r="I116" i="41"/>
  <c r="I96" i="41"/>
  <c r="I72" i="41"/>
  <c r="I52" i="41"/>
  <c r="I32" i="41"/>
  <c r="I8" i="41"/>
  <c r="I15" i="41"/>
  <c r="S133" i="40"/>
  <c r="S88" i="40"/>
  <c r="S44" i="40"/>
  <c r="N183" i="41"/>
  <c r="N147" i="41"/>
  <c r="N109" i="41"/>
  <c r="O90" i="41"/>
  <c r="N61" i="41"/>
  <c r="N28" i="41"/>
  <c r="I186" i="41"/>
  <c r="I146" i="41"/>
  <c r="I106" i="41"/>
  <c r="I66" i="41"/>
  <c r="I34" i="41"/>
  <c r="S193" i="40"/>
  <c r="S173" i="40"/>
  <c r="S148" i="40"/>
  <c r="S116" i="40"/>
  <c r="S93" i="40"/>
  <c r="S78" i="40"/>
  <c r="S62" i="40"/>
  <c r="S29" i="40"/>
  <c r="S11" i="40"/>
  <c r="N193" i="41"/>
  <c r="N177" i="41"/>
  <c r="N161" i="41"/>
  <c r="N145" i="41"/>
  <c r="N129" i="41"/>
  <c r="N113" i="41"/>
  <c r="N97" i="41"/>
  <c r="N81" i="41"/>
  <c r="N65" i="41"/>
  <c r="N49" i="41"/>
  <c r="N34" i="41"/>
  <c r="N13" i="41"/>
  <c r="I172" i="41"/>
  <c r="I108" i="41"/>
  <c r="I44" i="41"/>
  <c r="I47" i="41"/>
  <c r="I11" i="41"/>
  <c r="S167" i="40"/>
  <c r="S60" i="40"/>
  <c r="N151" i="41"/>
  <c r="N20" i="41"/>
  <c r="I166" i="41"/>
  <c r="I118" i="41"/>
  <c r="I62" i="41"/>
  <c r="S198" i="40"/>
  <c r="S187" i="40"/>
  <c r="S147" i="40"/>
  <c r="S142" i="40"/>
  <c r="S103" i="40"/>
  <c r="S58" i="40"/>
  <c r="S38" i="40"/>
  <c r="S18" i="40"/>
  <c r="S10" i="40"/>
  <c r="N188" i="41"/>
  <c r="N172" i="41"/>
  <c r="N156" i="41"/>
  <c r="N140" i="41"/>
  <c r="N124" i="41"/>
  <c r="N99" i="41"/>
  <c r="N67" i="41"/>
  <c r="N45" i="41"/>
  <c r="N29" i="41"/>
  <c r="N18" i="41"/>
  <c r="I187" i="41"/>
  <c r="I171" i="41"/>
  <c r="I155" i="41"/>
  <c r="I139" i="41"/>
  <c r="I123" i="41"/>
  <c r="I107" i="41"/>
  <c r="I91" i="41"/>
  <c r="I71" i="41"/>
  <c r="I43" i="41"/>
  <c r="S186" i="40"/>
  <c r="S127" i="40"/>
  <c r="S41" i="40"/>
  <c r="N159" i="41"/>
  <c r="O106" i="41"/>
  <c r="N69" i="41"/>
  <c r="O25" i="41"/>
  <c r="I178" i="41"/>
  <c r="I126" i="41"/>
  <c r="I70" i="41"/>
  <c r="I18" i="41"/>
  <c r="S188" i="40"/>
  <c r="S160" i="40"/>
  <c r="S124" i="40"/>
  <c r="S82" i="40"/>
  <c r="O88" i="41"/>
  <c r="O64" i="41"/>
  <c r="S123" i="40"/>
  <c r="S56" i="40"/>
  <c r="S118" i="40"/>
  <c r="S48" i="40"/>
  <c r="S196" i="40"/>
  <c r="S110" i="40"/>
  <c r="S182" i="40"/>
  <c r="S150" i="40"/>
  <c r="S66" i="40"/>
  <c r="H18" i="52"/>
  <c r="H36" i="52"/>
  <c r="H63" i="52"/>
  <c r="H82" i="52"/>
  <c r="H98" i="52"/>
  <c r="H110" i="52"/>
  <c r="H124" i="52"/>
  <c r="H154" i="52"/>
  <c r="H164" i="52"/>
  <c r="H176" i="52"/>
  <c r="H196" i="52"/>
  <c r="H9" i="52"/>
  <c r="H38" i="52"/>
  <c r="H52" i="52"/>
  <c r="H60" i="52"/>
  <c r="H76" i="52"/>
  <c r="H108" i="52"/>
  <c r="H125" i="52"/>
  <c r="H139" i="52"/>
  <c r="H169" i="52"/>
  <c r="H185" i="52"/>
  <c r="H195" i="52"/>
  <c r="H10" i="52"/>
  <c r="H14" i="52"/>
  <c r="H19" i="52"/>
  <c r="H24" i="52"/>
  <c r="H28" i="52"/>
  <c r="H39" i="52"/>
  <c r="H45" i="52"/>
  <c r="H55" i="52"/>
  <c r="H62" i="52"/>
  <c r="H70" i="52"/>
  <c r="H77" i="52"/>
  <c r="H86" i="52"/>
  <c r="H90" i="52"/>
  <c r="H96" i="52"/>
  <c r="H104" i="52"/>
  <c r="H112" i="52"/>
  <c r="H118" i="52"/>
  <c r="H128" i="52"/>
  <c r="H134" i="52"/>
  <c r="H140" i="52"/>
  <c r="H145" i="52"/>
  <c r="H150" i="52"/>
  <c r="H157" i="52"/>
  <c r="H162" i="52"/>
  <c r="H173" i="52"/>
  <c r="H184" i="52"/>
  <c r="H190" i="52"/>
  <c r="H32" i="52"/>
  <c r="H42" i="52"/>
  <c r="H71" i="52"/>
  <c r="H84" i="52"/>
  <c r="H101" i="52"/>
  <c r="H111" i="52"/>
  <c r="H132" i="52"/>
  <c r="H156" i="52"/>
  <c r="H168" i="52"/>
  <c r="H178" i="52"/>
  <c r="H197" i="52"/>
  <c r="H23" i="52"/>
  <c r="H46" i="52"/>
  <c r="H53" i="52"/>
  <c r="H64" i="52"/>
  <c r="H83" i="52"/>
  <c r="H116" i="52"/>
  <c r="H127" i="52"/>
  <c r="H148" i="52"/>
  <c r="H174" i="52"/>
  <c r="H186" i="52"/>
  <c r="H198" i="52"/>
  <c r="H11" i="52"/>
  <c r="H15" i="52"/>
  <c r="H20" i="52"/>
  <c r="H25" i="52"/>
  <c r="H29" i="52"/>
  <c r="H40" i="52"/>
  <c r="H47" i="52"/>
  <c r="H56" i="52"/>
  <c r="H65" i="52"/>
  <c r="H72" i="52"/>
  <c r="H79" i="52"/>
  <c r="H87" i="52"/>
  <c r="H91" i="52"/>
  <c r="H99" i="52"/>
  <c r="H105" i="52"/>
  <c r="H113" i="52"/>
  <c r="H119" i="52"/>
  <c r="H129" i="52"/>
  <c r="H135" i="52"/>
  <c r="H141" i="52"/>
  <c r="H146" i="52"/>
  <c r="H151" i="52"/>
  <c r="H158" i="52"/>
  <c r="H166" i="52"/>
  <c r="H177" i="52"/>
  <c r="H187" i="52"/>
  <c r="H191" i="52"/>
  <c r="H33" i="52"/>
  <c r="H43" i="52"/>
  <c r="H75" i="52"/>
  <c r="H93" i="52"/>
  <c r="H102" i="52"/>
  <c r="H114" i="52"/>
  <c r="H142" i="52"/>
  <c r="H159" i="52"/>
  <c r="H171" i="52"/>
  <c r="H179" i="52"/>
  <c r="H31" i="52"/>
  <c r="H48" i="52"/>
  <c r="H54" i="52"/>
  <c r="H67" i="52"/>
  <c r="H85" i="52"/>
  <c r="H122" i="52"/>
  <c r="H131" i="52"/>
  <c r="H165" i="52"/>
  <c r="H180" i="52"/>
  <c r="H192" i="52"/>
  <c r="H6" i="52"/>
  <c r="H12" i="52"/>
  <c r="H16" i="52"/>
  <c r="H21" i="52"/>
  <c r="H26" i="52"/>
  <c r="H30" i="52"/>
  <c r="H41" i="52"/>
  <c r="H49" i="52"/>
  <c r="H57" i="52"/>
  <c r="H66" i="52"/>
  <c r="H73" i="52"/>
  <c r="H80" i="52"/>
  <c r="H88" i="52"/>
  <c r="H92" i="52"/>
  <c r="H100" i="52"/>
  <c r="H106" i="52"/>
  <c r="H115" i="52"/>
  <c r="H121" i="52"/>
  <c r="H130" i="52"/>
  <c r="H137" i="52"/>
  <c r="H143" i="52"/>
  <c r="H147" i="52"/>
  <c r="H153" i="52"/>
  <c r="H160" i="52"/>
  <c r="H170" i="52"/>
  <c r="H181" i="52"/>
  <c r="H188" i="52"/>
  <c r="H34" i="52"/>
  <c r="H61" i="52"/>
  <c r="H78" i="52"/>
  <c r="H97" i="52"/>
  <c r="H107" i="52"/>
  <c r="H120" i="52"/>
  <c r="H152" i="52"/>
  <c r="H163" i="52"/>
  <c r="H175" i="52"/>
  <c r="H194" i="52"/>
  <c r="H7" i="52"/>
  <c r="H37" i="52"/>
  <c r="H51" i="52"/>
  <c r="H58" i="52"/>
  <c r="H68" i="52"/>
  <c r="H94" i="52"/>
  <c r="H123" i="52"/>
  <c r="H136" i="52"/>
  <c r="H167" i="52"/>
  <c r="H182" i="52"/>
  <c r="H193" i="52"/>
  <c r="H8" i="52"/>
  <c r="H13" i="52"/>
  <c r="H17" i="52"/>
  <c r="H22" i="52"/>
  <c r="H27" i="52"/>
  <c r="H35" i="52"/>
  <c r="H44" i="52"/>
  <c r="H50" i="52"/>
  <c r="H59" i="52"/>
  <c r="H69" i="52"/>
  <c r="H74" i="52"/>
  <c r="H81" i="52"/>
  <c r="H89" i="52"/>
  <c r="H95" i="52"/>
  <c r="H103" i="52"/>
  <c r="H109" i="52"/>
  <c r="H117" i="52"/>
  <c r="H126" i="52"/>
  <c r="H133" i="52"/>
  <c r="H138" i="52"/>
  <c r="H144" i="52"/>
  <c r="H149" i="52"/>
  <c r="H155" i="52"/>
  <c r="H161" i="52"/>
  <c r="H172" i="52"/>
  <c r="H183" i="52"/>
  <c r="H189" i="52"/>
  <c r="J4" i="54"/>
  <c r="I115" i="54"/>
  <c r="I135" i="54"/>
  <c r="I155" i="54"/>
  <c r="I162" i="54"/>
  <c r="I89" i="54"/>
  <c r="I157" i="54"/>
  <c r="I112" i="54"/>
  <c r="I158" i="54"/>
  <c r="I143" i="54"/>
  <c r="I7" i="54"/>
  <c r="I24" i="54"/>
  <c r="I27" i="54"/>
  <c r="I36" i="54"/>
  <c r="I41" i="54"/>
  <c r="I55" i="54"/>
  <c r="I57" i="54"/>
  <c r="I33" i="54"/>
  <c r="I93" i="54"/>
  <c r="I101" i="54"/>
  <c r="I125" i="54"/>
  <c r="I165" i="54"/>
  <c r="I169" i="54"/>
  <c r="I197" i="54"/>
  <c r="I34" i="54"/>
  <c r="I42" i="54"/>
  <c r="I54" i="54"/>
  <c r="I23" i="54"/>
  <c r="I183" i="54"/>
  <c r="I194" i="54"/>
  <c r="I138" i="54"/>
  <c r="I79" i="54"/>
  <c r="I81" i="54"/>
  <c r="I97" i="54"/>
  <c r="I173" i="54"/>
  <c r="I104" i="54"/>
  <c r="I117" i="54"/>
  <c r="I129" i="54"/>
  <c r="I166" i="54"/>
  <c r="I151" i="54"/>
  <c r="I187" i="54"/>
  <c r="I84" i="54"/>
  <c r="I92" i="54"/>
  <c r="I100" i="54"/>
  <c r="I116" i="54"/>
  <c r="I120" i="54"/>
  <c r="I152" i="54"/>
  <c r="I176" i="54"/>
  <c r="I192" i="54"/>
  <c r="I37" i="54"/>
  <c r="I139" i="54"/>
  <c r="I32" i="54"/>
  <c r="I52" i="54"/>
  <c r="I60" i="54"/>
  <c r="I64" i="54"/>
  <c r="I68" i="54"/>
  <c r="I108" i="54"/>
  <c r="I124" i="54"/>
  <c r="I132" i="54"/>
  <c r="I136" i="54"/>
  <c r="I148" i="54"/>
  <c r="I156" i="54"/>
  <c r="I164" i="54"/>
  <c r="I168" i="54"/>
  <c r="I196" i="54"/>
  <c r="I9" i="54"/>
  <c r="I161" i="54"/>
  <c r="I181" i="54"/>
  <c r="I88" i="54"/>
  <c r="I95" i="54"/>
  <c r="I189" i="54"/>
  <c r="I105" i="54"/>
  <c r="I118" i="54"/>
  <c r="I140" i="54"/>
  <c r="I177" i="54"/>
  <c r="I160" i="54"/>
  <c r="I191" i="54"/>
  <c r="I78" i="54"/>
  <c r="I91" i="54"/>
  <c r="I103" i="54"/>
  <c r="I147" i="54"/>
  <c r="I167" i="54"/>
  <c r="I110" i="54"/>
  <c r="I130" i="54"/>
  <c r="I146" i="54"/>
  <c r="I174" i="54"/>
  <c r="I76" i="54"/>
  <c r="I5" i="54"/>
  <c r="I18" i="54"/>
  <c r="I31" i="54"/>
  <c r="I43" i="54"/>
  <c r="I51" i="54"/>
  <c r="I63" i="54"/>
  <c r="I67" i="54"/>
  <c r="I71" i="54"/>
  <c r="I75" i="54"/>
  <c r="I83" i="54"/>
  <c r="I107" i="54"/>
  <c r="I111" i="54"/>
  <c r="I123" i="54"/>
  <c r="I127" i="54"/>
  <c r="I131" i="54"/>
  <c r="I159" i="54"/>
  <c r="I163" i="54"/>
  <c r="I171" i="54"/>
  <c r="I175" i="54"/>
  <c r="I179" i="54"/>
  <c r="I198" i="54"/>
  <c r="I195" i="54"/>
  <c r="I87" i="54"/>
  <c r="I96" i="54"/>
  <c r="I128" i="54"/>
  <c r="I190" i="54"/>
  <c r="I188" i="54"/>
  <c r="I180" i="54"/>
  <c r="I20" i="54"/>
  <c r="I25" i="54"/>
  <c r="I28" i="54"/>
  <c r="I39" i="54"/>
  <c r="I45" i="54"/>
  <c r="I56" i="54"/>
  <c r="I58" i="54"/>
  <c r="I61" i="54"/>
  <c r="I193" i="54"/>
  <c r="I38" i="54"/>
  <c r="I46" i="54"/>
  <c r="I82" i="54"/>
  <c r="I90" i="54"/>
  <c r="I94" i="54"/>
  <c r="I98" i="54"/>
  <c r="I102" i="54"/>
  <c r="I114" i="54"/>
  <c r="I122" i="54"/>
  <c r="I142" i="54"/>
  <c r="I154" i="54"/>
  <c r="I178" i="54"/>
  <c r="I182" i="54"/>
  <c r="I186" i="54"/>
  <c r="I134" i="54"/>
  <c r="I172" i="54"/>
  <c r="I6" i="54"/>
  <c r="I8" i="54"/>
  <c r="I10" i="54"/>
  <c r="I11" i="54"/>
  <c r="I12" i="54"/>
  <c r="I13" i="54"/>
  <c r="I14" i="54"/>
  <c r="I15" i="54"/>
  <c r="I16" i="54"/>
  <c r="I17" i="54"/>
  <c r="I19" i="54"/>
  <c r="I21" i="54"/>
  <c r="I22" i="54"/>
  <c r="I26" i="54"/>
  <c r="I29" i="54"/>
  <c r="I30" i="54"/>
  <c r="I35" i="54"/>
  <c r="I40" i="54"/>
  <c r="I47" i="54"/>
  <c r="I48" i="54"/>
  <c r="I49" i="54"/>
  <c r="I50" i="54"/>
  <c r="I53" i="54"/>
  <c r="I59" i="54"/>
  <c r="I62" i="54"/>
  <c r="I65" i="54"/>
  <c r="I66" i="54"/>
  <c r="I69" i="54"/>
  <c r="I70" i="54"/>
  <c r="I72" i="54"/>
  <c r="I73" i="54"/>
  <c r="I74" i="54"/>
  <c r="I80" i="54"/>
  <c r="I86" i="54"/>
  <c r="I99" i="54"/>
  <c r="I145" i="54"/>
  <c r="I106" i="54"/>
  <c r="I121" i="54"/>
  <c r="I150" i="54"/>
  <c r="I184" i="54"/>
  <c r="I144" i="54"/>
  <c r="I170" i="54"/>
  <c r="I77" i="54"/>
  <c r="I85" i="54"/>
  <c r="I109" i="54"/>
  <c r="I141" i="54"/>
  <c r="J4" i="55"/>
  <c r="I56" i="55"/>
  <c r="I14" i="55"/>
  <c r="I30" i="55"/>
  <c r="I69" i="55"/>
  <c r="I165" i="55"/>
  <c r="I24" i="55"/>
  <c r="I57" i="55"/>
  <c r="I93" i="55"/>
  <c r="I109" i="55"/>
  <c r="I129" i="55"/>
  <c r="I157" i="55"/>
  <c r="I161" i="55"/>
  <c r="I177" i="55"/>
  <c r="I189" i="55"/>
  <c r="I193" i="55"/>
  <c r="I197" i="55"/>
  <c r="I29" i="55"/>
  <c r="I45" i="55"/>
  <c r="I73" i="55"/>
  <c r="I42" i="55"/>
  <c r="I58" i="55"/>
  <c r="I74" i="55"/>
  <c r="I194" i="55"/>
  <c r="I198" i="55"/>
  <c r="I26" i="55"/>
  <c r="I61" i="55"/>
  <c r="I77" i="55"/>
  <c r="I6" i="55"/>
  <c r="I33" i="55"/>
  <c r="I97" i="55"/>
  <c r="I101" i="55"/>
  <c r="I141" i="55"/>
  <c r="I46" i="55"/>
  <c r="I90" i="55"/>
  <c r="I106" i="55"/>
  <c r="I142" i="55"/>
  <c r="I158" i="55"/>
  <c r="I174" i="55"/>
  <c r="I190" i="55"/>
  <c r="I10" i="55"/>
  <c r="I18" i="55"/>
  <c r="I37" i="55"/>
  <c r="I38" i="55"/>
  <c r="I70" i="55"/>
  <c r="I39" i="55"/>
  <c r="I59" i="55"/>
  <c r="I71" i="55"/>
  <c r="I83" i="55"/>
  <c r="I95" i="55"/>
  <c r="I115" i="55"/>
  <c r="I131" i="55"/>
  <c r="I151" i="55"/>
  <c r="I163" i="55"/>
  <c r="I9" i="55"/>
  <c r="I23" i="55"/>
  <c r="I20" i="55"/>
  <c r="I52" i="55"/>
  <c r="I80" i="55"/>
  <c r="I156" i="55"/>
  <c r="I100" i="55"/>
  <c r="I124" i="55"/>
  <c r="I136" i="55"/>
  <c r="I168" i="55"/>
  <c r="I196" i="55"/>
  <c r="I22" i="55"/>
  <c r="I117" i="55"/>
  <c r="I121" i="55"/>
  <c r="I145" i="55"/>
  <c r="I169" i="55"/>
  <c r="I41" i="55"/>
  <c r="I78" i="55"/>
  <c r="I94" i="55"/>
  <c r="I110" i="55"/>
  <c r="I130" i="55"/>
  <c r="I146" i="55"/>
  <c r="I162" i="55"/>
  <c r="I178" i="55"/>
  <c r="I11" i="55"/>
  <c r="I19" i="55"/>
  <c r="I27" i="55"/>
  <c r="I50" i="55"/>
  <c r="I35" i="55"/>
  <c r="I47" i="55"/>
  <c r="I67" i="55"/>
  <c r="I91" i="55"/>
  <c r="I103" i="55"/>
  <c r="I127" i="55"/>
  <c r="I139" i="55"/>
  <c r="I159" i="55"/>
  <c r="I15" i="55"/>
  <c r="I32" i="55"/>
  <c r="I84" i="55"/>
  <c r="I128" i="55"/>
  <c r="I148" i="55"/>
  <c r="I160" i="55"/>
  <c r="I176" i="55"/>
  <c r="I12" i="55"/>
  <c r="I36" i="55"/>
  <c r="I64" i="55"/>
  <c r="I92" i="55"/>
  <c r="I104" i="55"/>
  <c r="I116" i="55"/>
  <c r="I184" i="55"/>
  <c r="I105" i="55"/>
  <c r="I125" i="55"/>
  <c r="I173" i="55"/>
  <c r="I86" i="55"/>
  <c r="I118" i="55"/>
  <c r="I154" i="55"/>
  <c r="I186" i="55"/>
  <c r="I85" i="55"/>
  <c r="I66" i="55"/>
  <c r="I63" i="55"/>
  <c r="I107" i="55"/>
  <c r="I123" i="55"/>
  <c r="I171" i="55"/>
  <c r="I187" i="55"/>
  <c r="I25" i="55"/>
  <c r="I7" i="55"/>
  <c r="I96" i="55"/>
  <c r="I140" i="55"/>
  <c r="I172" i="55"/>
  <c r="I192" i="55"/>
  <c r="I28" i="55"/>
  <c r="I132" i="55"/>
  <c r="I164" i="55"/>
  <c r="I53" i="55"/>
  <c r="I62" i="55"/>
  <c r="I82" i="55"/>
  <c r="I114" i="55"/>
  <c r="I122" i="55"/>
  <c r="I150" i="55"/>
  <c r="I182" i="55"/>
  <c r="I49" i="55"/>
  <c r="I54" i="55"/>
  <c r="I43" i="55"/>
  <c r="I79" i="55"/>
  <c r="I135" i="55"/>
  <c r="I147" i="55"/>
  <c r="I175" i="55"/>
  <c r="I195" i="55"/>
  <c r="I31" i="55"/>
  <c r="I8" i="55"/>
  <c r="I72" i="55"/>
  <c r="I108" i="55"/>
  <c r="I152" i="55"/>
  <c r="I60" i="55"/>
  <c r="I112" i="55"/>
  <c r="I81" i="55"/>
  <c r="I13" i="55"/>
  <c r="I138" i="55"/>
  <c r="I75" i="55"/>
  <c r="I167" i="55"/>
  <c r="I17" i="55"/>
  <c r="I188" i="55"/>
  <c r="I48" i="55"/>
  <c r="I181" i="55"/>
  <c r="I65" i="55"/>
  <c r="I89" i="55"/>
  <c r="I98" i="55"/>
  <c r="I166" i="55"/>
  <c r="I51" i="55"/>
  <c r="I143" i="55"/>
  <c r="I155" i="55"/>
  <c r="I179" i="55"/>
  <c r="I191" i="55"/>
  <c r="I76" i="55"/>
  <c r="I68" i="55"/>
  <c r="I5" i="55"/>
  <c r="I21" i="55"/>
  <c r="I102" i="55"/>
  <c r="I170" i="55"/>
  <c r="I55" i="55"/>
  <c r="I99" i="55"/>
  <c r="I111" i="55"/>
  <c r="I183" i="55"/>
  <c r="I88" i="55"/>
  <c r="I120" i="55"/>
  <c r="I87" i="55"/>
  <c r="I180" i="55"/>
  <c r="I144" i="55"/>
  <c r="I134" i="55"/>
  <c r="I16" i="55"/>
  <c r="I34" i="55"/>
  <c r="I40" i="55"/>
  <c r="J4" i="56"/>
  <c r="I163" i="56"/>
  <c r="I179" i="56"/>
  <c r="I161" i="56"/>
  <c r="I165" i="56"/>
  <c r="I177" i="56"/>
  <c r="I181" i="56"/>
  <c r="I190" i="56"/>
  <c r="I42" i="56"/>
  <c r="I62" i="56"/>
  <c r="I78" i="56"/>
  <c r="I90" i="56"/>
  <c r="I106" i="56"/>
  <c r="I34" i="56"/>
  <c r="I54" i="56"/>
  <c r="I70" i="56"/>
  <c r="I82" i="56"/>
  <c r="I98" i="56"/>
  <c r="I114" i="56"/>
  <c r="I183" i="56"/>
  <c r="I189" i="56"/>
  <c r="I198" i="56"/>
  <c r="I138" i="56"/>
  <c r="I32" i="56"/>
  <c r="I40" i="56"/>
  <c r="I52" i="56"/>
  <c r="I60" i="56"/>
  <c r="I68" i="56"/>
  <c r="I76" i="56"/>
  <c r="I84" i="56"/>
  <c r="I171" i="56"/>
  <c r="I50" i="56"/>
  <c r="I86" i="56"/>
  <c r="I118" i="56"/>
  <c r="I46" i="56"/>
  <c r="I74" i="56"/>
  <c r="I110" i="56"/>
  <c r="I48" i="56"/>
  <c r="I64" i="56"/>
  <c r="I80" i="56"/>
  <c r="I124" i="56"/>
  <c r="I128" i="56"/>
  <c r="I132" i="56"/>
  <c r="I136" i="56"/>
  <c r="I140" i="56"/>
  <c r="I144" i="56"/>
  <c r="I148" i="56"/>
  <c r="I152" i="56"/>
  <c r="I156" i="56"/>
  <c r="I164" i="56"/>
  <c r="I172" i="56"/>
  <c r="I180" i="56"/>
  <c r="I33" i="56"/>
  <c r="I41" i="56"/>
  <c r="I49" i="56"/>
  <c r="I57" i="56"/>
  <c r="I65" i="56"/>
  <c r="I73" i="56"/>
  <c r="I81" i="56"/>
  <c r="I89" i="56"/>
  <c r="I97" i="56"/>
  <c r="I105" i="56"/>
  <c r="I117" i="56"/>
  <c r="I121" i="56"/>
  <c r="I146" i="56"/>
  <c r="I158" i="56"/>
  <c r="I166" i="56"/>
  <c r="I178" i="56"/>
  <c r="I191" i="56"/>
  <c r="I15" i="56"/>
  <c r="I31" i="56"/>
  <c r="I47" i="56"/>
  <c r="I63" i="56"/>
  <c r="I79" i="56"/>
  <c r="I95" i="56"/>
  <c r="I111" i="56"/>
  <c r="I6" i="56"/>
  <c r="I14" i="56"/>
  <c r="I22" i="56"/>
  <c r="I26" i="56"/>
  <c r="I10" i="56"/>
  <c r="I18" i="56"/>
  <c r="I130" i="56"/>
  <c r="I96" i="56"/>
  <c r="I104" i="56"/>
  <c r="I112" i="56"/>
  <c r="I120" i="56"/>
  <c r="I192" i="56"/>
  <c r="I5" i="56"/>
  <c r="I9" i="56"/>
  <c r="I13" i="56"/>
  <c r="I17" i="56"/>
  <c r="I21" i="56"/>
  <c r="I25" i="56"/>
  <c r="I29" i="56"/>
  <c r="I169" i="56"/>
  <c r="I38" i="56"/>
  <c r="I102" i="56"/>
  <c r="I122" i="56"/>
  <c r="I36" i="56"/>
  <c r="I72" i="56"/>
  <c r="I88" i="56"/>
  <c r="I45" i="56"/>
  <c r="I61" i="56"/>
  <c r="I77" i="56"/>
  <c r="I93" i="56"/>
  <c r="I109" i="56"/>
  <c r="I125" i="56"/>
  <c r="I141" i="56"/>
  <c r="I157" i="56"/>
  <c r="I175" i="56"/>
  <c r="I30" i="56"/>
  <c r="I94" i="56"/>
  <c r="I66" i="56"/>
  <c r="I56" i="56"/>
  <c r="I168" i="56"/>
  <c r="I196" i="56"/>
  <c r="I197" i="56"/>
  <c r="I134" i="56"/>
  <c r="I16" i="56"/>
  <c r="I92" i="56"/>
  <c r="I184" i="56"/>
  <c r="I53" i="56"/>
  <c r="I170" i="56"/>
  <c r="I142" i="56"/>
  <c r="I154" i="56"/>
  <c r="I123" i="56"/>
  <c r="I131" i="56"/>
  <c r="I139" i="56"/>
  <c r="I147" i="56"/>
  <c r="I155" i="56"/>
  <c r="I195" i="56"/>
  <c r="I11" i="56"/>
  <c r="I39" i="56"/>
  <c r="I67" i="56"/>
  <c r="I75" i="56"/>
  <c r="I103" i="56"/>
  <c r="I20" i="56"/>
  <c r="I100" i="56"/>
  <c r="I37" i="56"/>
  <c r="I101" i="56"/>
  <c r="I129" i="56"/>
  <c r="I193" i="56"/>
  <c r="I173" i="56"/>
  <c r="I19" i="56"/>
  <c r="I27" i="56"/>
  <c r="I55" i="56"/>
  <c r="I83" i="56"/>
  <c r="I91" i="56"/>
  <c r="I186" i="56"/>
  <c r="I194" i="56"/>
  <c r="I174" i="56"/>
  <c r="I127" i="56"/>
  <c r="I143" i="56"/>
  <c r="I159" i="56"/>
  <c r="I43" i="56"/>
  <c r="I71" i="56"/>
  <c r="I99" i="56"/>
  <c r="I12" i="56"/>
  <c r="I116" i="56"/>
  <c r="I145" i="56"/>
  <c r="I162" i="56"/>
  <c r="I8" i="56"/>
  <c r="I24" i="56"/>
  <c r="I108" i="56"/>
  <c r="I160" i="56"/>
  <c r="I85" i="56"/>
  <c r="I150" i="56"/>
  <c r="I135" i="56"/>
  <c r="I151" i="56"/>
  <c r="I187" i="56"/>
  <c r="I7" i="56"/>
  <c r="I35" i="56"/>
  <c r="I107" i="56"/>
  <c r="I167" i="56"/>
  <c r="I58" i="56"/>
  <c r="I28" i="56"/>
  <c r="I176" i="56"/>
  <c r="I188" i="56"/>
  <c r="I69" i="56"/>
  <c r="I182" i="56"/>
  <c r="I59" i="56"/>
  <c r="I87" i="56"/>
  <c r="I115" i="56"/>
  <c r="I51" i="56"/>
  <c r="I23" i="56"/>
  <c r="H5" i="52"/>
  <c r="G4" i="52"/>
  <c r="H4" i="52" s="1"/>
  <c r="I4" i="52" s="1"/>
  <c r="J4" i="52" s="1"/>
  <c r="K4" i="52" s="1"/>
  <c r="L4" i="52" s="1"/>
  <c r="M4" i="52" s="1"/>
  <c r="N4" i="52" s="1"/>
  <c r="O4" i="52" s="1"/>
  <c r="P4" i="52" s="1"/>
  <c r="J6" i="40" l="1"/>
  <c r="J9" i="40"/>
  <c r="J5" i="40"/>
  <c r="J7" i="40"/>
  <c r="J33" i="40"/>
  <c r="O80" i="41"/>
  <c r="J18" i="41"/>
  <c r="T103" i="40"/>
  <c r="T198" i="40"/>
  <c r="O20" i="41"/>
  <c r="J11" i="41"/>
  <c r="O13" i="41"/>
  <c r="O81" i="41"/>
  <c r="O145" i="41"/>
  <c r="T78" i="40"/>
  <c r="T173" i="40"/>
  <c r="J106" i="41"/>
  <c r="O61" i="41"/>
  <c r="O183" i="41"/>
  <c r="T44" i="40"/>
  <c r="J8" i="41"/>
  <c r="J96" i="41"/>
  <c r="J180" i="41"/>
  <c r="J37" i="41"/>
  <c r="J101" i="41"/>
  <c r="J165" i="41"/>
  <c r="O27" i="41"/>
  <c r="O95" i="41"/>
  <c r="O158" i="41"/>
  <c r="T53" i="40"/>
  <c r="T122" i="40"/>
  <c r="T21" i="40"/>
  <c r="T106" i="40"/>
  <c r="T100" i="40"/>
  <c r="T171" i="40"/>
  <c r="T152" i="40"/>
  <c r="J170" i="41"/>
  <c r="O143" i="41"/>
  <c r="T102" i="40"/>
  <c r="J87" i="41"/>
  <c r="J151" i="41"/>
  <c r="O136" i="41"/>
  <c r="T139" i="40"/>
  <c r="J46" i="41"/>
  <c r="O139" i="41"/>
  <c r="T155" i="40"/>
  <c r="J39" i="41"/>
  <c r="J28" i="41"/>
  <c r="J92" i="41"/>
  <c r="O46" i="41"/>
  <c r="O102" i="41"/>
  <c r="O173" i="41"/>
  <c r="T22" i="40"/>
  <c r="T107" i="40"/>
  <c r="J22" i="41"/>
  <c r="J174" i="41"/>
  <c r="O135" i="41"/>
  <c r="T194" i="40"/>
  <c r="J68" i="41"/>
  <c r="J152" i="41"/>
  <c r="J17" i="41"/>
  <c r="J81" i="41"/>
  <c r="J145" i="41"/>
  <c r="O14" i="41"/>
  <c r="O84" i="41"/>
  <c r="O154" i="41"/>
  <c r="T26" i="40"/>
  <c r="T105" i="40"/>
  <c r="T179" i="40"/>
  <c r="T95" i="40"/>
  <c r="T99" i="40"/>
  <c r="T80" i="40"/>
  <c r="T163" i="40"/>
  <c r="T140" i="40"/>
  <c r="J150" i="41"/>
  <c r="O131" i="41"/>
  <c r="J63" i="41"/>
  <c r="J131" i="41"/>
  <c r="J195" i="41"/>
  <c r="O116" i="41"/>
  <c r="O180" i="41"/>
  <c r="T32" i="40"/>
  <c r="T181" i="40"/>
  <c r="J142" i="41"/>
  <c r="O179" i="41"/>
  <c r="T112" i="40"/>
  <c r="J140" i="41"/>
  <c r="O57" i="41"/>
  <c r="O121" i="41"/>
  <c r="O185" i="41"/>
  <c r="T86" i="40"/>
  <c r="J14" i="41"/>
  <c r="J162" i="41"/>
  <c r="O167" i="41"/>
  <c r="T27" i="40"/>
  <c r="J35" i="41"/>
  <c r="J84" i="41"/>
  <c r="J168" i="41"/>
  <c r="J45" i="41"/>
  <c r="J109" i="41"/>
  <c r="J173" i="41"/>
  <c r="O55" i="41"/>
  <c r="O118" i="41"/>
  <c r="O182" i="41"/>
  <c r="T40" i="40"/>
  <c r="T117" i="40"/>
  <c r="T57" i="40"/>
  <c r="T70" i="40"/>
  <c r="T135" i="40"/>
  <c r="T101" i="40"/>
  <c r="J138" i="41"/>
  <c r="O119" i="41"/>
  <c r="T197" i="40"/>
  <c r="J111" i="41"/>
  <c r="J175" i="41"/>
  <c r="O48" i="41"/>
  <c r="O144" i="41"/>
  <c r="T61" i="40"/>
  <c r="J10" i="41"/>
  <c r="O32" i="41"/>
  <c r="J19" i="41"/>
  <c r="J60" i="41"/>
  <c r="O38" i="41"/>
  <c r="O110" i="41"/>
  <c r="O165" i="41"/>
  <c r="T68" i="40"/>
  <c r="T153" i="40"/>
  <c r="J110" i="41"/>
  <c r="T94" i="40"/>
  <c r="J36" i="41"/>
  <c r="J120" i="41"/>
  <c r="J41" i="41"/>
  <c r="J105" i="41"/>
  <c r="J169" i="41"/>
  <c r="O39" i="41"/>
  <c r="O108" i="41"/>
  <c r="O162" i="41"/>
  <c r="T34" i="40"/>
  <c r="T111" i="40"/>
  <c r="T56" i="40"/>
  <c r="T82" i="40"/>
  <c r="T127" i="40"/>
  <c r="J155" i="41"/>
  <c r="O124" i="41"/>
  <c r="J113" i="55"/>
  <c r="J133" i="55"/>
  <c r="J137" i="55"/>
  <c r="J149" i="55"/>
  <c r="J153" i="55"/>
  <c r="J185" i="55"/>
  <c r="J126" i="55"/>
  <c r="J119" i="55"/>
  <c r="J44" i="55"/>
  <c r="T182" i="40"/>
  <c r="T196" i="40"/>
  <c r="T188" i="40"/>
  <c r="J178" i="41"/>
  <c r="O159" i="41"/>
  <c r="T41" i="40"/>
  <c r="J71" i="41"/>
  <c r="J139" i="41"/>
  <c r="O18" i="41"/>
  <c r="O99" i="41"/>
  <c r="O172" i="41"/>
  <c r="T58" i="40"/>
  <c r="T187" i="40"/>
  <c r="J166" i="41"/>
  <c r="T167" i="40"/>
  <c r="J172" i="41"/>
  <c r="O65" i="41"/>
  <c r="O129" i="41"/>
  <c r="O193" i="41"/>
  <c r="T62" i="40"/>
  <c r="T148" i="40"/>
  <c r="J66" i="41"/>
  <c r="O28" i="41"/>
  <c r="O147" i="41"/>
  <c r="J15" i="41"/>
  <c r="J72" i="41"/>
  <c r="J160" i="41"/>
  <c r="J21" i="41"/>
  <c r="J85" i="41"/>
  <c r="J149" i="41"/>
  <c r="O11" i="41"/>
  <c r="O79" i="41"/>
  <c r="O142" i="41"/>
  <c r="T30" i="40"/>
  <c r="T108" i="40"/>
  <c r="T185" i="40"/>
  <c r="T37" i="40"/>
  <c r="T77" i="40"/>
  <c r="T120" i="40"/>
  <c r="J114" i="41"/>
  <c r="O93" i="41"/>
  <c r="T24" i="40"/>
  <c r="J67" i="41"/>
  <c r="J135" i="41"/>
  <c r="O26" i="41"/>
  <c r="O120" i="41"/>
  <c r="O184" i="41"/>
  <c r="T92" i="40"/>
  <c r="T195" i="40"/>
  <c r="O12" i="41"/>
  <c r="T191" i="40"/>
  <c r="O16" i="41"/>
  <c r="O86" i="41"/>
  <c r="O157" i="41"/>
  <c r="T8" i="40"/>
  <c r="T89" i="40"/>
  <c r="T184" i="40"/>
  <c r="J134" i="41"/>
  <c r="O101" i="41"/>
  <c r="T114" i="40"/>
  <c r="J48" i="41"/>
  <c r="J132" i="41"/>
  <c r="J65" i="41"/>
  <c r="J129" i="41"/>
  <c r="J193" i="41"/>
  <c r="O68" i="41"/>
  <c r="O138" i="41"/>
  <c r="T12" i="40"/>
  <c r="T84" i="40"/>
  <c r="T159" i="40"/>
  <c r="T25" i="40"/>
  <c r="T67" i="40"/>
  <c r="T113" i="40"/>
  <c r="J98" i="41"/>
  <c r="O85" i="41"/>
  <c r="J7" i="41"/>
  <c r="J115" i="41"/>
  <c r="J179" i="41"/>
  <c r="O83" i="41"/>
  <c r="O164" i="41"/>
  <c r="T128" i="40"/>
  <c r="J90" i="41"/>
  <c r="O127" i="41"/>
  <c r="T31" i="40"/>
  <c r="J75" i="41"/>
  <c r="J12" i="41"/>
  <c r="J76" i="41"/>
  <c r="O42" i="41"/>
  <c r="O105" i="41"/>
  <c r="O169" i="41"/>
  <c r="T72" i="40"/>
  <c r="T156" i="40"/>
  <c r="J122" i="41"/>
  <c r="O123" i="41"/>
  <c r="T164" i="40"/>
  <c r="J64" i="41"/>
  <c r="J148" i="41"/>
  <c r="J29" i="41"/>
  <c r="J93" i="41"/>
  <c r="J157" i="41"/>
  <c r="O43" i="41"/>
  <c r="O103" i="41"/>
  <c r="O166" i="41"/>
  <c r="T23" i="40"/>
  <c r="T98" i="40"/>
  <c r="T174" i="40"/>
  <c r="T190" i="40"/>
  <c r="T59" i="40"/>
  <c r="J86" i="41"/>
  <c r="O77" i="41"/>
  <c r="T144" i="40"/>
  <c r="J95" i="41"/>
  <c r="J159" i="41"/>
  <c r="O33" i="41"/>
  <c r="O128" i="41"/>
  <c r="O192" i="41"/>
  <c r="T42" i="40"/>
  <c r="T189" i="40"/>
  <c r="J182" i="41"/>
  <c r="T175" i="40"/>
  <c r="O24" i="41"/>
  <c r="O94" i="41"/>
  <c r="O149" i="41"/>
  <c r="T121" i="40"/>
  <c r="J78" i="41"/>
  <c r="O40" i="41"/>
  <c r="O191" i="41"/>
  <c r="T51" i="40"/>
  <c r="J16" i="41"/>
  <c r="J100" i="41"/>
  <c r="J188" i="41"/>
  <c r="J25" i="41"/>
  <c r="J89" i="41"/>
  <c r="J153" i="41"/>
  <c r="O22" i="41"/>
  <c r="O92" i="41"/>
  <c r="O146" i="41"/>
  <c r="T20" i="40"/>
  <c r="T90" i="40"/>
  <c r="T166" i="40"/>
  <c r="J91" i="41"/>
  <c r="O29" i="41"/>
  <c r="O188" i="41"/>
  <c r="T10" i="40"/>
  <c r="O41" i="41"/>
  <c r="J44" i="54"/>
  <c r="J126" i="54"/>
  <c r="J119" i="54"/>
  <c r="J113" i="54"/>
  <c r="J133" i="54"/>
  <c r="J137" i="54"/>
  <c r="J149" i="54"/>
  <c r="J153" i="54"/>
  <c r="J185" i="54"/>
  <c r="T150" i="40"/>
  <c r="T110" i="40"/>
  <c r="T118" i="40"/>
  <c r="T160" i="40"/>
  <c r="J126" i="41"/>
  <c r="J43" i="41"/>
  <c r="J123" i="41"/>
  <c r="J187" i="41"/>
  <c r="O67" i="41"/>
  <c r="O156" i="41"/>
  <c r="T38" i="40"/>
  <c r="T147" i="40"/>
  <c r="J118" i="41"/>
  <c r="T60" i="40"/>
  <c r="J108" i="41"/>
  <c r="O49" i="41"/>
  <c r="O113" i="41"/>
  <c r="O177" i="41"/>
  <c r="T29" i="40"/>
  <c r="T116" i="40"/>
  <c r="J34" i="41"/>
  <c r="J186" i="41"/>
  <c r="O109" i="41"/>
  <c r="T133" i="40"/>
  <c r="J52" i="41"/>
  <c r="J136" i="41"/>
  <c r="J5" i="41"/>
  <c r="J69" i="41"/>
  <c r="J133" i="41"/>
  <c r="J197" i="41"/>
  <c r="O63" i="41"/>
  <c r="O126" i="41"/>
  <c r="O190" i="41"/>
  <c r="T16" i="40"/>
  <c r="T87" i="40"/>
  <c r="T161" i="40"/>
  <c r="T178" i="40"/>
  <c r="T49" i="40"/>
  <c r="T71" i="40"/>
  <c r="J58" i="41"/>
  <c r="J23" i="41"/>
  <c r="J119" i="41"/>
  <c r="J183" i="41"/>
  <c r="O107" i="41"/>
  <c r="O168" i="41"/>
  <c r="T55" i="40"/>
  <c r="T183" i="40"/>
  <c r="J154" i="41"/>
  <c r="O5" i="41"/>
  <c r="O70" i="41"/>
  <c r="O141" i="41"/>
  <c r="T75" i="40"/>
  <c r="T165" i="40"/>
  <c r="J94" i="41"/>
  <c r="T74" i="40"/>
  <c r="J24" i="41"/>
  <c r="J112" i="41"/>
  <c r="O8" i="41"/>
  <c r="J49" i="41"/>
  <c r="J113" i="41"/>
  <c r="J177" i="41"/>
  <c r="O52" i="41"/>
  <c r="O122" i="41"/>
  <c r="O186" i="41"/>
  <c r="T73" i="40"/>
  <c r="T149" i="40"/>
  <c r="T162" i="40"/>
  <c r="T45" i="40"/>
  <c r="T43" i="40"/>
  <c r="J42" i="41"/>
  <c r="T169" i="40"/>
  <c r="J99" i="41"/>
  <c r="J163" i="41"/>
  <c r="O51" i="41"/>
  <c r="O148" i="41"/>
  <c r="T65" i="40"/>
  <c r="J30" i="41"/>
  <c r="O44" i="41"/>
  <c r="J31" i="41"/>
  <c r="O21" i="41"/>
  <c r="O89" i="41"/>
  <c r="O153" i="41"/>
  <c r="T39" i="40"/>
  <c r="T131" i="40"/>
  <c r="J82" i="41"/>
  <c r="T109" i="40"/>
  <c r="J40" i="41"/>
  <c r="J128" i="41"/>
  <c r="J13" i="41"/>
  <c r="J77" i="41"/>
  <c r="J141" i="41"/>
  <c r="O19" i="41"/>
  <c r="O87" i="41"/>
  <c r="O150" i="41"/>
  <c r="T81" i="40"/>
  <c r="T157" i="40"/>
  <c r="T158" i="40"/>
  <c r="T168" i="40"/>
  <c r="J26" i="41"/>
  <c r="O36" i="41"/>
  <c r="T54" i="40"/>
  <c r="J79" i="41"/>
  <c r="J143" i="41"/>
  <c r="O10" i="41"/>
  <c r="O91" i="41"/>
  <c r="O176" i="41"/>
  <c r="T28" i="40"/>
  <c r="T170" i="40"/>
  <c r="J130" i="41"/>
  <c r="O163" i="41"/>
  <c r="T91" i="40"/>
  <c r="J184" i="41"/>
  <c r="O78" i="41"/>
  <c r="O133" i="41"/>
  <c r="O197" i="41"/>
  <c r="T15" i="40"/>
  <c r="T97" i="40"/>
  <c r="J38" i="41"/>
  <c r="J194" i="41"/>
  <c r="O155" i="41"/>
  <c r="T17" i="40"/>
  <c r="J27" i="41"/>
  <c r="J80" i="41"/>
  <c r="J164" i="41"/>
  <c r="J9" i="41"/>
  <c r="J73" i="41"/>
  <c r="J137" i="41"/>
  <c r="O6" i="41"/>
  <c r="O76" i="41"/>
  <c r="O130" i="41"/>
  <c r="O194" i="41"/>
  <c r="T79" i="40"/>
  <c r="T154" i="40"/>
  <c r="J119" i="56"/>
  <c r="J44" i="56"/>
  <c r="J113" i="56"/>
  <c r="J133" i="56"/>
  <c r="J137" i="56"/>
  <c r="J149" i="56"/>
  <c r="J153" i="56"/>
  <c r="J185" i="56"/>
  <c r="J126" i="56"/>
  <c r="T66" i="40"/>
  <c r="T48" i="40"/>
  <c r="T123" i="40"/>
  <c r="T124" i="40"/>
  <c r="J70" i="41"/>
  <c r="O69" i="41"/>
  <c r="T186" i="40"/>
  <c r="J107" i="41"/>
  <c r="J171" i="41"/>
  <c r="O45" i="41"/>
  <c r="O140" i="41"/>
  <c r="T18" i="40"/>
  <c r="T142" i="40"/>
  <c r="J62" i="41"/>
  <c r="O151" i="41"/>
  <c r="J47" i="41"/>
  <c r="J44" i="41"/>
  <c r="O34" i="41"/>
  <c r="O97" i="41"/>
  <c r="O161" i="41"/>
  <c r="T11" i="40"/>
  <c r="T93" i="40"/>
  <c r="T193" i="40"/>
  <c r="J146" i="41"/>
  <c r="T88" i="40"/>
  <c r="J32" i="41"/>
  <c r="J116" i="41"/>
  <c r="O30" i="41"/>
  <c r="J53" i="41"/>
  <c r="J117" i="41"/>
  <c r="J181" i="41"/>
  <c r="O35" i="41"/>
  <c r="O111" i="41"/>
  <c r="O174" i="41"/>
  <c r="T76" i="40"/>
  <c r="T151" i="40"/>
  <c r="T138" i="40"/>
  <c r="T137" i="40"/>
  <c r="T176" i="40"/>
  <c r="T177" i="40"/>
  <c r="J103" i="41"/>
  <c r="J167" i="41"/>
  <c r="O75" i="41"/>
  <c r="O152" i="41"/>
  <c r="T36" i="40"/>
  <c r="T145" i="40"/>
  <c r="J102" i="41"/>
  <c r="O195" i="41"/>
  <c r="T46" i="40"/>
  <c r="J156" i="41"/>
  <c r="O54" i="41"/>
  <c r="O125" i="41"/>
  <c r="O189" i="41"/>
  <c r="T52" i="40"/>
  <c r="T143" i="40"/>
  <c r="J54" i="41"/>
  <c r="O53" i="41"/>
  <c r="O175" i="41"/>
  <c r="T35" i="40"/>
  <c r="J51" i="41"/>
  <c r="J88" i="41"/>
  <c r="J176" i="41"/>
  <c r="J33" i="41"/>
  <c r="J97" i="41"/>
  <c r="J161" i="41"/>
  <c r="O31" i="41"/>
  <c r="O100" i="41"/>
  <c r="O170" i="41"/>
  <c r="T50" i="40"/>
  <c r="T119" i="40"/>
  <c r="T130" i="40"/>
  <c r="T129" i="40"/>
  <c r="T146" i="40"/>
  <c r="T172" i="40"/>
  <c r="O187" i="41"/>
  <c r="T85" i="40"/>
  <c r="J83" i="41"/>
  <c r="J147" i="41"/>
  <c r="O37" i="41"/>
  <c r="O132" i="41"/>
  <c r="O196" i="41"/>
  <c r="T47" i="40"/>
  <c r="T192" i="40"/>
  <c r="J198" i="41"/>
  <c r="T180" i="40"/>
  <c r="J196" i="41"/>
  <c r="O73" i="41"/>
  <c r="O137" i="41"/>
  <c r="T19" i="40"/>
  <c r="T104" i="40"/>
  <c r="J50" i="41"/>
  <c r="T64" i="40"/>
  <c r="J20" i="41"/>
  <c r="J104" i="41"/>
  <c r="J192" i="41"/>
  <c r="J61" i="41"/>
  <c r="J125" i="41"/>
  <c r="J189" i="41"/>
  <c r="O71" i="41"/>
  <c r="O134" i="41"/>
  <c r="O198" i="41"/>
  <c r="T69" i="40"/>
  <c r="T132" i="40"/>
  <c r="T96" i="40"/>
  <c r="T125" i="40"/>
  <c r="T134" i="40"/>
  <c r="T136" i="40"/>
  <c r="J190" i="41"/>
  <c r="O171" i="41"/>
  <c r="J55" i="41"/>
  <c r="J127" i="41"/>
  <c r="J191" i="41"/>
  <c r="O59" i="41"/>
  <c r="O160" i="41"/>
  <c r="T14" i="40"/>
  <c r="T115" i="40"/>
  <c r="J74" i="41"/>
  <c r="T13" i="40"/>
  <c r="J59" i="41"/>
  <c r="J124" i="41"/>
  <c r="O62" i="41"/>
  <c r="O117" i="41"/>
  <c r="O181" i="41"/>
  <c r="T83" i="40"/>
  <c r="J6" i="41"/>
  <c r="J158" i="41"/>
  <c r="O115" i="41"/>
  <c r="T141" i="40"/>
  <c r="J56" i="41"/>
  <c r="J144" i="41"/>
  <c r="J57" i="41"/>
  <c r="J121" i="41"/>
  <c r="J185" i="41"/>
  <c r="O60" i="41"/>
  <c r="O114" i="41"/>
  <c r="O178" i="41"/>
  <c r="T63" i="40"/>
  <c r="T126" i="40"/>
  <c r="I183" i="52"/>
  <c r="I149" i="52"/>
  <c r="I126" i="52"/>
  <c r="I95" i="52"/>
  <c r="I69" i="52"/>
  <c r="I35" i="52"/>
  <c r="I13" i="52"/>
  <c r="I167" i="52"/>
  <c r="I68" i="52"/>
  <c r="I7" i="52"/>
  <c r="I152" i="52"/>
  <c r="I78" i="52"/>
  <c r="I181" i="52"/>
  <c r="I147" i="52"/>
  <c r="I121" i="52"/>
  <c r="I92" i="52"/>
  <c r="I66" i="52"/>
  <c r="I30" i="52"/>
  <c r="I12" i="52"/>
  <c r="I165" i="52"/>
  <c r="I67" i="52"/>
  <c r="I159" i="52"/>
  <c r="I93" i="52"/>
  <c r="I191" i="52"/>
  <c r="I158" i="52"/>
  <c r="I135" i="52"/>
  <c r="I105" i="52"/>
  <c r="I79" i="52"/>
  <c r="I47" i="52"/>
  <c r="I20" i="52"/>
  <c r="I186" i="52"/>
  <c r="I116" i="52"/>
  <c r="I46" i="52"/>
  <c r="I168" i="52"/>
  <c r="I101" i="52"/>
  <c r="I32" i="52"/>
  <c r="I162" i="52"/>
  <c r="I140" i="52"/>
  <c r="I112" i="52"/>
  <c r="I86" i="52"/>
  <c r="I55" i="52"/>
  <c r="I24" i="52"/>
  <c r="I195" i="52"/>
  <c r="I125" i="52"/>
  <c r="I52" i="52"/>
  <c r="I176" i="52"/>
  <c r="I110" i="52"/>
  <c r="I36" i="52"/>
  <c r="I189" i="52"/>
  <c r="I155" i="52"/>
  <c r="I133" i="52"/>
  <c r="I103" i="52"/>
  <c r="I74" i="52"/>
  <c r="I44" i="52"/>
  <c r="I17" i="52"/>
  <c r="I182" i="52"/>
  <c r="I94" i="52"/>
  <c r="I37" i="52"/>
  <c r="I163" i="52"/>
  <c r="I97" i="52"/>
  <c r="I188" i="52"/>
  <c r="I153" i="52"/>
  <c r="I130" i="52"/>
  <c r="I100" i="52"/>
  <c r="I73" i="52"/>
  <c r="I41" i="52"/>
  <c r="I16" i="52"/>
  <c r="I180" i="52"/>
  <c r="I85" i="52"/>
  <c r="I31" i="52"/>
  <c r="I171" i="52"/>
  <c r="I102" i="52"/>
  <c r="I33" i="52"/>
  <c r="I166" i="52"/>
  <c r="I141" i="52"/>
  <c r="I113" i="52"/>
  <c r="I87" i="52"/>
  <c r="I56" i="52"/>
  <c r="I25" i="52"/>
  <c r="I198" i="52"/>
  <c r="I127" i="52"/>
  <c r="I53" i="52"/>
  <c r="I178" i="52"/>
  <c r="I111" i="52"/>
  <c r="I42" i="52"/>
  <c r="I173" i="52"/>
  <c r="I145" i="52"/>
  <c r="I118" i="52"/>
  <c r="I90" i="52"/>
  <c r="I62" i="52"/>
  <c r="I28" i="52"/>
  <c r="I10" i="52"/>
  <c r="I139" i="52"/>
  <c r="I60" i="52"/>
  <c r="I196" i="52"/>
  <c r="I124" i="52"/>
  <c r="I63" i="52"/>
  <c r="I161" i="52"/>
  <c r="I138" i="52"/>
  <c r="I109" i="52"/>
  <c r="I81" i="52"/>
  <c r="I50" i="52"/>
  <c r="I22" i="52"/>
  <c r="I193" i="52"/>
  <c r="I123" i="52"/>
  <c r="I51" i="52"/>
  <c r="I175" i="52"/>
  <c r="I107" i="52"/>
  <c r="I34" i="52"/>
  <c r="I160" i="52"/>
  <c r="I137" i="52"/>
  <c r="I106" i="52"/>
  <c r="I80" i="52"/>
  <c r="I49" i="52"/>
  <c r="I21" i="52"/>
  <c r="I192" i="52"/>
  <c r="I122" i="52"/>
  <c r="I48" i="52"/>
  <c r="I179" i="52"/>
  <c r="I114" i="52"/>
  <c r="I43" i="52"/>
  <c r="I177" i="52"/>
  <c r="I146" i="52"/>
  <c r="I119" i="52"/>
  <c r="I91" i="52"/>
  <c r="I65" i="52"/>
  <c r="I29" i="52"/>
  <c r="I11" i="52"/>
  <c r="I148" i="52"/>
  <c r="I64" i="52"/>
  <c r="I197" i="52"/>
  <c r="I132" i="52"/>
  <c r="I71" i="52"/>
  <c r="I184" i="52"/>
  <c r="I150" i="52"/>
  <c r="I128" i="52"/>
  <c r="I96" i="52"/>
  <c r="I70" i="52"/>
  <c r="I39" i="52"/>
  <c r="I14" i="52"/>
  <c r="I169" i="52"/>
  <c r="I76" i="52"/>
  <c r="I9" i="52"/>
  <c r="I154" i="52"/>
  <c r="I82" i="52"/>
  <c r="I172" i="52"/>
  <c r="I144" i="52"/>
  <c r="I117" i="52"/>
  <c r="I89" i="52"/>
  <c r="I59" i="52"/>
  <c r="I27" i="52"/>
  <c r="I8" i="52"/>
  <c r="I136" i="52"/>
  <c r="I58" i="52"/>
  <c r="I194" i="52"/>
  <c r="I120" i="52"/>
  <c r="I61" i="52"/>
  <c r="I170" i="52"/>
  <c r="I143" i="52"/>
  <c r="I115" i="52"/>
  <c r="I88" i="52"/>
  <c r="I57" i="52"/>
  <c r="I26" i="52"/>
  <c r="I6" i="52"/>
  <c r="I131" i="52"/>
  <c r="I54" i="52"/>
  <c r="I142" i="52"/>
  <c r="I75" i="52"/>
  <c r="I187" i="52"/>
  <c r="I151" i="52"/>
  <c r="I129" i="52"/>
  <c r="I99" i="52"/>
  <c r="I72" i="52"/>
  <c r="I40" i="52"/>
  <c r="I15" i="52"/>
  <c r="I174" i="52"/>
  <c r="I83" i="52"/>
  <c r="I23" i="52"/>
  <c r="I156" i="52"/>
  <c r="I84" i="52"/>
  <c r="I190" i="52"/>
  <c r="I157" i="52"/>
  <c r="I134" i="52"/>
  <c r="I104" i="52"/>
  <c r="I77" i="52"/>
  <c r="I45" i="52"/>
  <c r="I19" i="52"/>
  <c r="I185" i="52"/>
  <c r="I108" i="52"/>
  <c r="I38" i="52"/>
  <c r="I164" i="52"/>
  <c r="I98" i="52"/>
  <c r="I18" i="52"/>
  <c r="K4" i="54"/>
  <c r="J172" i="54"/>
  <c r="J86" i="54"/>
  <c r="J118" i="54"/>
  <c r="J150" i="54"/>
  <c r="J135" i="54"/>
  <c r="J187" i="54"/>
  <c r="J39" i="54"/>
  <c r="J193" i="54"/>
  <c r="J18" i="54"/>
  <c r="J34" i="54"/>
  <c r="J42" i="54"/>
  <c r="J54" i="54"/>
  <c r="J82" i="54"/>
  <c r="J90" i="54"/>
  <c r="J94" i="54"/>
  <c r="J98" i="54"/>
  <c r="J102" i="54"/>
  <c r="J114" i="54"/>
  <c r="J122" i="54"/>
  <c r="J142" i="54"/>
  <c r="J154" i="54"/>
  <c r="J178" i="54"/>
  <c r="J182" i="54"/>
  <c r="J186" i="54"/>
  <c r="J80" i="54"/>
  <c r="J104" i="54"/>
  <c r="J128" i="54"/>
  <c r="J140" i="54"/>
  <c r="J129" i="54"/>
  <c r="J145" i="54"/>
  <c r="J177" i="54"/>
  <c r="J160" i="54"/>
  <c r="J166" i="54"/>
  <c r="J183" i="54"/>
  <c r="J84" i="54"/>
  <c r="J92" i="54"/>
  <c r="J100" i="54"/>
  <c r="J116" i="54"/>
  <c r="J120" i="54"/>
  <c r="J152" i="54"/>
  <c r="J176" i="54"/>
  <c r="J192" i="54"/>
  <c r="J24" i="54"/>
  <c r="J36" i="54"/>
  <c r="J55" i="54"/>
  <c r="J5" i="54"/>
  <c r="J37" i="54"/>
  <c r="J23" i="54"/>
  <c r="J31" i="54"/>
  <c r="J32" i="54"/>
  <c r="J52" i="54"/>
  <c r="J60" i="54"/>
  <c r="J64" i="54"/>
  <c r="J68" i="54"/>
  <c r="J108" i="54"/>
  <c r="J124" i="54"/>
  <c r="J132" i="54"/>
  <c r="J136" i="54"/>
  <c r="J148" i="54"/>
  <c r="J156" i="54"/>
  <c r="J164" i="54"/>
  <c r="J168" i="54"/>
  <c r="J196" i="54"/>
  <c r="J173" i="54"/>
  <c r="J96" i="54"/>
  <c r="J112" i="54"/>
  <c r="J144" i="54"/>
  <c r="J134" i="54"/>
  <c r="J162" i="54"/>
  <c r="J194" i="54"/>
  <c r="J6" i="54"/>
  <c r="J8" i="54"/>
  <c r="J10" i="54"/>
  <c r="J11" i="54"/>
  <c r="J12" i="54"/>
  <c r="J13" i="54"/>
  <c r="J14" i="54"/>
  <c r="J15" i="54"/>
  <c r="J16" i="54"/>
  <c r="J17" i="54"/>
  <c r="J19" i="54"/>
  <c r="J21" i="54"/>
  <c r="J22" i="54"/>
  <c r="J26" i="54"/>
  <c r="J29" i="54"/>
  <c r="J30" i="54"/>
  <c r="J35" i="54"/>
  <c r="J40" i="54"/>
  <c r="J47" i="54"/>
  <c r="J48" i="54"/>
  <c r="J49" i="54"/>
  <c r="J50" i="54"/>
  <c r="J53" i="54"/>
  <c r="J59" i="54"/>
  <c r="J62" i="54"/>
  <c r="J65" i="54"/>
  <c r="J66" i="54"/>
  <c r="J69" i="54"/>
  <c r="J70" i="54"/>
  <c r="J72" i="54"/>
  <c r="J73" i="54"/>
  <c r="J74" i="54"/>
  <c r="J99" i="54"/>
  <c r="J115" i="54"/>
  <c r="J155" i="54"/>
  <c r="J78" i="54"/>
  <c r="J91" i="54"/>
  <c r="J103" i="54"/>
  <c r="J147" i="54"/>
  <c r="J167" i="54"/>
  <c r="J110" i="54"/>
  <c r="J130" i="54"/>
  <c r="J146" i="54"/>
  <c r="J174" i="54"/>
  <c r="J20" i="54"/>
  <c r="J28" i="54"/>
  <c r="J45" i="54"/>
  <c r="J58" i="54"/>
  <c r="J139" i="54"/>
  <c r="J43" i="54"/>
  <c r="J51" i="54"/>
  <c r="J63" i="54"/>
  <c r="J67" i="54"/>
  <c r="J71" i="54"/>
  <c r="J75" i="54"/>
  <c r="J83" i="54"/>
  <c r="J107" i="54"/>
  <c r="J111" i="54"/>
  <c r="J123" i="54"/>
  <c r="J127" i="54"/>
  <c r="J131" i="54"/>
  <c r="J159" i="54"/>
  <c r="J163" i="54"/>
  <c r="J171" i="54"/>
  <c r="J175" i="54"/>
  <c r="J179" i="54"/>
  <c r="J76" i="54"/>
  <c r="J198" i="54"/>
  <c r="J195" i="54"/>
  <c r="J157" i="54"/>
  <c r="J181" i="54"/>
  <c r="J180" i="54"/>
  <c r="J106" i="54"/>
  <c r="J138" i="54"/>
  <c r="J170" i="54"/>
  <c r="J88" i="54"/>
  <c r="J79" i="54"/>
  <c r="J87" i="54"/>
  <c r="J95" i="54"/>
  <c r="J143" i="54"/>
  <c r="J25" i="54"/>
  <c r="J56" i="54"/>
  <c r="J9" i="54"/>
  <c r="J33" i="54"/>
  <c r="J61" i="54"/>
  <c r="J93" i="54"/>
  <c r="J101" i="54"/>
  <c r="J125" i="54"/>
  <c r="J165" i="54"/>
  <c r="J169" i="54"/>
  <c r="J197" i="54"/>
  <c r="J38" i="54"/>
  <c r="J46" i="54"/>
  <c r="J184" i="54"/>
  <c r="J81" i="54"/>
  <c r="J89" i="54"/>
  <c r="J97" i="54"/>
  <c r="J105" i="54"/>
  <c r="J117" i="54"/>
  <c r="J121" i="54"/>
  <c r="J161" i="54"/>
  <c r="J189" i="54"/>
  <c r="J188" i="54"/>
  <c r="J158" i="54"/>
  <c r="J190" i="54"/>
  <c r="J151" i="54"/>
  <c r="J191" i="54"/>
  <c r="J77" i="54"/>
  <c r="J85" i="54"/>
  <c r="J109" i="54"/>
  <c r="J141" i="54"/>
  <c r="J7" i="54"/>
  <c r="J27" i="54"/>
  <c r="J41" i="54"/>
  <c r="J57" i="54"/>
  <c r="K4" i="56"/>
  <c r="J7" i="56"/>
  <c r="J23" i="56"/>
  <c r="J12" i="56"/>
  <c r="J16" i="56"/>
  <c r="J20" i="56"/>
  <c r="J28" i="56"/>
  <c r="J27" i="56"/>
  <c r="J9" i="56"/>
  <c r="J25" i="56"/>
  <c r="J10" i="56"/>
  <c r="J36" i="56"/>
  <c r="J48" i="56"/>
  <c r="J56" i="56"/>
  <c r="J64" i="56"/>
  <c r="J72" i="56"/>
  <c r="J80" i="56"/>
  <c r="J5" i="56"/>
  <c r="J21" i="56"/>
  <c r="J42" i="56"/>
  <c r="J62" i="56"/>
  <c r="J78" i="56"/>
  <c r="J90" i="56"/>
  <c r="J106" i="56"/>
  <c r="J138" i="56"/>
  <c r="J18" i="56"/>
  <c r="J34" i="56"/>
  <c r="J54" i="56"/>
  <c r="J70" i="56"/>
  <c r="J82" i="56"/>
  <c r="J98" i="56"/>
  <c r="J114" i="56"/>
  <c r="J14" i="56"/>
  <c r="J24" i="56"/>
  <c r="J6" i="56"/>
  <c r="J84" i="56"/>
  <c r="J88" i="56"/>
  <c r="J92" i="56"/>
  <c r="J100" i="56"/>
  <c r="J108" i="56"/>
  <c r="J116" i="56"/>
  <c r="J124" i="56"/>
  <c r="J128" i="56"/>
  <c r="J132" i="56"/>
  <c r="J136" i="56"/>
  <c r="J140" i="56"/>
  <c r="J144" i="56"/>
  <c r="J148" i="56"/>
  <c r="J152" i="56"/>
  <c r="J156" i="56"/>
  <c r="J160" i="56"/>
  <c r="J168" i="56"/>
  <c r="J176" i="56"/>
  <c r="J184" i="56"/>
  <c r="J192" i="56"/>
  <c r="J193" i="56"/>
  <c r="J146" i="56"/>
  <c r="J158" i="56"/>
  <c r="J170" i="56"/>
  <c r="J194" i="56"/>
  <c r="J190" i="56"/>
  <c r="J167" i="56"/>
  <c r="J175" i="56"/>
  <c r="J183" i="56"/>
  <c r="J195" i="56"/>
  <c r="J19" i="56"/>
  <c r="J17" i="56"/>
  <c r="J38" i="56"/>
  <c r="J66" i="56"/>
  <c r="J102" i="56"/>
  <c r="J22" i="56"/>
  <c r="J30" i="56"/>
  <c r="J58" i="56"/>
  <c r="J94" i="56"/>
  <c r="J122" i="56"/>
  <c r="J134" i="56"/>
  <c r="J40" i="56"/>
  <c r="J60" i="56"/>
  <c r="J76" i="56"/>
  <c r="J33" i="56"/>
  <c r="J41" i="56"/>
  <c r="J49" i="56"/>
  <c r="J57" i="56"/>
  <c r="J65" i="56"/>
  <c r="J73" i="56"/>
  <c r="J81" i="56"/>
  <c r="J89" i="56"/>
  <c r="J97" i="56"/>
  <c r="J105" i="56"/>
  <c r="J117" i="56"/>
  <c r="J15" i="56"/>
  <c r="J8" i="56"/>
  <c r="J13" i="56"/>
  <c r="J74" i="56"/>
  <c r="J96" i="56"/>
  <c r="J112" i="56"/>
  <c r="J172" i="56"/>
  <c r="J129" i="56"/>
  <c r="J145" i="56"/>
  <c r="J161" i="56"/>
  <c r="J177" i="56"/>
  <c r="J50" i="56"/>
  <c r="J118" i="56"/>
  <c r="J26" i="56"/>
  <c r="J29" i="56"/>
  <c r="J46" i="56"/>
  <c r="J110" i="56"/>
  <c r="J104" i="56"/>
  <c r="J120" i="56"/>
  <c r="J196" i="56"/>
  <c r="J32" i="56"/>
  <c r="J180" i="56"/>
  <c r="J37" i="56"/>
  <c r="J45" i="56"/>
  <c r="J101" i="56"/>
  <c r="J109" i="56"/>
  <c r="J173" i="56"/>
  <c r="J181" i="56"/>
  <c r="J43" i="56"/>
  <c r="J59" i="56"/>
  <c r="J75" i="56"/>
  <c r="J91" i="56"/>
  <c r="J107" i="56"/>
  <c r="J159" i="56"/>
  <c r="J86" i="56"/>
  <c r="J52" i="56"/>
  <c r="J188" i="56"/>
  <c r="J85" i="56"/>
  <c r="J93" i="56"/>
  <c r="J141" i="56"/>
  <c r="J189" i="56"/>
  <c r="J182" i="56"/>
  <c r="J142" i="56"/>
  <c r="J154" i="56"/>
  <c r="J186" i="56"/>
  <c r="J39" i="56"/>
  <c r="J55" i="56"/>
  <c r="J71" i="56"/>
  <c r="J87" i="56"/>
  <c r="J103" i="56"/>
  <c r="J123" i="56"/>
  <c r="J131" i="56"/>
  <c r="J139" i="56"/>
  <c r="J147" i="56"/>
  <c r="J155" i="56"/>
  <c r="J163" i="56"/>
  <c r="J171" i="56"/>
  <c r="J179" i="56"/>
  <c r="J187" i="56"/>
  <c r="J191" i="56"/>
  <c r="J35" i="56"/>
  <c r="J67" i="56"/>
  <c r="J99" i="56"/>
  <c r="J53" i="56"/>
  <c r="J61" i="56"/>
  <c r="J150" i="56"/>
  <c r="J31" i="56"/>
  <c r="J63" i="56"/>
  <c r="J95" i="56"/>
  <c r="J127" i="56"/>
  <c r="J130" i="56"/>
  <c r="J68" i="56"/>
  <c r="J69" i="56"/>
  <c r="J77" i="56"/>
  <c r="J165" i="56"/>
  <c r="J197" i="56"/>
  <c r="J174" i="56"/>
  <c r="J178" i="56"/>
  <c r="J51" i="56"/>
  <c r="J83" i="56"/>
  <c r="J115" i="56"/>
  <c r="J11" i="56"/>
  <c r="J164" i="56"/>
  <c r="J121" i="56"/>
  <c r="J125" i="56"/>
  <c r="J157" i="56"/>
  <c r="J169" i="56"/>
  <c r="J162" i="56"/>
  <c r="J166" i="56"/>
  <c r="J198" i="56"/>
  <c r="J47" i="56"/>
  <c r="J79" i="56"/>
  <c r="J111" i="56"/>
  <c r="J135" i="56"/>
  <c r="J151" i="56"/>
  <c r="J143" i="56"/>
  <c r="K4" i="55"/>
  <c r="J40" i="55"/>
  <c r="J112" i="55"/>
  <c r="J124" i="55"/>
  <c r="J168" i="55"/>
  <c r="J33" i="55"/>
  <c r="J101" i="55"/>
  <c r="J121" i="55"/>
  <c r="J145" i="55"/>
  <c r="J169" i="55"/>
  <c r="J8" i="55"/>
  <c r="J144" i="55"/>
  <c r="J104" i="55"/>
  <c r="J69" i="55"/>
  <c r="J97" i="55"/>
  <c r="J141" i="55"/>
  <c r="J165" i="55"/>
  <c r="J181" i="55"/>
  <c r="J22" i="55"/>
  <c r="J65" i="55"/>
  <c r="J82" i="55"/>
  <c r="J90" i="55"/>
  <c r="J98" i="55"/>
  <c r="J106" i="55"/>
  <c r="J114" i="55"/>
  <c r="J134" i="55"/>
  <c r="J142" i="55"/>
  <c r="J150" i="55"/>
  <c r="J158" i="55"/>
  <c r="J166" i="55"/>
  <c r="J174" i="55"/>
  <c r="J182" i="55"/>
  <c r="J190" i="55"/>
  <c r="J21" i="55"/>
  <c r="J38" i="55"/>
  <c r="J54" i="55"/>
  <c r="J70" i="55"/>
  <c r="J79" i="55"/>
  <c r="J87" i="55"/>
  <c r="J91" i="55"/>
  <c r="J95" i="55"/>
  <c r="J103" i="55"/>
  <c r="J111" i="55"/>
  <c r="J123" i="55"/>
  <c r="J127" i="55"/>
  <c r="J131" i="55"/>
  <c r="J135" i="55"/>
  <c r="J139" i="55"/>
  <c r="J143" i="55"/>
  <c r="J147" i="55"/>
  <c r="J151" i="55"/>
  <c r="J155" i="55"/>
  <c r="J163" i="55"/>
  <c r="J52" i="55"/>
  <c r="J57" i="55"/>
  <c r="J93" i="55"/>
  <c r="J109" i="55"/>
  <c r="J117" i="55"/>
  <c r="J58" i="55"/>
  <c r="J78" i="55"/>
  <c r="J94" i="55"/>
  <c r="J110" i="55"/>
  <c r="J130" i="55"/>
  <c r="J146" i="55"/>
  <c r="J162" i="55"/>
  <c r="J178" i="55"/>
  <c r="J49" i="55"/>
  <c r="J85" i="55"/>
  <c r="J50" i="55"/>
  <c r="J35" i="55"/>
  <c r="J47" i="55"/>
  <c r="J67" i="55"/>
  <c r="J159" i="55"/>
  <c r="J195" i="55"/>
  <c r="J11" i="55"/>
  <c r="J16" i="55"/>
  <c r="J132" i="55"/>
  <c r="J160" i="55"/>
  <c r="J192" i="55"/>
  <c r="J32" i="55"/>
  <c r="J48" i="55"/>
  <c r="J76" i="55"/>
  <c r="J84" i="55"/>
  <c r="J96" i="55"/>
  <c r="J140" i="55"/>
  <c r="J156" i="55"/>
  <c r="J188" i="55"/>
  <c r="J36" i="55"/>
  <c r="J20" i="55"/>
  <c r="J53" i="55"/>
  <c r="J81" i="55"/>
  <c r="J105" i="55"/>
  <c r="J129" i="55"/>
  <c r="J161" i="55"/>
  <c r="J177" i="55"/>
  <c r="J197" i="55"/>
  <c r="J6" i="55"/>
  <c r="J14" i="55"/>
  <c r="J73" i="55"/>
  <c r="J89" i="55"/>
  <c r="J62" i="55"/>
  <c r="J122" i="55"/>
  <c r="J43" i="55"/>
  <c r="J55" i="55"/>
  <c r="J75" i="55"/>
  <c r="J99" i="55"/>
  <c r="J171" i="55"/>
  <c r="J179" i="55"/>
  <c r="J187" i="55"/>
  <c r="J26" i="55"/>
  <c r="J25" i="55"/>
  <c r="J172" i="55"/>
  <c r="J24" i="55"/>
  <c r="J64" i="55"/>
  <c r="J88" i="55"/>
  <c r="J100" i="55"/>
  <c r="J116" i="55"/>
  <c r="J128" i="55"/>
  <c r="J176" i="55"/>
  <c r="J196" i="55"/>
  <c r="J7" i="55"/>
  <c r="J15" i="55"/>
  <c r="J23" i="55"/>
  <c r="J30" i="55"/>
  <c r="J198" i="55"/>
  <c r="J29" i="55"/>
  <c r="J71" i="55"/>
  <c r="J83" i="55"/>
  <c r="J18" i="55"/>
  <c r="J17" i="55"/>
  <c r="J72" i="55"/>
  <c r="J120" i="55"/>
  <c r="J152" i="55"/>
  <c r="J184" i="55"/>
  <c r="J189" i="55"/>
  <c r="J42" i="55"/>
  <c r="J102" i="55"/>
  <c r="J138" i="55"/>
  <c r="J170" i="55"/>
  <c r="J61" i="55"/>
  <c r="J34" i="55"/>
  <c r="J51" i="55"/>
  <c r="J107" i="55"/>
  <c r="J167" i="55"/>
  <c r="J183" i="55"/>
  <c r="J19" i="55"/>
  <c r="J9" i="55"/>
  <c r="J60" i="55"/>
  <c r="J56" i="55"/>
  <c r="J80" i="55"/>
  <c r="J164" i="55"/>
  <c r="J173" i="55"/>
  <c r="J77" i="55"/>
  <c r="J63" i="55"/>
  <c r="J175" i="55"/>
  <c r="J12" i="55"/>
  <c r="J68" i="55"/>
  <c r="J180" i="55"/>
  <c r="J74" i="55"/>
  <c r="J118" i="55"/>
  <c r="J186" i="55"/>
  <c r="J13" i="55"/>
  <c r="J39" i="55"/>
  <c r="J28" i="55"/>
  <c r="J136" i="55"/>
  <c r="J125" i="55"/>
  <c r="J193" i="55"/>
  <c r="J41" i="55"/>
  <c r="J46" i="55"/>
  <c r="J194" i="55"/>
  <c r="J5" i="55"/>
  <c r="J37" i="55"/>
  <c r="J66" i="55"/>
  <c r="J191" i="55"/>
  <c r="J10" i="55"/>
  <c r="J108" i="55"/>
  <c r="J92" i="55"/>
  <c r="J148" i="55"/>
  <c r="J31" i="55"/>
  <c r="J45" i="55"/>
  <c r="J154" i="55"/>
  <c r="J59" i="55"/>
  <c r="J115" i="55"/>
  <c r="J27" i="55"/>
  <c r="J157" i="55"/>
  <c r="J86" i="55"/>
  <c r="I5" i="52"/>
  <c r="G4" i="51"/>
  <c r="H4" i="51" s="1"/>
  <c r="I4" i="51" s="1"/>
  <c r="J4" i="51" s="1"/>
  <c r="K4" i="51" s="1"/>
  <c r="L4" i="51" s="1"/>
  <c r="M4" i="51" s="1"/>
  <c r="N4" i="51" s="1"/>
  <c r="O4" i="51" s="1"/>
  <c r="P4" i="51" s="1"/>
  <c r="G4" i="50"/>
  <c r="H4" i="50" s="1"/>
  <c r="I4" i="50" s="1"/>
  <c r="J4" i="50" s="1"/>
  <c r="K4" i="50" s="1"/>
  <c r="L4" i="50" s="1"/>
  <c r="M4" i="50" s="1"/>
  <c r="N4" i="50" s="1"/>
  <c r="O4" i="50" s="1"/>
  <c r="P4" i="50" s="1"/>
  <c r="F198" i="49"/>
  <c r="G198" i="49" s="1"/>
  <c r="H198" i="49" s="1"/>
  <c r="I198" i="49" s="1"/>
  <c r="J198" i="49" s="1"/>
  <c r="K198" i="49" s="1"/>
  <c r="L198" i="49" s="1"/>
  <c r="M198" i="49" s="1"/>
  <c r="N198" i="49" s="1"/>
  <c r="O198" i="49" s="1"/>
  <c r="P198" i="49" s="1"/>
  <c r="F197" i="49"/>
  <c r="G197" i="49" s="1"/>
  <c r="H197" i="49" s="1"/>
  <c r="I197" i="49" s="1"/>
  <c r="J197" i="49" s="1"/>
  <c r="K197" i="49" s="1"/>
  <c r="L197" i="49" s="1"/>
  <c r="M197" i="49" s="1"/>
  <c r="N197" i="49" s="1"/>
  <c r="O197" i="49" s="1"/>
  <c r="P197" i="49" s="1"/>
  <c r="F196" i="49"/>
  <c r="G196" i="49" s="1"/>
  <c r="H196" i="49" s="1"/>
  <c r="I196" i="49" s="1"/>
  <c r="J196" i="49" s="1"/>
  <c r="K196" i="49" s="1"/>
  <c r="L196" i="49" s="1"/>
  <c r="M196" i="49" s="1"/>
  <c r="N196" i="49" s="1"/>
  <c r="O196" i="49" s="1"/>
  <c r="P196" i="49" s="1"/>
  <c r="F195" i="49"/>
  <c r="G195" i="49" s="1"/>
  <c r="H195" i="49" s="1"/>
  <c r="I195" i="49" s="1"/>
  <c r="J195" i="49" s="1"/>
  <c r="K195" i="49" s="1"/>
  <c r="L195" i="49" s="1"/>
  <c r="M195" i="49" s="1"/>
  <c r="N195" i="49" s="1"/>
  <c r="O195" i="49" s="1"/>
  <c r="P195" i="49" s="1"/>
  <c r="F194" i="49"/>
  <c r="G194" i="49" s="1"/>
  <c r="H194" i="49" s="1"/>
  <c r="I194" i="49" s="1"/>
  <c r="J194" i="49" s="1"/>
  <c r="K194" i="49" s="1"/>
  <c r="L194" i="49" s="1"/>
  <c r="M194" i="49" s="1"/>
  <c r="N194" i="49" s="1"/>
  <c r="O194" i="49" s="1"/>
  <c r="P194" i="49" s="1"/>
  <c r="F193" i="49"/>
  <c r="G193" i="49" s="1"/>
  <c r="H193" i="49" s="1"/>
  <c r="I193" i="49" s="1"/>
  <c r="J193" i="49" s="1"/>
  <c r="K193" i="49" s="1"/>
  <c r="L193" i="49" s="1"/>
  <c r="M193" i="49" s="1"/>
  <c r="N193" i="49" s="1"/>
  <c r="O193" i="49" s="1"/>
  <c r="P193" i="49" s="1"/>
  <c r="F192" i="49"/>
  <c r="F191" i="49"/>
  <c r="G191" i="49" s="1"/>
  <c r="H191" i="49" s="1"/>
  <c r="I191" i="49" s="1"/>
  <c r="J191" i="49" s="1"/>
  <c r="K191" i="49" s="1"/>
  <c r="L191" i="49" s="1"/>
  <c r="M191" i="49" s="1"/>
  <c r="N191" i="49" s="1"/>
  <c r="O191" i="49" s="1"/>
  <c r="P191" i="49" s="1"/>
  <c r="F189" i="49"/>
  <c r="G189" i="49" s="1"/>
  <c r="H189" i="49" s="1"/>
  <c r="I189" i="49" s="1"/>
  <c r="J189" i="49" s="1"/>
  <c r="K189" i="49" s="1"/>
  <c r="L189" i="49" s="1"/>
  <c r="M189" i="49" s="1"/>
  <c r="N189" i="49" s="1"/>
  <c r="O189" i="49" s="1"/>
  <c r="P189" i="49" s="1"/>
  <c r="F188" i="49"/>
  <c r="G188" i="49" s="1"/>
  <c r="H188" i="49" s="1"/>
  <c r="I188" i="49" s="1"/>
  <c r="J188" i="49" s="1"/>
  <c r="K188" i="49" s="1"/>
  <c r="L188" i="49" s="1"/>
  <c r="M188" i="49" s="1"/>
  <c r="N188" i="49" s="1"/>
  <c r="O188" i="49" s="1"/>
  <c r="P188" i="49" s="1"/>
  <c r="F187" i="49"/>
  <c r="G187" i="49" s="1"/>
  <c r="H187" i="49" s="1"/>
  <c r="I187" i="49" s="1"/>
  <c r="J187" i="49" s="1"/>
  <c r="K187" i="49" s="1"/>
  <c r="L187" i="49" s="1"/>
  <c r="M187" i="49" s="1"/>
  <c r="N187" i="49" s="1"/>
  <c r="O187" i="49" s="1"/>
  <c r="P187" i="49" s="1"/>
  <c r="F184" i="49"/>
  <c r="G184" i="49" s="1"/>
  <c r="H184" i="49" s="1"/>
  <c r="I184" i="49" s="1"/>
  <c r="J184" i="49" s="1"/>
  <c r="K184" i="49" s="1"/>
  <c r="L184" i="49" s="1"/>
  <c r="M184" i="49" s="1"/>
  <c r="N184" i="49" s="1"/>
  <c r="O184" i="49" s="1"/>
  <c r="P184" i="49" s="1"/>
  <c r="F183" i="49"/>
  <c r="G183" i="49" s="1"/>
  <c r="H183" i="49" s="1"/>
  <c r="I183" i="49" s="1"/>
  <c r="J183" i="49" s="1"/>
  <c r="K183" i="49" s="1"/>
  <c r="L183" i="49" s="1"/>
  <c r="M183" i="49" s="1"/>
  <c r="N183" i="49" s="1"/>
  <c r="O183" i="49" s="1"/>
  <c r="P183" i="49" s="1"/>
  <c r="F182" i="49"/>
  <c r="G182" i="49" s="1"/>
  <c r="H182" i="49" s="1"/>
  <c r="I182" i="49" s="1"/>
  <c r="J182" i="49" s="1"/>
  <c r="K182" i="49" s="1"/>
  <c r="L182" i="49" s="1"/>
  <c r="M182" i="49" s="1"/>
  <c r="N182" i="49" s="1"/>
  <c r="O182" i="49" s="1"/>
  <c r="P182" i="49" s="1"/>
  <c r="F181" i="49"/>
  <c r="G181" i="49" s="1"/>
  <c r="H181" i="49" s="1"/>
  <c r="I181" i="49" s="1"/>
  <c r="J181" i="49" s="1"/>
  <c r="K181" i="49" s="1"/>
  <c r="L181" i="49" s="1"/>
  <c r="M181" i="49" s="1"/>
  <c r="N181" i="49" s="1"/>
  <c r="O181" i="49" s="1"/>
  <c r="P181" i="49" s="1"/>
  <c r="F180" i="49"/>
  <c r="G180" i="49" s="1"/>
  <c r="H180" i="49" s="1"/>
  <c r="I180" i="49" s="1"/>
  <c r="J180" i="49" s="1"/>
  <c r="K180" i="49" s="1"/>
  <c r="L180" i="49" s="1"/>
  <c r="M180" i="49" s="1"/>
  <c r="N180" i="49" s="1"/>
  <c r="O180" i="49" s="1"/>
  <c r="P180" i="49" s="1"/>
  <c r="F179" i="49"/>
  <c r="G179" i="49" s="1"/>
  <c r="H179" i="49" s="1"/>
  <c r="I179" i="49" s="1"/>
  <c r="J179" i="49" s="1"/>
  <c r="K179" i="49" s="1"/>
  <c r="L179" i="49" s="1"/>
  <c r="M179" i="49" s="1"/>
  <c r="N179" i="49" s="1"/>
  <c r="O179" i="49" s="1"/>
  <c r="P179" i="49" s="1"/>
  <c r="F178" i="49"/>
  <c r="G178" i="49" s="1"/>
  <c r="H178" i="49" s="1"/>
  <c r="I178" i="49" s="1"/>
  <c r="J178" i="49" s="1"/>
  <c r="K178" i="49" s="1"/>
  <c r="L178" i="49" s="1"/>
  <c r="M178" i="49" s="1"/>
  <c r="N178" i="49" s="1"/>
  <c r="O178" i="49" s="1"/>
  <c r="P178" i="49" s="1"/>
  <c r="F177" i="49"/>
  <c r="G177" i="49" s="1"/>
  <c r="H177" i="49" s="1"/>
  <c r="I177" i="49" s="1"/>
  <c r="J177" i="49" s="1"/>
  <c r="K177" i="49" s="1"/>
  <c r="L177" i="49" s="1"/>
  <c r="M177" i="49" s="1"/>
  <c r="N177" i="49" s="1"/>
  <c r="O177" i="49" s="1"/>
  <c r="P177" i="49" s="1"/>
  <c r="F176" i="49"/>
  <c r="G176" i="49" s="1"/>
  <c r="H176" i="49" s="1"/>
  <c r="I176" i="49" s="1"/>
  <c r="J176" i="49" s="1"/>
  <c r="K176" i="49" s="1"/>
  <c r="L176" i="49" s="1"/>
  <c r="M176" i="49" s="1"/>
  <c r="N176" i="49" s="1"/>
  <c r="O176" i="49" s="1"/>
  <c r="P176" i="49" s="1"/>
  <c r="F174" i="49"/>
  <c r="G174" i="49" s="1"/>
  <c r="H174" i="49" s="1"/>
  <c r="I174" i="49" s="1"/>
  <c r="J174" i="49" s="1"/>
  <c r="K174" i="49" s="1"/>
  <c r="L174" i="49" s="1"/>
  <c r="M174" i="49" s="1"/>
  <c r="N174" i="49" s="1"/>
  <c r="O174" i="49" s="1"/>
  <c r="P174" i="49" s="1"/>
  <c r="F173" i="49"/>
  <c r="G173" i="49" s="1"/>
  <c r="H173" i="49" s="1"/>
  <c r="I173" i="49" s="1"/>
  <c r="J173" i="49" s="1"/>
  <c r="K173" i="49" s="1"/>
  <c r="L173" i="49" s="1"/>
  <c r="M173" i="49" s="1"/>
  <c r="N173" i="49" s="1"/>
  <c r="O173" i="49" s="1"/>
  <c r="P173" i="49" s="1"/>
  <c r="F172" i="49"/>
  <c r="G172" i="49" s="1"/>
  <c r="H172" i="49" s="1"/>
  <c r="I172" i="49" s="1"/>
  <c r="J172" i="49" s="1"/>
  <c r="K172" i="49" s="1"/>
  <c r="L172" i="49" s="1"/>
  <c r="M172" i="49" s="1"/>
  <c r="N172" i="49" s="1"/>
  <c r="O172" i="49" s="1"/>
  <c r="P172" i="49" s="1"/>
  <c r="F171" i="49"/>
  <c r="G171" i="49" s="1"/>
  <c r="H171" i="49" s="1"/>
  <c r="I171" i="49" s="1"/>
  <c r="J171" i="49" s="1"/>
  <c r="K171" i="49" s="1"/>
  <c r="L171" i="49" s="1"/>
  <c r="M171" i="49" s="1"/>
  <c r="N171" i="49" s="1"/>
  <c r="O171" i="49" s="1"/>
  <c r="P171" i="49" s="1"/>
  <c r="F170" i="49"/>
  <c r="G170" i="49" s="1"/>
  <c r="H170" i="49" s="1"/>
  <c r="I170" i="49" s="1"/>
  <c r="J170" i="49" s="1"/>
  <c r="K170" i="49" s="1"/>
  <c r="L170" i="49" s="1"/>
  <c r="M170" i="49" s="1"/>
  <c r="N170" i="49" s="1"/>
  <c r="O170" i="49" s="1"/>
  <c r="P170" i="49" s="1"/>
  <c r="F169" i="49"/>
  <c r="G169" i="49" s="1"/>
  <c r="H169" i="49" s="1"/>
  <c r="I169" i="49" s="1"/>
  <c r="J169" i="49" s="1"/>
  <c r="K169" i="49" s="1"/>
  <c r="L169" i="49" s="1"/>
  <c r="M169" i="49" s="1"/>
  <c r="N169" i="49" s="1"/>
  <c r="O169" i="49" s="1"/>
  <c r="P169" i="49" s="1"/>
  <c r="F168" i="49"/>
  <c r="G168" i="49" s="1"/>
  <c r="H168" i="49" s="1"/>
  <c r="I168" i="49" s="1"/>
  <c r="J168" i="49" s="1"/>
  <c r="K168" i="49" s="1"/>
  <c r="L168" i="49" s="1"/>
  <c r="M168" i="49" s="1"/>
  <c r="N168" i="49" s="1"/>
  <c r="O168" i="49" s="1"/>
  <c r="P168" i="49" s="1"/>
  <c r="F167" i="49"/>
  <c r="G167" i="49" s="1"/>
  <c r="H167" i="49" s="1"/>
  <c r="I167" i="49" s="1"/>
  <c r="J167" i="49" s="1"/>
  <c r="K167" i="49" s="1"/>
  <c r="L167" i="49" s="1"/>
  <c r="M167" i="49" s="1"/>
  <c r="N167" i="49" s="1"/>
  <c r="O167" i="49" s="1"/>
  <c r="P167" i="49" s="1"/>
  <c r="F166" i="49"/>
  <c r="G166" i="49" s="1"/>
  <c r="H166" i="49" s="1"/>
  <c r="I166" i="49" s="1"/>
  <c r="J166" i="49" s="1"/>
  <c r="K166" i="49" s="1"/>
  <c r="L166" i="49" s="1"/>
  <c r="M166" i="49" s="1"/>
  <c r="N166" i="49" s="1"/>
  <c r="O166" i="49" s="1"/>
  <c r="P166" i="49" s="1"/>
  <c r="F164" i="49"/>
  <c r="G164" i="49" s="1"/>
  <c r="H164" i="49" s="1"/>
  <c r="I164" i="49" s="1"/>
  <c r="J164" i="49" s="1"/>
  <c r="K164" i="49" s="1"/>
  <c r="L164" i="49" s="1"/>
  <c r="M164" i="49" s="1"/>
  <c r="N164" i="49" s="1"/>
  <c r="O164" i="49" s="1"/>
  <c r="P164" i="49" s="1"/>
  <c r="F163" i="49"/>
  <c r="G163" i="49" s="1"/>
  <c r="H163" i="49" s="1"/>
  <c r="I163" i="49" s="1"/>
  <c r="J163" i="49" s="1"/>
  <c r="K163" i="49" s="1"/>
  <c r="L163" i="49" s="1"/>
  <c r="M163" i="49" s="1"/>
  <c r="N163" i="49" s="1"/>
  <c r="O163" i="49" s="1"/>
  <c r="P163" i="49" s="1"/>
  <c r="F162" i="49"/>
  <c r="G162" i="49" s="1"/>
  <c r="H162" i="49" s="1"/>
  <c r="I162" i="49" s="1"/>
  <c r="J162" i="49" s="1"/>
  <c r="K162" i="49" s="1"/>
  <c r="L162" i="49" s="1"/>
  <c r="M162" i="49" s="1"/>
  <c r="N162" i="49" s="1"/>
  <c r="O162" i="49" s="1"/>
  <c r="P162" i="49" s="1"/>
  <c r="F161" i="49"/>
  <c r="G161" i="49" s="1"/>
  <c r="H161" i="49" s="1"/>
  <c r="I161" i="49" s="1"/>
  <c r="J161" i="49" s="1"/>
  <c r="K161" i="49" s="1"/>
  <c r="L161" i="49" s="1"/>
  <c r="M161" i="49" s="1"/>
  <c r="N161" i="49" s="1"/>
  <c r="O161" i="49" s="1"/>
  <c r="P161" i="49" s="1"/>
  <c r="F160" i="49"/>
  <c r="G160" i="49" s="1"/>
  <c r="H160" i="49" s="1"/>
  <c r="I160" i="49" s="1"/>
  <c r="J160" i="49" s="1"/>
  <c r="K160" i="49" s="1"/>
  <c r="L160" i="49" s="1"/>
  <c r="M160" i="49" s="1"/>
  <c r="N160" i="49" s="1"/>
  <c r="O160" i="49" s="1"/>
  <c r="P160" i="49" s="1"/>
  <c r="F159" i="49"/>
  <c r="G159" i="49" s="1"/>
  <c r="H159" i="49" s="1"/>
  <c r="I159" i="49" s="1"/>
  <c r="J159" i="49" s="1"/>
  <c r="K159" i="49" s="1"/>
  <c r="L159" i="49" s="1"/>
  <c r="M159" i="49" s="1"/>
  <c r="N159" i="49" s="1"/>
  <c r="O159" i="49" s="1"/>
  <c r="P159" i="49" s="1"/>
  <c r="F158" i="49"/>
  <c r="G158" i="49" s="1"/>
  <c r="H158" i="49" s="1"/>
  <c r="I158" i="49" s="1"/>
  <c r="J158" i="49" s="1"/>
  <c r="K158" i="49" s="1"/>
  <c r="L158" i="49" s="1"/>
  <c r="M158" i="49" s="1"/>
  <c r="N158" i="49" s="1"/>
  <c r="O158" i="49" s="1"/>
  <c r="P158" i="49" s="1"/>
  <c r="F157" i="49"/>
  <c r="G157" i="49" s="1"/>
  <c r="H157" i="49" s="1"/>
  <c r="I157" i="49" s="1"/>
  <c r="J157" i="49" s="1"/>
  <c r="K157" i="49" s="1"/>
  <c r="L157" i="49" s="1"/>
  <c r="M157" i="49" s="1"/>
  <c r="N157" i="49" s="1"/>
  <c r="O157" i="49" s="1"/>
  <c r="P157" i="49" s="1"/>
  <c r="F156" i="49"/>
  <c r="G156" i="49" s="1"/>
  <c r="H156" i="49" s="1"/>
  <c r="I156" i="49" s="1"/>
  <c r="J156" i="49" s="1"/>
  <c r="K156" i="49" s="1"/>
  <c r="L156" i="49" s="1"/>
  <c r="M156" i="49" s="1"/>
  <c r="N156" i="49" s="1"/>
  <c r="O156" i="49" s="1"/>
  <c r="P156" i="49" s="1"/>
  <c r="F155" i="49"/>
  <c r="G155" i="49" s="1"/>
  <c r="H155" i="49" s="1"/>
  <c r="I155" i="49" s="1"/>
  <c r="J155" i="49" s="1"/>
  <c r="K155" i="49" s="1"/>
  <c r="L155" i="49" s="1"/>
  <c r="M155" i="49" s="1"/>
  <c r="N155" i="49" s="1"/>
  <c r="O155" i="49" s="1"/>
  <c r="P155" i="49" s="1"/>
  <c r="F154" i="49"/>
  <c r="G154" i="49" s="1"/>
  <c r="H154" i="49" s="1"/>
  <c r="I154" i="49" s="1"/>
  <c r="J154" i="49" s="1"/>
  <c r="K154" i="49" s="1"/>
  <c r="L154" i="49" s="1"/>
  <c r="M154" i="49" s="1"/>
  <c r="N154" i="49" s="1"/>
  <c r="O154" i="49" s="1"/>
  <c r="P154" i="49" s="1"/>
  <c r="F152" i="49"/>
  <c r="G152" i="49" s="1"/>
  <c r="H152" i="49" s="1"/>
  <c r="I152" i="49" s="1"/>
  <c r="J152" i="49" s="1"/>
  <c r="K152" i="49" s="1"/>
  <c r="L152" i="49" s="1"/>
  <c r="M152" i="49" s="1"/>
  <c r="N152" i="49" s="1"/>
  <c r="O152" i="49" s="1"/>
  <c r="P152" i="49" s="1"/>
  <c r="F151" i="49"/>
  <c r="G151" i="49" s="1"/>
  <c r="H151" i="49" s="1"/>
  <c r="I151" i="49" s="1"/>
  <c r="J151" i="49" s="1"/>
  <c r="K151" i="49" s="1"/>
  <c r="L151" i="49" s="1"/>
  <c r="M151" i="49" s="1"/>
  <c r="N151" i="49" s="1"/>
  <c r="O151" i="49" s="1"/>
  <c r="P151" i="49" s="1"/>
  <c r="F150" i="49"/>
  <c r="F148" i="49"/>
  <c r="G148" i="49" s="1"/>
  <c r="H148" i="49" s="1"/>
  <c r="I148" i="49" s="1"/>
  <c r="J148" i="49" s="1"/>
  <c r="K148" i="49" s="1"/>
  <c r="L148" i="49" s="1"/>
  <c r="M148" i="49" s="1"/>
  <c r="N148" i="49" s="1"/>
  <c r="O148" i="49" s="1"/>
  <c r="P148" i="49" s="1"/>
  <c r="F147" i="49"/>
  <c r="G147" i="49" s="1"/>
  <c r="H147" i="49" s="1"/>
  <c r="I147" i="49" s="1"/>
  <c r="J147" i="49" s="1"/>
  <c r="K147" i="49" s="1"/>
  <c r="L147" i="49" s="1"/>
  <c r="M147" i="49" s="1"/>
  <c r="N147" i="49" s="1"/>
  <c r="O147" i="49" s="1"/>
  <c r="P147" i="49" s="1"/>
  <c r="F146" i="49"/>
  <c r="G146" i="49" s="1"/>
  <c r="H146" i="49" s="1"/>
  <c r="I146" i="49" s="1"/>
  <c r="J146" i="49" s="1"/>
  <c r="K146" i="49" s="1"/>
  <c r="L146" i="49" s="1"/>
  <c r="M146" i="49" s="1"/>
  <c r="N146" i="49" s="1"/>
  <c r="O146" i="49" s="1"/>
  <c r="P146" i="49" s="1"/>
  <c r="F145" i="49"/>
  <c r="G145" i="49" s="1"/>
  <c r="H145" i="49" s="1"/>
  <c r="I145" i="49" s="1"/>
  <c r="J145" i="49" s="1"/>
  <c r="K145" i="49" s="1"/>
  <c r="L145" i="49" s="1"/>
  <c r="M145" i="49" s="1"/>
  <c r="N145" i="49" s="1"/>
  <c r="O145" i="49" s="1"/>
  <c r="P145" i="49" s="1"/>
  <c r="F144" i="49"/>
  <c r="G144" i="49" s="1"/>
  <c r="H144" i="49" s="1"/>
  <c r="I144" i="49" s="1"/>
  <c r="J144" i="49" s="1"/>
  <c r="K144" i="49" s="1"/>
  <c r="L144" i="49" s="1"/>
  <c r="M144" i="49" s="1"/>
  <c r="N144" i="49" s="1"/>
  <c r="O144" i="49" s="1"/>
  <c r="P144" i="49" s="1"/>
  <c r="F143" i="49"/>
  <c r="G143" i="49" s="1"/>
  <c r="H143" i="49" s="1"/>
  <c r="I143" i="49" s="1"/>
  <c r="J143" i="49" s="1"/>
  <c r="K143" i="49" s="1"/>
  <c r="L143" i="49" s="1"/>
  <c r="M143" i="49" s="1"/>
  <c r="N143" i="49" s="1"/>
  <c r="O143" i="49" s="1"/>
  <c r="P143" i="49" s="1"/>
  <c r="F141" i="49"/>
  <c r="G141" i="49" s="1"/>
  <c r="H141" i="49" s="1"/>
  <c r="I141" i="49" s="1"/>
  <c r="J141" i="49" s="1"/>
  <c r="K141" i="49" s="1"/>
  <c r="L141" i="49" s="1"/>
  <c r="M141" i="49" s="1"/>
  <c r="N141" i="49" s="1"/>
  <c r="O141" i="49" s="1"/>
  <c r="P141" i="49" s="1"/>
  <c r="F140" i="49"/>
  <c r="G140" i="49" s="1"/>
  <c r="H140" i="49" s="1"/>
  <c r="I140" i="49" s="1"/>
  <c r="J140" i="49" s="1"/>
  <c r="K140" i="49" s="1"/>
  <c r="L140" i="49" s="1"/>
  <c r="M140" i="49" s="1"/>
  <c r="N140" i="49" s="1"/>
  <c r="O140" i="49" s="1"/>
  <c r="P140" i="49" s="1"/>
  <c r="F139" i="49"/>
  <c r="G139" i="49" s="1"/>
  <c r="H139" i="49" s="1"/>
  <c r="I139" i="49" s="1"/>
  <c r="J139" i="49" s="1"/>
  <c r="K139" i="49" s="1"/>
  <c r="L139" i="49" s="1"/>
  <c r="M139" i="49" s="1"/>
  <c r="N139" i="49" s="1"/>
  <c r="O139" i="49" s="1"/>
  <c r="P139" i="49" s="1"/>
  <c r="F138" i="49"/>
  <c r="G138" i="49" s="1"/>
  <c r="H138" i="49" s="1"/>
  <c r="I138" i="49" s="1"/>
  <c r="J138" i="49" s="1"/>
  <c r="K138" i="49" s="1"/>
  <c r="L138" i="49" s="1"/>
  <c r="M138" i="49" s="1"/>
  <c r="N138" i="49" s="1"/>
  <c r="O138" i="49" s="1"/>
  <c r="P138" i="49" s="1"/>
  <c r="F135" i="49"/>
  <c r="G135" i="49" s="1"/>
  <c r="H135" i="49" s="1"/>
  <c r="I135" i="49" s="1"/>
  <c r="J135" i="49" s="1"/>
  <c r="K135" i="49" s="1"/>
  <c r="L135" i="49" s="1"/>
  <c r="M135" i="49" s="1"/>
  <c r="N135" i="49" s="1"/>
  <c r="O135" i="49" s="1"/>
  <c r="P135" i="49" s="1"/>
  <c r="F134" i="49"/>
  <c r="G134" i="49" s="1"/>
  <c r="H134" i="49" s="1"/>
  <c r="I134" i="49" s="1"/>
  <c r="J134" i="49" s="1"/>
  <c r="K134" i="49" s="1"/>
  <c r="L134" i="49" s="1"/>
  <c r="M134" i="49" s="1"/>
  <c r="N134" i="49" s="1"/>
  <c r="O134" i="49" s="1"/>
  <c r="P134" i="49" s="1"/>
  <c r="F131" i="49"/>
  <c r="G131" i="49" s="1"/>
  <c r="H131" i="49" s="1"/>
  <c r="I131" i="49" s="1"/>
  <c r="J131" i="49" s="1"/>
  <c r="K131" i="49" s="1"/>
  <c r="L131" i="49" s="1"/>
  <c r="M131" i="49" s="1"/>
  <c r="N131" i="49" s="1"/>
  <c r="O131" i="49" s="1"/>
  <c r="P131" i="49" s="1"/>
  <c r="F130" i="49"/>
  <c r="G130" i="49" s="1"/>
  <c r="H130" i="49" s="1"/>
  <c r="I130" i="49" s="1"/>
  <c r="J130" i="49" s="1"/>
  <c r="K130" i="49" s="1"/>
  <c r="L130" i="49" s="1"/>
  <c r="M130" i="49" s="1"/>
  <c r="N130" i="49" s="1"/>
  <c r="O130" i="49" s="1"/>
  <c r="P130" i="49" s="1"/>
  <c r="F129" i="49"/>
  <c r="G129" i="49" s="1"/>
  <c r="H129" i="49" s="1"/>
  <c r="I129" i="49" s="1"/>
  <c r="J129" i="49" s="1"/>
  <c r="K129" i="49" s="1"/>
  <c r="L129" i="49" s="1"/>
  <c r="M129" i="49" s="1"/>
  <c r="N129" i="49" s="1"/>
  <c r="O129" i="49" s="1"/>
  <c r="P129" i="49" s="1"/>
  <c r="F128" i="49"/>
  <c r="G128" i="49" s="1"/>
  <c r="H128" i="49" s="1"/>
  <c r="I128" i="49" s="1"/>
  <c r="J128" i="49" s="1"/>
  <c r="K128" i="49" s="1"/>
  <c r="L128" i="49" s="1"/>
  <c r="M128" i="49" s="1"/>
  <c r="N128" i="49" s="1"/>
  <c r="O128" i="49" s="1"/>
  <c r="P128" i="49" s="1"/>
  <c r="F127" i="49"/>
  <c r="G127" i="49" s="1"/>
  <c r="H127" i="49" s="1"/>
  <c r="I127" i="49" s="1"/>
  <c r="J127" i="49" s="1"/>
  <c r="K127" i="49" s="1"/>
  <c r="L127" i="49" s="1"/>
  <c r="M127" i="49" s="1"/>
  <c r="N127" i="49" s="1"/>
  <c r="O127" i="49" s="1"/>
  <c r="P127" i="49" s="1"/>
  <c r="F125" i="49"/>
  <c r="G125" i="49" s="1"/>
  <c r="H125" i="49" s="1"/>
  <c r="I125" i="49" s="1"/>
  <c r="J125" i="49" s="1"/>
  <c r="K125" i="49" s="1"/>
  <c r="L125" i="49" s="1"/>
  <c r="M125" i="49" s="1"/>
  <c r="N125" i="49" s="1"/>
  <c r="O125" i="49" s="1"/>
  <c r="P125" i="49" s="1"/>
  <c r="F124" i="49"/>
  <c r="G124" i="49" s="1"/>
  <c r="H124" i="49" s="1"/>
  <c r="I124" i="49" s="1"/>
  <c r="J124" i="49" s="1"/>
  <c r="K124" i="49" s="1"/>
  <c r="L124" i="49" s="1"/>
  <c r="M124" i="49" s="1"/>
  <c r="N124" i="49" s="1"/>
  <c r="O124" i="49" s="1"/>
  <c r="P124" i="49" s="1"/>
  <c r="F122" i="49"/>
  <c r="G122" i="49" s="1"/>
  <c r="H122" i="49" s="1"/>
  <c r="I122" i="49" s="1"/>
  <c r="J122" i="49" s="1"/>
  <c r="K122" i="49" s="1"/>
  <c r="L122" i="49" s="1"/>
  <c r="M122" i="49" s="1"/>
  <c r="N122" i="49" s="1"/>
  <c r="O122" i="49" s="1"/>
  <c r="P122" i="49" s="1"/>
  <c r="F121" i="49"/>
  <c r="G121" i="49" s="1"/>
  <c r="H121" i="49" s="1"/>
  <c r="I121" i="49" s="1"/>
  <c r="J121" i="49" s="1"/>
  <c r="K121" i="49" s="1"/>
  <c r="L121" i="49" s="1"/>
  <c r="M121" i="49" s="1"/>
  <c r="N121" i="49" s="1"/>
  <c r="O121" i="49" s="1"/>
  <c r="P121" i="49" s="1"/>
  <c r="F120" i="49"/>
  <c r="G120" i="49" s="1"/>
  <c r="H120" i="49" s="1"/>
  <c r="I120" i="49" s="1"/>
  <c r="J120" i="49" s="1"/>
  <c r="K120" i="49" s="1"/>
  <c r="L120" i="49" s="1"/>
  <c r="M120" i="49" s="1"/>
  <c r="N120" i="49" s="1"/>
  <c r="O120" i="49" s="1"/>
  <c r="P120" i="49" s="1"/>
  <c r="F118" i="49"/>
  <c r="G118" i="49" s="1"/>
  <c r="H118" i="49" s="1"/>
  <c r="I118" i="49" s="1"/>
  <c r="J118" i="49" s="1"/>
  <c r="K118" i="49" s="1"/>
  <c r="L118" i="49" s="1"/>
  <c r="M118" i="49" s="1"/>
  <c r="N118" i="49" s="1"/>
  <c r="O118" i="49" s="1"/>
  <c r="P118" i="49" s="1"/>
  <c r="F117" i="49"/>
  <c r="G117" i="49" s="1"/>
  <c r="H117" i="49" s="1"/>
  <c r="I117" i="49" s="1"/>
  <c r="J117" i="49" s="1"/>
  <c r="K117" i="49" s="1"/>
  <c r="L117" i="49" s="1"/>
  <c r="M117" i="49" s="1"/>
  <c r="N117" i="49" s="1"/>
  <c r="O117" i="49" s="1"/>
  <c r="P117" i="49" s="1"/>
  <c r="F116" i="49"/>
  <c r="G116" i="49" s="1"/>
  <c r="H116" i="49" s="1"/>
  <c r="I116" i="49" s="1"/>
  <c r="J116" i="49" s="1"/>
  <c r="K116" i="49" s="1"/>
  <c r="L116" i="49" s="1"/>
  <c r="M116" i="49" s="1"/>
  <c r="N116" i="49" s="1"/>
  <c r="O116" i="49" s="1"/>
  <c r="P116" i="49" s="1"/>
  <c r="F115" i="49"/>
  <c r="G115" i="49" s="1"/>
  <c r="H115" i="49" s="1"/>
  <c r="I115" i="49" s="1"/>
  <c r="J115" i="49" s="1"/>
  <c r="K115" i="49" s="1"/>
  <c r="L115" i="49" s="1"/>
  <c r="M115" i="49" s="1"/>
  <c r="N115" i="49" s="1"/>
  <c r="O115" i="49" s="1"/>
  <c r="P115" i="49" s="1"/>
  <c r="F114" i="49"/>
  <c r="G114" i="49" s="1"/>
  <c r="H114" i="49" s="1"/>
  <c r="I114" i="49" s="1"/>
  <c r="J114" i="49" s="1"/>
  <c r="K114" i="49" s="1"/>
  <c r="L114" i="49" s="1"/>
  <c r="M114" i="49" s="1"/>
  <c r="N114" i="49" s="1"/>
  <c r="O114" i="49" s="1"/>
  <c r="P114" i="49" s="1"/>
  <c r="F112" i="49"/>
  <c r="G112" i="49" s="1"/>
  <c r="H112" i="49" s="1"/>
  <c r="I112" i="49" s="1"/>
  <c r="J112" i="49" s="1"/>
  <c r="K112" i="49" s="1"/>
  <c r="L112" i="49" s="1"/>
  <c r="M112" i="49" s="1"/>
  <c r="N112" i="49" s="1"/>
  <c r="O112" i="49" s="1"/>
  <c r="P112" i="49" s="1"/>
  <c r="F111" i="49"/>
  <c r="G111" i="49" s="1"/>
  <c r="H111" i="49" s="1"/>
  <c r="I111" i="49" s="1"/>
  <c r="J111" i="49" s="1"/>
  <c r="K111" i="49" s="1"/>
  <c r="L111" i="49" s="1"/>
  <c r="M111" i="49" s="1"/>
  <c r="N111" i="49" s="1"/>
  <c r="O111" i="49" s="1"/>
  <c r="P111" i="49" s="1"/>
  <c r="F110" i="49"/>
  <c r="G110" i="49" s="1"/>
  <c r="H110" i="49" s="1"/>
  <c r="I110" i="49" s="1"/>
  <c r="J110" i="49" s="1"/>
  <c r="K110" i="49" s="1"/>
  <c r="L110" i="49" s="1"/>
  <c r="M110" i="49" s="1"/>
  <c r="N110" i="49" s="1"/>
  <c r="O110" i="49" s="1"/>
  <c r="P110" i="49" s="1"/>
  <c r="F109" i="49"/>
  <c r="G109" i="49" s="1"/>
  <c r="H109" i="49" s="1"/>
  <c r="I109" i="49" s="1"/>
  <c r="J109" i="49" s="1"/>
  <c r="K109" i="49" s="1"/>
  <c r="L109" i="49" s="1"/>
  <c r="M109" i="49" s="1"/>
  <c r="N109" i="49" s="1"/>
  <c r="O109" i="49" s="1"/>
  <c r="P109" i="49" s="1"/>
  <c r="F108" i="49"/>
  <c r="G108" i="49" s="1"/>
  <c r="H108" i="49" s="1"/>
  <c r="I108" i="49" s="1"/>
  <c r="J108" i="49" s="1"/>
  <c r="K108" i="49" s="1"/>
  <c r="L108" i="49" s="1"/>
  <c r="M108" i="49" s="1"/>
  <c r="N108" i="49" s="1"/>
  <c r="O108" i="49" s="1"/>
  <c r="P108" i="49" s="1"/>
  <c r="F107" i="49"/>
  <c r="G107" i="49" s="1"/>
  <c r="H107" i="49" s="1"/>
  <c r="I107" i="49" s="1"/>
  <c r="J107" i="49" s="1"/>
  <c r="K107" i="49" s="1"/>
  <c r="L107" i="49" s="1"/>
  <c r="M107" i="49" s="1"/>
  <c r="N107" i="49" s="1"/>
  <c r="O107" i="49" s="1"/>
  <c r="P107" i="49" s="1"/>
  <c r="F106" i="49"/>
  <c r="G106" i="49" s="1"/>
  <c r="H106" i="49" s="1"/>
  <c r="I106" i="49" s="1"/>
  <c r="J106" i="49" s="1"/>
  <c r="K106" i="49" s="1"/>
  <c r="L106" i="49" s="1"/>
  <c r="M106" i="49" s="1"/>
  <c r="N106" i="49" s="1"/>
  <c r="O106" i="49" s="1"/>
  <c r="P106" i="49" s="1"/>
  <c r="F105" i="49"/>
  <c r="G105" i="49" s="1"/>
  <c r="H105" i="49" s="1"/>
  <c r="I105" i="49" s="1"/>
  <c r="J105" i="49" s="1"/>
  <c r="K105" i="49" s="1"/>
  <c r="L105" i="49" s="1"/>
  <c r="M105" i="49" s="1"/>
  <c r="N105" i="49" s="1"/>
  <c r="O105" i="49" s="1"/>
  <c r="P105" i="49" s="1"/>
  <c r="F104" i="49"/>
  <c r="G104" i="49" s="1"/>
  <c r="H104" i="49" s="1"/>
  <c r="I104" i="49" s="1"/>
  <c r="J104" i="49" s="1"/>
  <c r="K104" i="49" s="1"/>
  <c r="L104" i="49" s="1"/>
  <c r="M104" i="49" s="1"/>
  <c r="N104" i="49" s="1"/>
  <c r="O104" i="49" s="1"/>
  <c r="P104" i="49" s="1"/>
  <c r="F103" i="49"/>
  <c r="G103" i="49" s="1"/>
  <c r="H103" i="49" s="1"/>
  <c r="I103" i="49" s="1"/>
  <c r="J103" i="49" s="1"/>
  <c r="K103" i="49" s="1"/>
  <c r="L103" i="49" s="1"/>
  <c r="M103" i="49" s="1"/>
  <c r="N103" i="49" s="1"/>
  <c r="O103" i="49" s="1"/>
  <c r="P103" i="49" s="1"/>
  <c r="F102" i="49"/>
  <c r="G102" i="49" s="1"/>
  <c r="H102" i="49" s="1"/>
  <c r="I102" i="49" s="1"/>
  <c r="J102" i="49" s="1"/>
  <c r="K102" i="49" s="1"/>
  <c r="L102" i="49" s="1"/>
  <c r="M102" i="49" s="1"/>
  <c r="N102" i="49" s="1"/>
  <c r="O102" i="49" s="1"/>
  <c r="P102" i="49" s="1"/>
  <c r="F101" i="49"/>
  <c r="G101" i="49" s="1"/>
  <c r="H101" i="49" s="1"/>
  <c r="I101" i="49" s="1"/>
  <c r="J101" i="49" s="1"/>
  <c r="K101" i="49" s="1"/>
  <c r="L101" i="49" s="1"/>
  <c r="M101" i="49" s="1"/>
  <c r="N101" i="49" s="1"/>
  <c r="O101" i="49" s="1"/>
  <c r="P101" i="49" s="1"/>
  <c r="F100" i="49"/>
  <c r="G100" i="49" s="1"/>
  <c r="H100" i="49" s="1"/>
  <c r="I100" i="49" s="1"/>
  <c r="J100" i="49" s="1"/>
  <c r="K100" i="49" s="1"/>
  <c r="L100" i="49" s="1"/>
  <c r="M100" i="49" s="1"/>
  <c r="N100" i="49" s="1"/>
  <c r="O100" i="49" s="1"/>
  <c r="P100" i="49" s="1"/>
  <c r="F99" i="49"/>
  <c r="G99" i="49" s="1"/>
  <c r="H99" i="49" s="1"/>
  <c r="I99" i="49" s="1"/>
  <c r="J99" i="49" s="1"/>
  <c r="K99" i="49" s="1"/>
  <c r="L99" i="49" s="1"/>
  <c r="M99" i="49" s="1"/>
  <c r="N99" i="49" s="1"/>
  <c r="O99" i="49" s="1"/>
  <c r="P99" i="49" s="1"/>
  <c r="F98" i="49"/>
  <c r="G98" i="49" s="1"/>
  <c r="H98" i="49" s="1"/>
  <c r="I98" i="49" s="1"/>
  <c r="J98" i="49" s="1"/>
  <c r="K98" i="49" s="1"/>
  <c r="L98" i="49" s="1"/>
  <c r="M98" i="49" s="1"/>
  <c r="N98" i="49" s="1"/>
  <c r="O98" i="49" s="1"/>
  <c r="P98" i="49" s="1"/>
  <c r="F97" i="49"/>
  <c r="G97" i="49" s="1"/>
  <c r="H97" i="49" s="1"/>
  <c r="I97" i="49" s="1"/>
  <c r="J97" i="49" s="1"/>
  <c r="K97" i="49" s="1"/>
  <c r="L97" i="49" s="1"/>
  <c r="M97" i="49" s="1"/>
  <c r="N97" i="49" s="1"/>
  <c r="O97" i="49" s="1"/>
  <c r="P97" i="49" s="1"/>
  <c r="F96" i="49"/>
  <c r="G96" i="49" s="1"/>
  <c r="H96" i="49" s="1"/>
  <c r="I96" i="49" s="1"/>
  <c r="J96" i="49" s="1"/>
  <c r="K96" i="49" s="1"/>
  <c r="L96" i="49" s="1"/>
  <c r="M96" i="49" s="1"/>
  <c r="N96" i="49" s="1"/>
  <c r="O96" i="49" s="1"/>
  <c r="P96" i="49" s="1"/>
  <c r="F95" i="49"/>
  <c r="G95" i="49" s="1"/>
  <c r="H95" i="49" s="1"/>
  <c r="I95" i="49" s="1"/>
  <c r="J95" i="49" s="1"/>
  <c r="K95" i="49" s="1"/>
  <c r="L95" i="49" s="1"/>
  <c r="M95" i="49" s="1"/>
  <c r="N95" i="49" s="1"/>
  <c r="O95" i="49" s="1"/>
  <c r="P95" i="49" s="1"/>
  <c r="F94" i="49"/>
  <c r="G94" i="49" s="1"/>
  <c r="H94" i="49" s="1"/>
  <c r="I94" i="49" s="1"/>
  <c r="J94" i="49" s="1"/>
  <c r="K94" i="49" s="1"/>
  <c r="L94" i="49" s="1"/>
  <c r="M94" i="49" s="1"/>
  <c r="N94" i="49" s="1"/>
  <c r="O94" i="49" s="1"/>
  <c r="P94" i="49" s="1"/>
  <c r="F93" i="49"/>
  <c r="G93" i="49" s="1"/>
  <c r="H93" i="49" s="1"/>
  <c r="I93" i="49" s="1"/>
  <c r="J93" i="49" s="1"/>
  <c r="K93" i="49" s="1"/>
  <c r="L93" i="49" s="1"/>
  <c r="M93" i="49" s="1"/>
  <c r="N93" i="49" s="1"/>
  <c r="O93" i="49" s="1"/>
  <c r="P93" i="49" s="1"/>
  <c r="F92" i="49"/>
  <c r="G92" i="49" s="1"/>
  <c r="H92" i="49" s="1"/>
  <c r="I92" i="49" s="1"/>
  <c r="J92" i="49" s="1"/>
  <c r="K92" i="49" s="1"/>
  <c r="L92" i="49" s="1"/>
  <c r="M92" i="49" s="1"/>
  <c r="N92" i="49" s="1"/>
  <c r="O92" i="49" s="1"/>
  <c r="P92" i="49" s="1"/>
  <c r="F91" i="49"/>
  <c r="G91" i="49" s="1"/>
  <c r="H91" i="49" s="1"/>
  <c r="I91" i="49" s="1"/>
  <c r="J91" i="49" s="1"/>
  <c r="K91" i="49" s="1"/>
  <c r="L91" i="49" s="1"/>
  <c r="M91" i="49" s="1"/>
  <c r="N91" i="49" s="1"/>
  <c r="O91" i="49" s="1"/>
  <c r="P91" i="49" s="1"/>
  <c r="F90" i="49"/>
  <c r="G90" i="49" s="1"/>
  <c r="H90" i="49" s="1"/>
  <c r="I90" i="49" s="1"/>
  <c r="J90" i="49" s="1"/>
  <c r="K90" i="49" s="1"/>
  <c r="L90" i="49" s="1"/>
  <c r="M90" i="49" s="1"/>
  <c r="N90" i="49" s="1"/>
  <c r="O90" i="49" s="1"/>
  <c r="P90" i="49" s="1"/>
  <c r="F89" i="49"/>
  <c r="G89" i="49" s="1"/>
  <c r="H89" i="49" s="1"/>
  <c r="I89" i="49" s="1"/>
  <c r="J89" i="49" s="1"/>
  <c r="K89" i="49" s="1"/>
  <c r="L89" i="49" s="1"/>
  <c r="M89" i="49" s="1"/>
  <c r="N89" i="49" s="1"/>
  <c r="O89" i="49" s="1"/>
  <c r="P89" i="49" s="1"/>
  <c r="F88" i="49"/>
  <c r="G88" i="49" s="1"/>
  <c r="H88" i="49" s="1"/>
  <c r="I88" i="49" s="1"/>
  <c r="J88" i="49" s="1"/>
  <c r="K88" i="49" s="1"/>
  <c r="L88" i="49" s="1"/>
  <c r="M88" i="49" s="1"/>
  <c r="N88" i="49" s="1"/>
  <c r="O88" i="49" s="1"/>
  <c r="P88" i="49" s="1"/>
  <c r="F87" i="49"/>
  <c r="G87" i="49" s="1"/>
  <c r="H87" i="49" s="1"/>
  <c r="I87" i="49" s="1"/>
  <c r="J87" i="49" s="1"/>
  <c r="K87" i="49" s="1"/>
  <c r="L87" i="49" s="1"/>
  <c r="M87" i="49" s="1"/>
  <c r="N87" i="49" s="1"/>
  <c r="O87" i="49" s="1"/>
  <c r="P87" i="49" s="1"/>
  <c r="F86" i="49"/>
  <c r="G86" i="49" s="1"/>
  <c r="H86" i="49" s="1"/>
  <c r="I86" i="49" s="1"/>
  <c r="J86" i="49" s="1"/>
  <c r="K86" i="49" s="1"/>
  <c r="L86" i="49" s="1"/>
  <c r="M86" i="49" s="1"/>
  <c r="N86" i="49" s="1"/>
  <c r="O86" i="49" s="1"/>
  <c r="P86" i="49" s="1"/>
  <c r="F85" i="49"/>
  <c r="G85" i="49" s="1"/>
  <c r="H85" i="49" s="1"/>
  <c r="I85" i="49" s="1"/>
  <c r="J85" i="49" s="1"/>
  <c r="K85" i="49" s="1"/>
  <c r="L85" i="49" s="1"/>
  <c r="M85" i="49" s="1"/>
  <c r="N85" i="49" s="1"/>
  <c r="O85" i="49" s="1"/>
  <c r="P85" i="49" s="1"/>
  <c r="F84" i="49"/>
  <c r="G84" i="49" s="1"/>
  <c r="H84" i="49" s="1"/>
  <c r="I84" i="49" s="1"/>
  <c r="J84" i="49" s="1"/>
  <c r="K84" i="49" s="1"/>
  <c r="L84" i="49" s="1"/>
  <c r="M84" i="49" s="1"/>
  <c r="N84" i="49" s="1"/>
  <c r="O84" i="49" s="1"/>
  <c r="P84" i="49" s="1"/>
  <c r="F81" i="49"/>
  <c r="G81" i="49" s="1"/>
  <c r="H81" i="49" s="1"/>
  <c r="I81" i="49" s="1"/>
  <c r="J81" i="49" s="1"/>
  <c r="K81" i="49" s="1"/>
  <c r="L81" i="49" s="1"/>
  <c r="M81" i="49" s="1"/>
  <c r="N81" i="49" s="1"/>
  <c r="O81" i="49" s="1"/>
  <c r="P81" i="49" s="1"/>
  <c r="F80" i="49"/>
  <c r="G80" i="49" s="1"/>
  <c r="H80" i="49" s="1"/>
  <c r="I80" i="49" s="1"/>
  <c r="J80" i="49" s="1"/>
  <c r="K80" i="49" s="1"/>
  <c r="L80" i="49" s="1"/>
  <c r="M80" i="49" s="1"/>
  <c r="N80" i="49" s="1"/>
  <c r="O80" i="49" s="1"/>
  <c r="P80" i="49" s="1"/>
  <c r="F79" i="49"/>
  <c r="G79" i="49" s="1"/>
  <c r="H79" i="49" s="1"/>
  <c r="I79" i="49" s="1"/>
  <c r="J79" i="49" s="1"/>
  <c r="K79" i="49" s="1"/>
  <c r="L79" i="49" s="1"/>
  <c r="M79" i="49" s="1"/>
  <c r="N79" i="49" s="1"/>
  <c r="O79" i="49" s="1"/>
  <c r="P79" i="49" s="1"/>
  <c r="F78" i="49"/>
  <c r="G78" i="49" s="1"/>
  <c r="H78" i="49" s="1"/>
  <c r="I78" i="49" s="1"/>
  <c r="J78" i="49" s="1"/>
  <c r="K78" i="49" s="1"/>
  <c r="L78" i="49" s="1"/>
  <c r="M78" i="49" s="1"/>
  <c r="N78" i="49" s="1"/>
  <c r="O78" i="49" s="1"/>
  <c r="P78" i="49" s="1"/>
  <c r="F77" i="49"/>
  <c r="G77" i="49" s="1"/>
  <c r="H77" i="49" s="1"/>
  <c r="I77" i="49" s="1"/>
  <c r="J77" i="49" s="1"/>
  <c r="K77" i="49" s="1"/>
  <c r="L77" i="49" s="1"/>
  <c r="M77" i="49" s="1"/>
  <c r="N77" i="49" s="1"/>
  <c r="O77" i="49" s="1"/>
  <c r="P77" i="49" s="1"/>
  <c r="F76" i="49"/>
  <c r="G76" i="49" s="1"/>
  <c r="H76" i="49" s="1"/>
  <c r="I76" i="49" s="1"/>
  <c r="J76" i="49" s="1"/>
  <c r="K76" i="49" s="1"/>
  <c r="L76" i="49" s="1"/>
  <c r="M76" i="49" s="1"/>
  <c r="N76" i="49" s="1"/>
  <c r="O76" i="49" s="1"/>
  <c r="P76" i="49" s="1"/>
  <c r="F75" i="49"/>
  <c r="G75" i="49" s="1"/>
  <c r="H75" i="49" s="1"/>
  <c r="I75" i="49" s="1"/>
  <c r="J75" i="49" s="1"/>
  <c r="K75" i="49" s="1"/>
  <c r="L75" i="49" s="1"/>
  <c r="M75" i="49" s="1"/>
  <c r="N75" i="49" s="1"/>
  <c r="O75" i="49" s="1"/>
  <c r="P75" i="49" s="1"/>
  <c r="F74" i="49"/>
  <c r="G74" i="49" s="1"/>
  <c r="H74" i="49" s="1"/>
  <c r="I74" i="49" s="1"/>
  <c r="J74" i="49" s="1"/>
  <c r="K74" i="49" s="1"/>
  <c r="L74" i="49" s="1"/>
  <c r="M74" i="49" s="1"/>
  <c r="N74" i="49" s="1"/>
  <c r="O74" i="49" s="1"/>
  <c r="P74" i="49" s="1"/>
  <c r="F73" i="49"/>
  <c r="G73" i="49" s="1"/>
  <c r="H73" i="49" s="1"/>
  <c r="I73" i="49" s="1"/>
  <c r="J73" i="49" s="1"/>
  <c r="K73" i="49" s="1"/>
  <c r="L73" i="49" s="1"/>
  <c r="M73" i="49" s="1"/>
  <c r="N73" i="49" s="1"/>
  <c r="O73" i="49" s="1"/>
  <c r="P73" i="49" s="1"/>
  <c r="F72" i="49"/>
  <c r="G72" i="49" s="1"/>
  <c r="H72" i="49" s="1"/>
  <c r="I72" i="49" s="1"/>
  <c r="J72" i="49" s="1"/>
  <c r="K72" i="49" s="1"/>
  <c r="L72" i="49" s="1"/>
  <c r="M72" i="49" s="1"/>
  <c r="N72" i="49" s="1"/>
  <c r="O72" i="49" s="1"/>
  <c r="P72" i="49" s="1"/>
  <c r="F71" i="49"/>
  <c r="G71" i="49" s="1"/>
  <c r="H71" i="49" s="1"/>
  <c r="I71" i="49" s="1"/>
  <c r="J71" i="49" s="1"/>
  <c r="K71" i="49" s="1"/>
  <c r="L71" i="49" s="1"/>
  <c r="M71" i="49" s="1"/>
  <c r="N71" i="49" s="1"/>
  <c r="O71" i="49" s="1"/>
  <c r="P71" i="49" s="1"/>
  <c r="F70" i="49"/>
  <c r="G70" i="49" s="1"/>
  <c r="H70" i="49" s="1"/>
  <c r="I70" i="49" s="1"/>
  <c r="J70" i="49" s="1"/>
  <c r="K70" i="49" s="1"/>
  <c r="L70" i="49" s="1"/>
  <c r="M70" i="49" s="1"/>
  <c r="N70" i="49" s="1"/>
  <c r="O70" i="49" s="1"/>
  <c r="P70" i="49" s="1"/>
  <c r="F69" i="49"/>
  <c r="G69" i="49" s="1"/>
  <c r="H69" i="49" s="1"/>
  <c r="I69" i="49" s="1"/>
  <c r="J69" i="49" s="1"/>
  <c r="K69" i="49" s="1"/>
  <c r="L69" i="49" s="1"/>
  <c r="M69" i="49" s="1"/>
  <c r="N69" i="49" s="1"/>
  <c r="O69" i="49" s="1"/>
  <c r="P69" i="49" s="1"/>
  <c r="F68" i="49"/>
  <c r="G68" i="49" s="1"/>
  <c r="H68" i="49" s="1"/>
  <c r="I68" i="49" s="1"/>
  <c r="J68" i="49" s="1"/>
  <c r="K68" i="49" s="1"/>
  <c r="L68" i="49" s="1"/>
  <c r="M68" i="49" s="1"/>
  <c r="N68" i="49" s="1"/>
  <c r="O68" i="49" s="1"/>
  <c r="P68" i="49" s="1"/>
  <c r="F67" i="49"/>
  <c r="G67" i="49" s="1"/>
  <c r="H67" i="49" s="1"/>
  <c r="I67" i="49" s="1"/>
  <c r="J67" i="49" s="1"/>
  <c r="K67" i="49" s="1"/>
  <c r="L67" i="49" s="1"/>
  <c r="M67" i="49" s="1"/>
  <c r="N67" i="49" s="1"/>
  <c r="O67" i="49" s="1"/>
  <c r="P67" i="49" s="1"/>
  <c r="F66" i="49"/>
  <c r="G66" i="49" s="1"/>
  <c r="H66" i="49" s="1"/>
  <c r="I66" i="49" s="1"/>
  <c r="J66" i="49" s="1"/>
  <c r="K66" i="49" s="1"/>
  <c r="L66" i="49" s="1"/>
  <c r="M66" i="49" s="1"/>
  <c r="N66" i="49" s="1"/>
  <c r="O66" i="49" s="1"/>
  <c r="P66" i="49" s="1"/>
  <c r="F65" i="49"/>
  <c r="G65" i="49" s="1"/>
  <c r="H65" i="49" s="1"/>
  <c r="I65" i="49" s="1"/>
  <c r="J65" i="49" s="1"/>
  <c r="K65" i="49" s="1"/>
  <c r="L65" i="49" s="1"/>
  <c r="M65" i="49" s="1"/>
  <c r="N65" i="49" s="1"/>
  <c r="O65" i="49" s="1"/>
  <c r="P65" i="49" s="1"/>
  <c r="F64" i="49"/>
  <c r="G64" i="49" s="1"/>
  <c r="H64" i="49" s="1"/>
  <c r="I64" i="49" s="1"/>
  <c r="J64" i="49" s="1"/>
  <c r="K64" i="49" s="1"/>
  <c r="L64" i="49" s="1"/>
  <c r="M64" i="49" s="1"/>
  <c r="N64" i="49" s="1"/>
  <c r="O64" i="49" s="1"/>
  <c r="P64" i="49" s="1"/>
  <c r="F62" i="49"/>
  <c r="G62" i="49" s="1"/>
  <c r="H62" i="49" s="1"/>
  <c r="I62" i="49" s="1"/>
  <c r="J62" i="49" s="1"/>
  <c r="K62" i="49" s="1"/>
  <c r="L62" i="49" s="1"/>
  <c r="M62" i="49" s="1"/>
  <c r="N62" i="49" s="1"/>
  <c r="O62" i="49" s="1"/>
  <c r="P62" i="49" s="1"/>
  <c r="F61" i="49"/>
  <c r="G61" i="49" s="1"/>
  <c r="H61" i="49" s="1"/>
  <c r="I61" i="49" s="1"/>
  <c r="J61" i="49" s="1"/>
  <c r="K61" i="49" s="1"/>
  <c r="L61" i="49" s="1"/>
  <c r="M61" i="49" s="1"/>
  <c r="N61" i="49" s="1"/>
  <c r="O61" i="49" s="1"/>
  <c r="P61" i="49" s="1"/>
  <c r="F60" i="49"/>
  <c r="G60" i="49" s="1"/>
  <c r="H60" i="49" s="1"/>
  <c r="I60" i="49" s="1"/>
  <c r="J60" i="49" s="1"/>
  <c r="K60" i="49" s="1"/>
  <c r="L60" i="49" s="1"/>
  <c r="M60" i="49" s="1"/>
  <c r="N60" i="49" s="1"/>
  <c r="O60" i="49" s="1"/>
  <c r="P60" i="49" s="1"/>
  <c r="F59" i="49"/>
  <c r="G59" i="49" s="1"/>
  <c r="H59" i="49" s="1"/>
  <c r="I59" i="49" s="1"/>
  <c r="J59" i="49" s="1"/>
  <c r="K59" i="49" s="1"/>
  <c r="L59" i="49" s="1"/>
  <c r="M59" i="49" s="1"/>
  <c r="N59" i="49" s="1"/>
  <c r="O59" i="49" s="1"/>
  <c r="P59" i="49" s="1"/>
  <c r="F58" i="49"/>
  <c r="G58" i="49" s="1"/>
  <c r="H58" i="49" s="1"/>
  <c r="I58" i="49" s="1"/>
  <c r="J58" i="49" s="1"/>
  <c r="K58" i="49" s="1"/>
  <c r="L58" i="49" s="1"/>
  <c r="M58" i="49" s="1"/>
  <c r="N58" i="49" s="1"/>
  <c r="O58" i="49" s="1"/>
  <c r="P58" i="49" s="1"/>
  <c r="F57" i="49"/>
  <c r="G57" i="49" s="1"/>
  <c r="H57" i="49" s="1"/>
  <c r="I57" i="49" s="1"/>
  <c r="J57" i="49" s="1"/>
  <c r="K57" i="49" s="1"/>
  <c r="L57" i="49" s="1"/>
  <c r="M57" i="49" s="1"/>
  <c r="N57" i="49" s="1"/>
  <c r="O57" i="49" s="1"/>
  <c r="P57" i="49" s="1"/>
  <c r="F56" i="49"/>
  <c r="G56" i="49" s="1"/>
  <c r="H56" i="49" s="1"/>
  <c r="I56" i="49" s="1"/>
  <c r="J56" i="49" s="1"/>
  <c r="K56" i="49" s="1"/>
  <c r="L56" i="49" s="1"/>
  <c r="M56" i="49" s="1"/>
  <c r="N56" i="49" s="1"/>
  <c r="O56" i="49" s="1"/>
  <c r="P56" i="49" s="1"/>
  <c r="F55" i="49"/>
  <c r="G55" i="49" s="1"/>
  <c r="H55" i="49" s="1"/>
  <c r="I55" i="49" s="1"/>
  <c r="J55" i="49" s="1"/>
  <c r="K55" i="49" s="1"/>
  <c r="L55" i="49" s="1"/>
  <c r="M55" i="49" s="1"/>
  <c r="N55" i="49" s="1"/>
  <c r="O55" i="49" s="1"/>
  <c r="P55" i="49" s="1"/>
  <c r="F54" i="49"/>
  <c r="G54" i="49" s="1"/>
  <c r="H54" i="49" s="1"/>
  <c r="I54" i="49" s="1"/>
  <c r="J54" i="49" s="1"/>
  <c r="K54" i="49" s="1"/>
  <c r="L54" i="49" s="1"/>
  <c r="M54" i="49" s="1"/>
  <c r="N54" i="49" s="1"/>
  <c r="O54" i="49" s="1"/>
  <c r="P54" i="49" s="1"/>
  <c r="F53" i="49"/>
  <c r="G53" i="49" s="1"/>
  <c r="H53" i="49" s="1"/>
  <c r="I53" i="49" s="1"/>
  <c r="J53" i="49" s="1"/>
  <c r="K53" i="49" s="1"/>
  <c r="L53" i="49" s="1"/>
  <c r="M53" i="49" s="1"/>
  <c r="N53" i="49" s="1"/>
  <c r="O53" i="49" s="1"/>
  <c r="P53" i="49" s="1"/>
  <c r="F51" i="49"/>
  <c r="G51" i="49" s="1"/>
  <c r="H51" i="49" s="1"/>
  <c r="I51" i="49" s="1"/>
  <c r="J51" i="49" s="1"/>
  <c r="K51" i="49" s="1"/>
  <c r="L51" i="49" s="1"/>
  <c r="M51" i="49" s="1"/>
  <c r="N51" i="49" s="1"/>
  <c r="O51" i="49" s="1"/>
  <c r="P51" i="49" s="1"/>
  <c r="F50" i="49"/>
  <c r="G50" i="49" s="1"/>
  <c r="H50" i="49" s="1"/>
  <c r="I50" i="49" s="1"/>
  <c r="J50" i="49" s="1"/>
  <c r="K50" i="49" s="1"/>
  <c r="L50" i="49" s="1"/>
  <c r="M50" i="49" s="1"/>
  <c r="N50" i="49" s="1"/>
  <c r="O50" i="49" s="1"/>
  <c r="P50" i="49" s="1"/>
  <c r="F49" i="49"/>
  <c r="G49" i="49" s="1"/>
  <c r="H49" i="49" s="1"/>
  <c r="I49" i="49" s="1"/>
  <c r="J49" i="49" s="1"/>
  <c r="K49" i="49" s="1"/>
  <c r="L49" i="49" s="1"/>
  <c r="M49" i="49" s="1"/>
  <c r="N49" i="49" s="1"/>
  <c r="O49" i="49" s="1"/>
  <c r="P49" i="49" s="1"/>
  <c r="F48" i="49"/>
  <c r="G48" i="49" s="1"/>
  <c r="H48" i="49" s="1"/>
  <c r="I48" i="49" s="1"/>
  <c r="J48" i="49" s="1"/>
  <c r="K48" i="49" s="1"/>
  <c r="L48" i="49" s="1"/>
  <c r="M48" i="49" s="1"/>
  <c r="N48" i="49" s="1"/>
  <c r="O48" i="49" s="1"/>
  <c r="P48" i="49" s="1"/>
  <c r="F47" i="49"/>
  <c r="G47" i="49" s="1"/>
  <c r="H47" i="49" s="1"/>
  <c r="I47" i="49" s="1"/>
  <c r="J47" i="49" s="1"/>
  <c r="K47" i="49" s="1"/>
  <c r="L47" i="49" s="1"/>
  <c r="M47" i="49" s="1"/>
  <c r="N47" i="49" s="1"/>
  <c r="O47" i="49" s="1"/>
  <c r="P47" i="49" s="1"/>
  <c r="F46" i="49"/>
  <c r="G46" i="49" s="1"/>
  <c r="H46" i="49" s="1"/>
  <c r="I46" i="49" s="1"/>
  <c r="J46" i="49" s="1"/>
  <c r="K46" i="49" s="1"/>
  <c r="L46" i="49" s="1"/>
  <c r="M46" i="49" s="1"/>
  <c r="N46" i="49" s="1"/>
  <c r="O46" i="49" s="1"/>
  <c r="P46" i="49" s="1"/>
  <c r="F45" i="49"/>
  <c r="G45" i="49" s="1"/>
  <c r="H45" i="49" s="1"/>
  <c r="I45" i="49" s="1"/>
  <c r="J45" i="49" s="1"/>
  <c r="K45" i="49" s="1"/>
  <c r="L45" i="49" s="1"/>
  <c r="M45" i="49" s="1"/>
  <c r="N45" i="49" s="1"/>
  <c r="O45" i="49" s="1"/>
  <c r="P45" i="49" s="1"/>
  <c r="F43" i="49"/>
  <c r="G43" i="49" s="1"/>
  <c r="H43" i="49" s="1"/>
  <c r="I43" i="49" s="1"/>
  <c r="J43" i="49" s="1"/>
  <c r="K43" i="49" s="1"/>
  <c r="L43" i="49" s="1"/>
  <c r="M43" i="49" s="1"/>
  <c r="N43" i="49" s="1"/>
  <c r="O43" i="49" s="1"/>
  <c r="P43" i="49" s="1"/>
  <c r="F42" i="49"/>
  <c r="G42" i="49" s="1"/>
  <c r="H42" i="49" s="1"/>
  <c r="I42" i="49" s="1"/>
  <c r="J42" i="49" s="1"/>
  <c r="K42" i="49" s="1"/>
  <c r="L42" i="49" s="1"/>
  <c r="M42" i="49" s="1"/>
  <c r="N42" i="49" s="1"/>
  <c r="O42" i="49" s="1"/>
  <c r="P42" i="49" s="1"/>
  <c r="F41" i="49"/>
  <c r="G41" i="49" s="1"/>
  <c r="H41" i="49" s="1"/>
  <c r="I41" i="49" s="1"/>
  <c r="J41" i="49" s="1"/>
  <c r="K41" i="49" s="1"/>
  <c r="L41" i="49" s="1"/>
  <c r="M41" i="49" s="1"/>
  <c r="N41" i="49" s="1"/>
  <c r="O41" i="49" s="1"/>
  <c r="P41" i="49" s="1"/>
  <c r="F40" i="49"/>
  <c r="G40" i="49" s="1"/>
  <c r="H40" i="49" s="1"/>
  <c r="I40" i="49" s="1"/>
  <c r="J40" i="49" s="1"/>
  <c r="K40" i="49" s="1"/>
  <c r="L40" i="49" s="1"/>
  <c r="M40" i="49" s="1"/>
  <c r="N40" i="49" s="1"/>
  <c r="O40" i="49" s="1"/>
  <c r="P40" i="49" s="1"/>
  <c r="F39" i="49"/>
  <c r="G39" i="49" s="1"/>
  <c r="H39" i="49" s="1"/>
  <c r="I39" i="49" s="1"/>
  <c r="J39" i="49" s="1"/>
  <c r="K39" i="49" s="1"/>
  <c r="L39" i="49" s="1"/>
  <c r="M39" i="49" s="1"/>
  <c r="N39" i="49" s="1"/>
  <c r="O39" i="49" s="1"/>
  <c r="P39" i="49" s="1"/>
  <c r="F37" i="49"/>
  <c r="G37" i="49" s="1"/>
  <c r="H37" i="49" s="1"/>
  <c r="I37" i="49" s="1"/>
  <c r="J37" i="49" s="1"/>
  <c r="K37" i="49" s="1"/>
  <c r="L37" i="49" s="1"/>
  <c r="M37" i="49" s="1"/>
  <c r="N37" i="49" s="1"/>
  <c r="O37" i="49" s="1"/>
  <c r="P37" i="49" s="1"/>
  <c r="F36" i="49"/>
  <c r="G36" i="49" s="1"/>
  <c r="H36" i="49" s="1"/>
  <c r="I36" i="49" s="1"/>
  <c r="J36" i="49" s="1"/>
  <c r="K36" i="49" s="1"/>
  <c r="L36" i="49" s="1"/>
  <c r="M36" i="49" s="1"/>
  <c r="N36" i="49" s="1"/>
  <c r="O36" i="49" s="1"/>
  <c r="P36" i="49" s="1"/>
  <c r="F35" i="49"/>
  <c r="G35" i="49" s="1"/>
  <c r="H35" i="49" s="1"/>
  <c r="I35" i="49" s="1"/>
  <c r="J35" i="49" s="1"/>
  <c r="K35" i="49" s="1"/>
  <c r="L35" i="49" s="1"/>
  <c r="M35" i="49" s="1"/>
  <c r="N35" i="49" s="1"/>
  <c r="O35" i="49" s="1"/>
  <c r="P35" i="49" s="1"/>
  <c r="F34" i="49"/>
  <c r="F33" i="49"/>
  <c r="G33" i="49" s="1"/>
  <c r="H33" i="49" s="1"/>
  <c r="I33" i="49" s="1"/>
  <c r="J33" i="49" s="1"/>
  <c r="K33" i="49" s="1"/>
  <c r="L33" i="49" s="1"/>
  <c r="M33" i="49" s="1"/>
  <c r="N33" i="49" s="1"/>
  <c r="O33" i="49" s="1"/>
  <c r="P33" i="49" s="1"/>
  <c r="F32" i="49"/>
  <c r="G32" i="49" s="1"/>
  <c r="H32" i="49" s="1"/>
  <c r="I32" i="49" s="1"/>
  <c r="J32" i="49" s="1"/>
  <c r="K32" i="49" s="1"/>
  <c r="L32" i="49" s="1"/>
  <c r="M32" i="49" s="1"/>
  <c r="N32" i="49" s="1"/>
  <c r="O32" i="49" s="1"/>
  <c r="P32" i="49" s="1"/>
  <c r="F31" i="49"/>
  <c r="G31" i="49" s="1"/>
  <c r="H31" i="49" s="1"/>
  <c r="I31" i="49" s="1"/>
  <c r="J31" i="49" s="1"/>
  <c r="K31" i="49" s="1"/>
  <c r="L31" i="49" s="1"/>
  <c r="M31" i="49" s="1"/>
  <c r="N31" i="49" s="1"/>
  <c r="O31" i="49" s="1"/>
  <c r="P31" i="49" s="1"/>
  <c r="F30" i="49"/>
  <c r="G30" i="49" s="1"/>
  <c r="H30" i="49" s="1"/>
  <c r="I30" i="49" s="1"/>
  <c r="J30" i="49" s="1"/>
  <c r="K30" i="49" s="1"/>
  <c r="L30" i="49" s="1"/>
  <c r="M30" i="49" s="1"/>
  <c r="N30" i="49" s="1"/>
  <c r="O30" i="49" s="1"/>
  <c r="P30" i="49" s="1"/>
  <c r="F29" i="49"/>
  <c r="G29" i="49" s="1"/>
  <c r="H29" i="49" s="1"/>
  <c r="I29" i="49" s="1"/>
  <c r="J29" i="49" s="1"/>
  <c r="K29" i="49" s="1"/>
  <c r="L29" i="49" s="1"/>
  <c r="M29" i="49" s="1"/>
  <c r="N29" i="49" s="1"/>
  <c r="O29" i="49" s="1"/>
  <c r="P29" i="49" s="1"/>
  <c r="F27" i="49"/>
  <c r="G27" i="49" s="1"/>
  <c r="H27" i="49" s="1"/>
  <c r="I27" i="49" s="1"/>
  <c r="J27" i="49" s="1"/>
  <c r="K27" i="49" s="1"/>
  <c r="L27" i="49" s="1"/>
  <c r="M27" i="49" s="1"/>
  <c r="N27" i="49" s="1"/>
  <c r="O27" i="49" s="1"/>
  <c r="P27" i="49" s="1"/>
  <c r="F26" i="49"/>
  <c r="G26" i="49" s="1"/>
  <c r="H26" i="49" s="1"/>
  <c r="I26" i="49" s="1"/>
  <c r="J26" i="49" s="1"/>
  <c r="K26" i="49" s="1"/>
  <c r="L26" i="49" s="1"/>
  <c r="M26" i="49" s="1"/>
  <c r="N26" i="49" s="1"/>
  <c r="O26" i="49" s="1"/>
  <c r="P26" i="49" s="1"/>
  <c r="F25" i="49"/>
  <c r="G25" i="49" s="1"/>
  <c r="H25" i="49" s="1"/>
  <c r="I25" i="49" s="1"/>
  <c r="J25" i="49" s="1"/>
  <c r="K25" i="49" s="1"/>
  <c r="L25" i="49" s="1"/>
  <c r="M25" i="49" s="1"/>
  <c r="N25" i="49" s="1"/>
  <c r="O25" i="49" s="1"/>
  <c r="P25" i="49" s="1"/>
  <c r="F24" i="49"/>
  <c r="G24" i="49" s="1"/>
  <c r="H24" i="49" s="1"/>
  <c r="I24" i="49" s="1"/>
  <c r="J24" i="49" s="1"/>
  <c r="K24" i="49" s="1"/>
  <c r="L24" i="49" s="1"/>
  <c r="M24" i="49" s="1"/>
  <c r="N24" i="49" s="1"/>
  <c r="O24" i="49" s="1"/>
  <c r="P24" i="49" s="1"/>
  <c r="F23" i="49"/>
  <c r="G23" i="49" s="1"/>
  <c r="H23" i="49" s="1"/>
  <c r="I23" i="49" s="1"/>
  <c r="J23" i="49" s="1"/>
  <c r="K23" i="49" s="1"/>
  <c r="L23" i="49" s="1"/>
  <c r="M23" i="49" s="1"/>
  <c r="N23" i="49" s="1"/>
  <c r="O23" i="49" s="1"/>
  <c r="P23" i="49" s="1"/>
  <c r="F22" i="49"/>
  <c r="G22" i="49" s="1"/>
  <c r="H22" i="49" s="1"/>
  <c r="I22" i="49" s="1"/>
  <c r="J22" i="49" s="1"/>
  <c r="K22" i="49" s="1"/>
  <c r="L22" i="49" s="1"/>
  <c r="M22" i="49" s="1"/>
  <c r="N22" i="49" s="1"/>
  <c r="O22" i="49" s="1"/>
  <c r="P22" i="49" s="1"/>
  <c r="F21" i="49"/>
  <c r="G21" i="49" s="1"/>
  <c r="H21" i="49" s="1"/>
  <c r="I21" i="49" s="1"/>
  <c r="J21" i="49" s="1"/>
  <c r="K21" i="49" s="1"/>
  <c r="L21" i="49" s="1"/>
  <c r="M21" i="49" s="1"/>
  <c r="N21" i="49" s="1"/>
  <c r="O21" i="49" s="1"/>
  <c r="P21" i="49" s="1"/>
  <c r="F20" i="49"/>
  <c r="G20" i="49" s="1"/>
  <c r="H20" i="49" s="1"/>
  <c r="I20" i="49" s="1"/>
  <c r="J20" i="49" s="1"/>
  <c r="K20" i="49" s="1"/>
  <c r="L20" i="49" s="1"/>
  <c r="M20" i="49" s="1"/>
  <c r="N20" i="49" s="1"/>
  <c r="O20" i="49" s="1"/>
  <c r="P20" i="49" s="1"/>
  <c r="F19" i="49"/>
  <c r="G19" i="49" s="1"/>
  <c r="H19" i="49" s="1"/>
  <c r="I19" i="49" s="1"/>
  <c r="J19" i="49" s="1"/>
  <c r="K19" i="49" s="1"/>
  <c r="L19" i="49" s="1"/>
  <c r="M19" i="49" s="1"/>
  <c r="N19" i="49" s="1"/>
  <c r="O19" i="49" s="1"/>
  <c r="P19" i="49" s="1"/>
  <c r="F17" i="49"/>
  <c r="G17" i="49" s="1"/>
  <c r="H17" i="49" s="1"/>
  <c r="I17" i="49" s="1"/>
  <c r="J17" i="49" s="1"/>
  <c r="K17" i="49" s="1"/>
  <c r="L17" i="49" s="1"/>
  <c r="M17" i="49" s="1"/>
  <c r="N17" i="49" s="1"/>
  <c r="O17" i="49" s="1"/>
  <c r="P17" i="49" s="1"/>
  <c r="F16" i="49"/>
  <c r="G16" i="49" s="1"/>
  <c r="H16" i="49" s="1"/>
  <c r="I16" i="49" s="1"/>
  <c r="J16" i="49" s="1"/>
  <c r="K16" i="49" s="1"/>
  <c r="L16" i="49" s="1"/>
  <c r="M16" i="49" s="1"/>
  <c r="N16" i="49" s="1"/>
  <c r="O16" i="49" s="1"/>
  <c r="P16" i="49" s="1"/>
  <c r="F15" i="49"/>
  <c r="G15" i="49" s="1"/>
  <c r="H15" i="49" s="1"/>
  <c r="I15" i="49" s="1"/>
  <c r="J15" i="49" s="1"/>
  <c r="K15" i="49" s="1"/>
  <c r="L15" i="49" s="1"/>
  <c r="M15" i="49" s="1"/>
  <c r="N15" i="49" s="1"/>
  <c r="O15" i="49" s="1"/>
  <c r="P15" i="49" s="1"/>
  <c r="F14" i="49"/>
  <c r="G14" i="49" s="1"/>
  <c r="H14" i="49" s="1"/>
  <c r="I14" i="49" s="1"/>
  <c r="J14" i="49" s="1"/>
  <c r="K14" i="49" s="1"/>
  <c r="L14" i="49" s="1"/>
  <c r="M14" i="49" s="1"/>
  <c r="N14" i="49" s="1"/>
  <c r="O14" i="49" s="1"/>
  <c r="P14" i="49" s="1"/>
  <c r="F13" i="49"/>
  <c r="G13" i="49" s="1"/>
  <c r="H13" i="49" s="1"/>
  <c r="I13" i="49" s="1"/>
  <c r="J13" i="49" s="1"/>
  <c r="K13" i="49" s="1"/>
  <c r="L13" i="49" s="1"/>
  <c r="M13" i="49" s="1"/>
  <c r="N13" i="49" s="1"/>
  <c r="O13" i="49" s="1"/>
  <c r="P13" i="49" s="1"/>
  <c r="F12" i="49"/>
  <c r="G12" i="49" s="1"/>
  <c r="H12" i="49" s="1"/>
  <c r="I12" i="49" s="1"/>
  <c r="J12" i="49" s="1"/>
  <c r="K12" i="49" s="1"/>
  <c r="L12" i="49" s="1"/>
  <c r="M12" i="49" s="1"/>
  <c r="N12" i="49" s="1"/>
  <c r="O12" i="49" s="1"/>
  <c r="P12" i="49" s="1"/>
  <c r="F11" i="49"/>
  <c r="G11" i="49" s="1"/>
  <c r="H11" i="49" s="1"/>
  <c r="I11" i="49" s="1"/>
  <c r="J11" i="49" s="1"/>
  <c r="K11" i="49" s="1"/>
  <c r="L11" i="49" s="1"/>
  <c r="M11" i="49" s="1"/>
  <c r="N11" i="49" s="1"/>
  <c r="O11" i="49" s="1"/>
  <c r="P11" i="49" s="1"/>
  <c r="F10" i="49"/>
  <c r="G10" i="49" s="1"/>
  <c r="H10" i="49" s="1"/>
  <c r="I10" i="49" s="1"/>
  <c r="J10" i="49" s="1"/>
  <c r="K10" i="49" s="1"/>
  <c r="L10" i="49" s="1"/>
  <c r="M10" i="49" s="1"/>
  <c r="N10" i="49" s="1"/>
  <c r="O10" i="49" s="1"/>
  <c r="P10" i="49" s="1"/>
  <c r="F9" i="49"/>
  <c r="G9" i="49" s="1"/>
  <c r="H9" i="49" s="1"/>
  <c r="I9" i="49" s="1"/>
  <c r="J9" i="49" s="1"/>
  <c r="K9" i="49" s="1"/>
  <c r="L9" i="49" s="1"/>
  <c r="M9" i="49" s="1"/>
  <c r="N9" i="49" s="1"/>
  <c r="O9" i="49" s="1"/>
  <c r="P9" i="49" s="1"/>
  <c r="F8" i="49"/>
  <c r="G8" i="49" s="1"/>
  <c r="H8" i="49" s="1"/>
  <c r="I8" i="49" s="1"/>
  <c r="J8" i="49" s="1"/>
  <c r="K8" i="49" s="1"/>
  <c r="L8" i="49" s="1"/>
  <c r="M8" i="49" s="1"/>
  <c r="N8" i="49" s="1"/>
  <c r="O8" i="49" s="1"/>
  <c r="P8" i="49" s="1"/>
  <c r="F7" i="49"/>
  <c r="G7" i="49" s="1"/>
  <c r="H7" i="49" s="1"/>
  <c r="I7" i="49" s="1"/>
  <c r="J7" i="49" s="1"/>
  <c r="K7" i="49" s="1"/>
  <c r="L7" i="49" s="1"/>
  <c r="M7" i="49" s="1"/>
  <c r="N7" i="49" s="1"/>
  <c r="O7" i="49" s="1"/>
  <c r="P7" i="49" s="1"/>
  <c r="F6" i="49"/>
  <c r="G6" i="49" s="1"/>
  <c r="H6" i="49" s="1"/>
  <c r="I6" i="49" s="1"/>
  <c r="J6" i="49" s="1"/>
  <c r="K6" i="49" s="1"/>
  <c r="L6" i="49" s="1"/>
  <c r="M6" i="49" s="1"/>
  <c r="N6" i="49" s="1"/>
  <c r="O6" i="49" s="1"/>
  <c r="P6" i="49" s="1"/>
  <c r="G192" i="49"/>
  <c r="H192" i="49" s="1"/>
  <c r="I192" i="49" s="1"/>
  <c r="J192" i="49" s="1"/>
  <c r="K192" i="49" s="1"/>
  <c r="L192" i="49" s="1"/>
  <c r="M192" i="49" s="1"/>
  <c r="N192" i="49" s="1"/>
  <c r="O192" i="49" s="1"/>
  <c r="P192" i="49" s="1"/>
  <c r="G150" i="49"/>
  <c r="H150" i="49" s="1"/>
  <c r="I150" i="49" s="1"/>
  <c r="J150" i="49" s="1"/>
  <c r="K150" i="49" s="1"/>
  <c r="L150" i="49" s="1"/>
  <c r="M150" i="49" s="1"/>
  <c r="N150" i="49" s="1"/>
  <c r="O150" i="49" s="1"/>
  <c r="P150" i="49" s="1"/>
  <c r="G34" i="49"/>
  <c r="H34" i="49" s="1"/>
  <c r="I34" i="49" s="1"/>
  <c r="J34" i="49" s="1"/>
  <c r="K34" i="49" s="1"/>
  <c r="L34" i="49" s="1"/>
  <c r="M34" i="49" s="1"/>
  <c r="N34" i="49" s="1"/>
  <c r="O34" i="49" s="1"/>
  <c r="P34" i="49" s="1"/>
  <c r="G4" i="49"/>
  <c r="H4" i="49" s="1"/>
  <c r="I4" i="49" s="1"/>
  <c r="J4" i="49" s="1"/>
  <c r="K4" i="49" s="1"/>
  <c r="L4" i="49" s="1"/>
  <c r="M4" i="49" s="1"/>
  <c r="N4" i="49" s="1"/>
  <c r="O4" i="49" s="1"/>
  <c r="P4" i="49" s="1"/>
  <c r="G4" i="48"/>
  <c r="H4" i="48" s="1"/>
  <c r="I4" i="48" s="1"/>
  <c r="J4" i="48" s="1"/>
  <c r="K4" i="48" s="1"/>
  <c r="L4" i="48" s="1"/>
  <c r="M4" i="48" s="1"/>
  <c r="N4" i="48" s="1"/>
  <c r="O4" i="48" s="1"/>
  <c r="P4" i="48" s="1"/>
  <c r="G4" i="47"/>
  <c r="H4" i="47" s="1"/>
  <c r="I4" i="47" s="1"/>
  <c r="J4" i="47" s="1"/>
  <c r="K4" i="47" s="1"/>
  <c r="L4" i="47" s="1"/>
  <c r="M4" i="47" s="1"/>
  <c r="N4" i="47" s="1"/>
  <c r="O4" i="47" s="1"/>
  <c r="P4" i="47" s="1"/>
  <c r="F198" i="46"/>
  <c r="G198" i="46" s="1"/>
  <c r="H198" i="46" s="1"/>
  <c r="I198" i="46" s="1"/>
  <c r="J198" i="46" s="1"/>
  <c r="K198" i="46" s="1"/>
  <c r="L198" i="46" s="1"/>
  <c r="M198" i="46" s="1"/>
  <c r="N198" i="46" s="1"/>
  <c r="O198" i="46" s="1"/>
  <c r="P198" i="46" s="1"/>
  <c r="F197" i="46"/>
  <c r="G197" i="46" s="1"/>
  <c r="H197" i="46" s="1"/>
  <c r="I197" i="46" s="1"/>
  <c r="J197" i="46" s="1"/>
  <c r="K197" i="46" s="1"/>
  <c r="L197" i="46" s="1"/>
  <c r="M197" i="46" s="1"/>
  <c r="N197" i="46" s="1"/>
  <c r="O197" i="46" s="1"/>
  <c r="P197" i="46" s="1"/>
  <c r="F196" i="46"/>
  <c r="G196" i="46" s="1"/>
  <c r="H196" i="46" s="1"/>
  <c r="I196" i="46" s="1"/>
  <c r="J196" i="46" s="1"/>
  <c r="K196" i="46" s="1"/>
  <c r="L196" i="46" s="1"/>
  <c r="M196" i="46" s="1"/>
  <c r="N196" i="46" s="1"/>
  <c r="O196" i="46" s="1"/>
  <c r="P196" i="46" s="1"/>
  <c r="F195" i="46"/>
  <c r="G195" i="46" s="1"/>
  <c r="H195" i="46" s="1"/>
  <c r="I195" i="46" s="1"/>
  <c r="J195" i="46" s="1"/>
  <c r="K195" i="46" s="1"/>
  <c r="L195" i="46" s="1"/>
  <c r="M195" i="46" s="1"/>
  <c r="N195" i="46" s="1"/>
  <c r="O195" i="46" s="1"/>
  <c r="P195" i="46" s="1"/>
  <c r="F194" i="46"/>
  <c r="G194" i="46" s="1"/>
  <c r="H194" i="46" s="1"/>
  <c r="I194" i="46" s="1"/>
  <c r="J194" i="46" s="1"/>
  <c r="K194" i="46" s="1"/>
  <c r="L194" i="46" s="1"/>
  <c r="M194" i="46" s="1"/>
  <c r="N194" i="46" s="1"/>
  <c r="O194" i="46" s="1"/>
  <c r="P194" i="46" s="1"/>
  <c r="F193" i="46"/>
  <c r="G193" i="46" s="1"/>
  <c r="H193" i="46" s="1"/>
  <c r="I193" i="46" s="1"/>
  <c r="J193" i="46" s="1"/>
  <c r="K193" i="46" s="1"/>
  <c r="L193" i="46" s="1"/>
  <c r="M193" i="46" s="1"/>
  <c r="N193" i="46" s="1"/>
  <c r="O193" i="46" s="1"/>
  <c r="P193" i="46" s="1"/>
  <c r="F192" i="46"/>
  <c r="G192" i="46" s="1"/>
  <c r="H192" i="46" s="1"/>
  <c r="I192" i="46" s="1"/>
  <c r="J192" i="46" s="1"/>
  <c r="K192" i="46" s="1"/>
  <c r="L192" i="46" s="1"/>
  <c r="M192" i="46" s="1"/>
  <c r="N192" i="46" s="1"/>
  <c r="O192" i="46" s="1"/>
  <c r="P192" i="46" s="1"/>
  <c r="F191" i="46"/>
  <c r="G191" i="46" s="1"/>
  <c r="H191" i="46" s="1"/>
  <c r="I191" i="46" s="1"/>
  <c r="J191" i="46" s="1"/>
  <c r="K191" i="46" s="1"/>
  <c r="L191" i="46" s="1"/>
  <c r="M191" i="46" s="1"/>
  <c r="N191" i="46" s="1"/>
  <c r="O191" i="46" s="1"/>
  <c r="P191" i="46" s="1"/>
  <c r="F189" i="46"/>
  <c r="G189" i="46" s="1"/>
  <c r="H189" i="46" s="1"/>
  <c r="I189" i="46" s="1"/>
  <c r="J189" i="46" s="1"/>
  <c r="K189" i="46" s="1"/>
  <c r="L189" i="46" s="1"/>
  <c r="M189" i="46" s="1"/>
  <c r="N189" i="46" s="1"/>
  <c r="O189" i="46" s="1"/>
  <c r="P189" i="46" s="1"/>
  <c r="F188" i="46"/>
  <c r="G188" i="46" s="1"/>
  <c r="H188" i="46" s="1"/>
  <c r="I188" i="46" s="1"/>
  <c r="J188" i="46" s="1"/>
  <c r="K188" i="46" s="1"/>
  <c r="L188" i="46" s="1"/>
  <c r="M188" i="46" s="1"/>
  <c r="N188" i="46" s="1"/>
  <c r="O188" i="46" s="1"/>
  <c r="P188" i="46" s="1"/>
  <c r="F187" i="46"/>
  <c r="G187" i="46" s="1"/>
  <c r="H187" i="46" s="1"/>
  <c r="I187" i="46" s="1"/>
  <c r="J187" i="46" s="1"/>
  <c r="K187" i="46" s="1"/>
  <c r="L187" i="46" s="1"/>
  <c r="M187" i="46" s="1"/>
  <c r="N187" i="46" s="1"/>
  <c r="O187" i="46" s="1"/>
  <c r="P187" i="46" s="1"/>
  <c r="F184" i="46"/>
  <c r="G184" i="46" s="1"/>
  <c r="H184" i="46" s="1"/>
  <c r="I184" i="46" s="1"/>
  <c r="J184" i="46" s="1"/>
  <c r="K184" i="46" s="1"/>
  <c r="L184" i="46" s="1"/>
  <c r="M184" i="46" s="1"/>
  <c r="N184" i="46" s="1"/>
  <c r="O184" i="46" s="1"/>
  <c r="P184" i="46" s="1"/>
  <c r="F183" i="46"/>
  <c r="G183" i="46" s="1"/>
  <c r="H183" i="46" s="1"/>
  <c r="I183" i="46" s="1"/>
  <c r="J183" i="46" s="1"/>
  <c r="K183" i="46" s="1"/>
  <c r="L183" i="46" s="1"/>
  <c r="M183" i="46" s="1"/>
  <c r="N183" i="46" s="1"/>
  <c r="O183" i="46" s="1"/>
  <c r="P183" i="46" s="1"/>
  <c r="F182" i="46"/>
  <c r="G182" i="46" s="1"/>
  <c r="H182" i="46" s="1"/>
  <c r="I182" i="46" s="1"/>
  <c r="J182" i="46" s="1"/>
  <c r="K182" i="46" s="1"/>
  <c r="L182" i="46" s="1"/>
  <c r="M182" i="46" s="1"/>
  <c r="N182" i="46" s="1"/>
  <c r="O182" i="46" s="1"/>
  <c r="P182" i="46" s="1"/>
  <c r="F181" i="46"/>
  <c r="G181" i="46" s="1"/>
  <c r="H181" i="46" s="1"/>
  <c r="I181" i="46" s="1"/>
  <c r="J181" i="46" s="1"/>
  <c r="K181" i="46" s="1"/>
  <c r="L181" i="46" s="1"/>
  <c r="M181" i="46" s="1"/>
  <c r="N181" i="46" s="1"/>
  <c r="O181" i="46" s="1"/>
  <c r="P181" i="46" s="1"/>
  <c r="F180" i="46"/>
  <c r="G180" i="46" s="1"/>
  <c r="H180" i="46" s="1"/>
  <c r="I180" i="46" s="1"/>
  <c r="J180" i="46" s="1"/>
  <c r="K180" i="46" s="1"/>
  <c r="L180" i="46" s="1"/>
  <c r="M180" i="46" s="1"/>
  <c r="N180" i="46" s="1"/>
  <c r="O180" i="46" s="1"/>
  <c r="P180" i="46" s="1"/>
  <c r="F179" i="46"/>
  <c r="G179" i="46" s="1"/>
  <c r="H179" i="46" s="1"/>
  <c r="I179" i="46" s="1"/>
  <c r="J179" i="46" s="1"/>
  <c r="K179" i="46" s="1"/>
  <c r="L179" i="46" s="1"/>
  <c r="M179" i="46" s="1"/>
  <c r="N179" i="46" s="1"/>
  <c r="O179" i="46" s="1"/>
  <c r="P179" i="46" s="1"/>
  <c r="F178" i="46"/>
  <c r="G178" i="46" s="1"/>
  <c r="H178" i="46" s="1"/>
  <c r="I178" i="46" s="1"/>
  <c r="J178" i="46" s="1"/>
  <c r="K178" i="46" s="1"/>
  <c r="L178" i="46" s="1"/>
  <c r="M178" i="46" s="1"/>
  <c r="N178" i="46" s="1"/>
  <c r="O178" i="46" s="1"/>
  <c r="P178" i="46" s="1"/>
  <c r="F177" i="46"/>
  <c r="G177" i="46" s="1"/>
  <c r="H177" i="46" s="1"/>
  <c r="I177" i="46" s="1"/>
  <c r="J177" i="46" s="1"/>
  <c r="K177" i="46" s="1"/>
  <c r="L177" i="46" s="1"/>
  <c r="M177" i="46" s="1"/>
  <c r="N177" i="46" s="1"/>
  <c r="O177" i="46" s="1"/>
  <c r="P177" i="46" s="1"/>
  <c r="F176" i="46"/>
  <c r="G176" i="46" s="1"/>
  <c r="H176" i="46" s="1"/>
  <c r="I176" i="46" s="1"/>
  <c r="J176" i="46" s="1"/>
  <c r="K176" i="46" s="1"/>
  <c r="L176" i="46" s="1"/>
  <c r="M176" i="46" s="1"/>
  <c r="N176" i="46" s="1"/>
  <c r="O176" i="46" s="1"/>
  <c r="P176" i="46" s="1"/>
  <c r="F174" i="46"/>
  <c r="G174" i="46" s="1"/>
  <c r="H174" i="46" s="1"/>
  <c r="I174" i="46" s="1"/>
  <c r="J174" i="46" s="1"/>
  <c r="K174" i="46" s="1"/>
  <c r="L174" i="46" s="1"/>
  <c r="M174" i="46" s="1"/>
  <c r="N174" i="46" s="1"/>
  <c r="O174" i="46" s="1"/>
  <c r="P174" i="46" s="1"/>
  <c r="F173" i="46"/>
  <c r="G173" i="46" s="1"/>
  <c r="H173" i="46" s="1"/>
  <c r="I173" i="46" s="1"/>
  <c r="J173" i="46" s="1"/>
  <c r="K173" i="46" s="1"/>
  <c r="L173" i="46" s="1"/>
  <c r="M173" i="46" s="1"/>
  <c r="N173" i="46" s="1"/>
  <c r="O173" i="46" s="1"/>
  <c r="P173" i="46" s="1"/>
  <c r="F172" i="46"/>
  <c r="G172" i="46" s="1"/>
  <c r="H172" i="46" s="1"/>
  <c r="I172" i="46" s="1"/>
  <c r="J172" i="46" s="1"/>
  <c r="K172" i="46" s="1"/>
  <c r="L172" i="46" s="1"/>
  <c r="M172" i="46" s="1"/>
  <c r="N172" i="46" s="1"/>
  <c r="O172" i="46" s="1"/>
  <c r="P172" i="46" s="1"/>
  <c r="F171" i="46"/>
  <c r="G171" i="46" s="1"/>
  <c r="H171" i="46" s="1"/>
  <c r="I171" i="46" s="1"/>
  <c r="J171" i="46" s="1"/>
  <c r="K171" i="46" s="1"/>
  <c r="L171" i="46" s="1"/>
  <c r="M171" i="46" s="1"/>
  <c r="N171" i="46" s="1"/>
  <c r="O171" i="46" s="1"/>
  <c r="P171" i="46" s="1"/>
  <c r="F170" i="46"/>
  <c r="G170" i="46" s="1"/>
  <c r="H170" i="46" s="1"/>
  <c r="I170" i="46" s="1"/>
  <c r="J170" i="46" s="1"/>
  <c r="K170" i="46" s="1"/>
  <c r="L170" i="46" s="1"/>
  <c r="M170" i="46" s="1"/>
  <c r="N170" i="46" s="1"/>
  <c r="O170" i="46" s="1"/>
  <c r="P170" i="46" s="1"/>
  <c r="F169" i="46"/>
  <c r="G169" i="46" s="1"/>
  <c r="H169" i="46" s="1"/>
  <c r="I169" i="46" s="1"/>
  <c r="J169" i="46" s="1"/>
  <c r="K169" i="46" s="1"/>
  <c r="L169" i="46" s="1"/>
  <c r="M169" i="46" s="1"/>
  <c r="N169" i="46" s="1"/>
  <c r="O169" i="46" s="1"/>
  <c r="P169" i="46" s="1"/>
  <c r="F168" i="46"/>
  <c r="G168" i="46" s="1"/>
  <c r="H168" i="46" s="1"/>
  <c r="I168" i="46" s="1"/>
  <c r="J168" i="46" s="1"/>
  <c r="K168" i="46" s="1"/>
  <c r="L168" i="46" s="1"/>
  <c r="M168" i="46" s="1"/>
  <c r="N168" i="46" s="1"/>
  <c r="O168" i="46" s="1"/>
  <c r="P168" i="46" s="1"/>
  <c r="F167" i="46"/>
  <c r="G167" i="46" s="1"/>
  <c r="H167" i="46" s="1"/>
  <c r="I167" i="46" s="1"/>
  <c r="J167" i="46" s="1"/>
  <c r="K167" i="46" s="1"/>
  <c r="L167" i="46" s="1"/>
  <c r="M167" i="46" s="1"/>
  <c r="N167" i="46" s="1"/>
  <c r="O167" i="46" s="1"/>
  <c r="P167" i="46" s="1"/>
  <c r="F166" i="46"/>
  <c r="G166" i="46" s="1"/>
  <c r="H166" i="46" s="1"/>
  <c r="I166" i="46" s="1"/>
  <c r="J166" i="46" s="1"/>
  <c r="K166" i="46" s="1"/>
  <c r="L166" i="46" s="1"/>
  <c r="M166" i="46" s="1"/>
  <c r="N166" i="46" s="1"/>
  <c r="O166" i="46" s="1"/>
  <c r="P166" i="46" s="1"/>
  <c r="F164" i="46"/>
  <c r="G164" i="46" s="1"/>
  <c r="H164" i="46" s="1"/>
  <c r="I164" i="46" s="1"/>
  <c r="J164" i="46" s="1"/>
  <c r="K164" i="46" s="1"/>
  <c r="L164" i="46" s="1"/>
  <c r="M164" i="46" s="1"/>
  <c r="N164" i="46" s="1"/>
  <c r="O164" i="46" s="1"/>
  <c r="P164" i="46" s="1"/>
  <c r="F163" i="46"/>
  <c r="G163" i="46" s="1"/>
  <c r="H163" i="46" s="1"/>
  <c r="I163" i="46" s="1"/>
  <c r="J163" i="46" s="1"/>
  <c r="K163" i="46" s="1"/>
  <c r="L163" i="46" s="1"/>
  <c r="M163" i="46" s="1"/>
  <c r="N163" i="46" s="1"/>
  <c r="O163" i="46" s="1"/>
  <c r="P163" i="46" s="1"/>
  <c r="F162" i="46"/>
  <c r="G162" i="46" s="1"/>
  <c r="H162" i="46" s="1"/>
  <c r="I162" i="46" s="1"/>
  <c r="J162" i="46" s="1"/>
  <c r="K162" i="46" s="1"/>
  <c r="L162" i="46" s="1"/>
  <c r="M162" i="46" s="1"/>
  <c r="N162" i="46" s="1"/>
  <c r="O162" i="46" s="1"/>
  <c r="P162" i="46" s="1"/>
  <c r="F161" i="46"/>
  <c r="G161" i="46" s="1"/>
  <c r="H161" i="46" s="1"/>
  <c r="I161" i="46" s="1"/>
  <c r="J161" i="46" s="1"/>
  <c r="K161" i="46" s="1"/>
  <c r="L161" i="46" s="1"/>
  <c r="M161" i="46" s="1"/>
  <c r="N161" i="46" s="1"/>
  <c r="O161" i="46" s="1"/>
  <c r="P161" i="46" s="1"/>
  <c r="F160" i="46"/>
  <c r="G160" i="46" s="1"/>
  <c r="H160" i="46" s="1"/>
  <c r="I160" i="46" s="1"/>
  <c r="J160" i="46" s="1"/>
  <c r="K160" i="46" s="1"/>
  <c r="L160" i="46" s="1"/>
  <c r="M160" i="46" s="1"/>
  <c r="N160" i="46" s="1"/>
  <c r="O160" i="46" s="1"/>
  <c r="P160" i="46" s="1"/>
  <c r="F159" i="46"/>
  <c r="G159" i="46" s="1"/>
  <c r="H159" i="46" s="1"/>
  <c r="I159" i="46" s="1"/>
  <c r="J159" i="46" s="1"/>
  <c r="K159" i="46" s="1"/>
  <c r="L159" i="46" s="1"/>
  <c r="M159" i="46" s="1"/>
  <c r="N159" i="46" s="1"/>
  <c r="O159" i="46" s="1"/>
  <c r="P159" i="46" s="1"/>
  <c r="F158" i="46"/>
  <c r="G158" i="46" s="1"/>
  <c r="H158" i="46" s="1"/>
  <c r="I158" i="46" s="1"/>
  <c r="J158" i="46" s="1"/>
  <c r="K158" i="46" s="1"/>
  <c r="L158" i="46" s="1"/>
  <c r="M158" i="46" s="1"/>
  <c r="N158" i="46" s="1"/>
  <c r="O158" i="46" s="1"/>
  <c r="P158" i="46" s="1"/>
  <c r="F157" i="46"/>
  <c r="G157" i="46" s="1"/>
  <c r="H157" i="46" s="1"/>
  <c r="I157" i="46" s="1"/>
  <c r="J157" i="46" s="1"/>
  <c r="K157" i="46" s="1"/>
  <c r="L157" i="46" s="1"/>
  <c r="M157" i="46" s="1"/>
  <c r="N157" i="46" s="1"/>
  <c r="O157" i="46" s="1"/>
  <c r="P157" i="46" s="1"/>
  <c r="F156" i="46"/>
  <c r="G156" i="46" s="1"/>
  <c r="H156" i="46" s="1"/>
  <c r="I156" i="46" s="1"/>
  <c r="J156" i="46" s="1"/>
  <c r="K156" i="46" s="1"/>
  <c r="L156" i="46" s="1"/>
  <c r="M156" i="46" s="1"/>
  <c r="N156" i="46" s="1"/>
  <c r="O156" i="46" s="1"/>
  <c r="P156" i="46" s="1"/>
  <c r="F155" i="46"/>
  <c r="G155" i="46" s="1"/>
  <c r="H155" i="46" s="1"/>
  <c r="I155" i="46" s="1"/>
  <c r="J155" i="46" s="1"/>
  <c r="K155" i="46" s="1"/>
  <c r="L155" i="46" s="1"/>
  <c r="M155" i="46" s="1"/>
  <c r="N155" i="46" s="1"/>
  <c r="O155" i="46" s="1"/>
  <c r="P155" i="46" s="1"/>
  <c r="F154" i="46"/>
  <c r="G154" i="46" s="1"/>
  <c r="H154" i="46" s="1"/>
  <c r="I154" i="46" s="1"/>
  <c r="J154" i="46" s="1"/>
  <c r="K154" i="46" s="1"/>
  <c r="L154" i="46" s="1"/>
  <c r="M154" i="46" s="1"/>
  <c r="N154" i="46" s="1"/>
  <c r="O154" i="46" s="1"/>
  <c r="P154" i="46" s="1"/>
  <c r="F152" i="46"/>
  <c r="G152" i="46" s="1"/>
  <c r="H152" i="46" s="1"/>
  <c r="I152" i="46" s="1"/>
  <c r="J152" i="46" s="1"/>
  <c r="K152" i="46" s="1"/>
  <c r="L152" i="46" s="1"/>
  <c r="M152" i="46" s="1"/>
  <c r="N152" i="46" s="1"/>
  <c r="O152" i="46" s="1"/>
  <c r="P152" i="46" s="1"/>
  <c r="F151" i="46"/>
  <c r="G151" i="46" s="1"/>
  <c r="H151" i="46" s="1"/>
  <c r="I151" i="46" s="1"/>
  <c r="J151" i="46" s="1"/>
  <c r="K151" i="46" s="1"/>
  <c r="L151" i="46" s="1"/>
  <c r="M151" i="46" s="1"/>
  <c r="N151" i="46" s="1"/>
  <c r="O151" i="46" s="1"/>
  <c r="P151" i="46" s="1"/>
  <c r="F150" i="46"/>
  <c r="G150" i="46" s="1"/>
  <c r="H150" i="46" s="1"/>
  <c r="I150" i="46" s="1"/>
  <c r="J150" i="46" s="1"/>
  <c r="K150" i="46" s="1"/>
  <c r="L150" i="46" s="1"/>
  <c r="M150" i="46" s="1"/>
  <c r="N150" i="46" s="1"/>
  <c r="O150" i="46" s="1"/>
  <c r="P150" i="46" s="1"/>
  <c r="F148" i="46"/>
  <c r="G148" i="46" s="1"/>
  <c r="H148" i="46" s="1"/>
  <c r="I148" i="46" s="1"/>
  <c r="J148" i="46" s="1"/>
  <c r="K148" i="46" s="1"/>
  <c r="L148" i="46" s="1"/>
  <c r="M148" i="46" s="1"/>
  <c r="N148" i="46" s="1"/>
  <c r="O148" i="46" s="1"/>
  <c r="P148" i="46" s="1"/>
  <c r="F147" i="46"/>
  <c r="G147" i="46" s="1"/>
  <c r="H147" i="46" s="1"/>
  <c r="I147" i="46" s="1"/>
  <c r="J147" i="46" s="1"/>
  <c r="K147" i="46" s="1"/>
  <c r="L147" i="46" s="1"/>
  <c r="M147" i="46" s="1"/>
  <c r="N147" i="46" s="1"/>
  <c r="O147" i="46" s="1"/>
  <c r="P147" i="46" s="1"/>
  <c r="F146" i="46"/>
  <c r="G146" i="46" s="1"/>
  <c r="H146" i="46" s="1"/>
  <c r="I146" i="46" s="1"/>
  <c r="J146" i="46" s="1"/>
  <c r="K146" i="46" s="1"/>
  <c r="L146" i="46" s="1"/>
  <c r="M146" i="46" s="1"/>
  <c r="N146" i="46" s="1"/>
  <c r="O146" i="46" s="1"/>
  <c r="P146" i="46" s="1"/>
  <c r="F145" i="46"/>
  <c r="G145" i="46" s="1"/>
  <c r="H145" i="46" s="1"/>
  <c r="I145" i="46" s="1"/>
  <c r="J145" i="46" s="1"/>
  <c r="K145" i="46" s="1"/>
  <c r="L145" i="46" s="1"/>
  <c r="M145" i="46" s="1"/>
  <c r="N145" i="46" s="1"/>
  <c r="O145" i="46" s="1"/>
  <c r="P145" i="46" s="1"/>
  <c r="F144" i="46"/>
  <c r="G144" i="46" s="1"/>
  <c r="H144" i="46" s="1"/>
  <c r="I144" i="46" s="1"/>
  <c r="J144" i="46" s="1"/>
  <c r="K144" i="46" s="1"/>
  <c r="L144" i="46" s="1"/>
  <c r="M144" i="46" s="1"/>
  <c r="N144" i="46" s="1"/>
  <c r="O144" i="46" s="1"/>
  <c r="P144" i="46" s="1"/>
  <c r="F143" i="46"/>
  <c r="G143" i="46" s="1"/>
  <c r="H143" i="46" s="1"/>
  <c r="I143" i="46" s="1"/>
  <c r="J143" i="46" s="1"/>
  <c r="K143" i="46" s="1"/>
  <c r="L143" i="46" s="1"/>
  <c r="M143" i="46" s="1"/>
  <c r="N143" i="46" s="1"/>
  <c r="O143" i="46" s="1"/>
  <c r="P143" i="46" s="1"/>
  <c r="F141" i="46"/>
  <c r="F140" i="46"/>
  <c r="G140" i="46" s="1"/>
  <c r="H140" i="46" s="1"/>
  <c r="I140" i="46" s="1"/>
  <c r="J140" i="46" s="1"/>
  <c r="K140" i="46" s="1"/>
  <c r="L140" i="46" s="1"/>
  <c r="M140" i="46" s="1"/>
  <c r="N140" i="46" s="1"/>
  <c r="O140" i="46" s="1"/>
  <c r="P140" i="46" s="1"/>
  <c r="F139" i="46"/>
  <c r="G139" i="46" s="1"/>
  <c r="H139" i="46" s="1"/>
  <c r="I139" i="46" s="1"/>
  <c r="J139" i="46" s="1"/>
  <c r="K139" i="46" s="1"/>
  <c r="L139" i="46" s="1"/>
  <c r="M139" i="46" s="1"/>
  <c r="N139" i="46" s="1"/>
  <c r="O139" i="46" s="1"/>
  <c r="P139" i="46" s="1"/>
  <c r="F138" i="46"/>
  <c r="G138" i="46" s="1"/>
  <c r="H138" i="46" s="1"/>
  <c r="I138" i="46" s="1"/>
  <c r="J138" i="46" s="1"/>
  <c r="K138" i="46" s="1"/>
  <c r="L138" i="46" s="1"/>
  <c r="M138" i="46" s="1"/>
  <c r="N138" i="46" s="1"/>
  <c r="O138" i="46" s="1"/>
  <c r="P138" i="46" s="1"/>
  <c r="F135" i="46"/>
  <c r="G135" i="46" s="1"/>
  <c r="H135" i="46" s="1"/>
  <c r="I135" i="46" s="1"/>
  <c r="J135" i="46" s="1"/>
  <c r="K135" i="46" s="1"/>
  <c r="L135" i="46" s="1"/>
  <c r="M135" i="46" s="1"/>
  <c r="N135" i="46" s="1"/>
  <c r="O135" i="46" s="1"/>
  <c r="P135" i="46" s="1"/>
  <c r="F134" i="46"/>
  <c r="G134" i="46" s="1"/>
  <c r="H134" i="46" s="1"/>
  <c r="I134" i="46" s="1"/>
  <c r="J134" i="46" s="1"/>
  <c r="K134" i="46" s="1"/>
  <c r="L134" i="46" s="1"/>
  <c r="M134" i="46" s="1"/>
  <c r="N134" i="46" s="1"/>
  <c r="O134" i="46" s="1"/>
  <c r="P134" i="46" s="1"/>
  <c r="F131" i="46"/>
  <c r="G131" i="46" s="1"/>
  <c r="H131" i="46" s="1"/>
  <c r="I131" i="46" s="1"/>
  <c r="J131" i="46" s="1"/>
  <c r="K131" i="46" s="1"/>
  <c r="L131" i="46" s="1"/>
  <c r="M131" i="46" s="1"/>
  <c r="N131" i="46" s="1"/>
  <c r="O131" i="46" s="1"/>
  <c r="P131" i="46" s="1"/>
  <c r="F130" i="46"/>
  <c r="G130" i="46" s="1"/>
  <c r="H130" i="46" s="1"/>
  <c r="I130" i="46" s="1"/>
  <c r="J130" i="46" s="1"/>
  <c r="K130" i="46" s="1"/>
  <c r="L130" i="46" s="1"/>
  <c r="M130" i="46" s="1"/>
  <c r="N130" i="46" s="1"/>
  <c r="O130" i="46" s="1"/>
  <c r="P130" i="46" s="1"/>
  <c r="F129" i="46"/>
  <c r="G129" i="46" s="1"/>
  <c r="H129" i="46" s="1"/>
  <c r="I129" i="46" s="1"/>
  <c r="J129" i="46" s="1"/>
  <c r="K129" i="46" s="1"/>
  <c r="L129" i="46" s="1"/>
  <c r="M129" i="46" s="1"/>
  <c r="N129" i="46" s="1"/>
  <c r="O129" i="46" s="1"/>
  <c r="P129" i="46" s="1"/>
  <c r="F128" i="46"/>
  <c r="G128" i="46" s="1"/>
  <c r="H128" i="46" s="1"/>
  <c r="I128" i="46" s="1"/>
  <c r="J128" i="46" s="1"/>
  <c r="K128" i="46" s="1"/>
  <c r="L128" i="46" s="1"/>
  <c r="M128" i="46" s="1"/>
  <c r="N128" i="46" s="1"/>
  <c r="O128" i="46" s="1"/>
  <c r="P128" i="46" s="1"/>
  <c r="F127" i="46"/>
  <c r="G127" i="46" s="1"/>
  <c r="H127" i="46" s="1"/>
  <c r="I127" i="46" s="1"/>
  <c r="J127" i="46" s="1"/>
  <c r="K127" i="46" s="1"/>
  <c r="L127" i="46" s="1"/>
  <c r="M127" i="46" s="1"/>
  <c r="N127" i="46" s="1"/>
  <c r="O127" i="46" s="1"/>
  <c r="P127" i="46" s="1"/>
  <c r="F125" i="46"/>
  <c r="G125" i="46" s="1"/>
  <c r="H125" i="46" s="1"/>
  <c r="I125" i="46" s="1"/>
  <c r="J125" i="46" s="1"/>
  <c r="K125" i="46" s="1"/>
  <c r="L125" i="46" s="1"/>
  <c r="M125" i="46" s="1"/>
  <c r="N125" i="46" s="1"/>
  <c r="O125" i="46" s="1"/>
  <c r="P125" i="46" s="1"/>
  <c r="F124" i="46"/>
  <c r="G124" i="46" s="1"/>
  <c r="H124" i="46" s="1"/>
  <c r="I124" i="46" s="1"/>
  <c r="J124" i="46" s="1"/>
  <c r="K124" i="46" s="1"/>
  <c r="L124" i="46" s="1"/>
  <c r="M124" i="46" s="1"/>
  <c r="N124" i="46" s="1"/>
  <c r="O124" i="46" s="1"/>
  <c r="P124" i="46" s="1"/>
  <c r="F122" i="46"/>
  <c r="G122" i="46" s="1"/>
  <c r="H122" i="46" s="1"/>
  <c r="I122" i="46" s="1"/>
  <c r="J122" i="46" s="1"/>
  <c r="K122" i="46" s="1"/>
  <c r="L122" i="46" s="1"/>
  <c r="M122" i="46" s="1"/>
  <c r="N122" i="46" s="1"/>
  <c r="O122" i="46" s="1"/>
  <c r="P122" i="46" s="1"/>
  <c r="F121" i="46"/>
  <c r="G121" i="46" s="1"/>
  <c r="H121" i="46" s="1"/>
  <c r="I121" i="46" s="1"/>
  <c r="J121" i="46" s="1"/>
  <c r="K121" i="46" s="1"/>
  <c r="L121" i="46" s="1"/>
  <c r="M121" i="46" s="1"/>
  <c r="N121" i="46" s="1"/>
  <c r="O121" i="46" s="1"/>
  <c r="P121" i="46" s="1"/>
  <c r="F120" i="46"/>
  <c r="G120" i="46" s="1"/>
  <c r="H120" i="46" s="1"/>
  <c r="I120" i="46" s="1"/>
  <c r="J120" i="46" s="1"/>
  <c r="K120" i="46" s="1"/>
  <c r="L120" i="46" s="1"/>
  <c r="M120" i="46" s="1"/>
  <c r="N120" i="46" s="1"/>
  <c r="O120" i="46" s="1"/>
  <c r="P120" i="46" s="1"/>
  <c r="F118" i="46"/>
  <c r="G118" i="46" s="1"/>
  <c r="H118" i="46" s="1"/>
  <c r="I118" i="46" s="1"/>
  <c r="J118" i="46" s="1"/>
  <c r="K118" i="46" s="1"/>
  <c r="L118" i="46" s="1"/>
  <c r="M118" i="46" s="1"/>
  <c r="N118" i="46" s="1"/>
  <c r="O118" i="46" s="1"/>
  <c r="P118" i="46" s="1"/>
  <c r="F117" i="46"/>
  <c r="G117" i="46" s="1"/>
  <c r="H117" i="46" s="1"/>
  <c r="I117" i="46" s="1"/>
  <c r="J117" i="46" s="1"/>
  <c r="K117" i="46" s="1"/>
  <c r="L117" i="46" s="1"/>
  <c r="M117" i="46" s="1"/>
  <c r="N117" i="46" s="1"/>
  <c r="O117" i="46" s="1"/>
  <c r="P117" i="46" s="1"/>
  <c r="F116" i="46"/>
  <c r="G116" i="46" s="1"/>
  <c r="H116" i="46" s="1"/>
  <c r="I116" i="46" s="1"/>
  <c r="J116" i="46" s="1"/>
  <c r="K116" i="46" s="1"/>
  <c r="L116" i="46" s="1"/>
  <c r="M116" i="46" s="1"/>
  <c r="N116" i="46" s="1"/>
  <c r="O116" i="46" s="1"/>
  <c r="P116" i="46" s="1"/>
  <c r="F115" i="46"/>
  <c r="G115" i="46" s="1"/>
  <c r="H115" i="46" s="1"/>
  <c r="I115" i="46" s="1"/>
  <c r="J115" i="46" s="1"/>
  <c r="K115" i="46" s="1"/>
  <c r="L115" i="46" s="1"/>
  <c r="M115" i="46" s="1"/>
  <c r="N115" i="46" s="1"/>
  <c r="O115" i="46" s="1"/>
  <c r="P115" i="46" s="1"/>
  <c r="F114" i="46"/>
  <c r="G114" i="46" s="1"/>
  <c r="H114" i="46" s="1"/>
  <c r="I114" i="46" s="1"/>
  <c r="J114" i="46" s="1"/>
  <c r="K114" i="46" s="1"/>
  <c r="L114" i="46" s="1"/>
  <c r="M114" i="46" s="1"/>
  <c r="N114" i="46" s="1"/>
  <c r="O114" i="46" s="1"/>
  <c r="P114" i="46" s="1"/>
  <c r="F112" i="46"/>
  <c r="G112" i="46" s="1"/>
  <c r="H112" i="46" s="1"/>
  <c r="I112" i="46" s="1"/>
  <c r="J112" i="46" s="1"/>
  <c r="K112" i="46" s="1"/>
  <c r="L112" i="46" s="1"/>
  <c r="M112" i="46" s="1"/>
  <c r="N112" i="46" s="1"/>
  <c r="O112" i="46" s="1"/>
  <c r="P112" i="46" s="1"/>
  <c r="F111" i="46"/>
  <c r="G111" i="46" s="1"/>
  <c r="H111" i="46" s="1"/>
  <c r="I111" i="46" s="1"/>
  <c r="J111" i="46" s="1"/>
  <c r="K111" i="46" s="1"/>
  <c r="L111" i="46" s="1"/>
  <c r="M111" i="46" s="1"/>
  <c r="N111" i="46" s="1"/>
  <c r="O111" i="46" s="1"/>
  <c r="P111" i="46" s="1"/>
  <c r="F110" i="46"/>
  <c r="G110" i="46" s="1"/>
  <c r="H110" i="46" s="1"/>
  <c r="I110" i="46" s="1"/>
  <c r="J110" i="46" s="1"/>
  <c r="K110" i="46" s="1"/>
  <c r="L110" i="46" s="1"/>
  <c r="M110" i="46" s="1"/>
  <c r="N110" i="46" s="1"/>
  <c r="O110" i="46" s="1"/>
  <c r="P110" i="46" s="1"/>
  <c r="F109" i="46"/>
  <c r="G109" i="46" s="1"/>
  <c r="H109" i="46" s="1"/>
  <c r="I109" i="46" s="1"/>
  <c r="J109" i="46" s="1"/>
  <c r="K109" i="46" s="1"/>
  <c r="L109" i="46" s="1"/>
  <c r="M109" i="46" s="1"/>
  <c r="N109" i="46" s="1"/>
  <c r="O109" i="46" s="1"/>
  <c r="P109" i="46" s="1"/>
  <c r="F108" i="46"/>
  <c r="G108" i="46" s="1"/>
  <c r="H108" i="46" s="1"/>
  <c r="I108" i="46" s="1"/>
  <c r="J108" i="46" s="1"/>
  <c r="K108" i="46" s="1"/>
  <c r="L108" i="46" s="1"/>
  <c r="M108" i="46" s="1"/>
  <c r="N108" i="46" s="1"/>
  <c r="O108" i="46" s="1"/>
  <c r="P108" i="46" s="1"/>
  <c r="F107" i="46"/>
  <c r="G107" i="46" s="1"/>
  <c r="H107" i="46" s="1"/>
  <c r="I107" i="46" s="1"/>
  <c r="J107" i="46" s="1"/>
  <c r="K107" i="46" s="1"/>
  <c r="L107" i="46" s="1"/>
  <c r="M107" i="46" s="1"/>
  <c r="N107" i="46" s="1"/>
  <c r="O107" i="46" s="1"/>
  <c r="P107" i="46" s="1"/>
  <c r="F106" i="46"/>
  <c r="G106" i="46" s="1"/>
  <c r="H106" i="46" s="1"/>
  <c r="I106" i="46" s="1"/>
  <c r="J106" i="46" s="1"/>
  <c r="K106" i="46" s="1"/>
  <c r="L106" i="46" s="1"/>
  <c r="M106" i="46" s="1"/>
  <c r="N106" i="46" s="1"/>
  <c r="O106" i="46" s="1"/>
  <c r="P106" i="46" s="1"/>
  <c r="F105" i="46"/>
  <c r="G105" i="46" s="1"/>
  <c r="H105" i="46" s="1"/>
  <c r="I105" i="46" s="1"/>
  <c r="J105" i="46" s="1"/>
  <c r="K105" i="46" s="1"/>
  <c r="L105" i="46" s="1"/>
  <c r="M105" i="46" s="1"/>
  <c r="N105" i="46" s="1"/>
  <c r="O105" i="46" s="1"/>
  <c r="P105" i="46" s="1"/>
  <c r="F104" i="46"/>
  <c r="G104" i="46" s="1"/>
  <c r="H104" i="46" s="1"/>
  <c r="I104" i="46" s="1"/>
  <c r="J104" i="46" s="1"/>
  <c r="K104" i="46" s="1"/>
  <c r="L104" i="46" s="1"/>
  <c r="M104" i="46" s="1"/>
  <c r="N104" i="46" s="1"/>
  <c r="O104" i="46" s="1"/>
  <c r="P104" i="46" s="1"/>
  <c r="F103" i="46"/>
  <c r="G103" i="46" s="1"/>
  <c r="H103" i="46" s="1"/>
  <c r="I103" i="46" s="1"/>
  <c r="J103" i="46" s="1"/>
  <c r="K103" i="46" s="1"/>
  <c r="L103" i="46" s="1"/>
  <c r="M103" i="46" s="1"/>
  <c r="N103" i="46" s="1"/>
  <c r="O103" i="46" s="1"/>
  <c r="P103" i="46" s="1"/>
  <c r="F102" i="46"/>
  <c r="G102" i="46" s="1"/>
  <c r="H102" i="46" s="1"/>
  <c r="I102" i="46" s="1"/>
  <c r="J102" i="46" s="1"/>
  <c r="K102" i="46" s="1"/>
  <c r="L102" i="46" s="1"/>
  <c r="M102" i="46" s="1"/>
  <c r="N102" i="46" s="1"/>
  <c r="O102" i="46" s="1"/>
  <c r="P102" i="46" s="1"/>
  <c r="F101" i="46"/>
  <c r="G101" i="46" s="1"/>
  <c r="H101" i="46" s="1"/>
  <c r="I101" i="46" s="1"/>
  <c r="J101" i="46" s="1"/>
  <c r="K101" i="46" s="1"/>
  <c r="L101" i="46" s="1"/>
  <c r="M101" i="46" s="1"/>
  <c r="N101" i="46" s="1"/>
  <c r="O101" i="46" s="1"/>
  <c r="P101" i="46" s="1"/>
  <c r="F100" i="46"/>
  <c r="G100" i="46" s="1"/>
  <c r="H100" i="46" s="1"/>
  <c r="I100" i="46" s="1"/>
  <c r="J100" i="46" s="1"/>
  <c r="K100" i="46" s="1"/>
  <c r="L100" i="46" s="1"/>
  <c r="M100" i="46" s="1"/>
  <c r="N100" i="46" s="1"/>
  <c r="O100" i="46" s="1"/>
  <c r="P100" i="46" s="1"/>
  <c r="F99" i="46"/>
  <c r="G99" i="46" s="1"/>
  <c r="H99" i="46" s="1"/>
  <c r="I99" i="46" s="1"/>
  <c r="J99" i="46" s="1"/>
  <c r="K99" i="46" s="1"/>
  <c r="L99" i="46" s="1"/>
  <c r="M99" i="46" s="1"/>
  <c r="N99" i="46" s="1"/>
  <c r="O99" i="46" s="1"/>
  <c r="P99" i="46" s="1"/>
  <c r="F98" i="46"/>
  <c r="G98" i="46" s="1"/>
  <c r="H98" i="46" s="1"/>
  <c r="I98" i="46" s="1"/>
  <c r="J98" i="46" s="1"/>
  <c r="K98" i="46" s="1"/>
  <c r="L98" i="46" s="1"/>
  <c r="M98" i="46" s="1"/>
  <c r="N98" i="46" s="1"/>
  <c r="O98" i="46" s="1"/>
  <c r="P98" i="46" s="1"/>
  <c r="F97" i="46"/>
  <c r="G97" i="46" s="1"/>
  <c r="H97" i="46" s="1"/>
  <c r="I97" i="46" s="1"/>
  <c r="J97" i="46" s="1"/>
  <c r="K97" i="46" s="1"/>
  <c r="L97" i="46" s="1"/>
  <c r="M97" i="46" s="1"/>
  <c r="N97" i="46" s="1"/>
  <c r="O97" i="46" s="1"/>
  <c r="P97" i="46" s="1"/>
  <c r="F96" i="46"/>
  <c r="G96" i="46" s="1"/>
  <c r="H96" i="46" s="1"/>
  <c r="I96" i="46" s="1"/>
  <c r="J96" i="46" s="1"/>
  <c r="K96" i="46" s="1"/>
  <c r="L96" i="46" s="1"/>
  <c r="M96" i="46" s="1"/>
  <c r="N96" i="46" s="1"/>
  <c r="O96" i="46" s="1"/>
  <c r="P96" i="46" s="1"/>
  <c r="F95" i="46"/>
  <c r="G95" i="46" s="1"/>
  <c r="H95" i="46" s="1"/>
  <c r="I95" i="46" s="1"/>
  <c r="J95" i="46" s="1"/>
  <c r="K95" i="46" s="1"/>
  <c r="L95" i="46" s="1"/>
  <c r="M95" i="46" s="1"/>
  <c r="N95" i="46" s="1"/>
  <c r="O95" i="46" s="1"/>
  <c r="P95" i="46" s="1"/>
  <c r="F94" i="46"/>
  <c r="G94" i="46" s="1"/>
  <c r="H94" i="46" s="1"/>
  <c r="I94" i="46" s="1"/>
  <c r="J94" i="46" s="1"/>
  <c r="K94" i="46" s="1"/>
  <c r="L94" i="46" s="1"/>
  <c r="M94" i="46" s="1"/>
  <c r="N94" i="46" s="1"/>
  <c r="O94" i="46" s="1"/>
  <c r="P94" i="46" s="1"/>
  <c r="F93" i="46"/>
  <c r="G93" i="46" s="1"/>
  <c r="H93" i="46" s="1"/>
  <c r="I93" i="46" s="1"/>
  <c r="J93" i="46" s="1"/>
  <c r="K93" i="46" s="1"/>
  <c r="L93" i="46" s="1"/>
  <c r="M93" i="46" s="1"/>
  <c r="N93" i="46" s="1"/>
  <c r="O93" i="46" s="1"/>
  <c r="P93" i="46" s="1"/>
  <c r="F92" i="46"/>
  <c r="G92" i="46" s="1"/>
  <c r="H92" i="46" s="1"/>
  <c r="I92" i="46" s="1"/>
  <c r="J92" i="46" s="1"/>
  <c r="K92" i="46" s="1"/>
  <c r="L92" i="46" s="1"/>
  <c r="M92" i="46" s="1"/>
  <c r="N92" i="46" s="1"/>
  <c r="O92" i="46" s="1"/>
  <c r="P92" i="46" s="1"/>
  <c r="F91" i="46"/>
  <c r="G91" i="46" s="1"/>
  <c r="H91" i="46" s="1"/>
  <c r="I91" i="46" s="1"/>
  <c r="J91" i="46" s="1"/>
  <c r="K91" i="46" s="1"/>
  <c r="L91" i="46" s="1"/>
  <c r="M91" i="46" s="1"/>
  <c r="N91" i="46" s="1"/>
  <c r="O91" i="46" s="1"/>
  <c r="P91" i="46" s="1"/>
  <c r="F90" i="46"/>
  <c r="G90" i="46" s="1"/>
  <c r="H90" i="46" s="1"/>
  <c r="I90" i="46" s="1"/>
  <c r="J90" i="46" s="1"/>
  <c r="K90" i="46" s="1"/>
  <c r="L90" i="46" s="1"/>
  <c r="M90" i="46" s="1"/>
  <c r="N90" i="46" s="1"/>
  <c r="O90" i="46" s="1"/>
  <c r="P90" i="46" s="1"/>
  <c r="F89" i="46"/>
  <c r="G89" i="46" s="1"/>
  <c r="H89" i="46" s="1"/>
  <c r="I89" i="46" s="1"/>
  <c r="J89" i="46" s="1"/>
  <c r="K89" i="46" s="1"/>
  <c r="L89" i="46" s="1"/>
  <c r="M89" i="46" s="1"/>
  <c r="N89" i="46" s="1"/>
  <c r="O89" i="46" s="1"/>
  <c r="P89" i="46" s="1"/>
  <c r="F88" i="46"/>
  <c r="G88" i="46" s="1"/>
  <c r="H88" i="46" s="1"/>
  <c r="I88" i="46" s="1"/>
  <c r="J88" i="46" s="1"/>
  <c r="K88" i="46" s="1"/>
  <c r="L88" i="46" s="1"/>
  <c r="M88" i="46" s="1"/>
  <c r="N88" i="46" s="1"/>
  <c r="O88" i="46" s="1"/>
  <c r="P88" i="46" s="1"/>
  <c r="F87" i="46"/>
  <c r="G87" i="46" s="1"/>
  <c r="H87" i="46" s="1"/>
  <c r="I87" i="46" s="1"/>
  <c r="J87" i="46" s="1"/>
  <c r="K87" i="46" s="1"/>
  <c r="L87" i="46" s="1"/>
  <c r="M87" i="46" s="1"/>
  <c r="N87" i="46" s="1"/>
  <c r="O87" i="46" s="1"/>
  <c r="P87" i="46" s="1"/>
  <c r="F86" i="46"/>
  <c r="G86" i="46" s="1"/>
  <c r="H86" i="46" s="1"/>
  <c r="I86" i="46" s="1"/>
  <c r="J86" i="46" s="1"/>
  <c r="K86" i="46" s="1"/>
  <c r="L86" i="46" s="1"/>
  <c r="M86" i="46" s="1"/>
  <c r="N86" i="46" s="1"/>
  <c r="O86" i="46" s="1"/>
  <c r="P86" i="46" s="1"/>
  <c r="F85" i="46"/>
  <c r="G85" i="46" s="1"/>
  <c r="H85" i="46" s="1"/>
  <c r="I85" i="46" s="1"/>
  <c r="J85" i="46" s="1"/>
  <c r="K85" i="46" s="1"/>
  <c r="L85" i="46" s="1"/>
  <c r="M85" i="46" s="1"/>
  <c r="N85" i="46" s="1"/>
  <c r="O85" i="46" s="1"/>
  <c r="P85" i="46" s="1"/>
  <c r="F84" i="46"/>
  <c r="G84" i="46" s="1"/>
  <c r="H84" i="46" s="1"/>
  <c r="I84" i="46" s="1"/>
  <c r="J84" i="46" s="1"/>
  <c r="K84" i="46" s="1"/>
  <c r="L84" i="46" s="1"/>
  <c r="M84" i="46" s="1"/>
  <c r="N84" i="46" s="1"/>
  <c r="O84" i="46" s="1"/>
  <c r="P84" i="46" s="1"/>
  <c r="F81" i="46"/>
  <c r="G81" i="46" s="1"/>
  <c r="H81" i="46" s="1"/>
  <c r="I81" i="46" s="1"/>
  <c r="J81" i="46" s="1"/>
  <c r="K81" i="46" s="1"/>
  <c r="L81" i="46" s="1"/>
  <c r="M81" i="46" s="1"/>
  <c r="N81" i="46" s="1"/>
  <c r="O81" i="46" s="1"/>
  <c r="P81" i="46" s="1"/>
  <c r="F80" i="46"/>
  <c r="G80" i="46" s="1"/>
  <c r="H80" i="46" s="1"/>
  <c r="I80" i="46" s="1"/>
  <c r="J80" i="46" s="1"/>
  <c r="K80" i="46" s="1"/>
  <c r="L80" i="46" s="1"/>
  <c r="M80" i="46" s="1"/>
  <c r="N80" i="46" s="1"/>
  <c r="O80" i="46" s="1"/>
  <c r="P80" i="46" s="1"/>
  <c r="F79" i="46"/>
  <c r="G79" i="46" s="1"/>
  <c r="H79" i="46" s="1"/>
  <c r="I79" i="46" s="1"/>
  <c r="J79" i="46" s="1"/>
  <c r="K79" i="46" s="1"/>
  <c r="L79" i="46" s="1"/>
  <c r="M79" i="46" s="1"/>
  <c r="N79" i="46" s="1"/>
  <c r="O79" i="46" s="1"/>
  <c r="P79" i="46" s="1"/>
  <c r="F78" i="46"/>
  <c r="G78" i="46" s="1"/>
  <c r="H78" i="46" s="1"/>
  <c r="I78" i="46" s="1"/>
  <c r="J78" i="46" s="1"/>
  <c r="K78" i="46" s="1"/>
  <c r="L78" i="46" s="1"/>
  <c r="M78" i="46" s="1"/>
  <c r="N78" i="46" s="1"/>
  <c r="O78" i="46" s="1"/>
  <c r="P78" i="46" s="1"/>
  <c r="F77" i="46"/>
  <c r="G77" i="46" s="1"/>
  <c r="H77" i="46" s="1"/>
  <c r="I77" i="46" s="1"/>
  <c r="J77" i="46" s="1"/>
  <c r="K77" i="46" s="1"/>
  <c r="L77" i="46" s="1"/>
  <c r="M77" i="46" s="1"/>
  <c r="N77" i="46" s="1"/>
  <c r="O77" i="46" s="1"/>
  <c r="P77" i="46" s="1"/>
  <c r="F76" i="46"/>
  <c r="G76" i="46" s="1"/>
  <c r="H76" i="46" s="1"/>
  <c r="I76" i="46" s="1"/>
  <c r="J76" i="46" s="1"/>
  <c r="K76" i="46" s="1"/>
  <c r="L76" i="46" s="1"/>
  <c r="M76" i="46" s="1"/>
  <c r="N76" i="46" s="1"/>
  <c r="O76" i="46" s="1"/>
  <c r="P76" i="46" s="1"/>
  <c r="F75" i="46"/>
  <c r="G75" i="46" s="1"/>
  <c r="H75" i="46" s="1"/>
  <c r="I75" i="46" s="1"/>
  <c r="J75" i="46" s="1"/>
  <c r="K75" i="46" s="1"/>
  <c r="L75" i="46" s="1"/>
  <c r="M75" i="46" s="1"/>
  <c r="N75" i="46" s="1"/>
  <c r="O75" i="46" s="1"/>
  <c r="P75" i="46" s="1"/>
  <c r="F74" i="46"/>
  <c r="G74" i="46" s="1"/>
  <c r="H74" i="46" s="1"/>
  <c r="I74" i="46" s="1"/>
  <c r="J74" i="46" s="1"/>
  <c r="K74" i="46" s="1"/>
  <c r="L74" i="46" s="1"/>
  <c r="M74" i="46" s="1"/>
  <c r="N74" i="46" s="1"/>
  <c r="O74" i="46" s="1"/>
  <c r="P74" i="46" s="1"/>
  <c r="F73" i="46"/>
  <c r="G73" i="46" s="1"/>
  <c r="H73" i="46" s="1"/>
  <c r="I73" i="46" s="1"/>
  <c r="J73" i="46" s="1"/>
  <c r="K73" i="46" s="1"/>
  <c r="L73" i="46" s="1"/>
  <c r="M73" i="46" s="1"/>
  <c r="N73" i="46" s="1"/>
  <c r="O73" i="46" s="1"/>
  <c r="P73" i="46" s="1"/>
  <c r="F72" i="46"/>
  <c r="G72" i="46" s="1"/>
  <c r="H72" i="46" s="1"/>
  <c r="I72" i="46" s="1"/>
  <c r="J72" i="46" s="1"/>
  <c r="K72" i="46" s="1"/>
  <c r="L72" i="46" s="1"/>
  <c r="M72" i="46" s="1"/>
  <c r="N72" i="46" s="1"/>
  <c r="O72" i="46" s="1"/>
  <c r="P72" i="46" s="1"/>
  <c r="F71" i="46"/>
  <c r="G71" i="46" s="1"/>
  <c r="H71" i="46" s="1"/>
  <c r="I71" i="46" s="1"/>
  <c r="J71" i="46" s="1"/>
  <c r="K71" i="46" s="1"/>
  <c r="L71" i="46" s="1"/>
  <c r="M71" i="46" s="1"/>
  <c r="N71" i="46" s="1"/>
  <c r="O71" i="46" s="1"/>
  <c r="P71" i="46" s="1"/>
  <c r="F70" i="46"/>
  <c r="G70" i="46" s="1"/>
  <c r="H70" i="46" s="1"/>
  <c r="I70" i="46" s="1"/>
  <c r="J70" i="46" s="1"/>
  <c r="K70" i="46" s="1"/>
  <c r="L70" i="46" s="1"/>
  <c r="M70" i="46" s="1"/>
  <c r="N70" i="46" s="1"/>
  <c r="O70" i="46" s="1"/>
  <c r="P70" i="46" s="1"/>
  <c r="F69" i="46"/>
  <c r="G69" i="46" s="1"/>
  <c r="H69" i="46" s="1"/>
  <c r="I69" i="46" s="1"/>
  <c r="J69" i="46" s="1"/>
  <c r="K69" i="46" s="1"/>
  <c r="L69" i="46" s="1"/>
  <c r="M69" i="46" s="1"/>
  <c r="N69" i="46" s="1"/>
  <c r="O69" i="46" s="1"/>
  <c r="P69" i="46" s="1"/>
  <c r="F68" i="46"/>
  <c r="G68" i="46" s="1"/>
  <c r="H68" i="46" s="1"/>
  <c r="I68" i="46" s="1"/>
  <c r="J68" i="46" s="1"/>
  <c r="K68" i="46" s="1"/>
  <c r="L68" i="46" s="1"/>
  <c r="M68" i="46" s="1"/>
  <c r="N68" i="46" s="1"/>
  <c r="O68" i="46" s="1"/>
  <c r="P68" i="46" s="1"/>
  <c r="F67" i="46"/>
  <c r="G67" i="46" s="1"/>
  <c r="H67" i="46" s="1"/>
  <c r="I67" i="46" s="1"/>
  <c r="J67" i="46" s="1"/>
  <c r="K67" i="46" s="1"/>
  <c r="L67" i="46" s="1"/>
  <c r="M67" i="46" s="1"/>
  <c r="N67" i="46" s="1"/>
  <c r="O67" i="46" s="1"/>
  <c r="P67" i="46" s="1"/>
  <c r="F66" i="46"/>
  <c r="G66" i="46" s="1"/>
  <c r="H66" i="46" s="1"/>
  <c r="I66" i="46" s="1"/>
  <c r="J66" i="46" s="1"/>
  <c r="K66" i="46" s="1"/>
  <c r="L66" i="46" s="1"/>
  <c r="M66" i="46" s="1"/>
  <c r="N66" i="46" s="1"/>
  <c r="O66" i="46" s="1"/>
  <c r="P66" i="46" s="1"/>
  <c r="F65" i="46"/>
  <c r="G65" i="46" s="1"/>
  <c r="H65" i="46" s="1"/>
  <c r="I65" i="46" s="1"/>
  <c r="J65" i="46" s="1"/>
  <c r="K65" i="46" s="1"/>
  <c r="L65" i="46" s="1"/>
  <c r="M65" i="46" s="1"/>
  <c r="N65" i="46" s="1"/>
  <c r="O65" i="46" s="1"/>
  <c r="P65" i="46" s="1"/>
  <c r="F64" i="46"/>
  <c r="G64" i="46" s="1"/>
  <c r="H64" i="46" s="1"/>
  <c r="I64" i="46" s="1"/>
  <c r="J64" i="46" s="1"/>
  <c r="K64" i="46" s="1"/>
  <c r="L64" i="46" s="1"/>
  <c r="M64" i="46" s="1"/>
  <c r="N64" i="46" s="1"/>
  <c r="O64" i="46" s="1"/>
  <c r="P64" i="46" s="1"/>
  <c r="F62" i="46"/>
  <c r="G62" i="46" s="1"/>
  <c r="H62" i="46" s="1"/>
  <c r="I62" i="46" s="1"/>
  <c r="J62" i="46" s="1"/>
  <c r="K62" i="46" s="1"/>
  <c r="L62" i="46" s="1"/>
  <c r="M62" i="46" s="1"/>
  <c r="N62" i="46" s="1"/>
  <c r="O62" i="46" s="1"/>
  <c r="P62" i="46" s="1"/>
  <c r="F61" i="46"/>
  <c r="G61" i="46" s="1"/>
  <c r="H61" i="46" s="1"/>
  <c r="I61" i="46" s="1"/>
  <c r="J61" i="46" s="1"/>
  <c r="K61" i="46" s="1"/>
  <c r="L61" i="46" s="1"/>
  <c r="M61" i="46" s="1"/>
  <c r="N61" i="46" s="1"/>
  <c r="O61" i="46" s="1"/>
  <c r="P61" i="46" s="1"/>
  <c r="F60" i="46"/>
  <c r="G60" i="46" s="1"/>
  <c r="H60" i="46" s="1"/>
  <c r="I60" i="46" s="1"/>
  <c r="J60" i="46" s="1"/>
  <c r="K60" i="46" s="1"/>
  <c r="L60" i="46" s="1"/>
  <c r="M60" i="46" s="1"/>
  <c r="N60" i="46" s="1"/>
  <c r="O60" i="46" s="1"/>
  <c r="P60" i="46" s="1"/>
  <c r="F59" i="46"/>
  <c r="G59" i="46" s="1"/>
  <c r="H59" i="46" s="1"/>
  <c r="I59" i="46" s="1"/>
  <c r="J59" i="46" s="1"/>
  <c r="K59" i="46" s="1"/>
  <c r="L59" i="46" s="1"/>
  <c r="M59" i="46" s="1"/>
  <c r="N59" i="46" s="1"/>
  <c r="O59" i="46" s="1"/>
  <c r="P59" i="46" s="1"/>
  <c r="F58" i="46"/>
  <c r="G58" i="46" s="1"/>
  <c r="H58" i="46" s="1"/>
  <c r="I58" i="46" s="1"/>
  <c r="J58" i="46" s="1"/>
  <c r="K58" i="46" s="1"/>
  <c r="L58" i="46" s="1"/>
  <c r="M58" i="46" s="1"/>
  <c r="N58" i="46" s="1"/>
  <c r="O58" i="46" s="1"/>
  <c r="P58" i="46" s="1"/>
  <c r="F57" i="46"/>
  <c r="G57" i="46" s="1"/>
  <c r="H57" i="46" s="1"/>
  <c r="I57" i="46" s="1"/>
  <c r="J57" i="46" s="1"/>
  <c r="K57" i="46" s="1"/>
  <c r="L57" i="46" s="1"/>
  <c r="M57" i="46" s="1"/>
  <c r="N57" i="46" s="1"/>
  <c r="O57" i="46" s="1"/>
  <c r="P57" i="46" s="1"/>
  <c r="F56" i="46"/>
  <c r="G56" i="46" s="1"/>
  <c r="H56" i="46" s="1"/>
  <c r="I56" i="46" s="1"/>
  <c r="J56" i="46" s="1"/>
  <c r="K56" i="46" s="1"/>
  <c r="L56" i="46" s="1"/>
  <c r="M56" i="46" s="1"/>
  <c r="N56" i="46" s="1"/>
  <c r="O56" i="46" s="1"/>
  <c r="P56" i="46" s="1"/>
  <c r="F55" i="46"/>
  <c r="G55" i="46" s="1"/>
  <c r="H55" i="46" s="1"/>
  <c r="I55" i="46" s="1"/>
  <c r="J55" i="46" s="1"/>
  <c r="K55" i="46" s="1"/>
  <c r="L55" i="46" s="1"/>
  <c r="M55" i="46" s="1"/>
  <c r="N55" i="46" s="1"/>
  <c r="O55" i="46" s="1"/>
  <c r="P55" i="46" s="1"/>
  <c r="F54" i="46"/>
  <c r="G54" i="46" s="1"/>
  <c r="H54" i="46" s="1"/>
  <c r="I54" i="46" s="1"/>
  <c r="J54" i="46" s="1"/>
  <c r="K54" i="46" s="1"/>
  <c r="L54" i="46" s="1"/>
  <c r="M54" i="46" s="1"/>
  <c r="N54" i="46" s="1"/>
  <c r="O54" i="46" s="1"/>
  <c r="P54" i="46" s="1"/>
  <c r="F53" i="46"/>
  <c r="G53" i="46" s="1"/>
  <c r="H53" i="46" s="1"/>
  <c r="I53" i="46" s="1"/>
  <c r="J53" i="46" s="1"/>
  <c r="K53" i="46" s="1"/>
  <c r="L53" i="46" s="1"/>
  <c r="M53" i="46" s="1"/>
  <c r="N53" i="46" s="1"/>
  <c r="O53" i="46" s="1"/>
  <c r="P53" i="46" s="1"/>
  <c r="F51" i="46"/>
  <c r="G51" i="46" s="1"/>
  <c r="H51" i="46" s="1"/>
  <c r="I51" i="46" s="1"/>
  <c r="J51" i="46" s="1"/>
  <c r="K51" i="46" s="1"/>
  <c r="L51" i="46" s="1"/>
  <c r="M51" i="46" s="1"/>
  <c r="N51" i="46" s="1"/>
  <c r="O51" i="46" s="1"/>
  <c r="P51" i="46" s="1"/>
  <c r="F50" i="46"/>
  <c r="G50" i="46" s="1"/>
  <c r="H50" i="46" s="1"/>
  <c r="I50" i="46" s="1"/>
  <c r="J50" i="46" s="1"/>
  <c r="K50" i="46" s="1"/>
  <c r="L50" i="46" s="1"/>
  <c r="M50" i="46" s="1"/>
  <c r="N50" i="46" s="1"/>
  <c r="O50" i="46" s="1"/>
  <c r="P50" i="46" s="1"/>
  <c r="F49" i="46"/>
  <c r="G49" i="46" s="1"/>
  <c r="H49" i="46" s="1"/>
  <c r="I49" i="46" s="1"/>
  <c r="J49" i="46" s="1"/>
  <c r="K49" i="46" s="1"/>
  <c r="L49" i="46" s="1"/>
  <c r="M49" i="46" s="1"/>
  <c r="N49" i="46" s="1"/>
  <c r="O49" i="46" s="1"/>
  <c r="P49" i="46" s="1"/>
  <c r="F48" i="46"/>
  <c r="G48" i="46" s="1"/>
  <c r="H48" i="46" s="1"/>
  <c r="I48" i="46" s="1"/>
  <c r="J48" i="46" s="1"/>
  <c r="K48" i="46" s="1"/>
  <c r="L48" i="46" s="1"/>
  <c r="M48" i="46" s="1"/>
  <c r="N48" i="46" s="1"/>
  <c r="O48" i="46" s="1"/>
  <c r="P48" i="46" s="1"/>
  <c r="F47" i="46"/>
  <c r="G47" i="46" s="1"/>
  <c r="H47" i="46" s="1"/>
  <c r="I47" i="46" s="1"/>
  <c r="J47" i="46" s="1"/>
  <c r="K47" i="46" s="1"/>
  <c r="L47" i="46" s="1"/>
  <c r="M47" i="46" s="1"/>
  <c r="N47" i="46" s="1"/>
  <c r="O47" i="46" s="1"/>
  <c r="P47" i="46" s="1"/>
  <c r="F46" i="46"/>
  <c r="G46" i="46" s="1"/>
  <c r="H46" i="46" s="1"/>
  <c r="I46" i="46" s="1"/>
  <c r="J46" i="46" s="1"/>
  <c r="K46" i="46" s="1"/>
  <c r="L46" i="46" s="1"/>
  <c r="M46" i="46" s="1"/>
  <c r="N46" i="46" s="1"/>
  <c r="O46" i="46" s="1"/>
  <c r="P46" i="46" s="1"/>
  <c r="F45" i="46"/>
  <c r="G45" i="46" s="1"/>
  <c r="H45" i="46" s="1"/>
  <c r="I45" i="46" s="1"/>
  <c r="J45" i="46" s="1"/>
  <c r="K45" i="46" s="1"/>
  <c r="L45" i="46" s="1"/>
  <c r="M45" i="46" s="1"/>
  <c r="N45" i="46" s="1"/>
  <c r="O45" i="46" s="1"/>
  <c r="P45" i="46" s="1"/>
  <c r="F43" i="46"/>
  <c r="G43" i="46" s="1"/>
  <c r="H43" i="46" s="1"/>
  <c r="I43" i="46" s="1"/>
  <c r="J43" i="46" s="1"/>
  <c r="K43" i="46" s="1"/>
  <c r="L43" i="46" s="1"/>
  <c r="M43" i="46" s="1"/>
  <c r="N43" i="46" s="1"/>
  <c r="O43" i="46" s="1"/>
  <c r="P43" i="46" s="1"/>
  <c r="F42" i="46"/>
  <c r="G42" i="46" s="1"/>
  <c r="H42" i="46" s="1"/>
  <c r="I42" i="46" s="1"/>
  <c r="J42" i="46" s="1"/>
  <c r="K42" i="46" s="1"/>
  <c r="L42" i="46" s="1"/>
  <c r="M42" i="46" s="1"/>
  <c r="N42" i="46" s="1"/>
  <c r="O42" i="46" s="1"/>
  <c r="P42" i="46" s="1"/>
  <c r="F41" i="46"/>
  <c r="G41" i="46" s="1"/>
  <c r="H41" i="46" s="1"/>
  <c r="I41" i="46" s="1"/>
  <c r="J41" i="46" s="1"/>
  <c r="K41" i="46" s="1"/>
  <c r="L41" i="46" s="1"/>
  <c r="M41" i="46" s="1"/>
  <c r="N41" i="46" s="1"/>
  <c r="O41" i="46" s="1"/>
  <c r="P41" i="46" s="1"/>
  <c r="F40" i="46"/>
  <c r="G40" i="46" s="1"/>
  <c r="H40" i="46" s="1"/>
  <c r="I40" i="46" s="1"/>
  <c r="J40" i="46" s="1"/>
  <c r="K40" i="46" s="1"/>
  <c r="L40" i="46" s="1"/>
  <c r="M40" i="46" s="1"/>
  <c r="N40" i="46" s="1"/>
  <c r="O40" i="46" s="1"/>
  <c r="P40" i="46" s="1"/>
  <c r="F39" i="46"/>
  <c r="G39" i="46" s="1"/>
  <c r="H39" i="46" s="1"/>
  <c r="I39" i="46" s="1"/>
  <c r="J39" i="46" s="1"/>
  <c r="K39" i="46" s="1"/>
  <c r="L39" i="46" s="1"/>
  <c r="M39" i="46" s="1"/>
  <c r="N39" i="46" s="1"/>
  <c r="O39" i="46" s="1"/>
  <c r="P39" i="46" s="1"/>
  <c r="F37" i="46"/>
  <c r="G37" i="46" s="1"/>
  <c r="H37" i="46" s="1"/>
  <c r="I37" i="46" s="1"/>
  <c r="J37" i="46" s="1"/>
  <c r="K37" i="46" s="1"/>
  <c r="L37" i="46" s="1"/>
  <c r="M37" i="46" s="1"/>
  <c r="N37" i="46" s="1"/>
  <c r="O37" i="46" s="1"/>
  <c r="P37" i="46" s="1"/>
  <c r="F36" i="46"/>
  <c r="G36" i="46" s="1"/>
  <c r="H36" i="46" s="1"/>
  <c r="I36" i="46" s="1"/>
  <c r="J36" i="46" s="1"/>
  <c r="K36" i="46" s="1"/>
  <c r="L36" i="46" s="1"/>
  <c r="M36" i="46" s="1"/>
  <c r="N36" i="46" s="1"/>
  <c r="O36" i="46" s="1"/>
  <c r="P36" i="46" s="1"/>
  <c r="F35" i="46"/>
  <c r="G35" i="46" s="1"/>
  <c r="H35" i="46" s="1"/>
  <c r="I35" i="46" s="1"/>
  <c r="J35" i="46" s="1"/>
  <c r="K35" i="46" s="1"/>
  <c r="L35" i="46" s="1"/>
  <c r="M35" i="46" s="1"/>
  <c r="N35" i="46" s="1"/>
  <c r="O35" i="46" s="1"/>
  <c r="P35" i="46" s="1"/>
  <c r="F34" i="46"/>
  <c r="G34" i="46" s="1"/>
  <c r="H34" i="46" s="1"/>
  <c r="I34" i="46" s="1"/>
  <c r="J34" i="46" s="1"/>
  <c r="K34" i="46" s="1"/>
  <c r="L34" i="46" s="1"/>
  <c r="M34" i="46" s="1"/>
  <c r="N34" i="46" s="1"/>
  <c r="O34" i="46" s="1"/>
  <c r="P34" i="46" s="1"/>
  <c r="F33" i="46"/>
  <c r="G33" i="46" s="1"/>
  <c r="H33" i="46" s="1"/>
  <c r="I33" i="46" s="1"/>
  <c r="J33" i="46" s="1"/>
  <c r="K33" i="46" s="1"/>
  <c r="L33" i="46" s="1"/>
  <c r="M33" i="46" s="1"/>
  <c r="N33" i="46" s="1"/>
  <c r="O33" i="46" s="1"/>
  <c r="P33" i="46" s="1"/>
  <c r="F32" i="46"/>
  <c r="G32" i="46" s="1"/>
  <c r="H32" i="46" s="1"/>
  <c r="I32" i="46" s="1"/>
  <c r="J32" i="46" s="1"/>
  <c r="K32" i="46" s="1"/>
  <c r="L32" i="46" s="1"/>
  <c r="M32" i="46" s="1"/>
  <c r="N32" i="46" s="1"/>
  <c r="O32" i="46" s="1"/>
  <c r="P32" i="46" s="1"/>
  <c r="F31" i="46"/>
  <c r="G31" i="46" s="1"/>
  <c r="H31" i="46" s="1"/>
  <c r="I31" i="46" s="1"/>
  <c r="J31" i="46" s="1"/>
  <c r="K31" i="46" s="1"/>
  <c r="L31" i="46" s="1"/>
  <c r="M31" i="46" s="1"/>
  <c r="N31" i="46" s="1"/>
  <c r="O31" i="46" s="1"/>
  <c r="P31" i="46" s="1"/>
  <c r="F30" i="46"/>
  <c r="G30" i="46" s="1"/>
  <c r="H30" i="46" s="1"/>
  <c r="I30" i="46" s="1"/>
  <c r="J30" i="46" s="1"/>
  <c r="K30" i="46" s="1"/>
  <c r="L30" i="46" s="1"/>
  <c r="M30" i="46" s="1"/>
  <c r="N30" i="46" s="1"/>
  <c r="O30" i="46" s="1"/>
  <c r="P30" i="46" s="1"/>
  <c r="F29" i="46"/>
  <c r="G29" i="46" s="1"/>
  <c r="H29" i="46" s="1"/>
  <c r="I29" i="46" s="1"/>
  <c r="J29" i="46" s="1"/>
  <c r="K29" i="46" s="1"/>
  <c r="L29" i="46" s="1"/>
  <c r="M29" i="46" s="1"/>
  <c r="N29" i="46" s="1"/>
  <c r="O29" i="46" s="1"/>
  <c r="P29" i="46" s="1"/>
  <c r="F27" i="46"/>
  <c r="G27" i="46" s="1"/>
  <c r="H27" i="46" s="1"/>
  <c r="I27" i="46" s="1"/>
  <c r="J27" i="46" s="1"/>
  <c r="K27" i="46" s="1"/>
  <c r="L27" i="46" s="1"/>
  <c r="M27" i="46" s="1"/>
  <c r="N27" i="46" s="1"/>
  <c r="O27" i="46" s="1"/>
  <c r="P27" i="46" s="1"/>
  <c r="F26" i="46"/>
  <c r="G26" i="46" s="1"/>
  <c r="H26" i="46" s="1"/>
  <c r="I26" i="46" s="1"/>
  <c r="J26" i="46" s="1"/>
  <c r="K26" i="46" s="1"/>
  <c r="L26" i="46" s="1"/>
  <c r="M26" i="46" s="1"/>
  <c r="N26" i="46" s="1"/>
  <c r="O26" i="46" s="1"/>
  <c r="P26" i="46" s="1"/>
  <c r="F25" i="46"/>
  <c r="G25" i="46" s="1"/>
  <c r="H25" i="46" s="1"/>
  <c r="I25" i="46" s="1"/>
  <c r="J25" i="46" s="1"/>
  <c r="K25" i="46" s="1"/>
  <c r="L25" i="46" s="1"/>
  <c r="M25" i="46" s="1"/>
  <c r="N25" i="46" s="1"/>
  <c r="O25" i="46" s="1"/>
  <c r="P25" i="46" s="1"/>
  <c r="F24" i="46"/>
  <c r="G24" i="46" s="1"/>
  <c r="H24" i="46" s="1"/>
  <c r="I24" i="46" s="1"/>
  <c r="J24" i="46" s="1"/>
  <c r="K24" i="46" s="1"/>
  <c r="L24" i="46" s="1"/>
  <c r="M24" i="46" s="1"/>
  <c r="N24" i="46" s="1"/>
  <c r="O24" i="46" s="1"/>
  <c r="P24" i="46" s="1"/>
  <c r="F23" i="46"/>
  <c r="G23" i="46" s="1"/>
  <c r="H23" i="46" s="1"/>
  <c r="I23" i="46" s="1"/>
  <c r="J23" i="46" s="1"/>
  <c r="K23" i="46" s="1"/>
  <c r="L23" i="46" s="1"/>
  <c r="M23" i="46" s="1"/>
  <c r="N23" i="46" s="1"/>
  <c r="O23" i="46" s="1"/>
  <c r="P23" i="46" s="1"/>
  <c r="F22" i="46"/>
  <c r="G22" i="46" s="1"/>
  <c r="H22" i="46" s="1"/>
  <c r="I22" i="46" s="1"/>
  <c r="J22" i="46" s="1"/>
  <c r="K22" i="46" s="1"/>
  <c r="L22" i="46" s="1"/>
  <c r="M22" i="46" s="1"/>
  <c r="N22" i="46" s="1"/>
  <c r="O22" i="46" s="1"/>
  <c r="P22" i="46" s="1"/>
  <c r="F21" i="46"/>
  <c r="G21" i="46" s="1"/>
  <c r="H21" i="46" s="1"/>
  <c r="I21" i="46" s="1"/>
  <c r="J21" i="46" s="1"/>
  <c r="K21" i="46" s="1"/>
  <c r="L21" i="46" s="1"/>
  <c r="M21" i="46" s="1"/>
  <c r="N21" i="46" s="1"/>
  <c r="O21" i="46" s="1"/>
  <c r="P21" i="46" s="1"/>
  <c r="F20" i="46"/>
  <c r="G20" i="46" s="1"/>
  <c r="H20" i="46" s="1"/>
  <c r="I20" i="46" s="1"/>
  <c r="J20" i="46" s="1"/>
  <c r="K20" i="46" s="1"/>
  <c r="L20" i="46" s="1"/>
  <c r="M20" i="46" s="1"/>
  <c r="N20" i="46" s="1"/>
  <c r="O20" i="46" s="1"/>
  <c r="P20" i="46" s="1"/>
  <c r="F19" i="46"/>
  <c r="G19" i="46" s="1"/>
  <c r="H19" i="46" s="1"/>
  <c r="I19" i="46" s="1"/>
  <c r="J19" i="46" s="1"/>
  <c r="K19" i="46" s="1"/>
  <c r="L19" i="46" s="1"/>
  <c r="M19" i="46" s="1"/>
  <c r="N19" i="46" s="1"/>
  <c r="O19" i="46" s="1"/>
  <c r="P19" i="46" s="1"/>
  <c r="F17" i="46"/>
  <c r="G17" i="46" s="1"/>
  <c r="H17" i="46" s="1"/>
  <c r="I17" i="46" s="1"/>
  <c r="J17" i="46" s="1"/>
  <c r="K17" i="46" s="1"/>
  <c r="L17" i="46" s="1"/>
  <c r="M17" i="46" s="1"/>
  <c r="N17" i="46" s="1"/>
  <c r="O17" i="46" s="1"/>
  <c r="P17" i="46" s="1"/>
  <c r="F16" i="46"/>
  <c r="G16" i="46" s="1"/>
  <c r="H16" i="46" s="1"/>
  <c r="I16" i="46" s="1"/>
  <c r="J16" i="46" s="1"/>
  <c r="K16" i="46" s="1"/>
  <c r="L16" i="46" s="1"/>
  <c r="M16" i="46" s="1"/>
  <c r="N16" i="46" s="1"/>
  <c r="O16" i="46" s="1"/>
  <c r="P16" i="46" s="1"/>
  <c r="F15" i="46"/>
  <c r="G15" i="46" s="1"/>
  <c r="H15" i="46" s="1"/>
  <c r="I15" i="46" s="1"/>
  <c r="J15" i="46" s="1"/>
  <c r="K15" i="46" s="1"/>
  <c r="L15" i="46" s="1"/>
  <c r="M15" i="46" s="1"/>
  <c r="N15" i="46" s="1"/>
  <c r="O15" i="46" s="1"/>
  <c r="P15" i="46" s="1"/>
  <c r="F14" i="46"/>
  <c r="G14" i="46" s="1"/>
  <c r="H14" i="46" s="1"/>
  <c r="I14" i="46" s="1"/>
  <c r="J14" i="46" s="1"/>
  <c r="K14" i="46" s="1"/>
  <c r="L14" i="46" s="1"/>
  <c r="M14" i="46" s="1"/>
  <c r="N14" i="46" s="1"/>
  <c r="O14" i="46" s="1"/>
  <c r="P14" i="46" s="1"/>
  <c r="F13" i="46"/>
  <c r="G13" i="46" s="1"/>
  <c r="H13" i="46" s="1"/>
  <c r="I13" i="46" s="1"/>
  <c r="J13" i="46" s="1"/>
  <c r="K13" i="46" s="1"/>
  <c r="L13" i="46" s="1"/>
  <c r="M13" i="46" s="1"/>
  <c r="N13" i="46" s="1"/>
  <c r="O13" i="46" s="1"/>
  <c r="P13" i="46" s="1"/>
  <c r="F12" i="46"/>
  <c r="G12" i="46" s="1"/>
  <c r="H12" i="46" s="1"/>
  <c r="I12" i="46" s="1"/>
  <c r="J12" i="46" s="1"/>
  <c r="K12" i="46" s="1"/>
  <c r="L12" i="46" s="1"/>
  <c r="M12" i="46" s="1"/>
  <c r="N12" i="46" s="1"/>
  <c r="O12" i="46" s="1"/>
  <c r="P12" i="46" s="1"/>
  <c r="F11" i="46"/>
  <c r="G11" i="46" s="1"/>
  <c r="H11" i="46" s="1"/>
  <c r="I11" i="46" s="1"/>
  <c r="J11" i="46" s="1"/>
  <c r="K11" i="46" s="1"/>
  <c r="L11" i="46" s="1"/>
  <c r="M11" i="46" s="1"/>
  <c r="N11" i="46" s="1"/>
  <c r="O11" i="46" s="1"/>
  <c r="P11" i="46" s="1"/>
  <c r="F10" i="46"/>
  <c r="G10" i="46" s="1"/>
  <c r="H10" i="46" s="1"/>
  <c r="I10" i="46" s="1"/>
  <c r="J10" i="46" s="1"/>
  <c r="K10" i="46" s="1"/>
  <c r="L10" i="46" s="1"/>
  <c r="M10" i="46" s="1"/>
  <c r="N10" i="46" s="1"/>
  <c r="O10" i="46" s="1"/>
  <c r="P10" i="46" s="1"/>
  <c r="F9" i="46"/>
  <c r="G9" i="46" s="1"/>
  <c r="H9" i="46" s="1"/>
  <c r="I9" i="46" s="1"/>
  <c r="J9" i="46" s="1"/>
  <c r="K9" i="46" s="1"/>
  <c r="L9" i="46" s="1"/>
  <c r="M9" i="46" s="1"/>
  <c r="N9" i="46" s="1"/>
  <c r="O9" i="46" s="1"/>
  <c r="P9" i="46" s="1"/>
  <c r="F8" i="46"/>
  <c r="G8" i="46" s="1"/>
  <c r="H8" i="46" s="1"/>
  <c r="I8" i="46" s="1"/>
  <c r="J8" i="46" s="1"/>
  <c r="K8" i="46" s="1"/>
  <c r="L8" i="46" s="1"/>
  <c r="M8" i="46" s="1"/>
  <c r="N8" i="46" s="1"/>
  <c r="O8" i="46" s="1"/>
  <c r="P8" i="46" s="1"/>
  <c r="F7" i="46"/>
  <c r="G7" i="46" s="1"/>
  <c r="H7" i="46" s="1"/>
  <c r="I7" i="46" s="1"/>
  <c r="J7" i="46" s="1"/>
  <c r="K7" i="46" s="1"/>
  <c r="L7" i="46" s="1"/>
  <c r="M7" i="46" s="1"/>
  <c r="N7" i="46" s="1"/>
  <c r="O7" i="46" s="1"/>
  <c r="P7" i="46" s="1"/>
  <c r="F6" i="46"/>
  <c r="G6" i="46" s="1"/>
  <c r="H6" i="46" s="1"/>
  <c r="I6" i="46" s="1"/>
  <c r="J6" i="46" s="1"/>
  <c r="K6" i="46" s="1"/>
  <c r="L6" i="46" s="1"/>
  <c r="M6" i="46" s="1"/>
  <c r="N6" i="46" s="1"/>
  <c r="O6" i="46" s="1"/>
  <c r="P6" i="46" s="1"/>
  <c r="G141" i="46"/>
  <c r="H141" i="46" s="1"/>
  <c r="I141" i="46" s="1"/>
  <c r="J141" i="46" s="1"/>
  <c r="K141" i="46" s="1"/>
  <c r="L141" i="46" s="1"/>
  <c r="M141" i="46" s="1"/>
  <c r="N141" i="46" s="1"/>
  <c r="O141" i="46" s="1"/>
  <c r="P141" i="46" s="1"/>
  <c r="G4" i="46"/>
  <c r="H4" i="46" s="1"/>
  <c r="I4" i="46" s="1"/>
  <c r="J4" i="46" s="1"/>
  <c r="K4" i="46" s="1"/>
  <c r="L4" i="46" s="1"/>
  <c r="M4" i="46" s="1"/>
  <c r="N4" i="46" s="1"/>
  <c r="O4" i="46" s="1"/>
  <c r="P4" i="46" s="1"/>
  <c r="H4" i="45"/>
  <c r="I4" i="45" s="1"/>
  <c r="G198" i="42"/>
  <c r="H198" i="42" s="1"/>
  <c r="I198" i="42" s="1"/>
  <c r="J198" i="42" s="1"/>
  <c r="K198" i="42" s="1"/>
  <c r="L198" i="42" s="1"/>
  <c r="M198" i="42" s="1"/>
  <c r="N198" i="42" s="1"/>
  <c r="O198" i="42" s="1"/>
  <c r="P198" i="42" s="1"/>
  <c r="Q198" i="42" s="1"/>
  <c r="G197" i="42"/>
  <c r="H197" i="42" s="1"/>
  <c r="I197" i="42" s="1"/>
  <c r="J197" i="42" s="1"/>
  <c r="K197" i="42" s="1"/>
  <c r="L197" i="42" s="1"/>
  <c r="M197" i="42" s="1"/>
  <c r="N197" i="42" s="1"/>
  <c r="O197" i="42" s="1"/>
  <c r="P197" i="42" s="1"/>
  <c r="Q197" i="42" s="1"/>
  <c r="G196" i="42"/>
  <c r="H196" i="42" s="1"/>
  <c r="I196" i="42" s="1"/>
  <c r="J196" i="42" s="1"/>
  <c r="K196" i="42" s="1"/>
  <c r="L196" i="42" s="1"/>
  <c r="M196" i="42" s="1"/>
  <c r="N196" i="42" s="1"/>
  <c r="O196" i="42" s="1"/>
  <c r="P196" i="42" s="1"/>
  <c r="Q196" i="42" s="1"/>
  <c r="G195" i="42"/>
  <c r="H195" i="42" s="1"/>
  <c r="I195" i="42" s="1"/>
  <c r="J195" i="42" s="1"/>
  <c r="K195" i="42" s="1"/>
  <c r="L195" i="42" s="1"/>
  <c r="M195" i="42" s="1"/>
  <c r="N195" i="42" s="1"/>
  <c r="O195" i="42" s="1"/>
  <c r="P195" i="42" s="1"/>
  <c r="Q195" i="42" s="1"/>
  <c r="G194" i="42"/>
  <c r="H194" i="42" s="1"/>
  <c r="I194" i="42" s="1"/>
  <c r="J194" i="42" s="1"/>
  <c r="K194" i="42" s="1"/>
  <c r="L194" i="42" s="1"/>
  <c r="M194" i="42" s="1"/>
  <c r="N194" i="42" s="1"/>
  <c r="O194" i="42" s="1"/>
  <c r="P194" i="42" s="1"/>
  <c r="Q194" i="42" s="1"/>
  <c r="G193" i="42"/>
  <c r="H193" i="42" s="1"/>
  <c r="I193" i="42" s="1"/>
  <c r="J193" i="42" s="1"/>
  <c r="K193" i="42" s="1"/>
  <c r="L193" i="42" s="1"/>
  <c r="M193" i="42" s="1"/>
  <c r="N193" i="42" s="1"/>
  <c r="O193" i="42" s="1"/>
  <c r="P193" i="42" s="1"/>
  <c r="Q193" i="42" s="1"/>
  <c r="G192" i="42"/>
  <c r="H192" i="42" s="1"/>
  <c r="I192" i="42" s="1"/>
  <c r="J192" i="42" s="1"/>
  <c r="K192" i="42" s="1"/>
  <c r="L192" i="42" s="1"/>
  <c r="M192" i="42" s="1"/>
  <c r="N192" i="42" s="1"/>
  <c r="O192" i="42" s="1"/>
  <c r="P192" i="42" s="1"/>
  <c r="Q192" i="42" s="1"/>
  <c r="G191" i="42"/>
  <c r="H191" i="42" s="1"/>
  <c r="I191" i="42" s="1"/>
  <c r="J191" i="42" s="1"/>
  <c r="K191" i="42" s="1"/>
  <c r="L191" i="42" s="1"/>
  <c r="M191" i="42" s="1"/>
  <c r="N191" i="42" s="1"/>
  <c r="O191" i="42" s="1"/>
  <c r="P191" i="42" s="1"/>
  <c r="Q191" i="42" s="1"/>
  <c r="G190" i="42"/>
  <c r="H190" i="42" s="1"/>
  <c r="I190" i="42" s="1"/>
  <c r="J190" i="42" s="1"/>
  <c r="K190" i="42" s="1"/>
  <c r="L190" i="42" s="1"/>
  <c r="M190" i="42" s="1"/>
  <c r="N190" i="42" s="1"/>
  <c r="O190" i="42" s="1"/>
  <c r="P190" i="42" s="1"/>
  <c r="Q190" i="42" s="1"/>
  <c r="G189" i="42"/>
  <c r="H189" i="42" s="1"/>
  <c r="I189" i="42" s="1"/>
  <c r="J189" i="42" s="1"/>
  <c r="K189" i="42" s="1"/>
  <c r="L189" i="42" s="1"/>
  <c r="M189" i="42" s="1"/>
  <c r="N189" i="42" s="1"/>
  <c r="O189" i="42" s="1"/>
  <c r="P189" i="42" s="1"/>
  <c r="Q189" i="42" s="1"/>
  <c r="G188" i="42"/>
  <c r="H188" i="42" s="1"/>
  <c r="I188" i="42" s="1"/>
  <c r="J188" i="42" s="1"/>
  <c r="K188" i="42" s="1"/>
  <c r="L188" i="42" s="1"/>
  <c r="M188" i="42" s="1"/>
  <c r="N188" i="42" s="1"/>
  <c r="O188" i="42" s="1"/>
  <c r="P188" i="42" s="1"/>
  <c r="Q188" i="42" s="1"/>
  <c r="G187" i="42"/>
  <c r="H187" i="42" s="1"/>
  <c r="I187" i="42" s="1"/>
  <c r="J187" i="42" s="1"/>
  <c r="K187" i="42" s="1"/>
  <c r="L187" i="42" s="1"/>
  <c r="M187" i="42" s="1"/>
  <c r="N187" i="42" s="1"/>
  <c r="O187" i="42" s="1"/>
  <c r="P187" i="42" s="1"/>
  <c r="Q187" i="42" s="1"/>
  <c r="G186" i="42"/>
  <c r="H186" i="42" s="1"/>
  <c r="I186" i="42" s="1"/>
  <c r="J186" i="42" s="1"/>
  <c r="K186" i="42" s="1"/>
  <c r="L186" i="42" s="1"/>
  <c r="M186" i="42" s="1"/>
  <c r="N186" i="42" s="1"/>
  <c r="O186" i="42" s="1"/>
  <c r="P186" i="42" s="1"/>
  <c r="Q186" i="42" s="1"/>
  <c r="G185" i="42"/>
  <c r="H185" i="42" s="1"/>
  <c r="I185" i="42" s="1"/>
  <c r="J185" i="42" s="1"/>
  <c r="K185" i="42" s="1"/>
  <c r="L185" i="42" s="1"/>
  <c r="M185" i="42" s="1"/>
  <c r="N185" i="42" s="1"/>
  <c r="O185" i="42" s="1"/>
  <c r="P185" i="42" s="1"/>
  <c r="Q185" i="42" s="1"/>
  <c r="G184" i="42"/>
  <c r="H184" i="42" s="1"/>
  <c r="I184" i="42" s="1"/>
  <c r="J184" i="42" s="1"/>
  <c r="K184" i="42" s="1"/>
  <c r="L184" i="42" s="1"/>
  <c r="M184" i="42" s="1"/>
  <c r="N184" i="42" s="1"/>
  <c r="O184" i="42" s="1"/>
  <c r="P184" i="42" s="1"/>
  <c r="Q184" i="42" s="1"/>
  <c r="G183" i="42"/>
  <c r="H183" i="42" s="1"/>
  <c r="I183" i="42" s="1"/>
  <c r="J183" i="42" s="1"/>
  <c r="K183" i="42" s="1"/>
  <c r="L183" i="42" s="1"/>
  <c r="M183" i="42" s="1"/>
  <c r="N183" i="42" s="1"/>
  <c r="O183" i="42" s="1"/>
  <c r="P183" i="42" s="1"/>
  <c r="Q183" i="42" s="1"/>
  <c r="G182" i="42"/>
  <c r="H182" i="42" s="1"/>
  <c r="I182" i="42" s="1"/>
  <c r="J182" i="42" s="1"/>
  <c r="K182" i="42" s="1"/>
  <c r="L182" i="42" s="1"/>
  <c r="M182" i="42" s="1"/>
  <c r="N182" i="42" s="1"/>
  <c r="O182" i="42" s="1"/>
  <c r="P182" i="42" s="1"/>
  <c r="Q182" i="42" s="1"/>
  <c r="G181" i="42"/>
  <c r="H181" i="42" s="1"/>
  <c r="I181" i="42" s="1"/>
  <c r="J181" i="42" s="1"/>
  <c r="K181" i="42" s="1"/>
  <c r="L181" i="42" s="1"/>
  <c r="M181" i="42" s="1"/>
  <c r="N181" i="42" s="1"/>
  <c r="O181" i="42" s="1"/>
  <c r="P181" i="42" s="1"/>
  <c r="Q181" i="42" s="1"/>
  <c r="G180" i="42"/>
  <c r="H180" i="42" s="1"/>
  <c r="I180" i="42" s="1"/>
  <c r="J180" i="42" s="1"/>
  <c r="K180" i="42" s="1"/>
  <c r="L180" i="42" s="1"/>
  <c r="M180" i="42" s="1"/>
  <c r="N180" i="42" s="1"/>
  <c r="O180" i="42" s="1"/>
  <c r="P180" i="42" s="1"/>
  <c r="Q180" i="42" s="1"/>
  <c r="G179" i="42"/>
  <c r="H179" i="42" s="1"/>
  <c r="I179" i="42" s="1"/>
  <c r="J179" i="42" s="1"/>
  <c r="K179" i="42" s="1"/>
  <c r="L179" i="42" s="1"/>
  <c r="M179" i="42" s="1"/>
  <c r="N179" i="42" s="1"/>
  <c r="O179" i="42" s="1"/>
  <c r="P179" i="42" s="1"/>
  <c r="Q179" i="42" s="1"/>
  <c r="G178" i="42"/>
  <c r="H178" i="42" s="1"/>
  <c r="I178" i="42" s="1"/>
  <c r="J178" i="42" s="1"/>
  <c r="K178" i="42" s="1"/>
  <c r="L178" i="42" s="1"/>
  <c r="M178" i="42" s="1"/>
  <c r="N178" i="42" s="1"/>
  <c r="O178" i="42" s="1"/>
  <c r="P178" i="42" s="1"/>
  <c r="Q178" i="42" s="1"/>
  <c r="G177" i="42"/>
  <c r="H177" i="42" s="1"/>
  <c r="I177" i="42" s="1"/>
  <c r="J177" i="42" s="1"/>
  <c r="K177" i="42" s="1"/>
  <c r="L177" i="42" s="1"/>
  <c r="M177" i="42" s="1"/>
  <c r="N177" i="42" s="1"/>
  <c r="O177" i="42" s="1"/>
  <c r="P177" i="42" s="1"/>
  <c r="Q177" i="42" s="1"/>
  <c r="G176" i="42"/>
  <c r="H176" i="42" s="1"/>
  <c r="I176" i="42" s="1"/>
  <c r="J176" i="42" s="1"/>
  <c r="K176" i="42" s="1"/>
  <c r="L176" i="42" s="1"/>
  <c r="M176" i="42" s="1"/>
  <c r="N176" i="42" s="1"/>
  <c r="O176" i="42" s="1"/>
  <c r="P176" i="42" s="1"/>
  <c r="Q176" i="42" s="1"/>
  <c r="G175" i="42"/>
  <c r="H175" i="42" s="1"/>
  <c r="I175" i="42" s="1"/>
  <c r="J175" i="42" s="1"/>
  <c r="K175" i="42" s="1"/>
  <c r="L175" i="42" s="1"/>
  <c r="M175" i="42" s="1"/>
  <c r="N175" i="42" s="1"/>
  <c r="O175" i="42" s="1"/>
  <c r="P175" i="42" s="1"/>
  <c r="Q175" i="42" s="1"/>
  <c r="G174" i="42"/>
  <c r="H174" i="42" s="1"/>
  <c r="I174" i="42" s="1"/>
  <c r="J174" i="42" s="1"/>
  <c r="K174" i="42" s="1"/>
  <c r="L174" i="42" s="1"/>
  <c r="M174" i="42" s="1"/>
  <c r="N174" i="42" s="1"/>
  <c r="O174" i="42" s="1"/>
  <c r="P174" i="42" s="1"/>
  <c r="Q174" i="42" s="1"/>
  <c r="G173" i="42"/>
  <c r="H173" i="42" s="1"/>
  <c r="I173" i="42" s="1"/>
  <c r="J173" i="42" s="1"/>
  <c r="K173" i="42" s="1"/>
  <c r="L173" i="42" s="1"/>
  <c r="M173" i="42" s="1"/>
  <c r="N173" i="42" s="1"/>
  <c r="O173" i="42" s="1"/>
  <c r="P173" i="42" s="1"/>
  <c r="Q173" i="42" s="1"/>
  <c r="G172" i="42"/>
  <c r="H172" i="42" s="1"/>
  <c r="I172" i="42" s="1"/>
  <c r="J172" i="42" s="1"/>
  <c r="K172" i="42" s="1"/>
  <c r="L172" i="42" s="1"/>
  <c r="M172" i="42" s="1"/>
  <c r="N172" i="42" s="1"/>
  <c r="O172" i="42" s="1"/>
  <c r="P172" i="42" s="1"/>
  <c r="Q172" i="42" s="1"/>
  <c r="G171" i="42"/>
  <c r="H171" i="42" s="1"/>
  <c r="I171" i="42" s="1"/>
  <c r="J171" i="42" s="1"/>
  <c r="K171" i="42" s="1"/>
  <c r="L171" i="42" s="1"/>
  <c r="M171" i="42" s="1"/>
  <c r="N171" i="42" s="1"/>
  <c r="O171" i="42" s="1"/>
  <c r="P171" i="42" s="1"/>
  <c r="Q171" i="42" s="1"/>
  <c r="G170" i="42"/>
  <c r="H170" i="42" s="1"/>
  <c r="I170" i="42" s="1"/>
  <c r="J170" i="42" s="1"/>
  <c r="K170" i="42" s="1"/>
  <c r="L170" i="42" s="1"/>
  <c r="M170" i="42" s="1"/>
  <c r="N170" i="42" s="1"/>
  <c r="O170" i="42" s="1"/>
  <c r="P170" i="42" s="1"/>
  <c r="Q170" i="42" s="1"/>
  <c r="G169" i="42"/>
  <c r="H169" i="42" s="1"/>
  <c r="I169" i="42" s="1"/>
  <c r="J169" i="42" s="1"/>
  <c r="K169" i="42" s="1"/>
  <c r="L169" i="42" s="1"/>
  <c r="M169" i="42" s="1"/>
  <c r="N169" i="42" s="1"/>
  <c r="O169" i="42" s="1"/>
  <c r="P169" i="42" s="1"/>
  <c r="Q169" i="42" s="1"/>
  <c r="G168" i="42"/>
  <c r="H168" i="42" s="1"/>
  <c r="I168" i="42" s="1"/>
  <c r="J168" i="42" s="1"/>
  <c r="K168" i="42" s="1"/>
  <c r="L168" i="42" s="1"/>
  <c r="M168" i="42" s="1"/>
  <c r="N168" i="42" s="1"/>
  <c r="O168" i="42" s="1"/>
  <c r="P168" i="42" s="1"/>
  <c r="Q168" i="42" s="1"/>
  <c r="G167" i="42"/>
  <c r="H167" i="42" s="1"/>
  <c r="I167" i="42" s="1"/>
  <c r="J167" i="42" s="1"/>
  <c r="K167" i="42" s="1"/>
  <c r="L167" i="42" s="1"/>
  <c r="M167" i="42" s="1"/>
  <c r="N167" i="42" s="1"/>
  <c r="O167" i="42" s="1"/>
  <c r="P167" i="42" s="1"/>
  <c r="Q167" i="42" s="1"/>
  <c r="G166" i="42"/>
  <c r="H166" i="42" s="1"/>
  <c r="I166" i="42" s="1"/>
  <c r="J166" i="42" s="1"/>
  <c r="K166" i="42" s="1"/>
  <c r="L166" i="42" s="1"/>
  <c r="M166" i="42" s="1"/>
  <c r="N166" i="42" s="1"/>
  <c r="O166" i="42" s="1"/>
  <c r="P166" i="42" s="1"/>
  <c r="Q166" i="42" s="1"/>
  <c r="G165" i="42"/>
  <c r="H165" i="42" s="1"/>
  <c r="I165" i="42" s="1"/>
  <c r="J165" i="42" s="1"/>
  <c r="K165" i="42" s="1"/>
  <c r="L165" i="42" s="1"/>
  <c r="M165" i="42" s="1"/>
  <c r="N165" i="42" s="1"/>
  <c r="O165" i="42" s="1"/>
  <c r="P165" i="42" s="1"/>
  <c r="Q165" i="42" s="1"/>
  <c r="G164" i="42"/>
  <c r="H164" i="42" s="1"/>
  <c r="I164" i="42" s="1"/>
  <c r="J164" i="42" s="1"/>
  <c r="K164" i="42" s="1"/>
  <c r="L164" i="42" s="1"/>
  <c r="M164" i="42" s="1"/>
  <c r="N164" i="42" s="1"/>
  <c r="O164" i="42" s="1"/>
  <c r="P164" i="42" s="1"/>
  <c r="Q164" i="42" s="1"/>
  <c r="G163" i="42"/>
  <c r="H163" i="42" s="1"/>
  <c r="I163" i="42" s="1"/>
  <c r="J163" i="42" s="1"/>
  <c r="K163" i="42" s="1"/>
  <c r="L163" i="42" s="1"/>
  <c r="M163" i="42" s="1"/>
  <c r="N163" i="42" s="1"/>
  <c r="O163" i="42" s="1"/>
  <c r="P163" i="42" s="1"/>
  <c r="Q163" i="42" s="1"/>
  <c r="G162" i="42"/>
  <c r="H162" i="42" s="1"/>
  <c r="I162" i="42" s="1"/>
  <c r="J162" i="42" s="1"/>
  <c r="K162" i="42" s="1"/>
  <c r="L162" i="42" s="1"/>
  <c r="M162" i="42" s="1"/>
  <c r="N162" i="42" s="1"/>
  <c r="O162" i="42" s="1"/>
  <c r="P162" i="42" s="1"/>
  <c r="Q162" i="42" s="1"/>
  <c r="G161" i="42"/>
  <c r="H161" i="42" s="1"/>
  <c r="I161" i="42" s="1"/>
  <c r="J161" i="42" s="1"/>
  <c r="K161" i="42" s="1"/>
  <c r="L161" i="42" s="1"/>
  <c r="M161" i="42" s="1"/>
  <c r="N161" i="42" s="1"/>
  <c r="O161" i="42" s="1"/>
  <c r="P161" i="42" s="1"/>
  <c r="Q161" i="42" s="1"/>
  <c r="G160" i="42"/>
  <c r="H160" i="42" s="1"/>
  <c r="I160" i="42" s="1"/>
  <c r="J160" i="42" s="1"/>
  <c r="K160" i="42" s="1"/>
  <c r="L160" i="42" s="1"/>
  <c r="M160" i="42" s="1"/>
  <c r="N160" i="42" s="1"/>
  <c r="O160" i="42" s="1"/>
  <c r="P160" i="42" s="1"/>
  <c r="Q160" i="42" s="1"/>
  <c r="G159" i="42"/>
  <c r="H159" i="42" s="1"/>
  <c r="I159" i="42" s="1"/>
  <c r="J159" i="42" s="1"/>
  <c r="K159" i="42" s="1"/>
  <c r="L159" i="42" s="1"/>
  <c r="M159" i="42" s="1"/>
  <c r="N159" i="42" s="1"/>
  <c r="O159" i="42" s="1"/>
  <c r="P159" i="42" s="1"/>
  <c r="Q159" i="42" s="1"/>
  <c r="G158" i="42"/>
  <c r="H158" i="42" s="1"/>
  <c r="I158" i="42" s="1"/>
  <c r="J158" i="42" s="1"/>
  <c r="K158" i="42" s="1"/>
  <c r="L158" i="42" s="1"/>
  <c r="M158" i="42" s="1"/>
  <c r="N158" i="42" s="1"/>
  <c r="O158" i="42" s="1"/>
  <c r="P158" i="42" s="1"/>
  <c r="Q158" i="42" s="1"/>
  <c r="G157" i="42"/>
  <c r="H157" i="42" s="1"/>
  <c r="I157" i="42" s="1"/>
  <c r="J157" i="42" s="1"/>
  <c r="K157" i="42" s="1"/>
  <c r="L157" i="42" s="1"/>
  <c r="M157" i="42" s="1"/>
  <c r="N157" i="42" s="1"/>
  <c r="O157" i="42" s="1"/>
  <c r="P157" i="42" s="1"/>
  <c r="Q157" i="42" s="1"/>
  <c r="G156" i="42"/>
  <c r="H156" i="42" s="1"/>
  <c r="I156" i="42" s="1"/>
  <c r="J156" i="42" s="1"/>
  <c r="K156" i="42" s="1"/>
  <c r="L156" i="42" s="1"/>
  <c r="M156" i="42" s="1"/>
  <c r="N156" i="42" s="1"/>
  <c r="O156" i="42" s="1"/>
  <c r="P156" i="42" s="1"/>
  <c r="Q156" i="42" s="1"/>
  <c r="G155" i="42"/>
  <c r="H155" i="42" s="1"/>
  <c r="I155" i="42" s="1"/>
  <c r="J155" i="42" s="1"/>
  <c r="K155" i="42" s="1"/>
  <c r="L155" i="42" s="1"/>
  <c r="M155" i="42" s="1"/>
  <c r="N155" i="42" s="1"/>
  <c r="O155" i="42" s="1"/>
  <c r="P155" i="42" s="1"/>
  <c r="Q155" i="42" s="1"/>
  <c r="G154" i="42"/>
  <c r="H154" i="42" s="1"/>
  <c r="I154" i="42" s="1"/>
  <c r="J154" i="42" s="1"/>
  <c r="K154" i="42" s="1"/>
  <c r="L154" i="42" s="1"/>
  <c r="M154" i="42" s="1"/>
  <c r="N154" i="42" s="1"/>
  <c r="O154" i="42" s="1"/>
  <c r="P154" i="42" s="1"/>
  <c r="Q154" i="42" s="1"/>
  <c r="G153" i="42"/>
  <c r="H153" i="42" s="1"/>
  <c r="I153" i="42" s="1"/>
  <c r="J153" i="42" s="1"/>
  <c r="K153" i="42" s="1"/>
  <c r="L153" i="42" s="1"/>
  <c r="M153" i="42" s="1"/>
  <c r="N153" i="42" s="1"/>
  <c r="O153" i="42" s="1"/>
  <c r="P153" i="42" s="1"/>
  <c r="Q153" i="42" s="1"/>
  <c r="G152" i="42"/>
  <c r="H152" i="42" s="1"/>
  <c r="I152" i="42" s="1"/>
  <c r="J152" i="42" s="1"/>
  <c r="K152" i="42" s="1"/>
  <c r="L152" i="42" s="1"/>
  <c r="M152" i="42" s="1"/>
  <c r="N152" i="42" s="1"/>
  <c r="O152" i="42" s="1"/>
  <c r="P152" i="42" s="1"/>
  <c r="Q152" i="42" s="1"/>
  <c r="G151" i="42"/>
  <c r="H151" i="42" s="1"/>
  <c r="I151" i="42" s="1"/>
  <c r="J151" i="42" s="1"/>
  <c r="K151" i="42" s="1"/>
  <c r="L151" i="42" s="1"/>
  <c r="M151" i="42" s="1"/>
  <c r="N151" i="42" s="1"/>
  <c r="O151" i="42" s="1"/>
  <c r="P151" i="42" s="1"/>
  <c r="Q151" i="42" s="1"/>
  <c r="G150" i="42"/>
  <c r="H150" i="42" s="1"/>
  <c r="I150" i="42" s="1"/>
  <c r="J150" i="42" s="1"/>
  <c r="K150" i="42" s="1"/>
  <c r="L150" i="42" s="1"/>
  <c r="M150" i="42" s="1"/>
  <c r="N150" i="42" s="1"/>
  <c r="O150" i="42" s="1"/>
  <c r="P150" i="42" s="1"/>
  <c r="Q150" i="42" s="1"/>
  <c r="G149" i="42"/>
  <c r="H149" i="42" s="1"/>
  <c r="I149" i="42" s="1"/>
  <c r="J149" i="42" s="1"/>
  <c r="K149" i="42" s="1"/>
  <c r="L149" i="42" s="1"/>
  <c r="M149" i="42" s="1"/>
  <c r="N149" i="42" s="1"/>
  <c r="O149" i="42" s="1"/>
  <c r="P149" i="42" s="1"/>
  <c r="Q149" i="42" s="1"/>
  <c r="G148" i="42"/>
  <c r="H148" i="42" s="1"/>
  <c r="I148" i="42" s="1"/>
  <c r="J148" i="42" s="1"/>
  <c r="K148" i="42" s="1"/>
  <c r="L148" i="42" s="1"/>
  <c r="M148" i="42" s="1"/>
  <c r="N148" i="42" s="1"/>
  <c r="O148" i="42" s="1"/>
  <c r="P148" i="42" s="1"/>
  <c r="Q148" i="42" s="1"/>
  <c r="G147" i="42"/>
  <c r="H147" i="42" s="1"/>
  <c r="I147" i="42" s="1"/>
  <c r="J147" i="42" s="1"/>
  <c r="K147" i="42" s="1"/>
  <c r="L147" i="42" s="1"/>
  <c r="M147" i="42" s="1"/>
  <c r="N147" i="42" s="1"/>
  <c r="O147" i="42" s="1"/>
  <c r="P147" i="42" s="1"/>
  <c r="Q147" i="42" s="1"/>
  <c r="G146" i="42"/>
  <c r="H146" i="42" s="1"/>
  <c r="I146" i="42" s="1"/>
  <c r="J146" i="42" s="1"/>
  <c r="K146" i="42" s="1"/>
  <c r="L146" i="42" s="1"/>
  <c r="M146" i="42" s="1"/>
  <c r="N146" i="42" s="1"/>
  <c r="O146" i="42" s="1"/>
  <c r="P146" i="42" s="1"/>
  <c r="Q146" i="42" s="1"/>
  <c r="G145" i="42"/>
  <c r="H145" i="42" s="1"/>
  <c r="I145" i="42" s="1"/>
  <c r="J145" i="42" s="1"/>
  <c r="K145" i="42" s="1"/>
  <c r="L145" i="42" s="1"/>
  <c r="M145" i="42" s="1"/>
  <c r="N145" i="42" s="1"/>
  <c r="O145" i="42" s="1"/>
  <c r="P145" i="42" s="1"/>
  <c r="Q145" i="42" s="1"/>
  <c r="G144" i="42"/>
  <c r="H144" i="42" s="1"/>
  <c r="I144" i="42" s="1"/>
  <c r="J144" i="42" s="1"/>
  <c r="K144" i="42" s="1"/>
  <c r="L144" i="42" s="1"/>
  <c r="M144" i="42" s="1"/>
  <c r="N144" i="42" s="1"/>
  <c r="O144" i="42" s="1"/>
  <c r="P144" i="42" s="1"/>
  <c r="Q144" i="42" s="1"/>
  <c r="G143" i="42"/>
  <c r="H143" i="42" s="1"/>
  <c r="I143" i="42" s="1"/>
  <c r="J143" i="42" s="1"/>
  <c r="K143" i="42" s="1"/>
  <c r="L143" i="42" s="1"/>
  <c r="M143" i="42" s="1"/>
  <c r="N143" i="42" s="1"/>
  <c r="O143" i="42" s="1"/>
  <c r="P143" i="42" s="1"/>
  <c r="Q143" i="42" s="1"/>
  <c r="G142" i="42"/>
  <c r="H142" i="42" s="1"/>
  <c r="I142" i="42" s="1"/>
  <c r="J142" i="42" s="1"/>
  <c r="K142" i="42" s="1"/>
  <c r="L142" i="42" s="1"/>
  <c r="M142" i="42" s="1"/>
  <c r="N142" i="42" s="1"/>
  <c r="O142" i="42" s="1"/>
  <c r="P142" i="42" s="1"/>
  <c r="Q142" i="42" s="1"/>
  <c r="G141" i="42"/>
  <c r="H141" i="42" s="1"/>
  <c r="I141" i="42" s="1"/>
  <c r="J141" i="42" s="1"/>
  <c r="K141" i="42" s="1"/>
  <c r="L141" i="42" s="1"/>
  <c r="M141" i="42" s="1"/>
  <c r="N141" i="42" s="1"/>
  <c r="O141" i="42" s="1"/>
  <c r="P141" i="42" s="1"/>
  <c r="Q141" i="42" s="1"/>
  <c r="G140" i="42"/>
  <c r="H140" i="42" s="1"/>
  <c r="I140" i="42" s="1"/>
  <c r="J140" i="42" s="1"/>
  <c r="K140" i="42" s="1"/>
  <c r="L140" i="42" s="1"/>
  <c r="M140" i="42" s="1"/>
  <c r="N140" i="42" s="1"/>
  <c r="O140" i="42" s="1"/>
  <c r="P140" i="42" s="1"/>
  <c r="Q140" i="42" s="1"/>
  <c r="G139" i="42"/>
  <c r="H139" i="42" s="1"/>
  <c r="I139" i="42" s="1"/>
  <c r="J139" i="42" s="1"/>
  <c r="K139" i="42" s="1"/>
  <c r="L139" i="42" s="1"/>
  <c r="M139" i="42" s="1"/>
  <c r="N139" i="42" s="1"/>
  <c r="O139" i="42" s="1"/>
  <c r="P139" i="42" s="1"/>
  <c r="Q139" i="42" s="1"/>
  <c r="G138" i="42"/>
  <c r="H138" i="42" s="1"/>
  <c r="I138" i="42" s="1"/>
  <c r="J138" i="42" s="1"/>
  <c r="K138" i="42" s="1"/>
  <c r="L138" i="42" s="1"/>
  <c r="M138" i="42" s="1"/>
  <c r="N138" i="42" s="1"/>
  <c r="O138" i="42" s="1"/>
  <c r="P138" i="42" s="1"/>
  <c r="Q138" i="42" s="1"/>
  <c r="G137" i="42"/>
  <c r="H137" i="42" s="1"/>
  <c r="I137" i="42" s="1"/>
  <c r="J137" i="42" s="1"/>
  <c r="K137" i="42" s="1"/>
  <c r="L137" i="42" s="1"/>
  <c r="M137" i="42" s="1"/>
  <c r="N137" i="42" s="1"/>
  <c r="O137" i="42" s="1"/>
  <c r="P137" i="42" s="1"/>
  <c r="Q137" i="42" s="1"/>
  <c r="G136" i="42"/>
  <c r="H136" i="42" s="1"/>
  <c r="I136" i="42" s="1"/>
  <c r="J136" i="42" s="1"/>
  <c r="K136" i="42" s="1"/>
  <c r="L136" i="42" s="1"/>
  <c r="M136" i="42" s="1"/>
  <c r="N136" i="42" s="1"/>
  <c r="O136" i="42" s="1"/>
  <c r="P136" i="42" s="1"/>
  <c r="Q136" i="42" s="1"/>
  <c r="G135" i="42"/>
  <c r="H135" i="42" s="1"/>
  <c r="I135" i="42" s="1"/>
  <c r="J135" i="42" s="1"/>
  <c r="K135" i="42" s="1"/>
  <c r="L135" i="42" s="1"/>
  <c r="M135" i="42" s="1"/>
  <c r="N135" i="42" s="1"/>
  <c r="O135" i="42" s="1"/>
  <c r="P135" i="42" s="1"/>
  <c r="Q135" i="42" s="1"/>
  <c r="G134" i="42"/>
  <c r="H134" i="42" s="1"/>
  <c r="I134" i="42" s="1"/>
  <c r="J134" i="42" s="1"/>
  <c r="K134" i="42" s="1"/>
  <c r="L134" i="42" s="1"/>
  <c r="M134" i="42" s="1"/>
  <c r="N134" i="42" s="1"/>
  <c r="O134" i="42" s="1"/>
  <c r="P134" i="42" s="1"/>
  <c r="Q134" i="42" s="1"/>
  <c r="G133" i="42"/>
  <c r="H133" i="42" s="1"/>
  <c r="I133" i="42" s="1"/>
  <c r="J133" i="42" s="1"/>
  <c r="K133" i="42" s="1"/>
  <c r="L133" i="42" s="1"/>
  <c r="M133" i="42" s="1"/>
  <c r="N133" i="42" s="1"/>
  <c r="O133" i="42" s="1"/>
  <c r="P133" i="42" s="1"/>
  <c r="Q133" i="42" s="1"/>
  <c r="G132" i="42"/>
  <c r="H132" i="42" s="1"/>
  <c r="I132" i="42" s="1"/>
  <c r="J132" i="42" s="1"/>
  <c r="K132" i="42" s="1"/>
  <c r="L132" i="42" s="1"/>
  <c r="M132" i="42" s="1"/>
  <c r="N132" i="42" s="1"/>
  <c r="O132" i="42" s="1"/>
  <c r="P132" i="42" s="1"/>
  <c r="Q132" i="42" s="1"/>
  <c r="G131" i="42"/>
  <c r="H131" i="42" s="1"/>
  <c r="I131" i="42" s="1"/>
  <c r="J131" i="42" s="1"/>
  <c r="K131" i="42" s="1"/>
  <c r="L131" i="42" s="1"/>
  <c r="M131" i="42" s="1"/>
  <c r="N131" i="42" s="1"/>
  <c r="O131" i="42" s="1"/>
  <c r="P131" i="42" s="1"/>
  <c r="Q131" i="42" s="1"/>
  <c r="G130" i="42"/>
  <c r="H130" i="42" s="1"/>
  <c r="I130" i="42" s="1"/>
  <c r="J130" i="42" s="1"/>
  <c r="K130" i="42" s="1"/>
  <c r="L130" i="42" s="1"/>
  <c r="M130" i="42" s="1"/>
  <c r="N130" i="42" s="1"/>
  <c r="O130" i="42" s="1"/>
  <c r="P130" i="42" s="1"/>
  <c r="Q130" i="42" s="1"/>
  <c r="G129" i="42"/>
  <c r="H129" i="42" s="1"/>
  <c r="I129" i="42" s="1"/>
  <c r="J129" i="42" s="1"/>
  <c r="K129" i="42" s="1"/>
  <c r="L129" i="42" s="1"/>
  <c r="M129" i="42" s="1"/>
  <c r="N129" i="42" s="1"/>
  <c r="O129" i="42" s="1"/>
  <c r="P129" i="42" s="1"/>
  <c r="Q129" i="42" s="1"/>
  <c r="G128" i="42"/>
  <c r="H128" i="42" s="1"/>
  <c r="I128" i="42" s="1"/>
  <c r="J128" i="42" s="1"/>
  <c r="K128" i="42" s="1"/>
  <c r="L128" i="42" s="1"/>
  <c r="M128" i="42" s="1"/>
  <c r="N128" i="42" s="1"/>
  <c r="O128" i="42" s="1"/>
  <c r="P128" i="42" s="1"/>
  <c r="Q128" i="42" s="1"/>
  <c r="G127" i="42"/>
  <c r="H127" i="42" s="1"/>
  <c r="I127" i="42" s="1"/>
  <c r="J127" i="42" s="1"/>
  <c r="K127" i="42" s="1"/>
  <c r="L127" i="42" s="1"/>
  <c r="M127" i="42" s="1"/>
  <c r="N127" i="42" s="1"/>
  <c r="O127" i="42" s="1"/>
  <c r="P127" i="42" s="1"/>
  <c r="Q127" i="42" s="1"/>
  <c r="G126" i="42"/>
  <c r="H126" i="42" s="1"/>
  <c r="I126" i="42" s="1"/>
  <c r="J126" i="42" s="1"/>
  <c r="K126" i="42" s="1"/>
  <c r="L126" i="42" s="1"/>
  <c r="M126" i="42" s="1"/>
  <c r="N126" i="42" s="1"/>
  <c r="O126" i="42" s="1"/>
  <c r="P126" i="42" s="1"/>
  <c r="Q126" i="42" s="1"/>
  <c r="G125" i="42"/>
  <c r="H125" i="42" s="1"/>
  <c r="I125" i="42" s="1"/>
  <c r="J125" i="42" s="1"/>
  <c r="K125" i="42" s="1"/>
  <c r="L125" i="42" s="1"/>
  <c r="M125" i="42" s="1"/>
  <c r="N125" i="42" s="1"/>
  <c r="O125" i="42" s="1"/>
  <c r="P125" i="42" s="1"/>
  <c r="Q125" i="42" s="1"/>
  <c r="G124" i="42"/>
  <c r="H124" i="42" s="1"/>
  <c r="I124" i="42" s="1"/>
  <c r="J124" i="42" s="1"/>
  <c r="K124" i="42" s="1"/>
  <c r="L124" i="42" s="1"/>
  <c r="M124" i="42" s="1"/>
  <c r="N124" i="42" s="1"/>
  <c r="O124" i="42" s="1"/>
  <c r="P124" i="42" s="1"/>
  <c r="Q124" i="42" s="1"/>
  <c r="G123" i="42"/>
  <c r="H123" i="42" s="1"/>
  <c r="I123" i="42" s="1"/>
  <c r="J123" i="42" s="1"/>
  <c r="K123" i="42" s="1"/>
  <c r="L123" i="42" s="1"/>
  <c r="M123" i="42" s="1"/>
  <c r="N123" i="42" s="1"/>
  <c r="O123" i="42" s="1"/>
  <c r="P123" i="42" s="1"/>
  <c r="Q123" i="42" s="1"/>
  <c r="G122" i="42"/>
  <c r="H122" i="42" s="1"/>
  <c r="I122" i="42" s="1"/>
  <c r="J122" i="42" s="1"/>
  <c r="K122" i="42" s="1"/>
  <c r="L122" i="42" s="1"/>
  <c r="M122" i="42" s="1"/>
  <c r="N122" i="42" s="1"/>
  <c r="O122" i="42" s="1"/>
  <c r="P122" i="42" s="1"/>
  <c r="Q122" i="42" s="1"/>
  <c r="G121" i="42"/>
  <c r="H121" i="42" s="1"/>
  <c r="I121" i="42" s="1"/>
  <c r="J121" i="42" s="1"/>
  <c r="K121" i="42" s="1"/>
  <c r="L121" i="42" s="1"/>
  <c r="M121" i="42" s="1"/>
  <c r="N121" i="42" s="1"/>
  <c r="O121" i="42" s="1"/>
  <c r="P121" i="42" s="1"/>
  <c r="Q121" i="42" s="1"/>
  <c r="G120" i="42"/>
  <c r="H120" i="42" s="1"/>
  <c r="I120" i="42" s="1"/>
  <c r="J120" i="42" s="1"/>
  <c r="K120" i="42" s="1"/>
  <c r="L120" i="42" s="1"/>
  <c r="M120" i="42" s="1"/>
  <c r="N120" i="42" s="1"/>
  <c r="O120" i="42" s="1"/>
  <c r="P120" i="42" s="1"/>
  <c r="Q120" i="42" s="1"/>
  <c r="G119" i="42"/>
  <c r="H119" i="42" s="1"/>
  <c r="I119" i="42" s="1"/>
  <c r="J119" i="42" s="1"/>
  <c r="K119" i="42" s="1"/>
  <c r="L119" i="42" s="1"/>
  <c r="M119" i="42" s="1"/>
  <c r="N119" i="42" s="1"/>
  <c r="O119" i="42" s="1"/>
  <c r="P119" i="42" s="1"/>
  <c r="Q119" i="42" s="1"/>
  <c r="G118" i="42"/>
  <c r="H118" i="42" s="1"/>
  <c r="I118" i="42" s="1"/>
  <c r="J118" i="42" s="1"/>
  <c r="K118" i="42" s="1"/>
  <c r="L118" i="42" s="1"/>
  <c r="M118" i="42" s="1"/>
  <c r="N118" i="42" s="1"/>
  <c r="O118" i="42" s="1"/>
  <c r="P118" i="42" s="1"/>
  <c r="Q118" i="42" s="1"/>
  <c r="G117" i="42"/>
  <c r="H117" i="42" s="1"/>
  <c r="I117" i="42" s="1"/>
  <c r="J117" i="42" s="1"/>
  <c r="K117" i="42" s="1"/>
  <c r="L117" i="42" s="1"/>
  <c r="M117" i="42" s="1"/>
  <c r="N117" i="42" s="1"/>
  <c r="O117" i="42" s="1"/>
  <c r="P117" i="42" s="1"/>
  <c r="Q117" i="42" s="1"/>
  <c r="G116" i="42"/>
  <c r="H116" i="42" s="1"/>
  <c r="I116" i="42" s="1"/>
  <c r="J116" i="42" s="1"/>
  <c r="K116" i="42" s="1"/>
  <c r="L116" i="42" s="1"/>
  <c r="M116" i="42" s="1"/>
  <c r="N116" i="42" s="1"/>
  <c r="O116" i="42" s="1"/>
  <c r="P116" i="42" s="1"/>
  <c r="Q116" i="42" s="1"/>
  <c r="G115" i="42"/>
  <c r="H115" i="42" s="1"/>
  <c r="I115" i="42" s="1"/>
  <c r="J115" i="42" s="1"/>
  <c r="K115" i="42" s="1"/>
  <c r="L115" i="42" s="1"/>
  <c r="M115" i="42" s="1"/>
  <c r="N115" i="42" s="1"/>
  <c r="O115" i="42" s="1"/>
  <c r="P115" i="42" s="1"/>
  <c r="Q115" i="42" s="1"/>
  <c r="G114" i="42"/>
  <c r="H114" i="42" s="1"/>
  <c r="I114" i="42" s="1"/>
  <c r="J114" i="42" s="1"/>
  <c r="K114" i="42" s="1"/>
  <c r="L114" i="42" s="1"/>
  <c r="M114" i="42" s="1"/>
  <c r="N114" i="42" s="1"/>
  <c r="O114" i="42" s="1"/>
  <c r="P114" i="42" s="1"/>
  <c r="Q114" i="42" s="1"/>
  <c r="G113" i="42"/>
  <c r="H113" i="42" s="1"/>
  <c r="I113" i="42" s="1"/>
  <c r="J113" i="42" s="1"/>
  <c r="K113" i="42" s="1"/>
  <c r="L113" i="42" s="1"/>
  <c r="M113" i="42" s="1"/>
  <c r="N113" i="42" s="1"/>
  <c r="O113" i="42" s="1"/>
  <c r="P113" i="42" s="1"/>
  <c r="Q113" i="42" s="1"/>
  <c r="G112" i="42"/>
  <c r="H112" i="42" s="1"/>
  <c r="I112" i="42" s="1"/>
  <c r="J112" i="42" s="1"/>
  <c r="K112" i="42" s="1"/>
  <c r="L112" i="42" s="1"/>
  <c r="M112" i="42" s="1"/>
  <c r="N112" i="42" s="1"/>
  <c r="O112" i="42" s="1"/>
  <c r="P112" i="42" s="1"/>
  <c r="Q112" i="42" s="1"/>
  <c r="G111" i="42"/>
  <c r="H111" i="42" s="1"/>
  <c r="I111" i="42" s="1"/>
  <c r="J111" i="42" s="1"/>
  <c r="K111" i="42" s="1"/>
  <c r="L111" i="42" s="1"/>
  <c r="M111" i="42" s="1"/>
  <c r="N111" i="42" s="1"/>
  <c r="O111" i="42" s="1"/>
  <c r="P111" i="42" s="1"/>
  <c r="Q111" i="42" s="1"/>
  <c r="G110" i="42"/>
  <c r="H110" i="42" s="1"/>
  <c r="I110" i="42" s="1"/>
  <c r="J110" i="42" s="1"/>
  <c r="K110" i="42" s="1"/>
  <c r="L110" i="42" s="1"/>
  <c r="M110" i="42" s="1"/>
  <c r="N110" i="42" s="1"/>
  <c r="O110" i="42" s="1"/>
  <c r="P110" i="42" s="1"/>
  <c r="Q110" i="42" s="1"/>
  <c r="G109" i="42"/>
  <c r="H109" i="42" s="1"/>
  <c r="I109" i="42" s="1"/>
  <c r="J109" i="42" s="1"/>
  <c r="K109" i="42" s="1"/>
  <c r="L109" i="42" s="1"/>
  <c r="M109" i="42" s="1"/>
  <c r="N109" i="42" s="1"/>
  <c r="O109" i="42" s="1"/>
  <c r="P109" i="42" s="1"/>
  <c r="Q109" i="42" s="1"/>
  <c r="G108" i="42"/>
  <c r="H108" i="42" s="1"/>
  <c r="I108" i="42" s="1"/>
  <c r="J108" i="42" s="1"/>
  <c r="K108" i="42" s="1"/>
  <c r="L108" i="42" s="1"/>
  <c r="M108" i="42" s="1"/>
  <c r="N108" i="42" s="1"/>
  <c r="O108" i="42" s="1"/>
  <c r="P108" i="42" s="1"/>
  <c r="Q108" i="42" s="1"/>
  <c r="G107" i="42"/>
  <c r="H107" i="42" s="1"/>
  <c r="I107" i="42" s="1"/>
  <c r="J107" i="42" s="1"/>
  <c r="K107" i="42" s="1"/>
  <c r="L107" i="42" s="1"/>
  <c r="M107" i="42" s="1"/>
  <c r="N107" i="42" s="1"/>
  <c r="O107" i="42" s="1"/>
  <c r="P107" i="42" s="1"/>
  <c r="Q107" i="42" s="1"/>
  <c r="G106" i="42"/>
  <c r="H106" i="42" s="1"/>
  <c r="I106" i="42" s="1"/>
  <c r="J106" i="42" s="1"/>
  <c r="K106" i="42" s="1"/>
  <c r="L106" i="42" s="1"/>
  <c r="M106" i="42" s="1"/>
  <c r="N106" i="42" s="1"/>
  <c r="O106" i="42" s="1"/>
  <c r="P106" i="42" s="1"/>
  <c r="Q106" i="42" s="1"/>
  <c r="G105" i="42"/>
  <c r="H105" i="42" s="1"/>
  <c r="I105" i="42" s="1"/>
  <c r="J105" i="42" s="1"/>
  <c r="K105" i="42" s="1"/>
  <c r="L105" i="42" s="1"/>
  <c r="M105" i="42" s="1"/>
  <c r="N105" i="42" s="1"/>
  <c r="O105" i="42" s="1"/>
  <c r="P105" i="42" s="1"/>
  <c r="Q105" i="42" s="1"/>
  <c r="G104" i="42"/>
  <c r="H104" i="42" s="1"/>
  <c r="I104" i="42" s="1"/>
  <c r="J104" i="42" s="1"/>
  <c r="K104" i="42" s="1"/>
  <c r="L104" i="42" s="1"/>
  <c r="M104" i="42" s="1"/>
  <c r="N104" i="42" s="1"/>
  <c r="O104" i="42" s="1"/>
  <c r="P104" i="42" s="1"/>
  <c r="Q104" i="42" s="1"/>
  <c r="G103" i="42"/>
  <c r="H103" i="42" s="1"/>
  <c r="I103" i="42" s="1"/>
  <c r="J103" i="42" s="1"/>
  <c r="K103" i="42" s="1"/>
  <c r="L103" i="42" s="1"/>
  <c r="M103" i="42" s="1"/>
  <c r="N103" i="42" s="1"/>
  <c r="O103" i="42" s="1"/>
  <c r="P103" i="42" s="1"/>
  <c r="Q103" i="42" s="1"/>
  <c r="G102" i="42"/>
  <c r="H102" i="42" s="1"/>
  <c r="I102" i="42" s="1"/>
  <c r="J102" i="42" s="1"/>
  <c r="K102" i="42" s="1"/>
  <c r="L102" i="42" s="1"/>
  <c r="M102" i="42" s="1"/>
  <c r="N102" i="42" s="1"/>
  <c r="O102" i="42" s="1"/>
  <c r="P102" i="42" s="1"/>
  <c r="Q102" i="42" s="1"/>
  <c r="G101" i="42"/>
  <c r="H101" i="42" s="1"/>
  <c r="I101" i="42" s="1"/>
  <c r="J101" i="42" s="1"/>
  <c r="K101" i="42" s="1"/>
  <c r="L101" i="42" s="1"/>
  <c r="M101" i="42" s="1"/>
  <c r="N101" i="42" s="1"/>
  <c r="O101" i="42" s="1"/>
  <c r="P101" i="42" s="1"/>
  <c r="Q101" i="42" s="1"/>
  <c r="G100" i="42"/>
  <c r="H100" i="42" s="1"/>
  <c r="I100" i="42" s="1"/>
  <c r="J100" i="42" s="1"/>
  <c r="K100" i="42" s="1"/>
  <c r="L100" i="42" s="1"/>
  <c r="M100" i="42" s="1"/>
  <c r="N100" i="42" s="1"/>
  <c r="O100" i="42" s="1"/>
  <c r="P100" i="42" s="1"/>
  <c r="Q100" i="42" s="1"/>
  <c r="G99" i="42"/>
  <c r="H99" i="42" s="1"/>
  <c r="I99" i="42" s="1"/>
  <c r="J99" i="42" s="1"/>
  <c r="K99" i="42" s="1"/>
  <c r="L99" i="42" s="1"/>
  <c r="M99" i="42" s="1"/>
  <c r="N99" i="42" s="1"/>
  <c r="O99" i="42" s="1"/>
  <c r="P99" i="42" s="1"/>
  <c r="Q99" i="42" s="1"/>
  <c r="G98" i="42"/>
  <c r="H98" i="42" s="1"/>
  <c r="I98" i="42" s="1"/>
  <c r="J98" i="42" s="1"/>
  <c r="K98" i="42" s="1"/>
  <c r="L98" i="42" s="1"/>
  <c r="M98" i="42" s="1"/>
  <c r="N98" i="42" s="1"/>
  <c r="O98" i="42" s="1"/>
  <c r="P98" i="42" s="1"/>
  <c r="Q98" i="42" s="1"/>
  <c r="G97" i="42"/>
  <c r="H97" i="42" s="1"/>
  <c r="I97" i="42" s="1"/>
  <c r="J97" i="42" s="1"/>
  <c r="K97" i="42" s="1"/>
  <c r="L97" i="42" s="1"/>
  <c r="M97" i="42" s="1"/>
  <c r="N97" i="42" s="1"/>
  <c r="O97" i="42" s="1"/>
  <c r="P97" i="42" s="1"/>
  <c r="Q97" i="42" s="1"/>
  <c r="G96" i="42"/>
  <c r="H96" i="42" s="1"/>
  <c r="I96" i="42" s="1"/>
  <c r="J96" i="42" s="1"/>
  <c r="K96" i="42" s="1"/>
  <c r="L96" i="42" s="1"/>
  <c r="M96" i="42" s="1"/>
  <c r="N96" i="42" s="1"/>
  <c r="O96" i="42" s="1"/>
  <c r="P96" i="42" s="1"/>
  <c r="Q96" i="42" s="1"/>
  <c r="G95" i="42"/>
  <c r="H95" i="42" s="1"/>
  <c r="I95" i="42" s="1"/>
  <c r="J95" i="42" s="1"/>
  <c r="K95" i="42" s="1"/>
  <c r="L95" i="42" s="1"/>
  <c r="M95" i="42" s="1"/>
  <c r="N95" i="42" s="1"/>
  <c r="O95" i="42" s="1"/>
  <c r="P95" i="42" s="1"/>
  <c r="Q95" i="42" s="1"/>
  <c r="G94" i="42"/>
  <c r="H94" i="42" s="1"/>
  <c r="I94" i="42" s="1"/>
  <c r="J94" i="42" s="1"/>
  <c r="K94" i="42" s="1"/>
  <c r="L94" i="42" s="1"/>
  <c r="M94" i="42" s="1"/>
  <c r="N94" i="42" s="1"/>
  <c r="O94" i="42" s="1"/>
  <c r="P94" i="42" s="1"/>
  <c r="Q94" i="42" s="1"/>
  <c r="G93" i="42"/>
  <c r="H93" i="42" s="1"/>
  <c r="I93" i="42" s="1"/>
  <c r="J93" i="42" s="1"/>
  <c r="K93" i="42" s="1"/>
  <c r="L93" i="42" s="1"/>
  <c r="M93" i="42" s="1"/>
  <c r="N93" i="42" s="1"/>
  <c r="O93" i="42" s="1"/>
  <c r="P93" i="42" s="1"/>
  <c r="Q93" i="42" s="1"/>
  <c r="G92" i="42"/>
  <c r="H92" i="42" s="1"/>
  <c r="I92" i="42" s="1"/>
  <c r="J92" i="42" s="1"/>
  <c r="K92" i="42" s="1"/>
  <c r="L92" i="42" s="1"/>
  <c r="M92" i="42" s="1"/>
  <c r="N92" i="42" s="1"/>
  <c r="O92" i="42" s="1"/>
  <c r="P92" i="42" s="1"/>
  <c r="Q92" i="42" s="1"/>
  <c r="G91" i="42"/>
  <c r="H91" i="42" s="1"/>
  <c r="I91" i="42" s="1"/>
  <c r="J91" i="42" s="1"/>
  <c r="K91" i="42" s="1"/>
  <c r="L91" i="42" s="1"/>
  <c r="M91" i="42" s="1"/>
  <c r="N91" i="42" s="1"/>
  <c r="O91" i="42" s="1"/>
  <c r="P91" i="42" s="1"/>
  <c r="Q91" i="42" s="1"/>
  <c r="G90" i="42"/>
  <c r="H90" i="42" s="1"/>
  <c r="I90" i="42" s="1"/>
  <c r="J90" i="42" s="1"/>
  <c r="K90" i="42" s="1"/>
  <c r="L90" i="42" s="1"/>
  <c r="M90" i="42" s="1"/>
  <c r="N90" i="42" s="1"/>
  <c r="O90" i="42" s="1"/>
  <c r="P90" i="42" s="1"/>
  <c r="Q90" i="42" s="1"/>
  <c r="G89" i="42"/>
  <c r="H89" i="42" s="1"/>
  <c r="I89" i="42" s="1"/>
  <c r="J89" i="42" s="1"/>
  <c r="K89" i="42" s="1"/>
  <c r="L89" i="42" s="1"/>
  <c r="M89" i="42" s="1"/>
  <c r="N89" i="42" s="1"/>
  <c r="O89" i="42" s="1"/>
  <c r="P89" i="42" s="1"/>
  <c r="Q89" i="42" s="1"/>
  <c r="G88" i="42"/>
  <c r="H88" i="42" s="1"/>
  <c r="I88" i="42" s="1"/>
  <c r="J88" i="42" s="1"/>
  <c r="K88" i="42" s="1"/>
  <c r="L88" i="42" s="1"/>
  <c r="M88" i="42" s="1"/>
  <c r="N88" i="42" s="1"/>
  <c r="O88" i="42" s="1"/>
  <c r="P88" i="42" s="1"/>
  <c r="Q88" i="42" s="1"/>
  <c r="G87" i="42"/>
  <c r="H87" i="42" s="1"/>
  <c r="I87" i="42" s="1"/>
  <c r="J87" i="42" s="1"/>
  <c r="K87" i="42" s="1"/>
  <c r="L87" i="42" s="1"/>
  <c r="M87" i="42" s="1"/>
  <c r="N87" i="42" s="1"/>
  <c r="O87" i="42" s="1"/>
  <c r="P87" i="42" s="1"/>
  <c r="Q87" i="42" s="1"/>
  <c r="G86" i="42"/>
  <c r="H86" i="42" s="1"/>
  <c r="I86" i="42" s="1"/>
  <c r="J86" i="42" s="1"/>
  <c r="K86" i="42" s="1"/>
  <c r="L86" i="42" s="1"/>
  <c r="M86" i="42" s="1"/>
  <c r="N86" i="42" s="1"/>
  <c r="O86" i="42" s="1"/>
  <c r="P86" i="42" s="1"/>
  <c r="Q86" i="42" s="1"/>
  <c r="G85" i="42"/>
  <c r="H85" i="42" s="1"/>
  <c r="I85" i="42" s="1"/>
  <c r="J85" i="42" s="1"/>
  <c r="K85" i="42" s="1"/>
  <c r="L85" i="42" s="1"/>
  <c r="M85" i="42" s="1"/>
  <c r="N85" i="42" s="1"/>
  <c r="O85" i="42" s="1"/>
  <c r="P85" i="42" s="1"/>
  <c r="Q85" i="42" s="1"/>
  <c r="G84" i="42"/>
  <c r="H84" i="42" s="1"/>
  <c r="I84" i="42" s="1"/>
  <c r="J84" i="42" s="1"/>
  <c r="K84" i="42" s="1"/>
  <c r="L84" i="42" s="1"/>
  <c r="M84" i="42" s="1"/>
  <c r="N84" i="42" s="1"/>
  <c r="O84" i="42" s="1"/>
  <c r="P84" i="42" s="1"/>
  <c r="Q84" i="42" s="1"/>
  <c r="G83" i="42"/>
  <c r="H83" i="42" s="1"/>
  <c r="I83" i="42" s="1"/>
  <c r="J83" i="42" s="1"/>
  <c r="K83" i="42" s="1"/>
  <c r="L83" i="42" s="1"/>
  <c r="M83" i="42" s="1"/>
  <c r="N83" i="42" s="1"/>
  <c r="O83" i="42" s="1"/>
  <c r="P83" i="42" s="1"/>
  <c r="Q83" i="42" s="1"/>
  <c r="G82" i="42"/>
  <c r="H82" i="42" s="1"/>
  <c r="I82" i="42" s="1"/>
  <c r="J82" i="42" s="1"/>
  <c r="K82" i="42" s="1"/>
  <c r="L82" i="42" s="1"/>
  <c r="M82" i="42" s="1"/>
  <c r="N82" i="42" s="1"/>
  <c r="O82" i="42" s="1"/>
  <c r="P82" i="42" s="1"/>
  <c r="Q82" i="42" s="1"/>
  <c r="G81" i="42"/>
  <c r="H81" i="42" s="1"/>
  <c r="I81" i="42" s="1"/>
  <c r="J81" i="42" s="1"/>
  <c r="K81" i="42" s="1"/>
  <c r="L81" i="42" s="1"/>
  <c r="M81" i="42" s="1"/>
  <c r="N81" i="42" s="1"/>
  <c r="O81" i="42" s="1"/>
  <c r="P81" i="42" s="1"/>
  <c r="Q81" i="42" s="1"/>
  <c r="G80" i="42"/>
  <c r="H80" i="42" s="1"/>
  <c r="I80" i="42" s="1"/>
  <c r="J80" i="42" s="1"/>
  <c r="K80" i="42" s="1"/>
  <c r="L80" i="42" s="1"/>
  <c r="M80" i="42" s="1"/>
  <c r="N80" i="42" s="1"/>
  <c r="O80" i="42" s="1"/>
  <c r="P80" i="42" s="1"/>
  <c r="Q80" i="42" s="1"/>
  <c r="G79" i="42"/>
  <c r="H79" i="42" s="1"/>
  <c r="I79" i="42" s="1"/>
  <c r="J79" i="42" s="1"/>
  <c r="K79" i="42" s="1"/>
  <c r="L79" i="42" s="1"/>
  <c r="M79" i="42" s="1"/>
  <c r="N79" i="42" s="1"/>
  <c r="O79" i="42" s="1"/>
  <c r="P79" i="42" s="1"/>
  <c r="Q79" i="42" s="1"/>
  <c r="G78" i="42"/>
  <c r="H78" i="42" s="1"/>
  <c r="I78" i="42" s="1"/>
  <c r="J78" i="42" s="1"/>
  <c r="K78" i="42" s="1"/>
  <c r="L78" i="42" s="1"/>
  <c r="M78" i="42" s="1"/>
  <c r="N78" i="42" s="1"/>
  <c r="O78" i="42" s="1"/>
  <c r="P78" i="42" s="1"/>
  <c r="Q78" i="42" s="1"/>
  <c r="G77" i="42"/>
  <c r="H77" i="42" s="1"/>
  <c r="I77" i="42" s="1"/>
  <c r="J77" i="42" s="1"/>
  <c r="K77" i="42" s="1"/>
  <c r="L77" i="42" s="1"/>
  <c r="M77" i="42" s="1"/>
  <c r="N77" i="42" s="1"/>
  <c r="O77" i="42" s="1"/>
  <c r="P77" i="42" s="1"/>
  <c r="Q77" i="42" s="1"/>
  <c r="G76" i="42"/>
  <c r="H76" i="42" s="1"/>
  <c r="I76" i="42" s="1"/>
  <c r="J76" i="42" s="1"/>
  <c r="K76" i="42" s="1"/>
  <c r="L76" i="42" s="1"/>
  <c r="M76" i="42" s="1"/>
  <c r="N76" i="42" s="1"/>
  <c r="O76" i="42" s="1"/>
  <c r="P76" i="42" s="1"/>
  <c r="Q76" i="42" s="1"/>
  <c r="G75" i="42"/>
  <c r="H75" i="42" s="1"/>
  <c r="I75" i="42" s="1"/>
  <c r="J75" i="42" s="1"/>
  <c r="K75" i="42" s="1"/>
  <c r="L75" i="42" s="1"/>
  <c r="M75" i="42" s="1"/>
  <c r="N75" i="42" s="1"/>
  <c r="O75" i="42" s="1"/>
  <c r="P75" i="42" s="1"/>
  <c r="Q75" i="42" s="1"/>
  <c r="G74" i="42"/>
  <c r="H74" i="42" s="1"/>
  <c r="I74" i="42" s="1"/>
  <c r="J74" i="42" s="1"/>
  <c r="K74" i="42" s="1"/>
  <c r="L74" i="42" s="1"/>
  <c r="M74" i="42" s="1"/>
  <c r="N74" i="42" s="1"/>
  <c r="O74" i="42" s="1"/>
  <c r="P74" i="42" s="1"/>
  <c r="Q74" i="42" s="1"/>
  <c r="G73" i="42"/>
  <c r="H73" i="42" s="1"/>
  <c r="I73" i="42" s="1"/>
  <c r="J73" i="42" s="1"/>
  <c r="K73" i="42" s="1"/>
  <c r="L73" i="42" s="1"/>
  <c r="M73" i="42" s="1"/>
  <c r="N73" i="42" s="1"/>
  <c r="O73" i="42" s="1"/>
  <c r="P73" i="42" s="1"/>
  <c r="Q73" i="42" s="1"/>
  <c r="G72" i="42"/>
  <c r="H72" i="42" s="1"/>
  <c r="I72" i="42" s="1"/>
  <c r="J72" i="42" s="1"/>
  <c r="K72" i="42" s="1"/>
  <c r="L72" i="42" s="1"/>
  <c r="M72" i="42" s="1"/>
  <c r="N72" i="42" s="1"/>
  <c r="O72" i="42" s="1"/>
  <c r="P72" i="42" s="1"/>
  <c r="Q72" i="42" s="1"/>
  <c r="G71" i="42"/>
  <c r="H71" i="42" s="1"/>
  <c r="I71" i="42" s="1"/>
  <c r="J71" i="42" s="1"/>
  <c r="K71" i="42" s="1"/>
  <c r="L71" i="42" s="1"/>
  <c r="M71" i="42" s="1"/>
  <c r="N71" i="42" s="1"/>
  <c r="O71" i="42" s="1"/>
  <c r="P71" i="42" s="1"/>
  <c r="Q71" i="42" s="1"/>
  <c r="G70" i="42"/>
  <c r="H70" i="42" s="1"/>
  <c r="I70" i="42" s="1"/>
  <c r="J70" i="42" s="1"/>
  <c r="K70" i="42" s="1"/>
  <c r="L70" i="42" s="1"/>
  <c r="M70" i="42" s="1"/>
  <c r="N70" i="42" s="1"/>
  <c r="O70" i="42" s="1"/>
  <c r="P70" i="42" s="1"/>
  <c r="Q70" i="42" s="1"/>
  <c r="G69" i="42"/>
  <c r="H69" i="42" s="1"/>
  <c r="I69" i="42" s="1"/>
  <c r="J69" i="42" s="1"/>
  <c r="K69" i="42" s="1"/>
  <c r="L69" i="42" s="1"/>
  <c r="M69" i="42" s="1"/>
  <c r="N69" i="42" s="1"/>
  <c r="O69" i="42" s="1"/>
  <c r="P69" i="42" s="1"/>
  <c r="Q69" i="42" s="1"/>
  <c r="G68" i="42"/>
  <c r="H68" i="42" s="1"/>
  <c r="I68" i="42" s="1"/>
  <c r="J68" i="42" s="1"/>
  <c r="K68" i="42" s="1"/>
  <c r="L68" i="42" s="1"/>
  <c r="M68" i="42" s="1"/>
  <c r="N68" i="42" s="1"/>
  <c r="O68" i="42" s="1"/>
  <c r="P68" i="42" s="1"/>
  <c r="Q68" i="42" s="1"/>
  <c r="G67" i="42"/>
  <c r="H67" i="42" s="1"/>
  <c r="I67" i="42" s="1"/>
  <c r="J67" i="42" s="1"/>
  <c r="K67" i="42" s="1"/>
  <c r="L67" i="42" s="1"/>
  <c r="M67" i="42" s="1"/>
  <c r="N67" i="42" s="1"/>
  <c r="O67" i="42" s="1"/>
  <c r="P67" i="42" s="1"/>
  <c r="Q67" i="42" s="1"/>
  <c r="G66" i="42"/>
  <c r="H66" i="42" s="1"/>
  <c r="I66" i="42" s="1"/>
  <c r="J66" i="42" s="1"/>
  <c r="K66" i="42" s="1"/>
  <c r="L66" i="42" s="1"/>
  <c r="M66" i="42" s="1"/>
  <c r="N66" i="42" s="1"/>
  <c r="O66" i="42" s="1"/>
  <c r="P66" i="42" s="1"/>
  <c r="Q66" i="42" s="1"/>
  <c r="G65" i="42"/>
  <c r="H65" i="42" s="1"/>
  <c r="I65" i="42" s="1"/>
  <c r="J65" i="42" s="1"/>
  <c r="K65" i="42" s="1"/>
  <c r="L65" i="42" s="1"/>
  <c r="M65" i="42" s="1"/>
  <c r="N65" i="42" s="1"/>
  <c r="O65" i="42" s="1"/>
  <c r="P65" i="42" s="1"/>
  <c r="Q65" i="42" s="1"/>
  <c r="G64" i="42"/>
  <c r="H64" i="42" s="1"/>
  <c r="I64" i="42" s="1"/>
  <c r="J64" i="42" s="1"/>
  <c r="K64" i="42" s="1"/>
  <c r="L64" i="42" s="1"/>
  <c r="M64" i="42" s="1"/>
  <c r="N64" i="42" s="1"/>
  <c r="O64" i="42" s="1"/>
  <c r="P64" i="42" s="1"/>
  <c r="Q64" i="42" s="1"/>
  <c r="G63" i="42"/>
  <c r="H63" i="42" s="1"/>
  <c r="I63" i="42" s="1"/>
  <c r="J63" i="42" s="1"/>
  <c r="K63" i="42" s="1"/>
  <c r="L63" i="42" s="1"/>
  <c r="M63" i="42" s="1"/>
  <c r="N63" i="42" s="1"/>
  <c r="O63" i="42" s="1"/>
  <c r="P63" i="42" s="1"/>
  <c r="Q63" i="42" s="1"/>
  <c r="G62" i="42"/>
  <c r="H62" i="42" s="1"/>
  <c r="I62" i="42" s="1"/>
  <c r="J62" i="42" s="1"/>
  <c r="K62" i="42" s="1"/>
  <c r="L62" i="42" s="1"/>
  <c r="M62" i="42" s="1"/>
  <c r="N62" i="42" s="1"/>
  <c r="O62" i="42" s="1"/>
  <c r="P62" i="42" s="1"/>
  <c r="Q62" i="42" s="1"/>
  <c r="G61" i="42"/>
  <c r="H61" i="42" s="1"/>
  <c r="I61" i="42" s="1"/>
  <c r="J61" i="42" s="1"/>
  <c r="K61" i="42" s="1"/>
  <c r="L61" i="42" s="1"/>
  <c r="M61" i="42" s="1"/>
  <c r="N61" i="42" s="1"/>
  <c r="O61" i="42" s="1"/>
  <c r="P61" i="42" s="1"/>
  <c r="Q61" i="42" s="1"/>
  <c r="G60" i="42"/>
  <c r="H60" i="42" s="1"/>
  <c r="I60" i="42" s="1"/>
  <c r="J60" i="42" s="1"/>
  <c r="K60" i="42" s="1"/>
  <c r="L60" i="42" s="1"/>
  <c r="M60" i="42" s="1"/>
  <c r="N60" i="42" s="1"/>
  <c r="O60" i="42" s="1"/>
  <c r="P60" i="42" s="1"/>
  <c r="Q60" i="42" s="1"/>
  <c r="G59" i="42"/>
  <c r="H59" i="42" s="1"/>
  <c r="I59" i="42" s="1"/>
  <c r="J59" i="42" s="1"/>
  <c r="K59" i="42" s="1"/>
  <c r="L59" i="42" s="1"/>
  <c r="M59" i="42" s="1"/>
  <c r="N59" i="42" s="1"/>
  <c r="O59" i="42" s="1"/>
  <c r="P59" i="42" s="1"/>
  <c r="Q59" i="42" s="1"/>
  <c r="G58" i="42"/>
  <c r="H58" i="42" s="1"/>
  <c r="I58" i="42" s="1"/>
  <c r="J58" i="42" s="1"/>
  <c r="K58" i="42" s="1"/>
  <c r="L58" i="42" s="1"/>
  <c r="M58" i="42" s="1"/>
  <c r="N58" i="42" s="1"/>
  <c r="O58" i="42" s="1"/>
  <c r="P58" i="42" s="1"/>
  <c r="Q58" i="42" s="1"/>
  <c r="G57" i="42"/>
  <c r="H57" i="42" s="1"/>
  <c r="I57" i="42" s="1"/>
  <c r="J57" i="42" s="1"/>
  <c r="K57" i="42" s="1"/>
  <c r="L57" i="42" s="1"/>
  <c r="M57" i="42" s="1"/>
  <c r="N57" i="42" s="1"/>
  <c r="O57" i="42" s="1"/>
  <c r="P57" i="42" s="1"/>
  <c r="Q57" i="42" s="1"/>
  <c r="G56" i="42"/>
  <c r="H56" i="42" s="1"/>
  <c r="I56" i="42" s="1"/>
  <c r="J56" i="42" s="1"/>
  <c r="K56" i="42" s="1"/>
  <c r="L56" i="42" s="1"/>
  <c r="M56" i="42" s="1"/>
  <c r="N56" i="42" s="1"/>
  <c r="O56" i="42" s="1"/>
  <c r="P56" i="42" s="1"/>
  <c r="Q56" i="42" s="1"/>
  <c r="G55" i="42"/>
  <c r="H55" i="42" s="1"/>
  <c r="I55" i="42" s="1"/>
  <c r="J55" i="42" s="1"/>
  <c r="K55" i="42" s="1"/>
  <c r="L55" i="42" s="1"/>
  <c r="M55" i="42" s="1"/>
  <c r="N55" i="42" s="1"/>
  <c r="O55" i="42" s="1"/>
  <c r="P55" i="42" s="1"/>
  <c r="Q55" i="42" s="1"/>
  <c r="G54" i="42"/>
  <c r="H54" i="42" s="1"/>
  <c r="I54" i="42" s="1"/>
  <c r="J54" i="42" s="1"/>
  <c r="K54" i="42" s="1"/>
  <c r="L54" i="42" s="1"/>
  <c r="M54" i="42" s="1"/>
  <c r="N54" i="42" s="1"/>
  <c r="O54" i="42" s="1"/>
  <c r="P54" i="42" s="1"/>
  <c r="Q54" i="42" s="1"/>
  <c r="G53" i="42"/>
  <c r="H53" i="42" s="1"/>
  <c r="I53" i="42" s="1"/>
  <c r="J53" i="42" s="1"/>
  <c r="K53" i="42" s="1"/>
  <c r="L53" i="42" s="1"/>
  <c r="M53" i="42" s="1"/>
  <c r="N53" i="42" s="1"/>
  <c r="O53" i="42" s="1"/>
  <c r="P53" i="42" s="1"/>
  <c r="Q53" i="42" s="1"/>
  <c r="G52" i="42"/>
  <c r="H52" i="42" s="1"/>
  <c r="I52" i="42" s="1"/>
  <c r="J52" i="42" s="1"/>
  <c r="K52" i="42" s="1"/>
  <c r="L52" i="42" s="1"/>
  <c r="M52" i="42" s="1"/>
  <c r="N52" i="42" s="1"/>
  <c r="O52" i="42" s="1"/>
  <c r="P52" i="42" s="1"/>
  <c r="Q52" i="42" s="1"/>
  <c r="G51" i="42"/>
  <c r="H51" i="42" s="1"/>
  <c r="I51" i="42" s="1"/>
  <c r="J51" i="42" s="1"/>
  <c r="K51" i="42" s="1"/>
  <c r="L51" i="42" s="1"/>
  <c r="M51" i="42" s="1"/>
  <c r="N51" i="42" s="1"/>
  <c r="O51" i="42" s="1"/>
  <c r="P51" i="42" s="1"/>
  <c r="Q51" i="42" s="1"/>
  <c r="G50" i="42"/>
  <c r="H50" i="42" s="1"/>
  <c r="I50" i="42" s="1"/>
  <c r="J50" i="42" s="1"/>
  <c r="K50" i="42" s="1"/>
  <c r="L50" i="42" s="1"/>
  <c r="M50" i="42" s="1"/>
  <c r="N50" i="42" s="1"/>
  <c r="O50" i="42" s="1"/>
  <c r="P50" i="42" s="1"/>
  <c r="Q50" i="42" s="1"/>
  <c r="G49" i="42"/>
  <c r="H49" i="42" s="1"/>
  <c r="I49" i="42" s="1"/>
  <c r="J49" i="42" s="1"/>
  <c r="K49" i="42" s="1"/>
  <c r="L49" i="42" s="1"/>
  <c r="M49" i="42" s="1"/>
  <c r="N49" i="42" s="1"/>
  <c r="O49" i="42" s="1"/>
  <c r="P49" i="42" s="1"/>
  <c r="Q49" i="42" s="1"/>
  <c r="G48" i="42"/>
  <c r="H48" i="42" s="1"/>
  <c r="I48" i="42" s="1"/>
  <c r="J48" i="42" s="1"/>
  <c r="K48" i="42" s="1"/>
  <c r="L48" i="42" s="1"/>
  <c r="M48" i="42" s="1"/>
  <c r="N48" i="42" s="1"/>
  <c r="O48" i="42" s="1"/>
  <c r="P48" i="42" s="1"/>
  <c r="Q48" i="42" s="1"/>
  <c r="G47" i="42"/>
  <c r="H47" i="42" s="1"/>
  <c r="I47" i="42" s="1"/>
  <c r="J47" i="42" s="1"/>
  <c r="K47" i="42" s="1"/>
  <c r="L47" i="42" s="1"/>
  <c r="M47" i="42" s="1"/>
  <c r="N47" i="42" s="1"/>
  <c r="O47" i="42" s="1"/>
  <c r="P47" i="42" s="1"/>
  <c r="Q47" i="42" s="1"/>
  <c r="G46" i="42"/>
  <c r="H46" i="42" s="1"/>
  <c r="I46" i="42" s="1"/>
  <c r="J46" i="42" s="1"/>
  <c r="K46" i="42" s="1"/>
  <c r="L46" i="42" s="1"/>
  <c r="M46" i="42" s="1"/>
  <c r="N46" i="42" s="1"/>
  <c r="O46" i="42" s="1"/>
  <c r="P46" i="42" s="1"/>
  <c r="Q46" i="42" s="1"/>
  <c r="G45" i="42"/>
  <c r="H45" i="42" s="1"/>
  <c r="I45" i="42" s="1"/>
  <c r="J45" i="42" s="1"/>
  <c r="K45" i="42" s="1"/>
  <c r="L45" i="42" s="1"/>
  <c r="M45" i="42" s="1"/>
  <c r="N45" i="42" s="1"/>
  <c r="O45" i="42" s="1"/>
  <c r="P45" i="42" s="1"/>
  <c r="Q45" i="42" s="1"/>
  <c r="G44" i="42"/>
  <c r="H44" i="42" s="1"/>
  <c r="I44" i="42" s="1"/>
  <c r="J44" i="42" s="1"/>
  <c r="K44" i="42" s="1"/>
  <c r="L44" i="42" s="1"/>
  <c r="M44" i="42" s="1"/>
  <c r="N44" i="42" s="1"/>
  <c r="O44" i="42" s="1"/>
  <c r="P44" i="42" s="1"/>
  <c r="Q44" i="42" s="1"/>
  <c r="G43" i="42"/>
  <c r="H43" i="42" s="1"/>
  <c r="I43" i="42" s="1"/>
  <c r="J43" i="42" s="1"/>
  <c r="K43" i="42" s="1"/>
  <c r="L43" i="42" s="1"/>
  <c r="M43" i="42" s="1"/>
  <c r="N43" i="42" s="1"/>
  <c r="O43" i="42" s="1"/>
  <c r="P43" i="42" s="1"/>
  <c r="Q43" i="42" s="1"/>
  <c r="G42" i="42"/>
  <c r="H42" i="42" s="1"/>
  <c r="I42" i="42" s="1"/>
  <c r="J42" i="42" s="1"/>
  <c r="K42" i="42" s="1"/>
  <c r="L42" i="42" s="1"/>
  <c r="M42" i="42" s="1"/>
  <c r="N42" i="42" s="1"/>
  <c r="O42" i="42" s="1"/>
  <c r="P42" i="42" s="1"/>
  <c r="Q42" i="42" s="1"/>
  <c r="G41" i="42"/>
  <c r="H41" i="42" s="1"/>
  <c r="I41" i="42" s="1"/>
  <c r="J41" i="42" s="1"/>
  <c r="K41" i="42" s="1"/>
  <c r="L41" i="42" s="1"/>
  <c r="M41" i="42" s="1"/>
  <c r="N41" i="42" s="1"/>
  <c r="O41" i="42" s="1"/>
  <c r="P41" i="42" s="1"/>
  <c r="Q41" i="42" s="1"/>
  <c r="G40" i="42"/>
  <c r="H40" i="42" s="1"/>
  <c r="I40" i="42" s="1"/>
  <c r="J40" i="42" s="1"/>
  <c r="K40" i="42" s="1"/>
  <c r="L40" i="42" s="1"/>
  <c r="M40" i="42" s="1"/>
  <c r="N40" i="42" s="1"/>
  <c r="O40" i="42" s="1"/>
  <c r="P40" i="42" s="1"/>
  <c r="Q40" i="42" s="1"/>
  <c r="G39" i="42"/>
  <c r="H39" i="42" s="1"/>
  <c r="I39" i="42" s="1"/>
  <c r="J39" i="42" s="1"/>
  <c r="K39" i="42" s="1"/>
  <c r="L39" i="42" s="1"/>
  <c r="M39" i="42" s="1"/>
  <c r="N39" i="42" s="1"/>
  <c r="O39" i="42" s="1"/>
  <c r="P39" i="42" s="1"/>
  <c r="Q39" i="42" s="1"/>
  <c r="G38" i="42"/>
  <c r="H38" i="42" s="1"/>
  <c r="I38" i="42" s="1"/>
  <c r="J38" i="42" s="1"/>
  <c r="K38" i="42" s="1"/>
  <c r="L38" i="42" s="1"/>
  <c r="M38" i="42" s="1"/>
  <c r="N38" i="42" s="1"/>
  <c r="O38" i="42" s="1"/>
  <c r="P38" i="42" s="1"/>
  <c r="Q38" i="42" s="1"/>
  <c r="G37" i="42"/>
  <c r="H37" i="42" s="1"/>
  <c r="I37" i="42" s="1"/>
  <c r="J37" i="42" s="1"/>
  <c r="K37" i="42" s="1"/>
  <c r="L37" i="42" s="1"/>
  <c r="M37" i="42" s="1"/>
  <c r="N37" i="42" s="1"/>
  <c r="O37" i="42" s="1"/>
  <c r="P37" i="42" s="1"/>
  <c r="Q37" i="42" s="1"/>
  <c r="G36" i="42"/>
  <c r="H36" i="42" s="1"/>
  <c r="I36" i="42" s="1"/>
  <c r="J36" i="42" s="1"/>
  <c r="K36" i="42" s="1"/>
  <c r="L36" i="42" s="1"/>
  <c r="M36" i="42" s="1"/>
  <c r="N36" i="42" s="1"/>
  <c r="O36" i="42" s="1"/>
  <c r="P36" i="42" s="1"/>
  <c r="Q36" i="42" s="1"/>
  <c r="G35" i="42"/>
  <c r="H35" i="42" s="1"/>
  <c r="I35" i="42" s="1"/>
  <c r="J35" i="42" s="1"/>
  <c r="K35" i="42" s="1"/>
  <c r="L35" i="42" s="1"/>
  <c r="M35" i="42" s="1"/>
  <c r="N35" i="42" s="1"/>
  <c r="O35" i="42" s="1"/>
  <c r="P35" i="42" s="1"/>
  <c r="Q35" i="42" s="1"/>
  <c r="G34" i="42"/>
  <c r="H34" i="42" s="1"/>
  <c r="I34" i="42" s="1"/>
  <c r="J34" i="42" s="1"/>
  <c r="K34" i="42" s="1"/>
  <c r="L34" i="42" s="1"/>
  <c r="M34" i="42" s="1"/>
  <c r="N34" i="42" s="1"/>
  <c r="O34" i="42" s="1"/>
  <c r="P34" i="42" s="1"/>
  <c r="Q34" i="42" s="1"/>
  <c r="G33" i="42"/>
  <c r="H33" i="42" s="1"/>
  <c r="I33" i="42" s="1"/>
  <c r="J33" i="42" s="1"/>
  <c r="K33" i="42" s="1"/>
  <c r="L33" i="42" s="1"/>
  <c r="M33" i="42" s="1"/>
  <c r="N33" i="42" s="1"/>
  <c r="O33" i="42" s="1"/>
  <c r="P33" i="42" s="1"/>
  <c r="Q33" i="42" s="1"/>
  <c r="G32" i="42"/>
  <c r="H32" i="42" s="1"/>
  <c r="I32" i="42" s="1"/>
  <c r="J32" i="42" s="1"/>
  <c r="K32" i="42" s="1"/>
  <c r="L32" i="42" s="1"/>
  <c r="M32" i="42" s="1"/>
  <c r="N32" i="42" s="1"/>
  <c r="O32" i="42" s="1"/>
  <c r="P32" i="42" s="1"/>
  <c r="Q32" i="42" s="1"/>
  <c r="G31" i="42"/>
  <c r="H31" i="42" s="1"/>
  <c r="I31" i="42" s="1"/>
  <c r="J31" i="42" s="1"/>
  <c r="K31" i="42" s="1"/>
  <c r="L31" i="42" s="1"/>
  <c r="M31" i="42" s="1"/>
  <c r="N31" i="42" s="1"/>
  <c r="O31" i="42" s="1"/>
  <c r="P31" i="42" s="1"/>
  <c r="Q31" i="42" s="1"/>
  <c r="G30" i="42"/>
  <c r="H30" i="42" s="1"/>
  <c r="I30" i="42" s="1"/>
  <c r="J30" i="42" s="1"/>
  <c r="K30" i="42" s="1"/>
  <c r="L30" i="42" s="1"/>
  <c r="M30" i="42" s="1"/>
  <c r="N30" i="42" s="1"/>
  <c r="O30" i="42" s="1"/>
  <c r="P30" i="42" s="1"/>
  <c r="Q30" i="42" s="1"/>
  <c r="G29" i="42"/>
  <c r="H29" i="42" s="1"/>
  <c r="I29" i="42" s="1"/>
  <c r="J29" i="42" s="1"/>
  <c r="K29" i="42" s="1"/>
  <c r="L29" i="42" s="1"/>
  <c r="M29" i="42" s="1"/>
  <c r="N29" i="42" s="1"/>
  <c r="O29" i="42" s="1"/>
  <c r="P29" i="42" s="1"/>
  <c r="Q29" i="42" s="1"/>
  <c r="G28" i="42"/>
  <c r="H28" i="42" s="1"/>
  <c r="I28" i="42" s="1"/>
  <c r="J28" i="42" s="1"/>
  <c r="K28" i="42" s="1"/>
  <c r="L28" i="42" s="1"/>
  <c r="M28" i="42" s="1"/>
  <c r="N28" i="42" s="1"/>
  <c r="O28" i="42" s="1"/>
  <c r="P28" i="42" s="1"/>
  <c r="Q28" i="42" s="1"/>
  <c r="G27" i="42"/>
  <c r="H27" i="42" s="1"/>
  <c r="I27" i="42" s="1"/>
  <c r="J27" i="42" s="1"/>
  <c r="K27" i="42" s="1"/>
  <c r="L27" i="42" s="1"/>
  <c r="M27" i="42" s="1"/>
  <c r="N27" i="42" s="1"/>
  <c r="O27" i="42" s="1"/>
  <c r="P27" i="42" s="1"/>
  <c r="Q27" i="42" s="1"/>
  <c r="G26" i="42"/>
  <c r="H26" i="42" s="1"/>
  <c r="I26" i="42" s="1"/>
  <c r="J26" i="42" s="1"/>
  <c r="K26" i="42" s="1"/>
  <c r="L26" i="42" s="1"/>
  <c r="M26" i="42" s="1"/>
  <c r="N26" i="42" s="1"/>
  <c r="O26" i="42" s="1"/>
  <c r="P26" i="42" s="1"/>
  <c r="Q26" i="42" s="1"/>
  <c r="G25" i="42"/>
  <c r="H25" i="42" s="1"/>
  <c r="I25" i="42" s="1"/>
  <c r="J25" i="42" s="1"/>
  <c r="K25" i="42" s="1"/>
  <c r="L25" i="42" s="1"/>
  <c r="M25" i="42" s="1"/>
  <c r="N25" i="42" s="1"/>
  <c r="O25" i="42" s="1"/>
  <c r="P25" i="42" s="1"/>
  <c r="Q25" i="42" s="1"/>
  <c r="G24" i="42"/>
  <c r="H24" i="42" s="1"/>
  <c r="I24" i="42" s="1"/>
  <c r="J24" i="42" s="1"/>
  <c r="K24" i="42" s="1"/>
  <c r="L24" i="42" s="1"/>
  <c r="M24" i="42" s="1"/>
  <c r="N24" i="42" s="1"/>
  <c r="O24" i="42" s="1"/>
  <c r="P24" i="42" s="1"/>
  <c r="Q24" i="42" s="1"/>
  <c r="G23" i="42"/>
  <c r="H23" i="42" s="1"/>
  <c r="I23" i="42" s="1"/>
  <c r="J23" i="42" s="1"/>
  <c r="K23" i="42" s="1"/>
  <c r="L23" i="42" s="1"/>
  <c r="M23" i="42" s="1"/>
  <c r="N23" i="42" s="1"/>
  <c r="O23" i="42" s="1"/>
  <c r="P23" i="42" s="1"/>
  <c r="Q23" i="42" s="1"/>
  <c r="G22" i="42"/>
  <c r="H22" i="42" s="1"/>
  <c r="I22" i="42" s="1"/>
  <c r="J22" i="42" s="1"/>
  <c r="K22" i="42" s="1"/>
  <c r="L22" i="42" s="1"/>
  <c r="M22" i="42" s="1"/>
  <c r="N22" i="42" s="1"/>
  <c r="O22" i="42" s="1"/>
  <c r="P22" i="42" s="1"/>
  <c r="Q22" i="42" s="1"/>
  <c r="G21" i="42"/>
  <c r="H21" i="42" s="1"/>
  <c r="I21" i="42" s="1"/>
  <c r="J21" i="42" s="1"/>
  <c r="K21" i="42" s="1"/>
  <c r="L21" i="42" s="1"/>
  <c r="M21" i="42" s="1"/>
  <c r="N21" i="42" s="1"/>
  <c r="O21" i="42" s="1"/>
  <c r="P21" i="42" s="1"/>
  <c r="Q21" i="42" s="1"/>
  <c r="G20" i="42"/>
  <c r="H20" i="42" s="1"/>
  <c r="I20" i="42" s="1"/>
  <c r="J20" i="42" s="1"/>
  <c r="K20" i="42" s="1"/>
  <c r="L20" i="42" s="1"/>
  <c r="M20" i="42" s="1"/>
  <c r="N20" i="42" s="1"/>
  <c r="O20" i="42" s="1"/>
  <c r="P20" i="42" s="1"/>
  <c r="Q20" i="42" s="1"/>
  <c r="G19" i="42"/>
  <c r="H19" i="42" s="1"/>
  <c r="I19" i="42" s="1"/>
  <c r="J19" i="42" s="1"/>
  <c r="K19" i="42" s="1"/>
  <c r="L19" i="42" s="1"/>
  <c r="M19" i="42" s="1"/>
  <c r="N19" i="42" s="1"/>
  <c r="O19" i="42" s="1"/>
  <c r="P19" i="42" s="1"/>
  <c r="Q19" i="42" s="1"/>
  <c r="G18" i="42"/>
  <c r="H18" i="42" s="1"/>
  <c r="I18" i="42" s="1"/>
  <c r="J18" i="42" s="1"/>
  <c r="K18" i="42" s="1"/>
  <c r="L18" i="42" s="1"/>
  <c r="M18" i="42" s="1"/>
  <c r="N18" i="42" s="1"/>
  <c r="O18" i="42" s="1"/>
  <c r="P18" i="42" s="1"/>
  <c r="Q18" i="42" s="1"/>
  <c r="G17" i="42"/>
  <c r="H17" i="42" s="1"/>
  <c r="I17" i="42" s="1"/>
  <c r="J17" i="42" s="1"/>
  <c r="K17" i="42" s="1"/>
  <c r="L17" i="42" s="1"/>
  <c r="M17" i="42" s="1"/>
  <c r="N17" i="42" s="1"/>
  <c r="O17" i="42" s="1"/>
  <c r="P17" i="42" s="1"/>
  <c r="Q17" i="42" s="1"/>
  <c r="G16" i="42"/>
  <c r="H16" i="42" s="1"/>
  <c r="I16" i="42" s="1"/>
  <c r="J16" i="42" s="1"/>
  <c r="K16" i="42" s="1"/>
  <c r="L16" i="42" s="1"/>
  <c r="M16" i="42" s="1"/>
  <c r="N16" i="42" s="1"/>
  <c r="O16" i="42" s="1"/>
  <c r="P16" i="42" s="1"/>
  <c r="Q16" i="42" s="1"/>
  <c r="G15" i="42"/>
  <c r="H15" i="42" s="1"/>
  <c r="I15" i="42" s="1"/>
  <c r="J15" i="42" s="1"/>
  <c r="K15" i="42" s="1"/>
  <c r="L15" i="42" s="1"/>
  <c r="M15" i="42" s="1"/>
  <c r="N15" i="42" s="1"/>
  <c r="O15" i="42" s="1"/>
  <c r="P15" i="42" s="1"/>
  <c r="Q15" i="42" s="1"/>
  <c r="G14" i="42"/>
  <c r="H14" i="42" s="1"/>
  <c r="I14" i="42" s="1"/>
  <c r="J14" i="42" s="1"/>
  <c r="K14" i="42" s="1"/>
  <c r="L14" i="42" s="1"/>
  <c r="M14" i="42" s="1"/>
  <c r="N14" i="42" s="1"/>
  <c r="O14" i="42" s="1"/>
  <c r="P14" i="42" s="1"/>
  <c r="Q14" i="42" s="1"/>
  <c r="G13" i="42"/>
  <c r="H13" i="42" s="1"/>
  <c r="I13" i="42" s="1"/>
  <c r="J13" i="42" s="1"/>
  <c r="K13" i="42" s="1"/>
  <c r="L13" i="42" s="1"/>
  <c r="M13" i="42" s="1"/>
  <c r="N13" i="42" s="1"/>
  <c r="O13" i="42" s="1"/>
  <c r="P13" i="42" s="1"/>
  <c r="Q13" i="42" s="1"/>
  <c r="G12" i="42"/>
  <c r="H12" i="42" s="1"/>
  <c r="I12" i="42" s="1"/>
  <c r="J12" i="42" s="1"/>
  <c r="K12" i="42" s="1"/>
  <c r="L12" i="42" s="1"/>
  <c r="M12" i="42" s="1"/>
  <c r="N12" i="42" s="1"/>
  <c r="O12" i="42" s="1"/>
  <c r="P12" i="42" s="1"/>
  <c r="Q12" i="42" s="1"/>
  <c r="G11" i="42"/>
  <c r="H11" i="42" s="1"/>
  <c r="I11" i="42" s="1"/>
  <c r="J11" i="42" s="1"/>
  <c r="K11" i="42" s="1"/>
  <c r="L11" i="42" s="1"/>
  <c r="M11" i="42" s="1"/>
  <c r="N11" i="42" s="1"/>
  <c r="O11" i="42" s="1"/>
  <c r="P11" i="42" s="1"/>
  <c r="Q11" i="42" s="1"/>
  <c r="G10" i="42"/>
  <c r="H10" i="42" s="1"/>
  <c r="I10" i="42" s="1"/>
  <c r="J10" i="42" s="1"/>
  <c r="K10" i="42" s="1"/>
  <c r="L10" i="42" s="1"/>
  <c r="M10" i="42" s="1"/>
  <c r="N10" i="42" s="1"/>
  <c r="O10" i="42" s="1"/>
  <c r="P10" i="42" s="1"/>
  <c r="Q10" i="42" s="1"/>
  <c r="G9" i="42"/>
  <c r="H9" i="42" s="1"/>
  <c r="I9" i="42" s="1"/>
  <c r="J9" i="42" s="1"/>
  <c r="K9" i="42" s="1"/>
  <c r="L9" i="42" s="1"/>
  <c r="M9" i="42" s="1"/>
  <c r="N9" i="42" s="1"/>
  <c r="O9" i="42" s="1"/>
  <c r="P9" i="42" s="1"/>
  <c r="Q9" i="42" s="1"/>
  <c r="G8" i="42"/>
  <c r="H8" i="42" s="1"/>
  <c r="I8" i="42" s="1"/>
  <c r="J8" i="42" s="1"/>
  <c r="K8" i="42" s="1"/>
  <c r="L8" i="42" s="1"/>
  <c r="M8" i="42" s="1"/>
  <c r="N8" i="42" s="1"/>
  <c r="O8" i="42" s="1"/>
  <c r="P8" i="42" s="1"/>
  <c r="Q8" i="42" s="1"/>
  <c r="G7" i="42"/>
  <c r="H7" i="42" s="1"/>
  <c r="I7" i="42" s="1"/>
  <c r="J7" i="42" s="1"/>
  <c r="K7" i="42" s="1"/>
  <c r="L7" i="42" s="1"/>
  <c r="M7" i="42" s="1"/>
  <c r="N7" i="42" s="1"/>
  <c r="O7" i="42" s="1"/>
  <c r="P7" i="42" s="1"/>
  <c r="Q7" i="42" s="1"/>
  <c r="G6" i="42"/>
  <c r="H6" i="42" s="1"/>
  <c r="I6" i="42" s="1"/>
  <c r="J6" i="42" s="1"/>
  <c r="K6" i="42" s="1"/>
  <c r="L6" i="42" s="1"/>
  <c r="M6" i="42" s="1"/>
  <c r="N6" i="42" s="1"/>
  <c r="O6" i="42" s="1"/>
  <c r="P6" i="42" s="1"/>
  <c r="Q6" i="42" s="1"/>
  <c r="G5" i="42"/>
  <c r="H5" i="42" s="1"/>
  <c r="I5" i="42" s="1"/>
  <c r="J5" i="42" s="1"/>
  <c r="K5" i="42" s="1"/>
  <c r="L5" i="42" s="1"/>
  <c r="M5" i="42" s="1"/>
  <c r="N5" i="42" s="1"/>
  <c r="O5" i="42" s="1"/>
  <c r="P5" i="42" s="1"/>
  <c r="Q5" i="42" s="1"/>
  <c r="F198" i="43"/>
  <c r="F197" i="43"/>
  <c r="F196" i="43"/>
  <c r="F195" i="43"/>
  <c r="F194" i="43"/>
  <c r="F193" i="43"/>
  <c r="F192" i="43"/>
  <c r="F191" i="43"/>
  <c r="F189" i="43"/>
  <c r="F188" i="43"/>
  <c r="F187" i="43"/>
  <c r="F184" i="43"/>
  <c r="F183" i="43"/>
  <c r="F182" i="43"/>
  <c r="F181" i="43"/>
  <c r="F180" i="43"/>
  <c r="F179" i="43"/>
  <c r="F178" i="43"/>
  <c r="F177" i="43"/>
  <c r="F176" i="43"/>
  <c r="F174" i="43"/>
  <c r="F173" i="43"/>
  <c r="F172" i="43"/>
  <c r="F171" i="43"/>
  <c r="F170" i="43"/>
  <c r="F169" i="43"/>
  <c r="F168" i="43"/>
  <c r="F167" i="43"/>
  <c r="F166" i="43"/>
  <c r="F164" i="43"/>
  <c r="F163" i="43"/>
  <c r="F162" i="43"/>
  <c r="F161" i="43"/>
  <c r="F160" i="43"/>
  <c r="F159" i="43"/>
  <c r="F158" i="43"/>
  <c r="F157" i="43"/>
  <c r="F156" i="43"/>
  <c r="F155" i="43"/>
  <c r="F154" i="43"/>
  <c r="F152" i="43"/>
  <c r="F151" i="43"/>
  <c r="F150" i="43"/>
  <c r="F148" i="43"/>
  <c r="F147" i="43"/>
  <c r="F146" i="43"/>
  <c r="F145" i="43"/>
  <c r="F144" i="43"/>
  <c r="F143" i="43"/>
  <c r="F141" i="43"/>
  <c r="F140" i="43"/>
  <c r="F139" i="43"/>
  <c r="F138" i="43"/>
  <c r="F135" i="43"/>
  <c r="F134" i="43"/>
  <c r="F131" i="43"/>
  <c r="F130" i="43"/>
  <c r="F129" i="43"/>
  <c r="F128" i="43"/>
  <c r="F127" i="43"/>
  <c r="F125" i="43"/>
  <c r="F124" i="43"/>
  <c r="F122" i="43"/>
  <c r="F121" i="43"/>
  <c r="F120" i="43"/>
  <c r="F118" i="43"/>
  <c r="F117" i="43"/>
  <c r="F116" i="43"/>
  <c r="F115" i="43"/>
  <c r="F114" i="43"/>
  <c r="F112" i="43"/>
  <c r="F111" i="43"/>
  <c r="F110" i="43"/>
  <c r="F109" i="43"/>
  <c r="F108" i="43"/>
  <c r="F107" i="43"/>
  <c r="F106" i="43"/>
  <c r="F105" i="43"/>
  <c r="F104" i="43"/>
  <c r="F103" i="43"/>
  <c r="F102" i="43"/>
  <c r="F101" i="43"/>
  <c r="F100" i="43"/>
  <c r="F99" i="43"/>
  <c r="F98" i="43"/>
  <c r="F97" i="43"/>
  <c r="F96" i="43"/>
  <c r="F95" i="43"/>
  <c r="F94" i="43"/>
  <c r="F93" i="43"/>
  <c r="F92" i="43"/>
  <c r="F91" i="43"/>
  <c r="F90" i="43"/>
  <c r="F89" i="43"/>
  <c r="F88" i="43"/>
  <c r="F87" i="43"/>
  <c r="F86" i="43"/>
  <c r="F85" i="43"/>
  <c r="F84" i="43"/>
  <c r="F81" i="43"/>
  <c r="F80" i="43"/>
  <c r="F79" i="43"/>
  <c r="F78" i="43"/>
  <c r="F77" i="43"/>
  <c r="F76" i="43"/>
  <c r="F75" i="43"/>
  <c r="F74" i="43"/>
  <c r="F73" i="43"/>
  <c r="F72" i="43"/>
  <c r="F71" i="43"/>
  <c r="F70" i="43"/>
  <c r="F69" i="43"/>
  <c r="F68" i="43"/>
  <c r="F67" i="43"/>
  <c r="F66" i="43"/>
  <c r="F65" i="43"/>
  <c r="F64" i="43"/>
  <c r="F62" i="43"/>
  <c r="F61" i="43"/>
  <c r="F60" i="43"/>
  <c r="F59" i="43"/>
  <c r="F58" i="43"/>
  <c r="F57" i="43"/>
  <c r="F56" i="43"/>
  <c r="F55" i="43"/>
  <c r="F54" i="43"/>
  <c r="F53" i="43"/>
  <c r="F51" i="43"/>
  <c r="F50" i="43"/>
  <c r="F49" i="43"/>
  <c r="F48" i="43"/>
  <c r="F47" i="43"/>
  <c r="F46" i="43"/>
  <c r="F45" i="43"/>
  <c r="F43" i="43"/>
  <c r="F42" i="43"/>
  <c r="F41" i="43"/>
  <c r="F40" i="43"/>
  <c r="F39" i="43"/>
  <c r="F37" i="43"/>
  <c r="F36" i="43"/>
  <c r="F35" i="43"/>
  <c r="F34" i="43"/>
  <c r="F33" i="43"/>
  <c r="F32" i="43"/>
  <c r="F31" i="43"/>
  <c r="F30" i="43"/>
  <c r="F29" i="43"/>
  <c r="F27" i="43"/>
  <c r="F26" i="43"/>
  <c r="F25" i="43"/>
  <c r="F24" i="43"/>
  <c r="F23" i="43"/>
  <c r="F22" i="43"/>
  <c r="F21" i="43"/>
  <c r="F20" i="43"/>
  <c r="F19" i="43"/>
  <c r="F17" i="43"/>
  <c r="F16" i="43"/>
  <c r="F15" i="43"/>
  <c r="F14" i="43"/>
  <c r="F13" i="43"/>
  <c r="F12" i="43"/>
  <c r="F11" i="43"/>
  <c r="F10" i="43"/>
  <c r="F9" i="43"/>
  <c r="F8" i="43"/>
  <c r="F7" i="43"/>
  <c r="F6" i="43"/>
  <c r="G4" i="43"/>
  <c r="H4" i="43" s="1"/>
  <c r="I4" i="43" s="1"/>
  <c r="J4" i="43" s="1"/>
  <c r="K4" i="43" s="1"/>
  <c r="L4" i="43" s="1"/>
  <c r="M4" i="43" s="1"/>
  <c r="N4" i="43" s="1"/>
  <c r="O4" i="43" s="1"/>
  <c r="P4" i="43" s="1"/>
  <c r="K7" i="40" l="1"/>
  <c r="K9" i="40"/>
  <c r="K33" i="40"/>
  <c r="K5" i="40"/>
  <c r="K6" i="40"/>
  <c r="R9" i="42"/>
  <c r="R13" i="42"/>
  <c r="S13" i="42" s="1"/>
  <c r="R73" i="42"/>
  <c r="R81" i="42"/>
  <c r="R89" i="42"/>
  <c r="R103" i="42"/>
  <c r="R107" i="42"/>
  <c r="R156" i="42"/>
  <c r="R195" i="42"/>
  <c r="R25" i="42"/>
  <c r="R29" i="42"/>
  <c r="R94" i="42"/>
  <c r="R192" i="42"/>
  <c r="R37" i="42"/>
  <c r="R41" i="42"/>
  <c r="R45" i="42"/>
  <c r="R119" i="42"/>
  <c r="R143" i="42"/>
  <c r="R53" i="42"/>
  <c r="R57" i="42"/>
  <c r="R61" i="42"/>
  <c r="R92" i="42"/>
  <c r="R158" i="42"/>
  <c r="R180" i="42"/>
  <c r="R8" i="42"/>
  <c r="R17" i="42"/>
  <c r="R24" i="42"/>
  <c r="R27" i="42"/>
  <c r="R30" i="42"/>
  <c r="R33" i="42"/>
  <c r="R43" i="42"/>
  <c r="R46" i="42"/>
  <c r="R49" i="42"/>
  <c r="R56" i="42"/>
  <c r="R59" i="42"/>
  <c r="R62" i="42"/>
  <c r="R65" i="42"/>
  <c r="R69" i="42"/>
  <c r="R76" i="42"/>
  <c r="R80" i="42"/>
  <c r="R83" i="42"/>
  <c r="R87" i="42"/>
  <c r="S87" i="42" s="1"/>
  <c r="R90" i="42"/>
  <c r="R93" i="42"/>
  <c r="R95" i="42"/>
  <c r="R102" i="42"/>
  <c r="R108" i="42"/>
  <c r="R111" i="42"/>
  <c r="R118" i="42"/>
  <c r="R121" i="42"/>
  <c r="R125" i="42"/>
  <c r="R129" i="42"/>
  <c r="R133" i="42"/>
  <c r="R137" i="42"/>
  <c r="R141" i="42"/>
  <c r="R144" i="42"/>
  <c r="R147" i="42"/>
  <c r="R151" i="42"/>
  <c r="R157" i="42"/>
  <c r="R160" i="42"/>
  <c r="R163" i="42"/>
  <c r="R167" i="42"/>
  <c r="R171" i="42"/>
  <c r="R175" i="42"/>
  <c r="R178" i="42"/>
  <c r="R184" i="42"/>
  <c r="R188" i="42"/>
  <c r="R191" i="42"/>
  <c r="R194" i="42"/>
  <c r="R197" i="42"/>
  <c r="R18" i="42"/>
  <c r="R34" i="42"/>
  <c r="R50" i="42"/>
  <c r="R84" i="42"/>
  <c r="R96" i="42"/>
  <c r="R99" i="42"/>
  <c r="R106" i="42"/>
  <c r="S106" i="42" s="1"/>
  <c r="R112" i="42"/>
  <c r="R115" i="42"/>
  <c r="R122" i="42"/>
  <c r="R126" i="42"/>
  <c r="R130" i="42"/>
  <c r="R134" i="42"/>
  <c r="R138" i="42"/>
  <c r="R145" i="42"/>
  <c r="R148" i="42"/>
  <c r="R152" i="42"/>
  <c r="R161" i="42"/>
  <c r="R164" i="42"/>
  <c r="R168" i="42"/>
  <c r="R172" i="42"/>
  <c r="R176" i="42"/>
  <c r="R179" i="42"/>
  <c r="R181" i="42"/>
  <c r="R185" i="42"/>
  <c r="R198" i="42"/>
  <c r="R11" i="42"/>
  <c r="R12" i="42"/>
  <c r="R28" i="42"/>
  <c r="R60" i="42"/>
  <c r="R91" i="42"/>
  <c r="R6" i="42"/>
  <c r="R22" i="42"/>
  <c r="R35" i="42"/>
  <c r="R48" i="42"/>
  <c r="R54" i="42"/>
  <c r="R71" i="42"/>
  <c r="R78" i="42"/>
  <c r="R100" i="42"/>
  <c r="R113" i="42"/>
  <c r="R123" i="42"/>
  <c r="R131" i="42"/>
  <c r="R135" i="42"/>
  <c r="R139" i="42"/>
  <c r="R146" i="42"/>
  <c r="R149" i="42"/>
  <c r="R162" i="42"/>
  <c r="R169" i="42"/>
  <c r="R177" i="42"/>
  <c r="R182" i="42"/>
  <c r="R186" i="42"/>
  <c r="R15" i="42"/>
  <c r="R31" i="42"/>
  <c r="R47" i="42"/>
  <c r="R63" i="42"/>
  <c r="R77" i="42"/>
  <c r="R109" i="42"/>
  <c r="R16" i="42"/>
  <c r="R19" i="42"/>
  <c r="R32" i="42"/>
  <c r="R38" i="42"/>
  <c r="R51" i="42"/>
  <c r="R64" i="42"/>
  <c r="R67" i="42"/>
  <c r="R74" i="42"/>
  <c r="R97" i="42"/>
  <c r="R110" i="42"/>
  <c r="R116" i="42"/>
  <c r="R127" i="42"/>
  <c r="R153" i="42"/>
  <c r="R7" i="42"/>
  <c r="R10" i="42"/>
  <c r="R20" i="42"/>
  <c r="R23" i="42"/>
  <c r="R26" i="42"/>
  <c r="R36" i="42"/>
  <c r="R39" i="42"/>
  <c r="R42" i="42"/>
  <c r="R52" i="42"/>
  <c r="R55" i="42"/>
  <c r="R58" i="42"/>
  <c r="R68" i="42"/>
  <c r="R72" i="42"/>
  <c r="R75" i="42"/>
  <c r="R79" i="42"/>
  <c r="R82" i="42"/>
  <c r="R98" i="42"/>
  <c r="R101" i="42"/>
  <c r="R104" i="42"/>
  <c r="R114" i="42"/>
  <c r="R117" i="42"/>
  <c r="R120" i="42"/>
  <c r="R124" i="42"/>
  <c r="R128" i="42"/>
  <c r="R132" i="42"/>
  <c r="R136" i="42"/>
  <c r="R140" i="42"/>
  <c r="R150" i="42"/>
  <c r="R154" i="42"/>
  <c r="R159" i="42"/>
  <c r="R166" i="42"/>
  <c r="R170" i="42"/>
  <c r="R174" i="42"/>
  <c r="R187" i="42"/>
  <c r="R193" i="42"/>
  <c r="R196" i="42"/>
  <c r="R173" i="42"/>
  <c r="R190" i="42"/>
  <c r="K119" i="56"/>
  <c r="K44" i="56"/>
  <c r="K113" i="56"/>
  <c r="K133" i="56"/>
  <c r="K137" i="56"/>
  <c r="K149" i="56"/>
  <c r="K153" i="56"/>
  <c r="K185" i="56"/>
  <c r="K126" i="56"/>
  <c r="G16" i="43"/>
  <c r="H16" i="43" s="1"/>
  <c r="G48" i="43"/>
  <c r="H48" i="43" s="1"/>
  <c r="G57" i="43"/>
  <c r="G74" i="43"/>
  <c r="G78" i="43"/>
  <c r="G88" i="43"/>
  <c r="H88" i="43" s="1"/>
  <c r="G92" i="43"/>
  <c r="G96" i="43"/>
  <c r="G100" i="43"/>
  <c r="G104" i="43"/>
  <c r="G108" i="43"/>
  <c r="G117" i="43"/>
  <c r="G177" i="43"/>
  <c r="G187" i="43"/>
  <c r="H187" i="43" s="1"/>
  <c r="G192" i="43"/>
  <c r="G196" i="43"/>
  <c r="R105" i="42"/>
  <c r="R183" i="42"/>
  <c r="R88" i="42"/>
  <c r="R165" i="42"/>
  <c r="U83" i="40"/>
  <c r="U132" i="40"/>
  <c r="U104" i="40"/>
  <c r="U180" i="40"/>
  <c r="U47" i="40"/>
  <c r="U50" i="40"/>
  <c r="U35" i="40"/>
  <c r="U138" i="40"/>
  <c r="U11" i="40"/>
  <c r="U123" i="40"/>
  <c r="U15" i="40"/>
  <c r="U168" i="40"/>
  <c r="U73" i="40"/>
  <c r="U165" i="40"/>
  <c r="U55" i="40"/>
  <c r="U71" i="40"/>
  <c r="U178" i="40"/>
  <c r="U29" i="40"/>
  <c r="U60" i="40"/>
  <c r="U147" i="40"/>
  <c r="U10" i="40"/>
  <c r="U90" i="40"/>
  <c r="U121" i="40"/>
  <c r="U175" i="40"/>
  <c r="U189" i="40"/>
  <c r="U23" i="40"/>
  <c r="U164" i="40"/>
  <c r="U31" i="40"/>
  <c r="U25" i="40"/>
  <c r="U89" i="40"/>
  <c r="U191" i="40"/>
  <c r="U195" i="40"/>
  <c r="U30" i="40"/>
  <c r="U41" i="40"/>
  <c r="U182" i="40"/>
  <c r="U56" i="40"/>
  <c r="U101" i="40"/>
  <c r="U112" i="40"/>
  <c r="U32" i="40"/>
  <c r="U163" i="40"/>
  <c r="U26" i="40"/>
  <c r="U194" i="40"/>
  <c r="U102" i="40"/>
  <c r="U106" i="40"/>
  <c r="U78" i="40"/>
  <c r="U103" i="40"/>
  <c r="G9" i="43"/>
  <c r="G17" i="43"/>
  <c r="G22" i="43"/>
  <c r="G35" i="43"/>
  <c r="G40" i="43"/>
  <c r="G49" i="43"/>
  <c r="H49" i="43" s="1"/>
  <c r="G54" i="43"/>
  <c r="G58" i="43"/>
  <c r="G62" i="43"/>
  <c r="G67" i="43"/>
  <c r="G75" i="43"/>
  <c r="G79" i="43"/>
  <c r="G85" i="43"/>
  <c r="G93" i="43"/>
  <c r="G97" i="43"/>
  <c r="H97" i="43" s="1"/>
  <c r="G109" i="43"/>
  <c r="G135" i="43"/>
  <c r="R66" i="42"/>
  <c r="R85" i="42"/>
  <c r="U63" i="40"/>
  <c r="U136" i="40"/>
  <c r="U96" i="40"/>
  <c r="U192" i="40"/>
  <c r="U85" i="40"/>
  <c r="U119" i="40"/>
  <c r="U137" i="40"/>
  <c r="U88" i="40"/>
  <c r="U93" i="40"/>
  <c r="U124" i="40"/>
  <c r="U79" i="40"/>
  <c r="U97" i="40"/>
  <c r="U91" i="40"/>
  <c r="U28" i="40"/>
  <c r="U54" i="40"/>
  <c r="U81" i="40"/>
  <c r="U45" i="40"/>
  <c r="U149" i="40"/>
  <c r="U183" i="40"/>
  <c r="U16" i="40"/>
  <c r="U116" i="40"/>
  <c r="U150" i="40"/>
  <c r="U166" i="40"/>
  <c r="U51" i="40"/>
  <c r="U98" i="40"/>
  <c r="U128" i="40"/>
  <c r="U67" i="40"/>
  <c r="U12" i="40"/>
  <c r="U184" i="40"/>
  <c r="U37" i="40"/>
  <c r="U108" i="40"/>
  <c r="U62" i="40"/>
  <c r="U58" i="40"/>
  <c r="U196" i="40"/>
  <c r="U82" i="40"/>
  <c r="U94" i="40"/>
  <c r="U68" i="40"/>
  <c r="U61" i="40"/>
  <c r="U197" i="40"/>
  <c r="U57" i="40"/>
  <c r="U40" i="40"/>
  <c r="U86" i="40"/>
  <c r="U181" i="40"/>
  <c r="U140" i="40"/>
  <c r="U95" i="40"/>
  <c r="U105" i="40"/>
  <c r="U22" i="40"/>
  <c r="U100" i="40"/>
  <c r="U53" i="40"/>
  <c r="U173" i="40"/>
  <c r="U198" i="40"/>
  <c r="G6" i="43"/>
  <c r="G14" i="43"/>
  <c r="G23" i="43"/>
  <c r="G32" i="43"/>
  <c r="G41" i="43"/>
  <c r="G86" i="43"/>
  <c r="G125" i="43"/>
  <c r="G138" i="43"/>
  <c r="R5" i="42"/>
  <c r="R21" i="42"/>
  <c r="R40" i="42"/>
  <c r="R70" i="42"/>
  <c r="R86" i="42"/>
  <c r="R142" i="42"/>
  <c r="R155" i="42"/>
  <c r="K126" i="54"/>
  <c r="K119" i="54"/>
  <c r="K113" i="54"/>
  <c r="K133" i="54"/>
  <c r="K137" i="54"/>
  <c r="K149" i="54"/>
  <c r="K153" i="54"/>
  <c r="K185" i="54"/>
  <c r="K44" i="54"/>
  <c r="U126" i="40"/>
  <c r="U141" i="40"/>
  <c r="U14" i="40"/>
  <c r="U125" i="40"/>
  <c r="U64" i="40"/>
  <c r="U146" i="40"/>
  <c r="U130" i="40"/>
  <c r="U52" i="40"/>
  <c r="U46" i="40"/>
  <c r="U36" i="40"/>
  <c r="U177" i="40"/>
  <c r="U176" i="40"/>
  <c r="U76" i="40"/>
  <c r="U193" i="40"/>
  <c r="U18" i="40"/>
  <c r="U186" i="40"/>
  <c r="U66" i="40"/>
  <c r="U154" i="40"/>
  <c r="U17" i="40"/>
  <c r="U170" i="40"/>
  <c r="U157" i="40"/>
  <c r="U109" i="40"/>
  <c r="U39" i="40"/>
  <c r="U43" i="40"/>
  <c r="U162" i="40"/>
  <c r="U87" i="40"/>
  <c r="U160" i="40"/>
  <c r="U110" i="40"/>
  <c r="U59" i="40"/>
  <c r="U174" i="40"/>
  <c r="U72" i="40"/>
  <c r="U113" i="40"/>
  <c r="U84" i="40"/>
  <c r="U24" i="40"/>
  <c r="U77" i="40"/>
  <c r="U185" i="40"/>
  <c r="U148" i="40"/>
  <c r="U167" i="40"/>
  <c r="U187" i="40"/>
  <c r="U188" i="40"/>
  <c r="U127" i="40"/>
  <c r="U34" i="40"/>
  <c r="U153" i="40"/>
  <c r="U70" i="40"/>
  <c r="U117" i="40"/>
  <c r="U27" i="40"/>
  <c r="U99" i="40"/>
  <c r="U179" i="40"/>
  <c r="U107" i="40"/>
  <c r="U171" i="40"/>
  <c r="U122" i="40"/>
  <c r="U44" i="40"/>
  <c r="G19" i="43"/>
  <c r="G27" i="43"/>
  <c r="G36" i="43"/>
  <c r="G130" i="43"/>
  <c r="G56" i="43"/>
  <c r="G65" i="43"/>
  <c r="G73" i="43"/>
  <c r="G171" i="43"/>
  <c r="H171" i="43" s="1"/>
  <c r="G176" i="43"/>
  <c r="G180" i="43"/>
  <c r="G184" i="43"/>
  <c r="G191" i="43"/>
  <c r="H191" i="43" s="1"/>
  <c r="G195" i="43"/>
  <c r="R14" i="42"/>
  <c r="R189" i="42"/>
  <c r="K185" i="55"/>
  <c r="K113" i="55"/>
  <c r="K133" i="55"/>
  <c r="K137" i="55"/>
  <c r="K149" i="55"/>
  <c r="K153" i="55"/>
  <c r="K126" i="55"/>
  <c r="K119" i="55"/>
  <c r="K44" i="55"/>
  <c r="U13" i="40"/>
  <c r="U115" i="40"/>
  <c r="U134" i="40"/>
  <c r="U69" i="40"/>
  <c r="U19" i="40"/>
  <c r="U172" i="40"/>
  <c r="U129" i="40"/>
  <c r="U143" i="40"/>
  <c r="U145" i="40"/>
  <c r="U151" i="40"/>
  <c r="U142" i="40"/>
  <c r="U48" i="40"/>
  <c r="U158" i="40"/>
  <c r="U131" i="40"/>
  <c r="U65" i="40"/>
  <c r="U169" i="40"/>
  <c r="U74" i="40"/>
  <c r="U75" i="40"/>
  <c r="U49" i="40"/>
  <c r="U161" i="40"/>
  <c r="U133" i="40"/>
  <c r="U38" i="40"/>
  <c r="U118" i="40"/>
  <c r="U20" i="40"/>
  <c r="U42" i="40"/>
  <c r="U144" i="40"/>
  <c r="U190" i="40"/>
  <c r="U156" i="40"/>
  <c r="U159" i="40"/>
  <c r="U114" i="40"/>
  <c r="U8" i="40"/>
  <c r="U92" i="40"/>
  <c r="U120" i="40"/>
  <c r="U111" i="40"/>
  <c r="U135" i="40"/>
  <c r="U80" i="40"/>
  <c r="U155" i="40"/>
  <c r="U139" i="40"/>
  <c r="U152" i="40"/>
  <c r="U21" i="40"/>
  <c r="J108" i="52"/>
  <c r="J77" i="52"/>
  <c r="J190" i="52"/>
  <c r="J83" i="52"/>
  <c r="J72" i="52"/>
  <c r="J187" i="52"/>
  <c r="J142" i="52"/>
  <c r="J131" i="52"/>
  <c r="J115" i="52"/>
  <c r="J120" i="52"/>
  <c r="J58" i="52"/>
  <c r="J59" i="52"/>
  <c r="J172" i="52"/>
  <c r="J169" i="52"/>
  <c r="J96" i="52"/>
  <c r="J71" i="52"/>
  <c r="J148" i="52"/>
  <c r="J91" i="52"/>
  <c r="J114" i="52"/>
  <c r="J48" i="52"/>
  <c r="J106" i="52"/>
  <c r="J107" i="52"/>
  <c r="J51" i="52"/>
  <c r="J50" i="52"/>
  <c r="J161" i="52"/>
  <c r="J10" i="52"/>
  <c r="J118" i="52"/>
  <c r="J111" i="52"/>
  <c r="J198" i="52"/>
  <c r="J113" i="52"/>
  <c r="J171" i="52"/>
  <c r="J31" i="52"/>
  <c r="J100" i="52"/>
  <c r="J97" i="52"/>
  <c r="J17" i="52"/>
  <c r="J133" i="52"/>
  <c r="J110" i="52"/>
  <c r="J52" i="52"/>
  <c r="J55" i="52"/>
  <c r="J162" i="52"/>
  <c r="J46" i="52"/>
  <c r="J47" i="52"/>
  <c r="J158" i="52"/>
  <c r="J93" i="52"/>
  <c r="J66" i="52"/>
  <c r="J181" i="52"/>
  <c r="J167" i="52"/>
  <c r="J95" i="52"/>
  <c r="J164" i="52"/>
  <c r="J38" i="52"/>
  <c r="J45" i="52"/>
  <c r="J157" i="52"/>
  <c r="J23" i="52"/>
  <c r="J40" i="52"/>
  <c r="J151" i="52"/>
  <c r="J75" i="52"/>
  <c r="J54" i="52"/>
  <c r="J88" i="52"/>
  <c r="J61" i="52"/>
  <c r="J27" i="52"/>
  <c r="J144" i="52"/>
  <c r="J9" i="52"/>
  <c r="J76" i="52"/>
  <c r="J70" i="52"/>
  <c r="J184" i="52"/>
  <c r="J64" i="52"/>
  <c r="J65" i="52"/>
  <c r="J177" i="52"/>
  <c r="J43" i="52"/>
  <c r="J80" i="52"/>
  <c r="J34" i="52"/>
  <c r="J22" i="52"/>
  <c r="J138" i="52"/>
  <c r="J196" i="52"/>
  <c r="J139" i="52"/>
  <c r="J90" i="52"/>
  <c r="J42" i="52"/>
  <c r="J127" i="52"/>
  <c r="J87" i="52"/>
  <c r="J33" i="52"/>
  <c r="J102" i="52"/>
  <c r="J73" i="52"/>
  <c r="J188" i="52"/>
  <c r="J182" i="52"/>
  <c r="J103" i="52"/>
  <c r="J36" i="52"/>
  <c r="J24" i="52"/>
  <c r="J140" i="52"/>
  <c r="J168" i="52"/>
  <c r="J20" i="52"/>
  <c r="J135" i="52"/>
  <c r="J30" i="52"/>
  <c r="J147" i="52"/>
  <c r="J7" i="52"/>
  <c r="J68" i="52"/>
  <c r="J69" i="52"/>
  <c r="J183" i="52"/>
  <c r="J98" i="52"/>
  <c r="J19" i="52"/>
  <c r="J134" i="52"/>
  <c r="J156" i="52"/>
  <c r="J15" i="52"/>
  <c r="J129" i="52"/>
  <c r="J57" i="52"/>
  <c r="J170" i="52"/>
  <c r="J8" i="52"/>
  <c r="J117" i="52"/>
  <c r="J154" i="52"/>
  <c r="J39" i="52"/>
  <c r="J150" i="52"/>
  <c r="J197" i="52"/>
  <c r="J29" i="52"/>
  <c r="J146" i="52"/>
  <c r="J192" i="52"/>
  <c r="J49" i="52"/>
  <c r="J160" i="52"/>
  <c r="J193" i="52"/>
  <c r="J109" i="52"/>
  <c r="J124" i="52"/>
  <c r="J60" i="52"/>
  <c r="J62" i="52"/>
  <c r="J173" i="52"/>
  <c r="J53" i="52"/>
  <c r="J56" i="52"/>
  <c r="J166" i="52"/>
  <c r="J180" i="52"/>
  <c r="J41" i="52"/>
  <c r="J153" i="52"/>
  <c r="J94" i="52"/>
  <c r="J74" i="52"/>
  <c r="J189" i="52"/>
  <c r="J195" i="52"/>
  <c r="J112" i="52"/>
  <c r="J101" i="52"/>
  <c r="J186" i="52"/>
  <c r="J105" i="52"/>
  <c r="J165" i="52"/>
  <c r="J12" i="52"/>
  <c r="J121" i="52"/>
  <c r="J152" i="52"/>
  <c r="J35" i="52"/>
  <c r="J149" i="52"/>
  <c r="J18" i="52"/>
  <c r="J185" i="52"/>
  <c r="J104" i="52"/>
  <c r="J84" i="52"/>
  <c r="J174" i="52"/>
  <c r="J99" i="52"/>
  <c r="J6" i="52"/>
  <c r="J26" i="52"/>
  <c r="J143" i="52"/>
  <c r="J194" i="52"/>
  <c r="J136" i="52"/>
  <c r="J89" i="52"/>
  <c r="J82" i="52"/>
  <c r="J14" i="52"/>
  <c r="J128" i="52"/>
  <c r="J132" i="52"/>
  <c r="J11" i="52"/>
  <c r="J119" i="52"/>
  <c r="J179" i="52"/>
  <c r="J122" i="52"/>
  <c r="J21" i="52"/>
  <c r="J137" i="52"/>
  <c r="J175" i="52"/>
  <c r="J123" i="52"/>
  <c r="J81" i="52"/>
  <c r="J63" i="52"/>
  <c r="J28" i="52"/>
  <c r="J145" i="52"/>
  <c r="J178" i="52"/>
  <c r="J25" i="52"/>
  <c r="J141" i="52"/>
  <c r="J85" i="52"/>
  <c r="J16" i="52"/>
  <c r="J130" i="52"/>
  <c r="J163" i="52"/>
  <c r="J37" i="52"/>
  <c r="J44" i="52"/>
  <c r="J155" i="52"/>
  <c r="J176" i="52"/>
  <c r="J125" i="52"/>
  <c r="J86" i="52"/>
  <c r="J32" i="52"/>
  <c r="J116" i="52"/>
  <c r="J79" i="52"/>
  <c r="J191" i="52"/>
  <c r="J159" i="52"/>
  <c r="J67" i="52"/>
  <c r="J92" i="52"/>
  <c r="J78" i="52"/>
  <c r="J13" i="52"/>
  <c r="J126" i="52"/>
  <c r="R44" i="42"/>
  <c r="L4" i="55"/>
  <c r="K53" i="55"/>
  <c r="K81" i="55"/>
  <c r="K105" i="55"/>
  <c r="K125" i="55"/>
  <c r="K157" i="55"/>
  <c r="K173" i="55"/>
  <c r="K33" i="55"/>
  <c r="K101" i="55"/>
  <c r="K109" i="55"/>
  <c r="K145" i="55"/>
  <c r="K169" i="55"/>
  <c r="K17" i="55"/>
  <c r="K37" i="55"/>
  <c r="K117" i="55"/>
  <c r="K189" i="55"/>
  <c r="K25" i="55"/>
  <c r="K45" i="55"/>
  <c r="K29" i="55"/>
  <c r="K128" i="55"/>
  <c r="K6" i="55"/>
  <c r="K10" i="55"/>
  <c r="K14" i="55"/>
  <c r="K18" i="55"/>
  <c r="K26" i="55"/>
  <c r="K30" i="55"/>
  <c r="K34" i="55"/>
  <c r="K38" i="55"/>
  <c r="K42" i="55"/>
  <c r="K46" i="55"/>
  <c r="K58" i="55"/>
  <c r="K66" i="55"/>
  <c r="K70" i="55"/>
  <c r="K74" i="55"/>
  <c r="K78" i="55"/>
  <c r="K82" i="55"/>
  <c r="K86" i="55"/>
  <c r="K90" i="55"/>
  <c r="K94" i="55"/>
  <c r="K98" i="55"/>
  <c r="K102" i="55"/>
  <c r="K106" i="55"/>
  <c r="K110" i="55"/>
  <c r="K118" i="55"/>
  <c r="K122" i="55"/>
  <c r="K69" i="55"/>
  <c r="K97" i="55"/>
  <c r="K197" i="55"/>
  <c r="K41" i="55"/>
  <c r="K65" i="55"/>
  <c r="K61" i="55"/>
  <c r="K21" i="55"/>
  <c r="K12" i="55"/>
  <c r="K16" i="55"/>
  <c r="K28" i="55"/>
  <c r="K48" i="55"/>
  <c r="K60" i="55"/>
  <c r="K64" i="55"/>
  <c r="K80" i="55"/>
  <c r="K92" i="55"/>
  <c r="K96" i="55"/>
  <c r="K108" i="55"/>
  <c r="K116" i="55"/>
  <c r="K120" i="55"/>
  <c r="K62" i="55"/>
  <c r="K20" i="55"/>
  <c r="K52" i="55"/>
  <c r="K56" i="55"/>
  <c r="K72" i="55"/>
  <c r="K84" i="55"/>
  <c r="K88" i="55"/>
  <c r="K100" i="55"/>
  <c r="K104" i="55"/>
  <c r="K112" i="55"/>
  <c r="K124" i="55"/>
  <c r="K134" i="55"/>
  <c r="K138" i="55"/>
  <c r="K142" i="55"/>
  <c r="K146" i="55"/>
  <c r="K150" i="55"/>
  <c r="K154" i="55"/>
  <c r="K158" i="55"/>
  <c r="K162" i="55"/>
  <c r="K166" i="55"/>
  <c r="K170" i="55"/>
  <c r="K174" i="55"/>
  <c r="K178" i="55"/>
  <c r="K182" i="55"/>
  <c r="K186" i="55"/>
  <c r="K190" i="55"/>
  <c r="K194" i="55"/>
  <c r="K198" i="55"/>
  <c r="K121" i="55"/>
  <c r="K85" i="55"/>
  <c r="K13" i="55"/>
  <c r="K32" i="55"/>
  <c r="K8" i="55"/>
  <c r="K114" i="55"/>
  <c r="K11" i="55"/>
  <c r="K15" i="55"/>
  <c r="K19" i="55"/>
  <c r="K27" i="55"/>
  <c r="K71" i="55"/>
  <c r="K111" i="55"/>
  <c r="K115" i="55"/>
  <c r="K167" i="55"/>
  <c r="K129" i="55"/>
  <c r="K161" i="55"/>
  <c r="K177" i="55"/>
  <c r="K193" i="55"/>
  <c r="K9" i="55"/>
  <c r="K77" i="55"/>
  <c r="K36" i="55"/>
  <c r="K50" i="55"/>
  <c r="K130" i="55"/>
  <c r="K131" i="55"/>
  <c r="K57" i="55"/>
  <c r="K181" i="55"/>
  <c r="K73" i="55"/>
  <c r="K89" i="55"/>
  <c r="K5" i="55"/>
  <c r="K136" i="55"/>
  <c r="K156" i="55"/>
  <c r="K172" i="55"/>
  <c r="K188" i="55"/>
  <c r="K24" i="55"/>
  <c r="K22" i="55"/>
  <c r="K23" i="55"/>
  <c r="K51" i="55"/>
  <c r="K55" i="55"/>
  <c r="K59" i="55"/>
  <c r="K79" i="55"/>
  <c r="K95" i="55"/>
  <c r="K123" i="55"/>
  <c r="K135" i="55"/>
  <c r="K151" i="55"/>
  <c r="K183" i="55"/>
  <c r="K76" i="55"/>
  <c r="K140" i="55"/>
  <c r="K152" i="55"/>
  <c r="K168" i="55"/>
  <c r="K184" i="55"/>
  <c r="K141" i="55"/>
  <c r="K148" i="55"/>
  <c r="K160" i="55"/>
  <c r="K176" i="55"/>
  <c r="K192" i="55"/>
  <c r="K40" i="55"/>
  <c r="K54" i="55"/>
  <c r="K68" i="55"/>
  <c r="K164" i="55"/>
  <c r="K7" i="55"/>
  <c r="K49" i="55"/>
  <c r="K144" i="55"/>
  <c r="K39" i="55"/>
  <c r="K43" i="55"/>
  <c r="K165" i="55"/>
  <c r="K196" i="55"/>
  <c r="K35" i="55"/>
  <c r="K132" i="55"/>
  <c r="K180" i="55"/>
  <c r="K31" i="55"/>
  <c r="K63" i="55"/>
  <c r="K91" i="55"/>
  <c r="K107" i="55"/>
  <c r="K143" i="55"/>
  <c r="K159" i="55"/>
  <c r="K171" i="55"/>
  <c r="K191" i="55"/>
  <c r="K47" i="55"/>
  <c r="K83" i="55"/>
  <c r="K87" i="55"/>
  <c r="K99" i="55"/>
  <c r="K103" i="55"/>
  <c r="K127" i="55"/>
  <c r="K93" i="55"/>
  <c r="K67" i="55"/>
  <c r="K75" i="55"/>
  <c r="K139" i="55"/>
  <c r="K147" i="55"/>
  <c r="K155" i="55"/>
  <c r="K163" i="55"/>
  <c r="K175" i="55"/>
  <c r="K179" i="55"/>
  <c r="K187" i="55"/>
  <c r="K195" i="55"/>
  <c r="L4" i="56"/>
  <c r="K98" i="56"/>
  <c r="K70" i="56"/>
  <c r="K39" i="56"/>
  <c r="K47" i="56"/>
  <c r="K55" i="56"/>
  <c r="K67" i="56"/>
  <c r="K71" i="56"/>
  <c r="K91" i="56"/>
  <c r="K103" i="56"/>
  <c r="K115" i="56"/>
  <c r="K127" i="56"/>
  <c r="K131" i="56"/>
  <c r="K139" i="56"/>
  <c r="K159" i="56"/>
  <c r="K167" i="56"/>
  <c r="K183" i="56"/>
  <c r="K48" i="56"/>
  <c r="K52" i="56"/>
  <c r="K80" i="56"/>
  <c r="K84" i="56"/>
  <c r="K124" i="56"/>
  <c r="K148" i="56"/>
  <c r="K156" i="56"/>
  <c r="K51" i="56"/>
  <c r="K59" i="56"/>
  <c r="K99" i="56"/>
  <c r="K107" i="56"/>
  <c r="K111" i="56"/>
  <c r="K147" i="56"/>
  <c r="K163" i="56"/>
  <c r="K171" i="56"/>
  <c r="K40" i="56"/>
  <c r="K68" i="56"/>
  <c r="K96" i="56"/>
  <c r="K120" i="56"/>
  <c r="K140" i="56"/>
  <c r="K9" i="56"/>
  <c r="K17" i="56"/>
  <c r="K25" i="56"/>
  <c r="K29" i="56"/>
  <c r="K45" i="56"/>
  <c r="K61" i="56"/>
  <c r="K77" i="56"/>
  <c r="K105" i="56"/>
  <c r="K150" i="56"/>
  <c r="K26" i="56"/>
  <c r="K134" i="56"/>
  <c r="K10" i="56"/>
  <c r="K42" i="56"/>
  <c r="K31" i="56"/>
  <c r="K43" i="56"/>
  <c r="K95" i="56"/>
  <c r="K151" i="56"/>
  <c r="K155" i="56"/>
  <c r="K175" i="56"/>
  <c r="K8" i="56"/>
  <c r="K12" i="56"/>
  <c r="K24" i="56"/>
  <c r="K64" i="56"/>
  <c r="K112" i="56"/>
  <c r="K132" i="56"/>
  <c r="K89" i="56"/>
  <c r="K109" i="56"/>
  <c r="K117" i="56"/>
  <c r="K121" i="56"/>
  <c r="K129" i="56"/>
  <c r="K197" i="56"/>
  <c r="K154" i="56"/>
  <c r="K66" i="56"/>
  <c r="K86" i="56"/>
  <c r="K102" i="56"/>
  <c r="K83" i="56"/>
  <c r="K87" i="56"/>
  <c r="K16" i="56"/>
  <c r="K5" i="56"/>
  <c r="K21" i="56"/>
  <c r="K37" i="56"/>
  <c r="K57" i="56"/>
  <c r="K125" i="56"/>
  <c r="K145" i="56"/>
  <c r="K173" i="56"/>
  <c r="K189" i="56"/>
  <c r="K158" i="56"/>
  <c r="K14" i="56"/>
  <c r="K50" i="56"/>
  <c r="K30" i="56"/>
  <c r="K54" i="56"/>
  <c r="K160" i="56"/>
  <c r="K168" i="56"/>
  <c r="K176" i="56"/>
  <c r="K36" i="56"/>
  <c r="K60" i="56"/>
  <c r="K76" i="56"/>
  <c r="K92" i="56"/>
  <c r="K108" i="56"/>
  <c r="K122" i="56"/>
  <c r="K32" i="56"/>
  <c r="K58" i="56"/>
  <c r="K90" i="56"/>
  <c r="K169" i="56"/>
  <c r="K196" i="56"/>
  <c r="K186" i="56"/>
  <c r="K162" i="56"/>
  <c r="K178" i="56"/>
  <c r="K75" i="56"/>
  <c r="K79" i="56"/>
  <c r="K179" i="56"/>
  <c r="K28" i="56"/>
  <c r="K53" i="56"/>
  <c r="K101" i="56"/>
  <c r="K165" i="56"/>
  <c r="K177" i="56"/>
  <c r="K146" i="56"/>
  <c r="K22" i="56"/>
  <c r="K184" i="56"/>
  <c r="K118" i="56"/>
  <c r="K144" i="56"/>
  <c r="K193" i="56"/>
  <c r="K27" i="56"/>
  <c r="K63" i="56"/>
  <c r="K100" i="56"/>
  <c r="K73" i="56"/>
  <c r="K180" i="56"/>
  <c r="K192" i="56"/>
  <c r="K38" i="56"/>
  <c r="K78" i="56"/>
  <c r="K138" i="56"/>
  <c r="K19" i="56"/>
  <c r="K23" i="56"/>
  <c r="K123" i="56"/>
  <c r="K143" i="56"/>
  <c r="K33" i="56"/>
  <c r="K69" i="56"/>
  <c r="K93" i="56"/>
  <c r="K157" i="56"/>
  <c r="K142" i="56"/>
  <c r="K6" i="56"/>
  <c r="K11" i="56"/>
  <c r="K15" i="56"/>
  <c r="K135" i="56"/>
  <c r="K20" i="56"/>
  <c r="K85" i="56"/>
  <c r="K161" i="56"/>
  <c r="K181" i="56"/>
  <c r="K82" i="56"/>
  <c r="K18" i="56"/>
  <c r="K164" i="56"/>
  <c r="K35" i="56"/>
  <c r="K62" i="56"/>
  <c r="K94" i="56"/>
  <c r="K128" i="56"/>
  <c r="K152" i="56"/>
  <c r="K49" i="56"/>
  <c r="K81" i="56"/>
  <c r="K114" i="56"/>
  <c r="K190" i="56"/>
  <c r="K198" i="56"/>
  <c r="K170" i="56"/>
  <c r="K7" i="56"/>
  <c r="K13" i="56"/>
  <c r="K130" i="56"/>
  <c r="K72" i="56"/>
  <c r="K104" i="56"/>
  <c r="K188" i="56"/>
  <c r="K187" i="56"/>
  <c r="K141" i="56"/>
  <c r="K110" i="56"/>
  <c r="K136" i="56"/>
  <c r="K174" i="56"/>
  <c r="K172" i="56"/>
  <c r="K46" i="56"/>
  <c r="K194" i="56"/>
  <c r="K116" i="56"/>
  <c r="K34" i="56"/>
  <c r="K191" i="56"/>
  <c r="K195" i="56"/>
  <c r="K166" i="56"/>
  <c r="K41" i="56"/>
  <c r="K56" i="56"/>
  <c r="K65" i="56"/>
  <c r="K74" i="56"/>
  <c r="K88" i="56"/>
  <c r="K97" i="56"/>
  <c r="K106" i="56"/>
  <c r="K182" i="56"/>
  <c r="L4" i="54"/>
  <c r="K99" i="54"/>
  <c r="K104" i="54"/>
  <c r="K128" i="54"/>
  <c r="K140" i="54"/>
  <c r="K145" i="54"/>
  <c r="K160" i="54"/>
  <c r="K166" i="54"/>
  <c r="K81" i="54"/>
  <c r="K95" i="54"/>
  <c r="K12" i="54"/>
  <c r="K22" i="54"/>
  <c r="K49" i="54"/>
  <c r="K70" i="54"/>
  <c r="K7" i="54"/>
  <c r="K24" i="54"/>
  <c r="K27" i="54"/>
  <c r="K36" i="54"/>
  <c r="K41" i="54"/>
  <c r="K55" i="54"/>
  <c r="K58" i="54"/>
  <c r="K176" i="54"/>
  <c r="K32" i="54"/>
  <c r="K52" i="54"/>
  <c r="K60" i="54"/>
  <c r="K64" i="54"/>
  <c r="K68" i="54"/>
  <c r="K108" i="54"/>
  <c r="K124" i="54"/>
  <c r="K148" i="54"/>
  <c r="K168" i="54"/>
  <c r="K129" i="54"/>
  <c r="K173" i="54"/>
  <c r="K112" i="54"/>
  <c r="K144" i="54"/>
  <c r="K138" i="54"/>
  <c r="K162" i="54"/>
  <c r="K194" i="54"/>
  <c r="K79" i="54"/>
  <c r="K88" i="54"/>
  <c r="K96" i="54"/>
  <c r="K115" i="54"/>
  <c r="K135" i="54"/>
  <c r="K155" i="54"/>
  <c r="K11" i="54"/>
  <c r="K15" i="54"/>
  <c r="K21" i="54"/>
  <c r="K30" i="54"/>
  <c r="K48" i="54"/>
  <c r="K59" i="54"/>
  <c r="K69" i="54"/>
  <c r="K74" i="54"/>
  <c r="K78" i="54"/>
  <c r="K91" i="54"/>
  <c r="K103" i="54"/>
  <c r="K147" i="54"/>
  <c r="K167" i="54"/>
  <c r="K110" i="54"/>
  <c r="K130" i="54"/>
  <c r="K146" i="54"/>
  <c r="K174" i="54"/>
  <c r="K5" i="54"/>
  <c r="K136" i="54"/>
  <c r="K184" i="54"/>
  <c r="K105" i="54"/>
  <c r="K117" i="54"/>
  <c r="K121" i="54"/>
  <c r="K161" i="54"/>
  <c r="K189" i="54"/>
  <c r="K188" i="54"/>
  <c r="K158" i="54"/>
  <c r="K190" i="54"/>
  <c r="K80" i="54"/>
  <c r="K86" i="54"/>
  <c r="K89" i="54"/>
  <c r="K151" i="54"/>
  <c r="K191" i="54"/>
  <c r="K10" i="54"/>
  <c r="K14" i="54"/>
  <c r="K19" i="54"/>
  <c r="K29" i="54"/>
  <c r="K47" i="54"/>
  <c r="K53" i="54"/>
  <c r="K66" i="54"/>
  <c r="K73" i="54"/>
  <c r="K77" i="54"/>
  <c r="K85" i="54"/>
  <c r="K109" i="54"/>
  <c r="K141" i="54"/>
  <c r="K43" i="54"/>
  <c r="K51" i="54"/>
  <c r="K63" i="54"/>
  <c r="K67" i="54"/>
  <c r="K71" i="54"/>
  <c r="K75" i="54"/>
  <c r="K107" i="54"/>
  <c r="K111" i="54"/>
  <c r="K123" i="54"/>
  <c r="K127" i="54"/>
  <c r="K131" i="54"/>
  <c r="K139" i="54"/>
  <c r="K159" i="54"/>
  <c r="K163" i="54"/>
  <c r="K171" i="54"/>
  <c r="K175" i="54"/>
  <c r="K179" i="54"/>
  <c r="K198" i="54"/>
  <c r="K195" i="54"/>
  <c r="K94" i="54"/>
  <c r="K98" i="54"/>
  <c r="K102" i="54"/>
  <c r="K114" i="54"/>
  <c r="K122" i="54"/>
  <c r="K142" i="54"/>
  <c r="K154" i="54"/>
  <c r="K178" i="54"/>
  <c r="K182" i="54"/>
  <c r="K186" i="54"/>
  <c r="K83" i="54"/>
  <c r="K177" i="54"/>
  <c r="K87" i="54"/>
  <c r="K183" i="54"/>
  <c r="K6" i="54"/>
  <c r="K16" i="54"/>
  <c r="K35" i="54"/>
  <c r="K62" i="54"/>
  <c r="K20" i="54"/>
  <c r="K25" i="54"/>
  <c r="K28" i="54"/>
  <c r="K39" i="54"/>
  <c r="K45" i="54"/>
  <c r="K56" i="54"/>
  <c r="K57" i="54"/>
  <c r="K84" i="54"/>
  <c r="K92" i="54"/>
  <c r="K100" i="54"/>
  <c r="K116" i="54"/>
  <c r="K120" i="54"/>
  <c r="K152" i="54"/>
  <c r="K192" i="54"/>
  <c r="K82" i="54"/>
  <c r="K90" i="54"/>
  <c r="K37" i="54"/>
  <c r="K23" i="54"/>
  <c r="K31" i="54"/>
  <c r="K76" i="54"/>
  <c r="K132" i="54"/>
  <c r="K156" i="54"/>
  <c r="K164" i="54"/>
  <c r="K196" i="54"/>
  <c r="K172" i="54"/>
  <c r="K157" i="54"/>
  <c r="K181" i="54"/>
  <c r="K180" i="54"/>
  <c r="K106" i="54"/>
  <c r="K118" i="54"/>
  <c r="K134" i="54"/>
  <c r="K150" i="54"/>
  <c r="K170" i="54"/>
  <c r="K97" i="54"/>
  <c r="K143" i="54"/>
  <c r="K187" i="54"/>
  <c r="K8" i="54"/>
  <c r="K13" i="54"/>
  <c r="K17" i="54"/>
  <c r="K26" i="54"/>
  <c r="K40" i="54"/>
  <c r="K50" i="54"/>
  <c r="K65" i="54"/>
  <c r="K72" i="54"/>
  <c r="K9" i="54"/>
  <c r="K33" i="54"/>
  <c r="K61" i="54"/>
  <c r="K93" i="54"/>
  <c r="K101" i="54"/>
  <c r="K125" i="54"/>
  <c r="K165" i="54"/>
  <c r="K169" i="54"/>
  <c r="K193" i="54"/>
  <c r="K197" i="54"/>
  <c r="K18" i="54"/>
  <c r="K34" i="54"/>
  <c r="K38" i="54"/>
  <c r="K42" i="54"/>
  <c r="K46" i="54"/>
  <c r="K54" i="54"/>
  <c r="G128" i="43"/>
  <c r="G151" i="43"/>
  <c r="G173" i="43"/>
  <c r="G169" i="43"/>
  <c r="G182" i="43"/>
  <c r="G51" i="43"/>
  <c r="G160" i="43"/>
  <c r="G8" i="43"/>
  <c r="G43" i="43"/>
  <c r="G163" i="43"/>
  <c r="H65" i="43"/>
  <c r="H176" i="43"/>
  <c r="H192" i="43"/>
  <c r="H93" i="43"/>
  <c r="G11" i="43"/>
  <c r="G24" i="43"/>
  <c r="H32" i="43"/>
  <c r="G64" i="43"/>
  <c r="H130" i="43"/>
  <c r="G69" i="43"/>
  <c r="G76" i="43"/>
  <c r="H85" i="43"/>
  <c r="H92" i="43"/>
  <c r="G106" i="43"/>
  <c r="G114" i="43"/>
  <c r="G147" i="43"/>
  <c r="G167" i="43"/>
  <c r="G188" i="43"/>
  <c r="G197" i="43"/>
  <c r="G59" i="43"/>
  <c r="H135" i="43"/>
  <c r="H195" i="43"/>
  <c r="G33" i="43"/>
  <c r="H108" i="43"/>
  <c r="G124" i="43"/>
  <c r="G155" i="43"/>
  <c r="G162" i="43"/>
  <c r="G179" i="43"/>
  <c r="G193" i="43"/>
  <c r="G7" i="43"/>
  <c r="H9" i="43"/>
  <c r="G12" i="43"/>
  <c r="G15" i="43"/>
  <c r="H17" i="43"/>
  <c r="G20" i="43"/>
  <c r="G31" i="43"/>
  <c r="G39" i="43"/>
  <c r="G47" i="43"/>
  <c r="G50" i="43"/>
  <c r="G55" i="43"/>
  <c r="G60" i="43"/>
  <c r="G70" i="43"/>
  <c r="G72" i="43"/>
  <c r="G81" i="43"/>
  <c r="G91" i="43"/>
  <c r="G95" i="43"/>
  <c r="G102" i="43"/>
  <c r="G107" i="43"/>
  <c r="G110" i="43"/>
  <c r="G116" i="43"/>
  <c r="G120" i="43"/>
  <c r="G127" i="43"/>
  <c r="G129" i="43"/>
  <c r="G134" i="43"/>
  <c r="G141" i="43"/>
  <c r="G144" i="43"/>
  <c r="G145" i="43"/>
  <c r="G156" i="43"/>
  <c r="G157" i="43"/>
  <c r="G158" i="43"/>
  <c r="G159" i="43"/>
  <c r="G161" i="43"/>
  <c r="G166" i="43"/>
  <c r="G174" i="43"/>
  <c r="G181" i="43"/>
  <c r="H40" i="43"/>
  <c r="G80" i="43"/>
  <c r="G94" i="43"/>
  <c r="G122" i="43"/>
  <c r="H138" i="43"/>
  <c r="G150" i="43"/>
  <c r="H19" i="43"/>
  <c r="G25" i="43"/>
  <c r="G30" i="43"/>
  <c r="G46" i="43"/>
  <c r="H57" i="43"/>
  <c r="H62" i="43"/>
  <c r="H67" i="43"/>
  <c r="G90" i="43"/>
  <c r="G99" i="43"/>
  <c r="G154" i="43"/>
  <c r="G10" i="43"/>
  <c r="G13" i="43"/>
  <c r="G21" i="43"/>
  <c r="G26" i="43"/>
  <c r="G29" i="43"/>
  <c r="G34" i="43"/>
  <c r="G37" i="43"/>
  <c r="G42" i="43"/>
  <c r="G45" i="43"/>
  <c r="G53" i="43"/>
  <c r="G61" i="43"/>
  <c r="G66" i="43"/>
  <c r="G68" i="43"/>
  <c r="G71" i="43"/>
  <c r="G77" i="43"/>
  <c r="G84" i="43"/>
  <c r="G87" i="43"/>
  <c r="G89" i="43"/>
  <c r="G98" i="43"/>
  <c r="G101" i="43"/>
  <c r="G103" i="43"/>
  <c r="G105" i="43"/>
  <c r="G111" i="43"/>
  <c r="G112" i="43"/>
  <c r="G115" i="43"/>
  <c r="G118" i="43"/>
  <c r="G121" i="43"/>
  <c r="G131" i="43"/>
  <c r="G139" i="43"/>
  <c r="G140" i="43"/>
  <c r="G143" i="43"/>
  <c r="G146" i="43"/>
  <c r="G148" i="43"/>
  <c r="G152" i="43"/>
  <c r="G164" i="43"/>
  <c r="G168" i="43"/>
  <c r="G170" i="43"/>
  <c r="G172" i="43"/>
  <c r="G178" i="43"/>
  <c r="G183" i="43"/>
  <c r="G189" i="43"/>
  <c r="G194" i="43"/>
  <c r="G198" i="43"/>
  <c r="J5" i="52"/>
  <c r="J4" i="45"/>
  <c r="G4" i="40"/>
  <c r="H4" i="40" s="1"/>
  <c r="I4" i="40" s="1"/>
  <c r="J4" i="40" s="1"/>
  <c r="K4" i="40" s="1"/>
  <c r="L4" i="40" s="1"/>
  <c r="M4" i="40" s="1"/>
  <c r="N4" i="40" s="1"/>
  <c r="O4" i="40" s="1"/>
  <c r="P4" i="40" s="1"/>
  <c r="Q4" i="40" s="1"/>
  <c r="R4" i="40" s="1"/>
  <c r="S4" i="40" s="1"/>
  <c r="T4" i="40" s="1"/>
  <c r="U4" i="40" s="1"/>
  <c r="V4" i="40" s="1"/>
  <c r="W4" i="40" s="1"/>
  <c r="X4" i="40" s="1"/>
  <c r="Y4" i="40" s="1"/>
  <c r="Z4" i="40" s="1"/>
  <c r="AA4" i="40" s="1"/>
  <c r="L5" i="40" l="1"/>
  <c r="L9" i="40"/>
  <c r="L6" i="40"/>
  <c r="L33" i="40"/>
  <c r="L7" i="40"/>
  <c r="H86" i="43"/>
  <c r="H14" i="43"/>
  <c r="H100" i="43"/>
  <c r="I100" i="43" s="1"/>
  <c r="H78" i="43"/>
  <c r="I78" i="43" s="1"/>
  <c r="H56" i="43"/>
  <c r="H75" i="43"/>
  <c r="H54" i="43"/>
  <c r="I54" i="43" s="1"/>
  <c r="H22" i="43"/>
  <c r="I22" i="43" s="1"/>
  <c r="S137" i="42"/>
  <c r="S102" i="42"/>
  <c r="T102" i="42" s="1"/>
  <c r="S72" i="42"/>
  <c r="T72" i="42" s="1"/>
  <c r="S131" i="42"/>
  <c r="T131" i="42" s="1"/>
  <c r="S107" i="42"/>
  <c r="H177" i="43"/>
  <c r="H196" i="43"/>
  <c r="H23" i="43"/>
  <c r="H41" i="43"/>
  <c r="H6" i="43"/>
  <c r="H117" i="43"/>
  <c r="H74" i="43"/>
  <c r="H51" i="43"/>
  <c r="H184" i="43"/>
  <c r="I184" i="43" s="1"/>
  <c r="H73" i="43"/>
  <c r="H36" i="43"/>
  <c r="I36" i="43" s="1"/>
  <c r="H109" i="43"/>
  <c r="I109" i="43" s="1"/>
  <c r="H79" i="43"/>
  <c r="H58" i="43"/>
  <c r="H35" i="43"/>
  <c r="S177" i="42"/>
  <c r="S196" i="42"/>
  <c r="T196" i="42" s="1"/>
  <c r="S23" i="42"/>
  <c r="S109" i="42"/>
  <c r="S34" i="42"/>
  <c r="T34" i="42" s="1"/>
  <c r="S175" i="42"/>
  <c r="T175" i="42" s="1"/>
  <c r="S129" i="42"/>
  <c r="S90" i="42"/>
  <c r="T90" i="42" s="1"/>
  <c r="S5" i="42"/>
  <c r="H169" i="43"/>
  <c r="S166" i="42"/>
  <c r="S140" i="42"/>
  <c r="S124" i="42"/>
  <c r="S104" i="42"/>
  <c r="S52" i="42"/>
  <c r="S26" i="42"/>
  <c r="S7" i="42"/>
  <c r="S127" i="42"/>
  <c r="S64" i="42"/>
  <c r="S19" i="42"/>
  <c r="S31" i="42"/>
  <c r="S139" i="42"/>
  <c r="S113" i="42"/>
  <c r="S54" i="42"/>
  <c r="S6" i="42"/>
  <c r="S60" i="42"/>
  <c r="S12" i="42"/>
  <c r="S176" i="42"/>
  <c r="S161" i="42"/>
  <c r="S130" i="42"/>
  <c r="S112" i="42"/>
  <c r="S84" i="42"/>
  <c r="S194" i="42"/>
  <c r="S178" i="42"/>
  <c r="S163" i="42"/>
  <c r="S141" i="42"/>
  <c r="S125" i="42"/>
  <c r="S108" i="42"/>
  <c r="S95" i="42"/>
  <c r="S83" i="42"/>
  <c r="S65" i="42"/>
  <c r="S49" i="42"/>
  <c r="S24" i="42"/>
  <c r="S61" i="42"/>
  <c r="S45" i="42"/>
  <c r="S94" i="42"/>
  <c r="S103" i="42"/>
  <c r="S187" i="42"/>
  <c r="S170" i="42"/>
  <c r="S150" i="42"/>
  <c r="S128" i="42"/>
  <c r="S114" i="42"/>
  <c r="S75" i="42"/>
  <c r="S55" i="42"/>
  <c r="S36" i="42"/>
  <c r="S10" i="42"/>
  <c r="S153" i="42"/>
  <c r="S97" i="42"/>
  <c r="S67" i="42"/>
  <c r="S32" i="42"/>
  <c r="S47" i="42"/>
  <c r="S146" i="42"/>
  <c r="S123" i="42"/>
  <c r="S71" i="42"/>
  <c r="S22" i="42"/>
  <c r="S28" i="42"/>
  <c r="S11" i="42"/>
  <c r="S179" i="42"/>
  <c r="S164" i="42"/>
  <c r="S145" i="42"/>
  <c r="S134" i="42"/>
  <c r="S115" i="42"/>
  <c r="S96" i="42"/>
  <c r="S50" i="42"/>
  <c r="S197" i="42"/>
  <c r="S184" i="42"/>
  <c r="S167" i="42"/>
  <c r="S144" i="42"/>
  <c r="S111" i="42"/>
  <c r="S69" i="42"/>
  <c r="S56" i="42"/>
  <c r="S27" i="42"/>
  <c r="S92" i="42"/>
  <c r="S119" i="42"/>
  <c r="S192" i="42"/>
  <c r="S73" i="42"/>
  <c r="S193" i="42"/>
  <c r="S174" i="42"/>
  <c r="S154" i="42"/>
  <c r="S132" i="42"/>
  <c r="S117" i="42"/>
  <c r="S98" i="42"/>
  <c r="S79" i="42"/>
  <c r="S58" i="42"/>
  <c r="S39" i="42"/>
  <c r="S20" i="42"/>
  <c r="S110" i="42"/>
  <c r="S74" i="42"/>
  <c r="S38" i="42"/>
  <c r="S63" i="42"/>
  <c r="S182" i="42"/>
  <c r="S169" i="42"/>
  <c r="S149" i="42"/>
  <c r="S78" i="42"/>
  <c r="S35" i="42"/>
  <c r="S198" i="42"/>
  <c r="S181" i="42"/>
  <c r="S168" i="42"/>
  <c r="S148" i="42"/>
  <c r="S138" i="42"/>
  <c r="S122" i="42"/>
  <c r="S99" i="42"/>
  <c r="S188" i="42"/>
  <c r="S171" i="42"/>
  <c r="S157" i="42"/>
  <c r="S147" i="42"/>
  <c r="S133" i="42"/>
  <c r="S118" i="42"/>
  <c r="S76" i="42"/>
  <c r="S59" i="42"/>
  <c r="S43" i="42"/>
  <c r="S30" i="42"/>
  <c r="S8" i="42"/>
  <c r="S158" i="42"/>
  <c r="S53" i="42"/>
  <c r="S143" i="42"/>
  <c r="S37" i="42"/>
  <c r="S25" i="42"/>
  <c r="S156" i="42"/>
  <c r="S81" i="42"/>
  <c r="S159" i="42"/>
  <c r="S136" i="42"/>
  <c r="S120" i="42"/>
  <c r="S101" i="42"/>
  <c r="S82" i="42"/>
  <c r="S68" i="42"/>
  <c r="S42" i="42"/>
  <c r="S116" i="42"/>
  <c r="S51" i="42"/>
  <c r="S16" i="42"/>
  <c r="S77" i="42"/>
  <c r="S15" i="42"/>
  <c r="S186" i="42"/>
  <c r="S162" i="42"/>
  <c r="S135" i="42"/>
  <c r="S100" i="42"/>
  <c r="S48" i="42"/>
  <c r="S91" i="42"/>
  <c r="S185" i="42"/>
  <c r="S172" i="42"/>
  <c r="S152" i="42"/>
  <c r="S126" i="42"/>
  <c r="S18" i="42"/>
  <c r="S191" i="42"/>
  <c r="S160" i="42"/>
  <c r="S151" i="42"/>
  <c r="S121" i="42"/>
  <c r="S93" i="42"/>
  <c r="S80" i="42"/>
  <c r="S62" i="42"/>
  <c r="S46" i="42"/>
  <c r="S33" i="42"/>
  <c r="S17" i="42"/>
  <c r="S180" i="42"/>
  <c r="S57" i="42"/>
  <c r="S41" i="42"/>
  <c r="S29" i="42"/>
  <c r="S195" i="42"/>
  <c r="S89" i="42"/>
  <c r="S9" i="42"/>
  <c r="H43" i="43"/>
  <c r="I43" i="43" s="1"/>
  <c r="H182" i="43"/>
  <c r="H128" i="43"/>
  <c r="V155" i="40"/>
  <c r="V135" i="40"/>
  <c r="V92" i="40"/>
  <c r="V156" i="40"/>
  <c r="V144" i="40"/>
  <c r="V133" i="40"/>
  <c r="V74" i="40"/>
  <c r="V65" i="40"/>
  <c r="V129" i="40"/>
  <c r="V13" i="40"/>
  <c r="T87" i="42"/>
  <c r="V179" i="40"/>
  <c r="V70" i="40"/>
  <c r="V188" i="40"/>
  <c r="V167" i="40"/>
  <c r="V185" i="40"/>
  <c r="V113" i="40"/>
  <c r="V43" i="40"/>
  <c r="V109" i="40"/>
  <c r="V170" i="40"/>
  <c r="V186" i="40"/>
  <c r="V146" i="40"/>
  <c r="T13" i="42"/>
  <c r="H125" i="43"/>
  <c r="V173" i="40"/>
  <c r="V140" i="40"/>
  <c r="V86" i="40"/>
  <c r="V94" i="40"/>
  <c r="V196" i="40"/>
  <c r="V37" i="40"/>
  <c r="V12" i="40"/>
  <c r="V128" i="40"/>
  <c r="V51" i="40"/>
  <c r="V149" i="40"/>
  <c r="V28" i="40"/>
  <c r="V97" i="40"/>
  <c r="V88" i="40"/>
  <c r="V119" i="40"/>
  <c r="V192" i="40"/>
  <c r="V136" i="40"/>
  <c r="V78" i="40"/>
  <c r="V102" i="40"/>
  <c r="V112" i="40"/>
  <c r="V165" i="40"/>
  <c r="V168" i="40"/>
  <c r="V138" i="40"/>
  <c r="V180" i="40"/>
  <c r="V132" i="40"/>
  <c r="S165" i="42"/>
  <c r="S88" i="42"/>
  <c r="H8" i="43"/>
  <c r="I8" i="43" s="1"/>
  <c r="L113" i="55"/>
  <c r="L133" i="55"/>
  <c r="L137" i="55"/>
  <c r="L149" i="55"/>
  <c r="L153" i="55"/>
  <c r="L126" i="55"/>
  <c r="L119" i="55"/>
  <c r="L44" i="55"/>
  <c r="L185" i="55"/>
  <c r="V139" i="40"/>
  <c r="V80" i="40"/>
  <c r="V120" i="40"/>
  <c r="V8" i="40"/>
  <c r="V159" i="40"/>
  <c r="V42" i="40"/>
  <c r="V20" i="40"/>
  <c r="V75" i="40"/>
  <c r="V115" i="40"/>
  <c r="S189" i="42"/>
  <c r="H180" i="43"/>
  <c r="H27" i="43"/>
  <c r="V171" i="40"/>
  <c r="V107" i="40"/>
  <c r="V117" i="40"/>
  <c r="V153" i="40"/>
  <c r="V127" i="40"/>
  <c r="V187" i="40"/>
  <c r="V148" i="40"/>
  <c r="V84" i="40"/>
  <c r="V59" i="40"/>
  <c r="V160" i="40"/>
  <c r="V162" i="40"/>
  <c r="V39" i="40"/>
  <c r="V17" i="40"/>
  <c r="V66" i="40"/>
  <c r="V18" i="40"/>
  <c r="V177" i="40"/>
  <c r="V46" i="40"/>
  <c r="V130" i="40"/>
  <c r="V64" i="40"/>
  <c r="V14" i="40"/>
  <c r="V126" i="40"/>
  <c r="S155" i="42"/>
  <c r="V198" i="40"/>
  <c r="V95" i="40"/>
  <c r="V197" i="40"/>
  <c r="V68" i="40"/>
  <c r="V58" i="40"/>
  <c r="V108" i="40"/>
  <c r="V98" i="40"/>
  <c r="V166" i="40"/>
  <c r="V183" i="40"/>
  <c r="V93" i="40"/>
  <c r="V137" i="40"/>
  <c r="V96" i="40"/>
  <c r="V63" i="40"/>
  <c r="V103" i="40"/>
  <c r="V106" i="40"/>
  <c r="V163" i="40"/>
  <c r="V32" i="40"/>
  <c r="V101" i="40"/>
  <c r="V30" i="40"/>
  <c r="V191" i="40"/>
  <c r="V25" i="40"/>
  <c r="V60" i="40"/>
  <c r="V55" i="40"/>
  <c r="V73" i="40"/>
  <c r="V15" i="40"/>
  <c r="V11" i="40"/>
  <c r="V47" i="40"/>
  <c r="V104" i="40"/>
  <c r="S105" i="42"/>
  <c r="H104" i="43"/>
  <c r="S173" i="42"/>
  <c r="H160" i="43"/>
  <c r="I160" i="43" s="1"/>
  <c r="H173" i="43"/>
  <c r="L126" i="54"/>
  <c r="L119" i="54"/>
  <c r="L113" i="54"/>
  <c r="L133" i="54"/>
  <c r="L137" i="54"/>
  <c r="L149" i="54"/>
  <c r="L153" i="54"/>
  <c r="L185" i="54"/>
  <c r="L44" i="54"/>
  <c r="V152" i="40"/>
  <c r="V114" i="40"/>
  <c r="V118" i="40"/>
  <c r="V49" i="40"/>
  <c r="V158" i="40"/>
  <c r="V142" i="40"/>
  <c r="V145" i="40"/>
  <c r="V19" i="40"/>
  <c r="V134" i="40"/>
  <c r="S14" i="42"/>
  <c r="V122" i="40"/>
  <c r="V27" i="40"/>
  <c r="V34" i="40"/>
  <c r="V24" i="40"/>
  <c r="V174" i="40"/>
  <c r="V110" i="40"/>
  <c r="V87" i="40"/>
  <c r="V154" i="40"/>
  <c r="V193" i="40"/>
  <c r="V176" i="40"/>
  <c r="V36" i="40"/>
  <c r="V52" i="40"/>
  <c r="V125" i="40"/>
  <c r="V141" i="40"/>
  <c r="S86" i="42"/>
  <c r="S70" i="42"/>
  <c r="S21" i="42"/>
  <c r="V100" i="40"/>
  <c r="V105" i="40"/>
  <c r="V57" i="40"/>
  <c r="V61" i="40"/>
  <c r="V62" i="40"/>
  <c r="V150" i="40"/>
  <c r="V16" i="40"/>
  <c r="V81" i="40"/>
  <c r="V124" i="40"/>
  <c r="S85" i="42"/>
  <c r="S66" i="42"/>
  <c r="V26" i="40"/>
  <c r="V56" i="40"/>
  <c r="V41" i="40"/>
  <c r="V195" i="40"/>
  <c r="V89" i="40"/>
  <c r="V31" i="40"/>
  <c r="V23" i="40"/>
  <c r="V175" i="40"/>
  <c r="V90" i="40"/>
  <c r="V147" i="40"/>
  <c r="V29" i="40"/>
  <c r="V71" i="40"/>
  <c r="V123" i="40"/>
  <c r="V50" i="40"/>
  <c r="V83" i="40"/>
  <c r="S190" i="42"/>
  <c r="H163" i="43"/>
  <c r="L44" i="56"/>
  <c r="L119" i="56"/>
  <c r="L113" i="56"/>
  <c r="L133" i="56"/>
  <c r="L137" i="56"/>
  <c r="L149" i="56"/>
  <c r="L153" i="56"/>
  <c r="L185" i="56"/>
  <c r="L126" i="56"/>
  <c r="V21" i="40"/>
  <c r="V111" i="40"/>
  <c r="V190" i="40"/>
  <c r="V38" i="40"/>
  <c r="V161" i="40"/>
  <c r="V169" i="40"/>
  <c r="V131" i="40"/>
  <c r="V48" i="40"/>
  <c r="V151" i="40"/>
  <c r="V143" i="40"/>
  <c r="V172" i="40"/>
  <c r="V69" i="40"/>
  <c r="V44" i="40"/>
  <c r="V99" i="40"/>
  <c r="V77" i="40"/>
  <c r="V72" i="40"/>
  <c r="V157" i="40"/>
  <c r="V76" i="40"/>
  <c r="S142" i="42"/>
  <c r="T107" i="42"/>
  <c r="S40" i="42"/>
  <c r="V53" i="40"/>
  <c r="V22" i="40"/>
  <c r="V181" i="40"/>
  <c r="V40" i="40"/>
  <c r="V82" i="40"/>
  <c r="V184" i="40"/>
  <c r="V67" i="40"/>
  <c r="V116" i="40"/>
  <c r="V45" i="40"/>
  <c r="V54" i="40"/>
  <c r="V91" i="40"/>
  <c r="V79" i="40"/>
  <c r="V85" i="40"/>
  <c r="V194" i="40"/>
  <c r="V182" i="40"/>
  <c r="V164" i="40"/>
  <c r="V189" i="40"/>
  <c r="V121" i="40"/>
  <c r="V10" i="40"/>
  <c r="V178" i="40"/>
  <c r="V35" i="40"/>
  <c r="T106" i="42"/>
  <c r="S183" i="42"/>
  <c r="T137" i="42"/>
  <c r="H96" i="43"/>
  <c r="K13" i="52"/>
  <c r="K92" i="52"/>
  <c r="K79" i="52"/>
  <c r="K125" i="52"/>
  <c r="K37" i="52"/>
  <c r="K85" i="52"/>
  <c r="K25" i="52"/>
  <c r="K63" i="52"/>
  <c r="K137" i="52"/>
  <c r="K119" i="52"/>
  <c r="K14" i="52"/>
  <c r="K89" i="52"/>
  <c r="K26" i="52"/>
  <c r="K104" i="52"/>
  <c r="K12" i="52"/>
  <c r="K101" i="52"/>
  <c r="K74" i="52"/>
  <c r="K180" i="52"/>
  <c r="K166" i="52"/>
  <c r="K62" i="52"/>
  <c r="K193" i="52"/>
  <c r="K146" i="52"/>
  <c r="K39" i="52"/>
  <c r="K154" i="52"/>
  <c r="K57" i="52"/>
  <c r="K15" i="52"/>
  <c r="K98" i="52"/>
  <c r="K68" i="52"/>
  <c r="K20" i="52"/>
  <c r="K36" i="52"/>
  <c r="K73" i="52"/>
  <c r="K42" i="52"/>
  <c r="K138" i="52"/>
  <c r="K43" i="52"/>
  <c r="K184" i="52"/>
  <c r="K27" i="52"/>
  <c r="K40" i="52"/>
  <c r="K38" i="52"/>
  <c r="K158" i="52"/>
  <c r="K55" i="52"/>
  <c r="K17" i="52"/>
  <c r="K171" i="52"/>
  <c r="K198" i="52"/>
  <c r="K161" i="52"/>
  <c r="K106" i="52"/>
  <c r="K148" i="52"/>
  <c r="K58" i="52"/>
  <c r="K187" i="52"/>
  <c r="K77" i="52"/>
  <c r="K126" i="52"/>
  <c r="K78" i="52"/>
  <c r="K191" i="52"/>
  <c r="K86" i="52"/>
  <c r="K44" i="52"/>
  <c r="K16" i="52"/>
  <c r="K141" i="52"/>
  <c r="K28" i="52"/>
  <c r="K175" i="52"/>
  <c r="K179" i="52"/>
  <c r="K128" i="52"/>
  <c r="K82" i="52"/>
  <c r="K143" i="52"/>
  <c r="K84" i="52"/>
  <c r="K121" i="52"/>
  <c r="K186" i="52"/>
  <c r="K189" i="52"/>
  <c r="K41" i="52"/>
  <c r="K173" i="52"/>
  <c r="K109" i="52"/>
  <c r="K192" i="52"/>
  <c r="K150" i="52"/>
  <c r="K170" i="52"/>
  <c r="K129" i="52"/>
  <c r="K19" i="52"/>
  <c r="K69" i="52"/>
  <c r="K135" i="52"/>
  <c r="K24" i="52"/>
  <c r="K188" i="52"/>
  <c r="K127" i="52"/>
  <c r="K196" i="52"/>
  <c r="K80" i="52"/>
  <c r="K64" i="52"/>
  <c r="K9" i="52"/>
  <c r="K144" i="52"/>
  <c r="K151" i="52"/>
  <c r="K45" i="52"/>
  <c r="K93" i="52"/>
  <c r="K162" i="52"/>
  <c r="K133" i="52"/>
  <c r="K31" i="52"/>
  <c r="K113" i="52"/>
  <c r="K10" i="52"/>
  <c r="K107" i="52"/>
  <c r="K91" i="52"/>
  <c r="K169" i="52"/>
  <c r="K59" i="52"/>
  <c r="K142" i="52"/>
  <c r="K190" i="52"/>
  <c r="K159" i="52"/>
  <c r="K32" i="52"/>
  <c r="K155" i="52"/>
  <c r="K130" i="52"/>
  <c r="K145" i="52"/>
  <c r="K123" i="52"/>
  <c r="K122" i="52"/>
  <c r="K132" i="52"/>
  <c r="K194" i="52"/>
  <c r="K174" i="52"/>
  <c r="K18" i="52"/>
  <c r="K35" i="52"/>
  <c r="K152" i="52"/>
  <c r="K105" i="52"/>
  <c r="K195" i="52"/>
  <c r="K153" i="52"/>
  <c r="K53" i="52"/>
  <c r="K124" i="52"/>
  <c r="K49" i="52"/>
  <c r="K197" i="52"/>
  <c r="K8" i="52"/>
  <c r="K134" i="52"/>
  <c r="K183" i="52"/>
  <c r="K30" i="52"/>
  <c r="K140" i="52"/>
  <c r="K182" i="52"/>
  <c r="K33" i="52"/>
  <c r="K87" i="52"/>
  <c r="K139" i="52"/>
  <c r="K34" i="52"/>
  <c r="K65" i="52"/>
  <c r="K76" i="52"/>
  <c r="K88" i="52"/>
  <c r="K75" i="52"/>
  <c r="K157" i="52"/>
  <c r="K167" i="52"/>
  <c r="K66" i="52"/>
  <c r="K46" i="52"/>
  <c r="K110" i="52"/>
  <c r="K100" i="52"/>
  <c r="K118" i="52"/>
  <c r="K51" i="52"/>
  <c r="K114" i="52"/>
  <c r="K96" i="52"/>
  <c r="K172" i="52"/>
  <c r="K115" i="52"/>
  <c r="K131" i="52"/>
  <c r="K83" i="52"/>
  <c r="K67" i="52"/>
  <c r="K116" i="52"/>
  <c r="K176" i="52"/>
  <c r="K163" i="52"/>
  <c r="K178" i="52"/>
  <c r="K81" i="52"/>
  <c r="K21" i="52"/>
  <c r="K11" i="52"/>
  <c r="K136" i="52"/>
  <c r="K6" i="52"/>
  <c r="K99" i="52"/>
  <c r="K185" i="52"/>
  <c r="K149" i="52"/>
  <c r="K165" i="52"/>
  <c r="K112" i="52"/>
  <c r="K94" i="52"/>
  <c r="K56" i="52"/>
  <c r="K60" i="52"/>
  <c r="K160" i="52"/>
  <c r="K29" i="52"/>
  <c r="K117" i="52"/>
  <c r="K156" i="52"/>
  <c r="K7" i="52"/>
  <c r="K147" i="52"/>
  <c r="K168" i="52"/>
  <c r="K103" i="52"/>
  <c r="K102" i="52"/>
  <c r="K90" i="52"/>
  <c r="K22" i="52"/>
  <c r="K177" i="52"/>
  <c r="K70" i="52"/>
  <c r="K61" i="52"/>
  <c r="K54" i="52"/>
  <c r="K23" i="52"/>
  <c r="K164" i="52"/>
  <c r="K95" i="52"/>
  <c r="K181" i="52"/>
  <c r="K47" i="52"/>
  <c r="K52" i="52"/>
  <c r="K97" i="52"/>
  <c r="K111" i="52"/>
  <c r="K50" i="52"/>
  <c r="K48" i="52"/>
  <c r="K71" i="52"/>
  <c r="K120" i="52"/>
  <c r="K72" i="52"/>
  <c r="K108" i="52"/>
  <c r="S44" i="42"/>
  <c r="M4" i="54"/>
  <c r="L49" i="54"/>
  <c r="L69" i="54"/>
  <c r="L50" i="54"/>
  <c r="L22" i="54"/>
  <c r="L70" i="54"/>
  <c r="L14" i="54"/>
  <c r="L80" i="54"/>
  <c r="L104" i="54"/>
  <c r="L128" i="54"/>
  <c r="L140" i="54"/>
  <c r="L8" i="54"/>
  <c r="L40" i="54"/>
  <c r="L72" i="54"/>
  <c r="L177" i="54"/>
  <c r="L16" i="54"/>
  <c r="L183" i="54"/>
  <c r="L84" i="54"/>
  <c r="L92" i="54"/>
  <c r="L100" i="54"/>
  <c r="L116" i="54"/>
  <c r="L120" i="54"/>
  <c r="L152" i="54"/>
  <c r="L192" i="54"/>
  <c r="L31" i="54"/>
  <c r="L37" i="54"/>
  <c r="L136" i="54"/>
  <c r="L156" i="54"/>
  <c r="L196" i="54"/>
  <c r="L19" i="54"/>
  <c r="L15" i="54"/>
  <c r="L13" i="54"/>
  <c r="L29" i="54"/>
  <c r="L53" i="54"/>
  <c r="L73" i="54"/>
  <c r="L26" i="54"/>
  <c r="L30" i="54"/>
  <c r="L10" i="54"/>
  <c r="L47" i="54"/>
  <c r="L173" i="54"/>
  <c r="L96" i="54"/>
  <c r="L112" i="54"/>
  <c r="L144" i="54"/>
  <c r="L138" i="54"/>
  <c r="L162" i="54"/>
  <c r="L194" i="54"/>
  <c r="L115" i="54"/>
  <c r="L135" i="54"/>
  <c r="L155" i="54"/>
  <c r="L78" i="54"/>
  <c r="L91" i="54"/>
  <c r="L103" i="54"/>
  <c r="L147" i="54"/>
  <c r="L167" i="54"/>
  <c r="L110" i="54"/>
  <c r="L130" i="54"/>
  <c r="L146" i="54"/>
  <c r="L174" i="54"/>
  <c r="L5" i="54"/>
  <c r="L18" i="54"/>
  <c r="L83" i="54"/>
  <c r="L132" i="54"/>
  <c r="L148" i="54"/>
  <c r="L164" i="54"/>
  <c r="L17" i="54"/>
  <c r="L66" i="54"/>
  <c r="L6" i="54"/>
  <c r="L59" i="54"/>
  <c r="L184" i="54"/>
  <c r="L81" i="54"/>
  <c r="L89" i="54"/>
  <c r="L97" i="54"/>
  <c r="L105" i="54"/>
  <c r="L117" i="54"/>
  <c r="L121" i="54"/>
  <c r="L129" i="54"/>
  <c r="L161" i="54"/>
  <c r="L189" i="54"/>
  <c r="L188" i="54"/>
  <c r="L158" i="54"/>
  <c r="L190" i="54"/>
  <c r="L151" i="54"/>
  <c r="L191" i="54"/>
  <c r="L77" i="54"/>
  <c r="L85" i="54"/>
  <c r="L109" i="54"/>
  <c r="L141" i="54"/>
  <c r="L23" i="54"/>
  <c r="L82" i="54"/>
  <c r="L43" i="54"/>
  <c r="L51" i="54"/>
  <c r="L63" i="54"/>
  <c r="L67" i="54"/>
  <c r="L71" i="54"/>
  <c r="L75" i="54"/>
  <c r="L107" i="54"/>
  <c r="L111" i="54"/>
  <c r="L123" i="54"/>
  <c r="L127" i="54"/>
  <c r="L131" i="54"/>
  <c r="L159" i="54"/>
  <c r="L163" i="54"/>
  <c r="L171" i="54"/>
  <c r="L175" i="54"/>
  <c r="L179" i="54"/>
  <c r="L198" i="54"/>
  <c r="L195" i="54"/>
  <c r="L90" i="54"/>
  <c r="L94" i="54"/>
  <c r="L98" i="54"/>
  <c r="L102" i="54"/>
  <c r="L114" i="54"/>
  <c r="L122" i="54"/>
  <c r="L142" i="54"/>
  <c r="L154" i="54"/>
  <c r="L178" i="54"/>
  <c r="L182" i="54"/>
  <c r="L186" i="54"/>
  <c r="L139" i="54"/>
  <c r="L145" i="54"/>
  <c r="L160" i="54"/>
  <c r="L166" i="54"/>
  <c r="L176" i="54"/>
  <c r="L32" i="54"/>
  <c r="L52" i="54"/>
  <c r="L60" i="54"/>
  <c r="L64" i="54"/>
  <c r="L68" i="54"/>
  <c r="L76" i="54"/>
  <c r="L108" i="54"/>
  <c r="L124" i="54"/>
  <c r="L168" i="54"/>
  <c r="L35" i="54"/>
  <c r="L21" i="54"/>
  <c r="L65" i="54"/>
  <c r="L74" i="54"/>
  <c r="L62" i="54"/>
  <c r="L11" i="54"/>
  <c r="L172" i="54"/>
  <c r="L157" i="54"/>
  <c r="L181" i="54"/>
  <c r="L180" i="54"/>
  <c r="L12" i="54"/>
  <c r="L86" i="54"/>
  <c r="L106" i="54"/>
  <c r="L118" i="54"/>
  <c r="L134" i="54"/>
  <c r="L150" i="54"/>
  <c r="L170" i="54"/>
  <c r="L88" i="54"/>
  <c r="L48" i="54"/>
  <c r="L79" i="54"/>
  <c r="L87" i="54"/>
  <c r="L95" i="54"/>
  <c r="L99" i="54"/>
  <c r="L143" i="54"/>
  <c r="L187" i="54"/>
  <c r="L7" i="54"/>
  <c r="L20" i="54"/>
  <c r="L24" i="54"/>
  <c r="L25" i="54"/>
  <c r="L27" i="54"/>
  <c r="L28" i="54"/>
  <c r="L36" i="54"/>
  <c r="L39" i="54"/>
  <c r="L41" i="54"/>
  <c r="L45" i="54"/>
  <c r="L55" i="54"/>
  <c r="L56" i="54"/>
  <c r="L57" i="54"/>
  <c r="L58" i="54"/>
  <c r="L33" i="54"/>
  <c r="L61" i="54"/>
  <c r="L93" i="54"/>
  <c r="L101" i="54"/>
  <c r="L125" i="54"/>
  <c r="L165" i="54"/>
  <c r="L169" i="54"/>
  <c r="L193" i="54"/>
  <c r="L197" i="54"/>
  <c r="L9" i="54"/>
  <c r="L34" i="54"/>
  <c r="L38" i="54"/>
  <c r="L42" i="54"/>
  <c r="L46" i="54"/>
  <c r="L54" i="54"/>
  <c r="M4" i="56"/>
  <c r="L34" i="56"/>
  <c r="L54" i="56"/>
  <c r="L11" i="56"/>
  <c r="L35" i="56"/>
  <c r="L39" i="56"/>
  <c r="L55" i="56"/>
  <c r="L75" i="56"/>
  <c r="L107" i="56"/>
  <c r="L135" i="56"/>
  <c r="L68" i="56"/>
  <c r="L100" i="56"/>
  <c r="L132" i="56"/>
  <c r="L140" i="56"/>
  <c r="L134" i="56"/>
  <c r="L23" i="56"/>
  <c r="L31" i="56"/>
  <c r="L43" i="56"/>
  <c r="L71" i="56"/>
  <c r="L87" i="56"/>
  <c r="L155" i="56"/>
  <c r="L88" i="56"/>
  <c r="L41" i="56"/>
  <c r="L117" i="56"/>
  <c r="L141" i="56"/>
  <c r="L154" i="56"/>
  <c r="L90" i="56"/>
  <c r="L86" i="56"/>
  <c r="L114" i="56"/>
  <c r="L79" i="56"/>
  <c r="L111" i="56"/>
  <c r="L115" i="56"/>
  <c r="L123" i="56"/>
  <c r="L131" i="56"/>
  <c r="L159" i="56"/>
  <c r="L56" i="56"/>
  <c r="L104" i="56"/>
  <c r="L37" i="56"/>
  <c r="L89" i="56"/>
  <c r="L93" i="56"/>
  <c r="L125" i="56"/>
  <c r="L157" i="56"/>
  <c r="L142" i="56"/>
  <c r="L158" i="56"/>
  <c r="L102" i="56"/>
  <c r="L58" i="56"/>
  <c r="L30" i="56"/>
  <c r="L8" i="56"/>
  <c r="L12" i="56"/>
  <c r="L16" i="56"/>
  <c r="L20" i="56"/>
  <c r="L24" i="56"/>
  <c r="L28" i="56"/>
  <c r="L7" i="56"/>
  <c r="L19" i="56"/>
  <c r="L47" i="56"/>
  <c r="L99" i="56"/>
  <c r="L103" i="56"/>
  <c r="L72" i="56"/>
  <c r="L148" i="56"/>
  <c r="L33" i="56"/>
  <c r="L65" i="56"/>
  <c r="L81" i="56"/>
  <c r="L105" i="56"/>
  <c r="L146" i="56"/>
  <c r="L188" i="56"/>
  <c r="L196" i="56"/>
  <c r="L40" i="56"/>
  <c r="L48" i="56"/>
  <c r="L64" i="56"/>
  <c r="L80" i="56"/>
  <c r="L96" i="56"/>
  <c r="L112" i="56"/>
  <c r="L5" i="56"/>
  <c r="L9" i="56"/>
  <c r="L13" i="56"/>
  <c r="L17" i="56"/>
  <c r="L21" i="56"/>
  <c r="L25" i="56"/>
  <c r="L29" i="56"/>
  <c r="L189" i="56"/>
  <c r="L197" i="56"/>
  <c r="L38" i="56"/>
  <c r="L69" i="56"/>
  <c r="L76" i="56"/>
  <c r="L101" i="56"/>
  <c r="L108" i="56"/>
  <c r="L166" i="56"/>
  <c r="L178" i="56"/>
  <c r="L187" i="56"/>
  <c r="L15" i="56"/>
  <c r="L27" i="56"/>
  <c r="L67" i="56"/>
  <c r="L151" i="56"/>
  <c r="L84" i="56"/>
  <c r="L156" i="56"/>
  <c r="L73" i="56"/>
  <c r="L160" i="56"/>
  <c r="L168" i="56"/>
  <c r="L176" i="56"/>
  <c r="L42" i="56"/>
  <c r="L50" i="56"/>
  <c r="L66" i="56"/>
  <c r="L82" i="56"/>
  <c r="L98" i="56"/>
  <c r="L51" i="56"/>
  <c r="L139" i="56"/>
  <c r="L147" i="56"/>
  <c r="L32" i="56"/>
  <c r="L45" i="56"/>
  <c r="L57" i="56"/>
  <c r="L109" i="56"/>
  <c r="L150" i="56"/>
  <c r="L6" i="56"/>
  <c r="L22" i="56"/>
  <c r="L74" i="56"/>
  <c r="L164" i="56"/>
  <c r="L184" i="56"/>
  <c r="L192" i="56"/>
  <c r="L173" i="56"/>
  <c r="L63" i="56"/>
  <c r="L95" i="56"/>
  <c r="L120" i="56"/>
  <c r="L49" i="56"/>
  <c r="L10" i="56"/>
  <c r="L59" i="56"/>
  <c r="L83" i="56"/>
  <c r="L91" i="56"/>
  <c r="L52" i="56"/>
  <c r="L124" i="56"/>
  <c r="L97" i="56"/>
  <c r="L14" i="56"/>
  <c r="L26" i="56"/>
  <c r="L106" i="56"/>
  <c r="L180" i="56"/>
  <c r="L18" i="56"/>
  <c r="L165" i="56"/>
  <c r="L177" i="56"/>
  <c r="L122" i="56"/>
  <c r="L130" i="56"/>
  <c r="L190" i="56"/>
  <c r="L198" i="56"/>
  <c r="L195" i="56"/>
  <c r="L143" i="56"/>
  <c r="L61" i="56"/>
  <c r="L77" i="56"/>
  <c r="L172" i="56"/>
  <c r="L169" i="56"/>
  <c r="L193" i="56"/>
  <c r="L53" i="56"/>
  <c r="L62" i="56"/>
  <c r="L85" i="56"/>
  <c r="L94" i="56"/>
  <c r="L118" i="56"/>
  <c r="L144" i="56"/>
  <c r="L170" i="56"/>
  <c r="L182" i="56"/>
  <c r="L163" i="56"/>
  <c r="L167" i="56"/>
  <c r="L171" i="56"/>
  <c r="L175" i="56"/>
  <c r="L179" i="56"/>
  <c r="L183" i="56"/>
  <c r="L127" i="56"/>
  <c r="L136" i="56"/>
  <c r="L174" i="56"/>
  <c r="L36" i="56"/>
  <c r="L46" i="56"/>
  <c r="L60" i="56"/>
  <c r="L78" i="56"/>
  <c r="L92" i="56"/>
  <c r="L110" i="56"/>
  <c r="L129" i="56"/>
  <c r="L152" i="56"/>
  <c r="L162" i="56"/>
  <c r="L161" i="56"/>
  <c r="L181" i="56"/>
  <c r="L116" i="56"/>
  <c r="L128" i="56"/>
  <c r="L145" i="56"/>
  <c r="L70" i="56"/>
  <c r="L121" i="56"/>
  <c r="L138" i="56"/>
  <c r="L194" i="56"/>
  <c r="L186" i="56"/>
  <c r="L191" i="56"/>
  <c r="M4" i="55"/>
  <c r="L6" i="55"/>
  <c r="L10" i="55"/>
  <c r="L14" i="55"/>
  <c r="L18" i="55"/>
  <c r="L22" i="55"/>
  <c r="L26" i="55"/>
  <c r="L30" i="55"/>
  <c r="L34" i="55"/>
  <c r="L38" i="55"/>
  <c r="L42" i="55"/>
  <c r="L46" i="55"/>
  <c r="L50" i="55"/>
  <c r="L54" i="55"/>
  <c r="L58" i="55"/>
  <c r="L66" i="55"/>
  <c r="L70" i="55"/>
  <c r="L74" i="55"/>
  <c r="L78" i="55"/>
  <c r="L82" i="55"/>
  <c r="L86" i="55"/>
  <c r="L90" i="55"/>
  <c r="L94" i="55"/>
  <c r="L98" i="55"/>
  <c r="L102" i="55"/>
  <c r="L106" i="55"/>
  <c r="L110" i="55"/>
  <c r="L114" i="55"/>
  <c r="L118" i="55"/>
  <c r="L122" i="55"/>
  <c r="L130" i="55"/>
  <c r="L134" i="55"/>
  <c r="L138" i="55"/>
  <c r="L142" i="55"/>
  <c r="L146" i="55"/>
  <c r="L150" i="55"/>
  <c r="L154" i="55"/>
  <c r="L158" i="55"/>
  <c r="L162" i="55"/>
  <c r="L166" i="55"/>
  <c r="L170" i="55"/>
  <c r="L174" i="55"/>
  <c r="L178" i="55"/>
  <c r="L182" i="55"/>
  <c r="L186" i="55"/>
  <c r="L190" i="55"/>
  <c r="L194" i="55"/>
  <c r="L198" i="55"/>
  <c r="L136" i="55"/>
  <c r="L148" i="55"/>
  <c r="L156" i="55"/>
  <c r="L160" i="55"/>
  <c r="L172" i="55"/>
  <c r="L176" i="55"/>
  <c r="L188" i="55"/>
  <c r="L192" i="55"/>
  <c r="L52" i="55"/>
  <c r="L56" i="55"/>
  <c r="L68" i="55"/>
  <c r="L72" i="55"/>
  <c r="L84" i="55"/>
  <c r="L88" i="55"/>
  <c r="L100" i="55"/>
  <c r="L104" i="55"/>
  <c r="L112" i="55"/>
  <c r="L124" i="55"/>
  <c r="L128" i="55"/>
  <c r="L140" i="55"/>
  <c r="L144" i="55"/>
  <c r="L152" i="55"/>
  <c r="L164" i="55"/>
  <c r="L168" i="55"/>
  <c r="L180" i="55"/>
  <c r="L184" i="55"/>
  <c r="L196" i="55"/>
  <c r="L13" i="55"/>
  <c r="L29" i="55"/>
  <c r="L45" i="55"/>
  <c r="L61" i="55"/>
  <c r="L77" i="55"/>
  <c r="L93" i="55"/>
  <c r="L109" i="55"/>
  <c r="L129" i="55"/>
  <c r="L161" i="55"/>
  <c r="L177" i="55"/>
  <c r="L197" i="55"/>
  <c r="L16" i="55"/>
  <c r="L60" i="55"/>
  <c r="L132" i="55"/>
  <c r="L62" i="55"/>
  <c r="L27" i="55"/>
  <c r="L31" i="55"/>
  <c r="L35" i="55"/>
  <c r="L39" i="55"/>
  <c r="L63" i="55"/>
  <c r="L83" i="55"/>
  <c r="L99" i="55"/>
  <c r="L127" i="55"/>
  <c r="L143" i="55"/>
  <c r="L159" i="55"/>
  <c r="L175" i="55"/>
  <c r="L191" i="55"/>
  <c r="L12" i="55"/>
  <c r="L48" i="55"/>
  <c r="L92" i="55"/>
  <c r="L108" i="55"/>
  <c r="L24" i="55"/>
  <c r="L36" i="55"/>
  <c r="L32" i="55"/>
  <c r="L76" i="55"/>
  <c r="L80" i="55"/>
  <c r="L120" i="55"/>
  <c r="L20" i="55"/>
  <c r="L28" i="55"/>
  <c r="L96" i="55"/>
  <c r="L23" i="55"/>
  <c r="L43" i="55"/>
  <c r="L55" i="55"/>
  <c r="L9" i="55"/>
  <c r="L37" i="55"/>
  <c r="L65" i="55"/>
  <c r="L73" i="55"/>
  <c r="L101" i="55"/>
  <c r="L141" i="55"/>
  <c r="L157" i="55"/>
  <c r="L189" i="55"/>
  <c r="L8" i="55"/>
  <c r="L19" i="55"/>
  <c r="L47" i="55"/>
  <c r="L51" i="55"/>
  <c r="L87" i="55"/>
  <c r="L103" i="55"/>
  <c r="L131" i="55"/>
  <c r="L147" i="55"/>
  <c r="L163" i="55"/>
  <c r="L179" i="55"/>
  <c r="L195" i="55"/>
  <c r="L5" i="55"/>
  <c r="L17" i="55"/>
  <c r="L25" i="55"/>
  <c r="L53" i="55"/>
  <c r="L81" i="55"/>
  <c r="L89" i="55"/>
  <c r="L121" i="55"/>
  <c r="L165" i="55"/>
  <c r="L173" i="55"/>
  <c r="L64" i="55"/>
  <c r="L33" i="55"/>
  <c r="L69" i="55"/>
  <c r="L97" i="55"/>
  <c r="L193" i="55"/>
  <c r="L11" i="55"/>
  <c r="L71" i="55"/>
  <c r="L15" i="55"/>
  <c r="L67" i="55"/>
  <c r="L75" i="55"/>
  <c r="L79" i="55"/>
  <c r="L91" i="55"/>
  <c r="L95" i="55"/>
  <c r="L107" i="55"/>
  <c r="L111" i="55"/>
  <c r="L115" i="55"/>
  <c r="L123" i="55"/>
  <c r="L135" i="55"/>
  <c r="L139" i="55"/>
  <c r="L151" i="55"/>
  <c r="L155" i="55"/>
  <c r="L167" i="55"/>
  <c r="L171" i="55"/>
  <c r="L183" i="55"/>
  <c r="L187" i="55"/>
  <c r="L41" i="55"/>
  <c r="L105" i="55"/>
  <c r="L145" i="55"/>
  <c r="L181" i="55"/>
  <c r="L116" i="55"/>
  <c r="L40" i="55"/>
  <c r="L7" i="55"/>
  <c r="L59" i="55"/>
  <c r="L57" i="55"/>
  <c r="L85" i="55"/>
  <c r="L117" i="55"/>
  <c r="L125" i="55"/>
  <c r="L169" i="55"/>
  <c r="L21" i="55"/>
  <c r="L49" i="55"/>
  <c r="H151" i="43"/>
  <c r="H198" i="43"/>
  <c r="H143" i="43"/>
  <c r="H111" i="43"/>
  <c r="H61" i="43"/>
  <c r="H21" i="43"/>
  <c r="I6" i="43"/>
  <c r="H80" i="43"/>
  <c r="H174" i="43"/>
  <c r="H158" i="43"/>
  <c r="H144" i="43"/>
  <c r="H127" i="43"/>
  <c r="H107" i="43"/>
  <c r="H81" i="43"/>
  <c r="H60" i="43"/>
  <c r="I41" i="43"/>
  <c r="I17" i="43"/>
  <c r="H7" i="43"/>
  <c r="I169" i="43"/>
  <c r="I108" i="43"/>
  <c r="I74" i="43"/>
  <c r="I49" i="43"/>
  <c r="I48" i="43"/>
  <c r="I187" i="43"/>
  <c r="H24" i="43"/>
  <c r="I75" i="43"/>
  <c r="I192" i="43"/>
  <c r="I176" i="43"/>
  <c r="I35" i="43"/>
  <c r="H194" i="43"/>
  <c r="H152" i="43"/>
  <c r="H118" i="43"/>
  <c r="H105" i="43"/>
  <c r="H71" i="43"/>
  <c r="H53" i="43"/>
  <c r="H13" i="43"/>
  <c r="H90" i="43"/>
  <c r="I57" i="43"/>
  <c r="H30" i="43"/>
  <c r="H166" i="43"/>
  <c r="H157" i="43"/>
  <c r="H141" i="43"/>
  <c r="H120" i="43"/>
  <c r="H102" i="43"/>
  <c r="I79" i="43"/>
  <c r="H55" i="43"/>
  <c r="H39" i="43"/>
  <c r="H15" i="43"/>
  <c r="H193" i="43"/>
  <c r="I182" i="43"/>
  <c r="H162" i="43"/>
  <c r="H33" i="43"/>
  <c r="I135" i="43"/>
  <c r="H59" i="43"/>
  <c r="H197" i="43"/>
  <c r="I177" i="43"/>
  <c r="H114" i="43"/>
  <c r="I85" i="43"/>
  <c r="H69" i="43"/>
  <c r="H64" i="43"/>
  <c r="I97" i="43"/>
  <c r="I65" i="43"/>
  <c r="H164" i="43"/>
  <c r="H77" i="43"/>
  <c r="H172" i="43"/>
  <c r="H140" i="43"/>
  <c r="H89" i="43"/>
  <c r="H34" i="43"/>
  <c r="I138" i="43"/>
  <c r="H189" i="43"/>
  <c r="H170" i="43"/>
  <c r="H148" i="43"/>
  <c r="H139" i="43"/>
  <c r="H115" i="43"/>
  <c r="H103" i="43"/>
  <c r="H87" i="43"/>
  <c r="H68" i="43"/>
  <c r="H45" i="43"/>
  <c r="H29" i="43"/>
  <c r="H10" i="43"/>
  <c r="I67" i="43"/>
  <c r="I51" i="43"/>
  <c r="H25" i="43"/>
  <c r="I14" i="43"/>
  <c r="H122" i="43"/>
  <c r="I73" i="43"/>
  <c r="I40" i="43"/>
  <c r="I196" i="43"/>
  <c r="H161" i="43"/>
  <c r="H156" i="43"/>
  <c r="H134" i="43"/>
  <c r="H116" i="43"/>
  <c r="H95" i="43"/>
  <c r="H72" i="43"/>
  <c r="H50" i="43"/>
  <c r="H31" i="43"/>
  <c r="H12" i="43"/>
  <c r="H179" i="43"/>
  <c r="H155" i="43"/>
  <c r="I88" i="43"/>
  <c r="I195" i="43"/>
  <c r="H188" i="43"/>
  <c r="H167" i="43"/>
  <c r="H106" i="43"/>
  <c r="H76" i="43"/>
  <c r="I163" i="43"/>
  <c r="I130" i="43"/>
  <c r="I16" i="43"/>
  <c r="I23" i="43"/>
  <c r="I58" i="43"/>
  <c r="H178" i="43"/>
  <c r="H121" i="43"/>
  <c r="H98" i="43"/>
  <c r="H37" i="43"/>
  <c r="H99" i="43"/>
  <c r="H183" i="43"/>
  <c r="H168" i="43"/>
  <c r="H146" i="43"/>
  <c r="H131" i="43"/>
  <c r="H112" i="43"/>
  <c r="H101" i="43"/>
  <c r="H84" i="43"/>
  <c r="H66" i="43"/>
  <c r="H42" i="43"/>
  <c r="H26" i="43"/>
  <c r="H154" i="43"/>
  <c r="I62" i="43"/>
  <c r="H46" i="43"/>
  <c r="I19" i="43"/>
  <c r="H150" i="43"/>
  <c r="H94" i="43"/>
  <c r="H181" i="43"/>
  <c r="H159" i="43"/>
  <c r="H145" i="43"/>
  <c r="H129" i="43"/>
  <c r="H110" i="43"/>
  <c r="H91" i="43"/>
  <c r="H70" i="43"/>
  <c r="H47" i="43"/>
  <c r="H20" i="43"/>
  <c r="I9" i="43"/>
  <c r="I191" i="43"/>
  <c r="H124" i="43"/>
  <c r="H147" i="43"/>
  <c r="I92" i="43"/>
  <c r="I56" i="43"/>
  <c r="I32" i="43"/>
  <c r="H11" i="43"/>
  <c r="I86" i="43"/>
  <c r="I93" i="43"/>
  <c r="I171" i="43"/>
  <c r="K5" i="52"/>
  <c r="K4" i="45"/>
  <c r="Y9" i="2"/>
  <c r="Y10" i="2"/>
  <c r="Y11" i="2"/>
  <c r="Y12" i="2"/>
  <c r="AA10" i="2"/>
  <c r="Z10" i="2"/>
  <c r="M33" i="40" l="1"/>
  <c r="M9" i="40"/>
  <c r="M7" i="40"/>
  <c r="M6" i="40"/>
  <c r="M5" i="40"/>
  <c r="I173" i="43"/>
  <c r="I128" i="43"/>
  <c r="I117" i="43"/>
  <c r="T177" i="42"/>
  <c r="T109" i="42"/>
  <c r="T129" i="42"/>
  <c r="U129" i="42" s="1"/>
  <c r="T23" i="42"/>
  <c r="U23" i="42" s="1"/>
  <c r="T9" i="42"/>
  <c r="T41" i="42"/>
  <c r="T33" i="42"/>
  <c r="T93" i="42"/>
  <c r="T151" i="42"/>
  <c r="T191" i="42"/>
  <c r="T126" i="42"/>
  <c r="T91" i="42"/>
  <c r="T162" i="42"/>
  <c r="T16" i="42"/>
  <c r="T101" i="42"/>
  <c r="T81" i="42"/>
  <c r="T143" i="42"/>
  <c r="T30" i="42"/>
  <c r="T147" i="42"/>
  <c r="T99" i="42"/>
  <c r="T168" i="42"/>
  <c r="T78" i="42"/>
  <c r="T169" i="42"/>
  <c r="T20" i="42"/>
  <c r="T98" i="42"/>
  <c r="T174" i="42"/>
  <c r="T73" i="42"/>
  <c r="T119" i="42"/>
  <c r="T69" i="42"/>
  <c r="T144" i="42"/>
  <c r="T50" i="42"/>
  <c r="T145" i="42"/>
  <c r="T28" i="42"/>
  <c r="T146" i="42"/>
  <c r="T32" i="42"/>
  <c r="T10" i="42"/>
  <c r="T114" i="42"/>
  <c r="T187" i="42"/>
  <c r="T94" i="42"/>
  <c r="T49" i="42"/>
  <c r="T108" i="42"/>
  <c r="T178" i="42"/>
  <c r="T84" i="42"/>
  <c r="T176" i="42"/>
  <c r="T54" i="42"/>
  <c r="T19" i="42"/>
  <c r="T26" i="42"/>
  <c r="T104" i="42"/>
  <c r="T29" i="42"/>
  <c r="T17" i="42"/>
  <c r="T80" i="42"/>
  <c r="T185" i="42"/>
  <c r="T135" i="42"/>
  <c r="T77" i="42"/>
  <c r="T82" i="42"/>
  <c r="T159" i="42"/>
  <c r="T37" i="42"/>
  <c r="T8" i="42"/>
  <c r="T76" i="42"/>
  <c r="T133" i="42"/>
  <c r="T188" i="42"/>
  <c r="T148" i="42"/>
  <c r="T35" i="42"/>
  <c r="T149" i="42"/>
  <c r="T110" i="42"/>
  <c r="T79" i="42"/>
  <c r="T154" i="42"/>
  <c r="T192" i="42"/>
  <c r="T56" i="42"/>
  <c r="T197" i="42"/>
  <c r="T134" i="42"/>
  <c r="T11" i="42"/>
  <c r="T123" i="42"/>
  <c r="T47" i="42"/>
  <c r="T153" i="42"/>
  <c r="T75" i="42"/>
  <c r="T170" i="42"/>
  <c r="T103" i="42"/>
  <c r="T24" i="42"/>
  <c r="T95" i="42"/>
  <c r="T163" i="42"/>
  <c r="T161" i="42"/>
  <c r="T6" i="42"/>
  <c r="T31" i="42"/>
  <c r="T7" i="42"/>
  <c r="T166" i="42"/>
  <c r="T5" i="42"/>
  <c r="T195" i="42"/>
  <c r="T180" i="42"/>
  <c r="T62" i="42"/>
  <c r="T172" i="42"/>
  <c r="T100" i="42"/>
  <c r="T15" i="42"/>
  <c r="T116" i="42"/>
  <c r="T68" i="42"/>
  <c r="T136" i="42"/>
  <c r="T25" i="42"/>
  <c r="T158" i="42"/>
  <c r="T59" i="42"/>
  <c r="T118" i="42"/>
  <c r="T171" i="42"/>
  <c r="T138" i="42"/>
  <c r="T198" i="42"/>
  <c r="T63" i="42"/>
  <c r="T74" i="42"/>
  <c r="T58" i="42"/>
  <c r="T132" i="42"/>
  <c r="T27" i="42"/>
  <c r="T184" i="42"/>
  <c r="T115" i="42"/>
  <c r="T179" i="42"/>
  <c r="T71" i="42"/>
  <c r="T97" i="42"/>
  <c r="T55" i="42"/>
  <c r="T150" i="42"/>
  <c r="T61" i="42"/>
  <c r="T83" i="42"/>
  <c r="T141" i="42"/>
  <c r="T130" i="42"/>
  <c r="T60" i="42"/>
  <c r="T139" i="42"/>
  <c r="T127" i="42"/>
  <c r="T140" i="42"/>
  <c r="T89" i="42"/>
  <c r="T57" i="42"/>
  <c r="T46" i="42"/>
  <c r="T121" i="42"/>
  <c r="T160" i="42"/>
  <c r="T18" i="42"/>
  <c r="T152" i="42"/>
  <c r="T48" i="42"/>
  <c r="T186" i="42"/>
  <c r="T51" i="42"/>
  <c r="T42" i="42"/>
  <c r="T120" i="42"/>
  <c r="T156" i="42"/>
  <c r="T53" i="42"/>
  <c r="T43" i="42"/>
  <c r="T157" i="42"/>
  <c r="T122" i="42"/>
  <c r="T181" i="42"/>
  <c r="T182" i="42"/>
  <c r="T38" i="42"/>
  <c r="T39" i="42"/>
  <c r="T117" i="42"/>
  <c r="T193" i="42"/>
  <c r="T92" i="42"/>
  <c r="T111" i="42"/>
  <c r="T167" i="42"/>
  <c r="T96" i="42"/>
  <c r="T164" i="42"/>
  <c r="T22" i="42"/>
  <c r="T67" i="42"/>
  <c r="T36" i="42"/>
  <c r="T128" i="42"/>
  <c r="T45" i="42"/>
  <c r="T65" i="42"/>
  <c r="T125" i="42"/>
  <c r="T194" i="42"/>
  <c r="T112" i="42"/>
  <c r="T12" i="42"/>
  <c r="T113" i="42"/>
  <c r="T64" i="42"/>
  <c r="T52" i="42"/>
  <c r="T124" i="42"/>
  <c r="M113" i="55"/>
  <c r="M133" i="55"/>
  <c r="M137" i="55"/>
  <c r="M149" i="55"/>
  <c r="M153" i="55"/>
  <c r="M185" i="55"/>
  <c r="M126" i="55"/>
  <c r="M119" i="55"/>
  <c r="M44" i="55"/>
  <c r="I96" i="43"/>
  <c r="T183" i="42"/>
  <c r="W121" i="40"/>
  <c r="W194" i="40"/>
  <c r="W91" i="40"/>
  <c r="W67" i="40"/>
  <c r="W181" i="40"/>
  <c r="W77" i="40"/>
  <c r="W151" i="40"/>
  <c r="W161" i="40"/>
  <c r="W21" i="40"/>
  <c r="W50" i="40"/>
  <c r="W147" i="40"/>
  <c r="W31" i="40"/>
  <c r="W56" i="40"/>
  <c r="U34" i="42"/>
  <c r="W150" i="40"/>
  <c r="W105" i="40"/>
  <c r="T70" i="42"/>
  <c r="W52" i="40"/>
  <c r="W154" i="40"/>
  <c r="W24" i="40"/>
  <c r="W134" i="40"/>
  <c r="W158" i="40"/>
  <c r="W114" i="40"/>
  <c r="T173" i="42"/>
  <c r="T105" i="42"/>
  <c r="W104" i="40"/>
  <c r="W73" i="40"/>
  <c r="W191" i="40"/>
  <c r="W163" i="40"/>
  <c r="U196" i="42"/>
  <c r="W96" i="40"/>
  <c r="W166" i="40"/>
  <c r="W68" i="40"/>
  <c r="T155" i="42"/>
  <c r="W64" i="40"/>
  <c r="W18" i="40"/>
  <c r="W162" i="40"/>
  <c r="W148" i="40"/>
  <c r="W117" i="40"/>
  <c r="W75" i="40"/>
  <c r="W8" i="40"/>
  <c r="U109" i="42"/>
  <c r="W138" i="40"/>
  <c r="W119" i="40"/>
  <c r="W149" i="40"/>
  <c r="W37" i="40"/>
  <c r="W140" i="40"/>
  <c r="I125" i="43"/>
  <c r="U131" i="42"/>
  <c r="W109" i="40"/>
  <c r="W167" i="40"/>
  <c r="W74" i="40"/>
  <c r="W92" i="40"/>
  <c r="M119" i="56"/>
  <c r="M44" i="56"/>
  <c r="M113" i="56"/>
  <c r="M133" i="56"/>
  <c r="M137" i="56"/>
  <c r="M149" i="56"/>
  <c r="M153" i="56"/>
  <c r="M185" i="56"/>
  <c r="M126" i="56"/>
  <c r="U137" i="42"/>
  <c r="U106" i="42"/>
  <c r="W10" i="40"/>
  <c r="W182" i="40"/>
  <c r="W79" i="40"/>
  <c r="W116" i="40"/>
  <c r="W40" i="40"/>
  <c r="T142" i="42"/>
  <c r="W72" i="40"/>
  <c r="W143" i="40"/>
  <c r="W169" i="40"/>
  <c r="W111" i="40"/>
  <c r="T190" i="42"/>
  <c r="W83" i="40"/>
  <c r="W29" i="40"/>
  <c r="W23" i="40"/>
  <c r="W41" i="40"/>
  <c r="W16" i="40"/>
  <c r="W57" i="40"/>
  <c r="W125" i="40"/>
  <c r="W193" i="40"/>
  <c r="W174" i="40"/>
  <c r="W122" i="40"/>
  <c r="W142" i="40"/>
  <c r="I104" i="43"/>
  <c r="U177" i="42"/>
  <c r="W15" i="40"/>
  <c r="W25" i="40"/>
  <c r="W32" i="40"/>
  <c r="W63" i="40"/>
  <c r="W183" i="40"/>
  <c r="W58" i="40"/>
  <c r="W198" i="40"/>
  <c r="W14" i="40"/>
  <c r="W177" i="40"/>
  <c r="W39" i="40"/>
  <c r="W84" i="40"/>
  <c r="W153" i="40"/>
  <c r="I180" i="43"/>
  <c r="U90" i="42"/>
  <c r="T189" i="42"/>
  <c r="W115" i="40"/>
  <c r="W159" i="40"/>
  <c r="W139" i="40"/>
  <c r="T88" i="42"/>
  <c r="W180" i="40"/>
  <c r="W112" i="40"/>
  <c r="W192" i="40"/>
  <c r="W28" i="40"/>
  <c r="W12" i="40"/>
  <c r="W86" i="40"/>
  <c r="W170" i="40"/>
  <c r="W185" i="40"/>
  <c r="W179" i="40"/>
  <c r="U87" i="42"/>
  <c r="W65" i="40"/>
  <c r="W156" i="40"/>
  <c r="W155" i="40"/>
  <c r="I151" i="43"/>
  <c r="W35" i="40"/>
  <c r="W178" i="40"/>
  <c r="W164" i="40"/>
  <c r="W85" i="40"/>
  <c r="W45" i="40"/>
  <c r="W82" i="40"/>
  <c r="W53" i="40"/>
  <c r="W157" i="40"/>
  <c r="W44" i="40"/>
  <c r="W172" i="40"/>
  <c r="W131" i="40"/>
  <c r="W190" i="40"/>
  <c r="W71" i="40"/>
  <c r="W175" i="40"/>
  <c r="W195" i="40"/>
  <c r="T85" i="42"/>
  <c r="W81" i="40"/>
  <c r="W61" i="40"/>
  <c r="U102" i="42"/>
  <c r="U175" i="42"/>
  <c r="W141" i="40"/>
  <c r="W176" i="40"/>
  <c r="W110" i="40"/>
  <c r="W27" i="40"/>
  <c r="W145" i="40"/>
  <c r="W118" i="40"/>
  <c r="U72" i="42"/>
  <c r="W11" i="40"/>
  <c r="W60" i="40"/>
  <c r="W101" i="40"/>
  <c r="W103" i="40"/>
  <c r="W93" i="40"/>
  <c r="W108" i="40"/>
  <c r="W95" i="40"/>
  <c r="W126" i="40"/>
  <c r="W46" i="40"/>
  <c r="W17" i="40"/>
  <c r="W59" i="40"/>
  <c r="W127" i="40"/>
  <c r="W171" i="40"/>
  <c r="I27" i="43"/>
  <c r="W42" i="40"/>
  <c r="W80" i="40"/>
  <c r="T165" i="42"/>
  <c r="W132" i="40"/>
  <c r="W165" i="40"/>
  <c r="W78" i="40"/>
  <c r="W136" i="40"/>
  <c r="W97" i="40"/>
  <c r="W128" i="40"/>
  <c r="W94" i="40"/>
  <c r="W186" i="40"/>
  <c r="W113" i="40"/>
  <c r="W70" i="40"/>
  <c r="W129" i="40"/>
  <c r="W144" i="40"/>
  <c r="W135" i="40"/>
  <c r="M126" i="54"/>
  <c r="M119" i="54"/>
  <c r="M113" i="54"/>
  <c r="M133" i="54"/>
  <c r="M137" i="54"/>
  <c r="M149" i="54"/>
  <c r="M153" i="54"/>
  <c r="M185" i="54"/>
  <c r="M44" i="54"/>
  <c r="W189" i="40"/>
  <c r="W54" i="40"/>
  <c r="W184" i="40"/>
  <c r="W22" i="40"/>
  <c r="T40" i="42"/>
  <c r="U107" i="42"/>
  <c r="W76" i="40"/>
  <c r="W99" i="40"/>
  <c r="W69" i="40"/>
  <c r="W48" i="40"/>
  <c r="W38" i="40"/>
  <c r="W123" i="40"/>
  <c r="W90" i="40"/>
  <c r="W89" i="40"/>
  <c r="W26" i="40"/>
  <c r="T66" i="42"/>
  <c r="W124" i="40"/>
  <c r="W62" i="40"/>
  <c r="W100" i="40"/>
  <c r="T21" i="42"/>
  <c r="T86" i="42"/>
  <c r="W36" i="40"/>
  <c r="W87" i="40"/>
  <c r="W34" i="40"/>
  <c r="T14" i="42"/>
  <c r="W19" i="40"/>
  <c r="W49" i="40"/>
  <c r="W152" i="40"/>
  <c r="W47" i="40"/>
  <c r="W55" i="40"/>
  <c r="W30" i="40"/>
  <c r="W106" i="40"/>
  <c r="W137" i="40"/>
  <c r="W98" i="40"/>
  <c r="W197" i="40"/>
  <c r="W130" i="40"/>
  <c r="W66" i="40"/>
  <c r="W160" i="40"/>
  <c r="W187" i="40"/>
  <c r="W107" i="40"/>
  <c r="W20" i="40"/>
  <c r="W120" i="40"/>
  <c r="W168" i="40"/>
  <c r="W102" i="40"/>
  <c r="W88" i="40"/>
  <c r="W51" i="40"/>
  <c r="W196" i="40"/>
  <c r="W173" i="40"/>
  <c r="U13" i="42"/>
  <c r="W146" i="40"/>
  <c r="W43" i="40"/>
  <c r="W188" i="40"/>
  <c r="W13" i="40"/>
  <c r="W133" i="40"/>
  <c r="L71" i="52"/>
  <c r="L97" i="52"/>
  <c r="L95" i="52"/>
  <c r="L61" i="52"/>
  <c r="L177" i="52"/>
  <c r="L168" i="52"/>
  <c r="L160" i="52"/>
  <c r="L112" i="52"/>
  <c r="L99" i="52"/>
  <c r="L81" i="52"/>
  <c r="L116" i="52"/>
  <c r="L115" i="52"/>
  <c r="L51" i="52"/>
  <c r="L46" i="52"/>
  <c r="L75" i="52"/>
  <c r="L139" i="52"/>
  <c r="L30" i="52"/>
  <c r="L197" i="52"/>
  <c r="L153" i="52"/>
  <c r="L35" i="52"/>
  <c r="L123" i="52"/>
  <c r="L32" i="52"/>
  <c r="L59" i="52"/>
  <c r="L10" i="52"/>
  <c r="L162" i="52"/>
  <c r="L144" i="52"/>
  <c r="L127" i="52"/>
  <c r="L24" i="52"/>
  <c r="L69" i="52"/>
  <c r="L129" i="52"/>
  <c r="L109" i="52"/>
  <c r="L186" i="52"/>
  <c r="L179" i="52"/>
  <c r="L16" i="52"/>
  <c r="L78" i="52"/>
  <c r="L58" i="52"/>
  <c r="L198" i="52"/>
  <c r="L158" i="52"/>
  <c r="L138" i="52"/>
  <c r="L73" i="52"/>
  <c r="L57" i="52"/>
  <c r="L193" i="52"/>
  <c r="L74" i="52"/>
  <c r="L89" i="52"/>
  <c r="L63" i="52"/>
  <c r="L125" i="52"/>
  <c r="L120" i="52"/>
  <c r="L111" i="52"/>
  <c r="L181" i="52"/>
  <c r="L54" i="52"/>
  <c r="L70" i="52"/>
  <c r="L103" i="52"/>
  <c r="L29" i="52"/>
  <c r="L94" i="52"/>
  <c r="L185" i="52"/>
  <c r="L21" i="52"/>
  <c r="L176" i="52"/>
  <c r="L131" i="52"/>
  <c r="L114" i="52"/>
  <c r="L110" i="52"/>
  <c r="L157" i="52"/>
  <c r="L34" i="52"/>
  <c r="L140" i="52"/>
  <c r="L183" i="52"/>
  <c r="L8" i="52"/>
  <c r="L53" i="52"/>
  <c r="L152" i="52"/>
  <c r="L122" i="52"/>
  <c r="L155" i="52"/>
  <c r="L142" i="52"/>
  <c r="L107" i="52"/>
  <c r="L133" i="52"/>
  <c r="L151" i="52"/>
  <c r="L196" i="52"/>
  <c r="L188" i="52"/>
  <c r="L19" i="52"/>
  <c r="L192" i="52"/>
  <c r="L189" i="52"/>
  <c r="L128" i="52"/>
  <c r="L141" i="52"/>
  <c r="L191" i="52"/>
  <c r="L187" i="52"/>
  <c r="L161" i="52"/>
  <c r="L55" i="52"/>
  <c r="L27" i="52"/>
  <c r="L43" i="52"/>
  <c r="L15" i="52"/>
  <c r="L146" i="52"/>
  <c r="L180" i="52"/>
  <c r="L104" i="52"/>
  <c r="L26" i="52"/>
  <c r="L137" i="52"/>
  <c r="L37" i="52"/>
  <c r="L13" i="52"/>
  <c r="L72" i="52"/>
  <c r="L50" i="52"/>
  <c r="L47" i="52"/>
  <c r="L23" i="52"/>
  <c r="L90" i="52"/>
  <c r="L102" i="52"/>
  <c r="L7" i="52"/>
  <c r="L117" i="52"/>
  <c r="L56" i="52"/>
  <c r="L149" i="52"/>
  <c r="L11" i="52"/>
  <c r="L163" i="52"/>
  <c r="L83" i="52"/>
  <c r="L96" i="52"/>
  <c r="L100" i="52"/>
  <c r="L167" i="52"/>
  <c r="L65" i="52"/>
  <c r="L33" i="52"/>
  <c r="L182" i="52"/>
  <c r="L134" i="52"/>
  <c r="L124" i="52"/>
  <c r="L105" i="52"/>
  <c r="L174" i="52"/>
  <c r="L132" i="52"/>
  <c r="L130" i="52"/>
  <c r="L190" i="52"/>
  <c r="L91" i="52"/>
  <c r="L31" i="52"/>
  <c r="L45" i="52"/>
  <c r="L80" i="52"/>
  <c r="L150" i="52"/>
  <c r="L41" i="52"/>
  <c r="L84" i="52"/>
  <c r="L82" i="52"/>
  <c r="L28" i="52"/>
  <c r="L86" i="52"/>
  <c r="L77" i="52"/>
  <c r="L106" i="52"/>
  <c r="L17" i="52"/>
  <c r="L40" i="52"/>
  <c r="L184" i="52"/>
  <c r="L20" i="52"/>
  <c r="L68" i="52"/>
  <c r="L98" i="52"/>
  <c r="L39" i="52"/>
  <c r="L166" i="52"/>
  <c r="L12" i="52"/>
  <c r="L119" i="52"/>
  <c r="L85" i="52"/>
  <c r="L92" i="52"/>
  <c r="L108" i="52"/>
  <c r="L48" i="52"/>
  <c r="L52" i="52"/>
  <c r="L164" i="52"/>
  <c r="L22" i="52"/>
  <c r="L147" i="52"/>
  <c r="L156" i="52"/>
  <c r="L60" i="52"/>
  <c r="L165" i="52"/>
  <c r="L6" i="52"/>
  <c r="L136" i="52"/>
  <c r="L178" i="52"/>
  <c r="L67" i="52"/>
  <c r="L172" i="52"/>
  <c r="L118" i="52"/>
  <c r="L66" i="52"/>
  <c r="L88" i="52"/>
  <c r="L76" i="52"/>
  <c r="L87" i="52"/>
  <c r="L49" i="52"/>
  <c r="L195" i="52"/>
  <c r="L18" i="52"/>
  <c r="L194" i="52"/>
  <c r="L145" i="52"/>
  <c r="L159" i="52"/>
  <c r="L169" i="52"/>
  <c r="L113" i="52"/>
  <c r="L93" i="52"/>
  <c r="L9" i="52"/>
  <c r="L64" i="52"/>
  <c r="L135" i="52"/>
  <c r="L170" i="52"/>
  <c r="L173" i="52"/>
  <c r="L121" i="52"/>
  <c r="L143" i="52"/>
  <c r="L175" i="52"/>
  <c r="L44" i="52"/>
  <c r="L126" i="52"/>
  <c r="L148" i="52"/>
  <c r="L171" i="52"/>
  <c r="L38" i="52"/>
  <c r="L42" i="52"/>
  <c r="L36" i="52"/>
  <c r="L154" i="52"/>
  <c r="L62" i="52"/>
  <c r="L101" i="52"/>
  <c r="L14" i="52"/>
  <c r="L25" i="52"/>
  <c r="L79" i="52"/>
  <c r="T44" i="42"/>
  <c r="N4" i="55"/>
  <c r="M11" i="55"/>
  <c r="M31" i="55"/>
  <c r="M19" i="55"/>
  <c r="M53" i="55"/>
  <c r="M81" i="55"/>
  <c r="M105" i="55"/>
  <c r="M117" i="55"/>
  <c r="M125" i="55"/>
  <c r="M157" i="55"/>
  <c r="M173" i="55"/>
  <c r="M27" i="55"/>
  <c r="M33" i="55"/>
  <c r="M101" i="55"/>
  <c r="M121" i="55"/>
  <c r="M145" i="55"/>
  <c r="M169" i="55"/>
  <c r="M9" i="55"/>
  <c r="M23" i="55"/>
  <c r="M37" i="55"/>
  <c r="M129" i="55"/>
  <c r="M141" i="55"/>
  <c r="M161" i="55"/>
  <c r="M165" i="55"/>
  <c r="M177" i="55"/>
  <c r="M181" i="55"/>
  <c r="M89" i="55"/>
  <c r="M49" i="55"/>
  <c r="M85" i="55"/>
  <c r="M51" i="55"/>
  <c r="M55" i="55"/>
  <c r="M87" i="55"/>
  <c r="M99" i="55"/>
  <c r="M123" i="55"/>
  <c r="M135" i="55"/>
  <c r="M155" i="55"/>
  <c r="M167" i="55"/>
  <c r="M175" i="55"/>
  <c r="M183" i="55"/>
  <c r="M195" i="55"/>
  <c r="M5" i="55"/>
  <c r="M189" i="55"/>
  <c r="M193" i="55"/>
  <c r="M197" i="55"/>
  <c r="M45" i="55"/>
  <c r="M73" i="55"/>
  <c r="M7" i="55"/>
  <c r="M15" i="55"/>
  <c r="M77" i="55"/>
  <c r="M59" i="55"/>
  <c r="M63" i="55"/>
  <c r="M95" i="55"/>
  <c r="M107" i="55"/>
  <c r="M131" i="55"/>
  <c r="M143" i="55"/>
  <c r="M163" i="55"/>
  <c r="M191" i="55"/>
  <c r="M29" i="55"/>
  <c r="M57" i="55"/>
  <c r="M97" i="55"/>
  <c r="M65" i="55"/>
  <c r="M43" i="55"/>
  <c r="M47" i="55"/>
  <c r="M79" i="55"/>
  <c r="M91" i="55"/>
  <c r="M147" i="55"/>
  <c r="M159" i="55"/>
  <c r="M179" i="55"/>
  <c r="M93" i="55"/>
  <c r="M41" i="55"/>
  <c r="M67" i="55"/>
  <c r="M71" i="55"/>
  <c r="M103" i="55"/>
  <c r="M115" i="55"/>
  <c r="M6" i="55"/>
  <c r="M10" i="55"/>
  <c r="M14" i="55"/>
  <c r="M18" i="55"/>
  <c r="M22" i="55"/>
  <c r="M26" i="55"/>
  <c r="M30" i="55"/>
  <c r="M34" i="55"/>
  <c r="M38" i="55"/>
  <c r="M42" i="55"/>
  <c r="M48" i="55"/>
  <c r="M52" i="55"/>
  <c r="M56" i="55"/>
  <c r="M60" i="55"/>
  <c r="M64" i="55"/>
  <c r="M68" i="55"/>
  <c r="M72" i="55"/>
  <c r="M76" i="55"/>
  <c r="M80" i="55"/>
  <c r="M84" i="55"/>
  <c r="M88" i="55"/>
  <c r="M92" i="55"/>
  <c r="M96" i="55"/>
  <c r="M100" i="55"/>
  <c r="M104" i="55"/>
  <c r="M108" i="55"/>
  <c r="M112" i="55"/>
  <c r="M116" i="55"/>
  <c r="M120" i="55"/>
  <c r="M124" i="55"/>
  <c r="M130" i="55"/>
  <c r="M134" i="55"/>
  <c r="M138" i="55"/>
  <c r="M142" i="55"/>
  <c r="M146" i="55"/>
  <c r="M150" i="55"/>
  <c r="M154" i="55"/>
  <c r="M158" i="55"/>
  <c r="M162" i="55"/>
  <c r="M166" i="55"/>
  <c r="M170" i="55"/>
  <c r="M174" i="55"/>
  <c r="M178" i="55"/>
  <c r="M182" i="55"/>
  <c r="M186" i="55"/>
  <c r="M190" i="55"/>
  <c r="M194" i="55"/>
  <c r="M198" i="55"/>
  <c r="M69" i="55"/>
  <c r="M35" i="55"/>
  <c r="M139" i="55"/>
  <c r="M151" i="55"/>
  <c r="M13" i="55"/>
  <c r="M12" i="55"/>
  <c r="M20" i="55"/>
  <c r="M28" i="55"/>
  <c r="M36" i="55"/>
  <c r="M46" i="55"/>
  <c r="M54" i="55"/>
  <c r="M62" i="55"/>
  <c r="M70" i="55"/>
  <c r="M78" i="55"/>
  <c r="M86" i="55"/>
  <c r="M94" i="55"/>
  <c r="M102" i="55"/>
  <c r="M110" i="55"/>
  <c r="M118" i="55"/>
  <c r="M128" i="55"/>
  <c r="M136" i="55"/>
  <c r="M144" i="55"/>
  <c r="M152" i="55"/>
  <c r="M160" i="55"/>
  <c r="M168" i="55"/>
  <c r="M176" i="55"/>
  <c r="M184" i="55"/>
  <c r="M192" i="55"/>
  <c r="M109" i="55"/>
  <c r="M111" i="55"/>
  <c r="M127" i="55"/>
  <c r="M171" i="55"/>
  <c r="M25" i="55"/>
  <c r="M61" i="55"/>
  <c r="M39" i="55"/>
  <c r="M83" i="55"/>
  <c r="M21" i="55"/>
  <c r="M8" i="55"/>
  <c r="M16" i="55"/>
  <c r="M24" i="55"/>
  <c r="M32" i="55"/>
  <c r="M40" i="55"/>
  <c r="M50" i="55"/>
  <c r="M58" i="55"/>
  <c r="M66" i="55"/>
  <c r="M74" i="55"/>
  <c r="M82" i="55"/>
  <c r="M90" i="55"/>
  <c r="M98" i="55"/>
  <c r="M106" i="55"/>
  <c r="M114" i="55"/>
  <c r="M122" i="55"/>
  <c r="M132" i="55"/>
  <c r="M140" i="55"/>
  <c r="M148" i="55"/>
  <c r="M156" i="55"/>
  <c r="M164" i="55"/>
  <c r="M172" i="55"/>
  <c r="M180" i="55"/>
  <c r="M188" i="55"/>
  <c r="M196" i="55"/>
  <c r="M17" i="55"/>
  <c r="M75" i="55"/>
  <c r="M187" i="55"/>
  <c r="N4" i="56"/>
  <c r="M188" i="56"/>
  <c r="M196" i="56"/>
  <c r="M31" i="56"/>
  <c r="M59" i="56"/>
  <c r="M71" i="56"/>
  <c r="M87" i="56"/>
  <c r="M111" i="56"/>
  <c r="M39" i="56"/>
  <c r="M47" i="56"/>
  <c r="M55" i="56"/>
  <c r="M67" i="56"/>
  <c r="M75" i="56"/>
  <c r="M83" i="56"/>
  <c r="M91" i="56"/>
  <c r="M99" i="56"/>
  <c r="M38" i="56"/>
  <c r="M50" i="56"/>
  <c r="M66" i="56"/>
  <c r="M86" i="56"/>
  <c r="M102" i="56"/>
  <c r="M118" i="56"/>
  <c r="M138" i="56"/>
  <c r="M30" i="56"/>
  <c r="M46" i="56"/>
  <c r="M58" i="56"/>
  <c r="M74" i="56"/>
  <c r="M94" i="56"/>
  <c r="M110" i="56"/>
  <c r="M35" i="56"/>
  <c r="M63" i="56"/>
  <c r="M8" i="56"/>
  <c r="M12" i="56"/>
  <c r="M16" i="56"/>
  <c r="M20" i="56"/>
  <c r="M24" i="56"/>
  <c r="M28" i="56"/>
  <c r="M36" i="56"/>
  <c r="M48" i="56"/>
  <c r="M56" i="56"/>
  <c r="M64" i="56"/>
  <c r="M72" i="56"/>
  <c r="M80" i="56"/>
  <c r="M88" i="56"/>
  <c r="M51" i="56"/>
  <c r="M95" i="56"/>
  <c r="M6" i="56"/>
  <c r="M14" i="56"/>
  <c r="M22" i="56"/>
  <c r="M26" i="56"/>
  <c r="M42" i="56"/>
  <c r="M78" i="56"/>
  <c r="M106" i="56"/>
  <c r="M10" i="56"/>
  <c r="M18" i="56"/>
  <c r="M34" i="56"/>
  <c r="M70" i="56"/>
  <c r="M98" i="56"/>
  <c r="M130" i="56"/>
  <c r="M40" i="56"/>
  <c r="M60" i="56"/>
  <c r="M76" i="56"/>
  <c r="M84" i="56"/>
  <c r="M164" i="56"/>
  <c r="M172" i="56"/>
  <c r="M180" i="56"/>
  <c r="M5" i="56"/>
  <c r="M9" i="56"/>
  <c r="M13" i="56"/>
  <c r="M17" i="56"/>
  <c r="M21" i="56"/>
  <c r="M25" i="56"/>
  <c r="M29" i="56"/>
  <c r="M37" i="56"/>
  <c r="M45" i="56"/>
  <c r="M53" i="56"/>
  <c r="M61" i="56"/>
  <c r="M69" i="56"/>
  <c r="M77" i="56"/>
  <c r="M85" i="56"/>
  <c r="M93" i="56"/>
  <c r="M101" i="56"/>
  <c r="M109" i="56"/>
  <c r="M161" i="56"/>
  <c r="M165" i="56"/>
  <c r="M169" i="56"/>
  <c r="M173" i="56"/>
  <c r="M177" i="56"/>
  <c r="M181" i="56"/>
  <c r="M193" i="56"/>
  <c r="M182" i="56"/>
  <c r="M142" i="56"/>
  <c r="M150" i="56"/>
  <c r="M154" i="56"/>
  <c r="M198" i="56"/>
  <c r="M163" i="56"/>
  <c r="M171" i="56"/>
  <c r="M179" i="56"/>
  <c r="M19" i="56"/>
  <c r="M103" i="56"/>
  <c r="M107" i="56"/>
  <c r="M115" i="56"/>
  <c r="M191" i="56"/>
  <c r="M92" i="56"/>
  <c r="M100" i="56"/>
  <c r="M108" i="56"/>
  <c r="M116" i="56"/>
  <c r="M192" i="56"/>
  <c r="M125" i="56"/>
  <c r="M129" i="56"/>
  <c r="M141" i="56"/>
  <c r="M145" i="56"/>
  <c r="M157" i="56"/>
  <c r="M187" i="56"/>
  <c r="M62" i="56"/>
  <c r="M52" i="56"/>
  <c r="M128" i="56"/>
  <c r="M144" i="56"/>
  <c r="M41" i="56"/>
  <c r="M57" i="56"/>
  <c r="M73" i="56"/>
  <c r="M89" i="56"/>
  <c r="M105" i="56"/>
  <c r="M195" i="56"/>
  <c r="M54" i="56"/>
  <c r="M114" i="56"/>
  <c r="M90" i="56"/>
  <c r="M134" i="56"/>
  <c r="M32" i="56"/>
  <c r="M68" i="56"/>
  <c r="M136" i="56"/>
  <c r="M152" i="56"/>
  <c r="M168" i="56"/>
  <c r="M122" i="56"/>
  <c r="M104" i="56"/>
  <c r="M124" i="56"/>
  <c r="M132" i="56"/>
  <c r="M140" i="56"/>
  <c r="M148" i="56"/>
  <c r="M156" i="56"/>
  <c r="M160" i="56"/>
  <c r="M65" i="56"/>
  <c r="M121" i="56"/>
  <c r="M146" i="56"/>
  <c r="M166" i="56"/>
  <c r="M174" i="56"/>
  <c r="M23" i="56"/>
  <c r="M82" i="56"/>
  <c r="M112" i="56"/>
  <c r="M176" i="56"/>
  <c r="M49" i="56"/>
  <c r="M117" i="56"/>
  <c r="M194" i="56"/>
  <c r="M162" i="56"/>
  <c r="M127" i="56"/>
  <c r="M135" i="56"/>
  <c r="M143" i="56"/>
  <c r="M151" i="56"/>
  <c r="M159" i="56"/>
  <c r="M11" i="56"/>
  <c r="M43" i="56"/>
  <c r="M186" i="56"/>
  <c r="M190" i="56"/>
  <c r="M27" i="56"/>
  <c r="M79" i="56"/>
  <c r="M81" i="56"/>
  <c r="M131" i="56"/>
  <c r="M120" i="56"/>
  <c r="M184" i="56"/>
  <c r="M33" i="56"/>
  <c r="M97" i="56"/>
  <c r="M189" i="56"/>
  <c r="M197" i="56"/>
  <c r="M158" i="56"/>
  <c r="M96" i="56"/>
  <c r="M170" i="56"/>
  <c r="M178" i="56"/>
  <c r="M123" i="56"/>
  <c r="M155" i="56"/>
  <c r="M175" i="56"/>
  <c r="M147" i="56"/>
  <c r="M7" i="56"/>
  <c r="M139" i="56"/>
  <c r="M167" i="56"/>
  <c r="M183" i="56"/>
  <c r="M15" i="56"/>
  <c r="N4" i="54"/>
  <c r="M140" i="54"/>
  <c r="M145" i="54"/>
  <c r="M177" i="54"/>
  <c r="M6" i="54"/>
  <c r="M10" i="54"/>
  <c r="M12" i="54"/>
  <c r="M14" i="54"/>
  <c r="M16" i="54"/>
  <c r="M19" i="54"/>
  <c r="M22" i="54"/>
  <c r="M29" i="54"/>
  <c r="M35" i="54"/>
  <c r="M47" i="54"/>
  <c r="M49" i="54"/>
  <c r="M53" i="54"/>
  <c r="M62" i="54"/>
  <c r="M66" i="54"/>
  <c r="M70" i="54"/>
  <c r="M73" i="54"/>
  <c r="M160" i="54"/>
  <c r="M166" i="54"/>
  <c r="M79" i="54"/>
  <c r="M87" i="54"/>
  <c r="M96" i="54"/>
  <c r="M112" i="54"/>
  <c r="M192" i="54"/>
  <c r="M18" i="54"/>
  <c r="M139" i="54"/>
  <c r="M32" i="54"/>
  <c r="M52" i="54"/>
  <c r="M60" i="54"/>
  <c r="M64" i="54"/>
  <c r="M68" i="54"/>
  <c r="M124" i="54"/>
  <c r="M132" i="54"/>
  <c r="M148" i="54"/>
  <c r="M164" i="54"/>
  <c r="M173" i="54"/>
  <c r="M144" i="54"/>
  <c r="M162" i="54"/>
  <c r="M194" i="54"/>
  <c r="M155" i="54"/>
  <c r="M104" i="54"/>
  <c r="M115" i="54"/>
  <c r="M128" i="54"/>
  <c r="M78" i="54"/>
  <c r="M91" i="54"/>
  <c r="M103" i="54"/>
  <c r="M147" i="54"/>
  <c r="M167" i="54"/>
  <c r="M7" i="54"/>
  <c r="M20" i="54"/>
  <c r="M24" i="54"/>
  <c r="M25" i="54"/>
  <c r="M27" i="54"/>
  <c r="M28" i="54"/>
  <c r="M36" i="54"/>
  <c r="M39" i="54"/>
  <c r="M41" i="54"/>
  <c r="M45" i="54"/>
  <c r="M55" i="54"/>
  <c r="M56" i="54"/>
  <c r="M57" i="54"/>
  <c r="M58" i="54"/>
  <c r="M110" i="54"/>
  <c r="M130" i="54"/>
  <c r="M146" i="54"/>
  <c r="M174" i="54"/>
  <c r="M5" i="54"/>
  <c r="M108" i="54"/>
  <c r="M156" i="54"/>
  <c r="M168" i="54"/>
  <c r="M31" i="54"/>
  <c r="M184" i="54"/>
  <c r="M129" i="54"/>
  <c r="M161" i="54"/>
  <c r="M189" i="54"/>
  <c r="M188" i="54"/>
  <c r="M138" i="54"/>
  <c r="M158" i="54"/>
  <c r="M190" i="54"/>
  <c r="M135" i="54"/>
  <c r="M151" i="54"/>
  <c r="M191" i="54"/>
  <c r="M80" i="54"/>
  <c r="M86" i="54"/>
  <c r="M88" i="54"/>
  <c r="M95" i="54"/>
  <c r="M97" i="54"/>
  <c r="M105" i="54"/>
  <c r="M117" i="54"/>
  <c r="M77" i="54"/>
  <c r="M85" i="54"/>
  <c r="M109" i="54"/>
  <c r="M141" i="54"/>
  <c r="M9" i="54"/>
  <c r="M23" i="54"/>
  <c r="M43" i="54"/>
  <c r="M51" i="54"/>
  <c r="M63" i="54"/>
  <c r="M67" i="54"/>
  <c r="M71" i="54"/>
  <c r="M75" i="54"/>
  <c r="M83" i="54"/>
  <c r="M107" i="54"/>
  <c r="M111" i="54"/>
  <c r="M123" i="54"/>
  <c r="M127" i="54"/>
  <c r="M131" i="54"/>
  <c r="M159" i="54"/>
  <c r="M163" i="54"/>
  <c r="M171" i="54"/>
  <c r="M175" i="54"/>
  <c r="M179" i="54"/>
  <c r="M76" i="54"/>
  <c r="M198" i="54"/>
  <c r="M195" i="54"/>
  <c r="M94" i="54"/>
  <c r="M98" i="54"/>
  <c r="M102" i="54"/>
  <c r="M114" i="54"/>
  <c r="M122" i="54"/>
  <c r="M142" i="54"/>
  <c r="M154" i="54"/>
  <c r="M178" i="54"/>
  <c r="M182" i="54"/>
  <c r="M186" i="54"/>
  <c r="M8" i="54"/>
  <c r="M11" i="54"/>
  <c r="M13" i="54"/>
  <c r="M15" i="54"/>
  <c r="M17" i="54"/>
  <c r="M21" i="54"/>
  <c r="M26" i="54"/>
  <c r="M30" i="54"/>
  <c r="M40" i="54"/>
  <c r="M48" i="54"/>
  <c r="M50" i="54"/>
  <c r="M59" i="54"/>
  <c r="M65" i="54"/>
  <c r="M69" i="54"/>
  <c r="M72" i="54"/>
  <c r="M74" i="54"/>
  <c r="M134" i="54"/>
  <c r="M183" i="54"/>
  <c r="M81" i="54"/>
  <c r="M89" i="54"/>
  <c r="M99" i="54"/>
  <c r="M121" i="54"/>
  <c r="M84" i="54"/>
  <c r="M92" i="54"/>
  <c r="M100" i="54"/>
  <c r="M116" i="54"/>
  <c r="M120" i="54"/>
  <c r="M152" i="54"/>
  <c r="M176" i="54"/>
  <c r="M37" i="54"/>
  <c r="M136" i="54"/>
  <c r="M196" i="54"/>
  <c r="M172" i="54"/>
  <c r="M157" i="54"/>
  <c r="M181" i="54"/>
  <c r="M180" i="54"/>
  <c r="M150" i="54"/>
  <c r="M170" i="54"/>
  <c r="M143" i="54"/>
  <c r="M187" i="54"/>
  <c r="M106" i="54"/>
  <c r="M118" i="54"/>
  <c r="M33" i="54"/>
  <c r="M61" i="54"/>
  <c r="M93" i="54"/>
  <c r="M101" i="54"/>
  <c r="M125" i="54"/>
  <c r="M165" i="54"/>
  <c r="M169" i="54"/>
  <c r="M193" i="54"/>
  <c r="M197" i="54"/>
  <c r="M34" i="54"/>
  <c r="M38" i="54"/>
  <c r="M42" i="54"/>
  <c r="M46" i="54"/>
  <c r="M54" i="54"/>
  <c r="M82" i="54"/>
  <c r="M90" i="54"/>
  <c r="J171" i="43"/>
  <c r="J117" i="43"/>
  <c r="J86" i="43"/>
  <c r="J56" i="43"/>
  <c r="I147" i="43"/>
  <c r="I20" i="43"/>
  <c r="I70" i="43"/>
  <c r="I110" i="43"/>
  <c r="I46" i="43"/>
  <c r="I26" i="43"/>
  <c r="I66" i="43"/>
  <c r="I101" i="43"/>
  <c r="I131" i="43"/>
  <c r="I168" i="43"/>
  <c r="I99" i="43"/>
  <c r="I37" i="43"/>
  <c r="J16" i="43"/>
  <c r="I106" i="43"/>
  <c r="J88" i="43"/>
  <c r="I95" i="43"/>
  <c r="I134" i="43"/>
  <c r="J67" i="43"/>
  <c r="I45" i="43"/>
  <c r="I115" i="43"/>
  <c r="I114" i="43"/>
  <c r="I59" i="43"/>
  <c r="I162" i="43"/>
  <c r="J79" i="43"/>
  <c r="I120" i="43"/>
  <c r="I157" i="43"/>
  <c r="J57" i="43"/>
  <c r="I118" i="43"/>
  <c r="I194" i="43"/>
  <c r="J48" i="43"/>
  <c r="J151" i="43"/>
  <c r="J49" i="43"/>
  <c r="J43" i="43"/>
  <c r="J169" i="43"/>
  <c r="J41" i="43"/>
  <c r="I81" i="43"/>
  <c r="I198" i="43"/>
  <c r="I47" i="43"/>
  <c r="I91" i="43"/>
  <c r="I129" i="43"/>
  <c r="I181" i="43"/>
  <c r="I112" i="43"/>
  <c r="I121" i="43"/>
  <c r="J184" i="43"/>
  <c r="J58" i="43"/>
  <c r="J163" i="43"/>
  <c r="I76" i="43"/>
  <c r="I50" i="43"/>
  <c r="I116" i="43"/>
  <c r="J40" i="43"/>
  <c r="I10" i="43"/>
  <c r="I87" i="43"/>
  <c r="I148" i="43"/>
  <c r="I189" i="43"/>
  <c r="J109" i="43"/>
  <c r="I34" i="43"/>
  <c r="I140" i="43"/>
  <c r="I77" i="43"/>
  <c r="J65" i="43"/>
  <c r="J36" i="43"/>
  <c r="I69" i="43"/>
  <c r="I197" i="43"/>
  <c r="I193" i="43"/>
  <c r="I15" i="43"/>
  <c r="I55" i="43"/>
  <c r="I141" i="43"/>
  <c r="I166" i="43"/>
  <c r="J176" i="43"/>
  <c r="J192" i="43"/>
  <c r="J108" i="43"/>
  <c r="I107" i="43"/>
  <c r="I174" i="43"/>
  <c r="I80" i="43"/>
  <c r="J32" i="43"/>
  <c r="J92" i="43"/>
  <c r="J9" i="43"/>
  <c r="I94" i="43"/>
  <c r="J19" i="43"/>
  <c r="J62" i="43"/>
  <c r="I42" i="43"/>
  <c r="I84" i="43"/>
  <c r="I146" i="43"/>
  <c r="I183" i="43"/>
  <c r="I178" i="43"/>
  <c r="J23" i="43"/>
  <c r="I167" i="43"/>
  <c r="J195" i="43"/>
  <c r="I155" i="43"/>
  <c r="I12" i="43"/>
  <c r="I72" i="43"/>
  <c r="I156" i="43"/>
  <c r="I122" i="43"/>
  <c r="J14" i="43"/>
  <c r="J51" i="43"/>
  <c r="I29" i="43"/>
  <c r="I170" i="43"/>
  <c r="J138" i="43"/>
  <c r="I64" i="43"/>
  <c r="J78" i="43"/>
  <c r="I102" i="43"/>
  <c r="I30" i="43"/>
  <c r="I53" i="43"/>
  <c r="I105" i="43"/>
  <c r="I152" i="43"/>
  <c r="J35" i="43"/>
  <c r="I24" i="43"/>
  <c r="J187" i="43"/>
  <c r="J74" i="43"/>
  <c r="J128" i="43"/>
  <c r="J17" i="43"/>
  <c r="I60" i="43"/>
  <c r="I144" i="43"/>
  <c r="I61" i="43"/>
  <c r="I143" i="43"/>
  <c r="J93" i="43"/>
  <c r="I11" i="43"/>
  <c r="J22" i="43"/>
  <c r="I124" i="43"/>
  <c r="J191" i="43"/>
  <c r="I145" i="43"/>
  <c r="I159" i="43"/>
  <c r="I150" i="43"/>
  <c r="I154" i="43"/>
  <c r="I98" i="43"/>
  <c r="J130" i="43"/>
  <c r="J54" i="43"/>
  <c r="I188" i="43"/>
  <c r="I179" i="43"/>
  <c r="I31" i="43"/>
  <c r="I161" i="43"/>
  <c r="J196" i="43"/>
  <c r="J73" i="43"/>
  <c r="J160" i="43"/>
  <c r="I25" i="43"/>
  <c r="I68" i="43"/>
  <c r="I103" i="43"/>
  <c r="I139" i="43"/>
  <c r="I89" i="43"/>
  <c r="I172" i="43"/>
  <c r="I164" i="43"/>
  <c r="J97" i="43"/>
  <c r="J85" i="43"/>
  <c r="J177" i="43"/>
  <c r="J8" i="43"/>
  <c r="J135" i="43"/>
  <c r="I33" i="43"/>
  <c r="J100" i="43"/>
  <c r="J182" i="43"/>
  <c r="I39" i="43"/>
  <c r="I90" i="43"/>
  <c r="I13" i="43"/>
  <c r="I71" i="43"/>
  <c r="J75" i="43"/>
  <c r="I7" i="43"/>
  <c r="I127" i="43"/>
  <c r="I158" i="43"/>
  <c r="J173" i="43"/>
  <c r="J6" i="43"/>
  <c r="I21" i="43"/>
  <c r="I111" i="43"/>
  <c r="L5" i="52"/>
  <c r="L4" i="45"/>
  <c r="N6" i="40" l="1"/>
  <c r="N9" i="40"/>
  <c r="N5" i="40"/>
  <c r="N7" i="40"/>
  <c r="N33" i="40"/>
  <c r="U52" i="42"/>
  <c r="U113" i="42"/>
  <c r="U125" i="42"/>
  <c r="U36" i="42"/>
  <c r="U96" i="42"/>
  <c r="U193" i="42"/>
  <c r="U182" i="42"/>
  <c r="U53" i="42"/>
  <c r="U51" i="42"/>
  <c r="U18" i="42"/>
  <c r="U57" i="42"/>
  <c r="U127" i="42"/>
  <c r="U141" i="42"/>
  <c r="U55" i="42"/>
  <c r="U71" i="42"/>
  <c r="U115" i="42"/>
  <c r="U74" i="42"/>
  <c r="U171" i="42"/>
  <c r="U25" i="42"/>
  <c r="U15" i="42"/>
  <c r="U195" i="42"/>
  <c r="U166" i="42"/>
  <c r="U7" i="42"/>
  <c r="U161" i="42"/>
  <c r="U103" i="42"/>
  <c r="U47" i="42"/>
  <c r="U197" i="42"/>
  <c r="U79" i="42"/>
  <c r="U148" i="42"/>
  <c r="U8" i="42"/>
  <c r="U77" i="42"/>
  <c r="U17" i="42"/>
  <c r="U104" i="42"/>
  <c r="U176" i="42"/>
  <c r="U49" i="42"/>
  <c r="U10" i="42"/>
  <c r="U32" i="42"/>
  <c r="U73" i="42"/>
  <c r="U169" i="42"/>
  <c r="U78" i="42"/>
  <c r="U81" i="42"/>
  <c r="U91" i="42"/>
  <c r="U126" i="42"/>
  <c r="U41" i="42"/>
  <c r="U64" i="42"/>
  <c r="U194" i="42"/>
  <c r="U164" i="42"/>
  <c r="U92" i="42"/>
  <c r="U157" i="42"/>
  <c r="U42" i="42"/>
  <c r="U186" i="42"/>
  <c r="U152" i="42"/>
  <c r="U46" i="42"/>
  <c r="U140" i="42"/>
  <c r="U130" i="42"/>
  <c r="U150" i="42"/>
  <c r="U179" i="42"/>
  <c r="U58" i="42"/>
  <c r="U138" i="42"/>
  <c r="U158" i="42"/>
  <c r="U116" i="42"/>
  <c r="U180" i="42"/>
  <c r="U31" i="42"/>
  <c r="U6" i="42"/>
  <c r="U163" i="42"/>
  <c r="U24" i="42"/>
  <c r="U153" i="42"/>
  <c r="U154" i="42"/>
  <c r="U35" i="42"/>
  <c r="U188" i="42"/>
  <c r="U76" i="42"/>
  <c r="U82" i="42"/>
  <c r="U80" i="42"/>
  <c r="U26" i="42"/>
  <c r="U54" i="42"/>
  <c r="U114" i="42"/>
  <c r="U119" i="42"/>
  <c r="U20" i="42"/>
  <c r="U147" i="42"/>
  <c r="U30" i="42"/>
  <c r="U162" i="42"/>
  <c r="U33" i="42"/>
  <c r="U112" i="42"/>
  <c r="U45" i="42"/>
  <c r="U22" i="42"/>
  <c r="U111" i="42"/>
  <c r="U39" i="42"/>
  <c r="U122" i="42"/>
  <c r="U43" i="42"/>
  <c r="U120" i="42"/>
  <c r="U48" i="42"/>
  <c r="U121" i="42"/>
  <c r="U60" i="42"/>
  <c r="U61" i="42"/>
  <c r="U27" i="42"/>
  <c r="U132" i="42"/>
  <c r="U198" i="42"/>
  <c r="U59" i="42"/>
  <c r="U68" i="42"/>
  <c r="U172" i="42"/>
  <c r="U62" i="42"/>
  <c r="U95" i="42"/>
  <c r="U75" i="42"/>
  <c r="U11" i="42"/>
  <c r="U192" i="42"/>
  <c r="U149" i="42"/>
  <c r="U133" i="42"/>
  <c r="U159" i="42"/>
  <c r="U185" i="42"/>
  <c r="U19" i="42"/>
  <c r="U178" i="42"/>
  <c r="U187" i="42"/>
  <c r="U28" i="42"/>
  <c r="U50" i="42"/>
  <c r="U69" i="42"/>
  <c r="U98" i="42"/>
  <c r="U99" i="42"/>
  <c r="U16" i="42"/>
  <c r="U151" i="42"/>
  <c r="U93" i="42"/>
  <c r="U124" i="42"/>
  <c r="U12" i="42"/>
  <c r="U65" i="42"/>
  <c r="U128" i="42"/>
  <c r="U67" i="42"/>
  <c r="U167" i="42"/>
  <c r="U117" i="42"/>
  <c r="U38" i="42"/>
  <c r="U181" i="42"/>
  <c r="U156" i="42"/>
  <c r="U160" i="42"/>
  <c r="U89" i="42"/>
  <c r="U139" i="42"/>
  <c r="U83" i="42"/>
  <c r="U97" i="42"/>
  <c r="U184" i="42"/>
  <c r="U63" i="42"/>
  <c r="U118" i="42"/>
  <c r="U136" i="42"/>
  <c r="U100" i="42"/>
  <c r="U5" i="42"/>
  <c r="U170" i="42"/>
  <c r="U123" i="42"/>
  <c r="U134" i="42"/>
  <c r="U56" i="42"/>
  <c r="U110" i="42"/>
  <c r="U37" i="42"/>
  <c r="U135" i="42"/>
  <c r="U29" i="42"/>
  <c r="U84" i="42"/>
  <c r="U108" i="42"/>
  <c r="U94" i="42"/>
  <c r="U146" i="42"/>
  <c r="U145" i="42"/>
  <c r="U144" i="42"/>
  <c r="U174" i="42"/>
  <c r="U168" i="42"/>
  <c r="U143" i="42"/>
  <c r="U101" i="42"/>
  <c r="U191" i="42"/>
  <c r="U9" i="42"/>
  <c r="N126" i="54"/>
  <c r="N119" i="54"/>
  <c r="N113" i="54"/>
  <c r="N133" i="54"/>
  <c r="N137" i="54"/>
  <c r="N149" i="54"/>
  <c r="N153" i="54"/>
  <c r="N185" i="54"/>
  <c r="N44" i="54"/>
  <c r="X13" i="40"/>
  <c r="X146" i="40"/>
  <c r="X196" i="40"/>
  <c r="X102" i="40"/>
  <c r="X187" i="40"/>
  <c r="X137" i="40"/>
  <c r="X55" i="40"/>
  <c r="V129" i="42"/>
  <c r="X49" i="40"/>
  <c r="X87" i="40"/>
  <c r="X100" i="40"/>
  <c r="X89" i="40"/>
  <c r="X38" i="40"/>
  <c r="X76" i="40"/>
  <c r="V107" i="42"/>
  <c r="X54" i="40"/>
  <c r="X97" i="40"/>
  <c r="X132" i="40"/>
  <c r="X17" i="40"/>
  <c r="X95" i="40"/>
  <c r="X103" i="40"/>
  <c r="X110" i="40"/>
  <c r="X61" i="40"/>
  <c r="X71" i="40"/>
  <c r="X172" i="40"/>
  <c r="X53" i="40"/>
  <c r="X155" i="40"/>
  <c r="X185" i="40"/>
  <c r="X12" i="40"/>
  <c r="X112" i="40"/>
  <c r="X139" i="40"/>
  <c r="X177" i="40"/>
  <c r="X58" i="40"/>
  <c r="X25" i="40"/>
  <c r="J104" i="43"/>
  <c r="X174" i="40"/>
  <c r="X57" i="40"/>
  <c r="X23" i="40"/>
  <c r="X169" i="40"/>
  <c r="X74" i="40"/>
  <c r="X149" i="40"/>
  <c r="X138" i="40"/>
  <c r="X75" i="40"/>
  <c r="X162" i="40"/>
  <c r="X163" i="40"/>
  <c r="X134" i="40"/>
  <c r="X52" i="40"/>
  <c r="X150" i="40"/>
  <c r="X147" i="40"/>
  <c r="X21" i="40"/>
  <c r="X91" i="40"/>
  <c r="X133" i="40"/>
  <c r="X43" i="40"/>
  <c r="X173" i="40"/>
  <c r="X107" i="40"/>
  <c r="X130" i="40"/>
  <c r="X98" i="40"/>
  <c r="X30" i="40"/>
  <c r="X152" i="40"/>
  <c r="X34" i="40"/>
  <c r="U21" i="42"/>
  <c r="X26" i="40"/>
  <c r="X99" i="40"/>
  <c r="X184" i="40"/>
  <c r="X129" i="40"/>
  <c r="X186" i="40"/>
  <c r="X128" i="40"/>
  <c r="X165" i="40"/>
  <c r="U165" i="42"/>
  <c r="X42" i="40"/>
  <c r="X59" i="40"/>
  <c r="X11" i="40"/>
  <c r="X27" i="40"/>
  <c r="X175" i="40"/>
  <c r="X131" i="40"/>
  <c r="X85" i="40"/>
  <c r="X179" i="40"/>
  <c r="X86" i="40"/>
  <c r="U88" i="42"/>
  <c r="V90" i="42"/>
  <c r="X39" i="40"/>
  <c r="X198" i="40"/>
  <c r="X32" i="40"/>
  <c r="V177" i="42"/>
  <c r="X122" i="40"/>
  <c r="X41" i="40"/>
  <c r="X111" i="40"/>
  <c r="X79" i="40"/>
  <c r="V106" i="42"/>
  <c r="X92" i="40"/>
  <c r="X109" i="40"/>
  <c r="V131" i="42"/>
  <c r="J125" i="43"/>
  <c r="X37" i="40"/>
  <c r="X8" i="40"/>
  <c r="X148" i="40"/>
  <c r="X96" i="40"/>
  <c r="X104" i="40"/>
  <c r="U173" i="42"/>
  <c r="X158" i="40"/>
  <c r="X154" i="40"/>
  <c r="X105" i="40"/>
  <c r="X31" i="40"/>
  <c r="X77" i="40"/>
  <c r="X67" i="40"/>
  <c r="X121" i="40"/>
  <c r="N119" i="56"/>
  <c r="N44" i="56"/>
  <c r="N113" i="56"/>
  <c r="N133" i="56"/>
  <c r="N137" i="56"/>
  <c r="N149" i="56"/>
  <c r="N153" i="56"/>
  <c r="N185" i="56"/>
  <c r="N126" i="56"/>
  <c r="X188" i="40"/>
  <c r="V13" i="42"/>
  <c r="X88" i="40"/>
  <c r="X20" i="40"/>
  <c r="X66" i="40"/>
  <c r="X197" i="40"/>
  <c r="X106" i="40"/>
  <c r="U14" i="42"/>
  <c r="U86" i="42"/>
  <c r="X124" i="40"/>
  <c r="U66" i="42"/>
  <c r="X123" i="40"/>
  <c r="X69" i="40"/>
  <c r="X22" i="40"/>
  <c r="X189" i="40"/>
  <c r="X144" i="40"/>
  <c r="X113" i="40"/>
  <c r="X94" i="40"/>
  <c r="X78" i="40"/>
  <c r="X80" i="40"/>
  <c r="J27" i="43"/>
  <c r="X127" i="40"/>
  <c r="X126" i="40"/>
  <c r="X93" i="40"/>
  <c r="X60" i="40"/>
  <c r="X145" i="40"/>
  <c r="X141" i="40"/>
  <c r="V102" i="42"/>
  <c r="X195" i="40"/>
  <c r="X190" i="40"/>
  <c r="X157" i="40"/>
  <c r="X45" i="40"/>
  <c r="X164" i="40"/>
  <c r="X35" i="40"/>
  <c r="X65" i="40"/>
  <c r="V87" i="42"/>
  <c r="X192" i="40"/>
  <c r="X115" i="40"/>
  <c r="U189" i="42"/>
  <c r="J180" i="43"/>
  <c r="X84" i="40"/>
  <c r="X63" i="40"/>
  <c r="X142" i="40"/>
  <c r="X125" i="40"/>
  <c r="X83" i="40"/>
  <c r="U190" i="42"/>
  <c r="X72" i="40"/>
  <c r="U142" i="42"/>
  <c r="X116" i="40"/>
  <c r="X10" i="40"/>
  <c r="X167" i="40"/>
  <c r="X140" i="40"/>
  <c r="X117" i="40"/>
  <c r="X64" i="40"/>
  <c r="U155" i="42"/>
  <c r="X166" i="40"/>
  <c r="V196" i="42"/>
  <c r="X73" i="40"/>
  <c r="U105" i="42"/>
  <c r="X114" i="40"/>
  <c r="X24" i="40"/>
  <c r="X56" i="40"/>
  <c r="X151" i="40"/>
  <c r="X181" i="40"/>
  <c r="X194" i="40"/>
  <c r="U183" i="42"/>
  <c r="J96" i="43"/>
  <c r="N113" i="55"/>
  <c r="N133" i="55"/>
  <c r="N137" i="55"/>
  <c r="N149" i="55"/>
  <c r="N153" i="55"/>
  <c r="N185" i="55"/>
  <c r="N126" i="55"/>
  <c r="N119" i="55"/>
  <c r="N44" i="55"/>
  <c r="X51" i="40"/>
  <c r="X168" i="40"/>
  <c r="X120" i="40"/>
  <c r="X160" i="40"/>
  <c r="X47" i="40"/>
  <c r="X19" i="40"/>
  <c r="X36" i="40"/>
  <c r="X62" i="40"/>
  <c r="X90" i="40"/>
  <c r="X48" i="40"/>
  <c r="U40" i="42"/>
  <c r="X135" i="40"/>
  <c r="X70" i="40"/>
  <c r="X136" i="40"/>
  <c r="X171" i="40"/>
  <c r="X46" i="40"/>
  <c r="X108" i="40"/>
  <c r="X101" i="40"/>
  <c r="V72" i="42"/>
  <c r="X118" i="40"/>
  <c r="X176" i="40"/>
  <c r="V175" i="42"/>
  <c r="X81" i="40"/>
  <c r="U85" i="42"/>
  <c r="X44" i="40"/>
  <c r="X82" i="40"/>
  <c r="X178" i="40"/>
  <c r="X156" i="40"/>
  <c r="X170" i="40"/>
  <c r="X28" i="40"/>
  <c r="X180" i="40"/>
  <c r="X159" i="40"/>
  <c r="X153" i="40"/>
  <c r="X14" i="40"/>
  <c r="X183" i="40"/>
  <c r="X15" i="40"/>
  <c r="X193" i="40"/>
  <c r="X16" i="40"/>
  <c r="X29" i="40"/>
  <c r="X143" i="40"/>
  <c r="X40" i="40"/>
  <c r="X182" i="40"/>
  <c r="V137" i="42"/>
  <c r="X119" i="40"/>
  <c r="V109" i="42"/>
  <c r="V23" i="42"/>
  <c r="X18" i="40"/>
  <c r="X68" i="40"/>
  <c r="X191" i="40"/>
  <c r="U70" i="42"/>
  <c r="V34" i="42"/>
  <c r="X50" i="40"/>
  <c r="X161" i="40"/>
  <c r="M25" i="52"/>
  <c r="M154" i="52"/>
  <c r="M171" i="52"/>
  <c r="M175" i="52"/>
  <c r="M170" i="52"/>
  <c r="M113" i="52"/>
  <c r="M194" i="52"/>
  <c r="M76" i="52"/>
  <c r="M172" i="52"/>
  <c r="M6" i="52"/>
  <c r="M165" i="52"/>
  <c r="M164" i="52"/>
  <c r="M119" i="52"/>
  <c r="M98" i="52"/>
  <c r="M40" i="52"/>
  <c r="M86" i="52"/>
  <c r="M41" i="52"/>
  <c r="M190" i="52"/>
  <c r="M105" i="52"/>
  <c r="M33" i="52"/>
  <c r="M65" i="52"/>
  <c r="M83" i="52"/>
  <c r="M7" i="52"/>
  <c r="M102" i="52"/>
  <c r="M50" i="52"/>
  <c r="M37" i="52"/>
  <c r="M180" i="52"/>
  <c r="M27" i="52"/>
  <c r="M191" i="52"/>
  <c r="M192" i="52"/>
  <c r="M107" i="52"/>
  <c r="M152" i="52"/>
  <c r="M140" i="52"/>
  <c r="M157" i="52"/>
  <c r="M176" i="52"/>
  <c r="M185" i="52"/>
  <c r="M181" i="52"/>
  <c r="M89" i="52"/>
  <c r="M73" i="52"/>
  <c r="M58" i="52"/>
  <c r="M186" i="52"/>
  <c r="M24" i="52"/>
  <c r="M59" i="52"/>
  <c r="M153" i="52"/>
  <c r="M51" i="52"/>
  <c r="M112" i="52"/>
  <c r="M168" i="52"/>
  <c r="M97" i="52"/>
  <c r="M79" i="52"/>
  <c r="M62" i="52"/>
  <c r="M38" i="52"/>
  <c r="M44" i="52"/>
  <c r="M173" i="52"/>
  <c r="M9" i="52"/>
  <c r="M93" i="52"/>
  <c r="M145" i="52"/>
  <c r="M49" i="52"/>
  <c r="M87" i="52"/>
  <c r="M118" i="52"/>
  <c r="M136" i="52"/>
  <c r="M22" i="52"/>
  <c r="M108" i="52"/>
  <c r="M85" i="52"/>
  <c r="M39" i="52"/>
  <c r="M184" i="52"/>
  <c r="M77" i="52"/>
  <c r="M84" i="52"/>
  <c r="M91" i="52"/>
  <c r="M174" i="52"/>
  <c r="M182" i="52"/>
  <c r="M96" i="52"/>
  <c r="M117" i="52"/>
  <c r="M47" i="52"/>
  <c r="M13" i="52"/>
  <c r="M104" i="52"/>
  <c r="M43" i="52"/>
  <c r="M187" i="52"/>
  <c r="M189" i="52"/>
  <c r="M196" i="52"/>
  <c r="M133" i="52"/>
  <c r="M122" i="52"/>
  <c r="M183" i="52"/>
  <c r="M34" i="52"/>
  <c r="M131" i="52"/>
  <c r="M54" i="52"/>
  <c r="M63" i="52"/>
  <c r="M57" i="52"/>
  <c r="M198" i="52"/>
  <c r="M179" i="52"/>
  <c r="M69" i="52"/>
  <c r="M10" i="52"/>
  <c r="M35" i="52"/>
  <c r="M46" i="52"/>
  <c r="M81" i="52"/>
  <c r="M99" i="52"/>
  <c r="M95" i="52"/>
  <c r="M101" i="52"/>
  <c r="M42" i="52"/>
  <c r="M126" i="52"/>
  <c r="M121" i="52"/>
  <c r="M64" i="52"/>
  <c r="M159" i="52"/>
  <c r="M195" i="52"/>
  <c r="M66" i="52"/>
  <c r="M178" i="52"/>
  <c r="M156" i="52"/>
  <c r="M147" i="52"/>
  <c r="M48" i="52"/>
  <c r="M92" i="52"/>
  <c r="M166" i="52"/>
  <c r="M20" i="52"/>
  <c r="M106" i="52"/>
  <c r="M82" i="52"/>
  <c r="M80" i="52"/>
  <c r="M31" i="52"/>
  <c r="M132" i="52"/>
  <c r="M134" i="52"/>
  <c r="M100" i="52"/>
  <c r="M11" i="52"/>
  <c r="M56" i="52"/>
  <c r="M23" i="52"/>
  <c r="M26" i="52"/>
  <c r="M15" i="52"/>
  <c r="M161" i="52"/>
  <c r="M128" i="52"/>
  <c r="M188" i="52"/>
  <c r="M151" i="52"/>
  <c r="M155" i="52"/>
  <c r="M8" i="52"/>
  <c r="M114" i="52"/>
  <c r="M29" i="52"/>
  <c r="M70" i="52"/>
  <c r="M120" i="52"/>
  <c r="M125" i="52"/>
  <c r="M193" i="52"/>
  <c r="M158" i="52"/>
  <c r="M16" i="52"/>
  <c r="M129" i="52"/>
  <c r="M162" i="52"/>
  <c r="M123" i="52"/>
  <c r="M30" i="52"/>
  <c r="M75" i="52"/>
  <c r="M116" i="52"/>
  <c r="M61" i="52"/>
  <c r="M14" i="52"/>
  <c r="M36" i="52"/>
  <c r="M148" i="52"/>
  <c r="M143" i="52"/>
  <c r="M135" i="52"/>
  <c r="M169" i="52"/>
  <c r="M18" i="52"/>
  <c r="M88" i="52"/>
  <c r="M67" i="52"/>
  <c r="M60" i="52"/>
  <c r="M52" i="52"/>
  <c r="M12" i="52"/>
  <c r="M68" i="52"/>
  <c r="M17" i="52"/>
  <c r="M28" i="52"/>
  <c r="M150" i="52"/>
  <c r="M45" i="52"/>
  <c r="M130" i="52"/>
  <c r="M124" i="52"/>
  <c r="M167" i="52"/>
  <c r="M163" i="52"/>
  <c r="M149" i="52"/>
  <c r="M90" i="52"/>
  <c r="M72" i="52"/>
  <c r="M137" i="52"/>
  <c r="M146" i="52"/>
  <c r="M55" i="52"/>
  <c r="M141" i="52"/>
  <c r="M19" i="52"/>
  <c r="M142" i="52"/>
  <c r="M53" i="52"/>
  <c r="M110" i="52"/>
  <c r="M21" i="52"/>
  <c r="M94" i="52"/>
  <c r="M103" i="52"/>
  <c r="M111" i="52"/>
  <c r="M74" i="52"/>
  <c r="M138" i="52"/>
  <c r="M78" i="52"/>
  <c r="M109" i="52"/>
  <c r="M127" i="52"/>
  <c r="M144" i="52"/>
  <c r="M32" i="52"/>
  <c r="M197" i="52"/>
  <c r="M139" i="52"/>
  <c r="M115" i="52"/>
  <c r="M160" i="52"/>
  <c r="M177" i="52"/>
  <c r="M71" i="52"/>
  <c r="U44" i="42"/>
  <c r="O4" i="54"/>
  <c r="N80" i="54"/>
  <c r="N104" i="54"/>
  <c r="N128" i="54"/>
  <c r="N138" i="54"/>
  <c r="N183" i="54"/>
  <c r="N84" i="54"/>
  <c r="N92" i="54"/>
  <c r="N100" i="54"/>
  <c r="N116" i="54"/>
  <c r="N120" i="54"/>
  <c r="N152" i="54"/>
  <c r="N176" i="54"/>
  <c r="N27" i="54"/>
  <c r="N57" i="54"/>
  <c r="N5" i="54"/>
  <c r="N37" i="54"/>
  <c r="N23" i="54"/>
  <c r="N31" i="54"/>
  <c r="N108" i="54"/>
  <c r="N136" i="54"/>
  <c r="N168" i="54"/>
  <c r="N173" i="54"/>
  <c r="N96" i="54"/>
  <c r="N112" i="54"/>
  <c r="N144" i="54"/>
  <c r="N162" i="54"/>
  <c r="N194" i="54"/>
  <c r="N99" i="54"/>
  <c r="N115" i="54"/>
  <c r="N155" i="54"/>
  <c r="N78" i="54"/>
  <c r="N91" i="54"/>
  <c r="N103" i="54"/>
  <c r="N147" i="54"/>
  <c r="N167" i="54"/>
  <c r="N110" i="54"/>
  <c r="N130" i="54"/>
  <c r="N146" i="54"/>
  <c r="N174" i="54"/>
  <c r="N25" i="54"/>
  <c r="N39" i="54"/>
  <c r="N56" i="54"/>
  <c r="N139" i="54"/>
  <c r="N76" i="54"/>
  <c r="N196" i="54"/>
  <c r="N184" i="54"/>
  <c r="N81" i="54"/>
  <c r="N89" i="54"/>
  <c r="N97" i="54"/>
  <c r="N105" i="54"/>
  <c r="N117" i="54"/>
  <c r="N121" i="54"/>
  <c r="N161" i="54"/>
  <c r="N189" i="54"/>
  <c r="N188" i="54"/>
  <c r="N134" i="54"/>
  <c r="N158" i="54"/>
  <c r="N190" i="54"/>
  <c r="N151" i="54"/>
  <c r="N191" i="54"/>
  <c r="N77" i="54"/>
  <c r="N85" i="54"/>
  <c r="N109" i="54"/>
  <c r="N141" i="54"/>
  <c r="N24" i="54"/>
  <c r="N36" i="54"/>
  <c r="N55" i="54"/>
  <c r="N43" i="54"/>
  <c r="N51" i="54"/>
  <c r="N63" i="54"/>
  <c r="N67" i="54"/>
  <c r="N71" i="54"/>
  <c r="N75" i="54"/>
  <c r="N83" i="54"/>
  <c r="N107" i="54"/>
  <c r="N111" i="54"/>
  <c r="N123" i="54"/>
  <c r="N127" i="54"/>
  <c r="N131" i="54"/>
  <c r="N159" i="54"/>
  <c r="N163" i="54"/>
  <c r="N171" i="54"/>
  <c r="N175" i="54"/>
  <c r="N179" i="54"/>
  <c r="N198" i="54"/>
  <c r="N195" i="54"/>
  <c r="N94" i="54"/>
  <c r="N98" i="54"/>
  <c r="N102" i="54"/>
  <c r="N114" i="54"/>
  <c r="N122" i="54"/>
  <c r="N142" i="54"/>
  <c r="N154" i="54"/>
  <c r="N178" i="54"/>
  <c r="N182" i="54"/>
  <c r="N186" i="54"/>
  <c r="N140" i="54"/>
  <c r="N145" i="54"/>
  <c r="N177" i="54"/>
  <c r="N160" i="54"/>
  <c r="N166" i="54"/>
  <c r="N135" i="54"/>
  <c r="N192" i="54"/>
  <c r="N7" i="54"/>
  <c r="N41" i="54"/>
  <c r="N32" i="54"/>
  <c r="N52" i="54"/>
  <c r="N60" i="54"/>
  <c r="N64" i="54"/>
  <c r="N68" i="54"/>
  <c r="N124" i="54"/>
  <c r="N132" i="54"/>
  <c r="N148" i="54"/>
  <c r="N156" i="54"/>
  <c r="N164" i="54"/>
  <c r="N172" i="54"/>
  <c r="N129" i="54"/>
  <c r="N157" i="54"/>
  <c r="N181" i="54"/>
  <c r="N180" i="54"/>
  <c r="N86" i="54"/>
  <c r="N106" i="54"/>
  <c r="N118" i="54"/>
  <c r="N150" i="54"/>
  <c r="N170" i="54"/>
  <c r="N6" i="54"/>
  <c r="N8" i="54"/>
  <c r="N10" i="54"/>
  <c r="N11" i="54"/>
  <c r="N12" i="54"/>
  <c r="N13" i="54"/>
  <c r="N14" i="54"/>
  <c r="N15" i="54"/>
  <c r="N16" i="54"/>
  <c r="N17" i="54"/>
  <c r="N19" i="54"/>
  <c r="N21" i="54"/>
  <c r="N22" i="54"/>
  <c r="N26" i="54"/>
  <c r="N29" i="54"/>
  <c r="N30" i="54"/>
  <c r="N35" i="54"/>
  <c r="N40" i="54"/>
  <c r="N47" i="54"/>
  <c r="N48" i="54"/>
  <c r="N49" i="54"/>
  <c r="N50" i="54"/>
  <c r="N53" i="54"/>
  <c r="N59" i="54"/>
  <c r="N62" i="54"/>
  <c r="N65" i="54"/>
  <c r="N66" i="54"/>
  <c r="N69" i="54"/>
  <c r="N70" i="54"/>
  <c r="N72" i="54"/>
  <c r="N73" i="54"/>
  <c r="N74" i="54"/>
  <c r="N88" i="54"/>
  <c r="N79" i="54"/>
  <c r="N87" i="54"/>
  <c r="N95" i="54"/>
  <c r="N143" i="54"/>
  <c r="N187" i="54"/>
  <c r="N20" i="54"/>
  <c r="N28" i="54"/>
  <c r="N45" i="54"/>
  <c r="N58" i="54"/>
  <c r="N9" i="54"/>
  <c r="N33" i="54"/>
  <c r="N61" i="54"/>
  <c r="N93" i="54"/>
  <c r="N101" i="54"/>
  <c r="N125" i="54"/>
  <c r="N165" i="54"/>
  <c r="N169" i="54"/>
  <c r="N193" i="54"/>
  <c r="N197" i="54"/>
  <c r="N18" i="54"/>
  <c r="N34" i="54"/>
  <c r="N38" i="54"/>
  <c r="N42" i="54"/>
  <c r="N46" i="54"/>
  <c r="N54" i="54"/>
  <c r="N82" i="54"/>
  <c r="N90" i="54"/>
  <c r="O4" i="56"/>
  <c r="N15" i="56"/>
  <c r="N19" i="56"/>
  <c r="N23" i="56"/>
  <c r="N5" i="56"/>
  <c r="N17" i="56"/>
  <c r="N21" i="56"/>
  <c r="N42" i="56"/>
  <c r="N62" i="56"/>
  <c r="N78" i="56"/>
  <c r="N90" i="56"/>
  <c r="N106" i="56"/>
  <c r="N138" i="56"/>
  <c r="N34" i="56"/>
  <c r="N54" i="56"/>
  <c r="N70" i="56"/>
  <c r="N82" i="56"/>
  <c r="N98" i="56"/>
  <c r="N114" i="56"/>
  <c r="N27" i="56"/>
  <c r="N13" i="56"/>
  <c r="N32" i="56"/>
  <c r="N40" i="56"/>
  <c r="N52" i="56"/>
  <c r="N60" i="56"/>
  <c r="N68" i="56"/>
  <c r="N76" i="56"/>
  <c r="N84" i="56"/>
  <c r="N11" i="56"/>
  <c r="N9" i="56"/>
  <c r="N25" i="56"/>
  <c r="N38" i="56"/>
  <c r="N66" i="56"/>
  <c r="N102" i="56"/>
  <c r="N30" i="56"/>
  <c r="N58" i="56"/>
  <c r="N94" i="56"/>
  <c r="N122" i="56"/>
  <c r="N134" i="56"/>
  <c r="N36" i="56"/>
  <c r="N56" i="56"/>
  <c r="N72" i="56"/>
  <c r="N33" i="56"/>
  <c r="N41" i="56"/>
  <c r="N49" i="56"/>
  <c r="N57" i="56"/>
  <c r="N65" i="56"/>
  <c r="N73" i="56"/>
  <c r="N81" i="56"/>
  <c r="N89" i="56"/>
  <c r="N97" i="56"/>
  <c r="N105" i="56"/>
  <c r="N117" i="56"/>
  <c r="N142" i="56"/>
  <c r="N150" i="56"/>
  <c r="N154" i="56"/>
  <c r="N162" i="56"/>
  <c r="N174" i="56"/>
  <c r="N186" i="56"/>
  <c r="N191" i="56"/>
  <c r="N29" i="56"/>
  <c r="N96" i="56"/>
  <c r="N104" i="56"/>
  <c r="N112" i="56"/>
  <c r="N120" i="56"/>
  <c r="N164" i="56"/>
  <c r="N172" i="56"/>
  <c r="N180" i="56"/>
  <c r="N188" i="56"/>
  <c r="N196" i="56"/>
  <c r="N8" i="56"/>
  <c r="N12" i="56"/>
  <c r="N16" i="56"/>
  <c r="N20" i="56"/>
  <c r="N24" i="56"/>
  <c r="N28" i="56"/>
  <c r="N125" i="56"/>
  <c r="N129" i="56"/>
  <c r="N141" i="56"/>
  <c r="N145" i="56"/>
  <c r="N157" i="56"/>
  <c r="N161" i="56"/>
  <c r="N165" i="56"/>
  <c r="N169" i="56"/>
  <c r="N173" i="56"/>
  <c r="N177" i="56"/>
  <c r="N181" i="56"/>
  <c r="N189" i="56"/>
  <c r="N197" i="56"/>
  <c r="N50" i="56"/>
  <c r="N118" i="56"/>
  <c r="N48" i="56"/>
  <c r="N80" i="56"/>
  <c r="N136" i="56"/>
  <c r="N152" i="56"/>
  <c r="N176" i="56"/>
  <c r="N6" i="56"/>
  <c r="N14" i="56"/>
  <c r="N22" i="56"/>
  <c r="N37" i="56"/>
  <c r="N53" i="56"/>
  <c r="N69" i="56"/>
  <c r="N85" i="56"/>
  <c r="N101" i="56"/>
  <c r="N121" i="56"/>
  <c r="N46" i="56"/>
  <c r="N110" i="56"/>
  <c r="N7" i="56"/>
  <c r="N86" i="56"/>
  <c r="N130" i="56"/>
  <c r="N64" i="56"/>
  <c r="N128" i="56"/>
  <c r="N144" i="56"/>
  <c r="N160" i="56"/>
  <c r="N10" i="56"/>
  <c r="N18" i="56"/>
  <c r="N26" i="56"/>
  <c r="N74" i="56"/>
  <c r="N100" i="56"/>
  <c r="N184" i="56"/>
  <c r="N93" i="56"/>
  <c r="N193" i="56"/>
  <c r="N182" i="56"/>
  <c r="N39" i="56"/>
  <c r="N55" i="56"/>
  <c r="N71" i="56"/>
  <c r="N87" i="56"/>
  <c r="N103" i="56"/>
  <c r="N123" i="56"/>
  <c r="N131" i="56"/>
  <c r="N139" i="56"/>
  <c r="N147" i="56"/>
  <c r="N155" i="56"/>
  <c r="N163" i="56"/>
  <c r="N171" i="56"/>
  <c r="N179" i="56"/>
  <c r="N187" i="56"/>
  <c r="N88" i="56"/>
  <c r="N108" i="56"/>
  <c r="N192" i="56"/>
  <c r="N77" i="56"/>
  <c r="N146" i="56"/>
  <c r="N170" i="56"/>
  <c r="N194" i="56"/>
  <c r="N178" i="56"/>
  <c r="N35" i="56"/>
  <c r="N51" i="56"/>
  <c r="N67" i="56"/>
  <c r="N83" i="56"/>
  <c r="N99" i="56"/>
  <c r="N115" i="56"/>
  <c r="N167" i="56"/>
  <c r="N175" i="56"/>
  <c r="N183" i="56"/>
  <c r="N47" i="56"/>
  <c r="N79" i="56"/>
  <c r="N111" i="56"/>
  <c r="N135" i="56"/>
  <c r="N151" i="56"/>
  <c r="N195" i="56"/>
  <c r="N124" i="56"/>
  <c r="N132" i="56"/>
  <c r="N140" i="56"/>
  <c r="N148" i="56"/>
  <c r="N156" i="56"/>
  <c r="N168" i="56"/>
  <c r="N45" i="56"/>
  <c r="N109" i="56"/>
  <c r="N43" i="56"/>
  <c r="N75" i="56"/>
  <c r="N107" i="56"/>
  <c r="N116" i="56"/>
  <c r="N61" i="56"/>
  <c r="N166" i="56"/>
  <c r="N190" i="56"/>
  <c r="N198" i="56"/>
  <c r="N31" i="56"/>
  <c r="N63" i="56"/>
  <c r="N95" i="56"/>
  <c r="N127" i="56"/>
  <c r="N143" i="56"/>
  <c r="N92" i="56"/>
  <c r="N158" i="56"/>
  <c r="N59" i="56"/>
  <c r="N91" i="56"/>
  <c r="N159" i="56"/>
  <c r="O4" i="55"/>
  <c r="N57" i="55"/>
  <c r="N93" i="55"/>
  <c r="N109" i="55"/>
  <c r="N129" i="55"/>
  <c r="N141" i="55"/>
  <c r="N161" i="55"/>
  <c r="N177" i="55"/>
  <c r="N53" i="55"/>
  <c r="N81" i="55"/>
  <c r="N105" i="55"/>
  <c r="N117" i="55"/>
  <c r="N125" i="55"/>
  <c r="N173" i="55"/>
  <c r="N5" i="55"/>
  <c r="N41" i="55"/>
  <c r="N89" i="55"/>
  <c r="N49" i="55"/>
  <c r="N85" i="55"/>
  <c r="N121" i="55"/>
  <c r="N145" i="55"/>
  <c r="N169" i="55"/>
  <c r="N189" i="55"/>
  <c r="N13" i="55"/>
  <c r="N21" i="55"/>
  <c r="N29" i="55"/>
  <c r="N61" i="55"/>
  <c r="N77" i="55"/>
  <c r="N17" i="55"/>
  <c r="N165" i="55"/>
  <c r="N65" i="55"/>
  <c r="N9" i="55"/>
  <c r="N157" i="55"/>
  <c r="N193" i="55"/>
  <c r="N45" i="55"/>
  <c r="N101" i="55"/>
  <c r="N181" i="55"/>
  <c r="N73" i="55"/>
  <c r="N25" i="55"/>
  <c r="N6" i="55"/>
  <c r="N8" i="55"/>
  <c r="N11" i="55"/>
  <c r="N14" i="55"/>
  <c r="N16" i="55"/>
  <c r="N19" i="55"/>
  <c r="N22" i="55"/>
  <c r="N24" i="55"/>
  <c r="N27" i="55"/>
  <c r="N30" i="55"/>
  <c r="N32" i="55"/>
  <c r="N35" i="55"/>
  <c r="N38" i="55"/>
  <c r="N40" i="55"/>
  <c r="N43" i="55"/>
  <c r="N47" i="55"/>
  <c r="N50" i="55"/>
  <c r="N52" i="55"/>
  <c r="N33" i="55"/>
  <c r="N37" i="55"/>
  <c r="N97" i="55"/>
  <c r="N7" i="55"/>
  <c r="N56" i="55"/>
  <c r="N60" i="55"/>
  <c r="N67" i="55"/>
  <c r="N71" i="55"/>
  <c r="N78" i="55"/>
  <c r="N82" i="55"/>
  <c r="N88" i="55"/>
  <c r="N92" i="55"/>
  <c r="N99" i="55"/>
  <c r="N103" i="55"/>
  <c r="N110" i="55"/>
  <c r="N114" i="55"/>
  <c r="N122" i="55"/>
  <c r="N127" i="55"/>
  <c r="N134" i="55"/>
  <c r="N138" i="55"/>
  <c r="N144" i="55"/>
  <c r="N148" i="55"/>
  <c r="N155" i="55"/>
  <c r="N159" i="55"/>
  <c r="N166" i="55"/>
  <c r="N170" i="55"/>
  <c r="N176" i="55"/>
  <c r="N180" i="55"/>
  <c r="N187" i="55"/>
  <c r="N191" i="55"/>
  <c r="N198" i="55"/>
  <c r="N15" i="55"/>
  <c r="N20" i="55"/>
  <c r="N26" i="55"/>
  <c r="N31" i="55"/>
  <c r="N36" i="55"/>
  <c r="N42" i="55"/>
  <c r="N48" i="55"/>
  <c r="N54" i="55"/>
  <c r="N58" i="55"/>
  <c r="N64" i="55"/>
  <c r="N68" i="55"/>
  <c r="N75" i="55"/>
  <c r="N79" i="55"/>
  <c r="N86" i="55"/>
  <c r="N90" i="55"/>
  <c r="N96" i="55"/>
  <c r="N100" i="55"/>
  <c r="N107" i="55"/>
  <c r="N111" i="55"/>
  <c r="N118" i="55"/>
  <c r="N123" i="55"/>
  <c r="N131" i="55"/>
  <c r="N135" i="55"/>
  <c r="N142" i="55"/>
  <c r="N146" i="55"/>
  <c r="N152" i="55"/>
  <c r="N156" i="55"/>
  <c r="N163" i="55"/>
  <c r="N167" i="55"/>
  <c r="N174" i="55"/>
  <c r="N178" i="55"/>
  <c r="N184" i="55"/>
  <c r="N188" i="55"/>
  <c r="N195" i="55"/>
  <c r="N76" i="55"/>
  <c r="N83" i="55"/>
  <c r="N98" i="55"/>
  <c r="N104" i="55"/>
  <c r="N120" i="55"/>
  <c r="N128" i="55"/>
  <c r="N139" i="55"/>
  <c r="N154" i="55"/>
  <c r="N160" i="55"/>
  <c r="N175" i="55"/>
  <c r="N182" i="55"/>
  <c r="N192" i="55"/>
  <c r="N69" i="55"/>
  <c r="N18" i="55"/>
  <c r="N28" i="55"/>
  <c r="N34" i="55"/>
  <c r="N46" i="55"/>
  <c r="N63" i="55"/>
  <c r="N70" i="55"/>
  <c r="N84" i="55"/>
  <c r="N91" i="55"/>
  <c r="N106" i="55"/>
  <c r="N112" i="55"/>
  <c r="N130" i="55"/>
  <c r="N136" i="55"/>
  <c r="N147" i="55"/>
  <c r="N162" i="55"/>
  <c r="N168" i="55"/>
  <c r="N183" i="55"/>
  <c r="N190" i="55"/>
  <c r="N194" i="55"/>
  <c r="N10" i="55"/>
  <c r="N55" i="55"/>
  <c r="N62" i="55"/>
  <c r="N66" i="55"/>
  <c r="N72" i="55"/>
  <c r="N87" i="55"/>
  <c r="N94" i="55"/>
  <c r="N108" i="55"/>
  <c r="N115" i="55"/>
  <c r="N132" i="55"/>
  <c r="N143" i="55"/>
  <c r="N150" i="55"/>
  <c r="N164" i="55"/>
  <c r="N171" i="55"/>
  <c r="N186" i="55"/>
  <c r="N196" i="55"/>
  <c r="N197" i="55"/>
  <c r="N12" i="55"/>
  <c r="N23" i="55"/>
  <c r="N39" i="55"/>
  <c r="N51" i="55"/>
  <c r="N59" i="55"/>
  <c r="N74" i="55"/>
  <c r="N80" i="55"/>
  <c r="N95" i="55"/>
  <c r="N102" i="55"/>
  <c r="N116" i="55"/>
  <c r="N124" i="55"/>
  <c r="N140" i="55"/>
  <c r="N151" i="55"/>
  <c r="N158" i="55"/>
  <c r="N172" i="55"/>
  <c r="N179" i="55"/>
  <c r="J111" i="43"/>
  <c r="J127" i="43"/>
  <c r="J139" i="43"/>
  <c r="K130" i="43"/>
  <c r="J124" i="43"/>
  <c r="K93" i="43"/>
  <c r="K17" i="43"/>
  <c r="J12" i="43"/>
  <c r="J178" i="43"/>
  <c r="K32" i="43"/>
  <c r="J55" i="43"/>
  <c r="J193" i="43"/>
  <c r="J197" i="43"/>
  <c r="J69" i="43"/>
  <c r="K65" i="43"/>
  <c r="J140" i="43"/>
  <c r="J116" i="43"/>
  <c r="K43" i="43"/>
  <c r="K57" i="43"/>
  <c r="K79" i="43"/>
  <c r="J21" i="43"/>
  <c r="K173" i="43"/>
  <c r="J39" i="43"/>
  <c r="K100" i="43"/>
  <c r="K177" i="43"/>
  <c r="K97" i="43"/>
  <c r="J172" i="43"/>
  <c r="J68" i="43"/>
  <c r="K160" i="43"/>
  <c r="K196" i="43"/>
  <c r="J179" i="43"/>
  <c r="J188" i="43"/>
  <c r="J154" i="43"/>
  <c r="J150" i="43"/>
  <c r="K191" i="43"/>
  <c r="K22" i="43"/>
  <c r="J143" i="43"/>
  <c r="J102" i="43"/>
  <c r="K138" i="43"/>
  <c r="K51" i="43"/>
  <c r="K62" i="43"/>
  <c r="J94" i="43"/>
  <c r="K176" i="43"/>
  <c r="J141" i="43"/>
  <c r="K36" i="43"/>
  <c r="J148" i="43"/>
  <c r="J87" i="43"/>
  <c r="J10" i="43"/>
  <c r="K40" i="43"/>
  <c r="J50" i="43"/>
  <c r="K58" i="43"/>
  <c r="J121" i="43"/>
  <c r="K49" i="43"/>
  <c r="K48" i="43"/>
  <c r="J118" i="43"/>
  <c r="K88" i="43"/>
  <c r="J106" i="43"/>
  <c r="J37" i="43"/>
  <c r="J168" i="43"/>
  <c r="J101" i="43"/>
  <c r="J46" i="43"/>
  <c r="J70" i="43"/>
  <c r="K75" i="43"/>
  <c r="J13" i="43"/>
  <c r="J11" i="43"/>
  <c r="K128" i="43"/>
  <c r="K187" i="43"/>
  <c r="J152" i="43"/>
  <c r="J53" i="43"/>
  <c r="J30" i="43"/>
  <c r="K195" i="43"/>
  <c r="J183" i="43"/>
  <c r="K108" i="43"/>
  <c r="J76" i="43"/>
  <c r="K163" i="43"/>
  <c r="K184" i="43"/>
  <c r="J112" i="43"/>
  <c r="J47" i="43"/>
  <c r="J157" i="43"/>
  <c r="J26" i="43"/>
  <c r="K6" i="43"/>
  <c r="K182" i="43"/>
  <c r="J33" i="43"/>
  <c r="K8" i="43"/>
  <c r="K85" i="43"/>
  <c r="J164" i="43"/>
  <c r="J89" i="43"/>
  <c r="J25" i="43"/>
  <c r="K73" i="43"/>
  <c r="J98" i="43"/>
  <c r="J159" i="43"/>
  <c r="J61" i="43"/>
  <c r="J144" i="43"/>
  <c r="J60" i="43"/>
  <c r="K78" i="43"/>
  <c r="K14" i="43"/>
  <c r="J122" i="43"/>
  <c r="J72" i="43"/>
  <c r="J155" i="43"/>
  <c r="J146" i="43"/>
  <c r="J42" i="43"/>
  <c r="K19" i="43"/>
  <c r="K9" i="43"/>
  <c r="J174" i="43"/>
  <c r="K192" i="43"/>
  <c r="J189" i="43"/>
  <c r="K41" i="43"/>
  <c r="K151" i="43"/>
  <c r="J194" i="43"/>
  <c r="K16" i="43"/>
  <c r="J99" i="43"/>
  <c r="J110" i="43"/>
  <c r="J20" i="43"/>
  <c r="J147" i="43"/>
  <c r="K56" i="43"/>
  <c r="K86" i="43"/>
  <c r="K117" i="43"/>
  <c r="J158" i="43"/>
  <c r="J7" i="43"/>
  <c r="J71" i="43"/>
  <c r="J90" i="43"/>
  <c r="K135" i="43"/>
  <c r="J103" i="43"/>
  <c r="J161" i="43"/>
  <c r="J31" i="43"/>
  <c r="K54" i="43"/>
  <c r="J145" i="43"/>
  <c r="K74" i="43"/>
  <c r="J24" i="43"/>
  <c r="K35" i="43"/>
  <c r="J105" i="43"/>
  <c r="J64" i="43"/>
  <c r="J170" i="43"/>
  <c r="J29" i="43"/>
  <c r="J156" i="43"/>
  <c r="J167" i="43"/>
  <c r="K23" i="43"/>
  <c r="J84" i="43"/>
  <c r="K92" i="43"/>
  <c r="J80" i="43"/>
  <c r="J107" i="43"/>
  <c r="J166" i="43"/>
  <c r="J15" i="43"/>
  <c r="J77" i="43"/>
  <c r="J34" i="43"/>
  <c r="K109" i="43"/>
  <c r="J181" i="43"/>
  <c r="J129" i="43"/>
  <c r="J91" i="43"/>
  <c r="J198" i="43"/>
  <c r="J81" i="43"/>
  <c r="K169" i="43"/>
  <c r="J120" i="43"/>
  <c r="J162" i="43"/>
  <c r="J59" i="43"/>
  <c r="J114" i="43"/>
  <c r="J115" i="43"/>
  <c r="J45" i="43"/>
  <c r="K67" i="43"/>
  <c r="J134" i="43"/>
  <c r="J95" i="43"/>
  <c r="J131" i="43"/>
  <c r="J66" i="43"/>
  <c r="K171" i="43"/>
  <c r="M5" i="52"/>
  <c r="M4" i="45"/>
  <c r="O7" i="40" l="1"/>
  <c r="O9" i="40"/>
  <c r="O33" i="40"/>
  <c r="O5" i="40"/>
  <c r="O6" i="40"/>
  <c r="V191" i="42"/>
  <c r="V168" i="42"/>
  <c r="V84" i="42"/>
  <c r="V135" i="42"/>
  <c r="V37" i="42"/>
  <c r="V110" i="42"/>
  <c r="V134" i="42"/>
  <c r="V118" i="42"/>
  <c r="V83" i="42"/>
  <c r="V89" i="42"/>
  <c r="V181" i="42"/>
  <c r="V128" i="42"/>
  <c r="V93" i="42"/>
  <c r="V69" i="42"/>
  <c r="V133" i="42"/>
  <c r="V120" i="42"/>
  <c r="V111" i="42"/>
  <c r="V112" i="42"/>
  <c r="V33" i="42"/>
  <c r="V30" i="42"/>
  <c r="V20" i="42"/>
  <c r="V114" i="42"/>
  <c r="V54" i="42"/>
  <c r="V80" i="42"/>
  <c r="V82" i="42"/>
  <c r="V58" i="42"/>
  <c r="V140" i="42"/>
  <c r="V46" i="42"/>
  <c r="V42" i="42"/>
  <c r="V92" i="42"/>
  <c r="V32" i="42"/>
  <c r="V49" i="42"/>
  <c r="V104" i="42"/>
  <c r="V197" i="42"/>
  <c r="V103" i="42"/>
  <c r="V7" i="42"/>
  <c r="V15" i="42"/>
  <c r="V55" i="42"/>
  <c r="V57" i="42"/>
  <c r="V36" i="42"/>
  <c r="V52" i="42"/>
  <c r="V143" i="42"/>
  <c r="V144" i="42"/>
  <c r="V29" i="42"/>
  <c r="V123" i="42"/>
  <c r="V170" i="42"/>
  <c r="V5" i="42"/>
  <c r="V63" i="42"/>
  <c r="V160" i="42"/>
  <c r="V38" i="42"/>
  <c r="V65" i="42"/>
  <c r="V16" i="42"/>
  <c r="V99" i="42"/>
  <c r="V98" i="42"/>
  <c r="V187" i="42"/>
  <c r="V149" i="42"/>
  <c r="V172" i="42"/>
  <c r="V61" i="42"/>
  <c r="V60" i="42"/>
  <c r="V39" i="42"/>
  <c r="V119" i="42"/>
  <c r="V76" i="42"/>
  <c r="V35" i="42"/>
  <c r="V163" i="42"/>
  <c r="V116" i="42"/>
  <c r="V179" i="42"/>
  <c r="V152" i="42"/>
  <c r="V157" i="42"/>
  <c r="V164" i="42"/>
  <c r="V194" i="42"/>
  <c r="V41" i="42"/>
  <c r="V169" i="42"/>
  <c r="V10" i="42"/>
  <c r="V17" i="42"/>
  <c r="V79" i="42"/>
  <c r="V161" i="42"/>
  <c r="V25" i="42"/>
  <c r="V115" i="42"/>
  <c r="V141" i="42"/>
  <c r="V18" i="42"/>
  <c r="V125" i="42"/>
  <c r="V9" i="42"/>
  <c r="V174" i="42"/>
  <c r="V145" i="42"/>
  <c r="V94" i="42"/>
  <c r="V136" i="42"/>
  <c r="V184" i="42"/>
  <c r="V97" i="42"/>
  <c r="V139" i="42"/>
  <c r="V117" i="42"/>
  <c r="V167" i="42"/>
  <c r="V12" i="42"/>
  <c r="V124" i="42"/>
  <c r="V50" i="42"/>
  <c r="V178" i="42"/>
  <c r="V19" i="42"/>
  <c r="V185" i="42"/>
  <c r="V192" i="42"/>
  <c r="V11" i="42"/>
  <c r="V75" i="42"/>
  <c r="V62" i="42"/>
  <c r="V68" i="42"/>
  <c r="V59" i="42"/>
  <c r="V27" i="42"/>
  <c r="V121" i="42"/>
  <c r="V122" i="42"/>
  <c r="V162" i="42"/>
  <c r="V26" i="42"/>
  <c r="V188" i="42"/>
  <c r="V153" i="42"/>
  <c r="V6" i="42"/>
  <c r="V158" i="42"/>
  <c r="V150" i="42"/>
  <c r="V64" i="42"/>
  <c r="V91" i="42"/>
  <c r="V78" i="42"/>
  <c r="V73" i="42"/>
  <c r="V77" i="42"/>
  <c r="V148" i="42"/>
  <c r="V195" i="42"/>
  <c r="V171" i="42"/>
  <c r="V127" i="42"/>
  <c r="V51" i="42"/>
  <c r="V193" i="42"/>
  <c r="V113" i="42"/>
  <c r="V101" i="42"/>
  <c r="V146" i="42"/>
  <c r="V108" i="42"/>
  <c r="V56" i="42"/>
  <c r="V100" i="42"/>
  <c r="V156" i="42"/>
  <c r="V67" i="42"/>
  <c r="V151" i="42"/>
  <c r="V28" i="42"/>
  <c r="V159" i="42"/>
  <c r="V95" i="42"/>
  <c r="V198" i="42"/>
  <c r="V132" i="42"/>
  <c r="V48" i="42"/>
  <c r="V43" i="42"/>
  <c r="V22" i="42"/>
  <c r="V45" i="42"/>
  <c r="V147" i="42"/>
  <c r="V154" i="42"/>
  <c r="V24" i="42"/>
  <c r="V31" i="42"/>
  <c r="V180" i="42"/>
  <c r="V138" i="42"/>
  <c r="V130" i="42"/>
  <c r="V186" i="42"/>
  <c r="V126" i="42"/>
  <c r="V81" i="42"/>
  <c r="V176" i="42"/>
  <c r="V8" i="42"/>
  <c r="V47" i="42"/>
  <c r="V166" i="42"/>
  <c r="V74" i="42"/>
  <c r="V71" i="42"/>
  <c r="V53" i="42"/>
  <c r="V182" i="42"/>
  <c r="V96" i="42"/>
  <c r="O185" i="55"/>
  <c r="O113" i="55"/>
  <c r="O133" i="55"/>
  <c r="O137" i="55"/>
  <c r="O149" i="55"/>
  <c r="O153" i="55"/>
  <c r="O126" i="55"/>
  <c r="O119" i="55"/>
  <c r="O44" i="55"/>
  <c r="O119" i="56"/>
  <c r="O113" i="56"/>
  <c r="O133" i="56"/>
  <c r="O137" i="56"/>
  <c r="O149" i="56"/>
  <c r="O153" i="56"/>
  <c r="O185" i="56"/>
  <c r="O126" i="56"/>
  <c r="O44" i="56"/>
  <c r="O126" i="54"/>
  <c r="O119" i="54"/>
  <c r="O113" i="54"/>
  <c r="O133" i="54"/>
  <c r="O137" i="54"/>
  <c r="O149" i="54"/>
  <c r="O153" i="54"/>
  <c r="O185" i="54"/>
  <c r="O44" i="54"/>
  <c r="Y50" i="40"/>
  <c r="W137" i="42"/>
  <c r="Y15" i="40"/>
  <c r="Y14" i="40"/>
  <c r="Y180" i="40"/>
  <c r="Y28" i="40"/>
  <c r="V85" i="42"/>
  <c r="Y101" i="40"/>
  <c r="Y171" i="40"/>
  <c r="Y70" i="40"/>
  <c r="Y48" i="40"/>
  <c r="Y47" i="40"/>
  <c r="Y194" i="40"/>
  <c r="Y151" i="40"/>
  <c r="Y114" i="40"/>
  <c r="V155" i="42"/>
  <c r="Y64" i="40"/>
  <c r="Y72" i="40"/>
  <c r="Y84" i="40"/>
  <c r="W102" i="42"/>
  <c r="Y93" i="40"/>
  <c r="Y69" i="40"/>
  <c r="Y124" i="40"/>
  <c r="Y197" i="40"/>
  <c r="W13" i="42"/>
  <c r="Y148" i="40"/>
  <c r="W131" i="42"/>
  <c r="W177" i="42"/>
  <c r="Y39" i="40"/>
  <c r="Y179" i="40"/>
  <c r="Y42" i="40"/>
  <c r="Y128" i="40"/>
  <c r="Y129" i="40"/>
  <c r="Y184" i="40"/>
  <c r="Y34" i="40"/>
  <c r="Y30" i="40"/>
  <c r="Y107" i="40"/>
  <c r="Y173" i="40"/>
  <c r="Y133" i="40"/>
  <c r="Y91" i="40"/>
  <c r="Y163" i="40"/>
  <c r="Y162" i="40"/>
  <c r="Y75" i="40"/>
  <c r="Y25" i="40"/>
  <c r="Y139" i="40"/>
  <c r="Y12" i="40"/>
  <c r="Y172" i="40"/>
  <c r="Y76" i="40"/>
  <c r="W129" i="42"/>
  <c r="Y137" i="40"/>
  <c r="Y196" i="40"/>
  <c r="Y13" i="40"/>
  <c r="Y161" i="40"/>
  <c r="V70" i="42"/>
  <c r="Y18" i="40"/>
  <c r="Y182" i="40"/>
  <c r="Y40" i="40"/>
  <c r="Y16" i="40"/>
  <c r="Y156" i="40"/>
  <c r="Y44" i="40"/>
  <c r="Y176" i="40"/>
  <c r="Y46" i="40"/>
  <c r="Y62" i="40"/>
  <c r="Y120" i="40"/>
  <c r="Y51" i="40"/>
  <c r="K96" i="43"/>
  <c r="W196" i="42"/>
  <c r="Y166" i="40"/>
  <c r="Y140" i="40"/>
  <c r="V142" i="42"/>
  <c r="K180" i="43"/>
  <c r="Y115" i="40"/>
  <c r="Y164" i="40"/>
  <c r="Y45" i="40"/>
  <c r="Y190" i="40"/>
  <c r="Y145" i="40"/>
  <c r="Y127" i="40"/>
  <c r="Y94" i="40"/>
  <c r="Y144" i="40"/>
  <c r="Y189" i="40"/>
  <c r="V66" i="42"/>
  <c r="V14" i="42"/>
  <c r="Y20" i="40"/>
  <c r="Y88" i="40"/>
  <c r="Y67" i="40"/>
  <c r="Y77" i="40"/>
  <c r="Y31" i="40"/>
  <c r="Y154" i="40"/>
  <c r="Y104" i="40"/>
  <c r="Y92" i="40"/>
  <c r="Y79" i="40"/>
  <c r="Y111" i="40"/>
  <c r="Y198" i="40"/>
  <c r="Y165" i="40"/>
  <c r="V21" i="42"/>
  <c r="Y130" i="40"/>
  <c r="Y21" i="40"/>
  <c r="Y147" i="40"/>
  <c r="Y150" i="40"/>
  <c r="Y52" i="40"/>
  <c r="Y138" i="40"/>
  <c r="Y57" i="40"/>
  <c r="Y177" i="40"/>
  <c r="Y112" i="40"/>
  <c r="Y155" i="40"/>
  <c r="Y71" i="40"/>
  <c r="Y110" i="40"/>
  <c r="Y103" i="40"/>
  <c r="W107" i="42"/>
  <c r="Y87" i="40"/>
  <c r="Y49" i="40"/>
  <c r="Y187" i="40"/>
  <c r="Y102" i="40"/>
  <c r="Y68" i="40"/>
  <c r="W109" i="42"/>
  <c r="Y143" i="40"/>
  <c r="Y183" i="40"/>
  <c r="Y159" i="40"/>
  <c r="Y82" i="40"/>
  <c r="W175" i="42"/>
  <c r="W72" i="42"/>
  <c r="Y108" i="40"/>
  <c r="Y135" i="40"/>
  <c r="Y90" i="40"/>
  <c r="Y19" i="40"/>
  <c r="Y168" i="40"/>
  <c r="V183" i="42"/>
  <c r="Y181" i="40"/>
  <c r="Y56" i="40"/>
  <c r="Y24" i="40"/>
  <c r="Y73" i="40"/>
  <c r="Y116" i="40"/>
  <c r="V190" i="42"/>
  <c r="Y142" i="40"/>
  <c r="V189" i="42"/>
  <c r="Y192" i="40"/>
  <c r="Y35" i="40"/>
  <c r="Y195" i="40"/>
  <c r="Y60" i="40"/>
  <c r="Y126" i="40"/>
  <c r="K27" i="43"/>
  <c r="Y80" i="40"/>
  <c r="Y123" i="40"/>
  <c r="Y106" i="40"/>
  <c r="Y188" i="40"/>
  <c r="V173" i="42"/>
  <c r="Y37" i="40"/>
  <c r="Y41" i="40"/>
  <c r="Y122" i="40"/>
  <c r="V88" i="42"/>
  <c r="Y86" i="40"/>
  <c r="Y85" i="40"/>
  <c r="Y131" i="40"/>
  <c r="Y59" i="40"/>
  <c r="V165" i="42"/>
  <c r="Y186" i="40"/>
  <c r="Y99" i="40"/>
  <c r="Y26" i="40"/>
  <c r="Y98" i="40"/>
  <c r="Y43" i="40"/>
  <c r="Y169" i="40"/>
  <c r="Y58" i="40"/>
  <c r="Y53" i="40"/>
  <c r="Y17" i="40"/>
  <c r="Y97" i="40"/>
  <c r="Y54" i="40"/>
  <c r="Y38" i="40"/>
  <c r="Y100" i="40"/>
  <c r="Y55" i="40"/>
  <c r="Y146" i="40"/>
  <c r="W34" i="42"/>
  <c r="Y191" i="40"/>
  <c r="W23" i="42"/>
  <c r="Y119" i="40"/>
  <c r="Y29" i="40"/>
  <c r="Y193" i="40"/>
  <c r="Y153" i="40"/>
  <c r="Y170" i="40"/>
  <c r="Y178" i="40"/>
  <c r="Y81" i="40"/>
  <c r="Y118" i="40"/>
  <c r="Y136" i="40"/>
  <c r="V40" i="42"/>
  <c r="Y36" i="40"/>
  <c r="Y160" i="40"/>
  <c r="V105" i="42"/>
  <c r="Y117" i="40"/>
  <c r="Y167" i="40"/>
  <c r="Y10" i="40"/>
  <c r="Y83" i="40"/>
  <c r="Y125" i="40"/>
  <c r="Y63" i="40"/>
  <c r="W87" i="42"/>
  <c r="Y65" i="40"/>
  <c r="Y157" i="40"/>
  <c r="Y141" i="40"/>
  <c r="Y78" i="40"/>
  <c r="Y113" i="40"/>
  <c r="Y22" i="40"/>
  <c r="V86" i="42"/>
  <c r="Y66" i="40"/>
  <c r="Y121" i="40"/>
  <c r="Y105" i="40"/>
  <c r="Y158" i="40"/>
  <c r="Y96" i="40"/>
  <c r="Y8" i="40"/>
  <c r="K125" i="43"/>
  <c r="Y109" i="40"/>
  <c r="W106" i="42"/>
  <c r="Y32" i="40"/>
  <c r="W90" i="42"/>
  <c r="Y175" i="40"/>
  <c r="Y27" i="40"/>
  <c r="Y11" i="40"/>
  <c r="Y152" i="40"/>
  <c r="Y134" i="40"/>
  <c r="Y149" i="40"/>
  <c r="Y74" i="40"/>
  <c r="Y23" i="40"/>
  <c r="Y174" i="40"/>
  <c r="K104" i="43"/>
  <c r="Y185" i="40"/>
  <c r="Y61" i="40"/>
  <c r="Y95" i="40"/>
  <c r="Y132" i="40"/>
  <c r="Y89" i="40"/>
  <c r="N177" i="52"/>
  <c r="N197" i="52"/>
  <c r="N109" i="52"/>
  <c r="N111" i="52"/>
  <c r="N110" i="52"/>
  <c r="N141" i="52"/>
  <c r="N72" i="52"/>
  <c r="N149" i="52"/>
  <c r="N150" i="52"/>
  <c r="N12" i="52"/>
  <c r="N60" i="52"/>
  <c r="N88" i="52"/>
  <c r="N36" i="52"/>
  <c r="N75" i="52"/>
  <c r="N129" i="52"/>
  <c r="N125" i="52"/>
  <c r="N114" i="52"/>
  <c r="N188" i="52"/>
  <c r="N26" i="52"/>
  <c r="N56" i="52"/>
  <c r="N80" i="52"/>
  <c r="N166" i="52"/>
  <c r="N48" i="52"/>
  <c r="N159" i="52"/>
  <c r="N64" i="52"/>
  <c r="N101" i="52"/>
  <c r="N99" i="52"/>
  <c r="N10" i="52"/>
  <c r="N57" i="52"/>
  <c r="N34" i="52"/>
  <c r="N196" i="52"/>
  <c r="N104" i="52"/>
  <c r="N174" i="52"/>
  <c r="N184" i="52"/>
  <c r="N118" i="52"/>
  <c r="N93" i="52"/>
  <c r="N62" i="52"/>
  <c r="N112" i="52"/>
  <c r="N24" i="52"/>
  <c r="N89" i="52"/>
  <c r="N157" i="52"/>
  <c r="N192" i="52"/>
  <c r="N37" i="52"/>
  <c r="N65" i="52"/>
  <c r="N86" i="52"/>
  <c r="N165" i="52"/>
  <c r="N113" i="52"/>
  <c r="N154" i="52"/>
  <c r="N71" i="52"/>
  <c r="N139" i="52"/>
  <c r="N127" i="52"/>
  <c r="N74" i="52"/>
  <c r="N21" i="52"/>
  <c r="N19" i="52"/>
  <c r="N137" i="52"/>
  <c r="N45" i="52"/>
  <c r="N68" i="52"/>
  <c r="N52" i="52"/>
  <c r="N67" i="52"/>
  <c r="N148" i="52"/>
  <c r="N116" i="52"/>
  <c r="N162" i="52"/>
  <c r="N193" i="52"/>
  <c r="N29" i="52"/>
  <c r="N151" i="52"/>
  <c r="N15" i="52"/>
  <c r="N31" i="52"/>
  <c r="N20" i="52"/>
  <c r="N195" i="52"/>
  <c r="N42" i="52"/>
  <c r="N95" i="52"/>
  <c r="N35" i="52"/>
  <c r="N198" i="52"/>
  <c r="N131" i="52"/>
  <c r="N133" i="52"/>
  <c r="N43" i="52"/>
  <c r="N96" i="52"/>
  <c r="N182" i="52"/>
  <c r="N77" i="52"/>
  <c r="N22" i="52"/>
  <c r="N136" i="52"/>
  <c r="N145" i="52"/>
  <c r="N38" i="52"/>
  <c r="N168" i="52"/>
  <c r="N59" i="52"/>
  <c r="N73" i="52"/>
  <c r="N176" i="52"/>
  <c r="N107" i="52"/>
  <c r="N180" i="52"/>
  <c r="N7" i="52"/>
  <c r="N83" i="52"/>
  <c r="N41" i="52"/>
  <c r="N119" i="52"/>
  <c r="N164" i="52"/>
  <c r="N194" i="52"/>
  <c r="N171" i="52"/>
  <c r="N115" i="52"/>
  <c r="N144" i="52"/>
  <c r="N138" i="52"/>
  <c r="N94" i="52"/>
  <c r="N142" i="52"/>
  <c r="N146" i="52"/>
  <c r="N167" i="52"/>
  <c r="N130" i="52"/>
  <c r="N17" i="52"/>
  <c r="N169" i="52"/>
  <c r="N143" i="52"/>
  <c r="N61" i="52"/>
  <c r="N123" i="52"/>
  <c r="N158" i="52"/>
  <c r="N70" i="52"/>
  <c r="N155" i="52"/>
  <c r="N161" i="52"/>
  <c r="N100" i="52"/>
  <c r="N132" i="52"/>
  <c r="N106" i="52"/>
  <c r="N156" i="52"/>
  <c r="N66" i="52"/>
  <c r="N126" i="52"/>
  <c r="N46" i="52"/>
  <c r="N179" i="52"/>
  <c r="N54" i="52"/>
  <c r="N122" i="52"/>
  <c r="N187" i="52"/>
  <c r="N47" i="52"/>
  <c r="N117" i="52"/>
  <c r="N84" i="52"/>
  <c r="N85" i="52"/>
  <c r="N108" i="52"/>
  <c r="N49" i="52"/>
  <c r="N44" i="52"/>
  <c r="N97" i="52"/>
  <c r="N153" i="52"/>
  <c r="N58" i="52"/>
  <c r="N185" i="52"/>
  <c r="N152" i="52"/>
  <c r="N27" i="52"/>
  <c r="N102" i="52"/>
  <c r="N190" i="52"/>
  <c r="N98" i="52"/>
  <c r="N76" i="52"/>
  <c r="N175" i="52"/>
  <c r="N160" i="52"/>
  <c r="N32" i="52"/>
  <c r="N78" i="52"/>
  <c r="N103" i="52"/>
  <c r="N53" i="52"/>
  <c r="N55" i="52"/>
  <c r="N90" i="52"/>
  <c r="N163" i="52"/>
  <c r="N124" i="52"/>
  <c r="N28" i="52"/>
  <c r="N18" i="52"/>
  <c r="N135" i="52"/>
  <c r="N14" i="52"/>
  <c r="N30" i="52"/>
  <c r="N16" i="52"/>
  <c r="N120" i="52"/>
  <c r="N8" i="52"/>
  <c r="N128" i="52"/>
  <c r="N23" i="52"/>
  <c r="N11" i="52"/>
  <c r="N134" i="52"/>
  <c r="N82" i="52"/>
  <c r="N92" i="52"/>
  <c r="N147" i="52"/>
  <c r="N178" i="52"/>
  <c r="N121" i="52"/>
  <c r="N81" i="52"/>
  <c r="N69" i="52"/>
  <c r="N63" i="52"/>
  <c r="N183" i="52"/>
  <c r="N189" i="52"/>
  <c r="N13" i="52"/>
  <c r="N91" i="52"/>
  <c r="N39" i="52"/>
  <c r="N87" i="52"/>
  <c r="N9" i="52"/>
  <c r="N173" i="52"/>
  <c r="N79" i="52"/>
  <c r="N51" i="52"/>
  <c r="N186" i="52"/>
  <c r="N181" i="52"/>
  <c r="N140" i="52"/>
  <c r="N191" i="52"/>
  <c r="N50" i="52"/>
  <c r="N33" i="52"/>
  <c r="N105" i="52"/>
  <c r="N40" i="52"/>
  <c r="N6" i="52"/>
  <c r="N172" i="52"/>
  <c r="N170" i="52"/>
  <c r="N25" i="52"/>
  <c r="V44" i="42"/>
  <c r="P4" i="54"/>
  <c r="O79" i="54"/>
  <c r="O97" i="54"/>
  <c r="O129" i="54"/>
  <c r="O112" i="54"/>
  <c r="O144" i="54"/>
  <c r="O162" i="54"/>
  <c r="O80" i="54"/>
  <c r="O135" i="54"/>
  <c r="O8" i="54"/>
  <c r="O17" i="54"/>
  <c r="O40" i="54"/>
  <c r="O65" i="54"/>
  <c r="O72" i="54"/>
  <c r="O174" i="54"/>
  <c r="O87" i="54"/>
  <c r="O89" i="54"/>
  <c r="O184" i="54"/>
  <c r="O105" i="54"/>
  <c r="O117" i="54"/>
  <c r="O121" i="54"/>
  <c r="O161" i="54"/>
  <c r="O189" i="54"/>
  <c r="O188" i="54"/>
  <c r="O158" i="54"/>
  <c r="O190" i="54"/>
  <c r="O88" i="54"/>
  <c r="O151" i="54"/>
  <c r="O191" i="54"/>
  <c r="O6" i="54"/>
  <c r="O12" i="54"/>
  <c r="O16" i="54"/>
  <c r="O22" i="54"/>
  <c r="O35" i="54"/>
  <c r="O49" i="54"/>
  <c r="O62" i="54"/>
  <c r="O70" i="54"/>
  <c r="O7" i="54"/>
  <c r="O20" i="54"/>
  <c r="O24" i="54"/>
  <c r="O25" i="54"/>
  <c r="O27" i="54"/>
  <c r="O28" i="54"/>
  <c r="O36" i="54"/>
  <c r="O39" i="54"/>
  <c r="O41" i="54"/>
  <c r="O45" i="54"/>
  <c r="O55" i="54"/>
  <c r="O56" i="54"/>
  <c r="O57" i="54"/>
  <c r="O58" i="54"/>
  <c r="O77" i="54"/>
  <c r="O85" i="54"/>
  <c r="O109" i="54"/>
  <c r="O141" i="54"/>
  <c r="O90" i="54"/>
  <c r="O43" i="54"/>
  <c r="O51" i="54"/>
  <c r="O63" i="54"/>
  <c r="O67" i="54"/>
  <c r="O71" i="54"/>
  <c r="O75" i="54"/>
  <c r="O107" i="54"/>
  <c r="O111" i="54"/>
  <c r="O123" i="54"/>
  <c r="O127" i="54"/>
  <c r="O131" i="54"/>
  <c r="O139" i="54"/>
  <c r="O159" i="54"/>
  <c r="O163" i="54"/>
  <c r="O171" i="54"/>
  <c r="O175" i="54"/>
  <c r="O179" i="54"/>
  <c r="O198" i="54"/>
  <c r="O195" i="54"/>
  <c r="O81" i="54"/>
  <c r="O86" i="54"/>
  <c r="O172" i="54"/>
  <c r="O157" i="54"/>
  <c r="O181" i="54"/>
  <c r="O180" i="54"/>
  <c r="O106" i="54"/>
  <c r="O118" i="54"/>
  <c r="O134" i="54"/>
  <c r="O150" i="54"/>
  <c r="O170" i="54"/>
  <c r="O99" i="54"/>
  <c r="O143" i="54"/>
  <c r="O187" i="54"/>
  <c r="O11" i="54"/>
  <c r="O15" i="54"/>
  <c r="O21" i="54"/>
  <c r="O30" i="54"/>
  <c r="O48" i="54"/>
  <c r="O59" i="54"/>
  <c r="O69" i="54"/>
  <c r="O74" i="54"/>
  <c r="O9" i="54"/>
  <c r="O33" i="54"/>
  <c r="O61" i="54"/>
  <c r="O93" i="54"/>
  <c r="O101" i="54"/>
  <c r="O125" i="54"/>
  <c r="O165" i="54"/>
  <c r="O169" i="54"/>
  <c r="O193" i="54"/>
  <c r="O197" i="54"/>
  <c r="O18" i="54"/>
  <c r="O34" i="54"/>
  <c r="O38" i="54"/>
  <c r="O42" i="54"/>
  <c r="O46" i="54"/>
  <c r="O54" i="54"/>
  <c r="O94" i="54"/>
  <c r="O98" i="54"/>
  <c r="O102" i="54"/>
  <c r="O114" i="54"/>
  <c r="O122" i="54"/>
  <c r="O142" i="54"/>
  <c r="O154" i="54"/>
  <c r="O178" i="54"/>
  <c r="O182" i="54"/>
  <c r="O186" i="54"/>
  <c r="O83" i="54"/>
  <c r="O76" i="54"/>
  <c r="O37" i="54"/>
  <c r="O23" i="54"/>
  <c r="O31" i="54"/>
  <c r="O32" i="54"/>
  <c r="O52" i="54"/>
  <c r="O60" i="54"/>
  <c r="O64" i="54"/>
  <c r="O68" i="54"/>
  <c r="O108" i="54"/>
  <c r="O124" i="54"/>
  <c r="O132" i="54"/>
  <c r="O136" i="54"/>
  <c r="O148" i="54"/>
  <c r="O156" i="54"/>
  <c r="O164" i="54"/>
  <c r="O168" i="54"/>
  <c r="O196" i="54"/>
  <c r="O173" i="54"/>
  <c r="O96" i="54"/>
  <c r="O138" i="54"/>
  <c r="O194" i="54"/>
  <c r="O115" i="54"/>
  <c r="O155" i="54"/>
  <c r="O13" i="54"/>
  <c r="O26" i="54"/>
  <c r="O50" i="54"/>
  <c r="O78" i="54"/>
  <c r="O91" i="54"/>
  <c r="O103" i="54"/>
  <c r="O147" i="54"/>
  <c r="O167" i="54"/>
  <c r="O110" i="54"/>
  <c r="O130" i="54"/>
  <c r="O146" i="54"/>
  <c r="O5" i="54"/>
  <c r="O95" i="54"/>
  <c r="O104" i="54"/>
  <c r="O128" i="54"/>
  <c r="O140" i="54"/>
  <c r="O145" i="54"/>
  <c r="O177" i="54"/>
  <c r="O160" i="54"/>
  <c r="O166" i="54"/>
  <c r="O183" i="54"/>
  <c r="O10" i="54"/>
  <c r="O14" i="54"/>
  <c r="O19" i="54"/>
  <c r="O29" i="54"/>
  <c r="O47" i="54"/>
  <c r="O53" i="54"/>
  <c r="O66" i="54"/>
  <c r="O73" i="54"/>
  <c r="O84" i="54"/>
  <c r="O92" i="54"/>
  <c r="O100" i="54"/>
  <c r="O116" i="54"/>
  <c r="O120" i="54"/>
  <c r="O152" i="54"/>
  <c r="O176" i="54"/>
  <c r="O192" i="54"/>
  <c r="O82" i="54"/>
  <c r="P4" i="56"/>
  <c r="O27" i="56"/>
  <c r="O123" i="56"/>
  <c r="O147" i="56"/>
  <c r="O155" i="56"/>
  <c r="O167" i="56"/>
  <c r="O183" i="56"/>
  <c r="O172" i="56"/>
  <c r="O23" i="56"/>
  <c r="O131" i="56"/>
  <c r="O159" i="56"/>
  <c r="O175" i="56"/>
  <c r="O142" i="56"/>
  <c r="O166" i="56"/>
  <c r="O174" i="56"/>
  <c r="O178" i="56"/>
  <c r="O198" i="56"/>
  <c r="O138" i="56"/>
  <c r="O32" i="56"/>
  <c r="O40" i="56"/>
  <c r="O52" i="56"/>
  <c r="O60" i="56"/>
  <c r="O68" i="56"/>
  <c r="O76" i="56"/>
  <c r="O11" i="56"/>
  <c r="O15" i="56"/>
  <c r="O19" i="56"/>
  <c r="O127" i="56"/>
  <c r="O135" i="56"/>
  <c r="O143" i="56"/>
  <c r="O187" i="56"/>
  <c r="O195" i="56"/>
  <c r="O150" i="56"/>
  <c r="O162" i="56"/>
  <c r="O186" i="56"/>
  <c r="O38" i="56"/>
  <c r="O50" i="56"/>
  <c r="O66" i="56"/>
  <c r="O86" i="56"/>
  <c r="O102" i="56"/>
  <c r="O118" i="56"/>
  <c r="O30" i="56"/>
  <c r="O46" i="56"/>
  <c r="O58" i="56"/>
  <c r="O74" i="56"/>
  <c r="O94" i="56"/>
  <c r="O110" i="56"/>
  <c r="O179" i="56"/>
  <c r="O154" i="56"/>
  <c r="O170" i="56"/>
  <c r="O182" i="56"/>
  <c r="O122" i="56"/>
  <c r="O134" i="56"/>
  <c r="O96" i="56"/>
  <c r="O104" i="56"/>
  <c r="O112" i="56"/>
  <c r="O120" i="56"/>
  <c r="O184" i="56"/>
  <c r="O180" i="56"/>
  <c r="O35" i="56"/>
  <c r="O51" i="56"/>
  <c r="O67" i="56"/>
  <c r="O83" i="56"/>
  <c r="O99" i="56"/>
  <c r="O115" i="56"/>
  <c r="O139" i="56"/>
  <c r="O163" i="56"/>
  <c r="O171" i="56"/>
  <c r="O194" i="56"/>
  <c r="O62" i="56"/>
  <c r="O90" i="56"/>
  <c r="O54" i="56"/>
  <c r="O82" i="56"/>
  <c r="O114" i="56"/>
  <c r="O36" i="56"/>
  <c r="O56" i="56"/>
  <c r="O72" i="56"/>
  <c r="O88" i="56"/>
  <c r="O188" i="56"/>
  <c r="O196" i="56"/>
  <c r="O160" i="56"/>
  <c r="O37" i="56"/>
  <c r="O45" i="56"/>
  <c r="O53" i="56"/>
  <c r="O61" i="56"/>
  <c r="O69" i="56"/>
  <c r="O77" i="56"/>
  <c r="O85" i="56"/>
  <c r="O93" i="56"/>
  <c r="O101" i="56"/>
  <c r="O109" i="56"/>
  <c r="O121" i="56"/>
  <c r="O125" i="56"/>
  <c r="O129" i="56"/>
  <c r="O141" i="56"/>
  <c r="O145" i="56"/>
  <c r="O157" i="56"/>
  <c r="O193" i="56"/>
  <c r="O34" i="56"/>
  <c r="O98" i="56"/>
  <c r="O130" i="56"/>
  <c r="O84" i="56"/>
  <c r="O92" i="56"/>
  <c r="O108" i="56"/>
  <c r="O136" i="56"/>
  <c r="O152" i="56"/>
  <c r="O176" i="56"/>
  <c r="O165" i="56"/>
  <c r="O181" i="56"/>
  <c r="O7" i="56"/>
  <c r="O168" i="56"/>
  <c r="O78" i="56"/>
  <c r="O70" i="56"/>
  <c r="O100" i="56"/>
  <c r="O116" i="56"/>
  <c r="O128" i="56"/>
  <c r="O144" i="56"/>
  <c r="O151" i="56"/>
  <c r="O48" i="56"/>
  <c r="O49" i="56"/>
  <c r="O57" i="56"/>
  <c r="O117" i="56"/>
  <c r="O161" i="56"/>
  <c r="O173" i="56"/>
  <c r="O31" i="56"/>
  <c r="O59" i="56"/>
  <c r="O87" i="56"/>
  <c r="O95" i="56"/>
  <c r="O191" i="56"/>
  <c r="O190" i="56"/>
  <c r="O64" i="56"/>
  <c r="O124" i="56"/>
  <c r="O132" i="56"/>
  <c r="O140" i="56"/>
  <c r="O148" i="56"/>
  <c r="O156" i="56"/>
  <c r="O33" i="56"/>
  <c r="O41" i="56"/>
  <c r="O97" i="56"/>
  <c r="O105" i="56"/>
  <c r="O189" i="56"/>
  <c r="O197" i="56"/>
  <c r="O5" i="56"/>
  <c r="O8" i="56"/>
  <c r="O10" i="56"/>
  <c r="O13" i="56"/>
  <c r="O16" i="56"/>
  <c r="O18" i="56"/>
  <c r="O21" i="56"/>
  <c r="O24" i="56"/>
  <c r="O26" i="56"/>
  <c r="O29" i="56"/>
  <c r="O39" i="56"/>
  <c r="O47" i="56"/>
  <c r="O75" i="56"/>
  <c r="O103" i="56"/>
  <c r="O111" i="56"/>
  <c r="O42" i="56"/>
  <c r="O146" i="56"/>
  <c r="O55" i="56"/>
  <c r="O192" i="56"/>
  <c r="O73" i="56"/>
  <c r="O169" i="56"/>
  <c r="O9" i="56"/>
  <c r="O12" i="56"/>
  <c r="O17" i="56"/>
  <c r="O22" i="56"/>
  <c r="O28" i="56"/>
  <c r="O80" i="56"/>
  <c r="O81" i="56"/>
  <c r="O89" i="56"/>
  <c r="O177" i="56"/>
  <c r="O158" i="56"/>
  <c r="O63" i="56"/>
  <c r="O91" i="56"/>
  <c r="O106" i="56"/>
  <c r="O65" i="56"/>
  <c r="O6" i="56"/>
  <c r="O14" i="56"/>
  <c r="O20" i="56"/>
  <c r="O25" i="56"/>
  <c r="O164" i="56"/>
  <c r="O43" i="56"/>
  <c r="O71" i="56"/>
  <c r="O79" i="56"/>
  <c r="O107" i="56"/>
  <c r="P4" i="55"/>
  <c r="O69" i="55"/>
  <c r="O97" i="55"/>
  <c r="O141" i="55"/>
  <c r="O165" i="55"/>
  <c r="O57" i="55"/>
  <c r="O93" i="55"/>
  <c r="O109" i="55"/>
  <c r="O129" i="55"/>
  <c r="O161" i="55"/>
  <c r="O177" i="55"/>
  <c r="O189" i="55"/>
  <c r="O45" i="55"/>
  <c r="O73" i="55"/>
  <c r="O89" i="55"/>
  <c r="O29" i="55"/>
  <c r="O61" i="55"/>
  <c r="O77" i="55"/>
  <c r="O53" i="55"/>
  <c r="O81" i="55"/>
  <c r="O105" i="55"/>
  <c r="O181" i="55"/>
  <c r="O193" i="55"/>
  <c r="O197" i="55"/>
  <c r="O9" i="55"/>
  <c r="O12" i="55"/>
  <c r="O16" i="55"/>
  <c r="O28" i="55"/>
  <c r="O20" i="55"/>
  <c r="O24" i="55"/>
  <c r="O40" i="55"/>
  <c r="O72" i="55"/>
  <c r="O112" i="55"/>
  <c r="O22" i="55"/>
  <c r="O134" i="55"/>
  <c r="O138" i="55"/>
  <c r="O142" i="55"/>
  <c r="O146" i="55"/>
  <c r="O150" i="55"/>
  <c r="O154" i="55"/>
  <c r="O158" i="55"/>
  <c r="O162" i="55"/>
  <c r="O166" i="55"/>
  <c r="O170" i="55"/>
  <c r="O174" i="55"/>
  <c r="O178" i="55"/>
  <c r="O182" i="55"/>
  <c r="O186" i="55"/>
  <c r="O190" i="55"/>
  <c r="O194" i="55"/>
  <c r="O198" i="55"/>
  <c r="O125" i="55"/>
  <c r="O157" i="55"/>
  <c r="O173" i="55"/>
  <c r="O32" i="55"/>
  <c r="O136" i="55"/>
  <c r="O148" i="55"/>
  <c r="O156" i="55"/>
  <c r="O160" i="55"/>
  <c r="O172" i="55"/>
  <c r="O176" i="55"/>
  <c r="O188" i="55"/>
  <c r="O192" i="55"/>
  <c r="O8" i="55"/>
  <c r="O36" i="55"/>
  <c r="O68" i="55"/>
  <c r="O140" i="55"/>
  <c r="O144" i="55"/>
  <c r="O152" i="55"/>
  <c r="O164" i="55"/>
  <c r="O168" i="55"/>
  <c r="O180" i="55"/>
  <c r="O184" i="55"/>
  <c r="O196" i="55"/>
  <c r="O14" i="55"/>
  <c r="O18" i="55"/>
  <c r="O46" i="55"/>
  <c r="O58" i="55"/>
  <c r="O66" i="55"/>
  <c r="O74" i="55"/>
  <c r="O78" i="55"/>
  <c r="O82" i="55"/>
  <c r="O86" i="55"/>
  <c r="O94" i="55"/>
  <c r="O98" i="55"/>
  <c r="O102" i="55"/>
  <c r="O106" i="55"/>
  <c r="O118" i="55"/>
  <c r="O122" i="55"/>
  <c r="O101" i="55"/>
  <c r="O5" i="55"/>
  <c r="O13" i="55"/>
  <c r="O21" i="55"/>
  <c r="O49" i="55"/>
  <c r="O60" i="55"/>
  <c r="O64" i="55"/>
  <c r="O62" i="55"/>
  <c r="O6" i="55"/>
  <c r="O38" i="55"/>
  <c r="O54" i="55"/>
  <c r="O31" i="55"/>
  <c r="O35" i="55"/>
  <c r="O51" i="55"/>
  <c r="O55" i="55"/>
  <c r="O33" i="55"/>
  <c r="O37" i="55"/>
  <c r="O17" i="55"/>
  <c r="O25" i="55"/>
  <c r="O48" i="55"/>
  <c r="O76" i="55"/>
  <c r="O92" i="55"/>
  <c r="O96" i="55"/>
  <c r="O108" i="55"/>
  <c r="O120" i="55"/>
  <c r="O10" i="55"/>
  <c r="O26" i="55"/>
  <c r="O30" i="55"/>
  <c r="O70" i="55"/>
  <c r="O7" i="55"/>
  <c r="O23" i="55"/>
  <c r="O39" i="55"/>
  <c r="O47" i="55"/>
  <c r="O79" i="55"/>
  <c r="O83" i="55"/>
  <c r="O99" i="55"/>
  <c r="O115" i="55"/>
  <c r="O135" i="55"/>
  <c r="O169" i="55"/>
  <c r="O65" i="55"/>
  <c r="O85" i="55"/>
  <c r="O80" i="55"/>
  <c r="O84" i="55"/>
  <c r="O100" i="55"/>
  <c r="O110" i="55"/>
  <c r="O11" i="55"/>
  <c r="O15" i="55"/>
  <c r="O19" i="55"/>
  <c r="O71" i="55"/>
  <c r="O75" i="55"/>
  <c r="O91" i="55"/>
  <c r="O107" i="55"/>
  <c r="O139" i="55"/>
  <c r="O155" i="55"/>
  <c r="O171" i="55"/>
  <c r="O187" i="55"/>
  <c r="O41" i="55"/>
  <c r="O116" i="55"/>
  <c r="O56" i="55"/>
  <c r="O88" i="55"/>
  <c r="O104" i="55"/>
  <c r="O124" i="55"/>
  <c r="O121" i="55"/>
  <c r="O132" i="55"/>
  <c r="O114" i="55"/>
  <c r="O145" i="55"/>
  <c r="O27" i="55"/>
  <c r="O59" i="55"/>
  <c r="O63" i="55"/>
  <c r="O67" i="55"/>
  <c r="O111" i="55"/>
  <c r="O167" i="55"/>
  <c r="O117" i="55"/>
  <c r="O52" i="55"/>
  <c r="O34" i="55"/>
  <c r="O128" i="55"/>
  <c r="O43" i="55"/>
  <c r="O50" i="55"/>
  <c r="O87" i="55"/>
  <c r="O127" i="55"/>
  <c r="O151" i="55"/>
  <c r="O183" i="55"/>
  <c r="O130" i="55"/>
  <c r="O143" i="55"/>
  <c r="O147" i="55"/>
  <c r="O159" i="55"/>
  <c r="O163" i="55"/>
  <c r="O175" i="55"/>
  <c r="O179" i="55"/>
  <c r="O191" i="55"/>
  <c r="O195" i="55"/>
  <c r="O42" i="55"/>
  <c r="O90" i="55"/>
  <c r="O95" i="55"/>
  <c r="O103" i="55"/>
  <c r="O123" i="55"/>
  <c r="O131" i="55"/>
  <c r="K66" i="43"/>
  <c r="K45" i="43"/>
  <c r="L109" i="43"/>
  <c r="K77" i="43"/>
  <c r="L23" i="43"/>
  <c r="K170" i="43"/>
  <c r="K64" i="43"/>
  <c r="K105" i="43"/>
  <c r="K24" i="43"/>
  <c r="L135" i="43"/>
  <c r="K7" i="43"/>
  <c r="K147" i="43"/>
  <c r="K20" i="43"/>
  <c r="K194" i="43"/>
  <c r="L192" i="43"/>
  <c r="L19" i="43"/>
  <c r="K146" i="43"/>
  <c r="L14" i="43"/>
  <c r="K144" i="43"/>
  <c r="L73" i="43"/>
  <c r="K89" i="43"/>
  <c r="L85" i="43"/>
  <c r="K33" i="43"/>
  <c r="K26" i="43"/>
  <c r="K112" i="43"/>
  <c r="K30" i="43"/>
  <c r="K11" i="43"/>
  <c r="K13" i="43"/>
  <c r="K70" i="43"/>
  <c r="K168" i="43"/>
  <c r="K106" i="43"/>
  <c r="K118" i="43"/>
  <c r="L49" i="43"/>
  <c r="L176" i="43"/>
  <c r="L51" i="43"/>
  <c r="L138" i="43"/>
  <c r="L22" i="43"/>
  <c r="K172" i="43"/>
  <c r="L177" i="43"/>
  <c r="L100" i="43"/>
  <c r="K39" i="43"/>
  <c r="K124" i="43"/>
  <c r="K131" i="43"/>
  <c r="K134" i="43"/>
  <c r="K114" i="43"/>
  <c r="K162" i="43"/>
  <c r="L169" i="43"/>
  <c r="K198" i="43"/>
  <c r="K129" i="43"/>
  <c r="K15" i="43"/>
  <c r="K107" i="43"/>
  <c r="K84" i="43"/>
  <c r="L54" i="43"/>
  <c r="K161" i="43"/>
  <c r="L86" i="43"/>
  <c r="K99" i="43"/>
  <c r="L151" i="43"/>
  <c r="L41" i="43"/>
  <c r="K159" i="43"/>
  <c r="L182" i="43"/>
  <c r="K47" i="43"/>
  <c r="L184" i="43"/>
  <c r="K76" i="43"/>
  <c r="K183" i="43"/>
  <c r="K152" i="43"/>
  <c r="L128" i="43"/>
  <c r="K121" i="43"/>
  <c r="L40" i="43"/>
  <c r="K87" i="43"/>
  <c r="L36" i="43"/>
  <c r="L62" i="43"/>
  <c r="K154" i="43"/>
  <c r="K188" i="43"/>
  <c r="L160" i="43"/>
  <c r="K21" i="43"/>
  <c r="L79" i="43"/>
  <c r="K116" i="43"/>
  <c r="K140" i="43"/>
  <c r="K197" i="43"/>
  <c r="K55" i="43"/>
  <c r="K178" i="43"/>
  <c r="L17" i="43"/>
  <c r="L171" i="43"/>
  <c r="L67" i="43"/>
  <c r="K115" i="43"/>
  <c r="K34" i="43"/>
  <c r="K80" i="43"/>
  <c r="K167" i="43"/>
  <c r="K29" i="43"/>
  <c r="L35" i="43"/>
  <c r="L74" i="43"/>
  <c r="K145" i="43"/>
  <c r="K103" i="43"/>
  <c r="K71" i="43"/>
  <c r="K158" i="43"/>
  <c r="K110" i="43"/>
  <c r="L9" i="43"/>
  <c r="K42" i="43"/>
  <c r="K72" i="43"/>
  <c r="K122" i="43"/>
  <c r="K60" i="43"/>
  <c r="K61" i="43"/>
  <c r="K25" i="43"/>
  <c r="K164" i="43"/>
  <c r="L8" i="43"/>
  <c r="L108" i="43"/>
  <c r="L75" i="43"/>
  <c r="K46" i="43"/>
  <c r="K101" i="43"/>
  <c r="K37" i="43"/>
  <c r="L88" i="43"/>
  <c r="L48" i="43"/>
  <c r="K141" i="43"/>
  <c r="K94" i="43"/>
  <c r="K102" i="43"/>
  <c r="K143" i="43"/>
  <c r="K150" i="43"/>
  <c r="L97" i="43"/>
  <c r="L32" i="43"/>
  <c r="L130" i="43"/>
  <c r="K139" i="43"/>
  <c r="K95" i="43"/>
  <c r="K59" i="43"/>
  <c r="K120" i="43"/>
  <c r="K81" i="43"/>
  <c r="K91" i="43"/>
  <c r="K181" i="43"/>
  <c r="K166" i="43"/>
  <c r="L92" i="43"/>
  <c r="K156" i="43"/>
  <c r="K31" i="43"/>
  <c r="K90" i="43"/>
  <c r="L117" i="43"/>
  <c r="L56" i="43"/>
  <c r="L16" i="43"/>
  <c r="K189" i="43"/>
  <c r="K174" i="43"/>
  <c r="K155" i="43"/>
  <c r="L78" i="43"/>
  <c r="K98" i="43"/>
  <c r="L6" i="43"/>
  <c r="K157" i="43"/>
  <c r="L163" i="43"/>
  <c r="L195" i="43"/>
  <c r="K53" i="43"/>
  <c r="L187" i="43"/>
  <c r="L58" i="43"/>
  <c r="K50" i="43"/>
  <c r="K10" i="43"/>
  <c r="K148" i="43"/>
  <c r="L191" i="43"/>
  <c r="K179" i="43"/>
  <c r="L196" i="43"/>
  <c r="K68" i="43"/>
  <c r="L173" i="43"/>
  <c r="L57" i="43"/>
  <c r="L43" i="43"/>
  <c r="L65" i="43"/>
  <c r="K69" i="43"/>
  <c r="K193" i="43"/>
  <c r="K12" i="43"/>
  <c r="L93" i="43"/>
  <c r="K127" i="43"/>
  <c r="K111" i="43"/>
  <c r="N5" i="52"/>
  <c r="N4" i="45"/>
  <c r="P33" i="40" l="1"/>
  <c r="P6" i="40"/>
  <c r="P9" i="40"/>
  <c r="P5" i="40"/>
  <c r="P7" i="40"/>
  <c r="W53" i="42"/>
  <c r="W166" i="42"/>
  <c r="W176" i="42"/>
  <c r="W130" i="42"/>
  <c r="W147" i="42"/>
  <c r="W22" i="42"/>
  <c r="W132" i="42"/>
  <c r="W151" i="42"/>
  <c r="W100" i="42"/>
  <c r="W146" i="42"/>
  <c r="W193" i="42"/>
  <c r="W51" i="42"/>
  <c r="W171" i="42"/>
  <c r="W162" i="42"/>
  <c r="W121" i="42"/>
  <c r="W27" i="42"/>
  <c r="W59" i="42"/>
  <c r="W11" i="42"/>
  <c r="W117" i="42"/>
  <c r="W184" i="42"/>
  <c r="W125" i="42"/>
  <c r="W141" i="42"/>
  <c r="W115" i="42"/>
  <c r="W25" i="42"/>
  <c r="W17" i="42"/>
  <c r="W41" i="42"/>
  <c r="W194" i="42"/>
  <c r="W61" i="42"/>
  <c r="W149" i="42"/>
  <c r="W98" i="42"/>
  <c r="W16" i="42"/>
  <c r="W160" i="42"/>
  <c r="W63" i="42"/>
  <c r="W170" i="42"/>
  <c r="W29" i="42"/>
  <c r="W36" i="42"/>
  <c r="W7" i="42"/>
  <c r="W49" i="42"/>
  <c r="W42" i="42"/>
  <c r="W46" i="42"/>
  <c r="W140" i="42"/>
  <c r="W58" i="42"/>
  <c r="W114" i="42"/>
  <c r="W20" i="42"/>
  <c r="W112" i="42"/>
  <c r="W181" i="42"/>
  <c r="W118" i="42"/>
  <c r="W134" i="42"/>
  <c r="W71" i="42"/>
  <c r="W47" i="42"/>
  <c r="W8" i="42"/>
  <c r="W31" i="42"/>
  <c r="W45" i="42"/>
  <c r="W43" i="42"/>
  <c r="W198" i="42"/>
  <c r="W159" i="42"/>
  <c r="W28" i="42"/>
  <c r="W108" i="42"/>
  <c r="W113" i="42"/>
  <c r="W77" i="42"/>
  <c r="W78" i="42"/>
  <c r="W64" i="42"/>
  <c r="W6" i="42"/>
  <c r="W153" i="42"/>
  <c r="W178" i="42"/>
  <c r="W12" i="42"/>
  <c r="W167" i="42"/>
  <c r="W97" i="42"/>
  <c r="W145" i="42"/>
  <c r="W79" i="42"/>
  <c r="W152" i="42"/>
  <c r="W39" i="42"/>
  <c r="W60" i="42"/>
  <c r="W99" i="42"/>
  <c r="W38" i="42"/>
  <c r="W123" i="42"/>
  <c r="W57" i="42"/>
  <c r="W80" i="42"/>
  <c r="W54" i="42"/>
  <c r="W30" i="42"/>
  <c r="W111" i="42"/>
  <c r="W110" i="42"/>
  <c r="W96" i="42"/>
  <c r="W126" i="42"/>
  <c r="W186" i="42"/>
  <c r="W154" i="42"/>
  <c r="W48" i="42"/>
  <c r="W95" i="42"/>
  <c r="W101" i="42"/>
  <c r="W73" i="42"/>
  <c r="W91" i="42"/>
  <c r="W150" i="42"/>
  <c r="W158" i="42"/>
  <c r="W188" i="42"/>
  <c r="W62" i="42"/>
  <c r="W19" i="42"/>
  <c r="W50" i="42"/>
  <c r="W124" i="42"/>
  <c r="W139" i="42"/>
  <c r="W174" i="42"/>
  <c r="W9" i="42"/>
  <c r="W161" i="42"/>
  <c r="W10" i="42"/>
  <c r="W169" i="42"/>
  <c r="W157" i="42"/>
  <c r="W179" i="42"/>
  <c r="W35" i="42"/>
  <c r="W119" i="42"/>
  <c r="W172" i="42"/>
  <c r="W143" i="42"/>
  <c r="W52" i="42"/>
  <c r="W55" i="42"/>
  <c r="W103" i="42"/>
  <c r="W82" i="42"/>
  <c r="W33" i="42"/>
  <c r="W69" i="42"/>
  <c r="W93" i="42"/>
  <c r="W37" i="42"/>
  <c r="W168" i="42"/>
  <c r="W182" i="42"/>
  <c r="W74" i="42"/>
  <c r="W81" i="42"/>
  <c r="W138" i="42"/>
  <c r="W180" i="42"/>
  <c r="W24" i="42"/>
  <c r="W67" i="42"/>
  <c r="W156" i="42"/>
  <c r="W56" i="42"/>
  <c r="W127" i="42"/>
  <c r="W195" i="42"/>
  <c r="W148" i="42"/>
  <c r="W26" i="42"/>
  <c r="W122" i="42"/>
  <c r="W68" i="42"/>
  <c r="W75" i="42"/>
  <c r="W192" i="42"/>
  <c r="W185" i="42"/>
  <c r="W136" i="42"/>
  <c r="W94" i="42"/>
  <c r="W18" i="42"/>
  <c r="W164" i="42"/>
  <c r="W116" i="42"/>
  <c r="W163" i="42"/>
  <c r="W76" i="42"/>
  <c r="W187" i="42"/>
  <c r="W65" i="42"/>
  <c r="W5" i="42"/>
  <c r="W144" i="42"/>
  <c r="W15" i="42"/>
  <c r="W197" i="42"/>
  <c r="W104" i="42"/>
  <c r="W32" i="42"/>
  <c r="W92" i="42"/>
  <c r="W120" i="42"/>
  <c r="W133" i="42"/>
  <c r="W128" i="42"/>
  <c r="W89" i="42"/>
  <c r="W83" i="42"/>
  <c r="W135" i="42"/>
  <c r="W84" i="42"/>
  <c r="W191" i="42"/>
  <c r="P113" i="55"/>
  <c r="P133" i="55"/>
  <c r="P137" i="55"/>
  <c r="P149" i="55"/>
  <c r="P153" i="55"/>
  <c r="P126" i="55"/>
  <c r="P119" i="55"/>
  <c r="P44" i="55"/>
  <c r="P185" i="55"/>
  <c r="P126" i="54"/>
  <c r="P119" i="54"/>
  <c r="P113" i="54"/>
  <c r="P133" i="54"/>
  <c r="P137" i="54"/>
  <c r="P149" i="54"/>
  <c r="P153" i="54"/>
  <c r="P185" i="54"/>
  <c r="P44" i="54"/>
  <c r="Z95" i="40"/>
  <c r="L104" i="43"/>
  <c r="Z23" i="40"/>
  <c r="Z149" i="40"/>
  <c r="Z134" i="40"/>
  <c r="X90" i="42"/>
  <c r="Z96" i="40"/>
  <c r="Z157" i="40"/>
  <c r="W105" i="42"/>
  <c r="Z36" i="40"/>
  <c r="Z118" i="40"/>
  <c r="Z170" i="40"/>
  <c r="Z38" i="40"/>
  <c r="Z97" i="40"/>
  <c r="Z53" i="40"/>
  <c r="Z43" i="40"/>
  <c r="Z186" i="40"/>
  <c r="L27" i="43"/>
  <c r="Z60" i="40"/>
  <c r="Z35" i="40"/>
  <c r="Z73" i="40"/>
  <c r="Z181" i="40"/>
  <c r="Z168" i="40"/>
  <c r="Z108" i="40"/>
  <c r="Z82" i="40"/>
  <c r="X109" i="42"/>
  <c r="Z187" i="40"/>
  <c r="Z87" i="40"/>
  <c r="Z103" i="40"/>
  <c r="Z177" i="40"/>
  <c r="Z147" i="40"/>
  <c r="Z92" i="40"/>
  <c r="Z189" i="40"/>
  <c r="Z127" i="40"/>
  <c r="Z190" i="40"/>
  <c r="Z115" i="40"/>
  <c r="Z62" i="40"/>
  <c r="Z44" i="40"/>
  <c r="Z156" i="40"/>
  <c r="W70" i="42"/>
  <c r="Z172" i="40"/>
  <c r="Z139" i="40"/>
  <c r="Z162" i="40"/>
  <c r="Z91" i="40"/>
  <c r="Z30" i="40"/>
  <c r="Z42" i="40"/>
  <c r="Z84" i="40"/>
  <c r="Z72" i="40"/>
  <c r="Z64" i="40"/>
  <c r="W85" i="42"/>
  <c r="Z180" i="40"/>
  <c r="Z89" i="40"/>
  <c r="Z132" i="40"/>
  <c r="Z174" i="40"/>
  <c r="Z74" i="40"/>
  <c r="Z175" i="40"/>
  <c r="Z109" i="40"/>
  <c r="Z121" i="40"/>
  <c r="Z22" i="40"/>
  <c r="X87" i="42"/>
  <c r="Z83" i="40"/>
  <c r="Z117" i="40"/>
  <c r="Z178" i="40"/>
  <c r="Z153" i="40"/>
  <c r="Z191" i="40"/>
  <c r="Z100" i="40"/>
  <c r="Z17" i="40"/>
  <c r="Z58" i="40"/>
  <c r="Z85" i="40"/>
  <c r="Z123" i="40"/>
  <c r="Z126" i="40"/>
  <c r="W189" i="42"/>
  <c r="Z116" i="40"/>
  <c r="Z56" i="40"/>
  <c r="Z19" i="40"/>
  <c r="Z159" i="40"/>
  <c r="Z102" i="40"/>
  <c r="Z49" i="40"/>
  <c r="Z112" i="40"/>
  <c r="Z138" i="40"/>
  <c r="Z150" i="40"/>
  <c r="Z130" i="40"/>
  <c r="W21" i="42"/>
  <c r="Z165" i="40"/>
  <c r="Z104" i="40"/>
  <c r="Z20" i="40"/>
  <c r="L180" i="43"/>
  <c r="Z140" i="40"/>
  <c r="X196" i="42"/>
  <c r="L96" i="43"/>
  <c r="Z51" i="40"/>
  <c r="Z46" i="40"/>
  <c r="Z16" i="40"/>
  <c r="Z75" i="40"/>
  <c r="Z107" i="40"/>
  <c r="Z184" i="40"/>
  <c r="Z179" i="40"/>
  <c r="X177" i="42"/>
  <c r="Z148" i="40"/>
  <c r="Z197" i="40"/>
  <c r="Z69" i="40"/>
  <c r="Z93" i="40"/>
  <c r="Z47" i="40"/>
  <c r="Z70" i="40"/>
  <c r="Z28" i="40"/>
  <c r="X137" i="42"/>
  <c r="P119" i="56"/>
  <c r="P44" i="56"/>
  <c r="P113" i="56"/>
  <c r="P133" i="56"/>
  <c r="P137" i="56"/>
  <c r="P149" i="56"/>
  <c r="P153" i="56"/>
  <c r="P185" i="56"/>
  <c r="P126" i="56"/>
  <c r="Z61" i="40"/>
  <c r="Z27" i="40"/>
  <c r="X106" i="42"/>
  <c r="L125" i="43"/>
  <c r="Z8" i="40"/>
  <c r="Z105" i="40"/>
  <c r="Z66" i="40"/>
  <c r="Z78" i="40"/>
  <c r="Z141" i="40"/>
  <c r="Z65" i="40"/>
  <c r="Z125" i="40"/>
  <c r="Z167" i="40"/>
  <c r="Z160" i="40"/>
  <c r="W40" i="42"/>
  <c r="Z29" i="40"/>
  <c r="X23" i="42"/>
  <c r="Z146" i="40"/>
  <c r="Z169" i="40"/>
  <c r="Z98" i="40"/>
  <c r="Z99" i="40"/>
  <c r="Z59" i="40"/>
  <c r="Z131" i="40"/>
  <c r="W88" i="42"/>
  <c r="Z41" i="40"/>
  <c r="Z37" i="40"/>
  <c r="Z188" i="40"/>
  <c r="Z195" i="40"/>
  <c r="Z142" i="40"/>
  <c r="W190" i="42"/>
  <c r="Z24" i="40"/>
  <c r="X175" i="42"/>
  <c r="Z71" i="40"/>
  <c r="Z155" i="40"/>
  <c r="Z57" i="40"/>
  <c r="Z52" i="40"/>
  <c r="Z21" i="40"/>
  <c r="Z198" i="40"/>
  <c r="Z79" i="40"/>
  <c r="Z31" i="40"/>
  <c r="Z67" i="40"/>
  <c r="W66" i="42"/>
  <c r="Z94" i="40"/>
  <c r="Z145" i="40"/>
  <c r="Z164" i="40"/>
  <c r="Z166" i="40"/>
  <c r="Z176" i="40"/>
  <c r="Z182" i="40"/>
  <c r="Z161" i="40"/>
  <c r="Z196" i="40"/>
  <c r="X129" i="42"/>
  <c r="Z12" i="40"/>
  <c r="Z25" i="40"/>
  <c r="Z173" i="40"/>
  <c r="Z128" i="40"/>
  <c r="Z124" i="40"/>
  <c r="X102" i="42"/>
  <c r="Z114" i="40"/>
  <c r="Z194" i="40"/>
  <c r="Z101" i="40"/>
  <c r="Z15" i="40"/>
  <c r="Z50" i="40"/>
  <c r="Z185" i="40"/>
  <c r="Z152" i="40"/>
  <c r="Z11" i="40"/>
  <c r="Z32" i="40"/>
  <c r="Z158" i="40"/>
  <c r="W86" i="42"/>
  <c r="Z113" i="40"/>
  <c r="Z63" i="40"/>
  <c r="Z10" i="40"/>
  <c r="Z136" i="40"/>
  <c r="Z81" i="40"/>
  <c r="Z193" i="40"/>
  <c r="Z119" i="40"/>
  <c r="X34" i="42"/>
  <c r="Z55" i="40"/>
  <c r="Z54" i="40"/>
  <c r="Z26" i="40"/>
  <c r="W165" i="42"/>
  <c r="Z86" i="40"/>
  <c r="Z122" i="40"/>
  <c r="W173" i="42"/>
  <c r="Z106" i="40"/>
  <c r="Z80" i="40"/>
  <c r="Z192" i="40"/>
  <c r="W183" i="42"/>
  <c r="Z90" i="40"/>
  <c r="Z135" i="40"/>
  <c r="X72" i="42"/>
  <c r="Z183" i="40"/>
  <c r="Z143" i="40"/>
  <c r="Z68" i="40"/>
  <c r="X107" i="42"/>
  <c r="Z110" i="40"/>
  <c r="Z111" i="40"/>
  <c r="Z154" i="40"/>
  <c r="Z77" i="40"/>
  <c r="Z88" i="40"/>
  <c r="W14" i="42"/>
  <c r="Z144" i="40"/>
  <c r="Z45" i="40"/>
  <c r="W142" i="42"/>
  <c r="Z120" i="40"/>
  <c r="Z40" i="40"/>
  <c r="Z18" i="40"/>
  <c r="Z13" i="40"/>
  <c r="Z137" i="40"/>
  <c r="Z76" i="40"/>
  <c r="Z163" i="40"/>
  <c r="Z133" i="40"/>
  <c r="Z34" i="40"/>
  <c r="Z129" i="40"/>
  <c r="Z39" i="40"/>
  <c r="X131" i="42"/>
  <c r="X13" i="42"/>
  <c r="W155" i="42"/>
  <c r="Z151" i="40"/>
  <c r="Z48" i="40"/>
  <c r="Z171" i="40"/>
  <c r="Z14" i="40"/>
  <c r="O6" i="52"/>
  <c r="O40" i="52"/>
  <c r="O50" i="52"/>
  <c r="O186" i="52"/>
  <c r="O9" i="52"/>
  <c r="O87" i="52"/>
  <c r="O189" i="52"/>
  <c r="O81" i="52"/>
  <c r="O121" i="52"/>
  <c r="O82" i="52"/>
  <c r="O128" i="52"/>
  <c r="O30" i="52"/>
  <c r="O28" i="52"/>
  <c r="O55" i="52"/>
  <c r="O32" i="52"/>
  <c r="O175" i="52"/>
  <c r="O98" i="52"/>
  <c r="O27" i="52"/>
  <c r="O153" i="52"/>
  <c r="O84" i="52"/>
  <c r="O122" i="52"/>
  <c r="O156" i="52"/>
  <c r="O161" i="52"/>
  <c r="O123" i="52"/>
  <c r="O17" i="52"/>
  <c r="O142" i="52"/>
  <c r="O115" i="52"/>
  <c r="O107" i="52"/>
  <c r="O168" i="52"/>
  <c r="O145" i="52"/>
  <c r="O182" i="52"/>
  <c r="O131" i="52"/>
  <c r="O20" i="52"/>
  <c r="O29" i="52"/>
  <c r="O148" i="52"/>
  <c r="O45" i="52"/>
  <c r="O74" i="52"/>
  <c r="O154" i="52"/>
  <c r="O89" i="52"/>
  <c r="O118" i="52"/>
  <c r="O196" i="52"/>
  <c r="O99" i="52"/>
  <c r="O101" i="52"/>
  <c r="O166" i="52"/>
  <c r="O188" i="52"/>
  <c r="O75" i="52"/>
  <c r="O12" i="52"/>
  <c r="O141" i="52"/>
  <c r="O197" i="52"/>
  <c r="O172" i="52"/>
  <c r="O181" i="52"/>
  <c r="O173" i="52"/>
  <c r="O13" i="52"/>
  <c r="O69" i="52"/>
  <c r="O92" i="52"/>
  <c r="O23" i="52"/>
  <c r="O16" i="52"/>
  <c r="O18" i="52"/>
  <c r="O90" i="52"/>
  <c r="O78" i="52"/>
  <c r="O102" i="52"/>
  <c r="O58" i="52"/>
  <c r="O85" i="52"/>
  <c r="O187" i="52"/>
  <c r="O46" i="52"/>
  <c r="O66" i="52"/>
  <c r="O100" i="52"/>
  <c r="O158" i="52"/>
  <c r="O169" i="52"/>
  <c r="O146" i="52"/>
  <c r="O144" i="52"/>
  <c r="O41" i="52"/>
  <c r="O7" i="52"/>
  <c r="O180" i="52"/>
  <c r="O59" i="52"/>
  <c r="O77" i="52"/>
  <c r="O133" i="52"/>
  <c r="O95" i="52"/>
  <c r="O195" i="52"/>
  <c r="O151" i="52"/>
  <c r="O116" i="52"/>
  <c r="O68" i="52"/>
  <c r="O21" i="52"/>
  <c r="O71" i="52"/>
  <c r="O157" i="52"/>
  <c r="O62" i="52"/>
  <c r="O93" i="52"/>
  <c r="O104" i="52"/>
  <c r="O10" i="52"/>
  <c r="O48" i="52"/>
  <c r="O26" i="52"/>
  <c r="O129" i="52"/>
  <c r="O60" i="52"/>
  <c r="O72" i="52"/>
  <c r="O109" i="52"/>
  <c r="O170" i="52"/>
  <c r="O33" i="52"/>
  <c r="O140" i="52"/>
  <c r="O79" i="52"/>
  <c r="O91" i="52"/>
  <c r="O63" i="52"/>
  <c r="O147" i="52"/>
  <c r="O11" i="52"/>
  <c r="O120" i="52"/>
  <c r="O135" i="52"/>
  <c r="O163" i="52"/>
  <c r="O103" i="52"/>
  <c r="O185" i="52"/>
  <c r="O44" i="52"/>
  <c r="O108" i="52"/>
  <c r="O47" i="52"/>
  <c r="O179" i="52"/>
  <c r="O126" i="52"/>
  <c r="O132" i="52"/>
  <c r="O70" i="52"/>
  <c r="O143" i="52"/>
  <c r="O167" i="52"/>
  <c r="O138" i="52"/>
  <c r="O194" i="52"/>
  <c r="O119" i="52"/>
  <c r="O83" i="52"/>
  <c r="O73" i="52"/>
  <c r="O22" i="52"/>
  <c r="O43" i="52"/>
  <c r="O35" i="52"/>
  <c r="O42" i="52"/>
  <c r="O15" i="52"/>
  <c r="O162" i="52"/>
  <c r="O52" i="52"/>
  <c r="O19" i="52"/>
  <c r="O139" i="52"/>
  <c r="O86" i="52"/>
  <c r="O65" i="52"/>
  <c r="O192" i="52"/>
  <c r="O112" i="52"/>
  <c r="O174" i="52"/>
  <c r="O57" i="52"/>
  <c r="O159" i="52"/>
  <c r="O56" i="52"/>
  <c r="O125" i="52"/>
  <c r="O88" i="52"/>
  <c r="O149" i="52"/>
  <c r="O111" i="52"/>
  <c r="O25" i="52"/>
  <c r="O105" i="52"/>
  <c r="O191" i="52"/>
  <c r="O51" i="52"/>
  <c r="O39" i="52"/>
  <c r="O183" i="52"/>
  <c r="O178" i="52"/>
  <c r="O134" i="52"/>
  <c r="O8" i="52"/>
  <c r="O14" i="52"/>
  <c r="O124" i="52"/>
  <c r="O53" i="52"/>
  <c r="O160" i="52"/>
  <c r="O76" i="52"/>
  <c r="O190" i="52"/>
  <c r="O152" i="52"/>
  <c r="O97" i="52"/>
  <c r="O49" i="52"/>
  <c r="O117" i="52"/>
  <c r="O54" i="52"/>
  <c r="O106" i="52"/>
  <c r="O155" i="52"/>
  <c r="O61" i="52"/>
  <c r="O130" i="52"/>
  <c r="O94" i="52"/>
  <c r="O171" i="52"/>
  <c r="O164" i="52"/>
  <c r="O176" i="52"/>
  <c r="O38" i="52"/>
  <c r="O136" i="52"/>
  <c r="O96" i="52"/>
  <c r="O198" i="52"/>
  <c r="O31" i="52"/>
  <c r="O193" i="52"/>
  <c r="O67" i="52"/>
  <c r="O137" i="52"/>
  <c r="O127" i="52"/>
  <c r="O113" i="52"/>
  <c r="O165" i="52"/>
  <c r="O37" i="52"/>
  <c r="O24" i="52"/>
  <c r="O184" i="52"/>
  <c r="O34" i="52"/>
  <c r="O64" i="52"/>
  <c r="O80" i="52"/>
  <c r="O114" i="52"/>
  <c r="O36" i="52"/>
  <c r="O150" i="52"/>
  <c r="O110" i="52"/>
  <c r="O177" i="52"/>
  <c r="W44" i="42"/>
  <c r="Q4" i="55"/>
  <c r="P6" i="55"/>
  <c r="P10" i="55"/>
  <c r="P14" i="55"/>
  <c r="P18" i="55"/>
  <c r="P22" i="55"/>
  <c r="P26" i="55"/>
  <c r="P30" i="55"/>
  <c r="P34" i="55"/>
  <c r="P38" i="55"/>
  <c r="P42" i="55"/>
  <c r="P46" i="55"/>
  <c r="P50" i="55"/>
  <c r="P54" i="55"/>
  <c r="P58" i="55"/>
  <c r="P66" i="55"/>
  <c r="P70" i="55"/>
  <c r="P74" i="55"/>
  <c r="P78" i="55"/>
  <c r="P82" i="55"/>
  <c r="P86" i="55"/>
  <c r="P90" i="55"/>
  <c r="P94" i="55"/>
  <c r="P98" i="55"/>
  <c r="P102" i="55"/>
  <c r="P106" i="55"/>
  <c r="P110" i="55"/>
  <c r="P114" i="55"/>
  <c r="P118" i="55"/>
  <c r="P122" i="55"/>
  <c r="P130" i="55"/>
  <c r="P134" i="55"/>
  <c r="P138" i="55"/>
  <c r="P142" i="55"/>
  <c r="P146" i="55"/>
  <c r="P150" i="55"/>
  <c r="P154" i="55"/>
  <c r="P158" i="55"/>
  <c r="P162" i="55"/>
  <c r="P166" i="55"/>
  <c r="P170" i="55"/>
  <c r="P174" i="55"/>
  <c r="P178" i="55"/>
  <c r="P182" i="55"/>
  <c r="P186" i="55"/>
  <c r="P190" i="55"/>
  <c r="P194" i="55"/>
  <c r="P198" i="55"/>
  <c r="P12" i="55"/>
  <c r="P16" i="55"/>
  <c r="P28" i="55"/>
  <c r="P32" i="55"/>
  <c r="P48" i="55"/>
  <c r="P60" i="55"/>
  <c r="P64" i="55"/>
  <c r="P76" i="55"/>
  <c r="P80" i="55"/>
  <c r="P92" i="55"/>
  <c r="P96" i="55"/>
  <c r="P108" i="55"/>
  <c r="P116" i="55"/>
  <c r="P120" i="55"/>
  <c r="P132" i="55"/>
  <c r="P136" i="55"/>
  <c r="P148" i="55"/>
  <c r="P156" i="55"/>
  <c r="P160" i="55"/>
  <c r="P172" i="55"/>
  <c r="P176" i="55"/>
  <c r="P188" i="55"/>
  <c r="P192" i="55"/>
  <c r="P62" i="55"/>
  <c r="P8" i="55"/>
  <c r="P20" i="55"/>
  <c r="P24" i="55"/>
  <c r="P36" i="55"/>
  <c r="P40" i="55"/>
  <c r="P52" i="55"/>
  <c r="P56" i="55"/>
  <c r="P68" i="55"/>
  <c r="P72" i="55"/>
  <c r="P84" i="55"/>
  <c r="P88" i="55"/>
  <c r="P100" i="55"/>
  <c r="P104" i="55"/>
  <c r="P112" i="55"/>
  <c r="P124" i="55"/>
  <c r="P128" i="55"/>
  <c r="P140" i="55"/>
  <c r="P144" i="55"/>
  <c r="P152" i="55"/>
  <c r="P164" i="55"/>
  <c r="P168" i="55"/>
  <c r="P180" i="55"/>
  <c r="P184" i="55"/>
  <c r="P196" i="55"/>
  <c r="P17" i="55"/>
  <c r="P33" i="55"/>
  <c r="P49" i="55"/>
  <c r="P65" i="55"/>
  <c r="P81" i="55"/>
  <c r="P97" i="55"/>
  <c r="P117" i="55"/>
  <c r="P141" i="55"/>
  <c r="P165" i="55"/>
  <c r="P181" i="55"/>
  <c r="P43" i="55"/>
  <c r="P67" i="55"/>
  <c r="P87" i="55"/>
  <c r="P103" i="55"/>
  <c r="P131" i="55"/>
  <c r="P147" i="55"/>
  <c r="P163" i="55"/>
  <c r="P179" i="55"/>
  <c r="P195" i="55"/>
  <c r="P19" i="55"/>
  <c r="P39" i="55"/>
  <c r="P47" i="55"/>
  <c r="P51" i="55"/>
  <c r="P21" i="55"/>
  <c r="P29" i="55"/>
  <c r="P57" i="55"/>
  <c r="P85" i="55"/>
  <c r="P93" i="55"/>
  <c r="P125" i="55"/>
  <c r="P169" i="55"/>
  <c r="P177" i="55"/>
  <c r="P15" i="55"/>
  <c r="P35" i="55"/>
  <c r="P75" i="55"/>
  <c r="P79" i="55"/>
  <c r="P83" i="55"/>
  <c r="P91" i="55"/>
  <c r="P95" i="55"/>
  <c r="P99" i="55"/>
  <c r="P107" i="55"/>
  <c r="P111" i="55"/>
  <c r="P115" i="55"/>
  <c r="P123" i="55"/>
  <c r="P127" i="55"/>
  <c r="P135" i="55"/>
  <c r="P139" i="55"/>
  <c r="P143" i="55"/>
  <c r="P151" i="55"/>
  <c r="P155" i="55"/>
  <c r="P159" i="55"/>
  <c r="P167" i="55"/>
  <c r="P171" i="55"/>
  <c r="P175" i="55"/>
  <c r="P183" i="55"/>
  <c r="P187" i="55"/>
  <c r="P191" i="55"/>
  <c r="P9" i="55"/>
  <c r="P37" i="55"/>
  <c r="P45" i="55"/>
  <c r="P73" i="55"/>
  <c r="P101" i="55"/>
  <c r="P109" i="55"/>
  <c r="P157" i="55"/>
  <c r="P189" i="55"/>
  <c r="P197" i="55"/>
  <c r="P11" i="55"/>
  <c r="P63" i="55"/>
  <c r="P71" i="55"/>
  <c r="P5" i="55"/>
  <c r="P53" i="55"/>
  <c r="P129" i="55"/>
  <c r="P173" i="55"/>
  <c r="P23" i="55"/>
  <c r="P55" i="55"/>
  <c r="P7" i="55"/>
  <c r="P31" i="55"/>
  <c r="P59" i="55"/>
  <c r="P25" i="55"/>
  <c r="P61" i="55"/>
  <c r="P89" i="55"/>
  <c r="P121" i="55"/>
  <c r="P27" i="55"/>
  <c r="P161" i="55"/>
  <c r="P193" i="55"/>
  <c r="P13" i="55"/>
  <c r="P41" i="55"/>
  <c r="P69" i="55"/>
  <c r="P77" i="55"/>
  <c r="P105" i="55"/>
  <c r="P145" i="55"/>
  <c r="Q4" i="54"/>
  <c r="P6" i="54"/>
  <c r="P19" i="54"/>
  <c r="P10" i="54"/>
  <c r="P21" i="54"/>
  <c r="P65" i="54"/>
  <c r="P50" i="54"/>
  <c r="P173" i="54"/>
  <c r="P138" i="54"/>
  <c r="P194" i="54"/>
  <c r="P115" i="54"/>
  <c r="P155" i="54"/>
  <c r="P78" i="54"/>
  <c r="P91" i="54"/>
  <c r="P103" i="54"/>
  <c r="P147" i="54"/>
  <c r="P167" i="54"/>
  <c r="P7" i="54"/>
  <c r="P24" i="54"/>
  <c r="P27" i="54"/>
  <c r="P36" i="54"/>
  <c r="P41" i="54"/>
  <c r="P55" i="54"/>
  <c r="P57" i="54"/>
  <c r="P110" i="54"/>
  <c r="P130" i="54"/>
  <c r="P146" i="54"/>
  <c r="P83" i="54"/>
  <c r="P15" i="54"/>
  <c r="P59" i="54"/>
  <c r="P17" i="54"/>
  <c r="P53" i="54"/>
  <c r="P22" i="54"/>
  <c r="P62" i="54"/>
  <c r="P184" i="54"/>
  <c r="P8" i="54"/>
  <c r="P81" i="54"/>
  <c r="P89" i="54"/>
  <c r="P97" i="54"/>
  <c r="P105" i="54"/>
  <c r="P117" i="54"/>
  <c r="P121" i="54"/>
  <c r="P129" i="54"/>
  <c r="P161" i="54"/>
  <c r="P189" i="54"/>
  <c r="P188" i="54"/>
  <c r="P40" i="54"/>
  <c r="P158" i="54"/>
  <c r="P190" i="54"/>
  <c r="P16" i="54"/>
  <c r="P151" i="54"/>
  <c r="P191" i="54"/>
  <c r="P77" i="54"/>
  <c r="P85" i="54"/>
  <c r="P109" i="54"/>
  <c r="P141" i="54"/>
  <c r="P82" i="54"/>
  <c r="P43" i="54"/>
  <c r="P51" i="54"/>
  <c r="P63" i="54"/>
  <c r="P67" i="54"/>
  <c r="P71" i="54"/>
  <c r="P75" i="54"/>
  <c r="P107" i="54"/>
  <c r="P111" i="54"/>
  <c r="P123" i="54"/>
  <c r="P127" i="54"/>
  <c r="P131" i="54"/>
  <c r="P159" i="54"/>
  <c r="P163" i="54"/>
  <c r="P171" i="54"/>
  <c r="P175" i="54"/>
  <c r="P179" i="54"/>
  <c r="P5" i="54"/>
  <c r="P18" i="54"/>
  <c r="P31" i="54"/>
  <c r="P198" i="54"/>
  <c r="P195" i="54"/>
  <c r="P58" i="54"/>
  <c r="P11" i="54"/>
  <c r="P47" i="54"/>
  <c r="P13" i="54"/>
  <c r="P49" i="54"/>
  <c r="P73" i="54"/>
  <c r="P26" i="54"/>
  <c r="P66" i="54"/>
  <c r="P172" i="54"/>
  <c r="P157" i="54"/>
  <c r="P181" i="54"/>
  <c r="P180" i="54"/>
  <c r="P72" i="54"/>
  <c r="P86" i="54"/>
  <c r="P106" i="54"/>
  <c r="P118" i="54"/>
  <c r="P134" i="54"/>
  <c r="P150" i="54"/>
  <c r="P170" i="54"/>
  <c r="P88" i="54"/>
  <c r="P12" i="54"/>
  <c r="P79" i="54"/>
  <c r="P87" i="54"/>
  <c r="P95" i="54"/>
  <c r="P99" i="54"/>
  <c r="P143" i="54"/>
  <c r="P187" i="54"/>
  <c r="P33" i="54"/>
  <c r="P61" i="54"/>
  <c r="P93" i="54"/>
  <c r="P101" i="54"/>
  <c r="P125" i="54"/>
  <c r="P165" i="54"/>
  <c r="P169" i="54"/>
  <c r="P193" i="54"/>
  <c r="P197" i="54"/>
  <c r="P34" i="54"/>
  <c r="P38" i="54"/>
  <c r="P42" i="54"/>
  <c r="P46" i="54"/>
  <c r="P54" i="54"/>
  <c r="P94" i="54"/>
  <c r="P98" i="54"/>
  <c r="P102" i="54"/>
  <c r="P114" i="54"/>
  <c r="P122" i="54"/>
  <c r="P142" i="54"/>
  <c r="P154" i="54"/>
  <c r="P178" i="54"/>
  <c r="P182" i="54"/>
  <c r="P186" i="54"/>
  <c r="P139" i="54"/>
  <c r="P90" i="54"/>
  <c r="P37" i="54"/>
  <c r="P9" i="54"/>
  <c r="P23" i="54"/>
  <c r="P32" i="54"/>
  <c r="P52" i="54"/>
  <c r="P60" i="54"/>
  <c r="P64" i="54"/>
  <c r="P68" i="54"/>
  <c r="P76" i="54"/>
  <c r="P108" i="54"/>
  <c r="P124" i="54"/>
  <c r="P132" i="54"/>
  <c r="P136" i="54"/>
  <c r="P148" i="54"/>
  <c r="P156" i="54"/>
  <c r="P164" i="54"/>
  <c r="P168" i="54"/>
  <c r="P196" i="54"/>
  <c r="P96" i="54"/>
  <c r="P112" i="54"/>
  <c r="P144" i="54"/>
  <c r="P162" i="54"/>
  <c r="P135" i="54"/>
  <c r="P20" i="54"/>
  <c r="P25" i="54"/>
  <c r="P28" i="54"/>
  <c r="P39" i="54"/>
  <c r="P45" i="54"/>
  <c r="P56" i="54"/>
  <c r="P174" i="54"/>
  <c r="P14" i="54"/>
  <c r="P35" i="54"/>
  <c r="P29" i="54"/>
  <c r="P69" i="54"/>
  <c r="P30" i="54"/>
  <c r="P70" i="54"/>
  <c r="P80" i="54"/>
  <c r="P104" i="54"/>
  <c r="P128" i="54"/>
  <c r="P140" i="54"/>
  <c r="P48" i="54"/>
  <c r="P145" i="54"/>
  <c r="P177" i="54"/>
  <c r="P160" i="54"/>
  <c r="P74" i="54"/>
  <c r="P166" i="54"/>
  <c r="P183" i="54"/>
  <c r="P84" i="54"/>
  <c r="P92" i="54"/>
  <c r="P100" i="54"/>
  <c r="P116" i="54"/>
  <c r="P120" i="54"/>
  <c r="P152" i="54"/>
  <c r="P176" i="54"/>
  <c r="P192" i="54"/>
  <c r="Q4" i="56"/>
  <c r="P180" i="56"/>
  <c r="P114" i="56"/>
  <c r="P164" i="56"/>
  <c r="P7" i="56"/>
  <c r="P19" i="56"/>
  <c r="P23" i="56"/>
  <c r="P43" i="56"/>
  <c r="P75" i="56"/>
  <c r="P91" i="56"/>
  <c r="P99" i="56"/>
  <c r="P111" i="56"/>
  <c r="P76" i="56"/>
  <c r="P116" i="56"/>
  <c r="P184" i="56"/>
  <c r="P47" i="56"/>
  <c r="P63" i="56"/>
  <c r="P79" i="56"/>
  <c r="P95" i="56"/>
  <c r="P32" i="56"/>
  <c r="P56" i="56"/>
  <c r="P104" i="56"/>
  <c r="P168" i="56"/>
  <c r="P37" i="56"/>
  <c r="P97" i="56"/>
  <c r="P109" i="56"/>
  <c r="P193" i="56"/>
  <c r="P162" i="56"/>
  <c r="P186" i="56"/>
  <c r="P122" i="56"/>
  <c r="P130" i="56"/>
  <c r="P134" i="56"/>
  <c r="P106" i="56"/>
  <c r="P8" i="56"/>
  <c r="P12" i="56"/>
  <c r="P16" i="56"/>
  <c r="P20" i="56"/>
  <c r="P24" i="56"/>
  <c r="P28" i="56"/>
  <c r="P11" i="56"/>
  <c r="P51" i="56"/>
  <c r="P59" i="56"/>
  <c r="P36" i="56"/>
  <c r="P92" i="56"/>
  <c r="P49" i="56"/>
  <c r="P53" i="56"/>
  <c r="P65" i="56"/>
  <c r="P81" i="56"/>
  <c r="P85" i="56"/>
  <c r="P101" i="56"/>
  <c r="P170" i="56"/>
  <c r="P174" i="56"/>
  <c r="P182" i="56"/>
  <c r="P6" i="56"/>
  <c r="P14" i="56"/>
  <c r="P22" i="56"/>
  <c r="P26" i="56"/>
  <c r="P10" i="56"/>
  <c r="P18" i="56"/>
  <c r="P46" i="56"/>
  <c r="P118" i="56"/>
  <c r="P90" i="56"/>
  <c r="P108" i="56"/>
  <c r="P41" i="56"/>
  <c r="P93" i="56"/>
  <c r="P194" i="56"/>
  <c r="P78" i="56"/>
  <c r="P110" i="56"/>
  <c r="P192" i="56"/>
  <c r="P189" i="56"/>
  <c r="P197" i="56"/>
  <c r="P42" i="56"/>
  <c r="P48" i="56"/>
  <c r="P80" i="56"/>
  <c r="P112" i="56"/>
  <c r="P160" i="56"/>
  <c r="P187" i="56"/>
  <c r="P171" i="56"/>
  <c r="P45" i="56"/>
  <c r="P69" i="56"/>
  <c r="P117" i="56"/>
  <c r="P38" i="56"/>
  <c r="P62" i="56"/>
  <c r="P94" i="56"/>
  <c r="P34" i="56"/>
  <c r="P58" i="56"/>
  <c r="P124" i="56"/>
  <c r="P128" i="56"/>
  <c r="P132" i="56"/>
  <c r="P136" i="56"/>
  <c r="P140" i="56"/>
  <c r="P144" i="56"/>
  <c r="P148" i="56"/>
  <c r="P152" i="56"/>
  <c r="P156" i="56"/>
  <c r="P161" i="56"/>
  <c r="P165" i="56"/>
  <c r="P169" i="56"/>
  <c r="P173" i="56"/>
  <c r="P177" i="56"/>
  <c r="P181" i="56"/>
  <c r="P35" i="56"/>
  <c r="P39" i="56"/>
  <c r="P71" i="56"/>
  <c r="P83" i="56"/>
  <c r="P87" i="56"/>
  <c r="P107" i="56"/>
  <c r="P88" i="56"/>
  <c r="P166" i="56"/>
  <c r="P138" i="56"/>
  <c r="P30" i="56"/>
  <c r="P52" i="56"/>
  <c r="P70" i="56"/>
  <c r="P120" i="56"/>
  <c r="P15" i="56"/>
  <c r="P31" i="56"/>
  <c r="P55" i="56"/>
  <c r="P103" i="56"/>
  <c r="P61" i="56"/>
  <c r="P77" i="56"/>
  <c r="P178" i="56"/>
  <c r="P74" i="56"/>
  <c r="P188" i="56"/>
  <c r="P27" i="56"/>
  <c r="P86" i="56"/>
  <c r="P5" i="56"/>
  <c r="P21" i="56"/>
  <c r="P145" i="56"/>
  <c r="P66" i="56"/>
  <c r="P98" i="56"/>
  <c r="P139" i="56"/>
  <c r="P146" i="56"/>
  <c r="P155" i="56"/>
  <c r="P175" i="56"/>
  <c r="P183" i="56"/>
  <c r="P72" i="56"/>
  <c r="P54" i="56"/>
  <c r="P100" i="56"/>
  <c r="P172" i="56"/>
  <c r="P17" i="56"/>
  <c r="P121" i="56"/>
  <c r="P125" i="56"/>
  <c r="P157" i="56"/>
  <c r="P33" i="56"/>
  <c r="P57" i="56"/>
  <c r="P89" i="56"/>
  <c r="P131" i="56"/>
  <c r="P142" i="56"/>
  <c r="P151" i="56"/>
  <c r="P158" i="56"/>
  <c r="P163" i="56"/>
  <c r="P60" i="56"/>
  <c r="P40" i="56"/>
  <c r="P50" i="56"/>
  <c r="P73" i="56"/>
  <c r="P82" i="56"/>
  <c r="P135" i="56"/>
  <c r="P147" i="56"/>
  <c r="P115" i="56"/>
  <c r="P196" i="56"/>
  <c r="P25" i="56"/>
  <c r="P68" i="56"/>
  <c r="P102" i="56"/>
  <c r="P13" i="56"/>
  <c r="P29" i="56"/>
  <c r="P129" i="56"/>
  <c r="P64" i="56"/>
  <c r="P96" i="56"/>
  <c r="P105" i="56"/>
  <c r="P176" i="56"/>
  <c r="P123" i="56"/>
  <c r="P154" i="56"/>
  <c r="P179" i="56"/>
  <c r="P67" i="56"/>
  <c r="P84" i="56"/>
  <c r="P9" i="56"/>
  <c r="P141" i="56"/>
  <c r="P195" i="56"/>
  <c r="P150" i="56"/>
  <c r="P191" i="56"/>
  <c r="P127" i="56"/>
  <c r="P159" i="56"/>
  <c r="P190" i="56"/>
  <c r="P143" i="56"/>
  <c r="P167" i="56"/>
  <c r="P198" i="56"/>
  <c r="M163" i="43"/>
  <c r="L90" i="43"/>
  <c r="L156" i="43"/>
  <c r="L91" i="43"/>
  <c r="L95" i="43"/>
  <c r="M75" i="43"/>
  <c r="M8" i="43"/>
  <c r="L42" i="43"/>
  <c r="L110" i="43"/>
  <c r="M35" i="43"/>
  <c r="L197" i="43"/>
  <c r="M62" i="43"/>
  <c r="L198" i="43"/>
  <c r="L172" i="43"/>
  <c r="M176" i="43"/>
  <c r="L118" i="43"/>
  <c r="L168" i="43"/>
  <c r="L30" i="43"/>
  <c r="L7" i="43"/>
  <c r="M58" i="43"/>
  <c r="M195" i="43"/>
  <c r="L59" i="43"/>
  <c r="L61" i="43"/>
  <c r="L71" i="43"/>
  <c r="L145" i="43"/>
  <c r="L34" i="43"/>
  <c r="L140" i="43"/>
  <c r="L87" i="43"/>
  <c r="L76" i="43"/>
  <c r="L47" i="43"/>
  <c r="M151" i="43"/>
  <c r="L99" i="43"/>
  <c r="L84" i="43"/>
  <c r="M51" i="43"/>
  <c r="L13" i="43"/>
  <c r="L33" i="43"/>
  <c r="L170" i="43"/>
  <c r="M23" i="43"/>
  <c r="L77" i="43"/>
  <c r="L45" i="43"/>
  <c r="M93" i="43"/>
  <c r="L193" i="43"/>
  <c r="M65" i="43"/>
  <c r="M57" i="43"/>
  <c r="M173" i="43"/>
  <c r="M16" i="43"/>
  <c r="M92" i="43"/>
  <c r="L181" i="43"/>
  <c r="L81" i="43"/>
  <c r="M97" i="43"/>
  <c r="L143" i="43"/>
  <c r="L102" i="43"/>
  <c r="L164" i="43"/>
  <c r="L72" i="43"/>
  <c r="M9" i="43"/>
  <c r="M74" i="43"/>
  <c r="L167" i="43"/>
  <c r="L115" i="43"/>
  <c r="M171" i="43"/>
  <c r="M17" i="43"/>
  <c r="L55" i="43"/>
  <c r="L188" i="43"/>
  <c r="L152" i="43"/>
  <c r="L183" i="43"/>
  <c r="M86" i="43"/>
  <c r="M54" i="43"/>
  <c r="L15" i="43"/>
  <c r="L129" i="43"/>
  <c r="L162" i="43"/>
  <c r="L134" i="43"/>
  <c r="L39" i="43"/>
  <c r="M177" i="43"/>
  <c r="M22" i="43"/>
  <c r="L11" i="43"/>
  <c r="L26" i="43"/>
  <c r="M14" i="43"/>
  <c r="L24" i="43"/>
  <c r="L12" i="43"/>
  <c r="L69" i="43"/>
  <c r="M43" i="43"/>
  <c r="M78" i="43"/>
  <c r="L166" i="43"/>
  <c r="M108" i="43"/>
  <c r="L122" i="43"/>
  <c r="L29" i="43"/>
  <c r="L178" i="43"/>
  <c r="L116" i="43"/>
  <c r="L154" i="43"/>
  <c r="M128" i="43"/>
  <c r="L161" i="43"/>
  <c r="L107" i="43"/>
  <c r="M169" i="43"/>
  <c r="L114" i="43"/>
  <c r="L124" i="43"/>
  <c r="M100" i="43"/>
  <c r="L89" i="43"/>
  <c r="L194" i="43"/>
  <c r="M135" i="43"/>
  <c r="L66" i="43"/>
  <c r="L111" i="43"/>
  <c r="M196" i="43"/>
  <c r="L10" i="43"/>
  <c r="L53" i="43"/>
  <c r="L98" i="43"/>
  <c r="L174" i="43"/>
  <c r="M117" i="43"/>
  <c r="L31" i="43"/>
  <c r="M130" i="43"/>
  <c r="L94" i="43"/>
  <c r="L141" i="43"/>
  <c r="M88" i="43"/>
  <c r="L101" i="43"/>
  <c r="M79" i="43"/>
  <c r="L121" i="43"/>
  <c r="L144" i="43"/>
  <c r="L146" i="43"/>
  <c r="M192" i="43"/>
  <c r="L20" i="43"/>
  <c r="L127" i="43"/>
  <c r="L68" i="43"/>
  <c r="L179" i="43"/>
  <c r="M191" i="43"/>
  <c r="L148" i="43"/>
  <c r="L50" i="43"/>
  <c r="M187" i="43"/>
  <c r="L157" i="43"/>
  <c r="M6" i="43"/>
  <c r="L155" i="43"/>
  <c r="L189" i="43"/>
  <c r="M56" i="43"/>
  <c r="L120" i="43"/>
  <c r="L139" i="43"/>
  <c r="M32" i="43"/>
  <c r="L150" i="43"/>
  <c r="M48" i="43"/>
  <c r="L37" i="43"/>
  <c r="L46" i="43"/>
  <c r="L25" i="43"/>
  <c r="L60" i="43"/>
  <c r="L158" i="43"/>
  <c r="L103" i="43"/>
  <c r="L80" i="43"/>
  <c r="M67" i="43"/>
  <c r="L21" i="43"/>
  <c r="M160" i="43"/>
  <c r="M36" i="43"/>
  <c r="M40" i="43"/>
  <c r="M184" i="43"/>
  <c r="M182" i="43"/>
  <c r="L159" i="43"/>
  <c r="M41" i="43"/>
  <c r="L131" i="43"/>
  <c r="M138" i="43"/>
  <c r="M49" i="43"/>
  <c r="L106" i="43"/>
  <c r="L70" i="43"/>
  <c r="L112" i="43"/>
  <c r="M85" i="43"/>
  <c r="M73" i="43"/>
  <c r="M19" i="43"/>
  <c r="L147" i="43"/>
  <c r="L105" i="43"/>
  <c r="L64" i="43"/>
  <c r="M109" i="43"/>
  <c r="O5" i="52"/>
  <c r="O4" i="45"/>
  <c r="Q5" i="40" l="1"/>
  <c r="Q7" i="40"/>
  <c r="Q6" i="40"/>
  <c r="Q9" i="40"/>
  <c r="Q33" i="40"/>
  <c r="X191" i="42"/>
  <c r="X83" i="42"/>
  <c r="X133" i="42"/>
  <c r="X197" i="42"/>
  <c r="X65" i="42"/>
  <c r="X116" i="42"/>
  <c r="X192" i="42"/>
  <c r="X195" i="42"/>
  <c r="X81" i="42"/>
  <c r="X168" i="42"/>
  <c r="X103" i="42"/>
  <c r="X172" i="42"/>
  <c r="X169" i="42"/>
  <c r="X9" i="42"/>
  <c r="X62" i="42"/>
  <c r="X96" i="42"/>
  <c r="X99" i="42"/>
  <c r="X152" i="42"/>
  <c r="X145" i="42"/>
  <c r="X113" i="42"/>
  <c r="X8" i="42"/>
  <c r="X20" i="42"/>
  <c r="X140" i="42"/>
  <c r="X49" i="42"/>
  <c r="X36" i="42"/>
  <c r="X63" i="42"/>
  <c r="X16" i="42"/>
  <c r="X41" i="42"/>
  <c r="X25" i="42"/>
  <c r="X117" i="42"/>
  <c r="X59" i="42"/>
  <c r="X162" i="42"/>
  <c r="X171" i="42"/>
  <c r="X132" i="42"/>
  <c r="X89" i="42"/>
  <c r="X15" i="42"/>
  <c r="X144" i="42"/>
  <c r="X5" i="42"/>
  <c r="X18" i="42"/>
  <c r="X185" i="42"/>
  <c r="X68" i="42"/>
  <c r="X26" i="42"/>
  <c r="X148" i="42"/>
  <c r="X56" i="42"/>
  <c r="X67" i="42"/>
  <c r="X182" i="42"/>
  <c r="X37" i="42"/>
  <c r="X69" i="42"/>
  <c r="X55" i="42"/>
  <c r="X143" i="42"/>
  <c r="X35" i="42"/>
  <c r="X157" i="42"/>
  <c r="X161" i="42"/>
  <c r="X174" i="42"/>
  <c r="X48" i="42"/>
  <c r="X154" i="42"/>
  <c r="X30" i="42"/>
  <c r="X80" i="42"/>
  <c r="X39" i="42"/>
  <c r="X79" i="42"/>
  <c r="X12" i="42"/>
  <c r="X64" i="42"/>
  <c r="X43" i="42"/>
  <c r="X58" i="42"/>
  <c r="X7" i="42"/>
  <c r="X17" i="42"/>
  <c r="X27" i="42"/>
  <c r="X100" i="42"/>
  <c r="X53" i="42"/>
  <c r="X135" i="42"/>
  <c r="X32" i="42"/>
  <c r="X187" i="42"/>
  <c r="X76" i="42"/>
  <c r="X94" i="42"/>
  <c r="X75" i="42"/>
  <c r="X122" i="42"/>
  <c r="X127" i="42"/>
  <c r="X156" i="42"/>
  <c r="X138" i="42"/>
  <c r="X74" i="42"/>
  <c r="X93" i="42"/>
  <c r="X179" i="42"/>
  <c r="X50" i="42"/>
  <c r="X158" i="42"/>
  <c r="X91" i="42"/>
  <c r="X101" i="42"/>
  <c r="X95" i="42"/>
  <c r="X110" i="42"/>
  <c r="X111" i="42"/>
  <c r="X54" i="42"/>
  <c r="X57" i="42"/>
  <c r="X123" i="42"/>
  <c r="X60" i="42"/>
  <c r="X97" i="42"/>
  <c r="X167" i="42"/>
  <c r="X178" i="42"/>
  <c r="X6" i="42"/>
  <c r="X78" i="42"/>
  <c r="X77" i="42"/>
  <c r="X108" i="42"/>
  <c r="X159" i="42"/>
  <c r="X198" i="42"/>
  <c r="X45" i="42"/>
  <c r="X31" i="42"/>
  <c r="X71" i="42"/>
  <c r="X134" i="42"/>
  <c r="X42" i="42"/>
  <c r="X170" i="42"/>
  <c r="X98" i="42"/>
  <c r="X141" i="42"/>
  <c r="X125" i="42"/>
  <c r="X121" i="42"/>
  <c r="X193" i="42"/>
  <c r="X146" i="42"/>
  <c r="X22" i="42"/>
  <c r="X166" i="42"/>
  <c r="X84" i="42"/>
  <c r="X128" i="42"/>
  <c r="X120" i="42"/>
  <c r="X92" i="42"/>
  <c r="X104" i="42"/>
  <c r="X163" i="42"/>
  <c r="X164" i="42"/>
  <c r="X136" i="42"/>
  <c r="X24" i="42"/>
  <c r="X180" i="42"/>
  <c r="X33" i="42"/>
  <c r="X82" i="42"/>
  <c r="X52" i="42"/>
  <c r="X119" i="42"/>
  <c r="X10" i="42"/>
  <c r="X139" i="42"/>
  <c r="X124" i="42"/>
  <c r="X19" i="42"/>
  <c r="X188" i="42"/>
  <c r="X150" i="42"/>
  <c r="X73" i="42"/>
  <c r="X186" i="42"/>
  <c r="X126" i="42"/>
  <c r="X38" i="42"/>
  <c r="X153" i="42"/>
  <c r="X28" i="42"/>
  <c r="X47" i="42"/>
  <c r="X118" i="42"/>
  <c r="X181" i="42"/>
  <c r="X112" i="42"/>
  <c r="X114" i="42"/>
  <c r="X46" i="42"/>
  <c r="X29" i="42"/>
  <c r="X160" i="42"/>
  <c r="X149" i="42"/>
  <c r="X61" i="42"/>
  <c r="X194" i="42"/>
  <c r="X115" i="42"/>
  <c r="X184" i="42"/>
  <c r="X11" i="42"/>
  <c r="X51" i="42"/>
  <c r="X151" i="42"/>
  <c r="X147" i="42"/>
  <c r="X130" i="42"/>
  <c r="X176" i="42"/>
  <c r="Q119" i="56"/>
  <c r="Q44" i="56"/>
  <c r="Q113" i="56"/>
  <c r="Q133" i="56"/>
  <c r="Q137" i="56"/>
  <c r="Q149" i="56"/>
  <c r="Q153" i="56"/>
  <c r="Q185" i="56"/>
  <c r="Q126" i="56"/>
  <c r="Q126" i="54"/>
  <c r="Q119" i="54"/>
  <c r="Q113" i="54"/>
  <c r="Q133" i="54"/>
  <c r="Q137" i="54"/>
  <c r="Q149" i="54"/>
  <c r="Q153" i="54"/>
  <c r="Q185" i="54"/>
  <c r="Q44" i="54"/>
  <c r="AA48" i="40"/>
  <c r="AA129" i="40"/>
  <c r="AA34" i="40"/>
  <c r="AA76" i="40"/>
  <c r="X14" i="42"/>
  <c r="AA88" i="40"/>
  <c r="AA77" i="40"/>
  <c r="AA68" i="40"/>
  <c r="AA143" i="40"/>
  <c r="AA183" i="40"/>
  <c r="AA192" i="40"/>
  <c r="X173" i="42"/>
  <c r="AA122" i="40"/>
  <c r="X165" i="42"/>
  <c r="AA55" i="40"/>
  <c r="AA81" i="40"/>
  <c r="AA136" i="40"/>
  <c r="Y102" i="42"/>
  <c r="AA12" i="40"/>
  <c r="Y129" i="42"/>
  <c r="AA196" i="40"/>
  <c r="AA166" i="40"/>
  <c r="AA164" i="40"/>
  <c r="AA31" i="40"/>
  <c r="AA21" i="40"/>
  <c r="AA57" i="40"/>
  <c r="AA155" i="40"/>
  <c r="AA71" i="40"/>
  <c r="X190" i="42"/>
  <c r="AA188" i="40"/>
  <c r="AA37" i="40"/>
  <c r="AA131" i="40"/>
  <c r="AA141" i="40"/>
  <c r="AA78" i="40"/>
  <c r="AA66" i="40"/>
  <c r="AA105" i="40"/>
  <c r="AA61" i="40"/>
  <c r="AA93" i="40"/>
  <c r="AA69" i="40"/>
  <c r="AA197" i="40"/>
  <c r="AA148" i="40"/>
  <c r="AA107" i="40"/>
  <c r="AA16" i="40"/>
  <c r="M96" i="43"/>
  <c r="AA140" i="40"/>
  <c r="AA20" i="40"/>
  <c r="AA49" i="40"/>
  <c r="AA126" i="40"/>
  <c r="AA123" i="40"/>
  <c r="AA153" i="40"/>
  <c r="AA178" i="40"/>
  <c r="AA109" i="40"/>
  <c r="AA175" i="40"/>
  <c r="AA174" i="40"/>
  <c r="AA30" i="40"/>
  <c r="AA139" i="40"/>
  <c r="AA44" i="40"/>
  <c r="AA190" i="40"/>
  <c r="AA127" i="40"/>
  <c r="AA168" i="40"/>
  <c r="AA43" i="40"/>
  <c r="AA96" i="40"/>
  <c r="AA171" i="40"/>
  <c r="Y13" i="42"/>
  <c r="AA39" i="40"/>
  <c r="AA137" i="40"/>
  <c r="X142" i="42"/>
  <c r="AA144" i="40"/>
  <c r="AA154" i="40"/>
  <c r="X183" i="42"/>
  <c r="AA86" i="40"/>
  <c r="AA54" i="40"/>
  <c r="X86" i="42"/>
  <c r="AA185" i="40"/>
  <c r="AA25" i="40"/>
  <c r="AA161" i="40"/>
  <c r="AA182" i="40"/>
  <c r="X66" i="42"/>
  <c r="AA67" i="40"/>
  <c r="AA24" i="40"/>
  <c r="AA195" i="40"/>
  <c r="AA41" i="40"/>
  <c r="X88" i="42"/>
  <c r="AA59" i="40"/>
  <c r="AA99" i="40"/>
  <c r="AA98" i="40"/>
  <c r="Y23" i="42"/>
  <c r="AA29" i="40"/>
  <c r="AA160" i="40"/>
  <c r="AA167" i="40"/>
  <c r="AA125" i="40"/>
  <c r="AA65" i="40"/>
  <c r="M125" i="43"/>
  <c r="Y137" i="42"/>
  <c r="AA184" i="40"/>
  <c r="Y196" i="42"/>
  <c r="M180" i="43"/>
  <c r="AA104" i="40"/>
  <c r="X21" i="42"/>
  <c r="AA116" i="40"/>
  <c r="AA58" i="40"/>
  <c r="AA100" i="40"/>
  <c r="Y87" i="42"/>
  <c r="AA74" i="40"/>
  <c r="X85" i="42"/>
  <c r="AA42" i="40"/>
  <c r="AA156" i="40"/>
  <c r="AA115" i="40"/>
  <c r="AA92" i="40"/>
  <c r="AA147" i="40"/>
  <c r="AA103" i="40"/>
  <c r="AA108" i="40"/>
  <c r="AA97" i="40"/>
  <c r="AA38" i="40"/>
  <c r="AA118" i="40"/>
  <c r="Y90" i="42"/>
  <c r="Q113" i="55"/>
  <c r="Q133" i="55"/>
  <c r="Q137" i="55"/>
  <c r="Q149" i="55"/>
  <c r="Q153" i="55"/>
  <c r="Q185" i="55"/>
  <c r="Q126" i="55"/>
  <c r="Q119" i="55"/>
  <c r="Q44" i="55"/>
  <c r="AA14" i="40"/>
  <c r="X155" i="42"/>
  <c r="AA163" i="40"/>
  <c r="AA13" i="40"/>
  <c r="AA120" i="40"/>
  <c r="AA135" i="40"/>
  <c r="AA119" i="40"/>
  <c r="AA193" i="40"/>
  <c r="AA113" i="40"/>
  <c r="AA158" i="40"/>
  <c r="AA50" i="40"/>
  <c r="AA15" i="40"/>
  <c r="AA101" i="40"/>
  <c r="AA114" i="40"/>
  <c r="AA173" i="40"/>
  <c r="AA94" i="40"/>
  <c r="AA146" i="40"/>
  <c r="X40" i="42"/>
  <c r="Y106" i="42"/>
  <c r="AA27" i="40"/>
  <c r="AA70" i="40"/>
  <c r="AA47" i="40"/>
  <c r="AA75" i="40"/>
  <c r="AA51" i="40"/>
  <c r="AA165" i="40"/>
  <c r="AA130" i="40"/>
  <c r="AA19" i="40"/>
  <c r="AA56" i="40"/>
  <c r="X189" i="42"/>
  <c r="AA83" i="40"/>
  <c r="AA121" i="40"/>
  <c r="AA132" i="40"/>
  <c r="AA89" i="40"/>
  <c r="AA180" i="40"/>
  <c r="AA64" i="40"/>
  <c r="AA84" i="40"/>
  <c r="AA162" i="40"/>
  <c r="AA62" i="40"/>
  <c r="AA187" i="40"/>
  <c r="AA82" i="40"/>
  <c r="AA73" i="40"/>
  <c r="AA35" i="40"/>
  <c r="AA60" i="40"/>
  <c r="AA186" i="40"/>
  <c r="AA53" i="40"/>
  <c r="AA170" i="40"/>
  <c r="AA36" i="40"/>
  <c r="X105" i="42"/>
  <c r="AA134" i="40"/>
  <c r="AA149" i="40"/>
  <c r="AA23" i="40"/>
  <c r="AA95" i="40"/>
  <c r="AA151" i="40"/>
  <c r="Y131" i="42"/>
  <c r="AA133" i="40"/>
  <c r="AA18" i="40"/>
  <c r="AA40" i="40"/>
  <c r="AA45" i="40"/>
  <c r="AA111" i="40"/>
  <c r="AA110" i="40"/>
  <c r="Y107" i="42"/>
  <c r="Y72" i="42"/>
  <c r="AA90" i="40"/>
  <c r="AA80" i="40"/>
  <c r="AA106" i="40"/>
  <c r="AA26" i="40"/>
  <c r="Y34" i="42"/>
  <c r="AA10" i="40"/>
  <c r="AA63" i="40"/>
  <c r="AA32" i="40"/>
  <c r="AA11" i="40"/>
  <c r="AA152" i="40"/>
  <c r="AA194" i="40"/>
  <c r="AA124" i="40"/>
  <c r="AA128" i="40"/>
  <c r="AA176" i="40"/>
  <c r="AA145" i="40"/>
  <c r="AA79" i="40"/>
  <c r="AA198" i="40"/>
  <c r="AA52" i="40"/>
  <c r="Y175" i="42"/>
  <c r="AA142" i="40"/>
  <c r="AA169" i="40"/>
  <c r="AA8" i="40"/>
  <c r="AA28" i="40"/>
  <c r="Y177" i="42"/>
  <c r="AA179" i="40"/>
  <c r="AA46" i="40"/>
  <c r="AA150" i="40"/>
  <c r="AA138" i="40"/>
  <c r="AA112" i="40"/>
  <c r="AA102" i="40"/>
  <c r="AA159" i="40"/>
  <c r="AA85" i="40"/>
  <c r="AA17" i="40"/>
  <c r="AA191" i="40"/>
  <c r="AA117" i="40"/>
  <c r="AA22" i="40"/>
  <c r="AA72" i="40"/>
  <c r="AA91" i="40"/>
  <c r="AA172" i="40"/>
  <c r="X70" i="42"/>
  <c r="AA189" i="40"/>
  <c r="AA177" i="40"/>
  <c r="AA87" i="40"/>
  <c r="Y109" i="42"/>
  <c r="AA181" i="40"/>
  <c r="M27" i="43"/>
  <c r="AA157" i="40"/>
  <c r="M104" i="43"/>
  <c r="P110" i="52"/>
  <c r="P80" i="52"/>
  <c r="P24" i="52"/>
  <c r="P127" i="52"/>
  <c r="P31" i="52"/>
  <c r="P38" i="52"/>
  <c r="P164" i="52"/>
  <c r="P61" i="52"/>
  <c r="P117" i="52"/>
  <c r="P190" i="52"/>
  <c r="P14" i="52"/>
  <c r="P183" i="52"/>
  <c r="P51" i="52"/>
  <c r="P25" i="52"/>
  <c r="P125" i="52"/>
  <c r="P174" i="52"/>
  <c r="P86" i="52"/>
  <c r="P162" i="52"/>
  <c r="P43" i="52"/>
  <c r="P194" i="52"/>
  <c r="P70" i="52"/>
  <c r="P47" i="52"/>
  <c r="P163" i="52"/>
  <c r="P147" i="52"/>
  <c r="P140" i="52"/>
  <c r="P170" i="52"/>
  <c r="P129" i="52"/>
  <c r="P104" i="52"/>
  <c r="P71" i="52"/>
  <c r="P151" i="52"/>
  <c r="P77" i="52"/>
  <c r="P144" i="52"/>
  <c r="P100" i="52"/>
  <c r="P85" i="52"/>
  <c r="P16" i="52"/>
  <c r="P13" i="52"/>
  <c r="P141" i="52"/>
  <c r="P166" i="52"/>
  <c r="P118" i="52"/>
  <c r="P45" i="52"/>
  <c r="P131" i="52"/>
  <c r="P107" i="52"/>
  <c r="P142" i="52"/>
  <c r="P156" i="52"/>
  <c r="P27" i="52"/>
  <c r="P30" i="52"/>
  <c r="P81" i="52"/>
  <c r="P186" i="52"/>
  <c r="P177" i="52"/>
  <c r="P114" i="52"/>
  <c r="P184" i="52"/>
  <c r="P113" i="52"/>
  <c r="P193" i="52"/>
  <c r="P136" i="52"/>
  <c r="P130" i="52"/>
  <c r="P54" i="52"/>
  <c r="P152" i="52"/>
  <c r="P124" i="52"/>
  <c r="P178" i="52"/>
  <c r="P88" i="52"/>
  <c r="P57" i="52"/>
  <c r="P65" i="52"/>
  <c r="P52" i="52"/>
  <c r="P35" i="52"/>
  <c r="P119" i="52"/>
  <c r="P143" i="52"/>
  <c r="P179" i="52"/>
  <c r="P185" i="52"/>
  <c r="P103" i="52"/>
  <c r="P11" i="52"/>
  <c r="P79" i="52"/>
  <c r="P60" i="52"/>
  <c r="P10" i="52"/>
  <c r="P157" i="52"/>
  <c r="P116" i="52"/>
  <c r="P133" i="52"/>
  <c r="P7" i="52"/>
  <c r="P41" i="52"/>
  <c r="P158" i="52"/>
  <c r="P187" i="52"/>
  <c r="P18" i="52"/>
  <c r="P69" i="52"/>
  <c r="P197" i="52"/>
  <c r="P188" i="52"/>
  <c r="P196" i="52"/>
  <c r="P74" i="52"/>
  <c r="P20" i="52"/>
  <c r="P168" i="52"/>
  <c r="P115" i="52"/>
  <c r="P161" i="52"/>
  <c r="P153" i="52"/>
  <c r="P28" i="52"/>
  <c r="P121" i="52"/>
  <c r="P9" i="52"/>
  <c r="P6" i="52"/>
  <c r="P36" i="52"/>
  <c r="P34" i="52"/>
  <c r="P165" i="52"/>
  <c r="P67" i="52"/>
  <c r="P96" i="52"/>
  <c r="P94" i="52"/>
  <c r="P106" i="52"/>
  <c r="P97" i="52"/>
  <c r="P53" i="52"/>
  <c r="P134" i="52"/>
  <c r="P149" i="52"/>
  <c r="P159" i="52"/>
  <c r="P192" i="52"/>
  <c r="P19" i="52"/>
  <c r="P42" i="52"/>
  <c r="P73" i="52"/>
  <c r="P83" i="52"/>
  <c r="P167" i="52"/>
  <c r="P126" i="52"/>
  <c r="P44" i="52"/>
  <c r="P120" i="52"/>
  <c r="P91" i="52"/>
  <c r="P72" i="52"/>
  <c r="P48" i="52"/>
  <c r="P62" i="52"/>
  <c r="P68" i="52"/>
  <c r="P95" i="52"/>
  <c r="P180" i="52"/>
  <c r="P169" i="52"/>
  <c r="P46" i="52"/>
  <c r="P102" i="52"/>
  <c r="P90" i="52"/>
  <c r="P92" i="52"/>
  <c r="P181" i="52"/>
  <c r="P172" i="52"/>
  <c r="P75" i="52"/>
  <c r="P99" i="52"/>
  <c r="P154" i="52"/>
  <c r="P29" i="52"/>
  <c r="P145" i="52"/>
  <c r="P123" i="52"/>
  <c r="P84" i="52"/>
  <c r="P175" i="52"/>
  <c r="P55" i="52"/>
  <c r="P82" i="52"/>
  <c r="P87" i="52"/>
  <c r="P40" i="52"/>
  <c r="P150" i="52"/>
  <c r="P64" i="52"/>
  <c r="P37" i="52"/>
  <c r="P137" i="52"/>
  <c r="P198" i="52"/>
  <c r="P176" i="52"/>
  <c r="P171" i="52"/>
  <c r="P155" i="52"/>
  <c r="P49" i="52"/>
  <c r="P76" i="52"/>
  <c r="P160" i="52"/>
  <c r="P8" i="52"/>
  <c r="P39" i="52"/>
  <c r="P191" i="52"/>
  <c r="P105" i="52"/>
  <c r="P111" i="52"/>
  <c r="P56" i="52"/>
  <c r="P112" i="52"/>
  <c r="P139" i="52"/>
  <c r="P15" i="52"/>
  <c r="P22" i="52"/>
  <c r="P138" i="52"/>
  <c r="P132" i="52"/>
  <c r="P108" i="52"/>
  <c r="P135" i="52"/>
  <c r="P63" i="52"/>
  <c r="P33" i="52"/>
  <c r="P109" i="52"/>
  <c r="P26" i="52"/>
  <c r="P93" i="52"/>
  <c r="P21" i="52"/>
  <c r="P195" i="52"/>
  <c r="P59" i="52"/>
  <c r="P146" i="52"/>
  <c r="P66" i="52"/>
  <c r="P58" i="52"/>
  <c r="P78" i="52"/>
  <c r="P23" i="52"/>
  <c r="P173" i="52"/>
  <c r="P12" i="52"/>
  <c r="P101" i="52"/>
  <c r="P89" i="52"/>
  <c r="P148" i="52"/>
  <c r="P182" i="52"/>
  <c r="P17" i="52"/>
  <c r="P122" i="52"/>
  <c r="P98" i="52"/>
  <c r="P32" i="52"/>
  <c r="P128" i="52"/>
  <c r="P189" i="52"/>
  <c r="P50" i="52"/>
  <c r="X44" i="42"/>
  <c r="Q46" i="56"/>
  <c r="Q35" i="56"/>
  <c r="Q43" i="56"/>
  <c r="Q51" i="56"/>
  <c r="Q59" i="56"/>
  <c r="Q79" i="56"/>
  <c r="Q83" i="56"/>
  <c r="Q95" i="56"/>
  <c r="Q107" i="56"/>
  <c r="Q92" i="56"/>
  <c r="Q96" i="56"/>
  <c r="Q31" i="56"/>
  <c r="Q67" i="56"/>
  <c r="Q115" i="56"/>
  <c r="Q48" i="56"/>
  <c r="Q60" i="56"/>
  <c r="Q76" i="56"/>
  <c r="Q108" i="56"/>
  <c r="Q112" i="56"/>
  <c r="Q49" i="56"/>
  <c r="Q53" i="56"/>
  <c r="Q65" i="56"/>
  <c r="Q81" i="56"/>
  <c r="Q85" i="56"/>
  <c r="Q42" i="56"/>
  <c r="Q66" i="56"/>
  <c r="Q82" i="56"/>
  <c r="Q98" i="56"/>
  <c r="Q62" i="56"/>
  <c r="Q8" i="56"/>
  <c r="Q12" i="56"/>
  <c r="Q16" i="56"/>
  <c r="Q20" i="56"/>
  <c r="Q24" i="56"/>
  <c r="Q28" i="56"/>
  <c r="Q39" i="56"/>
  <c r="Q55" i="56"/>
  <c r="Q75" i="56"/>
  <c r="Q103" i="56"/>
  <c r="Q57" i="56"/>
  <c r="Q69" i="56"/>
  <c r="Q6" i="56"/>
  <c r="Q14" i="56"/>
  <c r="Q22" i="56"/>
  <c r="Q26" i="56"/>
  <c r="Q10" i="56"/>
  <c r="Q18" i="56"/>
  <c r="Q122" i="56"/>
  <c r="Q130" i="56"/>
  <c r="Q134" i="56"/>
  <c r="Q110" i="56"/>
  <c r="Q111" i="56"/>
  <c r="Q36" i="56"/>
  <c r="Q73" i="56"/>
  <c r="Q101" i="56"/>
  <c r="Q160" i="56"/>
  <c r="Q168" i="56"/>
  <c r="Q176" i="56"/>
  <c r="Q125" i="56"/>
  <c r="Q129" i="56"/>
  <c r="Q141" i="56"/>
  <c r="Q145" i="56"/>
  <c r="Q157" i="56"/>
  <c r="Q54" i="56"/>
  <c r="Q61" i="56"/>
  <c r="Q86" i="56"/>
  <c r="Q93" i="56"/>
  <c r="Q120" i="56"/>
  <c r="Q170" i="56"/>
  <c r="Q198" i="56"/>
  <c r="Q123" i="56"/>
  <c r="Q127" i="56"/>
  <c r="Q131" i="56"/>
  <c r="Q135" i="56"/>
  <c r="Q139" i="56"/>
  <c r="Q143" i="56"/>
  <c r="Q147" i="56"/>
  <c r="Q151" i="56"/>
  <c r="Q155" i="56"/>
  <c r="Q159" i="56"/>
  <c r="Q167" i="56"/>
  <c r="Q175" i="56"/>
  <c r="Q183" i="56"/>
  <c r="Q7" i="56"/>
  <c r="Q23" i="56"/>
  <c r="Q47" i="56"/>
  <c r="Q63" i="56"/>
  <c r="Q71" i="56"/>
  <c r="Q91" i="56"/>
  <c r="Q116" i="56"/>
  <c r="Q89" i="56"/>
  <c r="Q97" i="56"/>
  <c r="Q138" i="56"/>
  <c r="Q118" i="56"/>
  <c r="Q94" i="56"/>
  <c r="Q184" i="56"/>
  <c r="Q192" i="56"/>
  <c r="Q32" i="56"/>
  <c r="Q56" i="56"/>
  <c r="Q72" i="56"/>
  <c r="Q88" i="56"/>
  <c r="Q104" i="56"/>
  <c r="Q121" i="56"/>
  <c r="Q193" i="56"/>
  <c r="Q99" i="56"/>
  <c r="Q33" i="56"/>
  <c r="Q124" i="56"/>
  <c r="Q140" i="56"/>
  <c r="Q156" i="56"/>
  <c r="Q188" i="56"/>
  <c r="Q58" i="56"/>
  <c r="Q169" i="56"/>
  <c r="Q87" i="56"/>
  <c r="Q105" i="56"/>
  <c r="Q78" i="56"/>
  <c r="Q64" i="56"/>
  <c r="Q80" i="56"/>
  <c r="Q50" i="56"/>
  <c r="Q132" i="56"/>
  <c r="Q148" i="56"/>
  <c r="Q172" i="56"/>
  <c r="Q40" i="56"/>
  <c r="Q128" i="56"/>
  <c r="Q136" i="56"/>
  <c r="Q144" i="56"/>
  <c r="Q152" i="56"/>
  <c r="Q164" i="56"/>
  <c r="Q17" i="56"/>
  <c r="Q52" i="56"/>
  <c r="Q70" i="56"/>
  <c r="Q84" i="56"/>
  <c r="Q102" i="56"/>
  <c r="Q117" i="56"/>
  <c r="Q182" i="56"/>
  <c r="Q163" i="56"/>
  <c r="Q171" i="56"/>
  <c r="Q179" i="56"/>
  <c r="Q15" i="56"/>
  <c r="Q41" i="56"/>
  <c r="Q38" i="56"/>
  <c r="Q180" i="56"/>
  <c r="Q196" i="56"/>
  <c r="Q34" i="56"/>
  <c r="Q74" i="56"/>
  <c r="Q106" i="56"/>
  <c r="Q114" i="56"/>
  <c r="Q13" i="56"/>
  <c r="Q29" i="56"/>
  <c r="Q161" i="56"/>
  <c r="Q181" i="56"/>
  <c r="Q37" i="56"/>
  <c r="Q158" i="56"/>
  <c r="Q150" i="56"/>
  <c r="Q174" i="56"/>
  <c r="Q178" i="56"/>
  <c r="Q68" i="56"/>
  <c r="Q100" i="56"/>
  <c r="Q109" i="56"/>
  <c r="Q162" i="56"/>
  <c r="Q166" i="56"/>
  <c r="Q187" i="56"/>
  <c r="Q191" i="56"/>
  <c r="Q11" i="56"/>
  <c r="Q90" i="56"/>
  <c r="Q5" i="56"/>
  <c r="Q165" i="56"/>
  <c r="Q146" i="56"/>
  <c r="Q154" i="56"/>
  <c r="Q9" i="56"/>
  <c r="Q25" i="56"/>
  <c r="Q173" i="56"/>
  <c r="Q189" i="56"/>
  <c r="Q45" i="56"/>
  <c r="Q77" i="56"/>
  <c r="Q194" i="56"/>
  <c r="Q186" i="56"/>
  <c r="Q19" i="56"/>
  <c r="Q21" i="56"/>
  <c r="Q177" i="56"/>
  <c r="Q197" i="56"/>
  <c r="Q30" i="56"/>
  <c r="Q142" i="56"/>
  <c r="Q190" i="56"/>
  <c r="Q27" i="56"/>
  <c r="Q195" i="56"/>
  <c r="Q117" i="54"/>
  <c r="Q106" i="54"/>
  <c r="Q74" i="54"/>
  <c r="Q80" i="54"/>
  <c r="Q144" i="54"/>
  <c r="Q162" i="54"/>
  <c r="Q174" i="54"/>
  <c r="Q121" i="54"/>
  <c r="Q99" i="54"/>
  <c r="Q115" i="54"/>
  <c r="Q118" i="54"/>
  <c r="Q184" i="54"/>
  <c r="Q161" i="54"/>
  <c r="Q189" i="54"/>
  <c r="Q6" i="54"/>
  <c r="Q8" i="54"/>
  <c r="Q10" i="54"/>
  <c r="Q11" i="54"/>
  <c r="Q12" i="54"/>
  <c r="Q13" i="54"/>
  <c r="Q14" i="54"/>
  <c r="Q15" i="54"/>
  <c r="Q16" i="54"/>
  <c r="Q17" i="54"/>
  <c r="Q19" i="54"/>
  <c r="Q21" i="54"/>
  <c r="Q22" i="54"/>
  <c r="Q26" i="54"/>
  <c r="Q29" i="54"/>
  <c r="Q30" i="54"/>
  <c r="Q35" i="54"/>
  <c r="Q40" i="54"/>
  <c r="Q47" i="54"/>
  <c r="Q48" i="54"/>
  <c r="Q49" i="54"/>
  <c r="Q50" i="54"/>
  <c r="Q53" i="54"/>
  <c r="Q59" i="54"/>
  <c r="Q62" i="54"/>
  <c r="Q65" i="54"/>
  <c r="Q66" i="54"/>
  <c r="Q69" i="54"/>
  <c r="Q70" i="54"/>
  <c r="Q72" i="54"/>
  <c r="Q73" i="54"/>
  <c r="Q87" i="54"/>
  <c r="Q89" i="54"/>
  <c r="Q188" i="54"/>
  <c r="Q112" i="54"/>
  <c r="Q158" i="54"/>
  <c r="Q190" i="54"/>
  <c r="Q151" i="54"/>
  <c r="Q191" i="54"/>
  <c r="Q77" i="54"/>
  <c r="Q85" i="54"/>
  <c r="Q109" i="54"/>
  <c r="Q141" i="54"/>
  <c r="Q43" i="54"/>
  <c r="Q51" i="54"/>
  <c r="Q63" i="54"/>
  <c r="Q67" i="54"/>
  <c r="Q71" i="54"/>
  <c r="Q75" i="54"/>
  <c r="Q83" i="54"/>
  <c r="Q107" i="54"/>
  <c r="Q111" i="54"/>
  <c r="Q123" i="54"/>
  <c r="Q127" i="54"/>
  <c r="Q131" i="54"/>
  <c r="Q159" i="54"/>
  <c r="Q163" i="54"/>
  <c r="Q171" i="54"/>
  <c r="Q175" i="54"/>
  <c r="Q179" i="54"/>
  <c r="Q76" i="54"/>
  <c r="Q9" i="54"/>
  <c r="Q23" i="54"/>
  <c r="Q198" i="54"/>
  <c r="Q195" i="54"/>
  <c r="Q134" i="54"/>
  <c r="Q172" i="54"/>
  <c r="Q128" i="54"/>
  <c r="Q157" i="54"/>
  <c r="Q181" i="54"/>
  <c r="Q79" i="54"/>
  <c r="Q81" i="54"/>
  <c r="Q97" i="54"/>
  <c r="Q180" i="54"/>
  <c r="Q150" i="54"/>
  <c r="Q170" i="54"/>
  <c r="Q104" i="54"/>
  <c r="Q143" i="54"/>
  <c r="Q187" i="54"/>
  <c r="Q129" i="54"/>
  <c r="Q7" i="54"/>
  <c r="Q20" i="54"/>
  <c r="Q24" i="54"/>
  <c r="Q25" i="54"/>
  <c r="Q27" i="54"/>
  <c r="Q28" i="54"/>
  <c r="Q36" i="54"/>
  <c r="Q39" i="54"/>
  <c r="Q41" i="54"/>
  <c r="Q45" i="54"/>
  <c r="Q55" i="54"/>
  <c r="Q56" i="54"/>
  <c r="Q57" i="54"/>
  <c r="Q58" i="54"/>
  <c r="Q33" i="54"/>
  <c r="Q61" i="54"/>
  <c r="Q93" i="54"/>
  <c r="Q101" i="54"/>
  <c r="Q125" i="54"/>
  <c r="Q165" i="54"/>
  <c r="Q169" i="54"/>
  <c r="Q193" i="54"/>
  <c r="Q197" i="54"/>
  <c r="Q34" i="54"/>
  <c r="Q38" i="54"/>
  <c r="Q42" i="54"/>
  <c r="Q46" i="54"/>
  <c r="Q54" i="54"/>
  <c r="Q82" i="54"/>
  <c r="Q90" i="54"/>
  <c r="Q94" i="54"/>
  <c r="Q98" i="54"/>
  <c r="Q102" i="54"/>
  <c r="Q114" i="54"/>
  <c r="Q122" i="54"/>
  <c r="Q142" i="54"/>
  <c r="Q154" i="54"/>
  <c r="Q178" i="54"/>
  <c r="Q182" i="54"/>
  <c r="Q186" i="54"/>
  <c r="Q37" i="54"/>
  <c r="Q139" i="54"/>
  <c r="Q32" i="54"/>
  <c r="Q52" i="54"/>
  <c r="Q60" i="54"/>
  <c r="Q64" i="54"/>
  <c r="Q68" i="54"/>
  <c r="Q108" i="54"/>
  <c r="Q124" i="54"/>
  <c r="Q132" i="54"/>
  <c r="Q136" i="54"/>
  <c r="Q148" i="54"/>
  <c r="Q156" i="54"/>
  <c r="Q164" i="54"/>
  <c r="Q168" i="54"/>
  <c r="Q196" i="54"/>
  <c r="Q5" i="54"/>
  <c r="Q18" i="54"/>
  <c r="Q31" i="54"/>
  <c r="Q173" i="54"/>
  <c r="Q194" i="54"/>
  <c r="Q155" i="54"/>
  <c r="Q78" i="54"/>
  <c r="Q91" i="54"/>
  <c r="Q103" i="54"/>
  <c r="Q147" i="54"/>
  <c r="Q167" i="54"/>
  <c r="Q110" i="54"/>
  <c r="Q130" i="54"/>
  <c r="Q146" i="54"/>
  <c r="Q96" i="54"/>
  <c r="Q105" i="54"/>
  <c r="Q86" i="54"/>
  <c r="Q138" i="54"/>
  <c r="Q140" i="54"/>
  <c r="Q145" i="54"/>
  <c r="Q177" i="54"/>
  <c r="Q88" i="54"/>
  <c r="Q95" i="54"/>
  <c r="Q160" i="54"/>
  <c r="Q166" i="54"/>
  <c r="Q183" i="54"/>
  <c r="Q135" i="54"/>
  <c r="Q84" i="54"/>
  <c r="Q92" i="54"/>
  <c r="Q100" i="54"/>
  <c r="Q116" i="54"/>
  <c r="Q120" i="54"/>
  <c r="Q152" i="54"/>
  <c r="Q176" i="54"/>
  <c r="Q192" i="54"/>
  <c r="Q10" i="55"/>
  <c r="Q26" i="55"/>
  <c r="Q33" i="55"/>
  <c r="Q101" i="55"/>
  <c r="Q117" i="55"/>
  <c r="Q145" i="55"/>
  <c r="Q169" i="55"/>
  <c r="Q18" i="55"/>
  <c r="Q69" i="55"/>
  <c r="Q97" i="55"/>
  <c r="Q121" i="55"/>
  <c r="Q141" i="55"/>
  <c r="Q165" i="55"/>
  <c r="Q181" i="55"/>
  <c r="Q197" i="55"/>
  <c r="Q19" i="55"/>
  <c r="Q25" i="55"/>
  <c r="Q65" i="55"/>
  <c r="Q46" i="55"/>
  <c r="Q62" i="55"/>
  <c r="Q14" i="55"/>
  <c r="Q35" i="55"/>
  <c r="Q43" i="55"/>
  <c r="Q51" i="55"/>
  <c r="Q59" i="55"/>
  <c r="Q67" i="55"/>
  <c r="Q75" i="55"/>
  <c r="Q125" i="55"/>
  <c r="Q157" i="55"/>
  <c r="Q173" i="55"/>
  <c r="Q9" i="55"/>
  <c r="Q17" i="55"/>
  <c r="Q41" i="55"/>
  <c r="Q82" i="55"/>
  <c r="Q98" i="55"/>
  <c r="Q114" i="55"/>
  <c r="Q122" i="55"/>
  <c r="Q134" i="55"/>
  <c r="Q150" i="55"/>
  <c r="Q166" i="55"/>
  <c r="Q182" i="55"/>
  <c r="Q198" i="55"/>
  <c r="Q6" i="55"/>
  <c r="Q37" i="55"/>
  <c r="Q61" i="55"/>
  <c r="Q54" i="55"/>
  <c r="Q63" i="55"/>
  <c r="Q87" i="55"/>
  <c r="Q107" i="55"/>
  <c r="Q123" i="55"/>
  <c r="Q143" i="55"/>
  <c r="Q155" i="55"/>
  <c r="Q171" i="55"/>
  <c r="Q179" i="55"/>
  <c r="Q187" i="55"/>
  <c r="Q5" i="55"/>
  <c r="Q100" i="55"/>
  <c r="Q124" i="55"/>
  <c r="Q144" i="55"/>
  <c r="Q172" i="55"/>
  <c r="Q180" i="55"/>
  <c r="Q8" i="55"/>
  <c r="Q20" i="55"/>
  <c r="Q32" i="55"/>
  <c r="Q48" i="55"/>
  <c r="Q60" i="55"/>
  <c r="Q72" i="55"/>
  <c r="Q88" i="55"/>
  <c r="Q112" i="55"/>
  <c r="Q156" i="55"/>
  <c r="Q93" i="55"/>
  <c r="Q193" i="55"/>
  <c r="Q42" i="55"/>
  <c r="Q74" i="55"/>
  <c r="Q86" i="55"/>
  <c r="Q102" i="55"/>
  <c r="Q118" i="55"/>
  <c r="Q138" i="55"/>
  <c r="Q154" i="55"/>
  <c r="Q170" i="55"/>
  <c r="Q186" i="55"/>
  <c r="Q194" i="55"/>
  <c r="Q22" i="55"/>
  <c r="Q30" i="55"/>
  <c r="Q49" i="55"/>
  <c r="Q77" i="55"/>
  <c r="Q34" i="55"/>
  <c r="Q66" i="55"/>
  <c r="Q31" i="55"/>
  <c r="Q39" i="55"/>
  <c r="Q71" i="55"/>
  <c r="Q83" i="55"/>
  <c r="Q95" i="55"/>
  <c r="Q115" i="55"/>
  <c r="Q131" i="55"/>
  <c r="Q151" i="55"/>
  <c r="Q163" i="55"/>
  <c r="Q191" i="55"/>
  <c r="Q195" i="55"/>
  <c r="Q23" i="55"/>
  <c r="Q29" i="55"/>
  <c r="Q64" i="55"/>
  <c r="Q104" i="55"/>
  <c r="Q184" i="55"/>
  <c r="Q24" i="55"/>
  <c r="Q52" i="55"/>
  <c r="Q76" i="55"/>
  <c r="Q128" i="55"/>
  <c r="Q140" i="55"/>
  <c r="Q160" i="55"/>
  <c r="Q196" i="55"/>
  <c r="Q53" i="55"/>
  <c r="Q129" i="55"/>
  <c r="Q161" i="55"/>
  <c r="Q177" i="55"/>
  <c r="Q189" i="55"/>
  <c r="Q58" i="55"/>
  <c r="Q78" i="55"/>
  <c r="Q110" i="55"/>
  <c r="Q146" i="55"/>
  <c r="Q178" i="55"/>
  <c r="Q50" i="55"/>
  <c r="Q55" i="55"/>
  <c r="Q99" i="55"/>
  <c r="Q111" i="55"/>
  <c r="Q167" i="55"/>
  <c r="Q183" i="55"/>
  <c r="Q40" i="55"/>
  <c r="Q56" i="55"/>
  <c r="Q80" i="55"/>
  <c r="Q108" i="55"/>
  <c r="Q57" i="55"/>
  <c r="Q81" i="55"/>
  <c r="Q109" i="55"/>
  <c r="Q89" i="55"/>
  <c r="Q90" i="55"/>
  <c r="Q158" i="55"/>
  <c r="Q190" i="55"/>
  <c r="Q70" i="55"/>
  <c r="Q127" i="55"/>
  <c r="Q139" i="55"/>
  <c r="Q7" i="55"/>
  <c r="Q13" i="55"/>
  <c r="Q176" i="55"/>
  <c r="Q28" i="55"/>
  <c r="Q84" i="55"/>
  <c r="Q132" i="55"/>
  <c r="Q164" i="55"/>
  <c r="Q27" i="55"/>
  <c r="Q94" i="55"/>
  <c r="Q162" i="55"/>
  <c r="Q38" i="55"/>
  <c r="Q47" i="55"/>
  <c r="Q91" i="55"/>
  <c r="Q103" i="55"/>
  <c r="Q36" i="55"/>
  <c r="Q136" i="55"/>
  <c r="Q96" i="55"/>
  <c r="Q148" i="55"/>
  <c r="Q142" i="55"/>
  <c r="Q79" i="55"/>
  <c r="Q21" i="55"/>
  <c r="Q152" i="55"/>
  <c r="Q12" i="55"/>
  <c r="Q116" i="55"/>
  <c r="Q188" i="55"/>
  <c r="Q45" i="55"/>
  <c r="Q130" i="55"/>
  <c r="Q85" i="55"/>
  <c r="Q159" i="55"/>
  <c r="Q168" i="55"/>
  <c r="Q16" i="55"/>
  <c r="Q68" i="55"/>
  <c r="Q192" i="55"/>
  <c r="Q106" i="55"/>
  <c r="Q147" i="55"/>
  <c r="Q11" i="55"/>
  <c r="Q15" i="55"/>
  <c r="Q175" i="55"/>
  <c r="Q73" i="55"/>
  <c r="Q174" i="55"/>
  <c r="Q135" i="55"/>
  <c r="Q120" i="55"/>
  <c r="Q105" i="55"/>
  <c r="Q92" i="55"/>
  <c r="M70" i="43"/>
  <c r="N49" i="43"/>
  <c r="M131" i="43"/>
  <c r="N36" i="43"/>
  <c r="M21" i="43"/>
  <c r="M46" i="43"/>
  <c r="N6" i="43"/>
  <c r="M20" i="43"/>
  <c r="M146" i="43"/>
  <c r="N43" i="43"/>
  <c r="M11" i="43"/>
  <c r="M152" i="43"/>
  <c r="M188" i="43"/>
  <c r="M55" i="43"/>
  <c r="M170" i="43"/>
  <c r="M76" i="43"/>
  <c r="M34" i="43"/>
  <c r="M61" i="43"/>
  <c r="N58" i="43"/>
  <c r="M110" i="43"/>
  <c r="M42" i="43"/>
  <c r="N75" i="43"/>
  <c r="M147" i="43"/>
  <c r="M112" i="43"/>
  <c r="N191" i="43"/>
  <c r="M101" i="43"/>
  <c r="N117" i="43"/>
  <c r="M53" i="43"/>
  <c r="M89" i="43"/>
  <c r="N128" i="43"/>
  <c r="N108" i="43"/>
  <c r="N109" i="43"/>
  <c r="M105" i="43"/>
  <c r="N85" i="43"/>
  <c r="M106" i="43"/>
  <c r="N138" i="43"/>
  <c r="N40" i="43"/>
  <c r="N160" i="43"/>
  <c r="M158" i="43"/>
  <c r="M25" i="43"/>
  <c r="M37" i="43"/>
  <c r="M150" i="43"/>
  <c r="M139" i="43"/>
  <c r="M189" i="43"/>
  <c r="M157" i="43"/>
  <c r="M148" i="43"/>
  <c r="M127" i="43"/>
  <c r="N192" i="43"/>
  <c r="M121" i="43"/>
  <c r="N130" i="43"/>
  <c r="M31" i="43"/>
  <c r="M174" i="43"/>
  <c r="M10" i="43"/>
  <c r="M194" i="43"/>
  <c r="M124" i="43"/>
  <c r="N169" i="43"/>
  <c r="M178" i="43"/>
  <c r="M122" i="43"/>
  <c r="N78" i="43"/>
  <c r="N22" i="43"/>
  <c r="N177" i="43"/>
  <c r="M39" i="43"/>
  <c r="N54" i="43"/>
  <c r="M183" i="43"/>
  <c r="N17" i="43"/>
  <c r="M164" i="43"/>
  <c r="M81" i="43"/>
  <c r="N23" i="43"/>
  <c r="M33" i="43"/>
  <c r="M47" i="43"/>
  <c r="M140" i="43"/>
  <c r="M118" i="43"/>
  <c r="N8" i="43"/>
  <c r="N163" i="43"/>
  <c r="N182" i="43"/>
  <c r="N67" i="43"/>
  <c r="M120" i="43"/>
  <c r="N187" i="43"/>
  <c r="M50" i="43"/>
  <c r="M179" i="43"/>
  <c r="N88" i="43"/>
  <c r="M94" i="43"/>
  <c r="M98" i="43"/>
  <c r="M66" i="43"/>
  <c r="M29" i="43"/>
  <c r="M166" i="43"/>
  <c r="M69" i="43"/>
  <c r="M15" i="43"/>
  <c r="N86" i="43"/>
  <c r="N171" i="43"/>
  <c r="N9" i="43"/>
  <c r="M102" i="43"/>
  <c r="N173" i="43"/>
  <c r="N65" i="43"/>
  <c r="N93" i="43"/>
  <c r="M45" i="43"/>
  <c r="M99" i="43"/>
  <c r="M71" i="43"/>
  <c r="N195" i="43"/>
  <c r="M7" i="43"/>
  <c r="N176" i="43"/>
  <c r="M197" i="43"/>
  <c r="M91" i="43"/>
  <c r="M64" i="43"/>
  <c r="N19" i="43"/>
  <c r="N73" i="43"/>
  <c r="N41" i="43"/>
  <c r="M80" i="43"/>
  <c r="N48" i="43"/>
  <c r="N32" i="43"/>
  <c r="M155" i="43"/>
  <c r="M141" i="43"/>
  <c r="N100" i="43"/>
  <c r="M114" i="43"/>
  <c r="M107" i="43"/>
  <c r="M161" i="43"/>
  <c r="M154" i="43"/>
  <c r="M116" i="43"/>
  <c r="M24" i="43"/>
  <c r="N14" i="43"/>
  <c r="M26" i="43"/>
  <c r="M162" i="43"/>
  <c r="M181" i="43"/>
  <c r="N16" i="43"/>
  <c r="M77" i="43"/>
  <c r="M84" i="43"/>
  <c r="M87" i="43"/>
  <c r="M168" i="43"/>
  <c r="M172" i="43"/>
  <c r="M198" i="43"/>
  <c r="N62" i="43"/>
  <c r="M156" i="43"/>
  <c r="M159" i="43"/>
  <c r="N184" i="43"/>
  <c r="M103" i="43"/>
  <c r="M60" i="43"/>
  <c r="N56" i="43"/>
  <c r="M68" i="43"/>
  <c r="M144" i="43"/>
  <c r="N79" i="43"/>
  <c r="N196" i="43"/>
  <c r="M111" i="43"/>
  <c r="N135" i="43"/>
  <c r="M12" i="43"/>
  <c r="M134" i="43"/>
  <c r="M129" i="43"/>
  <c r="M115" i="43"/>
  <c r="M167" i="43"/>
  <c r="N74" i="43"/>
  <c r="M72" i="43"/>
  <c r="M143" i="43"/>
  <c r="N97" i="43"/>
  <c r="N92" i="43"/>
  <c r="N57" i="43"/>
  <c r="M193" i="43"/>
  <c r="M13" i="43"/>
  <c r="N51" i="43"/>
  <c r="N151" i="43"/>
  <c r="M145" i="43"/>
  <c r="M59" i="43"/>
  <c r="M30" i="43"/>
  <c r="N35" i="43"/>
  <c r="M95" i="43"/>
  <c r="M90" i="43"/>
  <c r="P5" i="52"/>
  <c r="P4" i="45"/>
  <c r="AA24" i="2"/>
  <c r="Z24" i="2"/>
  <c r="Y24" i="2"/>
  <c r="AA22" i="2"/>
  <c r="Z22" i="2"/>
  <c r="Y22" i="2"/>
  <c r="AA21" i="2"/>
  <c r="Z21" i="2"/>
  <c r="Y21" i="2"/>
  <c r="AA20" i="2"/>
  <c r="Z20" i="2"/>
  <c r="Y20" i="2"/>
  <c r="AA19" i="2"/>
  <c r="Z19" i="2"/>
  <c r="Y19" i="2"/>
  <c r="AA18" i="2"/>
  <c r="Z18" i="2"/>
  <c r="Y18" i="2"/>
  <c r="AA17" i="2"/>
  <c r="Z17" i="2"/>
  <c r="Y17" i="2"/>
  <c r="AA16" i="2"/>
  <c r="Z16" i="2"/>
  <c r="Y16" i="2"/>
  <c r="AA15" i="2"/>
  <c r="Z15" i="2"/>
  <c r="Y15" i="2"/>
  <c r="AA14" i="2"/>
  <c r="Z14" i="2"/>
  <c r="Y14" i="2"/>
  <c r="AA13" i="2"/>
  <c r="Z13" i="2"/>
  <c r="Y13" i="2"/>
  <c r="AA12" i="2"/>
  <c r="Z12" i="2"/>
  <c r="AA11" i="2"/>
  <c r="Z11" i="2"/>
  <c r="AA9" i="2"/>
  <c r="AA23" i="2" s="1"/>
  <c r="Z9" i="2"/>
  <c r="Z23" i="2" s="1"/>
  <c r="Y23" i="2"/>
  <c r="R6" i="40" l="1"/>
  <c r="R33" i="40"/>
  <c r="R9" i="40"/>
  <c r="R5" i="40"/>
  <c r="R7" i="40"/>
  <c r="Y176" i="42"/>
  <c r="Y147" i="42"/>
  <c r="Y160" i="42"/>
  <c r="Y28" i="42"/>
  <c r="Y188" i="42"/>
  <c r="Y33" i="42"/>
  <c r="Y180" i="42"/>
  <c r="Y164" i="42"/>
  <c r="Y92" i="42"/>
  <c r="Y22" i="42"/>
  <c r="Y98" i="42"/>
  <c r="Y134" i="42"/>
  <c r="Y45" i="42"/>
  <c r="Y198" i="42"/>
  <c r="Y108" i="42"/>
  <c r="Y6" i="42"/>
  <c r="Y167" i="42"/>
  <c r="Y60" i="42"/>
  <c r="Y123" i="42"/>
  <c r="Y110" i="42"/>
  <c r="Y101" i="42"/>
  <c r="Y50" i="42"/>
  <c r="Y127" i="42"/>
  <c r="Y122" i="42"/>
  <c r="Y75" i="42"/>
  <c r="Y187" i="42"/>
  <c r="Y135" i="42"/>
  <c r="Y17" i="42"/>
  <c r="Y7" i="42"/>
  <c r="Y58" i="42"/>
  <c r="Y43" i="42"/>
  <c r="Y79" i="42"/>
  <c r="Y174" i="42"/>
  <c r="Y68" i="42"/>
  <c r="Y144" i="42"/>
  <c r="Y15" i="42"/>
  <c r="Y89" i="42"/>
  <c r="Y171" i="42"/>
  <c r="Y16" i="42"/>
  <c r="Y140" i="42"/>
  <c r="Y20" i="42"/>
  <c r="Y96" i="42"/>
  <c r="Y197" i="42"/>
  <c r="Y151" i="42"/>
  <c r="Y115" i="42"/>
  <c r="Y29" i="42"/>
  <c r="Y112" i="42"/>
  <c r="Y118" i="42"/>
  <c r="Y153" i="42"/>
  <c r="Y38" i="42"/>
  <c r="Y126" i="42"/>
  <c r="Y19" i="42"/>
  <c r="Y104" i="42"/>
  <c r="Y120" i="42"/>
  <c r="Y193" i="42"/>
  <c r="Y141" i="42"/>
  <c r="Y42" i="42"/>
  <c r="Y178" i="42"/>
  <c r="Y97" i="42"/>
  <c r="Y54" i="42"/>
  <c r="Y95" i="42"/>
  <c r="Y76" i="42"/>
  <c r="Y64" i="42"/>
  <c r="Y12" i="42"/>
  <c r="Y39" i="42"/>
  <c r="Y48" i="42"/>
  <c r="Y161" i="42"/>
  <c r="Y35" i="42"/>
  <c r="Y37" i="42"/>
  <c r="Y26" i="42"/>
  <c r="Y185" i="42"/>
  <c r="Y18" i="42"/>
  <c r="Y5" i="42"/>
  <c r="Y162" i="42"/>
  <c r="Y25" i="42"/>
  <c r="Y36" i="42"/>
  <c r="Y152" i="42"/>
  <c r="Y9" i="42"/>
  <c r="Y103" i="42"/>
  <c r="Y184" i="42"/>
  <c r="Y194" i="42"/>
  <c r="Y149" i="42"/>
  <c r="Y46" i="42"/>
  <c r="Y181" i="42"/>
  <c r="Y47" i="42"/>
  <c r="Y186" i="42"/>
  <c r="Y73" i="42"/>
  <c r="Y150" i="42"/>
  <c r="Y139" i="42"/>
  <c r="Y10" i="42"/>
  <c r="Y119" i="42"/>
  <c r="Y52" i="42"/>
  <c r="Y136" i="42"/>
  <c r="Y163" i="42"/>
  <c r="Y128" i="42"/>
  <c r="Y84" i="42"/>
  <c r="Y166" i="42"/>
  <c r="Y146" i="42"/>
  <c r="Y125" i="42"/>
  <c r="Y170" i="42"/>
  <c r="Y71" i="42"/>
  <c r="Y78" i="42"/>
  <c r="Y57" i="42"/>
  <c r="Y93" i="42"/>
  <c r="Y74" i="42"/>
  <c r="Y138" i="42"/>
  <c r="Y156" i="42"/>
  <c r="Y94" i="42"/>
  <c r="Y53" i="42"/>
  <c r="Y27" i="42"/>
  <c r="Y154" i="42"/>
  <c r="Y143" i="42"/>
  <c r="Y182" i="42"/>
  <c r="Y67" i="42"/>
  <c r="Y148" i="42"/>
  <c r="Y132" i="42"/>
  <c r="Y117" i="42"/>
  <c r="Y41" i="42"/>
  <c r="Y63" i="42"/>
  <c r="Y49" i="42"/>
  <c r="Y8" i="42"/>
  <c r="Y113" i="42"/>
  <c r="Y145" i="42"/>
  <c r="Y62" i="42"/>
  <c r="Y172" i="42"/>
  <c r="Y81" i="42"/>
  <c r="Y192" i="42"/>
  <c r="Y116" i="42"/>
  <c r="Y65" i="42"/>
  <c r="Y83" i="42"/>
  <c r="Y191" i="42"/>
  <c r="Y130" i="42"/>
  <c r="Y51" i="42"/>
  <c r="Y11" i="42"/>
  <c r="Y61" i="42"/>
  <c r="Y114" i="42"/>
  <c r="Y124" i="42"/>
  <c r="Y82" i="42"/>
  <c r="Y24" i="42"/>
  <c r="Y121" i="42"/>
  <c r="Y31" i="42"/>
  <c r="Y159" i="42"/>
  <c r="Y77" i="42"/>
  <c r="Y111" i="42"/>
  <c r="Y91" i="42"/>
  <c r="Y158" i="42"/>
  <c r="Y179" i="42"/>
  <c r="Y32" i="42"/>
  <c r="Y100" i="42"/>
  <c r="Y80" i="42"/>
  <c r="Y30" i="42"/>
  <c r="Y157" i="42"/>
  <c r="Y55" i="42"/>
  <c r="Y69" i="42"/>
  <c r="Y56" i="42"/>
  <c r="Y59" i="42"/>
  <c r="Y99" i="42"/>
  <c r="Y169" i="42"/>
  <c r="Y168" i="42"/>
  <c r="Y195" i="42"/>
  <c r="Y133" i="42"/>
  <c r="Y70" i="42"/>
  <c r="Y189" i="42"/>
  <c r="Z87" i="42"/>
  <c r="Y21" i="42"/>
  <c r="Z196" i="42"/>
  <c r="Y183" i="42"/>
  <c r="Z129" i="42"/>
  <c r="Z102" i="42"/>
  <c r="Z177" i="42"/>
  <c r="Z175" i="42"/>
  <c r="Z34" i="42"/>
  <c r="Z107" i="42"/>
  <c r="Y105" i="42"/>
  <c r="Y40" i="42"/>
  <c r="Z90" i="42"/>
  <c r="Y66" i="42"/>
  <c r="Y86" i="42"/>
  <c r="Y190" i="42"/>
  <c r="Y165" i="42"/>
  <c r="Y14" i="42"/>
  <c r="Z72" i="42"/>
  <c r="Z106" i="42"/>
  <c r="Y155" i="42"/>
  <c r="N180" i="43"/>
  <c r="Z137" i="42"/>
  <c r="Y142" i="42"/>
  <c r="Y173" i="42"/>
  <c r="N104" i="43"/>
  <c r="N27" i="43"/>
  <c r="Z109" i="42"/>
  <c r="Z131" i="42"/>
  <c r="Y85" i="42"/>
  <c r="N125" i="43"/>
  <c r="Z23" i="42"/>
  <c r="Y88" i="42"/>
  <c r="Z13" i="42"/>
  <c r="N96" i="43"/>
  <c r="Y44" i="42"/>
  <c r="O92" i="43"/>
  <c r="O97" i="43"/>
  <c r="N167" i="43"/>
  <c r="N12" i="43"/>
  <c r="O135" i="43"/>
  <c r="O196" i="43"/>
  <c r="N144" i="43"/>
  <c r="O184" i="43"/>
  <c r="N162" i="43"/>
  <c r="N107" i="43"/>
  <c r="O100" i="43"/>
  <c r="N197" i="43"/>
  <c r="O176" i="43"/>
  <c r="N166" i="43"/>
  <c r="N29" i="43"/>
  <c r="N50" i="43"/>
  <c r="N118" i="43"/>
  <c r="N33" i="43"/>
  <c r="N124" i="43"/>
  <c r="N194" i="43"/>
  <c r="N31" i="43"/>
  <c r="O130" i="43"/>
  <c r="N127" i="43"/>
  <c r="N139" i="43"/>
  <c r="O160" i="43"/>
  <c r="O138" i="43"/>
  <c r="N89" i="43"/>
  <c r="N76" i="43"/>
  <c r="N20" i="43"/>
  <c r="N68" i="43"/>
  <c r="N172" i="43"/>
  <c r="N26" i="43"/>
  <c r="N24" i="43"/>
  <c r="O93" i="43"/>
  <c r="N102" i="43"/>
  <c r="N66" i="43"/>
  <c r="N164" i="43"/>
  <c r="N39" i="43"/>
  <c r="O22" i="43"/>
  <c r="N122" i="43"/>
  <c r="N178" i="43"/>
  <c r="N37" i="43"/>
  <c r="O128" i="43"/>
  <c r="O117" i="43"/>
  <c r="N101" i="43"/>
  <c r="O191" i="43"/>
  <c r="O75" i="43"/>
  <c r="N110" i="43"/>
  <c r="N61" i="43"/>
  <c r="N55" i="43"/>
  <c r="N11" i="43"/>
  <c r="O36" i="43"/>
  <c r="O49" i="43"/>
  <c r="O35" i="43"/>
  <c r="N145" i="43"/>
  <c r="O51" i="43"/>
  <c r="N143" i="43"/>
  <c r="O74" i="43"/>
  <c r="N115" i="43"/>
  <c r="N111" i="43"/>
  <c r="O79" i="43"/>
  <c r="O56" i="43"/>
  <c r="N103" i="43"/>
  <c r="N159" i="43"/>
  <c r="O62" i="43"/>
  <c r="O16" i="43"/>
  <c r="N114" i="43"/>
  <c r="N141" i="43"/>
  <c r="N80" i="43"/>
  <c r="O41" i="43"/>
  <c r="O73" i="43"/>
  <c r="N64" i="43"/>
  <c r="N15" i="43"/>
  <c r="N94" i="43"/>
  <c r="N179" i="43"/>
  <c r="O187" i="43"/>
  <c r="N120" i="43"/>
  <c r="O8" i="43"/>
  <c r="N140" i="43"/>
  <c r="O23" i="43"/>
  <c r="N81" i="43"/>
  <c r="N183" i="43"/>
  <c r="O54" i="43"/>
  <c r="O169" i="43"/>
  <c r="N174" i="43"/>
  <c r="O192" i="43"/>
  <c r="N148" i="43"/>
  <c r="N189" i="43"/>
  <c r="N150" i="43"/>
  <c r="O40" i="43"/>
  <c r="N106" i="43"/>
  <c r="O109" i="43"/>
  <c r="N170" i="43"/>
  <c r="N152" i="43"/>
  <c r="O43" i="43"/>
  <c r="N146" i="43"/>
  <c r="N21" i="43"/>
  <c r="N95" i="43"/>
  <c r="N59" i="43"/>
  <c r="O57" i="43"/>
  <c r="N198" i="43"/>
  <c r="N168" i="43"/>
  <c r="N84" i="43"/>
  <c r="N77" i="43"/>
  <c r="N181" i="43"/>
  <c r="O14" i="43"/>
  <c r="N154" i="43"/>
  <c r="N155" i="43"/>
  <c r="O32" i="43"/>
  <c r="N71" i="43"/>
  <c r="N99" i="43"/>
  <c r="N45" i="43"/>
  <c r="O65" i="43"/>
  <c r="O171" i="43"/>
  <c r="N69" i="43"/>
  <c r="O67" i="43"/>
  <c r="O182" i="43"/>
  <c r="O177" i="43"/>
  <c r="N121" i="43"/>
  <c r="N25" i="43"/>
  <c r="N158" i="43"/>
  <c r="O85" i="43"/>
  <c r="N53" i="43"/>
  <c r="N112" i="43"/>
  <c r="N147" i="43"/>
  <c r="N42" i="43"/>
  <c r="O58" i="43"/>
  <c r="N34" i="43"/>
  <c r="N188" i="43"/>
  <c r="O6" i="43"/>
  <c r="N46" i="43"/>
  <c r="N131" i="43"/>
  <c r="N70" i="43"/>
  <c r="N30" i="43"/>
  <c r="N13" i="43"/>
  <c r="N72" i="43"/>
  <c r="N134" i="43"/>
  <c r="N60" i="43"/>
  <c r="N116" i="43"/>
  <c r="O19" i="43"/>
  <c r="N91" i="43"/>
  <c r="O9" i="43"/>
  <c r="O86" i="43"/>
  <c r="N98" i="43"/>
  <c r="O88" i="43"/>
  <c r="O163" i="43"/>
  <c r="N47" i="43"/>
  <c r="O17" i="43"/>
  <c r="O78" i="43"/>
  <c r="N10" i="43"/>
  <c r="N157" i="43"/>
  <c r="N105" i="43"/>
  <c r="O108" i="43"/>
  <c r="N90" i="43"/>
  <c r="O151" i="43"/>
  <c r="N193" i="43"/>
  <c r="N129" i="43"/>
  <c r="N156" i="43"/>
  <c r="N87" i="43"/>
  <c r="N161" i="43"/>
  <c r="O48" i="43"/>
  <c r="N7" i="43"/>
  <c r="O195" i="43"/>
  <c r="O173" i="43"/>
  <c r="Q4" i="45"/>
  <c r="S33" i="40" l="1"/>
  <c r="S6" i="40"/>
  <c r="S7" i="40"/>
  <c r="S5" i="40"/>
  <c r="S9" i="40"/>
  <c r="Z195" i="42"/>
  <c r="Z30" i="42"/>
  <c r="Z179" i="42"/>
  <c r="Z159" i="42"/>
  <c r="Z31" i="42"/>
  <c r="Z191" i="42"/>
  <c r="Z116" i="42"/>
  <c r="Z81" i="42"/>
  <c r="Z62" i="42"/>
  <c r="Z63" i="42"/>
  <c r="Z41" i="42"/>
  <c r="Z182" i="42"/>
  <c r="Z71" i="42"/>
  <c r="Z170" i="42"/>
  <c r="Z84" i="42"/>
  <c r="Z163" i="42"/>
  <c r="Z136" i="42"/>
  <c r="Z52" i="42"/>
  <c r="Z10" i="42"/>
  <c r="Z149" i="42"/>
  <c r="Z35" i="42"/>
  <c r="Z161" i="42"/>
  <c r="Z64" i="42"/>
  <c r="Z42" i="42"/>
  <c r="Z193" i="42"/>
  <c r="Z19" i="42"/>
  <c r="Z151" i="42"/>
  <c r="Z197" i="42"/>
  <c r="Z96" i="42"/>
  <c r="Z15" i="42"/>
  <c r="Z43" i="42"/>
  <c r="Z135" i="42"/>
  <c r="Z122" i="42"/>
  <c r="Z101" i="42"/>
  <c r="Z198" i="42"/>
  <c r="Z22" i="42"/>
  <c r="Z164" i="42"/>
  <c r="Z28" i="42"/>
  <c r="Z99" i="42"/>
  <c r="Z59" i="42"/>
  <c r="Z69" i="42"/>
  <c r="Z32" i="42"/>
  <c r="Z111" i="42"/>
  <c r="Z82" i="42"/>
  <c r="Z124" i="42"/>
  <c r="Z11" i="42"/>
  <c r="Z172" i="42"/>
  <c r="Z113" i="42"/>
  <c r="Z49" i="42"/>
  <c r="Z117" i="42"/>
  <c r="Z132" i="42"/>
  <c r="Z148" i="42"/>
  <c r="Z67" i="42"/>
  <c r="Z119" i="42"/>
  <c r="Z139" i="42"/>
  <c r="Z194" i="42"/>
  <c r="Z36" i="42"/>
  <c r="Z162" i="42"/>
  <c r="Z26" i="42"/>
  <c r="Z48" i="42"/>
  <c r="Z54" i="42"/>
  <c r="Z97" i="42"/>
  <c r="Z104" i="42"/>
  <c r="Z118" i="42"/>
  <c r="Z29" i="42"/>
  <c r="Z89" i="42"/>
  <c r="Z144" i="42"/>
  <c r="Z68" i="42"/>
  <c r="Z75" i="42"/>
  <c r="Z50" i="42"/>
  <c r="Z6" i="42"/>
  <c r="Z108" i="42"/>
  <c r="Z45" i="42"/>
  <c r="Z188" i="42"/>
  <c r="Z133" i="42"/>
  <c r="Z169" i="42"/>
  <c r="Z55" i="42"/>
  <c r="Z157" i="42"/>
  <c r="Z100" i="42"/>
  <c r="Z91" i="42"/>
  <c r="Z24" i="42"/>
  <c r="Z51" i="42"/>
  <c r="Z130" i="42"/>
  <c r="Z145" i="42"/>
  <c r="Z8" i="42"/>
  <c r="Z143" i="42"/>
  <c r="Z53" i="42"/>
  <c r="Z94" i="42"/>
  <c r="Z156" i="42"/>
  <c r="Z74" i="42"/>
  <c r="Z93" i="42"/>
  <c r="Z78" i="42"/>
  <c r="Z125" i="42"/>
  <c r="Z146" i="42"/>
  <c r="Z166" i="42"/>
  <c r="Z73" i="42"/>
  <c r="Z47" i="42"/>
  <c r="Z46" i="42"/>
  <c r="Z184" i="42"/>
  <c r="Z152" i="42"/>
  <c r="Z25" i="42"/>
  <c r="Z18" i="42"/>
  <c r="Z39" i="42"/>
  <c r="Z76" i="42"/>
  <c r="Z95" i="42"/>
  <c r="Z178" i="42"/>
  <c r="Z126" i="42"/>
  <c r="Z38" i="42"/>
  <c r="Z115" i="42"/>
  <c r="Z140" i="42"/>
  <c r="Z16" i="42"/>
  <c r="Z171" i="42"/>
  <c r="Z174" i="42"/>
  <c r="Z79" i="42"/>
  <c r="Z58" i="42"/>
  <c r="Z17" i="42"/>
  <c r="Z187" i="42"/>
  <c r="Z60" i="42"/>
  <c r="Z134" i="42"/>
  <c r="Z92" i="42"/>
  <c r="Z180" i="42"/>
  <c r="Z160" i="42"/>
  <c r="Z147" i="42"/>
  <c r="Z168" i="42"/>
  <c r="Z56" i="42"/>
  <c r="Z80" i="42"/>
  <c r="Z158" i="42"/>
  <c r="Z77" i="42"/>
  <c r="Z121" i="42"/>
  <c r="Z114" i="42"/>
  <c r="Z61" i="42"/>
  <c r="Z83" i="42"/>
  <c r="Z65" i="42"/>
  <c r="Z192" i="42"/>
  <c r="Z154" i="42"/>
  <c r="Z27" i="42"/>
  <c r="Z138" i="42"/>
  <c r="Z57" i="42"/>
  <c r="Z128" i="42"/>
  <c r="Z150" i="42"/>
  <c r="Z186" i="42"/>
  <c r="Z181" i="42"/>
  <c r="Z103" i="42"/>
  <c r="Z9" i="42"/>
  <c r="Z5" i="42"/>
  <c r="Z185" i="42"/>
  <c r="Z37" i="42"/>
  <c r="Z12" i="42"/>
  <c r="Z141" i="42"/>
  <c r="Z120" i="42"/>
  <c r="Z153" i="42"/>
  <c r="Z112" i="42"/>
  <c r="Z20" i="42"/>
  <c r="Z7" i="42"/>
  <c r="Z127" i="42"/>
  <c r="Z110" i="42"/>
  <c r="Z123" i="42"/>
  <c r="Z167" i="42"/>
  <c r="Z98" i="42"/>
  <c r="Z33" i="42"/>
  <c r="Z176" i="42"/>
  <c r="O96" i="43"/>
  <c r="Z173" i="42"/>
  <c r="Z190" i="42"/>
  <c r="AA90" i="42"/>
  <c r="Z105" i="42"/>
  <c r="AA196" i="42"/>
  <c r="Z21" i="42"/>
  <c r="AA23" i="42"/>
  <c r="Z85" i="42"/>
  <c r="AA131" i="42"/>
  <c r="AA109" i="42"/>
  <c r="O27" i="43"/>
  <c r="Z142" i="42"/>
  <c r="Z14" i="42"/>
  <c r="Z165" i="42"/>
  <c r="AA102" i="42"/>
  <c r="O125" i="43"/>
  <c r="O104" i="43"/>
  <c r="AA137" i="42"/>
  <c r="Z155" i="42"/>
  <c r="Z40" i="42"/>
  <c r="AA175" i="42"/>
  <c r="AA13" i="42"/>
  <c r="Z88" i="42"/>
  <c r="O180" i="43"/>
  <c r="AA106" i="42"/>
  <c r="AA72" i="42"/>
  <c r="Z86" i="42"/>
  <c r="Z66" i="42"/>
  <c r="AA107" i="42"/>
  <c r="AA34" i="42"/>
  <c r="AA177" i="42"/>
  <c r="AA129" i="42"/>
  <c r="Z183" i="42"/>
  <c r="AA87" i="42"/>
  <c r="Z189" i="42"/>
  <c r="Z70" i="42"/>
  <c r="Z44" i="42"/>
  <c r="O7" i="43"/>
  <c r="P88" i="43"/>
  <c r="P19" i="43"/>
  <c r="O34" i="43"/>
  <c r="O112" i="43"/>
  <c r="P65" i="43"/>
  <c r="O71" i="43"/>
  <c r="O95" i="43"/>
  <c r="O146" i="43"/>
  <c r="O170" i="43"/>
  <c r="O106" i="43"/>
  <c r="O140" i="43"/>
  <c r="O120" i="43"/>
  <c r="O141" i="43"/>
  <c r="P16" i="43"/>
  <c r="O143" i="43"/>
  <c r="P35" i="43"/>
  <c r="P75" i="43"/>
  <c r="P117" i="43"/>
  <c r="P128" i="43"/>
  <c r="O164" i="43"/>
  <c r="O102" i="43"/>
  <c r="O76" i="43"/>
  <c r="O118" i="43"/>
  <c r="O197" i="43"/>
  <c r="P173" i="43"/>
  <c r="O10" i="43"/>
  <c r="P17" i="43"/>
  <c r="P9" i="43"/>
  <c r="O42" i="43"/>
  <c r="P171" i="43"/>
  <c r="P14" i="43"/>
  <c r="O181" i="43"/>
  <c r="O64" i="43"/>
  <c r="P41" i="43"/>
  <c r="P56" i="43"/>
  <c r="O115" i="43"/>
  <c r="O61" i="43"/>
  <c r="O101" i="43"/>
  <c r="O68" i="43"/>
  <c r="O139" i="43"/>
  <c r="O127" i="43"/>
  <c r="O31" i="43"/>
  <c r="O166" i="43"/>
  <c r="O107" i="43"/>
  <c r="P135" i="43"/>
  <c r="O161" i="43"/>
  <c r="O129" i="43"/>
  <c r="P151" i="43"/>
  <c r="O90" i="43"/>
  <c r="P108" i="43"/>
  <c r="O157" i="43"/>
  <c r="P163" i="43"/>
  <c r="O116" i="43"/>
  <c r="O134" i="43"/>
  <c r="O13" i="43"/>
  <c r="O30" i="43"/>
  <c r="O70" i="43"/>
  <c r="O147" i="43"/>
  <c r="O25" i="43"/>
  <c r="O121" i="43"/>
  <c r="P177" i="43"/>
  <c r="P67" i="43"/>
  <c r="O69" i="43"/>
  <c r="O154" i="43"/>
  <c r="O198" i="43"/>
  <c r="O150" i="43"/>
  <c r="O148" i="43"/>
  <c r="O179" i="43"/>
  <c r="O15" i="43"/>
  <c r="P73" i="43"/>
  <c r="O80" i="43"/>
  <c r="O159" i="43"/>
  <c r="P79" i="43"/>
  <c r="P74" i="43"/>
  <c r="P51" i="43"/>
  <c r="P49" i="43"/>
  <c r="P93" i="43"/>
  <c r="O26" i="43"/>
  <c r="O20" i="43"/>
  <c r="P130" i="43"/>
  <c r="O194" i="43"/>
  <c r="O29" i="43"/>
  <c r="P100" i="43"/>
  <c r="O162" i="43"/>
  <c r="P184" i="43"/>
  <c r="P196" i="43"/>
  <c r="O12" i="43"/>
  <c r="P97" i="43"/>
  <c r="P48" i="43"/>
  <c r="O87" i="43"/>
  <c r="O47" i="43"/>
  <c r="P86" i="43"/>
  <c r="O60" i="43"/>
  <c r="P6" i="43"/>
  <c r="O99" i="43"/>
  <c r="P32" i="43"/>
  <c r="O84" i="43"/>
  <c r="P57" i="43"/>
  <c r="P109" i="43"/>
  <c r="P40" i="43"/>
  <c r="P169" i="43"/>
  <c r="O183" i="43"/>
  <c r="O81" i="43"/>
  <c r="P8" i="43"/>
  <c r="O94" i="43"/>
  <c r="O145" i="43"/>
  <c r="P36" i="43"/>
  <c r="O37" i="43"/>
  <c r="O122" i="43"/>
  <c r="O39" i="43"/>
  <c r="P160" i="43"/>
  <c r="O105" i="43"/>
  <c r="P78" i="43"/>
  <c r="O91" i="43"/>
  <c r="O72" i="43"/>
  <c r="O131" i="43"/>
  <c r="O158" i="43"/>
  <c r="P43" i="43"/>
  <c r="O189" i="43"/>
  <c r="P187" i="43"/>
  <c r="O114" i="43"/>
  <c r="P62" i="43"/>
  <c r="O103" i="43"/>
  <c r="O111" i="43"/>
  <c r="P191" i="43"/>
  <c r="O24" i="43"/>
  <c r="O172" i="43"/>
  <c r="O50" i="43"/>
  <c r="O144" i="43"/>
  <c r="O167" i="43"/>
  <c r="P92" i="43"/>
  <c r="P195" i="43"/>
  <c r="O156" i="43"/>
  <c r="O193" i="43"/>
  <c r="O98" i="43"/>
  <c r="O46" i="43"/>
  <c r="O188" i="43"/>
  <c r="P58" i="43"/>
  <c r="O53" i="43"/>
  <c r="P85" i="43"/>
  <c r="P182" i="43"/>
  <c r="O45" i="43"/>
  <c r="O155" i="43"/>
  <c r="O77" i="43"/>
  <c r="O168" i="43"/>
  <c r="O59" i="43"/>
  <c r="O21" i="43"/>
  <c r="O152" i="43"/>
  <c r="P192" i="43"/>
  <c r="O174" i="43"/>
  <c r="P54" i="43"/>
  <c r="P23" i="43"/>
  <c r="O11" i="43"/>
  <c r="O55" i="43"/>
  <c r="O110" i="43"/>
  <c r="O178" i="43"/>
  <c r="P22" i="43"/>
  <c r="O66" i="43"/>
  <c r="O89" i="43"/>
  <c r="P138" i="43"/>
  <c r="O124" i="43"/>
  <c r="O33" i="43"/>
  <c r="P176" i="43"/>
  <c r="T6" i="40" l="1"/>
  <c r="T33" i="40"/>
  <c r="T5" i="40"/>
  <c r="T7" i="40"/>
  <c r="T9" i="40"/>
  <c r="AA176" i="42"/>
  <c r="AA167" i="42"/>
  <c r="AA127" i="42"/>
  <c r="AA37" i="42"/>
  <c r="AA9" i="42"/>
  <c r="AA77" i="42"/>
  <c r="AA168" i="42"/>
  <c r="AA58" i="42"/>
  <c r="AA171" i="42"/>
  <c r="AA38" i="42"/>
  <c r="AA76" i="42"/>
  <c r="AA152" i="42"/>
  <c r="AA146" i="42"/>
  <c r="AA93" i="42"/>
  <c r="AA94" i="42"/>
  <c r="AA8" i="42"/>
  <c r="AA91" i="42"/>
  <c r="AA55" i="42"/>
  <c r="AA169" i="42"/>
  <c r="AA188" i="42"/>
  <c r="AA75" i="42"/>
  <c r="AA54" i="42"/>
  <c r="AA117" i="42"/>
  <c r="AA172" i="42"/>
  <c r="AA111" i="42"/>
  <c r="AA99" i="42"/>
  <c r="AA164" i="42"/>
  <c r="AA22" i="42"/>
  <c r="AA198" i="42"/>
  <c r="AA15" i="42"/>
  <c r="AA197" i="42"/>
  <c r="AA116" i="42"/>
  <c r="AA33" i="42"/>
  <c r="AA98" i="42"/>
  <c r="AA110" i="42"/>
  <c r="AA153" i="42"/>
  <c r="AA120" i="42"/>
  <c r="AA185" i="42"/>
  <c r="AA181" i="42"/>
  <c r="AA150" i="42"/>
  <c r="AA128" i="42"/>
  <c r="AA138" i="42"/>
  <c r="AA27" i="42"/>
  <c r="AA192" i="42"/>
  <c r="AA114" i="42"/>
  <c r="AA121" i="42"/>
  <c r="AA80" i="42"/>
  <c r="AA160" i="42"/>
  <c r="AA180" i="42"/>
  <c r="AA92" i="42"/>
  <c r="AA134" i="42"/>
  <c r="AA17" i="42"/>
  <c r="AA174" i="42"/>
  <c r="AA16" i="42"/>
  <c r="AA115" i="42"/>
  <c r="AA126" i="42"/>
  <c r="AA95" i="42"/>
  <c r="AA39" i="42"/>
  <c r="AA166" i="42"/>
  <c r="AA74" i="42"/>
  <c r="AA143" i="42"/>
  <c r="AA51" i="42"/>
  <c r="AA24" i="42"/>
  <c r="AA157" i="42"/>
  <c r="AA45" i="42"/>
  <c r="AA118" i="42"/>
  <c r="AA162" i="42"/>
  <c r="AA36" i="42"/>
  <c r="AA139" i="42"/>
  <c r="AA132" i="42"/>
  <c r="AA49" i="42"/>
  <c r="AA113" i="42"/>
  <c r="AA11" i="42"/>
  <c r="AA82" i="42"/>
  <c r="AA32" i="42"/>
  <c r="AA28" i="42"/>
  <c r="AA101" i="42"/>
  <c r="AA122" i="42"/>
  <c r="AA135" i="42"/>
  <c r="AA96" i="42"/>
  <c r="AA151" i="42"/>
  <c r="AA193" i="42"/>
  <c r="AA64" i="42"/>
  <c r="AA35" i="42"/>
  <c r="AA10" i="42"/>
  <c r="AA163" i="42"/>
  <c r="AA84" i="42"/>
  <c r="AA170" i="42"/>
  <c r="AA182" i="42"/>
  <c r="AA63" i="42"/>
  <c r="AA81" i="42"/>
  <c r="AA191" i="42"/>
  <c r="AA159" i="42"/>
  <c r="AA123" i="42"/>
  <c r="AA20" i="42"/>
  <c r="AA141" i="42"/>
  <c r="AA12" i="42"/>
  <c r="AA5" i="42"/>
  <c r="AA186" i="42"/>
  <c r="AA154" i="42"/>
  <c r="AA83" i="42"/>
  <c r="AA61" i="42"/>
  <c r="AA147" i="42"/>
  <c r="AA79" i="42"/>
  <c r="AA140" i="42"/>
  <c r="AA18" i="42"/>
  <c r="AA25" i="42"/>
  <c r="AA46" i="42"/>
  <c r="AA47" i="42"/>
  <c r="AA78" i="42"/>
  <c r="AA53" i="42"/>
  <c r="AA145" i="42"/>
  <c r="AA130" i="42"/>
  <c r="AA133" i="42"/>
  <c r="AA6" i="42"/>
  <c r="AA144" i="42"/>
  <c r="AA194" i="42"/>
  <c r="AA119" i="42"/>
  <c r="AA148" i="42"/>
  <c r="AA124" i="42"/>
  <c r="AA19" i="42"/>
  <c r="AA42" i="42"/>
  <c r="AA161" i="42"/>
  <c r="AA149" i="42"/>
  <c r="AA136" i="42"/>
  <c r="AA71" i="42"/>
  <c r="AA41" i="42"/>
  <c r="AA62" i="42"/>
  <c r="AA31" i="42"/>
  <c r="AA179" i="42"/>
  <c r="AA30" i="42"/>
  <c r="AA7" i="42"/>
  <c r="AA112" i="42"/>
  <c r="AA103" i="42"/>
  <c r="AA57" i="42"/>
  <c r="AA65" i="42"/>
  <c r="AA158" i="42"/>
  <c r="AA56" i="42"/>
  <c r="AA60" i="42"/>
  <c r="AA187" i="42"/>
  <c r="AA178" i="42"/>
  <c r="AA184" i="42"/>
  <c r="AA73" i="42"/>
  <c r="AA125" i="42"/>
  <c r="AA156" i="42"/>
  <c r="AA100" i="42"/>
  <c r="AA108" i="42"/>
  <c r="AA50" i="42"/>
  <c r="AA68" i="42"/>
  <c r="AA89" i="42"/>
  <c r="AA29" i="42"/>
  <c r="AA104" i="42"/>
  <c r="AA97" i="42"/>
  <c r="AA48" i="42"/>
  <c r="AA26" i="42"/>
  <c r="AA67" i="42"/>
  <c r="AA69" i="42"/>
  <c r="AA59" i="42"/>
  <c r="AA43" i="42"/>
  <c r="AA52" i="42"/>
  <c r="AA195" i="42"/>
  <c r="AA70" i="42"/>
  <c r="AA189" i="42"/>
  <c r="P180" i="43"/>
  <c r="AA88" i="42"/>
  <c r="P125" i="43"/>
  <c r="P27" i="43"/>
  <c r="AA183" i="42"/>
  <c r="AA66" i="42"/>
  <c r="AA86" i="42"/>
  <c r="AA40" i="42"/>
  <c r="P104" i="43"/>
  <c r="AA165" i="42"/>
  <c r="AA14" i="42"/>
  <c r="AA85" i="42"/>
  <c r="AA105" i="42"/>
  <c r="AA173" i="42"/>
  <c r="AA190" i="42"/>
  <c r="P96" i="43"/>
  <c r="AA155" i="42"/>
  <c r="AA142" i="42"/>
  <c r="AA21" i="42"/>
  <c r="AA44" i="42"/>
  <c r="P66" i="43"/>
  <c r="P55" i="43"/>
  <c r="P152" i="43"/>
  <c r="P59" i="43"/>
  <c r="P45" i="43"/>
  <c r="P98" i="43"/>
  <c r="P144" i="43"/>
  <c r="P111" i="43"/>
  <c r="P158" i="43"/>
  <c r="P72" i="43"/>
  <c r="P122" i="43"/>
  <c r="P81" i="43"/>
  <c r="P47" i="43"/>
  <c r="P12" i="43"/>
  <c r="P15" i="43"/>
  <c r="P198" i="43"/>
  <c r="P154" i="43"/>
  <c r="P30" i="43"/>
  <c r="P134" i="43"/>
  <c r="P31" i="43"/>
  <c r="P101" i="43"/>
  <c r="P42" i="43"/>
  <c r="P10" i="43"/>
  <c r="P170" i="43"/>
  <c r="P95" i="43"/>
  <c r="P33" i="43"/>
  <c r="P89" i="43"/>
  <c r="P178" i="43"/>
  <c r="P168" i="43"/>
  <c r="P155" i="43"/>
  <c r="P53" i="43"/>
  <c r="P46" i="43"/>
  <c r="P50" i="43"/>
  <c r="P24" i="43"/>
  <c r="P194" i="43"/>
  <c r="P20" i="43"/>
  <c r="P150" i="43"/>
  <c r="P69" i="43"/>
  <c r="P121" i="43"/>
  <c r="P90" i="43"/>
  <c r="P129" i="43"/>
  <c r="P139" i="43"/>
  <c r="P68" i="43"/>
  <c r="P115" i="43"/>
  <c r="P197" i="43"/>
  <c r="P118" i="43"/>
  <c r="P164" i="43"/>
  <c r="P143" i="43"/>
  <c r="P141" i="43"/>
  <c r="P120" i="43"/>
  <c r="P71" i="43"/>
  <c r="P112" i="43"/>
  <c r="P11" i="43"/>
  <c r="P174" i="43"/>
  <c r="P21" i="43"/>
  <c r="P156" i="43"/>
  <c r="P103" i="43"/>
  <c r="P114" i="43"/>
  <c r="P189" i="43"/>
  <c r="P131" i="43"/>
  <c r="P91" i="43"/>
  <c r="P105" i="43"/>
  <c r="P94" i="43"/>
  <c r="P183" i="43"/>
  <c r="P60" i="43"/>
  <c r="P26" i="43"/>
  <c r="P159" i="43"/>
  <c r="P80" i="43"/>
  <c r="P148" i="43"/>
  <c r="P70" i="43"/>
  <c r="P13" i="43"/>
  <c r="P107" i="43"/>
  <c r="P166" i="43"/>
  <c r="P127" i="43"/>
  <c r="P61" i="43"/>
  <c r="P64" i="43"/>
  <c r="P140" i="43"/>
  <c r="P106" i="43"/>
  <c r="P146" i="43"/>
  <c r="P124" i="43"/>
  <c r="P110" i="43"/>
  <c r="P77" i="43"/>
  <c r="P188" i="43"/>
  <c r="P193" i="43"/>
  <c r="P167" i="43"/>
  <c r="P172" i="43"/>
  <c r="P39" i="43"/>
  <c r="P37" i="43"/>
  <c r="P145" i="43"/>
  <c r="P84" i="43"/>
  <c r="P99" i="43"/>
  <c r="P87" i="43"/>
  <c r="P162" i="43"/>
  <c r="P29" i="43"/>
  <c r="P179" i="43"/>
  <c r="P25" i="43"/>
  <c r="P147" i="43"/>
  <c r="P116" i="43"/>
  <c r="P157" i="43"/>
  <c r="P161" i="43"/>
  <c r="P181" i="43"/>
  <c r="P76" i="43"/>
  <c r="P102" i="43"/>
  <c r="P34" i="43"/>
  <c r="P7" i="43"/>
  <c r="U9" i="40" l="1"/>
  <c r="U5" i="40"/>
  <c r="U7" i="40"/>
  <c r="U33" i="40"/>
  <c r="U6" i="40"/>
  <c r="V5" i="40" l="1"/>
  <c r="V9" i="40"/>
  <c r="V33" i="40"/>
  <c r="V6" i="40"/>
  <c r="V7" i="40"/>
  <c r="W9" i="40" l="1"/>
  <c r="W7" i="40"/>
  <c r="W6" i="40"/>
  <c r="W33" i="40"/>
  <c r="W5" i="40"/>
  <c r="X5" i="40" l="1"/>
  <c r="X7" i="40"/>
  <c r="X9" i="40"/>
  <c r="X33" i="40"/>
  <c r="X6" i="40"/>
  <c r="Y33" i="40" l="1"/>
  <c r="Y9" i="40"/>
  <c r="Y7" i="40"/>
  <c r="Y5" i="40"/>
  <c r="Y6" i="40"/>
  <c r="Z6" i="40" l="1"/>
  <c r="Z5" i="40"/>
  <c r="Z7" i="40"/>
  <c r="Z9" i="40"/>
  <c r="Z33" i="40"/>
  <c r="AA5" i="40" l="1"/>
  <c r="AA9" i="40"/>
  <c r="AA7" i="40"/>
  <c r="AA6" i="40"/>
  <c r="AA33" i="40"/>
  <c r="H14" i="2"/>
  <c r="W24" i="2" l="1"/>
  <c r="W23" i="2"/>
  <c r="W22" i="2"/>
  <c r="W21" i="2"/>
  <c r="W20" i="2"/>
  <c r="W19" i="2"/>
  <c r="W18" i="2"/>
  <c r="W17" i="2"/>
  <c r="W16" i="2"/>
  <c r="W15" i="2"/>
  <c r="X15" i="2" s="1"/>
  <c r="W14" i="2"/>
  <c r="W13" i="2"/>
  <c r="W12" i="2"/>
  <c r="W11" i="2"/>
  <c r="W10" i="2"/>
  <c r="W9" i="2"/>
  <c r="S24" i="2"/>
  <c r="S23" i="2"/>
  <c r="S22" i="2"/>
  <c r="S21" i="2"/>
  <c r="S20" i="2"/>
  <c r="S19" i="2"/>
  <c r="S18" i="2"/>
  <c r="S17" i="2"/>
  <c r="S16" i="2"/>
  <c r="S15" i="2"/>
  <c r="T15" i="2" s="1"/>
  <c r="S14" i="2"/>
  <c r="S13" i="2"/>
  <c r="S12" i="2"/>
  <c r="S11" i="2"/>
  <c r="S10" i="2"/>
  <c r="S9" i="2"/>
  <c r="O25" i="2"/>
  <c r="G15" i="2"/>
  <c r="N14" i="2"/>
  <c r="O26" i="2"/>
  <c r="N13" i="2"/>
  <c r="Q44" i="2" l="1"/>
  <c r="Q43" i="2"/>
  <c r="Q38" i="2"/>
  <c r="Q37" i="2"/>
  <c r="Q36" i="2"/>
  <c r="Q35" i="2"/>
  <c r="Q26" i="2"/>
  <c r="Q25" i="2"/>
  <c r="Q18" i="2"/>
  <c r="Q17" i="2"/>
  <c r="U24" i="2" l="1"/>
  <c r="U23" i="2"/>
  <c r="U21" i="2"/>
  <c r="U20" i="2"/>
  <c r="U16" i="2"/>
  <c r="U13" i="2"/>
  <c r="U12" i="2"/>
  <c r="H24" i="2" l="1"/>
  <c r="H23" i="2"/>
  <c r="H21" i="2"/>
  <c r="H20" i="2"/>
  <c r="H11" i="2"/>
  <c r="H10" i="2"/>
  <c r="H13" i="2" l="1"/>
  <c r="G20" i="2" l="1"/>
  <c r="X20" i="2"/>
  <c r="T20" i="2"/>
  <c r="O36" i="2"/>
  <c r="O35" i="2"/>
  <c r="X23" i="2"/>
  <c r="O42" i="2"/>
  <c r="G23" i="2"/>
  <c r="O41" i="2"/>
  <c r="T23" i="2"/>
  <c r="X19" i="2"/>
  <c r="O33" i="2"/>
  <c r="O34" i="2"/>
  <c r="G19" i="2"/>
  <c r="T19" i="2"/>
  <c r="G14" i="2"/>
  <c r="O23" i="2"/>
  <c r="O24" i="2"/>
  <c r="T14" i="2"/>
  <c r="X14" i="2"/>
  <c r="O16" i="2"/>
  <c r="O15" i="2"/>
  <c r="G10" i="2"/>
  <c r="X10" i="2"/>
  <c r="T10" i="2"/>
  <c r="G24" i="2"/>
  <c r="T24" i="2"/>
  <c r="T16" i="2"/>
  <c r="X16" i="2"/>
  <c r="G16" i="2"/>
  <c r="O28" i="2"/>
  <c r="O27" i="2"/>
  <c r="X11" i="2"/>
  <c r="O17" i="2"/>
  <c r="O18" i="2"/>
  <c r="G11" i="2"/>
  <c r="T11" i="2"/>
  <c r="G22" i="2"/>
  <c r="O39" i="2"/>
  <c r="O40" i="2"/>
  <c r="X22" i="2"/>
  <c r="T22" i="2"/>
  <c r="G18" i="2"/>
  <c r="O32" i="2"/>
  <c r="O31" i="2"/>
  <c r="T18" i="2"/>
  <c r="X18" i="2"/>
  <c r="G13" i="2"/>
  <c r="O21" i="2"/>
  <c r="O22" i="2"/>
  <c r="T13" i="2"/>
  <c r="X13" i="2"/>
  <c r="X9" i="2"/>
  <c r="G9" i="2"/>
  <c r="O14" i="2"/>
  <c r="O13" i="2"/>
  <c r="T9" i="2"/>
  <c r="G21" i="2"/>
  <c r="O37" i="2"/>
  <c r="O38" i="2"/>
  <c r="X21" i="2"/>
  <c r="T21" i="2"/>
  <c r="O29" i="2"/>
  <c r="G17" i="2"/>
  <c r="O30" i="2"/>
  <c r="X17" i="2"/>
  <c r="T17" i="2"/>
  <c r="O19" i="2"/>
  <c r="T12" i="2"/>
  <c r="G12" i="2"/>
  <c r="X12" i="2"/>
  <c r="O20" i="2"/>
  <c r="F190" i="46" l="1"/>
  <c r="G190" i="46" s="1"/>
  <c r="H190" i="46" s="1"/>
  <c r="I190" i="46" s="1"/>
  <c r="J190" i="46" s="1"/>
  <c r="K190" i="46" s="1"/>
  <c r="L190" i="46" s="1"/>
  <c r="M190" i="46" s="1"/>
  <c r="N190" i="46" s="1"/>
  <c r="O190" i="46" s="1"/>
  <c r="P190" i="46" s="1"/>
  <c r="F165" i="43"/>
  <c r="F190" i="49"/>
  <c r="G190" i="49" s="1"/>
  <c r="H190" i="49" s="1"/>
  <c r="I190" i="49" s="1"/>
  <c r="J190" i="49" s="1"/>
  <c r="K190" i="49" s="1"/>
  <c r="L190" i="49" s="1"/>
  <c r="M190" i="49" s="1"/>
  <c r="N190" i="49" s="1"/>
  <c r="O190" i="49" s="1"/>
  <c r="P190" i="49" s="1"/>
  <c r="F142" i="49"/>
  <c r="G142" i="49" s="1"/>
  <c r="H142" i="49" s="1"/>
  <c r="I142" i="49" s="1"/>
  <c r="J142" i="49" s="1"/>
  <c r="K142" i="49" s="1"/>
  <c r="L142" i="49" s="1"/>
  <c r="M142" i="49" s="1"/>
  <c r="N142" i="49" s="1"/>
  <c r="O142" i="49" s="1"/>
  <c r="P142" i="49" s="1"/>
  <c r="F83" i="49"/>
  <c r="G83" i="49" s="1"/>
  <c r="H83" i="49" s="1"/>
  <c r="I83" i="49" s="1"/>
  <c r="J83" i="49" s="1"/>
  <c r="K83" i="49" s="1"/>
  <c r="L83" i="49" s="1"/>
  <c r="M83" i="49" s="1"/>
  <c r="N83" i="49" s="1"/>
  <c r="O83" i="49" s="1"/>
  <c r="P83" i="49" s="1"/>
  <c r="F38" i="49"/>
  <c r="G38" i="49" s="1"/>
  <c r="H38" i="49" s="1"/>
  <c r="I38" i="49" s="1"/>
  <c r="J38" i="49" s="1"/>
  <c r="K38" i="49" s="1"/>
  <c r="L38" i="49" s="1"/>
  <c r="M38" i="49" s="1"/>
  <c r="N38" i="49" s="1"/>
  <c r="O38" i="49" s="1"/>
  <c r="P38" i="49" s="1"/>
  <c r="F185" i="49"/>
  <c r="G185" i="49" s="1"/>
  <c r="H185" i="49" s="1"/>
  <c r="I185" i="49" s="1"/>
  <c r="J185" i="49" s="1"/>
  <c r="K185" i="49" s="1"/>
  <c r="L185" i="49" s="1"/>
  <c r="M185" i="49" s="1"/>
  <c r="N185" i="49" s="1"/>
  <c r="O185" i="49" s="1"/>
  <c r="P185" i="49" s="1"/>
  <c r="F133" i="49"/>
  <c r="G133" i="49" s="1"/>
  <c r="H133" i="49" s="1"/>
  <c r="I133" i="49" s="1"/>
  <c r="J133" i="49" s="1"/>
  <c r="K133" i="49" s="1"/>
  <c r="L133" i="49" s="1"/>
  <c r="M133" i="49" s="1"/>
  <c r="N133" i="49" s="1"/>
  <c r="O133" i="49" s="1"/>
  <c r="P133" i="49" s="1"/>
  <c r="F119" i="49"/>
  <c r="G119" i="49" s="1"/>
  <c r="H119" i="49" s="1"/>
  <c r="I119" i="49" s="1"/>
  <c r="J119" i="49" s="1"/>
  <c r="K119" i="49" s="1"/>
  <c r="L119" i="49" s="1"/>
  <c r="M119" i="49" s="1"/>
  <c r="N119" i="49" s="1"/>
  <c r="O119" i="49" s="1"/>
  <c r="P119" i="49" s="1"/>
  <c r="F186" i="49"/>
  <c r="G186" i="49" s="1"/>
  <c r="H186" i="49" s="1"/>
  <c r="I186" i="49" s="1"/>
  <c r="J186" i="49" s="1"/>
  <c r="K186" i="49" s="1"/>
  <c r="L186" i="49" s="1"/>
  <c r="M186" i="49" s="1"/>
  <c r="N186" i="49" s="1"/>
  <c r="O186" i="49" s="1"/>
  <c r="P186" i="49" s="1"/>
  <c r="F136" i="49"/>
  <c r="G136" i="49" s="1"/>
  <c r="H136" i="49" s="1"/>
  <c r="I136" i="49" s="1"/>
  <c r="J136" i="49" s="1"/>
  <c r="K136" i="49" s="1"/>
  <c r="L136" i="49" s="1"/>
  <c r="M136" i="49" s="1"/>
  <c r="N136" i="49" s="1"/>
  <c r="O136" i="49" s="1"/>
  <c r="P136" i="49" s="1"/>
  <c r="F82" i="49"/>
  <c r="G82" i="49" s="1"/>
  <c r="H82" i="49" s="1"/>
  <c r="I82" i="49" s="1"/>
  <c r="J82" i="49" s="1"/>
  <c r="K82" i="49" s="1"/>
  <c r="L82" i="49" s="1"/>
  <c r="M82" i="49" s="1"/>
  <c r="N82" i="49" s="1"/>
  <c r="O82" i="49" s="1"/>
  <c r="P82" i="49" s="1"/>
  <c r="F28" i="49"/>
  <c r="G28" i="49" s="1"/>
  <c r="H28" i="49" s="1"/>
  <c r="I28" i="49" s="1"/>
  <c r="J28" i="49" s="1"/>
  <c r="K28" i="49" s="1"/>
  <c r="L28" i="49" s="1"/>
  <c r="M28" i="49" s="1"/>
  <c r="N28" i="49" s="1"/>
  <c r="O28" i="49" s="1"/>
  <c r="P28" i="49" s="1"/>
  <c r="F137" i="49"/>
  <c r="G137" i="49" s="1"/>
  <c r="H137" i="49" s="1"/>
  <c r="I137" i="49" s="1"/>
  <c r="J137" i="49" s="1"/>
  <c r="K137" i="49" s="1"/>
  <c r="L137" i="49" s="1"/>
  <c r="M137" i="49" s="1"/>
  <c r="N137" i="49" s="1"/>
  <c r="O137" i="49" s="1"/>
  <c r="P137" i="49" s="1"/>
  <c r="F175" i="49"/>
  <c r="G175" i="49" s="1"/>
  <c r="H175" i="49" s="1"/>
  <c r="I175" i="49" s="1"/>
  <c r="J175" i="49" s="1"/>
  <c r="K175" i="49" s="1"/>
  <c r="L175" i="49" s="1"/>
  <c r="M175" i="49" s="1"/>
  <c r="N175" i="49" s="1"/>
  <c r="O175" i="49" s="1"/>
  <c r="P175" i="49" s="1"/>
  <c r="F132" i="49"/>
  <c r="G132" i="49" s="1"/>
  <c r="H132" i="49" s="1"/>
  <c r="I132" i="49" s="1"/>
  <c r="J132" i="49" s="1"/>
  <c r="K132" i="49" s="1"/>
  <c r="L132" i="49" s="1"/>
  <c r="M132" i="49" s="1"/>
  <c r="N132" i="49" s="1"/>
  <c r="O132" i="49" s="1"/>
  <c r="P132" i="49" s="1"/>
  <c r="F63" i="49"/>
  <c r="G63" i="49" s="1"/>
  <c r="H63" i="49" s="1"/>
  <c r="I63" i="49" s="1"/>
  <c r="J63" i="49" s="1"/>
  <c r="K63" i="49" s="1"/>
  <c r="L63" i="49" s="1"/>
  <c r="M63" i="49" s="1"/>
  <c r="N63" i="49" s="1"/>
  <c r="O63" i="49" s="1"/>
  <c r="P63" i="49" s="1"/>
  <c r="F18" i="49"/>
  <c r="G18" i="49" s="1"/>
  <c r="H18" i="49" s="1"/>
  <c r="I18" i="49" s="1"/>
  <c r="J18" i="49" s="1"/>
  <c r="K18" i="49" s="1"/>
  <c r="L18" i="49" s="1"/>
  <c r="M18" i="49" s="1"/>
  <c r="N18" i="49" s="1"/>
  <c r="O18" i="49" s="1"/>
  <c r="P18" i="49" s="1"/>
  <c r="F153" i="49"/>
  <c r="G153" i="49" s="1"/>
  <c r="H153" i="49" s="1"/>
  <c r="I153" i="49" s="1"/>
  <c r="J153" i="49" s="1"/>
  <c r="K153" i="49" s="1"/>
  <c r="L153" i="49" s="1"/>
  <c r="M153" i="49" s="1"/>
  <c r="N153" i="49" s="1"/>
  <c r="O153" i="49" s="1"/>
  <c r="P153" i="49" s="1"/>
  <c r="F149" i="49"/>
  <c r="G149" i="49" s="1"/>
  <c r="H149" i="49" s="1"/>
  <c r="I149" i="49" s="1"/>
  <c r="J149" i="49" s="1"/>
  <c r="K149" i="49" s="1"/>
  <c r="L149" i="49" s="1"/>
  <c r="M149" i="49" s="1"/>
  <c r="N149" i="49" s="1"/>
  <c r="O149" i="49" s="1"/>
  <c r="P149" i="49" s="1"/>
  <c r="F126" i="49"/>
  <c r="G126" i="49" s="1"/>
  <c r="H126" i="49" s="1"/>
  <c r="I126" i="49" s="1"/>
  <c r="J126" i="49" s="1"/>
  <c r="K126" i="49" s="1"/>
  <c r="L126" i="49" s="1"/>
  <c r="M126" i="49" s="1"/>
  <c r="N126" i="49" s="1"/>
  <c r="O126" i="49" s="1"/>
  <c r="P126" i="49" s="1"/>
  <c r="F113" i="49"/>
  <c r="G113" i="49" s="1"/>
  <c r="H113" i="49" s="1"/>
  <c r="I113" i="49" s="1"/>
  <c r="J113" i="49" s="1"/>
  <c r="K113" i="49" s="1"/>
  <c r="L113" i="49" s="1"/>
  <c r="M113" i="49" s="1"/>
  <c r="N113" i="49" s="1"/>
  <c r="O113" i="49" s="1"/>
  <c r="P113" i="49" s="1"/>
  <c r="F165" i="49"/>
  <c r="G165" i="49" s="1"/>
  <c r="H165" i="49" s="1"/>
  <c r="I165" i="49" s="1"/>
  <c r="J165" i="49" s="1"/>
  <c r="K165" i="49" s="1"/>
  <c r="L165" i="49" s="1"/>
  <c r="M165" i="49" s="1"/>
  <c r="N165" i="49" s="1"/>
  <c r="O165" i="49" s="1"/>
  <c r="P165" i="49" s="1"/>
  <c r="F123" i="49"/>
  <c r="G123" i="49" s="1"/>
  <c r="H123" i="49" s="1"/>
  <c r="I123" i="49" s="1"/>
  <c r="J123" i="49" s="1"/>
  <c r="K123" i="49" s="1"/>
  <c r="L123" i="49" s="1"/>
  <c r="M123" i="49" s="1"/>
  <c r="N123" i="49" s="1"/>
  <c r="O123" i="49" s="1"/>
  <c r="P123" i="49" s="1"/>
  <c r="F52" i="49"/>
  <c r="G52" i="49" s="1"/>
  <c r="H52" i="49" s="1"/>
  <c r="I52" i="49" s="1"/>
  <c r="J52" i="49" s="1"/>
  <c r="K52" i="49" s="1"/>
  <c r="L52" i="49" s="1"/>
  <c r="M52" i="49" s="1"/>
  <c r="N52" i="49" s="1"/>
  <c r="O52" i="49" s="1"/>
  <c r="P52" i="49" s="1"/>
  <c r="F5" i="49"/>
  <c r="G5" i="49" s="1"/>
  <c r="H5" i="49" s="1"/>
  <c r="I5" i="49" s="1"/>
  <c r="J5" i="49" s="1"/>
  <c r="K5" i="49" s="1"/>
  <c r="L5" i="49" s="1"/>
  <c r="M5" i="49" s="1"/>
  <c r="N5" i="49" s="1"/>
  <c r="O5" i="49" s="1"/>
  <c r="P5" i="49" s="1"/>
  <c r="F196" i="48"/>
  <c r="F192" i="48"/>
  <c r="F187" i="48"/>
  <c r="F182" i="48"/>
  <c r="F178" i="48"/>
  <c r="F173" i="48"/>
  <c r="F169" i="48"/>
  <c r="F164" i="48"/>
  <c r="F160" i="48"/>
  <c r="F156" i="48"/>
  <c r="F152" i="48"/>
  <c r="F148" i="48"/>
  <c r="F144" i="48"/>
  <c r="F139" i="48"/>
  <c r="F134" i="48"/>
  <c r="F129" i="48"/>
  <c r="F125" i="48"/>
  <c r="F120" i="48"/>
  <c r="F116" i="48"/>
  <c r="F112" i="48"/>
  <c r="F108" i="48"/>
  <c r="F104" i="48"/>
  <c r="F100" i="48"/>
  <c r="F96" i="48"/>
  <c r="F92" i="48"/>
  <c r="F88" i="48"/>
  <c r="F84" i="48"/>
  <c r="F78" i="48"/>
  <c r="F74" i="48"/>
  <c r="F70" i="48"/>
  <c r="F66" i="48"/>
  <c r="F61" i="48"/>
  <c r="F57" i="48"/>
  <c r="F53" i="48"/>
  <c r="F48" i="48"/>
  <c r="F44" i="48"/>
  <c r="F40" i="48"/>
  <c r="F35" i="48"/>
  <c r="F31" i="48"/>
  <c r="F26" i="48"/>
  <c r="F22" i="48"/>
  <c r="F17" i="48"/>
  <c r="F13" i="48"/>
  <c r="F9" i="48"/>
  <c r="F186" i="48"/>
  <c r="F136" i="48"/>
  <c r="F82" i="48"/>
  <c r="F28" i="48"/>
  <c r="F196" i="47"/>
  <c r="F192" i="47"/>
  <c r="F187" i="47"/>
  <c r="F182" i="47"/>
  <c r="F178" i="47"/>
  <c r="F173" i="47"/>
  <c r="F169" i="47"/>
  <c r="F164" i="47"/>
  <c r="F160" i="47"/>
  <c r="F156" i="47"/>
  <c r="F152" i="47"/>
  <c r="F148" i="47"/>
  <c r="F144" i="47"/>
  <c r="F139" i="47"/>
  <c r="F134" i="47"/>
  <c r="F129" i="47"/>
  <c r="F125" i="47"/>
  <c r="F120" i="47"/>
  <c r="F116" i="47"/>
  <c r="F112" i="47"/>
  <c r="F108" i="47"/>
  <c r="F104" i="47"/>
  <c r="F100" i="47"/>
  <c r="F96" i="47"/>
  <c r="F92" i="47"/>
  <c r="F88" i="47"/>
  <c r="F84" i="47"/>
  <c r="F78" i="47"/>
  <c r="F74" i="47"/>
  <c r="F70" i="47"/>
  <c r="F66" i="47"/>
  <c r="F61" i="47"/>
  <c r="F57" i="47"/>
  <c r="F53" i="47"/>
  <c r="F48" i="47"/>
  <c r="F44" i="47"/>
  <c r="F40" i="47"/>
  <c r="F35" i="47"/>
  <c r="F31" i="47"/>
  <c r="F26" i="47"/>
  <c r="F22" i="47"/>
  <c r="F17" i="47"/>
  <c r="F13" i="47"/>
  <c r="F9" i="47"/>
  <c r="F190" i="47"/>
  <c r="F142" i="47"/>
  <c r="F83" i="47"/>
  <c r="F38" i="47"/>
  <c r="F68" i="47"/>
  <c r="F15" i="47"/>
  <c r="F175" i="47"/>
  <c r="F18" i="47"/>
  <c r="F195" i="48"/>
  <c r="F191" i="48"/>
  <c r="F185" i="48"/>
  <c r="F181" i="48"/>
  <c r="F177" i="48"/>
  <c r="F172" i="48"/>
  <c r="F168" i="48"/>
  <c r="F163" i="48"/>
  <c r="F159" i="48"/>
  <c r="F155" i="48"/>
  <c r="F151" i="48"/>
  <c r="F147" i="48"/>
  <c r="F143" i="48"/>
  <c r="F138" i="48"/>
  <c r="F133" i="48"/>
  <c r="F128" i="48"/>
  <c r="F124" i="48"/>
  <c r="F119" i="48"/>
  <c r="F115" i="48"/>
  <c r="F111" i="48"/>
  <c r="F107" i="48"/>
  <c r="F103" i="48"/>
  <c r="F99" i="48"/>
  <c r="F95" i="48"/>
  <c r="F91" i="48"/>
  <c r="F87" i="48"/>
  <c r="F81" i="48"/>
  <c r="F77" i="48"/>
  <c r="F73" i="48"/>
  <c r="F69" i="48"/>
  <c r="F65" i="48"/>
  <c r="F60" i="48"/>
  <c r="F56" i="48"/>
  <c r="F51" i="48"/>
  <c r="F47" i="48"/>
  <c r="F43" i="48"/>
  <c r="F39" i="48"/>
  <c r="F34" i="48"/>
  <c r="F30" i="48"/>
  <c r="F25" i="48"/>
  <c r="F21" i="48"/>
  <c r="F16" i="48"/>
  <c r="F12" i="48"/>
  <c r="F8" i="48"/>
  <c r="F175" i="48"/>
  <c r="F132" i="48"/>
  <c r="F63" i="48"/>
  <c r="F18" i="48"/>
  <c r="F195" i="47"/>
  <c r="F191" i="47"/>
  <c r="F185" i="47"/>
  <c r="F181" i="47"/>
  <c r="F177" i="47"/>
  <c r="F172" i="47"/>
  <c r="F168" i="47"/>
  <c r="F163" i="47"/>
  <c r="F159" i="47"/>
  <c r="F155" i="47"/>
  <c r="F151" i="47"/>
  <c r="F147" i="47"/>
  <c r="F143" i="47"/>
  <c r="F138" i="47"/>
  <c r="F133" i="47"/>
  <c r="F128" i="47"/>
  <c r="F124" i="47"/>
  <c r="F119" i="47"/>
  <c r="F115" i="47"/>
  <c r="F111" i="47"/>
  <c r="F107" i="47"/>
  <c r="F103" i="47"/>
  <c r="F99" i="47"/>
  <c r="F95" i="47"/>
  <c r="F91" i="47"/>
  <c r="F87" i="47"/>
  <c r="F81" i="47"/>
  <c r="F77" i="47"/>
  <c r="F73" i="47"/>
  <c r="F69" i="47"/>
  <c r="F65" i="47"/>
  <c r="F60" i="47"/>
  <c r="F56" i="47"/>
  <c r="F51" i="47"/>
  <c r="F47" i="47"/>
  <c r="F43" i="47"/>
  <c r="F39" i="47"/>
  <c r="F34" i="47"/>
  <c r="F30" i="47"/>
  <c r="F25" i="47"/>
  <c r="F21" i="47"/>
  <c r="F16" i="47"/>
  <c r="F12" i="47"/>
  <c r="F8" i="47"/>
  <c r="F186" i="47"/>
  <c r="F136" i="47"/>
  <c r="F82" i="47"/>
  <c r="F28" i="47"/>
  <c r="F80" i="47"/>
  <c r="F24" i="47"/>
  <c r="F7" i="47"/>
  <c r="F63" i="47"/>
  <c r="F198" i="48"/>
  <c r="F194" i="48"/>
  <c r="F189" i="48"/>
  <c r="F184" i="48"/>
  <c r="F180" i="48"/>
  <c r="F176" i="48"/>
  <c r="F171" i="48"/>
  <c r="F167" i="48"/>
  <c r="F162" i="48"/>
  <c r="F158" i="48"/>
  <c r="F154" i="48"/>
  <c r="F150" i="48"/>
  <c r="F146" i="48"/>
  <c r="F141" i="48"/>
  <c r="F137" i="48"/>
  <c r="F131" i="48"/>
  <c r="F127" i="48"/>
  <c r="F122" i="48"/>
  <c r="F118" i="48"/>
  <c r="F114" i="48"/>
  <c r="F110" i="48"/>
  <c r="F106" i="48"/>
  <c r="F102" i="48"/>
  <c r="F98" i="48"/>
  <c r="F94" i="48"/>
  <c r="F90" i="48"/>
  <c r="F86" i="48"/>
  <c r="F80" i="48"/>
  <c r="F76" i="48"/>
  <c r="F72" i="48"/>
  <c r="F68" i="48"/>
  <c r="F64" i="48"/>
  <c r="F59" i="48"/>
  <c r="F55" i="48"/>
  <c r="F50" i="48"/>
  <c r="F46" i="48"/>
  <c r="F42" i="48"/>
  <c r="F37" i="48"/>
  <c r="F33" i="48"/>
  <c r="F29" i="48"/>
  <c r="F24" i="48"/>
  <c r="F20" i="48"/>
  <c r="F15" i="48"/>
  <c r="F11" i="48"/>
  <c r="F7" i="48"/>
  <c r="F165" i="48"/>
  <c r="F123" i="48"/>
  <c r="F52" i="48"/>
  <c r="F6" i="48"/>
  <c r="F198" i="47"/>
  <c r="F194" i="47"/>
  <c r="F189" i="47"/>
  <c r="F184" i="47"/>
  <c r="F180" i="47"/>
  <c r="F176" i="47"/>
  <c r="F171" i="47"/>
  <c r="F167" i="47"/>
  <c r="F162" i="47"/>
  <c r="F158" i="47"/>
  <c r="F154" i="47"/>
  <c r="F150" i="47"/>
  <c r="F146" i="47"/>
  <c r="F141" i="47"/>
  <c r="F137" i="47"/>
  <c r="F131" i="47"/>
  <c r="F127" i="47"/>
  <c r="F122" i="47"/>
  <c r="F118" i="47"/>
  <c r="F114" i="47"/>
  <c r="F110" i="47"/>
  <c r="F106" i="47"/>
  <c r="F102" i="47"/>
  <c r="F98" i="47"/>
  <c r="F94" i="47"/>
  <c r="F90" i="47"/>
  <c r="F86" i="47"/>
  <c r="F76" i="47"/>
  <c r="F72" i="47"/>
  <c r="F64" i="47"/>
  <c r="F59" i="47"/>
  <c r="F55" i="47"/>
  <c r="F50" i="47"/>
  <c r="F46" i="47"/>
  <c r="F42" i="47"/>
  <c r="F37" i="47"/>
  <c r="F33" i="47"/>
  <c r="F29" i="47"/>
  <c r="F20" i="47"/>
  <c r="F11" i="47"/>
  <c r="F132" i="47"/>
  <c r="F197" i="48"/>
  <c r="F193" i="48"/>
  <c r="F188" i="48"/>
  <c r="F183" i="48"/>
  <c r="F179" i="48"/>
  <c r="F174" i="48"/>
  <c r="F170" i="48"/>
  <c r="F166" i="48"/>
  <c r="F161" i="48"/>
  <c r="F157" i="48"/>
  <c r="F153" i="48"/>
  <c r="F149" i="48"/>
  <c r="F145" i="48"/>
  <c r="F140" i="48"/>
  <c r="F135" i="48"/>
  <c r="F130" i="48"/>
  <c r="F126" i="48"/>
  <c r="F121" i="48"/>
  <c r="F117" i="48"/>
  <c r="F113" i="48"/>
  <c r="F109" i="48"/>
  <c r="F105" i="48"/>
  <c r="F101" i="48"/>
  <c r="F97" i="48"/>
  <c r="F93" i="48"/>
  <c r="F89" i="48"/>
  <c r="F85" i="48"/>
  <c r="F79" i="48"/>
  <c r="F75" i="48"/>
  <c r="F71" i="48"/>
  <c r="F67" i="48"/>
  <c r="F62" i="48"/>
  <c r="F58" i="48"/>
  <c r="F54" i="48"/>
  <c r="F49" i="48"/>
  <c r="F45" i="48"/>
  <c r="F41" i="48"/>
  <c r="F36" i="48"/>
  <c r="F32" i="48"/>
  <c r="F27" i="48"/>
  <c r="F23" i="48"/>
  <c r="F19" i="48"/>
  <c r="F14" i="48"/>
  <c r="F10" i="48"/>
  <c r="F190" i="48"/>
  <c r="F142" i="48"/>
  <c r="F83" i="48"/>
  <c r="F38" i="48"/>
  <c r="F5" i="48"/>
  <c r="F197" i="47"/>
  <c r="F193" i="47"/>
  <c r="F188" i="47"/>
  <c r="F183" i="47"/>
  <c r="F179" i="47"/>
  <c r="F174" i="47"/>
  <c r="F170" i="47"/>
  <c r="F166" i="47"/>
  <c r="F161" i="47"/>
  <c r="F157" i="47"/>
  <c r="F153" i="47"/>
  <c r="F149" i="47"/>
  <c r="F145" i="47"/>
  <c r="F140" i="47"/>
  <c r="F135" i="47"/>
  <c r="F130" i="47"/>
  <c r="F126" i="47"/>
  <c r="F121" i="47"/>
  <c r="F117" i="47"/>
  <c r="F113" i="47"/>
  <c r="F109" i="47"/>
  <c r="F105" i="47"/>
  <c r="F101" i="47"/>
  <c r="F97" i="47"/>
  <c r="F93" i="47"/>
  <c r="F89" i="47"/>
  <c r="F85" i="47"/>
  <c r="F79" i="47"/>
  <c r="F75" i="47"/>
  <c r="F71" i="47"/>
  <c r="F67" i="47"/>
  <c r="F62" i="47"/>
  <c r="F58" i="47"/>
  <c r="F54" i="47"/>
  <c r="F49" i="47"/>
  <c r="F45" i="47"/>
  <c r="F41" i="47"/>
  <c r="F36" i="47"/>
  <c r="F32" i="47"/>
  <c r="F27" i="47"/>
  <c r="F23" i="47"/>
  <c r="F19" i="47"/>
  <c r="F14" i="47"/>
  <c r="F10" i="47"/>
  <c r="F6" i="47"/>
  <c r="F165" i="47"/>
  <c r="F123" i="47"/>
  <c r="F52" i="47"/>
  <c r="F5" i="47"/>
  <c r="F186" i="46"/>
  <c r="G186" i="46" s="1"/>
  <c r="H186" i="46" s="1"/>
  <c r="F136" i="46"/>
  <c r="G136" i="46" s="1"/>
  <c r="H136" i="46" s="1"/>
  <c r="I136" i="46" s="1"/>
  <c r="F82" i="46"/>
  <c r="G82" i="46" s="1"/>
  <c r="H82" i="46" s="1"/>
  <c r="I82" i="46" s="1"/>
  <c r="J82" i="46" s="1"/>
  <c r="K82" i="46" s="1"/>
  <c r="F28" i="46"/>
  <c r="G28" i="46" s="1"/>
  <c r="H28" i="46" s="1"/>
  <c r="I28" i="46" s="1"/>
  <c r="J28" i="46" s="1"/>
  <c r="K28" i="46" s="1"/>
  <c r="L28" i="46" s="1"/>
  <c r="F153" i="46"/>
  <c r="G153" i="46" s="1"/>
  <c r="H153" i="46" s="1"/>
  <c r="I153" i="46" s="1"/>
  <c r="J153" i="46" s="1"/>
  <c r="K153" i="46" s="1"/>
  <c r="L153" i="46" s="1"/>
  <c r="M153" i="46" s="1"/>
  <c r="N153" i="46" s="1"/>
  <c r="O153" i="46" s="1"/>
  <c r="F149" i="46"/>
  <c r="G149" i="46" s="1"/>
  <c r="H149" i="46" s="1"/>
  <c r="I149" i="46" s="1"/>
  <c r="J149" i="46" s="1"/>
  <c r="K149" i="46" s="1"/>
  <c r="L149" i="46" s="1"/>
  <c r="M149" i="46" s="1"/>
  <c r="N149" i="46" s="1"/>
  <c r="O149" i="46" s="1"/>
  <c r="P149" i="46" s="1"/>
  <c r="F126" i="46"/>
  <c r="G126" i="46" s="1"/>
  <c r="H126" i="46" s="1"/>
  <c r="I126" i="46" s="1"/>
  <c r="J126" i="46" s="1"/>
  <c r="K126" i="46" s="1"/>
  <c r="L126" i="46" s="1"/>
  <c r="M126" i="46" s="1"/>
  <c r="N126" i="46" s="1"/>
  <c r="O126" i="46" s="1"/>
  <c r="F113" i="46"/>
  <c r="G113" i="46" s="1"/>
  <c r="H113" i="46" s="1"/>
  <c r="I113" i="46" s="1"/>
  <c r="J113" i="46" s="1"/>
  <c r="K113" i="46" s="1"/>
  <c r="L113" i="46" s="1"/>
  <c r="M113" i="46" s="1"/>
  <c r="F153" i="43"/>
  <c r="F149" i="43"/>
  <c r="F126" i="43"/>
  <c r="F142" i="43"/>
  <c r="F83" i="43"/>
  <c r="F38" i="43"/>
  <c r="F165" i="46"/>
  <c r="F133" i="43"/>
  <c r="F132" i="43"/>
  <c r="F175" i="43"/>
  <c r="F5" i="43"/>
  <c r="F175" i="46"/>
  <c r="G175" i="46" s="1"/>
  <c r="F132" i="46"/>
  <c r="G132" i="46" s="1"/>
  <c r="H132" i="46" s="1"/>
  <c r="I132" i="46" s="1"/>
  <c r="J132" i="46" s="1"/>
  <c r="F63" i="46"/>
  <c r="G63" i="46" s="1"/>
  <c r="H63" i="46" s="1"/>
  <c r="I63" i="46" s="1"/>
  <c r="F18" i="46"/>
  <c r="G18" i="46" s="1"/>
  <c r="H18" i="46" s="1"/>
  <c r="I18" i="46" s="1"/>
  <c r="J18" i="46" s="1"/>
  <c r="F185" i="46"/>
  <c r="G185" i="46" s="1"/>
  <c r="H185" i="46" s="1"/>
  <c r="I185" i="46" s="1"/>
  <c r="J185" i="46" s="1"/>
  <c r="K185" i="46" s="1"/>
  <c r="L185" i="46" s="1"/>
  <c r="M185" i="46" s="1"/>
  <c r="N185" i="46" s="1"/>
  <c r="O185" i="46" s="1"/>
  <c r="P185" i="46" s="1"/>
  <c r="F185" i="43"/>
  <c r="F190" i="43"/>
  <c r="F136" i="43"/>
  <c r="F82" i="43"/>
  <c r="F28" i="43"/>
  <c r="F52" i="46"/>
  <c r="G52" i="46" s="1"/>
  <c r="H52" i="46" s="1"/>
  <c r="F133" i="46"/>
  <c r="G133" i="46" s="1"/>
  <c r="H133" i="46" s="1"/>
  <c r="I133" i="46" s="1"/>
  <c r="J133" i="46" s="1"/>
  <c r="K133" i="46" s="1"/>
  <c r="L133" i="46" s="1"/>
  <c r="M133" i="46" s="1"/>
  <c r="N133" i="46" s="1"/>
  <c r="O133" i="46" s="1"/>
  <c r="P133" i="46" s="1"/>
  <c r="F119" i="43"/>
  <c r="F63" i="43"/>
  <c r="F137" i="43"/>
  <c r="F123" i="46"/>
  <c r="G123" i="46" s="1"/>
  <c r="H123" i="46" s="1"/>
  <c r="I123" i="46" s="1"/>
  <c r="J123" i="46" s="1"/>
  <c r="F119" i="46"/>
  <c r="G119" i="46" s="1"/>
  <c r="H119" i="46" s="1"/>
  <c r="I119" i="46" s="1"/>
  <c r="J119" i="46" s="1"/>
  <c r="K119" i="46" s="1"/>
  <c r="L119" i="46" s="1"/>
  <c r="M119" i="46" s="1"/>
  <c r="N119" i="46" s="1"/>
  <c r="O119" i="46" s="1"/>
  <c r="F186" i="43"/>
  <c r="F18" i="43"/>
  <c r="F142" i="46"/>
  <c r="F83" i="46"/>
  <c r="G83" i="46" s="1"/>
  <c r="H83" i="46" s="1"/>
  <c r="I83" i="46" s="1"/>
  <c r="F38" i="46"/>
  <c r="G38" i="46" s="1"/>
  <c r="H38" i="46" s="1"/>
  <c r="F137" i="46"/>
  <c r="G137" i="46" s="1"/>
  <c r="F5" i="46"/>
  <c r="G5" i="46" s="1"/>
  <c r="H5" i="46" s="1"/>
  <c r="I5" i="46" s="1"/>
  <c r="F123" i="43"/>
  <c r="F52" i="43"/>
  <c r="P126" i="46" l="1"/>
  <c r="H137" i="46"/>
  <c r="I137" i="46" s="1"/>
  <c r="J137" i="46" s="1"/>
  <c r="K137" i="46" s="1"/>
  <c r="L137" i="46" s="1"/>
  <c r="M137" i="46" s="1"/>
  <c r="N137" i="46" s="1"/>
  <c r="O137" i="46" s="1"/>
  <c r="P137" i="46" s="1"/>
  <c r="P119" i="46"/>
  <c r="G165" i="46"/>
  <c r="H165" i="46" s="1"/>
  <c r="I165" i="46" s="1"/>
  <c r="J165" i="46" s="1"/>
  <c r="K165" i="46" s="1"/>
  <c r="L165" i="46" s="1"/>
  <c r="M165" i="46" s="1"/>
  <c r="N165" i="46" s="1"/>
  <c r="O165" i="46" s="1"/>
  <c r="P165" i="46" s="1"/>
  <c r="J136" i="46"/>
  <c r="K136" i="46" s="1"/>
  <c r="L136" i="46" s="1"/>
  <c r="M136" i="46" s="1"/>
  <c r="N136" i="46" s="1"/>
  <c r="O136" i="46" s="1"/>
  <c r="P136" i="46" s="1"/>
  <c r="I38" i="46"/>
  <c r="J38" i="46" s="1"/>
  <c r="K38" i="46" s="1"/>
  <c r="L38" i="46" s="1"/>
  <c r="M38" i="46" s="1"/>
  <c r="N38" i="46" s="1"/>
  <c r="O38" i="46" s="1"/>
  <c r="P38" i="46" s="1"/>
  <c r="K123" i="46"/>
  <c r="L123" i="46" s="1"/>
  <c r="M123" i="46" s="1"/>
  <c r="N123" i="46" s="1"/>
  <c r="O123" i="46" s="1"/>
  <c r="P123" i="46" s="1"/>
  <c r="J63" i="46"/>
  <c r="K63" i="46" s="1"/>
  <c r="L63" i="46" s="1"/>
  <c r="M63" i="46" s="1"/>
  <c r="N63" i="46" s="1"/>
  <c r="O63" i="46" s="1"/>
  <c r="P63" i="46" s="1"/>
  <c r="P153" i="46"/>
  <c r="I186" i="46"/>
  <c r="J186" i="46" s="1"/>
  <c r="K186" i="46" s="1"/>
  <c r="L186" i="46" s="1"/>
  <c r="M186" i="46" s="1"/>
  <c r="N186" i="46" s="1"/>
  <c r="O186" i="46" s="1"/>
  <c r="P186" i="46" s="1"/>
  <c r="G142" i="46"/>
  <c r="H142" i="46" s="1"/>
  <c r="I142" i="46" s="1"/>
  <c r="J142" i="46" s="1"/>
  <c r="K142" i="46" s="1"/>
  <c r="L142" i="46" s="1"/>
  <c r="M142" i="46" s="1"/>
  <c r="N142" i="46" s="1"/>
  <c r="O142" i="46" s="1"/>
  <c r="P142" i="46" s="1"/>
  <c r="L82" i="46"/>
  <c r="M82" i="46" s="1"/>
  <c r="N82" i="46" s="1"/>
  <c r="O82" i="46" s="1"/>
  <c r="P82" i="46" s="1"/>
  <c r="J83" i="46"/>
  <c r="K83" i="46" s="1"/>
  <c r="L83" i="46" s="1"/>
  <c r="M83" i="46" s="1"/>
  <c r="N83" i="46" s="1"/>
  <c r="O83" i="46" s="1"/>
  <c r="P83" i="46" s="1"/>
  <c r="K132" i="46"/>
  <c r="L132" i="46" s="1"/>
  <c r="M132" i="46" s="1"/>
  <c r="N132" i="46" s="1"/>
  <c r="O132" i="46" s="1"/>
  <c r="P132" i="46" s="1"/>
  <c r="N113" i="46"/>
  <c r="O113" i="46" s="1"/>
  <c r="P113" i="46" s="1"/>
  <c r="M28" i="46"/>
  <c r="N28" i="46" s="1"/>
  <c r="O28" i="46" s="1"/>
  <c r="P28" i="46" s="1"/>
  <c r="J5" i="46"/>
  <c r="K5" i="46" s="1"/>
  <c r="L5" i="46" s="1"/>
  <c r="M5" i="46" s="1"/>
  <c r="N5" i="46" s="1"/>
  <c r="O5" i="46" s="1"/>
  <c r="P5" i="46" s="1"/>
  <c r="H175" i="46"/>
  <c r="I175" i="46" s="1"/>
  <c r="J175" i="46" s="1"/>
  <c r="K175" i="46" s="1"/>
  <c r="L175" i="46" s="1"/>
  <c r="M175" i="46" s="1"/>
  <c r="N175" i="46" s="1"/>
  <c r="O175" i="46" s="1"/>
  <c r="P175" i="46" s="1"/>
  <c r="I52" i="46"/>
  <c r="J52" i="46" s="1"/>
  <c r="K52" i="46" s="1"/>
  <c r="L52" i="46" s="1"/>
  <c r="M52" i="46" s="1"/>
  <c r="N52" i="46" s="1"/>
  <c r="O52" i="46" s="1"/>
  <c r="P52" i="46" s="1"/>
  <c r="K18" i="46"/>
  <c r="L18" i="46" s="1"/>
  <c r="M18" i="46" s="1"/>
  <c r="N18" i="46" s="1"/>
  <c r="O18" i="46" s="1"/>
  <c r="P18" i="46" s="1"/>
  <c r="G23" i="48"/>
  <c r="G41" i="48"/>
  <c r="G93" i="48"/>
  <c r="G126" i="48"/>
  <c r="G161" i="48"/>
  <c r="G179" i="48"/>
  <c r="G15" i="48"/>
  <c r="G33" i="48"/>
  <c r="G50" i="48"/>
  <c r="G68" i="48"/>
  <c r="G86" i="48"/>
  <c r="G102" i="48"/>
  <c r="G118" i="48"/>
  <c r="G137" i="48"/>
  <c r="G154" i="48"/>
  <c r="G171" i="48"/>
  <c r="G189" i="48"/>
  <c r="G63" i="48"/>
  <c r="G12" i="48"/>
  <c r="G30" i="48"/>
  <c r="G47" i="48"/>
  <c r="G65" i="48"/>
  <c r="G81" i="48"/>
  <c r="G99" i="48"/>
  <c r="G115" i="48"/>
  <c r="G133" i="48"/>
  <c r="G151" i="48"/>
  <c r="G168" i="48"/>
  <c r="G185" i="48"/>
  <c r="G82" i="48"/>
  <c r="G13" i="48"/>
  <c r="G31" i="48"/>
  <c r="G48" i="48"/>
  <c r="G66" i="48"/>
  <c r="G84" i="48"/>
  <c r="G100" i="48"/>
  <c r="G116" i="48"/>
  <c r="G134" i="48"/>
  <c r="G152" i="48"/>
  <c r="G169" i="48"/>
  <c r="G187" i="48"/>
  <c r="G5" i="48"/>
  <c r="G190" i="48"/>
  <c r="G58" i="48"/>
  <c r="G75" i="48"/>
  <c r="G109" i="48"/>
  <c r="G145" i="48"/>
  <c r="G197" i="48"/>
  <c r="G123" i="48"/>
  <c r="G38" i="48"/>
  <c r="G10" i="48"/>
  <c r="G27" i="48"/>
  <c r="G45" i="48"/>
  <c r="G62" i="48"/>
  <c r="G79" i="48"/>
  <c r="G97" i="48"/>
  <c r="G113" i="48"/>
  <c r="G130" i="48"/>
  <c r="G149" i="48"/>
  <c r="G166" i="48"/>
  <c r="G183" i="48"/>
  <c r="G165" i="48"/>
  <c r="G20" i="48"/>
  <c r="G37" i="48"/>
  <c r="G55" i="48"/>
  <c r="G72" i="48"/>
  <c r="G90" i="48"/>
  <c r="G106" i="48"/>
  <c r="G122" i="48"/>
  <c r="G141" i="48"/>
  <c r="G158" i="48"/>
  <c r="G176" i="48"/>
  <c r="G194" i="48"/>
  <c r="G132" i="48"/>
  <c r="G16" i="48"/>
  <c r="G34" i="48"/>
  <c r="G51" i="48"/>
  <c r="G69" i="48"/>
  <c r="G87" i="48"/>
  <c r="G103" i="48"/>
  <c r="G119" i="48"/>
  <c r="G138" i="48"/>
  <c r="G155" i="48"/>
  <c r="G172" i="48"/>
  <c r="G191" i="48"/>
  <c r="G136" i="48"/>
  <c r="G17" i="48"/>
  <c r="G35" i="48"/>
  <c r="G53" i="48"/>
  <c r="G70" i="48"/>
  <c r="G88" i="48"/>
  <c r="G104" i="48"/>
  <c r="G120" i="48"/>
  <c r="G139" i="48"/>
  <c r="G156" i="48"/>
  <c r="G173" i="48"/>
  <c r="G192" i="48"/>
  <c r="G83" i="48"/>
  <c r="G14" i="48"/>
  <c r="G32" i="48"/>
  <c r="G49" i="48"/>
  <c r="G67" i="48"/>
  <c r="G85" i="48"/>
  <c r="G101" i="48"/>
  <c r="G117" i="48"/>
  <c r="G135" i="48"/>
  <c r="G153" i="48"/>
  <c r="G170" i="48"/>
  <c r="G188" i="48"/>
  <c r="G6" i="48"/>
  <c r="G7" i="48"/>
  <c r="G24" i="48"/>
  <c r="G42" i="48"/>
  <c r="G59" i="48"/>
  <c r="G76" i="48"/>
  <c r="G94" i="48"/>
  <c r="G110" i="48"/>
  <c r="G127" i="48"/>
  <c r="G146" i="48"/>
  <c r="G162" i="48"/>
  <c r="G180" i="48"/>
  <c r="G198" i="48"/>
  <c r="G175" i="48"/>
  <c r="G21" i="48"/>
  <c r="G39" i="48"/>
  <c r="G56" i="48"/>
  <c r="G73" i="48"/>
  <c r="G91" i="48"/>
  <c r="G107" i="48"/>
  <c r="G124" i="48"/>
  <c r="G143" i="48"/>
  <c r="G159" i="48"/>
  <c r="G177" i="48"/>
  <c r="G195" i="48"/>
  <c r="G186" i="48"/>
  <c r="G22" i="48"/>
  <c r="G40" i="48"/>
  <c r="G57" i="48"/>
  <c r="G74" i="48"/>
  <c r="G92" i="48"/>
  <c r="G108" i="48"/>
  <c r="G125" i="48"/>
  <c r="G144" i="48"/>
  <c r="G160" i="48"/>
  <c r="G178" i="48"/>
  <c r="G196" i="48"/>
  <c r="G142" i="48"/>
  <c r="G19" i="48"/>
  <c r="G36" i="48"/>
  <c r="G54" i="48"/>
  <c r="G71" i="48"/>
  <c r="G89" i="48"/>
  <c r="G105" i="48"/>
  <c r="G121" i="48"/>
  <c r="G140" i="48"/>
  <c r="G157" i="48"/>
  <c r="G174" i="48"/>
  <c r="G193" i="48"/>
  <c r="G52" i="48"/>
  <c r="G11" i="48"/>
  <c r="G29" i="48"/>
  <c r="G46" i="48"/>
  <c r="G64" i="48"/>
  <c r="G80" i="48"/>
  <c r="G98" i="48"/>
  <c r="G114" i="48"/>
  <c r="G131" i="48"/>
  <c r="G150" i="48"/>
  <c r="G167" i="48"/>
  <c r="G184" i="48"/>
  <c r="G18" i="48"/>
  <c r="G8" i="48"/>
  <c r="G25" i="48"/>
  <c r="G43" i="48"/>
  <c r="G60" i="48"/>
  <c r="G77" i="48"/>
  <c r="G95" i="48"/>
  <c r="G111" i="48"/>
  <c r="G128" i="48"/>
  <c r="G147" i="48"/>
  <c r="G163" i="48"/>
  <c r="G181" i="48"/>
  <c r="G28" i="48"/>
  <c r="G9" i="48"/>
  <c r="G26" i="48"/>
  <c r="G44" i="48"/>
  <c r="G61" i="48"/>
  <c r="G78" i="48"/>
  <c r="G96" i="48"/>
  <c r="G112" i="48"/>
  <c r="G129" i="48"/>
  <c r="G148" i="48"/>
  <c r="G164" i="48"/>
  <c r="G182" i="48"/>
  <c r="G186" i="47"/>
  <c r="G190" i="47"/>
  <c r="G52" i="47"/>
  <c r="G113" i="47"/>
  <c r="G149" i="47"/>
  <c r="G82" i="47"/>
  <c r="G133" i="47"/>
  <c r="G185" i="47"/>
  <c r="G175" i="47"/>
  <c r="G83" i="47"/>
  <c r="G153" i="47"/>
  <c r="G132" i="47"/>
  <c r="G136" i="47"/>
  <c r="G119" i="47"/>
  <c r="G142" i="47"/>
  <c r="G123" i="47"/>
  <c r="G165" i="47"/>
  <c r="G5" i="47"/>
  <c r="G126" i="47"/>
  <c r="G137" i="47"/>
  <c r="G63" i="47"/>
  <c r="G28" i="47"/>
  <c r="G18" i="47"/>
  <c r="G38" i="47"/>
  <c r="G44" i="47"/>
  <c r="G123" i="43"/>
  <c r="G119" i="43"/>
  <c r="G190" i="43"/>
  <c r="G83" i="43"/>
  <c r="G149" i="43"/>
  <c r="G10" i="47"/>
  <c r="G27" i="47"/>
  <c r="G45" i="47"/>
  <c r="G62" i="47"/>
  <c r="G79" i="47"/>
  <c r="G97" i="47"/>
  <c r="G130" i="47"/>
  <c r="G166" i="47"/>
  <c r="G183" i="47"/>
  <c r="G29" i="47"/>
  <c r="G46" i="47"/>
  <c r="G64" i="47"/>
  <c r="G90" i="47"/>
  <c r="G106" i="47"/>
  <c r="G122" i="47"/>
  <c r="G141" i="47"/>
  <c r="G158" i="47"/>
  <c r="G176" i="47"/>
  <c r="G194" i="47"/>
  <c r="G7" i="47"/>
  <c r="G12" i="47"/>
  <c r="G30" i="47"/>
  <c r="G47" i="47"/>
  <c r="G65" i="47"/>
  <c r="G81" i="47"/>
  <c r="G99" i="47"/>
  <c r="G115" i="47"/>
  <c r="G151" i="47"/>
  <c r="G168" i="47"/>
  <c r="G13" i="47"/>
  <c r="G31" i="47"/>
  <c r="G48" i="47"/>
  <c r="G66" i="47"/>
  <c r="G84" i="47"/>
  <c r="G100" i="47"/>
  <c r="G116" i="47"/>
  <c r="G134" i="47"/>
  <c r="G152" i="47"/>
  <c r="G169" i="47"/>
  <c r="G187" i="47"/>
  <c r="G137" i="43"/>
  <c r="G28" i="43"/>
  <c r="G142" i="43"/>
  <c r="G153" i="43"/>
  <c r="G14" i="47"/>
  <c r="G32" i="47"/>
  <c r="G49" i="47"/>
  <c r="G67" i="47"/>
  <c r="G85" i="47"/>
  <c r="G101" i="47"/>
  <c r="G117" i="47"/>
  <c r="G135" i="47"/>
  <c r="G170" i="47"/>
  <c r="G188" i="47"/>
  <c r="G33" i="47"/>
  <c r="G50" i="47"/>
  <c r="G72" i="47"/>
  <c r="G94" i="47"/>
  <c r="G110" i="47"/>
  <c r="G127" i="47"/>
  <c r="G146" i="47"/>
  <c r="G162" i="47"/>
  <c r="G180" i="47"/>
  <c r="G198" i="47"/>
  <c r="G24" i="47"/>
  <c r="G16" i="47"/>
  <c r="G34" i="47"/>
  <c r="G51" i="47"/>
  <c r="G69" i="47"/>
  <c r="G87" i="47"/>
  <c r="G103" i="47"/>
  <c r="G138" i="47"/>
  <c r="G155" i="47"/>
  <c r="G172" i="47"/>
  <c r="G191" i="47"/>
  <c r="G15" i="47"/>
  <c r="G17" i="47"/>
  <c r="G35" i="47"/>
  <c r="G53" i="47"/>
  <c r="G70" i="47"/>
  <c r="G88" i="47"/>
  <c r="G104" i="47"/>
  <c r="G120" i="47"/>
  <c r="G139" i="47"/>
  <c r="G156" i="47"/>
  <c r="G173" i="47"/>
  <c r="G192" i="47"/>
  <c r="G18" i="43"/>
  <c r="G82" i="43"/>
  <c r="G5" i="43"/>
  <c r="G132" i="43"/>
  <c r="G113" i="43"/>
  <c r="G165" i="43"/>
  <c r="G19" i="47"/>
  <c r="G36" i="47"/>
  <c r="G54" i="47"/>
  <c r="G71" i="47"/>
  <c r="G89" i="47"/>
  <c r="G105" i="47"/>
  <c r="G121" i="47"/>
  <c r="G140" i="47"/>
  <c r="G157" i="47"/>
  <c r="G174" i="47"/>
  <c r="G193" i="47"/>
  <c r="G11" i="47"/>
  <c r="G37" i="47"/>
  <c r="G55" i="47"/>
  <c r="G76" i="47"/>
  <c r="G98" i="47"/>
  <c r="G114" i="47"/>
  <c r="G131" i="47"/>
  <c r="G150" i="47"/>
  <c r="G167" i="47"/>
  <c r="G184" i="47"/>
  <c r="G80" i="47"/>
  <c r="G21" i="47"/>
  <c r="G39" i="47"/>
  <c r="G56" i="47"/>
  <c r="G73" i="47"/>
  <c r="G91" i="47"/>
  <c r="G107" i="47"/>
  <c r="G124" i="47"/>
  <c r="G143" i="47"/>
  <c r="G159" i="47"/>
  <c r="G177" i="47"/>
  <c r="G195" i="47"/>
  <c r="G68" i="47"/>
  <c r="G22" i="47"/>
  <c r="G40" i="47"/>
  <c r="G57" i="47"/>
  <c r="G74" i="47"/>
  <c r="G92" i="47"/>
  <c r="G108" i="47"/>
  <c r="G125" i="47"/>
  <c r="G144" i="47"/>
  <c r="G160" i="47"/>
  <c r="G178" i="47"/>
  <c r="G196" i="47"/>
  <c r="G185" i="43"/>
  <c r="G52" i="43"/>
  <c r="G186" i="43"/>
  <c r="G63" i="43"/>
  <c r="G136" i="43"/>
  <c r="G175" i="43"/>
  <c r="G133" i="43"/>
  <c r="G38" i="43"/>
  <c r="G126" i="43"/>
  <c r="G6" i="47"/>
  <c r="G23" i="47"/>
  <c r="G41" i="47"/>
  <c r="G58" i="47"/>
  <c r="G75" i="47"/>
  <c r="G93" i="47"/>
  <c r="G109" i="47"/>
  <c r="G145" i="47"/>
  <c r="G161" i="47"/>
  <c r="G179" i="47"/>
  <c r="G197" i="47"/>
  <c r="G20" i="47"/>
  <c r="G42" i="47"/>
  <c r="G59" i="47"/>
  <c r="G86" i="47"/>
  <c r="G102" i="47"/>
  <c r="G118" i="47"/>
  <c r="G154" i="47"/>
  <c r="G171" i="47"/>
  <c r="G189" i="47"/>
  <c r="G8" i="47"/>
  <c r="G25" i="47"/>
  <c r="G43" i="47"/>
  <c r="G60" i="47"/>
  <c r="G77" i="47"/>
  <c r="G95" i="47"/>
  <c r="G111" i="47"/>
  <c r="G128" i="47"/>
  <c r="G147" i="47"/>
  <c r="G163" i="47"/>
  <c r="G181" i="47"/>
  <c r="G9" i="47"/>
  <c r="G26" i="47"/>
  <c r="G61" i="47"/>
  <c r="G78" i="47"/>
  <c r="G96" i="47"/>
  <c r="G112" i="47"/>
  <c r="G129" i="47"/>
  <c r="G148" i="47"/>
  <c r="G164" i="47"/>
  <c r="G182" i="47"/>
  <c r="H28" i="48" l="1"/>
  <c r="H164" i="48"/>
  <c r="H167" i="48"/>
  <c r="H98" i="48"/>
  <c r="H29" i="48"/>
  <c r="H174" i="48"/>
  <c r="H105" i="48"/>
  <c r="H36" i="48"/>
  <c r="H196" i="48"/>
  <c r="H125" i="48"/>
  <c r="H57" i="48"/>
  <c r="H195" i="48"/>
  <c r="H124" i="48"/>
  <c r="H56" i="48"/>
  <c r="H198" i="48"/>
  <c r="H127" i="48"/>
  <c r="H59" i="48"/>
  <c r="H6" i="48"/>
  <c r="H135" i="48"/>
  <c r="H67" i="48"/>
  <c r="H83" i="48"/>
  <c r="H156" i="48"/>
  <c r="H88" i="48"/>
  <c r="H17" i="48"/>
  <c r="H155" i="48"/>
  <c r="H87" i="48"/>
  <c r="H16" i="48"/>
  <c r="H158" i="48"/>
  <c r="H90" i="48"/>
  <c r="H20" i="48"/>
  <c r="H149" i="48"/>
  <c r="H79" i="48"/>
  <c r="H10" i="48"/>
  <c r="H145" i="48"/>
  <c r="H190" i="48"/>
  <c r="H169" i="48"/>
  <c r="H100" i="48"/>
  <c r="H31" i="48"/>
  <c r="H168" i="48"/>
  <c r="H99" i="48"/>
  <c r="H30" i="48"/>
  <c r="H171" i="48"/>
  <c r="H102" i="48"/>
  <c r="H33" i="48"/>
  <c r="H126" i="48"/>
  <c r="H128" i="48"/>
  <c r="H18" i="48"/>
  <c r="H131" i="48"/>
  <c r="H64" i="48"/>
  <c r="H52" i="48"/>
  <c r="H96" i="48"/>
  <c r="H26" i="48"/>
  <c r="H163" i="48"/>
  <c r="H95" i="48"/>
  <c r="H25" i="48"/>
  <c r="H182" i="48"/>
  <c r="H112" i="48"/>
  <c r="H44" i="48"/>
  <c r="H181" i="48"/>
  <c r="H111" i="48"/>
  <c r="H43" i="48"/>
  <c r="H184" i="48"/>
  <c r="H114" i="48"/>
  <c r="H46" i="48"/>
  <c r="H193" i="48"/>
  <c r="H121" i="48"/>
  <c r="H54" i="48"/>
  <c r="H144" i="48"/>
  <c r="H74" i="48"/>
  <c r="H186" i="48"/>
  <c r="H143" i="48"/>
  <c r="H73" i="48"/>
  <c r="H175" i="48"/>
  <c r="H146" i="48"/>
  <c r="H76" i="48"/>
  <c r="H7" i="48"/>
  <c r="H153" i="48"/>
  <c r="H85" i="48"/>
  <c r="H14" i="48"/>
  <c r="H173" i="48"/>
  <c r="H104" i="48"/>
  <c r="H35" i="48"/>
  <c r="H172" i="48"/>
  <c r="H103" i="48"/>
  <c r="H34" i="48"/>
  <c r="H176" i="48"/>
  <c r="H106" i="48"/>
  <c r="H37" i="48"/>
  <c r="H166" i="48"/>
  <c r="H97" i="48"/>
  <c r="H27" i="48"/>
  <c r="H197" i="48"/>
  <c r="H58" i="48"/>
  <c r="H187" i="48"/>
  <c r="H116" i="48"/>
  <c r="H48" i="48"/>
  <c r="H185" i="48"/>
  <c r="H115" i="48"/>
  <c r="H47" i="48"/>
  <c r="H189" i="48"/>
  <c r="H118" i="48"/>
  <c r="H50" i="48"/>
  <c r="H161" i="48"/>
  <c r="H23" i="48"/>
  <c r="H129" i="48"/>
  <c r="H140" i="48"/>
  <c r="H71" i="48"/>
  <c r="H160" i="48"/>
  <c r="H92" i="48"/>
  <c r="H22" i="48"/>
  <c r="H159" i="48"/>
  <c r="H91" i="48"/>
  <c r="H21" i="48"/>
  <c r="H162" i="48"/>
  <c r="H94" i="48"/>
  <c r="H24" i="48"/>
  <c r="H170" i="48"/>
  <c r="H101" i="48"/>
  <c r="H32" i="48"/>
  <c r="H192" i="48"/>
  <c r="H120" i="48"/>
  <c r="H53" i="48"/>
  <c r="H191" i="48"/>
  <c r="H119" i="48"/>
  <c r="H51" i="48"/>
  <c r="H194" i="48"/>
  <c r="H122" i="48"/>
  <c r="H55" i="48"/>
  <c r="H183" i="48"/>
  <c r="H113" i="48"/>
  <c r="H45" i="48"/>
  <c r="H123" i="48"/>
  <c r="H75" i="48"/>
  <c r="H134" i="48"/>
  <c r="H66" i="48"/>
  <c r="H82" i="48"/>
  <c r="H133" i="48"/>
  <c r="H65" i="48"/>
  <c r="H63" i="48"/>
  <c r="H137" i="48"/>
  <c r="H68" i="48"/>
  <c r="H179" i="48"/>
  <c r="H41" i="48"/>
  <c r="H61" i="48"/>
  <c r="H60" i="48"/>
  <c r="H142" i="48"/>
  <c r="H148" i="48"/>
  <c r="H78" i="48"/>
  <c r="H9" i="48"/>
  <c r="H147" i="48"/>
  <c r="H77" i="48"/>
  <c r="H8" i="48"/>
  <c r="H150" i="48"/>
  <c r="H80" i="48"/>
  <c r="H11" i="48"/>
  <c r="H157" i="48"/>
  <c r="H89" i="48"/>
  <c r="H19" i="48"/>
  <c r="H178" i="48"/>
  <c r="H108" i="48"/>
  <c r="H40" i="48"/>
  <c r="H177" i="48"/>
  <c r="H107" i="48"/>
  <c r="H39" i="48"/>
  <c r="H180" i="48"/>
  <c r="H110" i="48"/>
  <c r="H42" i="48"/>
  <c r="H188" i="48"/>
  <c r="H117" i="48"/>
  <c r="H49" i="48"/>
  <c r="H139" i="48"/>
  <c r="H70" i="48"/>
  <c r="H136" i="48"/>
  <c r="H138" i="48"/>
  <c r="H69" i="48"/>
  <c r="H132" i="48"/>
  <c r="H141" i="48"/>
  <c r="H72" i="48"/>
  <c r="H165" i="48"/>
  <c r="H130" i="48"/>
  <c r="H62" i="48"/>
  <c r="H38" i="48"/>
  <c r="H109" i="48"/>
  <c r="H5" i="48"/>
  <c r="H152" i="48"/>
  <c r="H84" i="48"/>
  <c r="H13" i="48"/>
  <c r="H151" i="48"/>
  <c r="H81" i="48"/>
  <c r="H12" i="48"/>
  <c r="H154" i="48"/>
  <c r="H86" i="48"/>
  <c r="H15" i="48"/>
  <c r="H93" i="48"/>
  <c r="H165" i="47"/>
  <c r="H136" i="47"/>
  <c r="H126" i="47"/>
  <c r="H38" i="47"/>
  <c r="H137" i="47"/>
  <c r="H142" i="47"/>
  <c r="H28" i="47"/>
  <c r="H5" i="47"/>
  <c r="H153" i="47"/>
  <c r="H175" i="47"/>
  <c r="H133" i="47"/>
  <c r="H190" i="47"/>
  <c r="H44" i="47"/>
  <c r="H18" i="47"/>
  <c r="H63" i="47"/>
  <c r="H123" i="47"/>
  <c r="H119" i="47"/>
  <c r="H113" i="47"/>
  <c r="H52" i="47"/>
  <c r="H132" i="47"/>
  <c r="H83" i="47"/>
  <c r="H185" i="47"/>
  <c r="H82" i="47"/>
  <c r="H149" i="47"/>
  <c r="H186" i="47"/>
  <c r="H126" i="43"/>
  <c r="H133" i="43"/>
  <c r="H136" i="43"/>
  <c r="H186" i="43"/>
  <c r="H185" i="43"/>
  <c r="H196" i="47"/>
  <c r="H178" i="47"/>
  <c r="H160" i="47"/>
  <c r="H144" i="47"/>
  <c r="H125" i="47"/>
  <c r="H108" i="47"/>
  <c r="H92" i="47"/>
  <c r="H74" i="47"/>
  <c r="H57" i="47"/>
  <c r="H40" i="47"/>
  <c r="H22" i="47"/>
  <c r="H68" i="47"/>
  <c r="H195" i="47"/>
  <c r="H177" i="47"/>
  <c r="H159" i="47"/>
  <c r="H143" i="47"/>
  <c r="H124" i="47"/>
  <c r="H107" i="47"/>
  <c r="H91" i="47"/>
  <c r="H73" i="47"/>
  <c r="H56" i="47"/>
  <c r="H39" i="47"/>
  <c r="H21" i="47"/>
  <c r="H80" i="47"/>
  <c r="H184" i="47"/>
  <c r="H167" i="47"/>
  <c r="H150" i="47"/>
  <c r="H131" i="47"/>
  <c r="H114" i="47"/>
  <c r="H98" i="47"/>
  <c r="H76" i="47"/>
  <c r="H55" i="47"/>
  <c r="H37" i="47"/>
  <c r="H11" i="47"/>
  <c r="H193" i="47"/>
  <c r="H174" i="47"/>
  <c r="H157" i="47"/>
  <c r="H140" i="47"/>
  <c r="H121" i="47"/>
  <c r="H105" i="47"/>
  <c r="H89" i="47"/>
  <c r="H71" i="47"/>
  <c r="H54" i="47"/>
  <c r="H36" i="47"/>
  <c r="H19" i="47"/>
  <c r="H113" i="43"/>
  <c r="H5" i="43"/>
  <c r="H18" i="43"/>
  <c r="H142" i="43"/>
  <c r="H28" i="43"/>
  <c r="H187" i="47"/>
  <c r="H169" i="47"/>
  <c r="H152" i="47"/>
  <c r="H134" i="47"/>
  <c r="H116" i="47"/>
  <c r="H100" i="47"/>
  <c r="H84" i="47"/>
  <c r="H66" i="47"/>
  <c r="H48" i="47"/>
  <c r="H31" i="47"/>
  <c r="H13" i="47"/>
  <c r="H168" i="47"/>
  <c r="H151" i="47"/>
  <c r="H115" i="47"/>
  <c r="H99" i="47"/>
  <c r="H81" i="47"/>
  <c r="H65" i="47"/>
  <c r="H47" i="47"/>
  <c r="H30" i="47"/>
  <c r="H12" i="47"/>
  <c r="H7" i="47"/>
  <c r="H194" i="47"/>
  <c r="H176" i="47"/>
  <c r="H158" i="47"/>
  <c r="H141" i="47"/>
  <c r="H122" i="47"/>
  <c r="H106" i="47"/>
  <c r="H90" i="47"/>
  <c r="H64" i="47"/>
  <c r="H46" i="47"/>
  <c r="H29" i="47"/>
  <c r="H183" i="47"/>
  <c r="H166" i="47"/>
  <c r="H130" i="47"/>
  <c r="H97" i="47"/>
  <c r="H79" i="47"/>
  <c r="H62" i="47"/>
  <c r="H45" i="47"/>
  <c r="H27" i="47"/>
  <c r="H10" i="47"/>
  <c r="H119" i="43"/>
  <c r="H38" i="43"/>
  <c r="H175" i="43"/>
  <c r="H63" i="43"/>
  <c r="H52" i="43"/>
  <c r="H165" i="43"/>
  <c r="H192" i="47"/>
  <c r="H173" i="47"/>
  <c r="H156" i="47"/>
  <c r="H139" i="47"/>
  <c r="H120" i="47"/>
  <c r="H104" i="47"/>
  <c r="H88" i="47"/>
  <c r="H70" i="47"/>
  <c r="H53" i="47"/>
  <c r="H35" i="47"/>
  <c r="H17" i="47"/>
  <c r="H15" i="47"/>
  <c r="H191" i="47"/>
  <c r="H172" i="47"/>
  <c r="H155" i="47"/>
  <c r="H138" i="47"/>
  <c r="H103" i="47"/>
  <c r="H87" i="47"/>
  <c r="H69" i="47"/>
  <c r="H51" i="47"/>
  <c r="H34" i="47"/>
  <c r="H16" i="47"/>
  <c r="H24" i="47"/>
  <c r="H198" i="47"/>
  <c r="H180" i="47"/>
  <c r="H162" i="47"/>
  <c r="H146" i="47"/>
  <c r="H127" i="47"/>
  <c r="H110" i="47"/>
  <c r="H94" i="47"/>
  <c r="H72" i="47"/>
  <c r="H50" i="47"/>
  <c r="H33" i="47"/>
  <c r="H188" i="47"/>
  <c r="H170" i="47"/>
  <c r="H135" i="47"/>
  <c r="H117" i="47"/>
  <c r="H101" i="47"/>
  <c r="H85" i="47"/>
  <c r="H67" i="47"/>
  <c r="H49" i="47"/>
  <c r="H32" i="47"/>
  <c r="H14" i="47"/>
  <c r="H149" i="43"/>
  <c r="H190" i="43"/>
  <c r="H182" i="47"/>
  <c r="H164" i="47"/>
  <c r="H148" i="47"/>
  <c r="H129" i="47"/>
  <c r="H112" i="47"/>
  <c r="H96" i="47"/>
  <c r="H78" i="47"/>
  <c r="H61" i="47"/>
  <c r="H26" i="47"/>
  <c r="H9" i="47"/>
  <c r="H181" i="47"/>
  <c r="H163" i="47"/>
  <c r="H147" i="47"/>
  <c r="H128" i="47"/>
  <c r="H111" i="47"/>
  <c r="H95" i="47"/>
  <c r="H77" i="47"/>
  <c r="H60" i="47"/>
  <c r="H43" i="47"/>
  <c r="H25" i="47"/>
  <c r="H8" i="47"/>
  <c r="H189" i="47"/>
  <c r="H171" i="47"/>
  <c r="H154" i="47"/>
  <c r="H118" i="47"/>
  <c r="H102" i="47"/>
  <c r="H86" i="47"/>
  <c r="H59" i="47"/>
  <c r="H42" i="47"/>
  <c r="H20" i="47"/>
  <c r="H197" i="47"/>
  <c r="H179" i="47"/>
  <c r="H161" i="47"/>
  <c r="H145" i="47"/>
  <c r="H109" i="47"/>
  <c r="H93" i="47"/>
  <c r="H75" i="47"/>
  <c r="H58" i="47"/>
  <c r="H41" i="47"/>
  <c r="H23" i="47"/>
  <c r="H6" i="47"/>
  <c r="H132" i="43"/>
  <c r="H82" i="43"/>
  <c r="H153" i="43"/>
  <c r="H137" i="43"/>
  <c r="H123" i="43"/>
  <c r="H83" i="43"/>
  <c r="I188" i="48" l="1"/>
  <c r="I15" i="48"/>
  <c r="I13" i="48"/>
  <c r="I152" i="48"/>
  <c r="I62" i="48"/>
  <c r="I165" i="48"/>
  <c r="I49" i="48"/>
  <c r="I180" i="48"/>
  <c r="I40" i="48"/>
  <c r="I108" i="48"/>
  <c r="I148" i="48"/>
  <c r="I142" i="48"/>
  <c r="I133" i="48"/>
  <c r="I134" i="48"/>
  <c r="I113" i="48"/>
  <c r="I51" i="48"/>
  <c r="I119" i="48"/>
  <c r="I191" i="48"/>
  <c r="I24" i="48"/>
  <c r="I21" i="48"/>
  <c r="I140" i="48"/>
  <c r="I23" i="48"/>
  <c r="I47" i="48"/>
  <c r="I27" i="48"/>
  <c r="I106" i="48"/>
  <c r="I176" i="48"/>
  <c r="I85" i="48"/>
  <c r="I153" i="48"/>
  <c r="I146" i="48"/>
  <c r="I143" i="48"/>
  <c r="I74" i="48"/>
  <c r="I121" i="48"/>
  <c r="I43" i="48"/>
  <c r="I44" i="48"/>
  <c r="I25" i="48"/>
  <c r="I131" i="48"/>
  <c r="I18" i="48"/>
  <c r="I99" i="48"/>
  <c r="I169" i="48"/>
  <c r="I149" i="48"/>
  <c r="I90" i="48"/>
  <c r="I158" i="48"/>
  <c r="I16" i="48"/>
  <c r="I67" i="48"/>
  <c r="I135" i="48"/>
  <c r="I6" i="48"/>
  <c r="I198" i="48"/>
  <c r="I124" i="48"/>
  <c r="I57" i="48"/>
  <c r="I98" i="48"/>
  <c r="I69" i="48"/>
  <c r="I12" i="48"/>
  <c r="I81" i="48"/>
  <c r="I130" i="48"/>
  <c r="I132" i="48"/>
  <c r="I93" i="48"/>
  <c r="I84" i="48"/>
  <c r="I5" i="48"/>
  <c r="I109" i="48"/>
  <c r="I38" i="48"/>
  <c r="I138" i="48"/>
  <c r="I136" i="48"/>
  <c r="I70" i="48"/>
  <c r="I139" i="48"/>
  <c r="I110" i="48"/>
  <c r="I177" i="48"/>
  <c r="I157" i="48"/>
  <c r="I150" i="48"/>
  <c r="I77" i="48"/>
  <c r="I147" i="48"/>
  <c r="I9" i="48"/>
  <c r="I78" i="48"/>
  <c r="I179" i="48"/>
  <c r="I137" i="48"/>
  <c r="I63" i="48"/>
  <c r="I65" i="48"/>
  <c r="I82" i="48"/>
  <c r="I66" i="48"/>
  <c r="I75" i="48"/>
  <c r="I45" i="48"/>
  <c r="I194" i="48"/>
  <c r="I170" i="48"/>
  <c r="I71" i="48"/>
  <c r="I189" i="48"/>
  <c r="I187" i="48"/>
  <c r="I37" i="48"/>
  <c r="I35" i="48"/>
  <c r="I173" i="48"/>
  <c r="I14" i="48"/>
  <c r="I7" i="48"/>
  <c r="I76" i="48"/>
  <c r="I73" i="48"/>
  <c r="I186" i="48"/>
  <c r="I54" i="48"/>
  <c r="I184" i="48"/>
  <c r="I64" i="48"/>
  <c r="I33" i="48"/>
  <c r="I30" i="48"/>
  <c r="I100" i="48"/>
  <c r="I79" i="48"/>
  <c r="I20" i="48"/>
  <c r="I156" i="48"/>
  <c r="I83" i="48"/>
  <c r="I127" i="48"/>
  <c r="I56" i="48"/>
  <c r="I29" i="48"/>
  <c r="I164" i="48"/>
  <c r="I28" i="48"/>
  <c r="I42" i="48"/>
  <c r="I107" i="48"/>
  <c r="I41" i="48"/>
  <c r="I68" i="48"/>
  <c r="I122" i="48"/>
  <c r="I192" i="48"/>
  <c r="I101" i="48"/>
  <c r="I162" i="48"/>
  <c r="I159" i="48"/>
  <c r="I160" i="48"/>
  <c r="I118" i="48"/>
  <c r="I185" i="48"/>
  <c r="I48" i="48"/>
  <c r="I116" i="48"/>
  <c r="I58" i="48"/>
  <c r="I197" i="48"/>
  <c r="I166" i="48"/>
  <c r="I172" i="48"/>
  <c r="I104" i="48"/>
  <c r="I175" i="48"/>
  <c r="I114" i="48"/>
  <c r="I181" i="48"/>
  <c r="I163" i="48"/>
  <c r="I52" i="48"/>
  <c r="I171" i="48"/>
  <c r="I31" i="48"/>
  <c r="I145" i="48"/>
  <c r="I10" i="48"/>
  <c r="I155" i="48"/>
  <c r="I17" i="48"/>
  <c r="I88" i="48"/>
  <c r="I59" i="48"/>
  <c r="I196" i="48"/>
  <c r="I105" i="48"/>
  <c r="I174" i="48"/>
  <c r="I86" i="48"/>
  <c r="I154" i="48"/>
  <c r="I151" i="48"/>
  <c r="I141" i="48"/>
  <c r="I89" i="48"/>
  <c r="I80" i="48"/>
  <c r="I8" i="48"/>
  <c r="I72" i="48"/>
  <c r="I117" i="48"/>
  <c r="I39" i="48"/>
  <c r="I178" i="48"/>
  <c r="I19" i="48"/>
  <c r="I11" i="48"/>
  <c r="I60" i="48"/>
  <c r="I61" i="48"/>
  <c r="I123" i="48"/>
  <c r="I183" i="48"/>
  <c r="I55" i="48"/>
  <c r="I53" i="48"/>
  <c r="I120" i="48"/>
  <c r="I32" i="48"/>
  <c r="I94" i="48"/>
  <c r="I91" i="48"/>
  <c r="I22" i="48"/>
  <c r="I92" i="48"/>
  <c r="I129" i="48"/>
  <c r="I161" i="48"/>
  <c r="I50" i="48"/>
  <c r="I115" i="48"/>
  <c r="I97" i="48"/>
  <c r="I34" i="48"/>
  <c r="I103" i="48"/>
  <c r="I144" i="48"/>
  <c r="I193" i="48"/>
  <c r="I46" i="48"/>
  <c r="I111" i="48"/>
  <c r="I112" i="48"/>
  <c r="I182" i="48"/>
  <c r="I95" i="48"/>
  <c r="I26" i="48"/>
  <c r="I96" i="48"/>
  <c r="I128" i="48"/>
  <c r="I126" i="48"/>
  <c r="I102" i="48"/>
  <c r="I168" i="48"/>
  <c r="I190" i="48"/>
  <c r="I87" i="48"/>
  <c r="I195" i="48"/>
  <c r="I125" i="48"/>
  <c r="I36" i="48"/>
  <c r="I167" i="48"/>
  <c r="I113" i="47"/>
  <c r="I123" i="47"/>
  <c r="I18" i="47"/>
  <c r="I190" i="47"/>
  <c r="I175" i="47"/>
  <c r="I5" i="47"/>
  <c r="I142" i="47"/>
  <c r="I38" i="47"/>
  <c r="I136" i="47"/>
  <c r="I149" i="47"/>
  <c r="I185" i="47"/>
  <c r="I132" i="47"/>
  <c r="I186" i="47"/>
  <c r="I82" i="47"/>
  <c r="I83" i="47"/>
  <c r="I52" i="47"/>
  <c r="I119" i="47"/>
  <c r="I63" i="47"/>
  <c r="I44" i="47"/>
  <c r="I133" i="47"/>
  <c r="I153" i="47"/>
  <c r="I28" i="47"/>
  <c r="I137" i="47"/>
  <c r="I126" i="47"/>
  <c r="I165" i="47"/>
  <c r="I123" i="43"/>
  <c r="I82" i="43"/>
  <c r="I6" i="47"/>
  <c r="I23" i="47"/>
  <c r="I41" i="47"/>
  <c r="I58" i="47"/>
  <c r="I75" i="47"/>
  <c r="I93" i="47"/>
  <c r="I109" i="47"/>
  <c r="I145" i="47"/>
  <c r="I161" i="47"/>
  <c r="I179" i="47"/>
  <c r="I197" i="47"/>
  <c r="I20" i="47"/>
  <c r="I42" i="47"/>
  <c r="I59" i="47"/>
  <c r="I86" i="47"/>
  <c r="I102" i="47"/>
  <c r="I118" i="47"/>
  <c r="I154" i="47"/>
  <c r="I171" i="47"/>
  <c r="I189" i="47"/>
  <c r="I8" i="47"/>
  <c r="I25" i="47"/>
  <c r="I43" i="47"/>
  <c r="I60" i="47"/>
  <c r="I77" i="47"/>
  <c r="I95" i="47"/>
  <c r="I111" i="47"/>
  <c r="I128" i="47"/>
  <c r="I147" i="47"/>
  <c r="I163" i="47"/>
  <c r="I181" i="47"/>
  <c r="I9" i="47"/>
  <c r="I26" i="47"/>
  <c r="I61" i="47"/>
  <c r="I78" i="47"/>
  <c r="I96" i="47"/>
  <c r="I112" i="47"/>
  <c r="I129" i="47"/>
  <c r="I148" i="47"/>
  <c r="I164" i="47"/>
  <c r="I182" i="47"/>
  <c r="I165" i="43"/>
  <c r="I38" i="43"/>
  <c r="I133" i="43"/>
  <c r="I83" i="43"/>
  <c r="I190" i="43"/>
  <c r="I10" i="47"/>
  <c r="I27" i="47"/>
  <c r="I45" i="47"/>
  <c r="I62" i="47"/>
  <c r="I79" i="47"/>
  <c r="I97" i="47"/>
  <c r="I130" i="47"/>
  <c r="I166" i="47"/>
  <c r="I183" i="47"/>
  <c r="I29" i="47"/>
  <c r="I46" i="47"/>
  <c r="I64" i="47"/>
  <c r="I90" i="47"/>
  <c r="I106" i="47"/>
  <c r="I122" i="47"/>
  <c r="I141" i="47"/>
  <c r="I158" i="47"/>
  <c r="I176" i="47"/>
  <c r="I194" i="47"/>
  <c r="I7" i="47"/>
  <c r="I12" i="47"/>
  <c r="I30" i="47"/>
  <c r="I47" i="47"/>
  <c r="I65" i="47"/>
  <c r="I81" i="47"/>
  <c r="I99" i="47"/>
  <c r="I115" i="47"/>
  <c r="I151" i="47"/>
  <c r="I168" i="47"/>
  <c r="I13" i="47"/>
  <c r="I31" i="47"/>
  <c r="I48" i="47"/>
  <c r="I66" i="47"/>
  <c r="I84" i="47"/>
  <c r="I100" i="47"/>
  <c r="I116" i="47"/>
  <c r="I134" i="47"/>
  <c r="I152" i="47"/>
  <c r="I169" i="47"/>
  <c r="I187" i="47"/>
  <c r="I186" i="43"/>
  <c r="I137" i="43"/>
  <c r="I153" i="43"/>
  <c r="I132" i="43"/>
  <c r="I149" i="43"/>
  <c r="I52" i="43"/>
  <c r="I175" i="43"/>
  <c r="I142" i="43"/>
  <c r="I18" i="43"/>
  <c r="I113" i="43"/>
  <c r="I19" i="47"/>
  <c r="I36" i="47"/>
  <c r="I54" i="47"/>
  <c r="I71" i="47"/>
  <c r="I89" i="47"/>
  <c r="I105" i="47"/>
  <c r="I121" i="47"/>
  <c r="I140" i="47"/>
  <c r="I157" i="47"/>
  <c r="I174" i="47"/>
  <c r="I193" i="47"/>
  <c r="I11" i="47"/>
  <c r="I37" i="47"/>
  <c r="I55" i="47"/>
  <c r="I76" i="47"/>
  <c r="I98" i="47"/>
  <c r="I114" i="47"/>
  <c r="I131" i="47"/>
  <c r="I150" i="47"/>
  <c r="I167" i="47"/>
  <c r="I184" i="47"/>
  <c r="I80" i="47"/>
  <c r="I21" i="47"/>
  <c r="I39" i="47"/>
  <c r="I56" i="47"/>
  <c r="I73" i="47"/>
  <c r="I91" i="47"/>
  <c r="I107" i="47"/>
  <c r="I124" i="47"/>
  <c r="I143" i="47"/>
  <c r="I159" i="47"/>
  <c r="I177" i="47"/>
  <c r="I195" i="47"/>
  <c r="I68" i="47"/>
  <c r="I22" i="47"/>
  <c r="I40" i="47"/>
  <c r="I57" i="47"/>
  <c r="I74" i="47"/>
  <c r="I92" i="47"/>
  <c r="I108" i="47"/>
  <c r="I125" i="47"/>
  <c r="I144" i="47"/>
  <c r="I160" i="47"/>
  <c r="I178" i="47"/>
  <c r="I196" i="47"/>
  <c r="I14" i="47"/>
  <c r="I32" i="47"/>
  <c r="I49" i="47"/>
  <c r="I67" i="47"/>
  <c r="I85" i="47"/>
  <c r="I101" i="47"/>
  <c r="I117" i="47"/>
  <c r="I135" i="47"/>
  <c r="I170" i="47"/>
  <c r="I188" i="47"/>
  <c r="I33" i="47"/>
  <c r="I50" i="47"/>
  <c r="I72" i="47"/>
  <c r="I94" i="47"/>
  <c r="I110" i="47"/>
  <c r="I127" i="47"/>
  <c r="I146" i="47"/>
  <c r="I162" i="47"/>
  <c r="I180" i="47"/>
  <c r="I198" i="47"/>
  <c r="I24" i="47"/>
  <c r="I16" i="47"/>
  <c r="I34" i="47"/>
  <c r="I51" i="47"/>
  <c r="I69" i="47"/>
  <c r="I87" i="47"/>
  <c r="I103" i="47"/>
  <c r="I138" i="47"/>
  <c r="I155" i="47"/>
  <c r="I172" i="47"/>
  <c r="I191" i="47"/>
  <c r="I15" i="47"/>
  <c r="I17" i="47"/>
  <c r="I35" i="47"/>
  <c r="I53" i="47"/>
  <c r="I70" i="47"/>
  <c r="I88" i="47"/>
  <c r="I104" i="47"/>
  <c r="I120" i="47"/>
  <c r="I139" i="47"/>
  <c r="I156" i="47"/>
  <c r="I173" i="47"/>
  <c r="I192" i="47"/>
  <c r="I63" i="43"/>
  <c r="I119" i="43"/>
  <c r="I28" i="43"/>
  <c r="I5" i="43"/>
  <c r="I185" i="43"/>
  <c r="I136" i="43"/>
  <c r="I126" i="43"/>
  <c r="J22" i="48" l="1"/>
  <c r="J123" i="48"/>
  <c r="J39" i="48"/>
  <c r="J105" i="48"/>
  <c r="J163" i="48"/>
  <c r="J118" i="48"/>
  <c r="J41" i="48"/>
  <c r="J107" i="48"/>
  <c r="J127" i="48"/>
  <c r="J83" i="48"/>
  <c r="J64" i="48"/>
  <c r="J186" i="48"/>
  <c r="J14" i="48"/>
  <c r="J71" i="48"/>
  <c r="J194" i="48"/>
  <c r="J75" i="48"/>
  <c r="J137" i="48"/>
  <c r="J78" i="48"/>
  <c r="J136" i="48"/>
  <c r="J109" i="48"/>
  <c r="J5" i="48"/>
  <c r="J84" i="48"/>
  <c r="J93" i="48"/>
  <c r="J124" i="48"/>
  <c r="J198" i="48"/>
  <c r="J67" i="48"/>
  <c r="J158" i="48"/>
  <c r="J149" i="48"/>
  <c r="J18" i="48"/>
  <c r="J121" i="48"/>
  <c r="J74" i="48"/>
  <c r="J85" i="48"/>
  <c r="J27" i="48"/>
  <c r="J23" i="48"/>
  <c r="J24" i="48"/>
  <c r="J51" i="48"/>
  <c r="J113" i="48"/>
  <c r="J40" i="48"/>
  <c r="J165" i="48"/>
  <c r="J188" i="48"/>
  <c r="J36" i="48"/>
  <c r="J87" i="48"/>
  <c r="J95" i="48"/>
  <c r="J144" i="48"/>
  <c r="J8" i="48"/>
  <c r="J86" i="48"/>
  <c r="J10" i="48"/>
  <c r="J181" i="48"/>
  <c r="J166" i="48"/>
  <c r="J162" i="48"/>
  <c r="J101" i="48"/>
  <c r="J126" i="48"/>
  <c r="J128" i="48"/>
  <c r="J26" i="48"/>
  <c r="J103" i="48"/>
  <c r="J34" i="48"/>
  <c r="J129" i="48"/>
  <c r="J92" i="48"/>
  <c r="J91" i="48"/>
  <c r="J183" i="48"/>
  <c r="J11" i="48"/>
  <c r="J178" i="48"/>
  <c r="J72" i="48"/>
  <c r="J80" i="48"/>
  <c r="J141" i="48"/>
  <c r="J154" i="48"/>
  <c r="J174" i="48"/>
  <c r="J17" i="48"/>
  <c r="J145" i="48"/>
  <c r="J175" i="48"/>
  <c r="J172" i="48"/>
  <c r="J185" i="48"/>
  <c r="J160" i="48"/>
  <c r="J159" i="48"/>
  <c r="J68" i="48"/>
  <c r="J156" i="48"/>
  <c r="J20" i="48"/>
  <c r="J79" i="48"/>
  <c r="J30" i="48"/>
  <c r="J33" i="48"/>
  <c r="J54" i="48"/>
  <c r="J73" i="48"/>
  <c r="J35" i="48"/>
  <c r="J189" i="48"/>
  <c r="J150" i="48"/>
  <c r="J157" i="48"/>
  <c r="J70" i="48"/>
  <c r="J138" i="48"/>
  <c r="J132" i="48"/>
  <c r="J12" i="48"/>
  <c r="J6" i="48"/>
  <c r="J135" i="48"/>
  <c r="J16" i="48"/>
  <c r="J169" i="48"/>
  <c r="J131" i="48"/>
  <c r="J143" i="48"/>
  <c r="J153" i="48"/>
  <c r="J106" i="48"/>
  <c r="J21" i="48"/>
  <c r="J119" i="48"/>
  <c r="J134" i="48"/>
  <c r="J108" i="48"/>
  <c r="J62" i="48"/>
  <c r="J125" i="48"/>
  <c r="J168" i="48"/>
  <c r="J96" i="48"/>
  <c r="J112" i="48"/>
  <c r="J193" i="48"/>
  <c r="J115" i="48"/>
  <c r="J53" i="48"/>
  <c r="J151" i="48"/>
  <c r="J196" i="48"/>
  <c r="J88" i="48"/>
  <c r="J31" i="48"/>
  <c r="J171" i="48"/>
  <c r="J104" i="48"/>
  <c r="J58" i="48"/>
  <c r="J48" i="48"/>
  <c r="J192" i="48"/>
  <c r="J122" i="48"/>
  <c r="J29" i="48"/>
  <c r="J56" i="48"/>
  <c r="J100" i="48"/>
  <c r="J184" i="48"/>
  <c r="J76" i="48"/>
  <c r="J7" i="48"/>
  <c r="J173" i="48"/>
  <c r="J82" i="48"/>
  <c r="J63" i="48"/>
  <c r="J147" i="48"/>
  <c r="J77" i="48"/>
  <c r="J139" i="48"/>
  <c r="J38" i="48"/>
  <c r="J130" i="48"/>
  <c r="J81" i="48"/>
  <c r="J57" i="48"/>
  <c r="J25" i="48"/>
  <c r="J43" i="48"/>
  <c r="J176" i="48"/>
  <c r="J47" i="48"/>
  <c r="J140" i="48"/>
  <c r="J191" i="48"/>
  <c r="J148" i="48"/>
  <c r="J49" i="48"/>
  <c r="J13" i="48"/>
  <c r="J182" i="48"/>
  <c r="J111" i="48"/>
  <c r="J94" i="48"/>
  <c r="J167" i="48"/>
  <c r="J195" i="48"/>
  <c r="J190" i="48"/>
  <c r="J102" i="48"/>
  <c r="J46" i="48"/>
  <c r="J97" i="48"/>
  <c r="J50" i="48"/>
  <c r="J161" i="48"/>
  <c r="J32" i="48"/>
  <c r="J120" i="48"/>
  <c r="J55" i="48"/>
  <c r="J61" i="48"/>
  <c r="J60" i="48"/>
  <c r="J19" i="48"/>
  <c r="J117" i="48"/>
  <c r="J89" i="48"/>
  <c r="J59" i="48"/>
  <c r="J155" i="48"/>
  <c r="J52" i="48"/>
  <c r="J114" i="48"/>
  <c r="J197" i="48"/>
  <c r="J116" i="48"/>
  <c r="J42" i="48"/>
  <c r="J28" i="48"/>
  <c r="J164" i="48"/>
  <c r="J37" i="48"/>
  <c r="J187" i="48"/>
  <c r="J170" i="48"/>
  <c r="J45" i="48"/>
  <c r="J66" i="48"/>
  <c r="J65" i="48"/>
  <c r="J179" i="48"/>
  <c r="J9" i="48"/>
  <c r="J177" i="48"/>
  <c r="J110" i="48"/>
  <c r="J69" i="48"/>
  <c r="J98" i="48"/>
  <c r="J90" i="48"/>
  <c r="J99" i="48"/>
  <c r="J44" i="48"/>
  <c r="J146" i="48"/>
  <c r="J133" i="48"/>
  <c r="J142" i="48"/>
  <c r="J180" i="48"/>
  <c r="J152" i="48"/>
  <c r="J15" i="48"/>
  <c r="J126" i="47"/>
  <c r="J28" i="47"/>
  <c r="J133" i="47"/>
  <c r="J63" i="47"/>
  <c r="J52" i="47"/>
  <c r="J82" i="47"/>
  <c r="J132" i="47"/>
  <c r="J149" i="47"/>
  <c r="J38" i="47"/>
  <c r="J5" i="47"/>
  <c r="J190" i="47"/>
  <c r="J123" i="47"/>
  <c r="J165" i="47"/>
  <c r="J137" i="47"/>
  <c r="J153" i="47"/>
  <c r="J44" i="47"/>
  <c r="J119" i="47"/>
  <c r="J83" i="47"/>
  <c r="J186" i="47"/>
  <c r="J185" i="47"/>
  <c r="J136" i="47"/>
  <c r="J142" i="47"/>
  <c r="J175" i="47"/>
  <c r="J18" i="47"/>
  <c r="J113" i="47"/>
  <c r="J136" i="43"/>
  <c r="J28" i="43"/>
  <c r="J156" i="47"/>
  <c r="J104" i="47"/>
  <c r="J53" i="47"/>
  <c r="J15" i="47"/>
  <c r="J155" i="47"/>
  <c r="J87" i="47"/>
  <c r="J51" i="47"/>
  <c r="J24" i="47"/>
  <c r="J162" i="47"/>
  <c r="J110" i="47"/>
  <c r="J72" i="47"/>
  <c r="J33" i="47"/>
  <c r="J170" i="47"/>
  <c r="J117" i="47"/>
  <c r="J85" i="47"/>
  <c r="J49" i="47"/>
  <c r="J32" i="47"/>
  <c r="J14" i="47"/>
  <c r="J142" i="43"/>
  <c r="J149" i="43"/>
  <c r="J153" i="43"/>
  <c r="J190" i="43"/>
  <c r="J63" i="43"/>
  <c r="J126" i="43"/>
  <c r="J185" i="43"/>
  <c r="J192" i="47"/>
  <c r="J173" i="47"/>
  <c r="J139" i="47"/>
  <c r="J120" i="47"/>
  <c r="J88" i="47"/>
  <c r="J70" i="47"/>
  <c r="J35" i="47"/>
  <c r="J17" i="47"/>
  <c r="J191" i="47"/>
  <c r="J172" i="47"/>
  <c r="J138" i="47"/>
  <c r="J103" i="47"/>
  <c r="J69" i="47"/>
  <c r="J34" i="47"/>
  <c r="J16" i="47"/>
  <c r="J198" i="47"/>
  <c r="J180" i="47"/>
  <c r="J146" i="47"/>
  <c r="J127" i="47"/>
  <c r="J94" i="47"/>
  <c r="J50" i="47"/>
  <c r="J188" i="47"/>
  <c r="J135" i="47"/>
  <c r="J101" i="47"/>
  <c r="J67" i="47"/>
  <c r="J119" i="43"/>
  <c r="J113" i="43"/>
  <c r="J175" i="43"/>
  <c r="J186" i="43"/>
  <c r="J83" i="43"/>
  <c r="J182" i="47"/>
  <c r="J164" i="47"/>
  <c r="J148" i="47"/>
  <c r="J129" i="47"/>
  <c r="J112" i="47"/>
  <c r="J96" i="47"/>
  <c r="J78" i="47"/>
  <c r="J61" i="47"/>
  <c r="J26" i="47"/>
  <c r="J9" i="47"/>
  <c r="J181" i="47"/>
  <c r="J163" i="47"/>
  <c r="J147" i="47"/>
  <c r="J128" i="47"/>
  <c r="J111" i="47"/>
  <c r="J95" i="47"/>
  <c r="J77" i="47"/>
  <c r="J60" i="47"/>
  <c r="J43" i="47"/>
  <c r="J25" i="47"/>
  <c r="J8" i="47"/>
  <c r="J189" i="47"/>
  <c r="J171" i="47"/>
  <c r="J154" i="47"/>
  <c r="J118" i="47"/>
  <c r="J102" i="47"/>
  <c r="J86" i="47"/>
  <c r="J59" i="47"/>
  <c r="J42" i="47"/>
  <c r="J20" i="47"/>
  <c r="J197" i="47"/>
  <c r="J179" i="47"/>
  <c r="J161" i="47"/>
  <c r="J145" i="47"/>
  <c r="J109" i="47"/>
  <c r="J93" i="47"/>
  <c r="J75" i="47"/>
  <c r="J58" i="47"/>
  <c r="J41" i="47"/>
  <c r="J23" i="47"/>
  <c r="J6" i="47"/>
  <c r="J5" i="43"/>
  <c r="J137" i="43"/>
  <c r="J133" i="43"/>
  <c r="J196" i="47"/>
  <c r="J178" i="47"/>
  <c r="J160" i="47"/>
  <c r="J144" i="47"/>
  <c r="J125" i="47"/>
  <c r="J108" i="47"/>
  <c r="J92" i="47"/>
  <c r="J74" i="47"/>
  <c r="J57" i="47"/>
  <c r="J40" i="47"/>
  <c r="J22" i="47"/>
  <c r="J68" i="47"/>
  <c r="J195" i="47"/>
  <c r="J177" i="47"/>
  <c r="J159" i="47"/>
  <c r="J143" i="47"/>
  <c r="J124" i="47"/>
  <c r="J107" i="47"/>
  <c r="J91" i="47"/>
  <c r="J73" i="47"/>
  <c r="J56" i="47"/>
  <c r="J39" i="47"/>
  <c r="J21" i="47"/>
  <c r="J80" i="47"/>
  <c r="J184" i="47"/>
  <c r="J167" i="47"/>
  <c r="J150" i="47"/>
  <c r="J131" i="47"/>
  <c r="J114" i="47"/>
  <c r="J98" i="47"/>
  <c r="J76" i="47"/>
  <c r="J55" i="47"/>
  <c r="J37" i="47"/>
  <c r="J11" i="47"/>
  <c r="J193" i="47"/>
  <c r="J174" i="47"/>
  <c r="J157" i="47"/>
  <c r="J140" i="47"/>
  <c r="J121" i="47"/>
  <c r="J105" i="47"/>
  <c r="J89" i="47"/>
  <c r="J71" i="47"/>
  <c r="J54" i="47"/>
  <c r="J36" i="47"/>
  <c r="J19" i="47"/>
  <c r="J18" i="43"/>
  <c r="J52" i="43"/>
  <c r="J132" i="43"/>
  <c r="J187" i="47"/>
  <c r="J169" i="47"/>
  <c r="J152" i="47"/>
  <c r="J134" i="47"/>
  <c r="J116" i="47"/>
  <c r="J100" i="47"/>
  <c r="J84" i="47"/>
  <c r="J66" i="47"/>
  <c r="J48" i="47"/>
  <c r="J31" i="47"/>
  <c r="J13" i="47"/>
  <c r="J168" i="47"/>
  <c r="J151" i="47"/>
  <c r="J115" i="47"/>
  <c r="J99" i="47"/>
  <c r="J81" i="47"/>
  <c r="J65" i="47"/>
  <c r="J47" i="47"/>
  <c r="J30" i="47"/>
  <c r="J12" i="47"/>
  <c r="J7" i="47"/>
  <c r="J194" i="47"/>
  <c r="J176" i="47"/>
  <c r="J158" i="47"/>
  <c r="J141" i="47"/>
  <c r="J122" i="47"/>
  <c r="J106" i="47"/>
  <c r="J90" i="47"/>
  <c r="J64" i="47"/>
  <c r="J46" i="47"/>
  <c r="J29" i="47"/>
  <c r="J183" i="47"/>
  <c r="J166" i="47"/>
  <c r="J130" i="47"/>
  <c r="J97" i="47"/>
  <c r="J79" i="47"/>
  <c r="J62" i="47"/>
  <c r="J45" i="47"/>
  <c r="J27" i="47"/>
  <c r="J10" i="47"/>
  <c r="J38" i="43"/>
  <c r="J165" i="43"/>
  <c r="J82" i="43"/>
  <c r="J123" i="43"/>
  <c r="K152" i="48" l="1"/>
  <c r="K146" i="48"/>
  <c r="K90" i="48"/>
  <c r="K179" i="48"/>
  <c r="K66" i="48"/>
  <c r="K164" i="48"/>
  <c r="K89" i="48"/>
  <c r="K97" i="48"/>
  <c r="K46" i="48"/>
  <c r="K167" i="48"/>
  <c r="K111" i="48"/>
  <c r="K25" i="48"/>
  <c r="K57" i="48"/>
  <c r="K130" i="48"/>
  <c r="K147" i="48"/>
  <c r="K100" i="48"/>
  <c r="K192" i="48"/>
  <c r="K48" i="48"/>
  <c r="K104" i="48"/>
  <c r="K31" i="48"/>
  <c r="K96" i="48"/>
  <c r="K169" i="48"/>
  <c r="K135" i="48"/>
  <c r="K6" i="48"/>
  <c r="K150" i="48"/>
  <c r="K20" i="48"/>
  <c r="K156" i="48"/>
  <c r="K172" i="48"/>
  <c r="K175" i="48"/>
  <c r="K141" i="48"/>
  <c r="K183" i="48"/>
  <c r="K36" i="48"/>
  <c r="K40" i="48"/>
  <c r="K24" i="48"/>
  <c r="K85" i="48"/>
  <c r="K93" i="48"/>
  <c r="K109" i="48"/>
  <c r="K14" i="48"/>
  <c r="K64" i="48"/>
  <c r="K83" i="48"/>
  <c r="K41" i="48"/>
  <c r="K142" i="48"/>
  <c r="K133" i="48"/>
  <c r="K44" i="48"/>
  <c r="K114" i="48"/>
  <c r="K52" i="48"/>
  <c r="K117" i="48"/>
  <c r="K61" i="48"/>
  <c r="K32" i="48"/>
  <c r="K50" i="48"/>
  <c r="K102" i="48"/>
  <c r="K13" i="48"/>
  <c r="K49" i="48"/>
  <c r="K148" i="48"/>
  <c r="K140" i="48"/>
  <c r="K43" i="48"/>
  <c r="K38" i="48"/>
  <c r="K139" i="48"/>
  <c r="K77" i="48"/>
  <c r="K122" i="48"/>
  <c r="K58" i="48"/>
  <c r="K171" i="48"/>
  <c r="K88" i="48"/>
  <c r="K115" i="48"/>
  <c r="K62" i="48"/>
  <c r="K108" i="48"/>
  <c r="K21" i="48"/>
  <c r="K131" i="48"/>
  <c r="K157" i="48"/>
  <c r="K189" i="48"/>
  <c r="K35" i="48"/>
  <c r="K33" i="48"/>
  <c r="K30" i="48"/>
  <c r="K79" i="48"/>
  <c r="K68" i="48"/>
  <c r="K160" i="48"/>
  <c r="K185" i="48"/>
  <c r="K145" i="48"/>
  <c r="K17" i="48"/>
  <c r="K154" i="48"/>
  <c r="K86" i="48"/>
  <c r="K165" i="48"/>
  <c r="K51" i="48"/>
  <c r="K23" i="48"/>
  <c r="K27" i="48"/>
  <c r="K121" i="48"/>
  <c r="K18" i="48"/>
  <c r="K124" i="48"/>
  <c r="K163" i="48"/>
  <c r="K105" i="48"/>
  <c r="K123" i="48"/>
  <c r="K99" i="48"/>
  <c r="K98" i="48"/>
  <c r="K69" i="48"/>
  <c r="K177" i="48"/>
  <c r="K9" i="48"/>
  <c r="K37" i="48"/>
  <c r="K28" i="48"/>
  <c r="K42" i="48"/>
  <c r="K155" i="48"/>
  <c r="K19" i="48"/>
  <c r="K60" i="48"/>
  <c r="K120" i="48"/>
  <c r="K161" i="48"/>
  <c r="K190" i="48"/>
  <c r="K191" i="48"/>
  <c r="K176" i="48"/>
  <c r="K81" i="48"/>
  <c r="K82" i="48"/>
  <c r="K184" i="48"/>
  <c r="K56" i="48"/>
  <c r="K151" i="48"/>
  <c r="K112" i="48"/>
  <c r="K168" i="48"/>
  <c r="K134" i="48"/>
  <c r="K119" i="48"/>
  <c r="K153" i="48"/>
  <c r="K143" i="48"/>
  <c r="K12" i="48"/>
  <c r="K138" i="48"/>
  <c r="K70" i="48"/>
  <c r="K73" i="48"/>
  <c r="K159" i="48"/>
  <c r="K80" i="48"/>
  <c r="K178" i="48"/>
  <c r="K92" i="48"/>
  <c r="K129" i="48"/>
  <c r="K103" i="48"/>
  <c r="K128" i="48"/>
  <c r="K162" i="48"/>
  <c r="K181" i="48"/>
  <c r="K10" i="48"/>
  <c r="K8" i="48"/>
  <c r="K95" i="48"/>
  <c r="K113" i="48"/>
  <c r="K158" i="48"/>
  <c r="K198" i="48"/>
  <c r="K75" i="48"/>
  <c r="K71" i="48"/>
  <c r="K186" i="48"/>
  <c r="K22" i="48"/>
  <c r="K15" i="48"/>
  <c r="K180" i="48"/>
  <c r="K110" i="48"/>
  <c r="K65" i="48"/>
  <c r="K45" i="48"/>
  <c r="K170" i="48"/>
  <c r="K187" i="48"/>
  <c r="K116" i="48"/>
  <c r="K197" i="48"/>
  <c r="K59" i="48"/>
  <c r="K55" i="48"/>
  <c r="K195" i="48"/>
  <c r="K94" i="48"/>
  <c r="K182" i="48"/>
  <c r="K47" i="48"/>
  <c r="K63" i="48"/>
  <c r="K173" i="48"/>
  <c r="K7" i="48"/>
  <c r="K76" i="48"/>
  <c r="K29" i="48"/>
  <c r="K196" i="48"/>
  <c r="K53" i="48"/>
  <c r="K193" i="48"/>
  <c r="K125" i="48"/>
  <c r="K106" i="48"/>
  <c r="K16" i="48"/>
  <c r="K132" i="48"/>
  <c r="K54" i="48"/>
  <c r="K174" i="48"/>
  <c r="K72" i="48"/>
  <c r="K11" i="48"/>
  <c r="K91" i="48"/>
  <c r="K34" i="48"/>
  <c r="K26" i="48"/>
  <c r="K126" i="48"/>
  <c r="K101" i="48"/>
  <c r="K166" i="48"/>
  <c r="K144" i="48"/>
  <c r="K87" i="48"/>
  <c r="K188" i="48"/>
  <c r="K74" i="48"/>
  <c r="K149" i="48"/>
  <c r="K67" i="48"/>
  <c r="K84" i="48"/>
  <c r="K5" i="48"/>
  <c r="K136" i="48"/>
  <c r="K78" i="48"/>
  <c r="K137" i="48"/>
  <c r="K194" i="48"/>
  <c r="K127" i="48"/>
  <c r="K107" i="48"/>
  <c r="K118" i="48"/>
  <c r="K39" i="48"/>
  <c r="K18" i="47"/>
  <c r="K185" i="47"/>
  <c r="K83" i="47"/>
  <c r="K137" i="47"/>
  <c r="K123" i="47"/>
  <c r="K82" i="47"/>
  <c r="K28" i="47"/>
  <c r="K142" i="47"/>
  <c r="K44" i="47"/>
  <c r="K5" i="47"/>
  <c r="K149" i="47"/>
  <c r="K63" i="47"/>
  <c r="K113" i="47"/>
  <c r="K175" i="47"/>
  <c r="K136" i="47"/>
  <c r="K186" i="47"/>
  <c r="K119" i="47"/>
  <c r="K153" i="47"/>
  <c r="K165" i="47"/>
  <c r="K190" i="47"/>
  <c r="K38" i="47"/>
  <c r="K132" i="47"/>
  <c r="K52" i="47"/>
  <c r="K133" i="47"/>
  <c r="K126" i="47"/>
  <c r="K142" i="43"/>
  <c r="K123" i="43"/>
  <c r="K52" i="43"/>
  <c r="K133" i="43"/>
  <c r="K83" i="43"/>
  <c r="K186" i="43"/>
  <c r="K185" i="43"/>
  <c r="K63" i="43"/>
  <c r="K149" i="43"/>
  <c r="K28" i="43"/>
  <c r="K38" i="43"/>
  <c r="K10" i="47"/>
  <c r="K27" i="47"/>
  <c r="K45" i="47"/>
  <c r="K62" i="47"/>
  <c r="K79" i="47"/>
  <c r="K97" i="47"/>
  <c r="K130" i="47"/>
  <c r="K166" i="47"/>
  <c r="K183" i="47"/>
  <c r="K29" i="47"/>
  <c r="K46" i="47"/>
  <c r="K64" i="47"/>
  <c r="K90" i="47"/>
  <c r="K106" i="47"/>
  <c r="K122" i="47"/>
  <c r="K141" i="47"/>
  <c r="K158" i="47"/>
  <c r="K176" i="47"/>
  <c r="K194" i="47"/>
  <c r="K7" i="47"/>
  <c r="K12" i="47"/>
  <c r="K30" i="47"/>
  <c r="K47" i="47"/>
  <c r="K65" i="47"/>
  <c r="K81" i="47"/>
  <c r="K99" i="47"/>
  <c r="K115" i="47"/>
  <c r="K151" i="47"/>
  <c r="K168" i="47"/>
  <c r="K13" i="47"/>
  <c r="K31" i="47"/>
  <c r="K48" i="47"/>
  <c r="K66" i="47"/>
  <c r="K84" i="47"/>
  <c r="K100" i="47"/>
  <c r="K116" i="47"/>
  <c r="K134" i="47"/>
  <c r="K152" i="47"/>
  <c r="K169" i="47"/>
  <c r="K187" i="47"/>
  <c r="K132" i="43"/>
  <c r="K126" i="43"/>
  <c r="K82" i="43"/>
  <c r="K165" i="43"/>
  <c r="K18" i="43"/>
  <c r="K19" i="47"/>
  <c r="K36" i="47"/>
  <c r="K54" i="47"/>
  <c r="K71" i="47"/>
  <c r="K89" i="47"/>
  <c r="K105" i="47"/>
  <c r="K121" i="47"/>
  <c r="K140" i="47"/>
  <c r="K157" i="47"/>
  <c r="K174" i="47"/>
  <c r="K193" i="47"/>
  <c r="K11" i="47"/>
  <c r="K37" i="47"/>
  <c r="K55" i="47"/>
  <c r="K76" i="47"/>
  <c r="K98" i="47"/>
  <c r="K114" i="47"/>
  <c r="K131" i="47"/>
  <c r="K150" i="47"/>
  <c r="K167" i="47"/>
  <c r="K184" i="47"/>
  <c r="K80" i="47"/>
  <c r="K21" i="47"/>
  <c r="K39" i="47"/>
  <c r="K56" i="47"/>
  <c r="K73" i="47"/>
  <c r="K91" i="47"/>
  <c r="K107" i="47"/>
  <c r="K124" i="47"/>
  <c r="K143" i="47"/>
  <c r="K159" i="47"/>
  <c r="K177" i="47"/>
  <c r="K195" i="47"/>
  <c r="K68" i="47"/>
  <c r="K22" i="47"/>
  <c r="K40" i="47"/>
  <c r="K57" i="47"/>
  <c r="K74" i="47"/>
  <c r="K92" i="47"/>
  <c r="K108" i="47"/>
  <c r="K125" i="47"/>
  <c r="K144" i="47"/>
  <c r="K160" i="47"/>
  <c r="K178" i="47"/>
  <c r="K196" i="47"/>
  <c r="K137" i="43"/>
  <c r="K5" i="43"/>
  <c r="K6" i="47"/>
  <c r="K23" i="47"/>
  <c r="K41" i="47"/>
  <c r="K58" i="47"/>
  <c r="K75" i="47"/>
  <c r="K93" i="47"/>
  <c r="K109" i="47"/>
  <c r="K145" i="47"/>
  <c r="K161" i="47"/>
  <c r="K179" i="47"/>
  <c r="K197" i="47"/>
  <c r="K20" i="47"/>
  <c r="K42" i="47"/>
  <c r="K59" i="47"/>
  <c r="K86" i="47"/>
  <c r="K102" i="47"/>
  <c r="K118" i="47"/>
  <c r="K154" i="47"/>
  <c r="K171" i="47"/>
  <c r="K189" i="47"/>
  <c r="K8" i="47"/>
  <c r="K25" i="47"/>
  <c r="K43" i="47"/>
  <c r="K60" i="47"/>
  <c r="K77" i="47"/>
  <c r="K95" i="47"/>
  <c r="K111" i="47"/>
  <c r="K128" i="47"/>
  <c r="K147" i="47"/>
  <c r="K163" i="47"/>
  <c r="K181" i="47"/>
  <c r="K9" i="47"/>
  <c r="K26" i="47"/>
  <c r="K61" i="47"/>
  <c r="K78" i="47"/>
  <c r="K96" i="47"/>
  <c r="K112" i="47"/>
  <c r="K129" i="47"/>
  <c r="K148" i="47"/>
  <c r="K164" i="47"/>
  <c r="K182" i="47"/>
  <c r="K175" i="43"/>
  <c r="K113" i="43"/>
  <c r="K119" i="43"/>
  <c r="K67" i="47"/>
  <c r="K101" i="47"/>
  <c r="K135" i="47"/>
  <c r="K188" i="47"/>
  <c r="K50" i="47"/>
  <c r="K94" i="47"/>
  <c r="K127" i="47"/>
  <c r="K146" i="47"/>
  <c r="K180" i="47"/>
  <c r="K198" i="47"/>
  <c r="K16" i="47"/>
  <c r="K34" i="47"/>
  <c r="K69" i="47"/>
  <c r="K103" i="47"/>
  <c r="K138" i="47"/>
  <c r="K172" i="47"/>
  <c r="K191" i="47"/>
  <c r="K17" i="47"/>
  <c r="K35" i="47"/>
  <c r="K70" i="47"/>
  <c r="K88" i="47"/>
  <c r="K120" i="47"/>
  <c r="K139" i="47"/>
  <c r="K173" i="47"/>
  <c r="K192" i="47"/>
  <c r="K190" i="43"/>
  <c r="K153" i="43"/>
  <c r="K14" i="47"/>
  <c r="K32" i="47"/>
  <c r="K49" i="47"/>
  <c r="K85" i="47"/>
  <c r="K117" i="47"/>
  <c r="K170" i="47"/>
  <c r="K33" i="47"/>
  <c r="K72" i="47"/>
  <c r="K110" i="47"/>
  <c r="K162" i="47"/>
  <c r="K24" i="47"/>
  <c r="K51" i="47"/>
  <c r="K87" i="47"/>
  <c r="K155" i="47"/>
  <c r="K15" i="47"/>
  <c r="K53" i="47"/>
  <c r="K104" i="47"/>
  <c r="K156" i="47"/>
  <c r="K136" i="43"/>
  <c r="L188" i="48" l="1"/>
  <c r="L193" i="48"/>
  <c r="L103" i="48"/>
  <c r="L168" i="48"/>
  <c r="L112" i="48"/>
  <c r="L194" i="48"/>
  <c r="L5" i="48"/>
  <c r="L84" i="48"/>
  <c r="L125" i="48"/>
  <c r="L76" i="48"/>
  <c r="L63" i="48"/>
  <c r="L195" i="48"/>
  <c r="L55" i="48"/>
  <c r="L45" i="48"/>
  <c r="L71" i="48"/>
  <c r="L198" i="48"/>
  <c r="L158" i="48"/>
  <c r="L95" i="48"/>
  <c r="L181" i="48"/>
  <c r="L128" i="48"/>
  <c r="L159" i="48"/>
  <c r="L138" i="48"/>
  <c r="L176" i="48"/>
  <c r="L120" i="48"/>
  <c r="L177" i="48"/>
  <c r="L98" i="48"/>
  <c r="L163" i="48"/>
  <c r="L121" i="48"/>
  <c r="L23" i="48"/>
  <c r="L145" i="48"/>
  <c r="L30" i="48"/>
  <c r="L21" i="48"/>
  <c r="L58" i="48"/>
  <c r="L122" i="48"/>
  <c r="L38" i="48"/>
  <c r="L148" i="48"/>
  <c r="L102" i="48"/>
  <c r="L117" i="48"/>
  <c r="L52" i="48"/>
  <c r="L114" i="48"/>
  <c r="L40" i="48"/>
  <c r="L6" i="48"/>
  <c r="L135" i="48"/>
  <c r="L169" i="48"/>
  <c r="L192" i="48"/>
  <c r="L100" i="48"/>
  <c r="L147" i="48"/>
  <c r="L130" i="48"/>
  <c r="L97" i="48"/>
  <c r="L66" i="48"/>
  <c r="L127" i="48"/>
  <c r="L67" i="48"/>
  <c r="L132" i="48"/>
  <c r="L182" i="48"/>
  <c r="L75" i="48"/>
  <c r="L129" i="48"/>
  <c r="L73" i="48"/>
  <c r="L126" i="48"/>
  <c r="L26" i="48"/>
  <c r="L34" i="48"/>
  <c r="L91" i="48"/>
  <c r="L39" i="48"/>
  <c r="L107" i="48"/>
  <c r="L137" i="48"/>
  <c r="L78" i="48"/>
  <c r="L136" i="48"/>
  <c r="L74" i="48"/>
  <c r="L87" i="48"/>
  <c r="L144" i="48"/>
  <c r="L101" i="48"/>
  <c r="L11" i="48"/>
  <c r="L106" i="48"/>
  <c r="L53" i="48"/>
  <c r="L29" i="48"/>
  <c r="L173" i="48"/>
  <c r="L187" i="48"/>
  <c r="L170" i="48"/>
  <c r="L110" i="48"/>
  <c r="L15" i="48"/>
  <c r="L22" i="48"/>
  <c r="L186" i="48"/>
  <c r="L8" i="48"/>
  <c r="L10" i="48"/>
  <c r="L70" i="48"/>
  <c r="L153" i="48"/>
  <c r="L134" i="48"/>
  <c r="L161" i="48"/>
  <c r="L60" i="48"/>
  <c r="L19" i="48"/>
  <c r="L42" i="48"/>
  <c r="L37" i="48"/>
  <c r="L9" i="48"/>
  <c r="L105" i="48"/>
  <c r="L18" i="48"/>
  <c r="L27" i="48"/>
  <c r="L154" i="48"/>
  <c r="L17" i="48"/>
  <c r="L68" i="48"/>
  <c r="L79" i="48"/>
  <c r="L62" i="48"/>
  <c r="L88" i="48"/>
  <c r="L171" i="48"/>
  <c r="L139" i="48"/>
  <c r="L13" i="48"/>
  <c r="L61" i="48"/>
  <c r="L41" i="48"/>
  <c r="L14" i="48"/>
  <c r="L93" i="48"/>
  <c r="L183" i="48"/>
  <c r="L141" i="48"/>
  <c r="L31" i="48"/>
  <c r="L48" i="48"/>
  <c r="L46" i="48"/>
  <c r="L89" i="48"/>
  <c r="L146" i="48"/>
  <c r="L118" i="48"/>
  <c r="L174" i="48"/>
  <c r="L196" i="48"/>
  <c r="L7" i="48"/>
  <c r="L94" i="48"/>
  <c r="L59" i="48"/>
  <c r="L149" i="48"/>
  <c r="L166" i="48"/>
  <c r="L54" i="48"/>
  <c r="L16" i="48"/>
  <c r="L47" i="48"/>
  <c r="L116" i="48"/>
  <c r="L180" i="48"/>
  <c r="L113" i="48"/>
  <c r="L92" i="48"/>
  <c r="L178" i="48"/>
  <c r="L80" i="48"/>
  <c r="L12" i="48"/>
  <c r="L143" i="48"/>
  <c r="L119" i="48"/>
  <c r="L151" i="48"/>
  <c r="L56" i="48"/>
  <c r="L184" i="48"/>
  <c r="L82" i="48"/>
  <c r="L81" i="48"/>
  <c r="L155" i="48"/>
  <c r="L28" i="48"/>
  <c r="L124" i="48"/>
  <c r="L160" i="48"/>
  <c r="L189" i="48"/>
  <c r="L157" i="48"/>
  <c r="L108" i="48"/>
  <c r="L77" i="48"/>
  <c r="L49" i="48"/>
  <c r="L32" i="48"/>
  <c r="L142" i="48"/>
  <c r="L64" i="48"/>
  <c r="L24" i="48"/>
  <c r="L36" i="48"/>
  <c r="L175" i="48"/>
  <c r="L20" i="48"/>
  <c r="L104" i="48"/>
  <c r="L111" i="48"/>
  <c r="L167" i="48"/>
  <c r="L164" i="48"/>
  <c r="L90" i="48"/>
  <c r="L152" i="48"/>
  <c r="L72" i="48"/>
  <c r="L197" i="48"/>
  <c r="L65" i="48"/>
  <c r="L162" i="48"/>
  <c r="L191" i="48"/>
  <c r="L190" i="48"/>
  <c r="L69" i="48"/>
  <c r="L99" i="48"/>
  <c r="L123" i="48"/>
  <c r="L51" i="48"/>
  <c r="L165" i="48"/>
  <c r="L86" i="48"/>
  <c r="L185" i="48"/>
  <c r="L33" i="48"/>
  <c r="L35" i="48"/>
  <c r="L131" i="48"/>
  <c r="L115" i="48"/>
  <c r="L43" i="48"/>
  <c r="L140" i="48"/>
  <c r="L50" i="48"/>
  <c r="L44" i="48"/>
  <c r="L133" i="48"/>
  <c r="L83" i="48"/>
  <c r="L109" i="48"/>
  <c r="L85" i="48"/>
  <c r="L172" i="48"/>
  <c r="L156" i="48"/>
  <c r="L150" i="48"/>
  <c r="L96" i="48"/>
  <c r="L57" i="48"/>
  <c r="L25" i="48"/>
  <c r="L179" i="48"/>
  <c r="L133" i="47"/>
  <c r="L132" i="47"/>
  <c r="L190" i="47"/>
  <c r="L153" i="47"/>
  <c r="L186" i="47"/>
  <c r="L175" i="47"/>
  <c r="L63" i="47"/>
  <c r="L5" i="47"/>
  <c r="L142" i="47"/>
  <c r="L82" i="47"/>
  <c r="L137" i="47"/>
  <c r="L185" i="47"/>
  <c r="L126" i="47"/>
  <c r="L52" i="47"/>
  <c r="L38" i="47"/>
  <c r="L165" i="47"/>
  <c r="L119" i="47"/>
  <c r="L136" i="47"/>
  <c r="L113" i="47"/>
  <c r="L149" i="47"/>
  <c r="L44" i="47"/>
  <c r="L28" i="47"/>
  <c r="L123" i="47"/>
  <c r="L83" i="47"/>
  <c r="L18" i="47"/>
  <c r="L18" i="43"/>
  <c r="L82" i="43"/>
  <c r="L38" i="43"/>
  <c r="L149" i="43"/>
  <c r="L156" i="47"/>
  <c r="L15" i="47"/>
  <c r="L87" i="47"/>
  <c r="L24" i="47"/>
  <c r="L110" i="47"/>
  <c r="L33" i="47"/>
  <c r="L85" i="47"/>
  <c r="L32" i="47"/>
  <c r="L190" i="43"/>
  <c r="L173" i="47"/>
  <c r="L139" i="47"/>
  <c r="L120" i="47"/>
  <c r="L88" i="47"/>
  <c r="L70" i="47"/>
  <c r="L35" i="47"/>
  <c r="L17" i="47"/>
  <c r="L191" i="47"/>
  <c r="L172" i="47"/>
  <c r="L138" i="47"/>
  <c r="L103" i="47"/>
  <c r="L69" i="47"/>
  <c r="L34" i="47"/>
  <c r="L16" i="47"/>
  <c r="L198" i="47"/>
  <c r="L180" i="47"/>
  <c r="L146" i="47"/>
  <c r="L127" i="47"/>
  <c r="L94" i="47"/>
  <c r="L50" i="47"/>
  <c r="L188" i="47"/>
  <c r="L135" i="47"/>
  <c r="L101" i="47"/>
  <c r="L67" i="47"/>
  <c r="L113" i="43"/>
  <c r="L126" i="43"/>
  <c r="L185" i="43"/>
  <c r="L186" i="43"/>
  <c r="L133" i="43"/>
  <c r="L123" i="43"/>
  <c r="L136" i="43"/>
  <c r="L104" i="47"/>
  <c r="L53" i="47"/>
  <c r="L155" i="47"/>
  <c r="L51" i="47"/>
  <c r="L162" i="47"/>
  <c r="L72" i="47"/>
  <c r="L170" i="47"/>
  <c r="L117" i="47"/>
  <c r="L49" i="47"/>
  <c r="L14" i="47"/>
  <c r="L192" i="47"/>
  <c r="L119" i="43"/>
  <c r="L5" i="43"/>
  <c r="L196" i="47"/>
  <c r="L178" i="47"/>
  <c r="L160" i="47"/>
  <c r="L144" i="47"/>
  <c r="L125" i="47"/>
  <c r="L108" i="47"/>
  <c r="L92" i="47"/>
  <c r="L74" i="47"/>
  <c r="L57" i="47"/>
  <c r="L40" i="47"/>
  <c r="L22" i="47"/>
  <c r="L68" i="47"/>
  <c r="L195" i="47"/>
  <c r="L177" i="47"/>
  <c r="L159" i="47"/>
  <c r="L143" i="47"/>
  <c r="L124" i="47"/>
  <c r="L107" i="47"/>
  <c r="L91" i="47"/>
  <c r="L73" i="47"/>
  <c r="L56" i="47"/>
  <c r="L39" i="47"/>
  <c r="L21" i="47"/>
  <c r="L80" i="47"/>
  <c r="L184" i="47"/>
  <c r="L167" i="47"/>
  <c r="L150" i="47"/>
  <c r="L131" i="47"/>
  <c r="L114" i="47"/>
  <c r="L98" i="47"/>
  <c r="L76" i="47"/>
  <c r="L55" i="47"/>
  <c r="L37" i="47"/>
  <c r="L11" i="47"/>
  <c r="L193" i="47"/>
  <c r="L174" i="47"/>
  <c r="L157" i="47"/>
  <c r="L140" i="47"/>
  <c r="L121" i="47"/>
  <c r="L105" i="47"/>
  <c r="L89" i="47"/>
  <c r="L71" i="47"/>
  <c r="L54" i="47"/>
  <c r="L36" i="47"/>
  <c r="L19" i="47"/>
  <c r="L165" i="43"/>
  <c r="L132" i="43"/>
  <c r="L187" i="47"/>
  <c r="L169" i="47"/>
  <c r="L152" i="47"/>
  <c r="L134" i="47"/>
  <c r="L116" i="47"/>
  <c r="L100" i="47"/>
  <c r="L84" i="47"/>
  <c r="L66" i="47"/>
  <c r="L48" i="47"/>
  <c r="L31" i="47"/>
  <c r="L13" i="47"/>
  <c r="L168" i="47"/>
  <c r="L151" i="47"/>
  <c r="L115" i="47"/>
  <c r="L99" i="47"/>
  <c r="L81" i="47"/>
  <c r="L65" i="47"/>
  <c r="L47" i="47"/>
  <c r="L30" i="47"/>
  <c r="L12" i="47"/>
  <c r="L7" i="47"/>
  <c r="L194" i="47"/>
  <c r="L176" i="47"/>
  <c r="L158" i="47"/>
  <c r="L141" i="47"/>
  <c r="L122" i="47"/>
  <c r="L106" i="47"/>
  <c r="L90" i="47"/>
  <c r="L64" i="47"/>
  <c r="L46" i="47"/>
  <c r="L29" i="47"/>
  <c r="L183" i="47"/>
  <c r="L166" i="47"/>
  <c r="L130" i="47"/>
  <c r="L97" i="47"/>
  <c r="L79" i="47"/>
  <c r="L62" i="47"/>
  <c r="L45" i="47"/>
  <c r="L27" i="47"/>
  <c r="L10" i="47"/>
  <c r="L142" i="43"/>
  <c r="L153" i="43"/>
  <c r="L175" i="43"/>
  <c r="L182" i="47"/>
  <c r="L164" i="47"/>
  <c r="L148" i="47"/>
  <c r="L129" i="47"/>
  <c r="L112" i="47"/>
  <c r="L96" i="47"/>
  <c r="L78" i="47"/>
  <c r="L61" i="47"/>
  <c r="L26" i="47"/>
  <c r="L9" i="47"/>
  <c r="L181" i="47"/>
  <c r="L163" i="47"/>
  <c r="L147" i="47"/>
  <c r="L128" i="47"/>
  <c r="L111" i="47"/>
  <c r="L95" i="47"/>
  <c r="L77" i="47"/>
  <c r="L60" i="47"/>
  <c r="L43" i="47"/>
  <c r="L25" i="47"/>
  <c r="L8" i="47"/>
  <c r="L189" i="47"/>
  <c r="L171" i="47"/>
  <c r="L154" i="47"/>
  <c r="L118" i="47"/>
  <c r="L102" i="47"/>
  <c r="L86" i="47"/>
  <c r="L59" i="47"/>
  <c r="L42" i="47"/>
  <c r="L20" i="47"/>
  <c r="L197" i="47"/>
  <c r="L179" i="47"/>
  <c r="L161" i="47"/>
  <c r="L145" i="47"/>
  <c r="L109" i="47"/>
  <c r="L93" i="47"/>
  <c r="L75" i="47"/>
  <c r="L58" i="47"/>
  <c r="L41" i="47"/>
  <c r="L23" i="47"/>
  <c r="L6" i="47"/>
  <c r="L137" i="43"/>
  <c r="L28" i="43"/>
  <c r="L63" i="43"/>
  <c r="L83" i="43"/>
  <c r="L52" i="43"/>
  <c r="M44" i="48" l="1"/>
  <c r="M167" i="48"/>
  <c r="M36" i="48"/>
  <c r="M49" i="48"/>
  <c r="M108" i="48"/>
  <c r="M81" i="48"/>
  <c r="M82" i="48"/>
  <c r="M143" i="48"/>
  <c r="M113" i="48"/>
  <c r="M94" i="48"/>
  <c r="M93" i="48"/>
  <c r="M41" i="48"/>
  <c r="M13" i="48"/>
  <c r="M79" i="48"/>
  <c r="M18" i="48"/>
  <c r="M9" i="48"/>
  <c r="M37" i="48"/>
  <c r="M42" i="48"/>
  <c r="M22" i="48"/>
  <c r="M15" i="48"/>
  <c r="M101" i="48"/>
  <c r="M78" i="48"/>
  <c r="M39" i="48"/>
  <c r="M91" i="48"/>
  <c r="M75" i="48"/>
  <c r="M97" i="48"/>
  <c r="M6" i="48"/>
  <c r="M38" i="48"/>
  <c r="M30" i="48"/>
  <c r="M145" i="48"/>
  <c r="M23" i="48"/>
  <c r="M138" i="48"/>
  <c r="M159" i="48"/>
  <c r="M128" i="48"/>
  <c r="M95" i="48"/>
  <c r="M158" i="48"/>
  <c r="M45" i="48"/>
  <c r="M55" i="48"/>
  <c r="M5" i="48"/>
  <c r="M168" i="48"/>
  <c r="M103" i="48"/>
  <c r="M193" i="48"/>
  <c r="M165" i="48"/>
  <c r="M65" i="48"/>
  <c r="M90" i="48"/>
  <c r="M157" i="48"/>
  <c r="M179" i="48"/>
  <c r="M57" i="48"/>
  <c r="M85" i="48"/>
  <c r="M109" i="48"/>
  <c r="M133" i="48"/>
  <c r="M115" i="48"/>
  <c r="M33" i="48"/>
  <c r="M185" i="48"/>
  <c r="M86" i="48"/>
  <c r="M69" i="48"/>
  <c r="M190" i="48"/>
  <c r="M20" i="48"/>
  <c r="M175" i="48"/>
  <c r="M119" i="48"/>
  <c r="M116" i="48"/>
  <c r="M16" i="48"/>
  <c r="M54" i="48"/>
  <c r="M118" i="48"/>
  <c r="M46" i="48"/>
  <c r="M139" i="48"/>
  <c r="M88" i="48"/>
  <c r="M154" i="48"/>
  <c r="M27" i="48"/>
  <c r="M105" i="48"/>
  <c r="M153" i="48"/>
  <c r="M70" i="48"/>
  <c r="M8" i="48"/>
  <c r="M53" i="48"/>
  <c r="M74" i="48"/>
  <c r="M136" i="48"/>
  <c r="M126" i="48"/>
  <c r="M129" i="48"/>
  <c r="M132" i="48"/>
  <c r="M67" i="48"/>
  <c r="M192" i="48"/>
  <c r="M135" i="48"/>
  <c r="M117" i="48"/>
  <c r="M102" i="48"/>
  <c r="M148" i="48"/>
  <c r="M58" i="48"/>
  <c r="M177" i="48"/>
  <c r="M120" i="48"/>
  <c r="M181" i="48"/>
  <c r="M63" i="48"/>
  <c r="M84" i="48"/>
  <c r="M194" i="48"/>
  <c r="M112" i="48"/>
  <c r="M188" i="48"/>
  <c r="M25" i="48"/>
  <c r="M96" i="48"/>
  <c r="M150" i="48"/>
  <c r="M172" i="48"/>
  <c r="M50" i="48"/>
  <c r="M35" i="48"/>
  <c r="M123" i="48"/>
  <c r="M99" i="48"/>
  <c r="M191" i="48"/>
  <c r="M72" i="48"/>
  <c r="M152" i="48"/>
  <c r="M164" i="48"/>
  <c r="M111" i="48"/>
  <c r="M104" i="48"/>
  <c r="M160" i="48"/>
  <c r="M124" i="48"/>
  <c r="M155" i="48"/>
  <c r="M56" i="48"/>
  <c r="M151" i="48"/>
  <c r="M80" i="48"/>
  <c r="M92" i="48"/>
  <c r="M47" i="48"/>
  <c r="M149" i="48"/>
  <c r="M59" i="48"/>
  <c r="M196" i="48"/>
  <c r="M174" i="48"/>
  <c r="M146" i="48"/>
  <c r="M89" i="48"/>
  <c r="M31" i="48"/>
  <c r="M183" i="48"/>
  <c r="M61" i="48"/>
  <c r="M171" i="48"/>
  <c r="M62" i="48"/>
  <c r="M17" i="48"/>
  <c r="M60" i="48"/>
  <c r="M161" i="48"/>
  <c r="M134" i="48"/>
  <c r="M10" i="48"/>
  <c r="M110" i="48"/>
  <c r="M187" i="48"/>
  <c r="M29" i="48"/>
  <c r="M11" i="48"/>
  <c r="M87" i="48"/>
  <c r="M26" i="48"/>
  <c r="M73" i="48"/>
  <c r="M127" i="48"/>
  <c r="M130" i="48"/>
  <c r="M147" i="48"/>
  <c r="M100" i="48"/>
  <c r="M169" i="48"/>
  <c r="M40" i="48"/>
  <c r="M52" i="48"/>
  <c r="M122" i="48"/>
  <c r="M21" i="48"/>
  <c r="M71" i="48"/>
  <c r="M125" i="48"/>
  <c r="M140" i="48"/>
  <c r="M156" i="48"/>
  <c r="M83" i="48"/>
  <c r="M43" i="48"/>
  <c r="M131" i="48"/>
  <c r="M51" i="48"/>
  <c r="M162" i="48"/>
  <c r="M197" i="48"/>
  <c r="M24" i="48"/>
  <c r="M64" i="48"/>
  <c r="M142" i="48"/>
  <c r="M32" i="48"/>
  <c r="M77" i="48"/>
  <c r="M189" i="48"/>
  <c r="M28" i="48"/>
  <c r="M184" i="48"/>
  <c r="M12" i="48"/>
  <c r="M178" i="48"/>
  <c r="M180" i="48"/>
  <c r="M166" i="48"/>
  <c r="M7" i="48"/>
  <c r="M48" i="48"/>
  <c r="M141" i="48"/>
  <c r="M14" i="48"/>
  <c r="M68" i="48"/>
  <c r="M19" i="48"/>
  <c r="M186" i="48"/>
  <c r="M170" i="48"/>
  <c r="M173" i="48"/>
  <c r="M106" i="48"/>
  <c r="M144" i="48"/>
  <c r="M137" i="48"/>
  <c r="M107" i="48"/>
  <c r="M34" i="48"/>
  <c r="M182" i="48"/>
  <c r="M66" i="48"/>
  <c r="M114" i="48"/>
  <c r="M121" i="48"/>
  <c r="M163" i="48"/>
  <c r="M98" i="48"/>
  <c r="M176" i="48"/>
  <c r="M198" i="48"/>
  <c r="M195" i="48"/>
  <c r="M76" i="48"/>
  <c r="M28" i="47"/>
  <c r="M136" i="47"/>
  <c r="M52" i="47"/>
  <c r="M5" i="47"/>
  <c r="M132" i="47"/>
  <c r="M83" i="47"/>
  <c r="M149" i="47"/>
  <c r="M165" i="47"/>
  <c r="M185" i="47"/>
  <c r="M82" i="47"/>
  <c r="M175" i="47"/>
  <c r="M153" i="47"/>
  <c r="M18" i="47"/>
  <c r="M123" i="47"/>
  <c r="M44" i="47"/>
  <c r="M113" i="47"/>
  <c r="M119" i="47"/>
  <c r="M38" i="47"/>
  <c r="M126" i="47"/>
  <c r="M137" i="47"/>
  <c r="M142" i="47"/>
  <c r="M63" i="47"/>
  <c r="M186" i="47"/>
  <c r="M190" i="47"/>
  <c r="M133" i="47"/>
  <c r="M142" i="43"/>
  <c r="M52" i="43"/>
  <c r="M10" i="47"/>
  <c r="M27" i="47"/>
  <c r="M45" i="47"/>
  <c r="M62" i="47"/>
  <c r="M79" i="47"/>
  <c r="M97" i="47"/>
  <c r="M130" i="47"/>
  <c r="M166" i="47"/>
  <c r="M183" i="47"/>
  <c r="M29" i="47"/>
  <c r="M46" i="47"/>
  <c r="M64" i="47"/>
  <c r="M90" i="47"/>
  <c r="M106" i="47"/>
  <c r="M122" i="47"/>
  <c r="M141" i="47"/>
  <c r="M158" i="47"/>
  <c r="M176" i="47"/>
  <c r="M194" i="47"/>
  <c r="M7" i="47"/>
  <c r="M12" i="47"/>
  <c r="M30" i="47"/>
  <c r="M47" i="47"/>
  <c r="M65" i="47"/>
  <c r="M81" i="47"/>
  <c r="M99" i="47"/>
  <c r="M115" i="47"/>
  <c r="M151" i="47"/>
  <c r="M168" i="47"/>
  <c r="M13" i="47"/>
  <c r="M31" i="47"/>
  <c r="M48" i="47"/>
  <c r="M66" i="47"/>
  <c r="M84" i="47"/>
  <c r="M100" i="47"/>
  <c r="M116" i="47"/>
  <c r="M134" i="47"/>
  <c r="M152" i="47"/>
  <c r="M169" i="47"/>
  <c r="M187" i="47"/>
  <c r="M165" i="43"/>
  <c r="M19" i="47"/>
  <c r="M36" i="47"/>
  <c r="M54" i="47"/>
  <c r="M71" i="47"/>
  <c r="M89" i="47"/>
  <c r="M105" i="47"/>
  <c r="M121" i="47"/>
  <c r="M140" i="47"/>
  <c r="M157" i="47"/>
  <c r="M174" i="47"/>
  <c r="M193" i="47"/>
  <c r="M11" i="47"/>
  <c r="M37" i="47"/>
  <c r="M55" i="47"/>
  <c r="M76" i="47"/>
  <c r="M98" i="47"/>
  <c r="M114" i="47"/>
  <c r="M131" i="47"/>
  <c r="M150" i="47"/>
  <c r="M167" i="47"/>
  <c r="M184" i="47"/>
  <c r="M80" i="47"/>
  <c r="M21" i="47"/>
  <c r="M39" i="47"/>
  <c r="M56" i="47"/>
  <c r="M73" i="47"/>
  <c r="M91" i="47"/>
  <c r="M107" i="47"/>
  <c r="M124" i="47"/>
  <c r="M143" i="47"/>
  <c r="M159" i="47"/>
  <c r="M177" i="47"/>
  <c r="M195" i="47"/>
  <c r="M68" i="47"/>
  <c r="M22" i="47"/>
  <c r="M40" i="47"/>
  <c r="M57" i="47"/>
  <c r="M74" i="47"/>
  <c r="M92" i="47"/>
  <c r="M108" i="47"/>
  <c r="M125" i="47"/>
  <c r="M144" i="47"/>
  <c r="M160" i="47"/>
  <c r="M178" i="47"/>
  <c r="M196" i="47"/>
  <c r="M5" i="43"/>
  <c r="M136" i="43"/>
  <c r="M113" i="43"/>
  <c r="M190" i="43"/>
  <c r="M32" i="47"/>
  <c r="M85" i="47"/>
  <c r="M33" i="47"/>
  <c r="M110" i="47"/>
  <c r="M24" i="47"/>
  <c r="M87" i="47"/>
  <c r="M15" i="47"/>
  <c r="M156" i="47"/>
  <c r="M137" i="43"/>
  <c r="M153" i="43"/>
  <c r="M133" i="43"/>
  <c r="M38" i="43"/>
  <c r="M82" i="43"/>
  <c r="M83" i="43"/>
  <c r="M63" i="43"/>
  <c r="M28" i="43"/>
  <c r="M6" i="47"/>
  <c r="M23" i="47"/>
  <c r="M41" i="47"/>
  <c r="M58" i="47"/>
  <c r="M75" i="47"/>
  <c r="M93" i="47"/>
  <c r="M109" i="47"/>
  <c r="M145" i="47"/>
  <c r="M161" i="47"/>
  <c r="M179" i="47"/>
  <c r="M197" i="47"/>
  <c r="M20" i="47"/>
  <c r="M42" i="47"/>
  <c r="M59" i="47"/>
  <c r="M86" i="47"/>
  <c r="M102" i="47"/>
  <c r="M118" i="47"/>
  <c r="M154" i="47"/>
  <c r="M171" i="47"/>
  <c r="M189" i="47"/>
  <c r="M8" i="47"/>
  <c r="M25" i="47"/>
  <c r="M43" i="47"/>
  <c r="M60" i="47"/>
  <c r="M77" i="47"/>
  <c r="M95" i="47"/>
  <c r="M111" i="47"/>
  <c r="M128" i="47"/>
  <c r="M147" i="47"/>
  <c r="M163" i="47"/>
  <c r="M181" i="47"/>
  <c r="M9" i="47"/>
  <c r="M26" i="47"/>
  <c r="M61" i="47"/>
  <c r="M78" i="47"/>
  <c r="M96" i="47"/>
  <c r="M112" i="47"/>
  <c r="M129" i="47"/>
  <c r="M148" i="47"/>
  <c r="M164" i="47"/>
  <c r="M182" i="47"/>
  <c r="M175" i="43"/>
  <c r="M132" i="43"/>
  <c r="M192" i="47"/>
  <c r="M14" i="47"/>
  <c r="M49" i="47"/>
  <c r="M117" i="47"/>
  <c r="M170" i="47"/>
  <c r="M72" i="47"/>
  <c r="M162" i="47"/>
  <c r="M51" i="47"/>
  <c r="M155" i="47"/>
  <c r="M53" i="47"/>
  <c r="M104" i="47"/>
  <c r="M123" i="43"/>
  <c r="M185" i="43"/>
  <c r="M126" i="43"/>
  <c r="M67" i="47"/>
  <c r="M101" i="47"/>
  <c r="M135" i="47"/>
  <c r="M188" i="47"/>
  <c r="M50" i="47"/>
  <c r="M94" i="47"/>
  <c r="M127" i="47"/>
  <c r="M146" i="47"/>
  <c r="M180" i="47"/>
  <c r="M198" i="47"/>
  <c r="M16" i="47"/>
  <c r="M34" i="47"/>
  <c r="M69" i="47"/>
  <c r="M103" i="47"/>
  <c r="M138" i="47"/>
  <c r="M172" i="47"/>
  <c r="M191" i="47"/>
  <c r="M17" i="47"/>
  <c r="M35" i="47"/>
  <c r="M70" i="47"/>
  <c r="M88" i="47"/>
  <c r="M120" i="47"/>
  <c r="M139" i="47"/>
  <c r="M173" i="47"/>
  <c r="M119" i="43"/>
  <c r="M186" i="43"/>
  <c r="M149" i="43"/>
  <c r="M18" i="43"/>
  <c r="N48" i="48" l="1"/>
  <c r="N156" i="48"/>
  <c r="N182" i="48"/>
  <c r="N28" i="48"/>
  <c r="N77" i="48"/>
  <c r="N64" i="48"/>
  <c r="N197" i="48"/>
  <c r="N140" i="48"/>
  <c r="N11" i="48"/>
  <c r="N161" i="48"/>
  <c r="N17" i="48"/>
  <c r="N183" i="48"/>
  <c r="N31" i="48"/>
  <c r="N59" i="48"/>
  <c r="N56" i="48"/>
  <c r="N124" i="48"/>
  <c r="N160" i="48"/>
  <c r="N164" i="48"/>
  <c r="N191" i="48"/>
  <c r="N99" i="48"/>
  <c r="N50" i="48"/>
  <c r="N150" i="48"/>
  <c r="N112" i="48"/>
  <c r="N194" i="48"/>
  <c r="N63" i="48"/>
  <c r="N177" i="48"/>
  <c r="N132" i="48"/>
  <c r="N129" i="48"/>
  <c r="N126" i="48"/>
  <c r="N136" i="48"/>
  <c r="N153" i="48"/>
  <c r="N27" i="48"/>
  <c r="N46" i="48"/>
  <c r="N69" i="48"/>
  <c r="N86" i="48"/>
  <c r="N185" i="48"/>
  <c r="N85" i="48"/>
  <c r="N65" i="48"/>
  <c r="N165" i="48"/>
  <c r="N95" i="48"/>
  <c r="N75" i="48"/>
  <c r="N91" i="48"/>
  <c r="N101" i="48"/>
  <c r="N13" i="48"/>
  <c r="N113" i="48"/>
  <c r="N49" i="48"/>
  <c r="N106" i="48"/>
  <c r="N19" i="48"/>
  <c r="N24" i="48"/>
  <c r="N51" i="48"/>
  <c r="N76" i="48"/>
  <c r="N195" i="48"/>
  <c r="N198" i="48"/>
  <c r="N121" i="48"/>
  <c r="N66" i="48"/>
  <c r="N34" i="48"/>
  <c r="N137" i="48"/>
  <c r="N144" i="48"/>
  <c r="N141" i="48"/>
  <c r="N7" i="48"/>
  <c r="N178" i="48"/>
  <c r="N142" i="48"/>
  <c r="N43" i="48"/>
  <c r="N83" i="48"/>
  <c r="N125" i="48"/>
  <c r="N21" i="48"/>
  <c r="N122" i="48"/>
  <c r="N130" i="48"/>
  <c r="N87" i="48"/>
  <c r="N134" i="48"/>
  <c r="N151" i="48"/>
  <c r="N155" i="48"/>
  <c r="N111" i="48"/>
  <c r="N35" i="48"/>
  <c r="N172" i="48"/>
  <c r="N84" i="48"/>
  <c r="N120" i="48"/>
  <c r="N58" i="48"/>
  <c r="N148" i="48"/>
  <c r="N117" i="48"/>
  <c r="N53" i="48"/>
  <c r="N8" i="48"/>
  <c r="N70" i="48"/>
  <c r="N105" i="48"/>
  <c r="N139" i="48"/>
  <c r="N16" i="48"/>
  <c r="N116" i="48"/>
  <c r="N20" i="48"/>
  <c r="N190" i="48"/>
  <c r="N109" i="48"/>
  <c r="N179" i="48"/>
  <c r="N193" i="48"/>
  <c r="N55" i="48"/>
  <c r="N45" i="48"/>
  <c r="N138" i="48"/>
  <c r="N30" i="48"/>
  <c r="N39" i="48"/>
  <c r="N78" i="48"/>
  <c r="N22" i="48"/>
  <c r="N9" i="48"/>
  <c r="N79" i="48"/>
  <c r="N81" i="48"/>
  <c r="N44" i="48"/>
  <c r="N180" i="48"/>
  <c r="N114" i="48"/>
  <c r="N176" i="48"/>
  <c r="N163" i="48"/>
  <c r="N107" i="48"/>
  <c r="N173" i="48"/>
  <c r="N170" i="48"/>
  <c r="N14" i="48"/>
  <c r="N12" i="48"/>
  <c r="N184" i="48"/>
  <c r="N32" i="48"/>
  <c r="N131" i="48"/>
  <c r="N52" i="48"/>
  <c r="N40" i="48"/>
  <c r="N147" i="48"/>
  <c r="N29" i="48"/>
  <c r="N110" i="48"/>
  <c r="N10" i="48"/>
  <c r="N171" i="48"/>
  <c r="N61" i="48"/>
  <c r="N196" i="48"/>
  <c r="N47" i="48"/>
  <c r="N80" i="48"/>
  <c r="N104" i="48"/>
  <c r="N123" i="48"/>
  <c r="N25" i="48"/>
  <c r="N188" i="48"/>
  <c r="N102" i="48"/>
  <c r="N88" i="48"/>
  <c r="N54" i="48"/>
  <c r="N119" i="48"/>
  <c r="N175" i="48"/>
  <c r="N57" i="48"/>
  <c r="N157" i="48"/>
  <c r="N103" i="48"/>
  <c r="N168" i="48"/>
  <c r="N5" i="48"/>
  <c r="N159" i="48"/>
  <c r="N145" i="48"/>
  <c r="N6" i="48"/>
  <c r="N37" i="48"/>
  <c r="N93" i="48"/>
  <c r="N82" i="48"/>
  <c r="N36" i="48"/>
  <c r="N167" i="48"/>
  <c r="N98" i="48"/>
  <c r="N186" i="48"/>
  <c r="N68" i="48"/>
  <c r="N166" i="48"/>
  <c r="N189" i="48"/>
  <c r="N162" i="48"/>
  <c r="N71" i="48"/>
  <c r="N169" i="48"/>
  <c r="N100" i="48"/>
  <c r="N127" i="48"/>
  <c r="N73" i="48"/>
  <c r="N26" i="48"/>
  <c r="N187" i="48"/>
  <c r="N60" i="48"/>
  <c r="N62" i="48"/>
  <c r="N89" i="48"/>
  <c r="N146" i="48"/>
  <c r="N174" i="48"/>
  <c r="N149" i="48"/>
  <c r="N92" i="48"/>
  <c r="N152" i="48"/>
  <c r="N72" i="48"/>
  <c r="N96" i="48"/>
  <c r="N181" i="48"/>
  <c r="N135" i="48"/>
  <c r="N192" i="48"/>
  <c r="N67" i="48"/>
  <c r="N74" i="48"/>
  <c r="N154" i="48"/>
  <c r="N118" i="48"/>
  <c r="N33" i="48"/>
  <c r="N115" i="48"/>
  <c r="N133" i="48"/>
  <c r="N90" i="48"/>
  <c r="N158" i="48"/>
  <c r="N128" i="48"/>
  <c r="N23" i="48"/>
  <c r="N38" i="48"/>
  <c r="N97" i="48"/>
  <c r="N15" i="48"/>
  <c r="N42" i="48"/>
  <c r="N18" i="48"/>
  <c r="N41" i="48"/>
  <c r="N94" i="48"/>
  <c r="N143" i="48"/>
  <c r="N108" i="48"/>
  <c r="N63" i="47"/>
  <c r="N113" i="47"/>
  <c r="N153" i="47"/>
  <c r="N165" i="47"/>
  <c r="N136" i="47"/>
  <c r="N190" i="47"/>
  <c r="N137" i="47"/>
  <c r="N38" i="47"/>
  <c r="N123" i="47"/>
  <c r="N82" i="47"/>
  <c r="N83" i="47"/>
  <c r="N5" i="47"/>
  <c r="N133" i="47"/>
  <c r="N186" i="47"/>
  <c r="N142" i="47"/>
  <c r="N126" i="47"/>
  <c r="N119" i="47"/>
  <c r="N44" i="47"/>
  <c r="N18" i="47"/>
  <c r="N175" i="47"/>
  <c r="N185" i="47"/>
  <c r="N149" i="47"/>
  <c r="N132" i="47"/>
  <c r="N52" i="47"/>
  <c r="N28" i="47"/>
  <c r="N119" i="43"/>
  <c r="N173" i="47"/>
  <c r="N120" i="47"/>
  <c r="N70" i="47"/>
  <c r="N191" i="47"/>
  <c r="N138" i="47"/>
  <c r="N34" i="47"/>
  <c r="N198" i="47"/>
  <c r="N146" i="47"/>
  <c r="N50" i="47"/>
  <c r="N135" i="47"/>
  <c r="N67" i="47"/>
  <c r="N38" i="43"/>
  <c r="N132" i="43"/>
  <c r="N82" i="43"/>
  <c r="N156" i="47"/>
  <c r="N15" i="47"/>
  <c r="N87" i="47"/>
  <c r="N24" i="47"/>
  <c r="N110" i="47"/>
  <c r="N33" i="47"/>
  <c r="N85" i="47"/>
  <c r="N32" i="47"/>
  <c r="N113" i="43"/>
  <c r="N136" i="43"/>
  <c r="N142" i="43"/>
  <c r="N139" i="47"/>
  <c r="N88" i="47"/>
  <c r="N17" i="47"/>
  <c r="N172" i="47"/>
  <c r="N103" i="47"/>
  <c r="N16" i="47"/>
  <c r="N180" i="47"/>
  <c r="N127" i="47"/>
  <c r="N188" i="47"/>
  <c r="N101" i="47"/>
  <c r="N190" i="43"/>
  <c r="N185" i="43"/>
  <c r="N18" i="43"/>
  <c r="N186" i="43"/>
  <c r="N126" i="43"/>
  <c r="N123" i="43"/>
  <c r="N104" i="47"/>
  <c r="N53" i="47"/>
  <c r="N155" i="47"/>
  <c r="N51" i="47"/>
  <c r="N162" i="47"/>
  <c r="N72" i="47"/>
  <c r="N170" i="47"/>
  <c r="N117" i="47"/>
  <c r="N49" i="47"/>
  <c r="N14" i="47"/>
  <c r="N192" i="47"/>
  <c r="N175" i="43"/>
  <c r="N182" i="47"/>
  <c r="N164" i="47"/>
  <c r="N148" i="47"/>
  <c r="N129" i="47"/>
  <c r="N112" i="47"/>
  <c r="N96" i="47"/>
  <c r="N78" i="47"/>
  <c r="N61" i="47"/>
  <c r="N26" i="47"/>
  <c r="N9" i="47"/>
  <c r="N181" i="47"/>
  <c r="N163" i="47"/>
  <c r="N147" i="47"/>
  <c r="N128" i="47"/>
  <c r="N111" i="47"/>
  <c r="N95" i="47"/>
  <c r="N77" i="47"/>
  <c r="N60" i="47"/>
  <c r="N43" i="47"/>
  <c r="N25" i="47"/>
  <c r="N8" i="47"/>
  <c r="N189" i="47"/>
  <c r="N171" i="47"/>
  <c r="N154" i="47"/>
  <c r="N118" i="47"/>
  <c r="N102" i="47"/>
  <c r="N86" i="47"/>
  <c r="N59" i="47"/>
  <c r="N42" i="47"/>
  <c r="N20" i="47"/>
  <c r="N197" i="47"/>
  <c r="N179" i="47"/>
  <c r="N161" i="47"/>
  <c r="N145" i="47"/>
  <c r="N109" i="47"/>
  <c r="N93" i="47"/>
  <c r="N75" i="47"/>
  <c r="N58" i="47"/>
  <c r="N41" i="47"/>
  <c r="N23" i="47"/>
  <c r="N6" i="47"/>
  <c r="N28" i="43"/>
  <c r="N83" i="43"/>
  <c r="N153" i="43"/>
  <c r="N5" i="43"/>
  <c r="N196" i="47"/>
  <c r="N178" i="47"/>
  <c r="N160" i="47"/>
  <c r="N144" i="47"/>
  <c r="N125" i="47"/>
  <c r="N108" i="47"/>
  <c r="N92" i="47"/>
  <c r="N74" i="47"/>
  <c r="N57" i="47"/>
  <c r="N40" i="47"/>
  <c r="N22" i="47"/>
  <c r="N68" i="47"/>
  <c r="N195" i="47"/>
  <c r="N177" i="47"/>
  <c r="N159" i="47"/>
  <c r="N143" i="47"/>
  <c r="N124" i="47"/>
  <c r="N107" i="47"/>
  <c r="N91" i="47"/>
  <c r="N73" i="47"/>
  <c r="N56" i="47"/>
  <c r="N39" i="47"/>
  <c r="N21" i="47"/>
  <c r="N80" i="47"/>
  <c r="N184" i="47"/>
  <c r="N167" i="47"/>
  <c r="N150" i="47"/>
  <c r="N131" i="47"/>
  <c r="N114" i="47"/>
  <c r="N98" i="47"/>
  <c r="N76" i="47"/>
  <c r="N55" i="47"/>
  <c r="N37" i="47"/>
  <c r="N11" i="47"/>
  <c r="N193" i="47"/>
  <c r="N174" i="47"/>
  <c r="N157" i="47"/>
  <c r="N140" i="47"/>
  <c r="N121" i="47"/>
  <c r="N105" i="47"/>
  <c r="N89" i="47"/>
  <c r="N71" i="47"/>
  <c r="N54" i="47"/>
  <c r="N36" i="47"/>
  <c r="N19" i="47"/>
  <c r="N35" i="47"/>
  <c r="N69" i="47"/>
  <c r="N94" i="47"/>
  <c r="N133" i="43"/>
  <c r="N149" i="43"/>
  <c r="N63" i="43"/>
  <c r="N137" i="43"/>
  <c r="N165" i="43"/>
  <c r="N187" i="47"/>
  <c r="N169" i="47"/>
  <c r="N152" i="47"/>
  <c r="N134" i="47"/>
  <c r="N116" i="47"/>
  <c r="N100" i="47"/>
  <c r="N84" i="47"/>
  <c r="N66" i="47"/>
  <c r="N48" i="47"/>
  <c r="N31" i="47"/>
  <c r="N13" i="47"/>
  <c r="N168" i="47"/>
  <c r="N151" i="47"/>
  <c r="N115" i="47"/>
  <c r="N99" i="47"/>
  <c r="N81" i="47"/>
  <c r="N65" i="47"/>
  <c r="N47" i="47"/>
  <c r="N30" i="47"/>
  <c r="N12" i="47"/>
  <c r="N7" i="47"/>
  <c r="N194" i="47"/>
  <c r="N176" i="47"/>
  <c r="N158" i="47"/>
  <c r="N141" i="47"/>
  <c r="N122" i="47"/>
  <c r="N106" i="47"/>
  <c r="N90" i="47"/>
  <c r="N64" i="47"/>
  <c r="N46" i="47"/>
  <c r="N29" i="47"/>
  <c r="N183" i="47"/>
  <c r="N166" i="47"/>
  <c r="N130" i="47"/>
  <c r="N97" i="47"/>
  <c r="N79" i="47"/>
  <c r="N62" i="47"/>
  <c r="N45" i="47"/>
  <c r="N27" i="47"/>
  <c r="N10" i="47"/>
  <c r="N52" i="43"/>
  <c r="O23" i="48" l="1"/>
  <c r="O154" i="48"/>
  <c r="O26" i="48"/>
  <c r="O186" i="48"/>
  <c r="O167" i="48"/>
  <c r="O188" i="48"/>
  <c r="O80" i="48"/>
  <c r="O42" i="48"/>
  <c r="O15" i="48"/>
  <c r="O97" i="48"/>
  <c r="O38" i="48"/>
  <c r="O94" i="48"/>
  <c r="O115" i="48"/>
  <c r="O152" i="48"/>
  <c r="O174" i="48"/>
  <c r="O127" i="48"/>
  <c r="O100" i="48"/>
  <c r="O71" i="48"/>
  <c r="O166" i="48"/>
  <c r="O98" i="48"/>
  <c r="O159" i="48"/>
  <c r="O102" i="48"/>
  <c r="O123" i="48"/>
  <c r="O61" i="48"/>
  <c r="O147" i="48"/>
  <c r="O131" i="48"/>
  <c r="O170" i="48"/>
  <c r="O107" i="48"/>
  <c r="O180" i="48"/>
  <c r="O44" i="48"/>
  <c r="O79" i="48"/>
  <c r="O9" i="48"/>
  <c r="O22" i="48"/>
  <c r="O78" i="48"/>
  <c r="O138" i="48"/>
  <c r="O55" i="48"/>
  <c r="O16" i="48"/>
  <c r="O172" i="48"/>
  <c r="O35" i="48"/>
  <c r="O111" i="48"/>
  <c r="O130" i="48"/>
  <c r="O21" i="48"/>
  <c r="O142" i="48"/>
  <c r="O178" i="48"/>
  <c r="O141" i="48"/>
  <c r="O137" i="48"/>
  <c r="O66" i="48"/>
  <c r="O24" i="48"/>
  <c r="O13" i="48"/>
  <c r="O165" i="48"/>
  <c r="O69" i="48"/>
  <c r="O46" i="48"/>
  <c r="O177" i="48"/>
  <c r="O150" i="48"/>
  <c r="O164" i="48"/>
  <c r="O160" i="48"/>
  <c r="O31" i="48"/>
  <c r="O140" i="48"/>
  <c r="O182" i="48"/>
  <c r="O90" i="48"/>
  <c r="O74" i="48"/>
  <c r="O67" i="48"/>
  <c r="O135" i="48"/>
  <c r="O89" i="48"/>
  <c r="O60" i="48"/>
  <c r="O162" i="48"/>
  <c r="O168" i="48"/>
  <c r="O175" i="48"/>
  <c r="O88" i="48"/>
  <c r="O29" i="48"/>
  <c r="O41" i="48"/>
  <c r="O128" i="48"/>
  <c r="O33" i="48"/>
  <c r="O192" i="48"/>
  <c r="O181" i="48"/>
  <c r="O92" i="48"/>
  <c r="O18" i="48"/>
  <c r="O143" i="48"/>
  <c r="O133" i="48"/>
  <c r="O118" i="48"/>
  <c r="O72" i="48"/>
  <c r="O73" i="48"/>
  <c r="O189" i="48"/>
  <c r="O36" i="48"/>
  <c r="O93" i="48"/>
  <c r="O103" i="48"/>
  <c r="O119" i="48"/>
  <c r="O54" i="48"/>
  <c r="O25" i="48"/>
  <c r="O47" i="48"/>
  <c r="O40" i="48"/>
  <c r="O12" i="48"/>
  <c r="O173" i="48"/>
  <c r="O163" i="48"/>
  <c r="O45" i="48"/>
  <c r="O109" i="48"/>
  <c r="O116" i="48"/>
  <c r="O8" i="48"/>
  <c r="O53" i="48"/>
  <c r="O58" i="48"/>
  <c r="O84" i="48"/>
  <c r="O87" i="48"/>
  <c r="O122" i="48"/>
  <c r="O144" i="48"/>
  <c r="O85" i="48"/>
  <c r="O86" i="48"/>
  <c r="O153" i="48"/>
  <c r="O126" i="48"/>
  <c r="O194" i="48"/>
  <c r="O191" i="48"/>
  <c r="O17" i="48"/>
  <c r="O64" i="48"/>
  <c r="O77" i="48"/>
  <c r="O48" i="48"/>
  <c r="O184" i="48"/>
  <c r="O14" i="48"/>
  <c r="O176" i="48"/>
  <c r="O179" i="48"/>
  <c r="O105" i="48"/>
  <c r="O70" i="48"/>
  <c r="O148" i="48"/>
  <c r="O120" i="48"/>
  <c r="O151" i="48"/>
  <c r="O134" i="48"/>
  <c r="O125" i="48"/>
  <c r="O83" i="48"/>
  <c r="O7" i="48"/>
  <c r="O198" i="48"/>
  <c r="O76" i="48"/>
  <c r="O51" i="48"/>
  <c r="O19" i="48"/>
  <c r="O106" i="48"/>
  <c r="O113" i="48"/>
  <c r="O91" i="48"/>
  <c r="O95" i="48"/>
  <c r="O65" i="48"/>
  <c r="O185" i="48"/>
  <c r="O27" i="48"/>
  <c r="O136" i="48"/>
  <c r="O132" i="48"/>
  <c r="O63" i="48"/>
  <c r="O112" i="48"/>
  <c r="O99" i="48"/>
  <c r="O56" i="48"/>
  <c r="O59" i="48"/>
  <c r="O161" i="48"/>
  <c r="O11" i="48"/>
  <c r="O197" i="48"/>
  <c r="O28" i="48"/>
  <c r="O158" i="48"/>
  <c r="O149" i="48"/>
  <c r="O62" i="48"/>
  <c r="O68" i="48"/>
  <c r="O37" i="48"/>
  <c r="O6" i="48"/>
  <c r="O145" i="48"/>
  <c r="O5" i="48"/>
  <c r="O57" i="48"/>
  <c r="O104" i="48"/>
  <c r="O52" i="48"/>
  <c r="O108" i="48"/>
  <c r="O96" i="48"/>
  <c r="O146" i="48"/>
  <c r="O187" i="48"/>
  <c r="O169" i="48"/>
  <c r="O82" i="48"/>
  <c r="O157" i="48"/>
  <c r="O196" i="48"/>
  <c r="O171" i="48"/>
  <c r="O10" i="48"/>
  <c r="O110" i="48"/>
  <c r="O32" i="48"/>
  <c r="O114" i="48"/>
  <c r="O81" i="48"/>
  <c r="O39" i="48"/>
  <c r="O30" i="48"/>
  <c r="O193" i="48"/>
  <c r="O190" i="48"/>
  <c r="O20" i="48"/>
  <c r="O139" i="48"/>
  <c r="O117" i="48"/>
  <c r="O155" i="48"/>
  <c r="O43" i="48"/>
  <c r="O34" i="48"/>
  <c r="O121" i="48"/>
  <c r="O195" i="48"/>
  <c r="O49" i="48"/>
  <c r="O101" i="48"/>
  <c r="O75" i="48"/>
  <c r="O129" i="48"/>
  <c r="O50" i="48"/>
  <c r="O124" i="48"/>
  <c r="O183" i="48"/>
  <c r="O156" i="48"/>
  <c r="O52" i="47"/>
  <c r="O175" i="47"/>
  <c r="O126" i="47"/>
  <c r="O186" i="47"/>
  <c r="O82" i="47"/>
  <c r="O190" i="47"/>
  <c r="O165" i="47"/>
  <c r="O149" i="47"/>
  <c r="O44" i="47"/>
  <c r="O5" i="47"/>
  <c r="O38" i="47"/>
  <c r="O113" i="47"/>
  <c r="O28" i="47"/>
  <c r="O132" i="47"/>
  <c r="O185" i="47"/>
  <c r="O18" i="47"/>
  <c r="O119" i="47"/>
  <c r="O142" i="47"/>
  <c r="O133" i="47"/>
  <c r="O83" i="47"/>
  <c r="O123" i="47"/>
  <c r="O137" i="47"/>
  <c r="O136" i="47"/>
  <c r="O153" i="47"/>
  <c r="O63" i="47"/>
  <c r="O36" i="47"/>
  <c r="O140" i="47"/>
  <c r="O55" i="47"/>
  <c r="O80" i="47"/>
  <c r="O159" i="47"/>
  <c r="O63" i="43"/>
  <c r="O133" i="43"/>
  <c r="O153" i="43"/>
  <c r="O28" i="43"/>
  <c r="O6" i="47"/>
  <c r="O23" i="47"/>
  <c r="O41" i="47"/>
  <c r="O58" i="47"/>
  <c r="O75" i="47"/>
  <c r="O93" i="47"/>
  <c r="O109" i="47"/>
  <c r="O145" i="47"/>
  <c r="O161" i="47"/>
  <c r="O179" i="47"/>
  <c r="O197" i="47"/>
  <c r="O20" i="47"/>
  <c r="O42" i="47"/>
  <c r="O59" i="47"/>
  <c r="O86" i="47"/>
  <c r="O102" i="47"/>
  <c r="O118" i="47"/>
  <c r="O154" i="47"/>
  <c r="O171" i="47"/>
  <c r="O189" i="47"/>
  <c r="O8" i="47"/>
  <c r="O25" i="47"/>
  <c r="O43" i="47"/>
  <c r="O60" i="47"/>
  <c r="O77" i="47"/>
  <c r="O95" i="47"/>
  <c r="O111" i="47"/>
  <c r="O128" i="47"/>
  <c r="O147" i="47"/>
  <c r="O163" i="47"/>
  <c r="O181" i="47"/>
  <c r="O9" i="47"/>
  <c r="O26" i="47"/>
  <c r="O61" i="47"/>
  <c r="O78" i="47"/>
  <c r="O96" i="47"/>
  <c r="O112" i="47"/>
  <c r="O129" i="47"/>
  <c r="O148" i="47"/>
  <c r="O164" i="47"/>
  <c r="O182" i="47"/>
  <c r="O123" i="43"/>
  <c r="O142" i="43"/>
  <c r="O136" i="43"/>
  <c r="O82" i="43"/>
  <c r="O137" i="43"/>
  <c r="O19" i="47"/>
  <c r="O89" i="47"/>
  <c r="O121" i="47"/>
  <c r="O193" i="47"/>
  <c r="O37" i="47"/>
  <c r="O114" i="47"/>
  <c r="O150" i="47"/>
  <c r="O184" i="47"/>
  <c r="O56" i="47"/>
  <c r="O91" i="47"/>
  <c r="O124" i="47"/>
  <c r="O195" i="47"/>
  <c r="O40" i="47"/>
  <c r="O74" i="47"/>
  <c r="O108" i="47"/>
  <c r="O144" i="47"/>
  <c r="O52" i="43"/>
  <c r="O10" i="47"/>
  <c r="O27" i="47"/>
  <c r="O45" i="47"/>
  <c r="O62" i="47"/>
  <c r="O79" i="47"/>
  <c r="O97" i="47"/>
  <c r="O130" i="47"/>
  <c r="O166" i="47"/>
  <c r="O183" i="47"/>
  <c r="O29" i="47"/>
  <c r="O46" i="47"/>
  <c r="O64" i="47"/>
  <c r="O90" i="47"/>
  <c r="O106" i="47"/>
  <c r="O122" i="47"/>
  <c r="O141" i="47"/>
  <c r="O158" i="47"/>
  <c r="O176" i="47"/>
  <c r="O194" i="47"/>
  <c r="O7" i="47"/>
  <c r="O12" i="47"/>
  <c r="O30" i="47"/>
  <c r="O47" i="47"/>
  <c r="O65" i="47"/>
  <c r="O81" i="47"/>
  <c r="O99" i="47"/>
  <c r="O115" i="47"/>
  <c r="O151" i="47"/>
  <c r="O168" i="47"/>
  <c r="O13" i="47"/>
  <c r="O31" i="47"/>
  <c r="O48" i="47"/>
  <c r="O66" i="47"/>
  <c r="O84" i="47"/>
  <c r="O100" i="47"/>
  <c r="O116" i="47"/>
  <c r="O134" i="47"/>
  <c r="O152" i="47"/>
  <c r="O169" i="47"/>
  <c r="O187" i="47"/>
  <c r="O5" i="43"/>
  <c r="O185" i="43"/>
  <c r="O101" i="47"/>
  <c r="O188" i="47"/>
  <c r="O127" i="47"/>
  <c r="O180" i="47"/>
  <c r="O16" i="47"/>
  <c r="O103" i="47"/>
  <c r="O172" i="47"/>
  <c r="O17" i="47"/>
  <c r="O88" i="47"/>
  <c r="O139" i="47"/>
  <c r="O132" i="43"/>
  <c r="O38" i="43"/>
  <c r="O67" i="47"/>
  <c r="O135" i="47"/>
  <c r="O50" i="47"/>
  <c r="O146" i="47"/>
  <c r="O198" i="47"/>
  <c r="O34" i="47"/>
  <c r="O138" i="47"/>
  <c r="O191" i="47"/>
  <c r="O70" i="47"/>
  <c r="O120" i="47"/>
  <c r="O173" i="47"/>
  <c r="O165" i="43"/>
  <c r="O71" i="47"/>
  <c r="O105" i="47"/>
  <c r="O174" i="47"/>
  <c r="O11" i="47"/>
  <c r="O98" i="47"/>
  <c r="O131" i="47"/>
  <c r="O167" i="47"/>
  <c r="O21" i="47"/>
  <c r="O73" i="47"/>
  <c r="O107" i="47"/>
  <c r="O143" i="47"/>
  <c r="O177" i="47"/>
  <c r="O22" i="47"/>
  <c r="O57" i="47"/>
  <c r="O92" i="47"/>
  <c r="O125" i="47"/>
  <c r="O160" i="47"/>
  <c r="O178" i="47"/>
  <c r="O196" i="47"/>
  <c r="O149" i="43"/>
  <c r="O94" i="47"/>
  <c r="O69" i="47"/>
  <c r="O35" i="47"/>
  <c r="O83" i="43"/>
  <c r="O175" i="43"/>
  <c r="O192" i="47"/>
  <c r="O14" i="47"/>
  <c r="O49" i="47"/>
  <c r="O117" i="47"/>
  <c r="O170" i="47"/>
  <c r="O72" i="47"/>
  <c r="O162" i="47"/>
  <c r="O51" i="47"/>
  <c r="O155" i="47"/>
  <c r="O53" i="47"/>
  <c r="O104" i="47"/>
  <c r="O126" i="43"/>
  <c r="O113" i="43"/>
  <c r="O32" i="47"/>
  <c r="O85" i="47"/>
  <c r="O33" i="47"/>
  <c r="O110" i="47"/>
  <c r="O24" i="47"/>
  <c r="O87" i="47"/>
  <c r="O15" i="47"/>
  <c r="O156" i="47"/>
  <c r="O54" i="47"/>
  <c r="O157" i="47"/>
  <c r="O76" i="47"/>
  <c r="O39" i="47"/>
  <c r="O68" i="47"/>
  <c r="O186" i="43"/>
  <c r="O18" i="43"/>
  <c r="O190" i="43"/>
  <c r="O119" i="43"/>
  <c r="P155" i="48" l="1"/>
  <c r="P124" i="48"/>
  <c r="P81" i="48"/>
  <c r="P104" i="48"/>
  <c r="P156" i="48"/>
  <c r="P75" i="48"/>
  <c r="P121" i="48"/>
  <c r="P117" i="48"/>
  <c r="P20" i="48"/>
  <c r="P39" i="48"/>
  <c r="P171" i="48"/>
  <c r="P96" i="48"/>
  <c r="P52" i="48"/>
  <c r="P158" i="48"/>
  <c r="P197" i="48"/>
  <c r="P112" i="48"/>
  <c r="P63" i="48"/>
  <c r="P132" i="48"/>
  <c r="P95" i="48"/>
  <c r="P105" i="48"/>
  <c r="P179" i="48"/>
  <c r="P14" i="48"/>
  <c r="P122" i="48"/>
  <c r="P87" i="48"/>
  <c r="P45" i="48"/>
  <c r="P25" i="48"/>
  <c r="P93" i="48"/>
  <c r="P36" i="48"/>
  <c r="P73" i="48"/>
  <c r="P133" i="48"/>
  <c r="P143" i="48"/>
  <c r="P92" i="48"/>
  <c r="P135" i="48"/>
  <c r="P182" i="48"/>
  <c r="P160" i="48"/>
  <c r="P165" i="48"/>
  <c r="P13" i="48"/>
  <c r="P21" i="48"/>
  <c r="P111" i="48"/>
  <c r="P22" i="48"/>
  <c r="P79" i="48"/>
  <c r="P147" i="48"/>
  <c r="P159" i="48"/>
  <c r="P166" i="48"/>
  <c r="P38" i="48"/>
  <c r="P32" i="48"/>
  <c r="P10" i="48"/>
  <c r="P82" i="48"/>
  <c r="P187" i="48"/>
  <c r="P146" i="48"/>
  <c r="P108" i="48"/>
  <c r="P57" i="48"/>
  <c r="P149" i="48"/>
  <c r="P161" i="48"/>
  <c r="P59" i="48"/>
  <c r="P185" i="48"/>
  <c r="P65" i="48"/>
  <c r="P51" i="48"/>
  <c r="P198" i="48"/>
  <c r="P7" i="48"/>
  <c r="P83" i="48"/>
  <c r="P125" i="48"/>
  <c r="P151" i="48"/>
  <c r="P148" i="48"/>
  <c r="P70" i="48"/>
  <c r="P184" i="48"/>
  <c r="P48" i="48"/>
  <c r="P17" i="48"/>
  <c r="P85" i="48"/>
  <c r="P109" i="48"/>
  <c r="P173" i="48"/>
  <c r="P12" i="48"/>
  <c r="P47" i="48"/>
  <c r="P103" i="48"/>
  <c r="P128" i="48"/>
  <c r="P41" i="48"/>
  <c r="P29" i="48"/>
  <c r="P88" i="48"/>
  <c r="P175" i="48"/>
  <c r="P168" i="48"/>
  <c r="P89" i="48"/>
  <c r="P24" i="48"/>
  <c r="P78" i="48"/>
  <c r="P44" i="48"/>
  <c r="P170" i="48"/>
  <c r="P123" i="48"/>
  <c r="P98" i="48"/>
  <c r="P115" i="48"/>
  <c r="P42" i="48"/>
  <c r="P154" i="48"/>
  <c r="P183" i="48"/>
  <c r="P50" i="48"/>
  <c r="P49" i="48"/>
  <c r="P193" i="48"/>
  <c r="P110" i="48"/>
  <c r="P5" i="48"/>
  <c r="P11" i="48"/>
  <c r="P99" i="48"/>
  <c r="P136" i="48"/>
  <c r="P27" i="48"/>
  <c r="P91" i="48"/>
  <c r="P113" i="48"/>
  <c r="P19" i="48"/>
  <c r="P76" i="48"/>
  <c r="P120" i="48"/>
  <c r="P176" i="48"/>
  <c r="P77" i="48"/>
  <c r="P64" i="48"/>
  <c r="P191" i="48"/>
  <c r="P194" i="48"/>
  <c r="P153" i="48"/>
  <c r="P86" i="48"/>
  <c r="P144" i="48"/>
  <c r="P84" i="48"/>
  <c r="P58" i="48"/>
  <c r="P40" i="48"/>
  <c r="P119" i="48"/>
  <c r="P72" i="48"/>
  <c r="P192" i="48"/>
  <c r="P33" i="48"/>
  <c r="P162" i="48"/>
  <c r="P60" i="48"/>
  <c r="P74" i="48"/>
  <c r="P150" i="48"/>
  <c r="P46" i="48"/>
  <c r="P69" i="48"/>
  <c r="P66" i="48"/>
  <c r="P141" i="48"/>
  <c r="P142" i="48"/>
  <c r="P172" i="48"/>
  <c r="P138" i="48"/>
  <c r="P180" i="48"/>
  <c r="P107" i="48"/>
  <c r="P71" i="48"/>
  <c r="P100" i="48"/>
  <c r="P127" i="48"/>
  <c r="P15" i="48"/>
  <c r="P26" i="48"/>
  <c r="P23" i="48"/>
  <c r="P195" i="48"/>
  <c r="P139" i="48"/>
  <c r="P30" i="48"/>
  <c r="P129" i="48"/>
  <c r="P114" i="48"/>
  <c r="P169" i="48"/>
  <c r="P6" i="48"/>
  <c r="P37" i="48"/>
  <c r="P62" i="48"/>
  <c r="P101" i="48"/>
  <c r="P34" i="48"/>
  <c r="P43" i="48"/>
  <c r="P190" i="48"/>
  <c r="P196" i="48"/>
  <c r="P157" i="48"/>
  <c r="P145" i="48"/>
  <c r="P68" i="48"/>
  <c r="P28" i="48"/>
  <c r="P56" i="48"/>
  <c r="P106" i="48"/>
  <c r="P134" i="48"/>
  <c r="P126" i="48"/>
  <c r="P53" i="48"/>
  <c r="P8" i="48"/>
  <c r="P116" i="48"/>
  <c r="P163" i="48"/>
  <c r="P54" i="48"/>
  <c r="P189" i="48"/>
  <c r="P118" i="48"/>
  <c r="P18" i="48"/>
  <c r="P181" i="48"/>
  <c r="P67" i="48"/>
  <c r="P90" i="48"/>
  <c r="P140" i="48"/>
  <c r="P31" i="48"/>
  <c r="P164" i="48"/>
  <c r="P177" i="48"/>
  <c r="P137" i="48"/>
  <c r="P178" i="48"/>
  <c r="P130" i="48"/>
  <c r="P35" i="48"/>
  <c r="P16" i="48"/>
  <c r="P55" i="48"/>
  <c r="P9" i="48"/>
  <c r="P131" i="48"/>
  <c r="P61" i="48"/>
  <c r="P102" i="48"/>
  <c r="P174" i="48"/>
  <c r="P152" i="48"/>
  <c r="P94" i="48"/>
  <c r="P97" i="48"/>
  <c r="P80" i="48"/>
  <c r="P188" i="48"/>
  <c r="P167" i="48"/>
  <c r="P186" i="48"/>
  <c r="P153" i="47"/>
  <c r="P137" i="47"/>
  <c r="P83" i="47"/>
  <c r="P142" i="47"/>
  <c r="P18" i="47"/>
  <c r="P132" i="47"/>
  <c r="P113" i="47"/>
  <c r="P5" i="47"/>
  <c r="P149" i="47"/>
  <c r="P190" i="47"/>
  <c r="P186" i="47"/>
  <c r="P175" i="47"/>
  <c r="P63" i="47"/>
  <c r="P136" i="47"/>
  <c r="P123" i="47"/>
  <c r="P133" i="47"/>
  <c r="P119" i="47"/>
  <c r="P185" i="47"/>
  <c r="P28" i="47"/>
  <c r="P38" i="47"/>
  <c r="P44" i="47"/>
  <c r="P165" i="47"/>
  <c r="P82" i="47"/>
  <c r="P126" i="47"/>
  <c r="P52" i="47"/>
  <c r="P186" i="43"/>
  <c r="P68" i="47"/>
  <c r="P113" i="43"/>
  <c r="P69" i="47"/>
  <c r="P94" i="47"/>
  <c r="P38" i="43"/>
  <c r="P52" i="43"/>
  <c r="P142" i="43"/>
  <c r="P153" i="43"/>
  <c r="P190" i="43"/>
  <c r="P39" i="47"/>
  <c r="P76" i="47"/>
  <c r="P157" i="47"/>
  <c r="P54" i="47"/>
  <c r="P35" i="47"/>
  <c r="P126" i="43"/>
  <c r="P104" i="47"/>
  <c r="P53" i="47"/>
  <c r="P155" i="47"/>
  <c r="P51" i="47"/>
  <c r="P162" i="47"/>
  <c r="P72" i="47"/>
  <c r="P170" i="47"/>
  <c r="P117" i="47"/>
  <c r="P49" i="47"/>
  <c r="P14" i="47"/>
  <c r="P192" i="47"/>
  <c r="P83" i="43"/>
  <c r="P165" i="43"/>
  <c r="P173" i="47"/>
  <c r="P120" i="47"/>
  <c r="P70" i="47"/>
  <c r="P191" i="47"/>
  <c r="P138" i="47"/>
  <c r="P34" i="47"/>
  <c r="P198" i="47"/>
  <c r="P146" i="47"/>
  <c r="P50" i="47"/>
  <c r="P135" i="47"/>
  <c r="P67" i="47"/>
  <c r="P139" i="47"/>
  <c r="P88" i="47"/>
  <c r="P17" i="47"/>
  <c r="P172" i="47"/>
  <c r="P103" i="47"/>
  <c r="P16" i="47"/>
  <c r="P180" i="47"/>
  <c r="P127" i="47"/>
  <c r="P188" i="47"/>
  <c r="P101" i="47"/>
  <c r="P5" i="43"/>
  <c r="P182" i="47"/>
  <c r="P164" i="47"/>
  <c r="P148" i="47"/>
  <c r="P129" i="47"/>
  <c r="P112" i="47"/>
  <c r="P96" i="47"/>
  <c r="P78" i="47"/>
  <c r="P61" i="47"/>
  <c r="P26" i="47"/>
  <c r="P9" i="47"/>
  <c r="P181" i="47"/>
  <c r="P163" i="47"/>
  <c r="P147" i="47"/>
  <c r="P128" i="47"/>
  <c r="P111" i="47"/>
  <c r="P95" i="47"/>
  <c r="P77" i="47"/>
  <c r="P60" i="47"/>
  <c r="P43" i="47"/>
  <c r="P25" i="47"/>
  <c r="P8" i="47"/>
  <c r="P189" i="47"/>
  <c r="P171" i="47"/>
  <c r="P154" i="47"/>
  <c r="P118" i="47"/>
  <c r="P102" i="47"/>
  <c r="P86" i="47"/>
  <c r="P59" i="47"/>
  <c r="P42" i="47"/>
  <c r="P20" i="47"/>
  <c r="P197" i="47"/>
  <c r="P179" i="47"/>
  <c r="P161" i="47"/>
  <c r="P145" i="47"/>
  <c r="P109" i="47"/>
  <c r="P93" i="47"/>
  <c r="P75" i="47"/>
  <c r="P58" i="47"/>
  <c r="P41" i="47"/>
  <c r="P23" i="47"/>
  <c r="P6" i="47"/>
  <c r="P133" i="43"/>
  <c r="P119" i="43"/>
  <c r="P149" i="43"/>
  <c r="P187" i="47"/>
  <c r="P169" i="47"/>
  <c r="P152" i="47"/>
  <c r="P134" i="47"/>
  <c r="P116" i="47"/>
  <c r="P100" i="47"/>
  <c r="P84" i="47"/>
  <c r="P66" i="47"/>
  <c r="P48" i="47"/>
  <c r="P31" i="47"/>
  <c r="P13" i="47"/>
  <c r="P168" i="47"/>
  <c r="P151" i="47"/>
  <c r="P115" i="47"/>
  <c r="P99" i="47"/>
  <c r="P81" i="47"/>
  <c r="P65" i="47"/>
  <c r="P47" i="47"/>
  <c r="P30" i="47"/>
  <c r="P12" i="47"/>
  <c r="P7" i="47"/>
  <c r="P194" i="47"/>
  <c r="P176" i="47"/>
  <c r="P158" i="47"/>
  <c r="P141" i="47"/>
  <c r="P122" i="47"/>
  <c r="P106" i="47"/>
  <c r="P90" i="47"/>
  <c r="P64" i="47"/>
  <c r="P46" i="47"/>
  <c r="P29" i="47"/>
  <c r="P183" i="47"/>
  <c r="P166" i="47"/>
  <c r="P130" i="47"/>
  <c r="P97" i="47"/>
  <c r="P79" i="47"/>
  <c r="P62" i="47"/>
  <c r="P45" i="47"/>
  <c r="P27" i="47"/>
  <c r="P10" i="47"/>
  <c r="P136" i="43"/>
  <c r="P123" i="43"/>
  <c r="P18" i="43"/>
  <c r="P156" i="47"/>
  <c r="P15" i="47"/>
  <c r="P87" i="47"/>
  <c r="P24" i="47"/>
  <c r="P110" i="47"/>
  <c r="P33" i="47"/>
  <c r="P85" i="47"/>
  <c r="P32" i="47"/>
  <c r="P175" i="43"/>
  <c r="P196" i="47"/>
  <c r="P178" i="47"/>
  <c r="P160" i="47"/>
  <c r="P125" i="47"/>
  <c r="P92" i="47"/>
  <c r="P57" i="47"/>
  <c r="P22" i="47"/>
  <c r="P177" i="47"/>
  <c r="P143" i="47"/>
  <c r="P107" i="47"/>
  <c r="P73" i="47"/>
  <c r="P21" i="47"/>
  <c r="P167" i="47"/>
  <c r="P131" i="47"/>
  <c r="P98" i="47"/>
  <c r="P11" i="47"/>
  <c r="P174" i="47"/>
  <c r="P105" i="47"/>
  <c r="P71" i="47"/>
  <c r="P132" i="43"/>
  <c r="P185" i="43"/>
  <c r="P144" i="47"/>
  <c r="P108" i="47"/>
  <c r="P74" i="47"/>
  <c r="P40" i="47"/>
  <c r="P195" i="47"/>
  <c r="P124" i="47"/>
  <c r="P91" i="47"/>
  <c r="P56" i="47"/>
  <c r="P184" i="47"/>
  <c r="P150" i="47"/>
  <c r="P114" i="47"/>
  <c r="P37" i="47"/>
  <c r="P193" i="47"/>
  <c r="P121" i="47"/>
  <c r="P89" i="47"/>
  <c r="P19" i="47"/>
  <c r="P137" i="43"/>
  <c r="P82" i="43"/>
  <c r="P28" i="43"/>
  <c r="P63" i="43"/>
  <c r="P159" i="47"/>
  <c r="P80" i="47"/>
  <c r="P55" i="47"/>
  <c r="P140" i="47"/>
  <c r="P36"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tc={DC22541A-22F5-BB41-91BA-5DA2A6261726}</author>
  </authors>
  <commentList>
    <comment ref="I3" authorId="0" shapeId="0" xr:uid="{DC22541A-22F5-BB41-91BA-5DA2A6261726}">
      <text>
        <t>[Threaded comment]
Your version of Excel allows you to read this threaded comment; however, any edits to it will get removed if the file is opened in a newer version of Excel. Learn more: https://go.microsoft.com/fwlink/?linkid=870924
Comment:
    Average was taken for MOV of Measles</t>
      </text>
    </comment>
  </commentList>
</comments>
</file>

<file path=xl/sharedStrings.xml><?xml version="1.0" encoding="utf-8"?>
<sst xmlns="http://schemas.openxmlformats.org/spreadsheetml/2006/main" count="25259" uniqueCount="622">
  <si>
    <t>Table of contents</t>
  </si>
  <si>
    <t>Overview of key demand forecasting assumptions including MR-MAP country grouping, introduction dates for four scenarios, WB income classification.</t>
  </si>
  <si>
    <t>Target population data</t>
  </si>
  <si>
    <t xml:space="preserve">2a </t>
  </si>
  <si>
    <t>Surviving infant population</t>
  </si>
  <si>
    <t>2b</t>
  </si>
  <si>
    <t>2 year old population</t>
  </si>
  <si>
    <t>2c</t>
  </si>
  <si>
    <t>Under 2 year old population</t>
  </si>
  <si>
    <t>2d</t>
  </si>
  <si>
    <t>% of under 2 year old population to total population (defined as to 65 years of age)</t>
  </si>
  <si>
    <t>2e</t>
  </si>
  <si>
    <t>2 to 15 years old poplation</t>
  </si>
  <si>
    <t>2f</t>
  </si>
  <si>
    <t>% of under 2 to 15 year old population to total population (defined as to 65 years of age)</t>
  </si>
  <si>
    <t>2g</t>
  </si>
  <si>
    <t>Under 5 year old population</t>
  </si>
  <si>
    <t>Hard-to-Reach and MOV populations</t>
  </si>
  <si>
    <t>3a</t>
  </si>
  <si>
    <t>Pecentage of MOVs occurring at 2 years old</t>
  </si>
  <si>
    <t>3b</t>
  </si>
  <si>
    <t>Security compromised population</t>
  </si>
  <si>
    <t>3c</t>
  </si>
  <si>
    <t>Rural population</t>
  </si>
  <si>
    <t>3d</t>
  </si>
  <si>
    <t>Percentage of remote rural population to total rural population</t>
  </si>
  <si>
    <t>3e</t>
  </si>
  <si>
    <t>Slum population</t>
  </si>
  <si>
    <t>Coverage assumptions</t>
  </si>
  <si>
    <t>4a</t>
  </si>
  <si>
    <t>Forecasted MCV1 estimates</t>
  </si>
  <si>
    <t>4b</t>
  </si>
  <si>
    <t>Forecasted MCV2 estimates</t>
  </si>
  <si>
    <t>4c</t>
  </si>
  <si>
    <t>Percentage of hard to reach and MOV populations that are under 2 years of age and being reached by a MR-MAP but not by a N/S presentation</t>
  </si>
  <si>
    <t>4d</t>
  </si>
  <si>
    <t>Percentage of hard to reach populations that are betwee 2 to 15 years of age and being reached by a MR-MAP but not by a N/S presentation</t>
  </si>
  <si>
    <t>Wastage rates for N/S and routine administration</t>
  </si>
  <si>
    <t>Assumptions related to the dimensions of the MR-MAP Use Cases</t>
  </si>
  <si>
    <t>6a</t>
  </si>
  <si>
    <t>Percentage of doses administered at a fixed post during routine imminuzation</t>
  </si>
  <si>
    <t>6b</t>
  </si>
  <si>
    <t>Percentage of doses administered at a fixed post during SIA</t>
  </si>
  <si>
    <t>6c</t>
  </si>
  <si>
    <t>Ratio of CHW to HW</t>
  </si>
  <si>
    <t>Market penetration assumptions</t>
  </si>
  <si>
    <t>7a</t>
  </si>
  <si>
    <t>MR-MAP UC1 Market penetration</t>
  </si>
  <si>
    <t>7b</t>
  </si>
  <si>
    <t>MR-MAP UC2 Market penetration</t>
  </si>
  <si>
    <t>7c</t>
  </si>
  <si>
    <t>MR-MAP UC3&amp;4 Market penetration</t>
  </si>
  <si>
    <t>Data utilized to estimate country adoption year of MR-MAPs</t>
  </si>
  <si>
    <t>8a</t>
  </si>
  <si>
    <t xml:space="preserve">Historical introduction dates for MCV2, rubella, pneumococcal conjugate, rotavirus, and human papillomavirus vaccines </t>
  </si>
  <si>
    <t>8b</t>
  </si>
  <si>
    <t>Total disease burden of measles and rubella (2019 reported annual cases and deaths of measles, 2019 measles incidence rate, and 2010 number of estimated rubella cases</t>
  </si>
  <si>
    <t>8c</t>
  </si>
  <si>
    <t xml:space="preserve">The percentage of total expenditure on vaccines funded by the government (%) for the last available year or the forecasted Gavi eligibility status in 2030 </t>
  </si>
  <si>
    <t>8d</t>
  </si>
  <si>
    <t>Calculation for adoption dates for S1- Base scenario</t>
  </si>
  <si>
    <t>8e</t>
  </si>
  <si>
    <t>Calculation for adoption dates for S3- Countries in greatest need intro dates</t>
  </si>
  <si>
    <t>Overview of Country Assumptions</t>
  </si>
  <si>
    <t>Country</t>
  </si>
  <si>
    <t>ISO code</t>
  </si>
  <si>
    <t xml:space="preserve">WHO </t>
  </si>
  <si>
    <t>WB Group (June 2020)</t>
  </si>
  <si>
    <t>MR MAP Group</t>
  </si>
  <si>
    <t>Scenario 1: Base</t>
  </si>
  <si>
    <t>Scenario 2: regional pilots</t>
  </si>
  <si>
    <t>Scenario 3: countries with greatest need introduce first</t>
  </si>
  <si>
    <t>Afghanistan</t>
  </si>
  <si>
    <t>AFG</t>
  </si>
  <si>
    <t>EMRO</t>
  </si>
  <si>
    <t>Low income</t>
  </si>
  <si>
    <t>Key</t>
  </si>
  <si>
    <t>Albania</t>
  </si>
  <si>
    <t>ALB</t>
  </si>
  <si>
    <t>EURO</t>
  </si>
  <si>
    <t>Upper middle income</t>
  </si>
  <si>
    <t>Algeria</t>
  </si>
  <si>
    <t>DZA</t>
  </si>
  <si>
    <t>AFRO</t>
  </si>
  <si>
    <t>Lower middle income</t>
  </si>
  <si>
    <t>Andorra</t>
  </si>
  <si>
    <t>AND</t>
  </si>
  <si>
    <t>High income</t>
  </si>
  <si>
    <t>Angola</t>
  </si>
  <si>
    <t>AGO</t>
  </si>
  <si>
    <t>Antigua And Barbuda</t>
  </si>
  <si>
    <t>ATG</t>
  </si>
  <si>
    <t>PAHO</t>
  </si>
  <si>
    <t>Argentina</t>
  </si>
  <si>
    <t>ARG</t>
  </si>
  <si>
    <t>Armenia</t>
  </si>
  <si>
    <t>ARM</t>
  </si>
  <si>
    <t>Australia</t>
  </si>
  <si>
    <t>AUS</t>
  </si>
  <si>
    <t>WPRO</t>
  </si>
  <si>
    <t>Austria</t>
  </si>
  <si>
    <t>AUT</t>
  </si>
  <si>
    <t>Azerbaijan</t>
  </si>
  <si>
    <t>AZE</t>
  </si>
  <si>
    <t>Bahamas</t>
  </si>
  <si>
    <t>BHS</t>
  </si>
  <si>
    <t>Bahrain</t>
  </si>
  <si>
    <t>BHR</t>
  </si>
  <si>
    <t>Bangladesh</t>
  </si>
  <si>
    <t>BGD</t>
  </si>
  <si>
    <t>SEARO</t>
  </si>
  <si>
    <t>Barbados</t>
  </si>
  <si>
    <t>BRB</t>
  </si>
  <si>
    <t>Belarus</t>
  </si>
  <si>
    <t>BLR</t>
  </si>
  <si>
    <t>Belgium</t>
  </si>
  <si>
    <t>BEL</t>
  </si>
  <si>
    <t>Belize</t>
  </si>
  <si>
    <t>BLZ</t>
  </si>
  <si>
    <t>Benin</t>
  </si>
  <si>
    <t>BEN</t>
  </si>
  <si>
    <t>Bhutan</t>
  </si>
  <si>
    <t>BTN</t>
  </si>
  <si>
    <t>Bolivia</t>
  </si>
  <si>
    <t>BOL</t>
  </si>
  <si>
    <t>Bosnia and Herzegovina</t>
  </si>
  <si>
    <t>BIH</t>
  </si>
  <si>
    <t>Botswana</t>
  </si>
  <si>
    <t>BWA</t>
  </si>
  <si>
    <t>Brazil</t>
  </si>
  <si>
    <t>BRA</t>
  </si>
  <si>
    <t>Brunei Darussalam</t>
  </si>
  <si>
    <t>BRN</t>
  </si>
  <si>
    <t>Bulgaria</t>
  </si>
  <si>
    <t>BGR</t>
  </si>
  <si>
    <t>Burkina Faso</t>
  </si>
  <si>
    <t>BFA</t>
  </si>
  <si>
    <t>Burundi</t>
  </si>
  <si>
    <t>BDI</t>
  </si>
  <si>
    <t>Cambodia</t>
  </si>
  <si>
    <t>KHM</t>
  </si>
  <si>
    <t>Cameroon</t>
  </si>
  <si>
    <t>CMR</t>
  </si>
  <si>
    <t>Canada</t>
  </si>
  <si>
    <t>CAN</t>
  </si>
  <si>
    <t>Cape Verde</t>
  </si>
  <si>
    <t>CPV</t>
  </si>
  <si>
    <t>Central African Republic</t>
  </si>
  <si>
    <t>CAF</t>
  </si>
  <si>
    <t>Chad</t>
  </si>
  <si>
    <t>TCD</t>
  </si>
  <si>
    <t>Chile</t>
  </si>
  <si>
    <t>CHL</t>
  </si>
  <si>
    <t>China</t>
  </si>
  <si>
    <t>CHN</t>
  </si>
  <si>
    <t>Colombia</t>
  </si>
  <si>
    <t>COL</t>
  </si>
  <si>
    <t>Comoros</t>
  </si>
  <si>
    <t>COM</t>
  </si>
  <si>
    <t>Congo</t>
  </si>
  <si>
    <t>COG</t>
  </si>
  <si>
    <t>Cook Islands</t>
  </si>
  <si>
    <t>COK</t>
  </si>
  <si>
    <t>Costa Rica</t>
  </si>
  <si>
    <t>CRI</t>
  </si>
  <si>
    <t>Côte d'Ivoire</t>
  </si>
  <si>
    <t>CIV</t>
  </si>
  <si>
    <t>Croatia</t>
  </si>
  <si>
    <t>HRV</t>
  </si>
  <si>
    <t>Cuba</t>
  </si>
  <si>
    <t>CUB</t>
  </si>
  <si>
    <t>Cyprus</t>
  </si>
  <si>
    <t>CYP</t>
  </si>
  <si>
    <t>Czech Republic</t>
  </si>
  <si>
    <t>CZE</t>
  </si>
  <si>
    <t>Democratic Peoples Republic of Korea</t>
  </si>
  <si>
    <t>PRK</t>
  </si>
  <si>
    <t>Democratic Republic of the Congo</t>
  </si>
  <si>
    <t>COD</t>
  </si>
  <si>
    <t>Denmark</t>
  </si>
  <si>
    <t>DNK</t>
  </si>
  <si>
    <t>Djibouti</t>
  </si>
  <si>
    <t>DJI</t>
  </si>
  <si>
    <t>Dominica</t>
  </si>
  <si>
    <t>DOM</t>
  </si>
  <si>
    <t>Dominican Republic</t>
  </si>
  <si>
    <t>Ecuador</t>
  </si>
  <si>
    <t>ECU</t>
  </si>
  <si>
    <t>Egypt</t>
  </si>
  <si>
    <t>EGY</t>
  </si>
  <si>
    <t>El Salvador</t>
  </si>
  <si>
    <t>SLV</t>
  </si>
  <si>
    <t>Equatorial Guinea</t>
  </si>
  <si>
    <t>GNQ</t>
  </si>
  <si>
    <t>Eritrea</t>
  </si>
  <si>
    <t>ERI</t>
  </si>
  <si>
    <t>Estonia</t>
  </si>
  <si>
    <t>EST</t>
  </si>
  <si>
    <t>Ethiopia</t>
  </si>
  <si>
    <t>ETH</t>
  </si>
  <si>
    <t>Fiji</t>
  </si>
  <si>
    <t>FJI</t>
  </si>
  <si>
    <t>Finland</t>
  </si>
  <si>
    <t>FIN</t>
  </si>
  <si>
    <t>France</t>
  </si>
  <si>
    <t>FRA</t>
  </si>
  <si>
    <t>Gabon</t>
  </si>
  <si>
    <t>GAB</t>
  </si>
  <si>
    <t>Gambia</t>
  </si>
  <si>
    <t>GMB</t>
  </si>
  <si>
    <t>Georgia</t>
  </si>
  <si>
    <t>GEO</t>
  </si>
  <si>
    <t>Germany</t>
  </si>
  <si>
    <t>DEU</t>
  </si>
  <si>
    <t>Ghana</t>
  </si>
  <si>
    <t>GHA</t>
  </si>
  <si>
    <t>Greece</t>
  </si>
  <si>
    <t>GRC</t>
  </si>
  <si>
    <t>Grenada</t>
  </si>
  <si>
    <t>GRD</t>
  </si>
  <si>
    <t>Guatemala</t>
  </si>
  <si>
    <t>GTM</t>
  </si>
  <si>
    <t>Guinea</t>
  </si>
  <si>
    <t>GIN</t>
  </si>
  <si>
    <t>Guinea-Bissau</t>
  </si>
  <si>
    <t>GNB</t>
  </si>
  <si>
    <t>Guyana</t>
  </si>
  <si>
    <t>GUY</t>
  </si>
  <si>
    <t>Haiti</t>
  </si>
  <si>
    <t>HTI</t>
  </si>
  <si>
    <t>Honduras</t>
  </si>
  <si>
    <t>HND</t>
  </si>
  <si>
    <t>Hungary</t>
  </si>
  <si>
    <t>HUN</t>
  </si>
  <si>
    <t>Iceland</t>
  </si>
  <si>
    <t>ISL</t>
  </si>
  <si>
    <t>India</t>
  </si>
  <si>
    <t>IND</t>
  </si>
  <si>
    <t>Indonesia</t>
  </si>
  <si>
    <t>IDN</t>
  </si>
  <si>
    <t>Iran, Islamic Republic of</t>
  </si>
  <si>
    <t>IRN</t>
  </si>
  <si>
    <t>Iraq</t>
  </si>
  <si>
    <t>IRQ</t>
  </si>
  <si>
    <t>Ireland</t>
  </si>
  <si>
    <t>IRL</t>
  </si>
  <si>
    <t>Israel</t>
  </si>
  <si>
    <t>ISR</t>
  </si>
  <si>
    <t>Italy</t>
  </si>
  <si>
    <t>ITA</t>
  </si>
  <si>
    <t>Jamaica</t>
  </si>
  <si>
    <t>JAM</t>
  </si>
  <si>
    <t>Japan</t>
  </si>
  <si>
    <t>JPN</t>
  </si>
  <si>
    <t>Jordan</t>
  </si>
  <si>
    <t>JOR</t>
  </si>
  <si>
    <t>Kazakhstan</t>
  </si>
  <si>
    <t>KAZ</t>
  </si>
  <si>
    <t>Kenya</t>
  </si>
  <si>
    <t>KEN</t>
  </si>
  <si>
    <t>Kiribati</t>
  </si>
  <si>
    <t>KIR</t>
  </si>
  <si>
    <t>Korea, Republic of</t>
  </si>
  <si>
    <t>KOR</t>
  </si>
  <si>
    <t>Kuwait</t>
  </si>
  <si>
    <t>KWT</t>
  </si>
  <si>
    <t>Kyrgyzstan</t>
  </si>
  <si>
    <t>KGZ</t>
  </si>
  <si>
    <t>Lao People's Democratic Republic</t>
  </si>
  <si>
    <t>LAO</t>
  </si>
  <si>
    <t>Latvia</t>
  </si>
  <si>
    <t>LVA</t>
  </si>
  <si>
    <t>Lebanon</t>
  </si>
  <si>
    <t>LBN</t>
  </si>
  <si>
    <t>Lesotho</t>
  </si>
  <si>
    <t>LSO</t>
  </si>
  <si>
    <t>Liberia</t>
  </si>
  <si>
    <t>LBR</t>
  </si>
  <si>
    <t>Libya</t>
  </si>
  <si>
    <t>LBY</t>
  </si>
  <si>
    <t>Lithuania</t>
  </si>
  <si>
    <t>LTU</t>
  </si>
  <si>
    <t>Luxembourg</t>
  </si>
  <si>
    <t>LUX</t>
  </si>
  <si>
    <t>Macedonia, the former Yugoslav Republic of</t>
  </si>
  <si>
    <t>MKD</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</si>
  <si>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</si>
  <si>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</si>
  <si>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</si>
  <si>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</si>
  <si>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</si>
  <si>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</si>
  <si>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</si>
  <si>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</si>
  <si>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</si>
  <si>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</si>
  <si>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</si>
  <si>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</si>
  <si>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</si>
  <si>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</si>
  <si>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</si>
  <si>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</si>
  <si>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</si>
  <si>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</si>
  <si>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</si>
  <si>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</si>
  <si>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Federated States of</t>
  </si>
  <si>
    <t>FSM</t>
  </si>
  <si>
    <t>Moldova, Republic of</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</si>
  <si>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</si>
  <si>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</si>
  <si>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</si>
  <si>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</si>
  <si>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</si>
  <si>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</si>
  <si>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</si>
  <si>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</si>
  <si>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</si>
  <si>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</si>
  <si>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</si>
  <si>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</si>
  <si>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</si>
  <si>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</si>
  <si>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</si>
  <si>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</si>
  <si>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</si>
  <si>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</si>
  <si>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</si>
  <si>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</si>
  <si>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</si>
  <si>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Zealand</t>
  </si>
  <si>
    <t>NZL</t>
  </si>
  <si>
    <t>Nicaragua</t>
  </si>
  <si>
    <t>NIC</t>
  </si>
  <si>
    <t>Niger</t>
  </si>
  <si>
    <t>NER</t>
  </si>
  <si>
    <t>Nigeria</t>
  </si>
  <si>
    <t>NGA</t>
  </si>
  <si>
    <t>Niue</t>
  </si>
  <si>
    <t>NIU</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</si>
  <si>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</si>
  <si>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</si>
  <si>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</si>
  <si>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</si>
  <si>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</si>
  <si>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</si>
  <si>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</si>
  <si>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</si>
  <si>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</si>
  <si>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</si>
  <si>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</si>
  <si>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</si>
  <si>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</si>
  <si>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</si>
  <si>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</si>
  <si>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</si>
  <si>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</si>
  <si>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</si>
  <si>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</si>
  <si>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</si>
  <si>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</si>
  <si>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</si>
  <si>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Qatar</t>
  </si>
  <si>
    <t>QAT</t>
  </si>
  <si>
    <t>Romania</t>
  </si>
  <si>
    <t>ROU</t>
  </si>
  <si>
    <t>Russian Federation</t>
  </si>
  <si>
    <t>RUS</t>
  </si>
  <si>
    <t>Rwanda</t>
  </si>
  <si>
    <t>RWA</t>
  </si>
  <si>
    <t>Saint Kitts and Nevis</t>
  </si>
  <si>
    <t>KNA</t>
  </si>
  <si>
    <t>Saint Lucia</t>
  </si>
  <si>
    <t>LCA</t>
  </si>
  <si>
    <t>Saint Vincent and the Grenadines</t>
  </si>
  <si>
    <t>VCT</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</si>
  <si>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</si>
  <si>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</si>
  <si>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</si>
  <si>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</si>
  <si>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</si>
  <si>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</si>
  <si>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</si>
  <si>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</si>
  <si>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</si>
  <si>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</si>
  <si>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</si>
  <si>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</si>
  <si>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</si>
  <si>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</si>
  <si>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</si>
  <si>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</si>
  <si>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</si>
  <si>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</si>
  <si>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Slovakia</t>
  </si>
  <si>
    <t>SVK</t>
  </si>
  <si>
    <t>Slovenia</t>
  </si>
  <si>
    <t>SVN</t>
  </si>
  <si>
    <t>Somalia</t>
  </si>
  <si>
    <t>SOM</t>
  </si>
  <si>
    <t>Solomon Islands</t>
  </si>
  <si>
    <t>SLB</t>
  </si>
  <si>
    <t>South Africa</t>
  </si>
  <si>
    <t>ZAF</t>
  </si>
  <si>
    <t>Spain</t>
  </si>
  <si>
    <t>ESP</t>
  </si>
  <si>
    <t>Sri Lanka</t>
  </si>
  <si>
    <t>LKA</t>
  </si>
  <si>
    <t>Sudan</t>
  </si>
  <si>
    <t>SDN</t>
  </si>
  <si>
    <t>South Sudan</t>
  </si>
  <si>
    <t>SSD</t>
  </si>
  <si>
    <t>Suriname</t>
  </si>
  <si>
    <t>SUR</t>
  </si>
  <si>
    <t>Eswatini</t>
  </si>
  <si>
    <t>SWZ</t>
  </si>
  <si>
    <t>Sweden</t>
  </si>
  <si>
    <t>SWE</t>
  </si>
  <si>
    <t>Switzerland</t>
  </si>
  <si>
    <t>CHE</t>
  </si>
  <si>
    <t>Syrian Arab Republic</t>
  </si>
  <si>
    <t>SYR</t>
  </si>
  <si>
    <t>Tanzania, United Republic of</t>
  </si>
  <si>
    <t>TZA</t>
  </si>
  <si>
    <t>Tajikistan</t>
  </si>
  <si>
    <t>TJK</t>
  </si>
  <si>
    <t>Thailand</t>
  </si>
  <si>
    <t>THA</t>
  </si>
  <si>
    <t>Timor-Leste</t>
  </si>
  <si>
    <t>TLS</t>
  </si>
  <si>
    <t>Togo</t>
  </si>
  <si>
    <t>TGO</t>
  </si>
  <si>
    <t>Tonga</t>
  </si>
  <si>
    <t>TON</t>
  </si>
  <si>
    <t>Trinidad and Tobago</t>
  </si>
  <si>
    <t>TTO</t>
  </si>
  <si>
    <t>Tunisia</t>
  </si>
  <si>
    <t>TUN</t>
  </si>
  <si>
    <t>Turkey</t>
  </si>
  <si>
    <t>TUR</t>
  </si>
  <si>
    <t>Turkmenistan</t>
  </si>
  <si>
    <t>TKM</t>
  </si>
  <si>
    <t>Tuvalu</t>
  </si>
  <si>
    <t>TUV</t>
  </si>
  <si>
    <t>Uganda</t>
  </si>
  <si>
    <t>UGA</t>
  </si>
  <si>
    <t>Ukraine</t>
  </si>
  <si>
    <t>UKR</t>
  </si>
  <si>
    <t>United Arab Emirates</t>
  </si>
  <si>
    <t>ARE</t>
  </si>
  <si>
    <t>United Kingdom</t>
  </si>
  <si>
    <t>GBR</t>
  </si>
  <si>
    <t>United States of America</t>
  </si>
  <si>
    <t>USA</t>
  </si>
  <si>
    <t>Uruguay</t>
  </si>
  <si>
    <t>URY</t>
  </si>
  <si>
    <t>Uzbekistan</t>
  </si>
  <si>
    <t>UZB</t>
  </si>
  <si>
    <t>Vanuatu</t>
  </si>
  <si>
    <t>VUT</t>
  </si>
  <si>
    <t>Venezuela</t>
  </si>
  <si>
    <t>VEN</t>
  </si>
  <si>
    <t>Viet Nam</t>
  </si>
  <si>
    <t>VNM</t>
  </si>
  <si>
    <t>Yemen</t>
  </si>
  <si>
    <t>YEM</t>
  </si>
  <si>
    <t>Zambia</t>
  </si>
  <si>
    <t>ZMB</t>
  </si>
  <si>
    <t>Zimbabwe</t>
  </si>
  <si>
    <t>ZWE</t>
  </si>
  <si>
    <t>Title</t>
  </si>
  <si>
    <t>Datasource</t>
  </si>
  <si>
    <t>UN WPP, Revision 2020</t>
  </si>
  <si>
    <t>ISO</t>
  </si>
  <si>
    <t>two year old population</t>
  </si>
  <si>
    <t>U2 year population</t>
  </si>
  <si>
    <t>U2 year olds % to total population (65 years of age)</t>
  </si>
  <si>
    <t>2-15 year old population</t>
  </si>
  <si>
    <t>2-15 year olds % to total population (up to 65 years of age)</t>
  </si>
  <si>
    <t>U5 year population (9 months to 59 months of age)</t>
  </si>
  <si>
    <t>% of MOVs that are under 2 years of age</t>
  </si>
  <si>
    <t>Published articles &amp; gray lit; experts</t>
  </si>
  <si>
    <t>UNHCR</t>
  </si>
  <si>
    <t>Rural population, every 5 years.</t>
  </si>
  <si>
    <t>UN WPP, https://population.un.org/wup/Download/</t>
  </si>
  <si>
    <t>TFYR Macedonia</t>
  </si>
  <si>
    <t>% of rural population that is considered remote rural</t>
  </si>
  <si>
    <t>EPI reviews, cMYP, GHO - Immunization Coverage in Rural areas (country groups), Experts</t>
  </si>
  <si>
    <t>Urban slum population</t>
  </si>
  <si>
    <t>WB / UN Habitat</t>
  </si>
  <si>
    <t>Forecasted MCV1 coverage</t>
  </si>
  <si>
    <t>MI4A methodology based on 2019 WUENIC</t>
  </si>
  <si>
    <t>Forecasted MCV2 coverage</t>
  </si>
  <si>
    <t>U2 year olds that are hard-to-reach or MOV population that can be reached by MR-MAPs</t>
  </si>
  <si>
    <t>Experts</t>
  </si>
  <si>
    <t>intro date</t>
  </si>
  <si>
    <t>2-15 yr olds that are hard-to-reach and can be reached by MR-MAPs</t>
  </si>
  <si>
    <t>Step 1: Determine the country granularity</t>
  </si>
  <si>
    <t>Step 2: Estimate the increase in MCV demand</t>
  </si>
  <si>
    <t>Step 4a: Apply delivery location dimension</t>
  </si>
  <si>
    <t>Step 4b: Apply service provider dimension</t>
  </si>
  <si>
    <t>Step 5: Estimate market penetration by UC</t>
  </si>
  <si>
    <t>Country name</t>
  </si>
  <si>
    <t>WB ncome</t>
  </si>
  <si>
    <t>MR Group</t>
  </si>
  <si>
    <t>Iso code</t>
  </si>
  <si>
    <t>% of rural population that is "hard-to-reach" (remote rural)</t>
  </si>
  <si>
    <t>% of &lt; 2 yr olds that are MOVs</t>
  </si>
  <si>
    <t>% of &lt;2 yrs, hard to reach, reached by MR MAPs</t>
  </si>
  <si>
    <t>% of 2 to 15 yrs, hard to reach, reached by MR MAPs</t>
  </si>
  <si>
    <t>% of 16 to 29 yrs, hard to reach, reached by MR MAPs</t>
  </si>
  <si>
    <t>Delivery</t>
  </si>
  <si>
    <t>% Fixed post</t>
  </si>
  <si>
    <t>CHW to HW</t>
  </si>
  <si>
    <t>UC1 penetration</t>
  </si>
  <si>
    <t>UC2 penetration</t>
  </si>
  <si>
    <t>UC3 + UC4 penetration</t>
  </si>
  <si>
    <t>Data source</t>
  </si>
  <si>
    <t>EPI reviews, cMYP, Experts</t>
  </si>
  <si>
    <t>GHO - HW &amp; CHW estimates, cMYP, EPI reviews, experts</t>
  </si>
  <si>
    <t>Antigua</t>
  </si>
  <si>
    <t>Variable ID</t>
  </si>
  <si>
    <t>Sensitivity</t>
  </si>
  <si>
    <t>Bosnia</t>
  </si>
  <si>
    <t>Routine</t>
  </si>
  <si>
    <t>SIA</t>
  </si>
  <si>
    <t>DRC</t>
  </si>
  <si>
    <t>Brunei</t>
  </si>
  <si>
    <t>Tanzania</t>
  </si>
  <si>
    <t>Czech Rep.</t>
  </si>
  <si>
    <t>Iran</t>
  </si>
  <si>
    <t>Macedonia</t>
  </si>
  <si>
    <t>Micronesia</t>
  </si>
  <si>
    <t>Moldova</t>
  </si>
  <si>
    <t>Russia</t>
  </si>
  <si>
    <t>Saint Vincent</t>
  </si>
  <si>
    <t>South Korea</t>
  </si>
  <si>
    <t>Trinidad</t>
  </si>
  <si>
    <t>UAE</t>
  </si>
  <si>
    <t>UK</t>
  </si>
  <si>
    <t>Cabo Verde</t>
  </si>
  <si>
    <t>Dominican Rep.</t>
  </si>
  <si>
    <t>Syria</t>
  </si>
  <si>
    <t>CAR</t>
  </si>
  <si>
    <t>Cote d'Ivoire</t>
  </si>
  <si>
    <t>Sao Tome</t>
  </si>
  <si>
    <t>Laos</t>
  </si>
  <si>
    <t>North Korea</t>
  </si>
  <si>
    <t>Individiual</t>
  </si>
  <si>
    <t xml:space="preserve">Wastage rates for N&amp;S </t>
  </si>
  <si>
    <t>The wastage factor is the factor (number) that you multiply your estimated vaccine needs by, in order to allow for some doses being wasted. We use the letters ‘wf’ to represent the wastage factor in the following equation: wastage factor (wf) = 100 ÷ (100 minus the % wastage rate), where the wastage rate is the number of doses wasted, expressed as a percentage.</t>
  </si>
  <si>
    <t>MI4A, country and regional input</t>
  </si>
  <si>
    <t>% of doses delivered at a Fixed Post for Routine immunization</t>
  </si>
  <si>
    <t>% of doses delivered at Fixed Posts for SIA</t>
  </si>
  <si>
    <t>Community Health worker to Health worker ratio</t>
  </si>
  <si>
    <t>UC 1 market penetration</t>
  </si>
  <si>
    <t>Intro dates</t>
  </si>
  <si>
    <t>UC 2 market penetration</t>
  </si>
  <si>
    <t>UC  3+4 market penetration</t>
  </si>
  <si>
    <t>Historical introduction dates for other vaccines</t>
  </si>
  <si>
    <t>WHO IVB - https://www.who.int/teams/immunization-vaccines-and-biologicals/immunization-analysis-and-insights/global-monitoring/data-statistics-and-graphics</t>
  </si>
  <si>
    <t>MCV2</t>
  </si>
  <si>
    <t>Rubella</t>
  </si>
  <si>
    <t>PCV</t>
  </si>
  <si>
    <t>Rota</t>
  </si>
  <si>
    <t>HPV</t>
  </si>
  <si>
    <t>n/a</t>
  </si>
  <si>
    <t>Measles and Rubella Burden estimates</t>
  </si>
  <si>
    <t xml:space="preserve">WHO IVB - https://www.who.int/teams/immunization-vaccines-and-biologicals/immunization-analysis-and-insights/global-monitoring/data-statistics-and-graphics, IHME, Emilia Vynnycky </t>
  </si>
  <si>
    <t>Measles- reported annual cases</t>
  </si>
  <si>
    <t>Measles incidence rate</t>
  </si>
  <si>
    <t>Measles - Deaths (#)</t>
  </si>
  <si>
    <t>Rubella - Cases (#)</t>
  </si>
  <si>
    <t>No data</t>
  </si>
  <si>
    <t>Financing status</t>
  </si>
  <si>
    <t>Gavi, WB income classifications, https://www.who.int/immunization/programmes_systems/financing/data_indicators/en/</t>
  </si>
  <si>
    <t>Gavi eligibility forecasted 2030</t>
  </si>
  <si>
    <t>WB score</t>
  </si>
  <si>
    <t>Percentage of Total Expenditure on Vaccines funded by Government (%), last available year</t>
  </si>
  <si>
    <t>Initial self-financing</t>
  </si>
  <si>
    <t>Not eligible</t>
  </si>
  <si>
    <t>Fully self-financing</t>
  </si>
  <si>
    <t/>
  </si>
  <si>
    <t>Preparatory transition phase</t>
  </si>
  <si>
    <t>Accelerated transition phase</t>
  </si>
  <si>
    <t>Year of introductions</t>
  </si>
  <si>
    <t>Reported Annual cases 2019</t>
  </si>
  <si>
    <t>Incidence Rate, 2019</t>
  </si>
  <si>
    <t># of Deaths, 2019</t>
  </si>
  <si>
    <t># of cases, 2010</t>
  </si>
  <si>
    <t>Financing</t>
  </si>
  <si>
    <t>Data Source</t>
  </si>
  <si>
    <t>IHME</t>
  </si>
  <si>
    <t>LSHTM</t>
  </si>
  <si>
    <t>Gavi</t>
  </si>
  <si>
    <t>https://www.who.int/immunization/programmes_systems/financing/data_indicators/en/</t>
  </si>
  <si>
    <t>Score of historical intros</t>
  </si>
  <si>
    <t>Measles</t>
  </si>
  <si>
    <t>Score - Measles cases</t>
  </si>
  <si>
    <t>Score of Measles IR</t>
  </si>
  <si>
    <t>Score Measles death</t>
  </si>
  <si>
    <t>Score- Rubella cases</t>
  </si>
  <si>
    <t>Total burden</t>
  </si>
  <si>
    <t>Gavi eligibility score</t>
  </si>
  <si>
    <t>Score - total expenditure on vaccines</t>
  </si>
  <si>
    <t>Total financing</t>
  </si>
  <si>
    <t xml:space="preserve">Total </t>
  </si>
  <si>
    <t>Intro date</t>
  </si>
  <si>
    <t>Category</t>
  </si>
  <si>
    <t>Quartile</t>
  </si>
  <si>
    <t>Min</t>
  </si>
  <si>
    <t>early adopter</t>
  </si>
  <si>
    <t>25th percentile</t>
  </si>
  <si>
    <t>mid adopter</t>
  </si>
  <si>
    <t>median</t>
  </si>
  <si>
    <t>late adopter</t>
  </si>
  <si>
    <t>75th percentile</t>
  </si>
  <si>
    <t>High</t>
  </si>
  <si>
    <t>2019 WUENIC coverage</t>
  </si>
  <si>
    <t>MCV1</t>
  </si>
  <si>
    <t>MCV1-score</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</si>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</sst>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_);_(* \(#,##0.0\);_(* &quot;-&quot;??_);_(@_)"/>
    <numFmt numFmtId="166" formatCode="_(* #,##0.00000_);_(* \(#,##0.00000\);_(* &quot;-&quot;??_);_(@_)"/>
  </numFmts>
  <fonts count="2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sz val="11"/>
      <color rgb="FFFF0000"/>
      <name val="Calibri"/>
      <family val="2"/>
      <scheme val="minor"/>
    </font>
    <font>
      <sz val="11"/>
      <color rgb="FF006100"/>
      <name val="Calibri"/>
      <family val="2"/>
      <scheme val="minor"/>
    </font>
    <font>
      <sz val="8"/>
      <color theme="1"/>
      <name val="Calibri"/>
      <family val="2"/>
      <scheme val="minor"/>
    </font>
    <font>
      <b/>
      <sz val="8"/>
      <color theme="1"/>
      <name val="Calibri"/>
      <family val="2"/>
      <scheme val="minor"/>
    </font>
    <font>
      <b/>
      <sz val="8"/>
      <color rgb="FF000000"/>
      <name val="Calibri"/>
      <family val="2"/>
      <scheme val="minor"/>
    </font>
    <font>
      <sz val="10"/>
      <name val="MS Sans Serif"/>
      <family val="2"/>
    </font>
    <font>
      <sz val="11"/>
      <color theme="1"/>
      <name val="Calibri"/>
      <family val="2"/>
    </font>
    <font>
      <b/>
      <sz val="11"/>
      <color theme="1"/>
      <name val="Calibri"/>
      <family val="2"/>
    </font>
    <font>
      <b/>
      <sz val="11"/>
      <color rgb="FF333333"/>
      <name val="Calibri"/>
      <family val="2"/>
    </font>
    <font>
      <sz val="11"/>
      <color rgb="FF333333"/>
      <name val="Calibri"/>
      <family val="2"/>
    </font>
    <font>
      <sz val="9"/>
      <color indexed="8"/>
      <name val="Arial"/>
      <family val="2"/>
    </font>
    <font>
      <b/>
      <sz val="12"/>
      <color theme="1"/>
      <name val="Calibri"/>
      <family val="2"/>
      <scheme val="minor"/>
    </font>
    <font>
      <u/>
      <sz val="12"/>
      <color theme="10"/>
      <name val="Calibri"/>
      <family val="2"/>
      <scheme val="minor"/>
    </font>
    <font>
      <sz val="11"/>
      <name val="Calibri"/>
      <family val="2"/>
    </font>
  </fonts>
  <fills count="9">
    <fill>
      <patternFill patternType="none"/>
    </fill>
    <fill>
      <patternFill patternType="gray125"/>
    </fill>
    <fill>
      <patternFill patternType="solid">
        <fgColor theme="7" tint="0.79998168889431442"/>
        <bgColor indexed="64"/>
      </patternFill>
    </fill>
    <fill>
      <patternFill patternType="solid">
        <fgColor rgb="FFC6EFCE"/>
      </patternFill>
    </fill>
    <fill>
      <patternFill patternType="solid">
        <fgColor theme="6" tint="0.59999389629810485"/>
        <bgColor indexed="64"/>
      </patternFill>
    </fill>
    <fill>
      <patternFill patternType="solid">
        <fgColor rgb="FFF8F0DE"/>
        <bgColor rgb="FF000000"/>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21">
    <border>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1">
    <xf numFmtId="0" fontId="0" fillId="0" borderId="0"/>
    <xf numFmtId="43" fontId="5" fillId="0" borderId="0" applyFont="0" applyFill="0" applyBorder="0" applyAlignment="0" applyProtection="0"/>
    <xf numFmtId="9" fontId="5" fillId="0" borderId="0" applyFont="0" applyFill="0" applyBorder="0" applyAlignment="0" applyProtection="0"/>
    <xf numFmtId="0" fontId="9" fillId="3" borderId="0" applyNumberFormat="0" applyBorder="0" applyAlignment="0" applyProtection="0"/>
    <xf numFmtId="0" fontId="10" fillId="0" borderId="0"/>
    <xf numFmtId="0" fontId="3" fillId="0" borderId="0"/>
    <xf numFmtId="0" fontId="2" fillId="0" borderId="0"/>
    <xf numFmtId="0" fontId="13" fillId="0" borderId="0"/>
    <xf numFmtId="0" fontId="1" fillId="0" borderId="0"/>
    <xf numFmtId="0" fontId="20" fillId="0" borderId="0" applyNumberFormat="0" applyFill="0" applyBorder="0" applyAlignment="0" applyProtection="0"/>
    <xf numFmtId="43" fontId="1" fillId="0" borderId="0" applyFont="0" applyFill="0" applyBorder="0" applyAlignment="0" applyProtection="0"/>
  </cellStyleXfs>
  <cellXfs count="148">
    <xf numFmtId="0" fontId="0" fillId="0" borderId="0" xfId="0"/>
    <xf numFmtId="164" fontId="0" fillId="0" borderId="0" xfId="0" applyNumberFormat="1"/>
    <xf numFmtId="164" fontId="0" fillId="0" borderId="0" xfId="1" applyNumberFormat="1" applyFont="1"/>
    <xf numFmtId="9" fontId="0" fillId="0" borderId="0" xfId="2" applyFont="1"/>
    <xf numFmtId="0" fontId="6" fillId="0" borderId="6" xfId="0" applyFont="1" applyBorder="1" applyAlignment="1">
      <alignment horizontal="center" vertical="center" wrapText="1"/>
    </xf>
    <xf numFmtId="0" fontId="0" fillId="0" borderId="5" xfId="0" applyBorder="1"/>
    <xf numFmtId="0" fontId="5" fillId="0" borderId="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9" xfId="0" applyFont="1" applyBorder="1" applyAlignment="1">
      <alignment horizontal="center" vertical="center" wrapText="1"/>
    </xf>
    <xf numFmtId="0" fontId="4" fillId="0" borderId="6"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vertical="center" wrapText="1"/>
    </xf>
    <xf numFmtId="0" fontId="0" fillId="0" borderId="5" xfId="0" applyBorder="1" applyAlignment="1">
      <alignment vertical="center" wrapText="1"/>
    </xf>
    <xf numFmtId="0" fontId="4" fillId="0" borderId="9" xfId="0" applyFont="1" applyBorder="1" applyAlignment="1">
      <alignment vertical="center" wrapText="1"/>
    </xf>
    <xf numFmtId="0" fontId="5" fillId="0" borderId="10" xfId="0" applyFont="1" applyBorder="1" applyAlignment="1">
      <alignment vertical="center" wrapText="1"/>
    </xf>
    <xf numFmtId="0" fontId="0" fillId="2" borderId="3" xfId="0" applyFill="1" applyBorder="1"/>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4" fillId="0" borderId="2" xfId="0" applyFont="1" applyBorder="1" applyAlignment="1">
      <alignment horizontal="left"/>
    </xf>
    <xf numFmtId="0" fontId="4" fillId="0" borderId="9" xfId="0" applyFont="1" applyBorder="1" applyAlignment="1">
      <alignment horizontal="left"/>
    </xf>
    <xf numFmtId="0" fontId="4" fillId="0" borderId="6" xfId="0" applyFont="1" applyBorder="1" applyAlignment="1">
      <alignment horizontal="left"/>
    </xf>
    <xf numFmtId="0" fontId="0" fillId="0" borderId="3" xfId="0" applyBorder="1"/>
    <xf numFmtId="0" fontId="0" fillId="2" borderId="7" xfId="0" applyFill="1" applyBorder="1"/>
    <xf numFmtId="0" fontId="0" fillId="0" borderId="4" xfId="0" applyBorder="1"/>
    <xf numFmtId="0" fontId="0" fillId="0" borderId="10" xfId="0" applyBorder="1"/>
    <xf numFmtId="0" fontId="0" fillId="2" borderId="8" xfId="0" applyFill="1" applyBorder="1"/>
    <xf numFmtId="0" fontId="4" fillId="4" borderId="3" xfId="0" applyFont="1" applyFill="1" applyBorder="1" applyAlignment="1">
      <alignment vertical="center" wrapText="1"/>
    </xf>
    <xf numFmtId="0" fontId="4" fillId="4" borderId="5" xfId="0" applyFont="1" applyFill="1" applyBorder="1" applyAlignment="1">
      <alignment vertical="center" wrapText="1"/>
    </xf>
    <xf numFmtId="0" fontId="4" fillId="4" borderId="5" xfId="0" applyFont="1" applyFill="1" applyBorder="1"/>
    <xf numFmtId="0" fontId="4" fillId="4" borderId="0" xfId="0" applyFont="1" applyFill="1"/>
    <xf numFmtId="0" fontId="4" fillId="4" borderId="5" xfId="0" applyFont="1" applyFill="1" applyBorder="1" applyAlignment="1">
      <alignment horizontal="center" vertical="center" wrapText="1"/>
    </xf>
    <xf numFmtId="0" fontId="4" fillId="4" borderId="0" xfId="0" applyFont="1" applyFill="1" applyAlignment="1">
      <alignment horizontal="center" vertical="center" wrapText="1"/>
    </xf>
    <xf numFmtId="0" fontId="4" fillId="4" borderId="7" xfId="0" applyFont="1" applyFill="1" applyBorder="1"/>
    <xf numFmtId="0" fontId="6" fillId="4" borderId="7" xfId="0" applyFont="1" applyFill="1" applyBorder="1" applyAlignment="1">
      <alignment horizontal="center" vertical="center" wrapText="1"/>
    </xf>
    <xf numFmtId="9" fontId="7" fillId="2" borderId="7" xfId="0" applyNumberFormat="1" applyFont="1" applyFill="1" applyBorder="1" applyAlignment="1">
      <alignment horizontal="center" vertical="center" wrapText="1"/>
    </xf>
    <xf numFmtId="9" fontId="0" fillId="2" borderId="7" xfId="0" applyNumberFormat="1" applyFill="1" applyBorder="1" applyAlignment="1">
      <alignment horizontal="center" vertical="center" wrapText="1"/>
    </xf>
    <xf numFmtId="0" fontId="0" fillId="4" borderId="0" xfId="0" applyFill="1"/>
    <xf numFmtId="9" fontId="0" fillId="2" borderId="5" xfId="2" applyFont="1" applyFill="1" applyBorder="1"/>
    <xf numFmtId="0" fontId="4" fillId="4" borderId="7" xfId="0" applyFont="1" applyFill="1" applyBorder="1" applyAlignment="1">
      <alignment vertical="center" wrapText="1"/>
    </xf>
    <xf numFmtId="0" fontId="5" fillId="0" borderId="7" xfId="0" applyFont="1" applyBorder="1" applyAlignment="1">
      <alignment horizontal="center" vertical="center" wrapText="1"/>
    </xf>
    <xf numFmtId="9" fontId="8" fillId="2" borderId="7" xfId="0" applyNumberFormat="1" applyFont="1" applyFill="1" applyBorder="1" applyAlignment="1">
      <alignment horizontal="center" vertical="center" wrapText="1"/>
    </xf>
    <xf numFmtId="0" fontId="11" fillId="4" borderId="0" xfId="0" applyFont="1" applyFill="1" applyAlignment="1">
      <alignment vertical="center"/>
    </xf>
    <xf numFmtId="0" fontId="11" fillId="4" borderId="3" xfId="0" applyFont="1" applyFill="1" applyBorder="1" applyAlignment="1">
      <alignment vertical="center" wrapText="1"/>
    </xf>
    <xf numFmtId="0" fontId="11" fillId="4" borderId="5" xfId="0" applyFont="1" applyFill="1" applyBorder="1" applyAlignment="1">
      <alignment vertical="center" wrapText="1"/>
    </xf>
    <xf numFmtId="0" fontId="12" fillId="4" borderId="7" xfId="0" applyFont="1" applyFill="1" applyBorder="1" applyAlignment="1">
      <alignment vertical="center" wrapText="1"/>
    </xf>
    <xf numFmtId="0" fontId="11" fillId="4" borderId="7" xfId="0" applyFont="1" applyFill="1" applyBorder="1" applyAlignment="1">
      <alignment vertical="center" wrapText="1"/>
    </xf>
    <xf numFmtId="0" fontId="11" fillId="4" borderId="5" xfId="0" applyFont="1" applyFill="1" applyBorder="1" applyAlignment="1">
      <alignment vertical="center"/>
    </xf>
    <xf numFmtId="9" fontId="8" fillId="2" borderId="5" xfId="0" applyNumberFormat="1" applyFont="1" applyFill="1" applyBorder="1" applyAlignment="1">
      <alignment vertical="center" wrapText="1"/>
    </xf>
    <xf numFmtId="0" fontId="12" fillId="4" borderId="11" xfId="0" applyFont="1" applyFill="1" applyBorder="1" applyAlignment="1">
      <alignment vertical="center" wrapText="1"/>
    </xf>
    <xf numFmtId="9" fontId="0" fillId="2" borderId="3" xfId="0" applyNumberFormat="1" applyFill="1" applyBorder="1" applyAlignment="1">
      <alignment vertical="center" wrapText="1"/>
    </xf>
    <xf numFmtId="9" fontId="5" fillId="2" borderId="3" xfId="0" applyNumberFormat="1" applyFont="1" applyFill="1" applyBorder="1" applyAlignment="1">
      <alignment vertical="center" wrapText="1"/>
    </xf>
    <xf numFmtId="9" fontId="8" fillId="2" borderId="3" xfId="0" applyNumberFormat="1" applyFont="1" applyFill="1" applyBorder="1" applyAlignment="1">
      <alignment vertical="center" wrapText="1"/>
    </xf>
    <xf numFmtId="9" fontId="8" fillId="2" borderId="4" xfId="0" applyNumberFormat="1" applyFont="1" applyFill="1" applyBorder="1" applyAlignment="1">
      <alignment vertical="center" wrapText="1"/>
    </xf>
    <xf numFmtId="165" fontId="5" fillId="2" borderId="11" xfId="1" applyNumberFormat="1" applyFont="1" applyFill="1" applyBorder="1" applyAlignment="1"/>
    <xf numFmtId="165" fontId="0" fillId="2" borderId="11" xfId="1" applyNumberFormat="1" applyFont="1" applyFill="1" applyBorder="1" applyAlignment="1"/>
    <xf numFmtId="165" fontId="4" fillId="0" borderId="12" xfId="1" applyNumberFormat="1" applyFont="1" applyBorder="1" applyAlignment="1">
      <alignment horizontal="center" vertical="center" wrapText="1"/>
    </xf>
    <xf numFmtId="165" fontId="4" fillId="4" borderId="11" xfId="1" applyNumberFormat="1" applyFont="1" applyFill="1" applyBorder="1"/>
    <xf numFmtId="165" fontId="8" fillId="2" borderId="11" xfId="1" applyNumberFormat="1" applyFont="1" applyFill="1" applyBorder="1" applyAlignment="1"/>
    <xf numFmtId="165" fontId="8" fillId="2" borderId="13" xfId="1" applyNumberFormat="1" applyFont="1" applyFill="1" applyBorder="1" applyAlignment="1"/>
    <xf numFmtId="0" fontId="4" fillId="4" borderId="3" xfId="0" applyFont="1" applyFill="1" applyBorder="1"/>
    <xf numFmtId="165" fontId="11" fillId="4" borderId="11" xfId="1" applyNumberFormat="1" applyFont="1" applyFill="1" applyBorder="1" applyAlignment="1">
      <alignment vertical="center" wrapText="1"/>
    </xf>
    <xf numFmtId="0" fontId="0" fillId="2" borderId="0" xfId="0" applyFill="1"/>
    <xf numFmtId="0" fontId="5" fillId="0" borderId="1" xfId="0" applyFont="1" applyBorder="1" applyAlignment="1">
      <alignment horizontal="center" vertical="center" wrapText="1"/>
    </xf>
    <xf numFmtId="0" fontId="0" fillId="0" borderId="1" xfId="0" applyBorder="1"/>
    <xf numFmtId="0" fontId="0" fillId="0" borderId="17" xfId="0" applyBorder="1"/>
    <xf numFmtId="0" fontId="11" fillId="4" borderId="1" xfId="0" applyFont="1" applyFill="1" applyBorder="1" applyAlignment="1">
      <alignment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11" fillId="4" borderId="2" xfId="0" applyFont="1" applyFill="1" applyBorder="1" applyAlignment="1">
      <alignment vertical="center"/>
    </xf>
    <xf numFmtId="0" fontId="11" fillId="4" borderId="9" xfId="0" applyFont="1" applyFill="1" applyBorder="1" applyAlignment="1">
      <alignment vertical="center"/>
    </xf>
    <xf numFmtId="0" fontId="11" fillId="4" borderId="6" xfId="0" applyFont="1" applyFill="1" applyBorder="1" applyAlignment="1">
      <alignment vertical="center"/>
    </xf>
    <xf numFmtId="0" fontId="11" fillId="4" borderId="7" xfId="0" applyFont="1" applyFill="1" applyBorder="1" applyAlignment="1">
      <alignment vertical="center"/>
    </xf>
    <xf numFmtId="9" fontId="8" fillId="2" borderId="7" xfId="0" applyNumberFormat="1" applyFont="1" applyFill="1" applyBorder="1" applyAlignment="1">
      <alignment vertical="center" wrapText="1"/>
    </xf>
    <xf numFmtId="9" fontId="8" fillId="2" borderId="10" xfId="0" applyNumberFormat="1" applyFont="1" applyFill="1" applyBorder="1" applyAlignment="1">
      <alignment vertical="center" wrapText="1"/>
    </xf>
    <xf numFmtId="9" fontId="8" fillId="2" borderId="8" xfId="0" applyNumberFormat="1" applyFont="1" applyFill="1" applyBorder="1" applyAlignment="1">
      <alignment vertical="center" wrapText="1"/>
    </xf>
    <xf numFmtId="43" fontId="0" fillId="0" borderId="0" xfId="1" applyFont="1"/>
    <xf numFmtId="9" fontId="5" fillId="0" borderId="3" xfId="2" applyFont="1" applyFill="1" applyBorder="1" applyAlignment="1"/>
    <xf numFmtId="9" fontId="5" fillId="0" borderId="5" xfId="2" applyFont="1" applyFill="1" applyBorder="1" applyAlignment="1"/>
    <xf numFmtId="9" fontId="5" fillId="0" borderId="7" xfId="2" applyFont="1" applyFill="1" applyBorder="1" applyAlignment="1"/>
    <xf numFmtId="9" fontId="5" fillId="0" borderId="4" xfId="2" applyFont="1" applyFill="1" applyBorder="1" applyAlignment="1"/>
    <xf numFmtId="9" fontId="5" fillId="0" borderId="10" xfId="2" applyFont="1" applyFill="1" applyBorder="1" applyAlignment="1"/>
    <xf numFmtId="9" fontId="5" fillId="0" borderId="8" xfId="2" applyFont="1" applyFill="1" applyBorder="1" applyAlignment="1"/>
    <xf numFmtId="9" fontId="8" fillId="5" borderId="7" xfId="0" applyNumberFormat="1" applyFont="1" applyFill="1" applyBorder="1" applyAlignment="1">
      <alignment vertical="center" wrapText="1"/>
    </xf>
    <xf numFmtId="0" fontId="14" fillId="0" borderId="0" xfId="0" applyFont="1"/>
    <xf numFmtId="0" fontId="17" fillId="0" borderId="0" xfId="0" applyFont="1"/>
    <xf numFmtId="0" fontId="15" fillId="0" borderId="0" xfId="0" applyFont="1" applyAlignment="1">
      <alignment horizontal="left"/>
    </xf>
    <xf numFmtId="0" fontId="16" fillId="0" borderId="0" xfId="0" applyFont="1" applyAlignment="1">
      <alignment horizontal="left"/>
    </xf>
    <xf numFmtId="0" fontId="0" fillId="0" borderId="0" xfId="0" applyAlignment="1">
      <alignment horizontal="left"/>
    </xf>
    <xf numFmtId="164" fontId="0" fillId="2" borderId="0" xfId="1" applyNumberFormat="1" applyFont="1" applyFill="1"/>
    <xf numFmtId="0" fontId="4" fillId="2" borderId="0" xfId="0" applyFont="1" applyFill="1" applyAlignment="1">
      <alignment horizontal="left"/>
    </xf>
    <xf numFmtId="0" fontId="4" fillId="0" borderId="0" xfId="0" applyFont="1" applyAlignment="1">
      <alignment horizontal="left"/>
    </xf>
    <xf numFmtId="0" fontId="18" fillId="0" borderId="0" xfId="0" applyFont="1" applyAlignment="1">
      <alignment horizontal="left" indent="4"/>
    </xf>
    <xf numFmtId="9" fontId="0" fillId="0" borderId="0" xfId="0" applyNumberFormat="1"/>
    <xf numFmtId="164" fontId="14" fillId="0" borderId="0" xfId="1" applyNumberFormat="1" applyFont="1"/>
    <xf numFmtId="9" fontId="0" fillId="2" borderId="10" xfId="2" applyFont="1" applyFill="1" applyBorder="1"/>
    <xf numFmtId="0" fontId="15" fillId="0" borderId="0" xfId="0" applyFont="1" applyAlignment="1">
      <alignment horizontal="left" wrapText="1"/>
    </xf>
    <xf numFmtId="0" fontId="0" fillId="0" borderId="0" xfId="0" applyAlignment="1">
      <alignment horizontal="right"/>
    </xf>
    <xf numFmtId="0" fontId="4" fillId="0" borderId="0" xfId="0" applyFont="1" applyAlignment="1">
      <alignment horizontal="right"/>
    </xf>
    <xf numFmtId="0" fontId="4" fillId="0" borderId="0" xfId="0" applyFont="1"/>
    <xf numFmtId="0" fontId="15" fillId="0" borderId="0" xfId="0" applyFont="1" applyAlignment="1">
      <alignment horizontal="center"/>
    </xf>
    <xf numFmtId="165" fontId="14" fillId="0" borderId="0" xfId="1" applyNumberFormat="1" applyFont="1"/>
    <xf numFmtId="0" fontId="14" fillId="0" borderId="0" xfId="8" applyFont="1"/>
    <xf numFmtId="0" fontId="15" fillId="6" borderId="0" xfId="8" applyFont="1" applyFill="1" applyAlignment="1">
      <alignment horizontal="center"/>
    </xf>
    <xf numFmtId="0" fontId="15" fillId="7" borderId="0" xfId="8" applyFont="1" applyFill="1"/>
    <xf numFmtId="0" fontId="14" fillId="7" borderId="0" xfId="8" applyFont="1" applyFill="1"/>
    <xf numFmtId="0" fontId="19" fillId="7" borderId="0" xfId="8" applyFont="1" applyFill="1" applyAlignment="1">
      <alignment horizontal="center"/>
    </xf>
    <xf numFmtId="0" fontId="1" fillId="7" borderId="0" xfId="8" applyFill="1"/>
    <xf numFmtId="0" fontId="1" fillId="8" borderId="0" xfId="8" applyFill="1"/>
    <xf numFmtId="0" fontId="1" fillId="0" borderId="0" xfId="8"/>
    <xf numFmtId="0" fontId="15" fillId="6" borderId="0" xfId="8" applyFont="1" applyFill="1"/>
    <xf numFmtId="0" fontId="1" fillId="2" borderId="0" xfId="8" applyFill="1"/>
    <xf numFmtId="0" fontId="20" fillId="2" borderId="0" xfId="9" applyFill="1"/>
    <xf numFmtId="0" fontId="15" fillId="0" borderId="0" xfId="8" applyFont="1"/>
    <xf numFmtId="0" fontId="16" fillId="0" borderId="0" xfId="8" applyFont="1"/>
    <xf numFmtId="165" fontId="15" fillId="6" borderId="0" xfId="10" applyNumberFormat="1" applyFont="1" applyFill="1"/>
    <xf numFmtId="0" fontId="19" fillId="7" borderId="0" xfId="8" applyFont="1" applyFill="1"/>
    <xf numFmtId="0" fontId="19" fillId="2" borderId="0" xfId="8" applyFont="1" applyFill="1"/>
    <xf numFmtId="0" fontId="19" fillId="8" borderId="0" xfId="8" applyFont="1" applyFill="1"/>
    <xf numFmtId="0" fontId="19" fillId="0" borderId="0" xfId="8" applyFont="1"/>
    <xf numFmtId="0" fontId="17" fillId="0" borderId="0" xfId="8" applyFont="1"/>
    <xf numFmtId="165" fontId="14" fillId="6" borderId="0" xfId="10" applyNumberFormat="1" applyFont="1" applyFill="1"/>
    <xf numFmtId="165" fontId="0" fillId="0" borderId="0" xfId="10" applyNumberFormat="1" applyFont="1" applyFill="1"/>
    <xf numFmtId="164" fontId="0" fillId="0" borderId="0" xfId="10" applyNumberFormat="1" applyFont="1" applyFill="1"/>
    <xf numFmtId="43" fontId="14" fillId="0" borderId="0" xfId="10" applyFont="1"/>
    <xf numFmtId="165" fontId="1" fillId="7" borderId="0" xfId="8" applyNumberFormat="1" applyFill="1"/>
    <xf numFmtId="1" fontId="14" fillId="0" borderId="0" xfId="8" applyNumberFormat="1" applyFont="1"/>
    <xf numFmtId="1" fontId="14" fillId="2" borderId="0" xfId="8" applyNumberFormat="1" applyFont="1" applyFill="1"/>
    <xf numFmtId="43" fontId="1" fillId="8" borderId="0" xfId="8" applyNumberFormat="1" applyFill="1"/>
    <xf numFmtId="0" fontId="14" fillId="6" borderId="0" xfId="8" applyFont="1" applyFill="1"/>
    <xf numFmtId="0" fontId="21" fillId="0" borderId="0" xfId="8" applyFont="1"/>
    <xf numFmtId="1" fontId="14" fillId="6" borderId="0" xfId="10" applyNumberFormat="1" applyFont="1" applyFill="1"/>
    <xf numFmtId="164" fontId="14" fillId="0" borderId="0" xfId="10" applyNumberFormat="1" applyFont="1"/>
    <xf numFmtId="164" fontId="14" fillId="0" borderId="0" xfId="10" applyNumberFormat="1" applyFont="1" applyFill="1"/>
    <xf numFmtId="165" fontId="14" fillId="0" borderId="0" xfId="10" applyNumberFormat="1" applyFont="1" applyFill="1"/>
    <xf numFmtId="166" fontId="14" fillId="0" borderId="0" xfId="10" applyNumberFormat="1" applyFont="1"/>
    <xf numFmtId="164" fontId="14" fillId="7" borderId="0" xfId="10" applyNumberFormat="1" applyFont="1" applyFill="1"/>
    <xf numFmtId="165" fontId="14" fillId="0" borderId="0" xfId="10" applyNumberFormat="1" applyFont="1"/>
    <xf numFmtId="165" fontId="0" fillId="0" borderId="0" xfId="10" applyNumberFormat="1" applyFont="1"/>
    <xf numFmtId="164" fontId="0" fillId="0" borderId="0" xfId="10" applyNumberFormat="1" applyFont="1"/>
    <xf numFmtId="1" fontId="14" fillId="0" borderId="0" xfId="10" applyNumberFormat="1" applyFont="1" applyFill="1"/>
    <xf numFmtId="0" fontId="14" fillId="2" borderId="0" xfId="8" applyFont="1" applyFill="1"/>
    <xf numFmtId="0" fontId="4" fillId="0" borderId="14" xfId="0" applyFont="1" applyBorder="1" applyAlignment="1">
      <alignment horizontal="center"/>
    </xf>
    <xf numFmtId="0" fontId="4" fillId="0" borderId="15" xfId="0" applyFont="1" applyBorder="1" applyAlignment="1">
      <alignment horizontal="center"/>
    </xf>
    <xf numFmtId="0" fontId="4" fillId="0" borderId="16" xfId="0" applyFont="1" applyBorder="1" applyAlignment="1">
      <alignment horizontal="center"/>
    </xf>
    <xf numFmtId="0" fontId="15" fillId="6" borderId="0" xfId="8" applyFont="1" applyFill="1" applyAlignment="1">
      <alignment horizontal="center"/>
    </xf>
    <xf numFmtId="0" fontId="19" fillId="7" borderId="0" xfId="8" applyFont="1" applyFill="1" applyAlignment="1">
      <alignment horizontal="center"/>
    </xf>
    <xf numFmtId="0" fontId="19" fillId="2" borderId="0" xfId="8" applyFont="1" applyFill="1" applyAlignment="1">
      <alignment horizontal="center"/>
    </xf>
  </cellXfs>
  <cellStyles count="11">
    <cellStyle name="Comma" xfId="1" builtinId="3"/>
    <cellStyle name="Comma 2" xfId="10" xr:uid="{C8690676-1794-BF4D-A6F0-FE04289C5443}"/>
    <cellStyle name="Good 2" xfId="3" xr:uid="{1C5B74AE-EF34-7749-BC5C-13CE21C89EC5}"/>
    <cellStyle name="Hyperlink 2" xfId="9" xr:uid="{3557CD6E-F241-CB42-9254-B4C8C7C9AA71}"/>
    <cellStyle name="Normal" xfId="0" builtinId="0"/>
    <cellStyle name="Normal 2" xfId="4" xr:uid="{BAFCED4D-1701-EA4B-9C5F-B823D3F30D17}"/>
    <cellStyle name="Normal 3" xfId="5" xr:uid="{D1FD0AB2-A1B4-B248-A3D7-35F751310A4D}"/>
    <cellStyle name="Normal 3 2" xfId="7" xr:uid="{1E39557C-87C0-2846-807F-37E6C519A867}"/>
    <cellStyle name="Normal 4" xfId="6" xr:uid="{60D51BA1-3BA1-0D45-9EC6-12951E95DE7C}"/>
    <cellStyle name="Normal 5" xfId="8" xr:uid="{53E1B878-05C1-1C47-8B72-4C577BC1B946}"/>
    <cellStyle name="Percent" xfId="2" builtinId="5"/>
  </cellStyles>
  <dxfs count="0"/>
  <tableStyles count="0" defaultTableStyle="TableStyleMedium2" defaultPivotStyle="PivotStyleLight16"/>
  <colors>
    <mruColors>
      <color rgb="FFDEE0D5"/>
      <color rgb="FF6F7356"/>
      <color rgb="FF4249AA"/>
      <color rgb="FF001279"/>
      <color rgb="FFAAABD6"/>
      <color rgb="FF431FAA"/>
      <color rgb="FF942093"/>
      <color rgb="FF7A81FF"/>
      <color rgb="FF521B93"/>
      <color rgb="FFDD80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melissako/Downloads/Readmes.xls" TargetMode="External"/><Relationship Id="rId1" Type="http://schemas.openxmlformats.org/officeDocument/2006/relationships/externalLinkPath" Target="/Users/melissako/Downloads/Readm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auer/data/JRF/2017/Blank_forms_2016/HQ/WHO_UNICEF_JRF_EN.xls" TargetMode="External"/><Relationship Id="rId1" Type="http://schemas.openxmlformats.org/officeDocument/2006/relationships/externalLinkPath" Target="/sauer/data/JRF/2017/Blank_forms_2016/HQ/WHO_UNICEF_JRF_EN.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sauer/data/JRF/2020/Blank_forms_2019/HQ/WHO_UNICEF_JRF_EN_2019.xls" TargetMode="External"/><Relationship Id="rId1" Type="http://schemas.openxmlformats.org/officeDocument/2006/relationships/externalLinkPath" Target="/sauer/data/JRF/2020/Blank_forms_2019/HQ/WHO_UNICEF_JRF_EN_2019.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sauer/data/JRF/2015/Blank_forms_2015/HQ/JRF_data_for_2014_english.xls" TargetMode="External"/><Relationship Id="rId1" Type="http://schemas.openxmlformats.org/officeDocument/2006/relationships/externalLinkPath" Target="/sauer/data/JRF/2015/Blank_forms_2015/HQ/JRF_data_for_2014_englis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me Ref_country"/>
      <sheetName val="Readme coverageAdmin"/>
      <sheetName val="Readme WHOUNICEF"/>
      <sheetName val="Readme indicator"/>
      <sheetName val="Readme HPVadmin"/>
      <sheetName val="Readme at_School"/>
      <sheetName val="Readme SchoolIB"/>
      <sheetName val="Readme SchoolIR"/>
      <sheetName val="Readme coverage"/>
      <sheetName val="Readme Incidence"/>
      <sheetName val="Readme schedule"/>
      <sheetName val="Readme HBR"/>
      <sheetName val="MetaIndicator"/>
      <sheetName val="Readme vaccinesource"/>
      <sheetName val="MetaSIA"/>
      <sheetName val="MetaSurvey"/>
      <sheetName val="Readme_UNPD_GHOMDG"/>
      <sheetName val="OfDates"/>
      <sheetName val="prevReadme incidence"/>
      <sheetName val="prevReadme coverage"/>
      <sheetName val="prevReadme schedule"/>
      <sheetName val="prevReadme vaccine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Page"/>
      <sheetName val="1. Reported Cases"/>
      <sheetName val="2A. Schedule"/>
      <sheetName val="2B.Procurement_pricing"/>
      <sheetName val="3.School_Imm_delivery"/>
      <sheetName val="4A. Routine Coverage"/>
      <sheetName val="4B. Coverage Surveys"/>
      <sheetName val="5. Official Estimates"/>
      <sheetName val="6. Indicators"/>
      <sheetName val="8. Supplementary"/>
      <sheetName val="9_General_comments"/>
      <sheetName val="Instructions"/>
      <sheetName val="Incoterm"/>
      <sheetName val="Instr_Schedule"/>
      <sheetName val="drop_down_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HO data sharing policy"/>
      <sheetName val="Cover Page"/>
      <sheetName val="1. Reported Cases"/>
      <sheetName val="2A. Schedule"/>
      <sheetName val="2B.Procurement_pricing"/>
      <sheetName val="3.School_Imm_delivery"/>
      <sheetName val="4A. Routine Coverage"/>
      <sheetName val="4B. Coverage Surveys"/>
      <sheetName val="5. Official Estimates"/>
      <sheetName val="6. Indicators"/>
      <sheetName val="7. Seasonal Influenza"/>
      <sheetName val="8. Supplementary"/>
      <sheetName val="9_General_comments"/>
      <sheetName val="Instructions"/>
      <sheetName val="Instr_Schedule"/>
      <sheetName val="drop_down_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Page"/>
      <sheetName val="1. Reported Cases"/>
      <sheetName val="2. Schedule-Source"/>
      <sheetName val="3.School_Imm_delivery"/>
      <sheetName val="4A. Routine Coverage"/>
      <sheetName val="4B. Coverage Surveys"/>
      <sheetName val="5. Official Estimates"/>
      <sheetName val="6. Indicators"/>
      <sheetName val="8. Supplementary"/>
      <sheetName val="9_General_comments"/>
      <sheetName val="Vaccine_Pricing"/>
      <sheetName val="Instructions"/>
      <sheetName val="Instr_Schedule"/>
      <sheetName val="drop_down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person displayName="Melissa Ko" id="{AA0D205E-6D9E-204A-B50E-DA545D208936}" userId="S::kom@mmglobalhealth.org::3d68380f-2615-4aad-8410-be8a6b4e21c6" providerId="AD"/>
</personList>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3" dT="2020-10-22T09:01:36.40" personId="{AA0D205E-6D9E-204A-B50E-DA545D208936}" id="{DC22541A-22F5-BB41-91BA-5DA2A6261726}">
    <text>Average was taken for MOV of Measles</text>
  </threadedComment>
</ThreadedComment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who.int/immunization/programmes_systems/financing/data_indicators/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78170-9510-964F-9873-6AE63390DF8C}">
  <dimension ref="A1:B37"/>
  <sheetViews>
    <sheetView tabSelected="1" workbookViewId="0">
      <selection activeCell="A38" sqref="A38"/>
    </sheetView>
  </sheetViews>
  <sheetFormatPr defaultColWidth="11.42578125" defaultRowHeight="15"/>
  <cols>
    <col min="1" max="1" width="7.42578125" customWidth="1"/>
  </cols>
  <sheetData>
    <row r="1" spans="1:2">
      <c r="A1" t="s">
        <v>0</v>
      </c>
    </row>
    <row r="3" spans="1:2" s="99" customFormat="1">
      <c r="A3" s="98">
        <v>1</v>
      </c>
      <c r="B3" s="99" t="s">
        <v>1</v>
      </c>
    </row>
    <row r="4" spans="1:2" s="99" customFormat="1">
      <c r="A4" s="98">
        <v>2</v>
      </c>
      <c r="B4" s="99" t="s">
        <v>2</v>
      </c>
    </row>
    <row r="5" spans="1:2">
      <c r="A5" s="97" t="s">
        <v>3</v>
      </c>
      <c r="B5" t="s">
        <v>4</v>
      </c>
    </row>
    <row r="6" spans="1:2">
      <c r="A6" s="97" t="s">
        <v>5</v>
      </c>
      <c r="B6" t="s">
        <v>6</v>
      </c>
    </row>
    <row r="7" spans="1:2">
      <c r="A7" s="97" t="s">
        <v>7</v>
      </c>
      <c r="B7" t="s">
        <v>8</v>
      </c>
    </row>
    <row r="8" spans="1:2">
      <c r="A8" s="97" t="s">
        <v>9</v>
      </c>
      <c r="B8" t="s">
        <v>10</v>
      </c>
    </row>
    <row r="9" spans="1:2">
      <c r="A9" s="97" t="s">
        <v>11</v>
      </c>
      <c r="B9" t="s">
        <v>12</v>
      </c>
    </row>
    <row r="10" spans="1:2">
      <c r="A10" s="97" t="s">
        <v>13</v>
      </c>
      <c r="B10" t="s">
        <v>14</v>
      </c>
    </row>
    <row r="11" spans="1:2">
      <c r="A11" s="97" t="s">
        <v>15</v>
      </c>
      <c r="B11" t="s">
        <v>16</v>
      </c>
    </row>
    <row r="12" spans="1:2" s="99" customFormat="1">
      <c r="A12" s="98">
        <v>3</v>
      </c>
      <c r="B12" s="99" t="s">
        <v>17</v>
      </c>
    </row>
    <row r="13" spans="1:2">
      <c r="A13" s="97" t="s">
        <v>18</v>
      </c>
      <c r="B13" t="s">
        <v>19</v>
      </c>
    </row>
    <row r="14" spans="1:2">
      <c r="A14" s="97" t="s">
        <v>20</v>
      </c>
      <c r="B14" t="s">
        <v>21</v>
      </c>
    </row>
    <row r="15" spans="1:2">
      <c r="A15" s="97" t="s">
        <v>22</v>
      </c>
      <c r="B15" t="s">
        <v>23</v>
      </c>
    </row>
    <row r="16" spans="1:2">
      <c r="A16" s="97" t="s">
        <v>24</v>
      </c>
      <c r="B16" t="s">
        <v>25</v>
      </c>
    </row>
    <row r="17" spans="1:2">
      <c r="A17" s="97" t="s">
        <v>26</v>
      </c>
      <c r="B17" t="s">
        <v>27</v>
      </c>
    </row>
    <row r="18" spans="1:2" s="99" customFormat="1">
      <c r="A18" s="98">
        <v>4</v>
      </c>
      <c r="B18" s="99" t="s">
        <v>28</v>
      </c>
    </row>
    <row r="19" spans="1:2">
      <c r="A19" s="97" t="s">
        <v>29</v>
      </c>
      <c r="B19" t="s">
        <v>30</v>
      </c>
    </row>
    <row r="20" spans="1:2">
      <c r="A20" s="97" t="s">
        <v>31</v>
      </c>
      <c r="B20" t="s">
        <v>32</v>
      </c>
    </row>
    <row r="21" spans="1:2">
      <c r="A21" s="97" t="s">
        <v>33</v>
      </c>
      <c r="B21" t="s">
        <v>34</v>
      </c>
    </row>
    <row r="22" spans="1:2">
      <c r="A22" s="97" t="s">
        <v>35</v>
      </c>
      <c r="B22" t="s">
        <v>36</v>
      </c>
    </row>
    <row r="23" spans="1:2" s="99" customFormat="1">
      <c r="A23" s="98">
        <v>5</v>
      </c>
      <c r="B23" s="99" t="s">
        <v>37</v>
      </c>
    </row>
    <row r="24" spans="1:2" s="99" customFormat="1">
      <c r="A24" s="98">
        <v>6</v>
      </c>
      <c r="B24" s="99" t="s">
        <v>38</v>
      </c>
    </row>
    <row r="25" spans="1:2">
      <c r="A25" s="97" t="s">
        <v>39</v>
      </c>
      <c r="B25" t="s">
        <v>40</v>
      </c>
    </row>
    <row r="26" spans="1:2">
      <c r="A26" s="97" t="s">
        <v>41</v>
      </c>
      <c r="B26" t="s">
        <v>42</v>
      </c>
    </row>
    <row r="27" spans="1:2">
      <c r="A27" s="97" t="s">
        <v>43</v>
      </c>
      <c r="B27" t="s">
        <v>44</v>
      </c>
    </row>
    <row r="28" spans="1:2" s="99" customFormat="1">
      <c r="A28" s="98">
        <v>7</v>
      </c>
      <c r="B28" s="99" t="s">
        <v>45</v>
      </c>
    </row>
    <row r="29" spans="1:2">
      <c r="A29" s="97" t="s">
        <v>46</v>
      </c>
      <c r="B29" t="s">
        <v>47</v>
      </c>
    </row>
    <row r="30" spans="1:2">
      <c r="A30" s="97" t="s">
        <v>48</v>
      </c>
      <c r="B30" t="s">
        <v>49</v>
      </c>
    </row>
    <row r="31" spans="1:2">
      <c r="A31" s="97" t="s">
        <v>50</v>
      </c>
      <c r="B31" t="s">
        <v>51</v>
      </c>
    </row>
    <row r="32" spans="1:2">
      <c r="A32">
        <v>8</v>
      </c>
      <c r="B32" t="s">
        <v>52</v>
      </c>
    </row>
    <row r="33" spans="1:2">
      <c r="A33" s="97" t="s">
        <v>53</v>
      </c>
      <c r="B33" t="s">
        <v>54</v>
      </c>
    </row>
    <row r="34" spans="1:2">
      <c r="A34" s="97" t="s">
        <v>55</v>
      </c>
      <c r="B34" t="s">
        <v>56</v>
      </c>
    </row>
    <row r="35" spans="1:2">
      <c r="A35" s="97" t="s">
        <v>57</v>
      </c>
      <c r="B35" t="s">
        <v>58</v>
      </c>
    </row>
    <row r="36" spans="1:2">
      <c r="A36" s="97" t="s">
        <v>59</v>
      </c>
      <c r="B36" t="s">
        <v>60</v>
      </c>
    </row>
    <row r="37" spans="1:2">
      <c r="A37" s="97" t="s">
        <v>61</v>
      </c>
      <c r="B37"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EC653-B2C2-7046-A057-A84383C24F49}">
  <dimension ref="A1:H198"/>
  <sheetViews>
    <sheetView workbookViewId="0">
      <selection activeCell="D16" sqref="D16"/>
    </sheetView>
  </sheetViews>
  <sheetFormatPr defaultColWidth="11.42578125" defaultRowHeight="15"/>
  <cols>
    <col min="1" max="1" width="20.7109375" customWidth="1"/>
    <col min="2" max="2" width="7.85546875" bestFit="1" customWidth="1"/>
    <col min="3" max="3" width="6" bestFit="1" customWidth="1"/>
    <col min="4" max="4" width="18.42578125" bestFit="1" customWidth="1"/>
    <col min="5" max="5" width="13.140625" bestFit="1" customWidth="1"/>
    <col min="6" max="8" width="18.7109375" customWidth="1"/>
  </cols>
  <sheetData>
    <row r="1" spans="1:8">
      <c r="A1" t="s">
        <v>63</v>
      </c>
    </row>
    <row r="4" spans="1:8" ht="48">
      <c r="A4" s="87" t="s">
        <v>64</v>
      </c>
      <c r="B4" s="87" t="s">
        <v>65</v>
      </c>
      <c r="C4" s="86" t="s">
        <v>66</v>
      </c>
      <c r="D4" s="86" t="s">
        <v>67</v>
      </c>
      <c r="E4" s="86" t="s">
        <v>68</v>
      </c>
      <c r="F4" s="96" t="s">
        <v>69</v>
      </c>
      <c r="G4" s="96" t="s">
        <v>70</v>
      </c>
      <c r="H4" s="96" t="s">
        <v>71</v>
      </c>
    </row>
    <row r="5" spans="1:8">
      <c r="A5" s="85" t="s">
        <v>72</v>
      </c>
      <c r="B5" s="85" t="s">
        <v>73</v>
      </c>
      <c r="C5" s="85" t="s">
        <v>74</v>
      </c>
      <c r="D5" s="84" t="s">
        <v>75</v>
      </c>
      <c r="E5" s="84" t="s">
        <v>76</v>
      </c>
      <c r="F5" s="84">
        <v>2033</v>
      </c>
      <c r="G5" s="84">
        <v>2034</v>
      </c>
      <c r="H5">
        <v>2033</v>
      </c>
    </row>
    <row r="6" spans="1:8">
      <c r="A6" s="85" t="s">
        <v>77</v>
      </c>
      <c r="B6" s="85" t="s">
        <v>78</v>
      </c>
      <c r="C6" s="85" t="s">
        <v>79</v>
      </c>
      <c r="D6" s="84" t="s">
        <v>80</v>
      </c>
      <c r="E6" s="84">
        <v>1</v>
      </c>
      <c r="F6" s="84">
        <v>2036</v>
      </c>
      <c r="G6" s="84">
        <v>2036</v>
      </c>
      <c r="H6">
        <v>2035</v>
      </c>
    </row>
    <row r="7" spans="1:8">
      <c r="A7" s="85" t="s">
        <v>81</v>
      </c>
      <c r="B7" s="85" t="s">
        <v>82</v>
      </c>
      <c r="C7" s="85" t="s">
        <v>83</v>
      </c>
      <c r="D7" s="84" t="s">
        <v>84</v>
      </c>
      <c r="E7" s="84">
        <v>2</v>
      </c>
      <c r="F7" s="84">
        <v>2032</v>
      </c>
      <c r="G7" s="84">
        <v>2033</v>
      </c>
      <c r="H7">
        <v>2034</v>
      </c>
    </row>
    <row r="8" spans="1:8">
      <c r="A8" s="85" t="s">
        <v>85</v>
      </c>
      <c r="B8" s="85" t="s">
        <v>86</v>
      </c>
      <c r="C8" s="85" t="s">
        <v>79</v>
      </c>
      <c r="D8" s="84" t="s">
        <v>87</v>
      </c>
      <c r="E8" s="84">
        <v>1</v>
      </c>
      <c r="F8" s="84">
        <v>2039</v>
      </c>
      <c r="G8" s="84">
        <v>2039</v>
      </c>
      <c r="H8">
        <v>2039</v>
      </c>
    </row>
    <row r="9" spans="1:8">
      <c r="A9" s="85" t="s">
        <v>88</v>
      </c>
      <c r="B9" s="85" t="s">
        <v>89</v>
      </c>
      <c r="C9" s="85" t="s">
        <v>83</v>
      </c>
      <c r="D9" s="84" t="s">
        <v>84</v>
      </c>
      <c r="E9" s="84">
        <v>3</v>
      </c>
      <c r="F9" s="84">
        <v>2033</v>
      </c>
      <c r="G9" s="84">
        <v>2033</v>
      </c>
      <c r="H9">
        <v>2030</v>
      </c>
    </row>
    <row r="10" spans="1:8">
      <c r="A10" s="85" t="s">
        <v>90</v>
      </c>
      <c r="B10" s="85" t="s">
        <v>91</v>
      </c>
      <c r="C10" s="85" t="s">
        <v>92</v>
      </c>
      <c r="D10" s="84" t="s">
        <v>87</v>
      </c>
      <c r="E10" s="84">
        <v>1</v>
      </c>
      <c r="F10" s="84">
        <v>2040</v>
      </c>
      <c r="G10" s="84">
        <v>2040</v>
      </c>
      <c r="H10">
        <v>2042</v>
      </c>
    </row>
    <row r="11" spans="1:8">
      <c r="A11" s="85" t="s">
        <v>93</v>
      </c>
      <c r="B11" s="85" t="s">
        <v>94</v>
      </c>
      <c r="C11" s="85" t="s">
        <v>92</v>
      </c>
      <c r="D11" s="84" t="s">
        <v>80</v>
      </c>
      <c r="E11" s="84">
        <v>1</v>
      </c>
      <c r="F11" s="84">
        <v>2037</v>
      </c>
      <c r="G11" s="84">
        <v>2938</v>
      </c>
      <c r="H11">
        <v>2039</v>
      </c>
    </row>
    <row r="12" spans="1:8">
      <c r="A12" s="85" t="s">
        <v>95</v>
      </c>
      <c r="B12" s="85" t="s">
        <v>96</v>
      </c>
      <c r="C12" s="85" t="s">
        <v>79</v>
      </c>
      <c r="D12" s="84" t="s">
        <v>80</v>
      </c>
      <c r="E12" s="84">
        <v>1</v>
      </c>
      <c r="F12" s="84">
        <v>2040</v>
      </c>
      <c r="G12" s="84">
        <v>2040</v>
      </c>
      <c r="H12">
        <v>2040</v>
      </c>
    </row>
    <row r="13" spans="1:8">
      <c r="A13" s="85" t="s">
        <v>97</v>
      </c>
      <c r="B13" s="85" t="s">
        <v>98</v>
      </c>
      <c r="C13" s="85" t="s">
        <v>99</v>
      </c>
      <c r="D13" s="84" t="s">
        <v>87</v>
      </c>
      <c r="E13" s="84">
        <v>1</v>
      </c>
      <c r="F13" s="84">
        <v>2031</v>
      </c>
      <c r="G13" s="84">
        <v>2031</v>
      </c>
      <c r="H13">
        <v>2033</v>
      </c>
    </row>
    <row r="14" spans="1:8">
      <c r="A14" s="85" t="s">
        <v>100</v>
      </c>
      <c r="B14" s="85" t="s">
        <v>101</v>
      </c>
      <c r="C14" s="85" t="s">
        <v>79</v>
      </c>
      <c r="D14" s="84" t="s">
        <v>87</v>
      </c>
      <c r="E14" s="84">
        <v>1</v>
      </c>
      <c r="F14" s="84">
        <v>2030</v>
      </c>
      <c r="G14" s="84">
        <v>2030</v>
      </c>
      <c r="H14">
        <v>2031</v>
      </c>
    </row>
    <row r="15" spans="1:8">
      <c r="A15" s="85" t="s">
        <v>102</v>
      </c>
      <c r="B15" s="85" t="s">
        <v>103</v>
      </c>
      <c r="C15" s="85" t="s">
        <v>79</v>
      </c>
      <c r="D15" s="84" t="s">
        <v>80</v>
      </c>
      <c r="E15" s="84">
        <v>1</v>
      </c>
      <c r="F15" s="84">
        <v>2038</v>
      </c>
      <c r="G15" s="84">
        <v>2038</v>
      </c>
      <c r="H15">
        <v>2039</v>
      </c>
    </row>
    <row r="16" spans="1:8">
      <c r="A16" s="85" t="s">
        <v>104</v>
      </c>
      <c r="B16" s="85" t="s">
        <v>105</v>
      </c>
      <c r="C16" s="85" t="s">
        <v>92</v>
      </c>
      <c r="D16" s="84" t="s">
        <v>87</v>
      </c>
      <c r="E16" s="84">
        <v>1</v>
      </c>
      <c r="F16" s="84">
        <v>2037</v>
      </c>
      <c r="G16" s="84">
        <v>2938</v>
      </c>
      <c r="H16">
        <v>2040</v>
      </c>
    </row>
    <row r="17" spans="1:8">
      <c r="A17" s="85" t="s">
        <v>106</v>
      </c>
      <c r="B17" s="85" t="s">
        <v>107</v>
      </c>
      <c r="C17" s="85" t="s">
        <v>74</v>
      </c>
      <c r="D17" s="84" t="s">
        <v>87</v>
      </c>
      <c r="E17" s="84">
        <v>1</v>
      </c>
      <c r="F17" s="84">
        <v>2034</v>
      </c>
      <c r="G17" s="84">
        <v>2034</v>
      </c>
      <c r="H17">
        <v>2037</v>
      </c>
    </row>
    <row r="18" spans="1:8">
      <c r="A18" s="85" t="s">
        <v>108</v>
      </c>
      <c r="B18" s="85" t="s">
        <v>109</v>
      </c>
      <c r="C18" s="85" t="s">
        <v>110</v>
      </c>
      <c r="D18" s="84" t="s">
        <v>84</v>
      </c>
      <c r="E18" s="84" t="s">
        <v>76</v>
      </c>
      <c r="F18" s="84">
        <v>2034</v>
      </c>
      <c r="G18" s="84">
        <v>2034</v>
      </c>
      <c r="H18">
        <v>2034</v>
      </c>
    </row>
    <row r="19" spans="1:8">
      <c r="A19" s="85" t="s">
        <v>111</v>
      </c>
      <c r="B19" s="85" t="s">
        <v>112</v>
      </c>
      <c r="C19" s="85" t="s">
        <v>92</v>
      </c>
      <c r="D19" s="84" t="s">
        <v>87</v>
      </c>
      <c r="E19" s="84">
        <v>1</v>
      </c>
      <c r="F19" s="84">
        <v>2039</v>
      </c>
      <c r="G19" s="84">
        <v>2039</v>
      </c>
      <c r="H19">
        <v>2038</v>
      </c>
    </row>
    <row r="20" spans="1:8">
      <c r="A20" s="85" t="s">
        <v>113</v>
      </c>
      <c r="B20" s="85" t="s">
        <v>114</v>
      </c>
      <c r="C20" s="85" t="s">
        <v>79</v>
      </c>
      <c r="D20" s="84" t="s">
        <v>80</v>
      </c>
      <c r="E20" s="84">
        <v>2</v>
      </c>
      <c r="F20" s="84">
        <v>2039</v>
      </c>
      <c r="G20" s="84">
        <v>2039</v>
      </c>
      <c r="H20">
        <v>2037</v>
      </c>
    </row>
    <row r="21" spans="1:8">
      <c r="A21" s="85" t="s">
        <v>115</v>
      </c>
      <c r="B21" s="85" t="s">
        <v>116</v>
      </c>
      <c r="C21" s="85" t="s">
        <v>79</v>
      </c>
      <c r="D21" s="84" t="s">
        <v>87</v>
      </c>
      <c r="E21" s="84">
        <v>1</v>
      </c>
      <c r="F21" s="84">
        <v>2030</v>
      </c>
      <c r="G21" s="84">
        <v>2030</v>
      </c>
      <c r="H21">
        <v>2033</v>
      </c>
    </row>
    <row r="22" spans="1:8">
      <c r="A22" s="85" t="s">
        <v>117</v>
      </c>
      <c r="B22" s="85" t="s">
        <v>118</v>
      </c>
      <c r="C22" s="85" t="s">
        <v>92</v>
      </c>
      <c r="D22" s="84" t="s">
        <v>80</v>
      </c>
      <c r="E22" s="84">
        <v>1</v>
      </c>
      <c r="F22" s="84">
        <v>2040</v>
      </c>
      <c r="G22" s="84">
        <v>2040</v>
      </c>
      <c r="H22">
        <v>2041</v>
      </c>
    </row>
    <row r="23" spans="1:8">
      <c r="A23" s="85" t="s">
        <v>119</v>
      </c>
      <c r="B23" s="85" t="s">
        <v>120</v>
      </c>
      <c r="C23" s="85" t="s">
        <v>83</v>
      </c>
      <c r="D23" s="84" t="s">
        <v>84</v>
      </c>
      <c r="E23" s="84">
        <v>3</v>
      </c>
      <c r="F23" s="84">
        <v>2031</v>
      </c>
      <c r="G23" s="84">
        <v>2033</v>
      </c>
      <c r="H23">
        <v>2033</v>
      </c>
    </row>
    <row r="24" spans="1:8">
      <c r="A24" s="85" t="s">
        <v>121</v>
      </c>
      <c r="B24" s="85" t="s">
        <v>122</v>
      </c>
      <c r="C24" s="85" t="s">
        <v>110</v>
      </c>
      <c r="D24" s="84" t="s">
        <v>84</v>
      </c>
      <c r="E24" s="84">
        <v>2</v>
      </c>
      <c r="F24" s="84">
        <v>2041</v>
      </c>
      <c r="G24" s="84">
        <v>2041</v>
      </c>
      <c r="H24">
        <v>2040</v>
      </c>
    </row>
    <row r="25" spans="1:8">
      <c r="A25" s="85" t="s">
        <v>123</v>
      </c>
      <c r="B25" s="85" t="s">
        <v>124</v>
      </c>
      <c r="C25" s="85" t="s">
        <v>92</v>
      </c>
      <c r="D25" s="84" t="s">
        <v>84</v>
      </c>
      <c r="E25" s="84">
        <v>2</v>
      </c>
      <c r="F25" s="84">
        <v>2042</v>
      </c>
      <c r="G25" s="84">
        <v>2042</v>
      </c>
      <c r="H25">
        <v>2041</v>
      </c>
    </row>
    <row r="26" spans="1:8">
      <c r="A26" s="85" t="s">
        <v>125</v>
      </c>
      <c r="B26" s="85" t="s">
        <v>126</v>
      </c>
      <c r="C26" s="85" t="s">
        <v>79</v>
      </c>
      <c r="D26" s="84" t="s">
        <v>80</v>
      </c>
      <c r="E26" s="84">
        <v>1</v>
      </c>
      <c r="F26" s="84">
        <v>2032</v>
      </c>
      <c r="G26" s="84">
        <v>2032</v>
      </c>
      <c r="H26">
        <v>2031</v>
      </c>
    </row>
    <row r="27" spans="1:8">
      <c r="A27" s="85" t="s">
        <v>127</v>
      </c>
      <c r="B27" s="85" t="s">
        <v>128</v>
      </c>
      <c r="C27" s="85" t="s">
        <v>83</v>
      </c>
      <c r="D27" s="84" t="s">
        <v>80</v>
      </c>
      <c r="E27" s="84">
        <v>2</v>
      </c>
      <c r="F27" s="84">
        <v>2035</v>
      </c>
      <c r="G27" s="84">
        <v>2035</v>
      </c>
      <c r="H27">
        <v>2037</v>
      </c>
    </row>
    <row r="28" spans="1:8">
      <c r="A28" s="85" t="s">
        <v>129</v>
      </c>
      <c r="B28" s="85" t="s">
        <v>130</v>
      </c>
      <c r="C28" s="85" t="s">
        <v>92</v>
      </c>
      <c r="D28" s="84" t="s">
        <v>80</v>
      </c>
      <c r="E28" s="84" t="s">
        <v>76</v>
      </c>
      <c r="F28" s="84">
        <v>2036</v>
      </c>
      <c r="G28" s="84">
        <v>2036</v>
      </c>
      <c r="H28">
        <v>2037</v>
      </c>
    </row>
    <row r="29" spans="1:8">
      <c r="A29" s="85" t="s">
        <v>131</v>
      </c>
      <c r="B29" s="85" t="s">
        <v>132</v>
      </c>
      <c r="C29" s="85" t="s">
        <v>99</v>
      </c>
      <c r="D29" s="84" t="s">
        <v>87</v>
      </c>
      <c r="E29" s="84">
        <v>1</v>
      </c>
      <c r="F29" s="84">
        <v>2038</v>
      </c>
      <c r="G29" s="84">
        <v>2038</v>
      </c>
      <c r="H29">
        <v>2040</v>
      </c>
    </row>
    <row r="30" spans="1:8">
      <c r="A30" s="85" t="s">
        <v>133</v>
      </c>
      <c r="B30" s="85" t="s">
        <v>134</v>
      </c>
      <c r="C30" s="85" t="s">
        <v>79</v>
      </c>
      <c r="D30" s="84" t="s">
        <v>80</v>
      </c>
      <c r="E30" s="84">
        <v>1</v>
      </c>
      <c r="F30" s="84">
        <v>2034</v>
      </c>
      <c r="G30" s="84">
        <v>2034</v>
      </c>
      <c r="H30">
        <v>2035</v>
      </c>
    </row>
    <row r="31" spans="1:8">
      <c r="A31" s="85" t="s">
        <v>135</v>
      </c>
      <c r="B31" s="85" t="s">
        <v>136</v>
      </c>
      <c r="C31" s="85" t="s">
        <v>83</v>
      </c>
      <c r="D31" s="84" t="s">
        <v>75</v>
      </c>
      <c r="E31" s="84">
        <v>3</v>
      </c>
      <c r="F31" s="84">
        <v>2033</v>
      </c>
      <c r="G31" s="84">
        <v>2033</v>
      </c>
      <c r="H31">
        <v>2030</v>
      </c>
    </row>
    <row r="32" spans="1:8">
      <c r="A32" s="85" t="s">
        <v>137</v>
      </c>
      <c r="B32" s="85" t="s">
        <v>138</v>
      </c>
      <c r="C32" s="85" t="s">
        <v>83</v>
      </c>
      <c r="D32" s="84" t="s">
        <v>75</v>
      </c>
      <c r="E32" s="84">
        <v>3</v>
      </c>
      <c r="F32" s="84">
        <v>2033</v>
      </c>
      <c r="G32" s="84">
        <v>2033</v>
      </c>
      <c r="H32">
        <v>2032</v>
      </c>
    </row>
    <row r="33" spans="1:8">
      <c r="A33" s="85" t="s">
        <v>139</v>
      </c>
      <c r="B33" s="85" t="s">
        <v>140</v>
      </c>
      <c r="C33" s="85" t="s">
        <v>99</v>
      </c>
      <c r="D33" s="84" t="s">
        <v>84</v>
      </c>
      <c r="E33" s="84">
        <v>4</v>
      </c>
      <c r="F33" s="84">
        <v>2037</v>
      </c>
      <c r="G33" s="84">
        <v>2037</v>
      </c>
      <c r="H33">
        <v>2032</v>
      </c>
    </row>
    <row r="34" spans="1:8">
      <c r="A34" s="85" t="s">
        <v>141</v>
      </c>
      <c r="B34" s="85" t="s">
        <v>142</v>
      </c>
      <c r="C34" s="85" t="s">
        <v>83</v>
      </c>
      <c r="D34" s="84" t="s">
        <v>84</v>
      </c>
      <c r="E34" s="84">
        <v>3</v>
      </c>
      <c r="F34" s="84">
        <v>2031</v>
      </c>
      <c r="G34" s="84">
        <v>2031</v>
      </c>
      <c r="H34">
        <v>2032</v>
      </c>
    </row>
    <row r="35" spans="1:8">
      <c r="A35" s="85" t="s">
        <v>143</v>
      </c>
      <c r="B35" s="85" t="s">
        <v>144</v>
      </c>
      <c r="C35" s="85" t="s">
        <v>92</v>
      </c>
      <c r="D35" s="84" t="s">
        <v>87</v>
      </c>
      <c r="E35" s="84">
        <v>1</v>
      </c>
      <c r="F35" s="84">
        <v>2033</v>
      </c>
      <c r="G35" s="84">
        <v>2033</v>
      </c>
      <c r="H35">
        <v>2037</v>
      </c>
    </row>
    <row r="36" spans="1:8">
      <c r="A36" s="85" t="s">
        <v>145</v>
      </c>
      <c r="B36" s="85" t="s">
        <v>146</v>
      </c>
      <c r="C36" s="85" t="s">
        <v>83</v>
      </c>
      <c r="D36" s="84" t="s">
        <v>84</v>
      </c>
      <c r="E36" s="84">
        <v>2</v>
      </c>
      <c r="F36" s="84">
        <v>2037</v>
      </c>
      <c r="G36" s="84">
        <v>2037</v>
      </c>
      <c r="H36">
        <v>2034</v>
      </c>
    </row>
    <row r="37" spans="1:8">
      <c r="A37" s="85" t="s">
        <v>147</v>
      </c>
      <c r="B37" s="85" t="s">
        <v>148</v>
      </c>
      <c r="C37" s="85" t="s">
        <v>83</v>
      </c>
      <c r="D37" s="84" t="s">
        <v>75</v>
      </c>
      <c r="E37" s="84">
        <v>3</v>
      </c>
      <c r="F37" s="84">
        <v>2034</v>
      </c>
      <c r="G37" s="84">
        <v>2034</v>
      </c>
      <c r="H37">
        <v>2032</v>
      </c>
    </row>
    <row r="38" spans="1:8">
      <c r="A38" s="85" t="s">
        <v>149</v>
      </c>
      <c r="B38" s="85" t="s">
        <v>150</v>
      </c>
      <c r="C38" s="85" t="s">
        <v>83</v>
      </c>
      <c r="D38" s="84" t="s">
        <v>75</v>
      </c>
      <c r="E38" s="84" t="s">
        <v>76</v>
      </c>
      <c r="F38" s="84">
        <v>2032</v>
      </c>
      <c r="G38" s="84">
        <v>2033</v>
      </c>
      <c r="H38">
        <v>2031</v>
      </c>
    </row>
    <row r="39" spans="1:8">
      <c r="A39" s="85" t="s">
        <v>151</v>
      </c>
      <c r="B39" s="85" t="s">
        <v>152</v>
      </c>
      <c r="C39" s="85" t="s">
        <v>92</v>
      </c>
      <c r="D39" s="84" t="s">
        <v>87</v>
      </c>
      <c r="E39" s="84">
        <v>2</v>
      </c>
      <c r="F39" s="84">
        <v>2035</v>
      </c>
      <c r="G39" s="84">
        <v>2035</v>
      </c>
      <c r="H39">
        <v>2036</v>
      </c>
    </row>
    <row r="40" spans="1:8">
      <c r="A40" s="85" t="s">
        <v>153</v>
      </c>
      <c r="B40" s="85" t="s">
        <v>154</v>
      </c>
      <c r="C40" s="85" t="s">
        <v>99</v>
      </c>
      <c r="D40" s="84" t="s">
        <v>80</v>
      </c>
      <c r="E40" s="84">
        <v>1</v>
      </c>
      <c r="F40" s="84">
        <v>2030</v>
      </c>
      <c r="G40" s="84">
        <v>2030</v>
      </c>
      <c r="H40">
        <v>2033</v>
      </c>
    </row>
    <row r="41" spans="1:8">
      <c r="A41" s="85" t="s">
        <v>155</v>
      </c>
      <c r="B41" s="85" t="s">
        <v>156</v>
      </c>
      <c r="C41" s="85" t="s">
        <v>92</v>
      </c>
      <c r="D41" s="84" t="s">
        <v>80</v>
      </c>
      <c r="E41" s="84">
        <v>2</v>
      </c>
      <c r="F41" s="84">
        <v>2035</v>
      </c>
      <c r="G41" s="84">
        <v>2035</v>
      </c>
      <c r="H41">
        <v>2037</v>
      </c>
    </row>
    <row r="42" spans="1:8">
      <c r="A42" s="85" t="s">
        <v>157</v>
      </c>
      <c r="B42" s="85" t="s">
        <v>158</v>
      </c>
      <c r="C42" s="85" t="s">
        <v>83</v>
      </c>
      <c r="D42" s="84" t="s">
        <v>84</v>
      </c>
      <c r="E42" s="84">
        <v>3</v>
      </c>
      <c r="F42" s="84">
        <v>2037</v>
      </c>
      <c r="G42" s="84">
        <v>2037</v>
      </c>
      <c r="H42">
        <v>2037</v>
      </c>
    </row>
    <row r="43" spans="1:8">
      <c r="A43" s="85" t="s">
        <v>159</v>
      </c>
      <c r="B43" s="85" t="s">
        <v>160</v>
      </c>
      <c r="C43" s="85" t="s">
        <v>83</v>
      </c>
      <c r="D43" s="84" t="s">
        <v>84</v>
      </c>
      <c r="E43" s="84">
        <v>3</v>
      </c>
      <c r="F43" s="84">
        <v>2032</v>
      </c>
      <c r="G43" s="84">
        <v>2033</v>
      </c>
      <c r="H43">
        <v>2032</v>
      </c>
    </row>
    <row r="44" spans="1:8">
      <c r="A44" s="85" t="s">
        <v>161</v>
      </c>
      <c r="B44" s="85" t="s">
        <v>162</v>
      </c>
      <c r="C44" s="85" t="s">
        <v>99</v>
      </c>
      <c r="D44" s="84" t="e">
        <v>#N/A</v>
      </c>
      <c r="E44" s="84">
        <v>1</v>
      </c>
      <c r="F44" s="84">
        <v>2040</v>
      </c>
      <c r="G44" s="84">
        <v>2040</v>
      </c>
      <c r="H44">
        <v>2037</v>
      </c>
    </row>
    <row r="45" spans="1:8">
      <c r="A45" s="85" t="s">
        <v>163</v>
      </c>
      <c r="B45" s="85" t="s">
        <v>164</v>
      </c>
      <c r="C45" s="85" t="s">
        <v>92</v>
      </c>
      <c r="D45" s="84" t="s">
        <v>80</v>
      </c>
      <c r="E45" s="84">
        <v>2</v>
      </c>
      <c r="F45" s="84">
        <v>2039</v>
      </c>
      <c r="G45" s="84">
        <v>2039</v>
      </c>
      <c r="H45">
        <v>2040</v>
      </c>
    </row>
    <row r="46" spans="1:8">
      <c r="A46" s="85" t="s">
        <v>165</v>
      </c>
      <c r="B46" s="85" t="s">
        <v>166</v>
      </c>
      <c r="C46" s="85" t="s">
        <v>83</v>
      </c>
      <c r="D46" s="84" t="s">
        <v>84</v>
      </c>
      <c r="E46" s="84">
        <v>3</v>
      </c>
      <c r="F46" s="84">
        <v>2036</v>
      </c>
      <c r="G46" s="84">
        <v>2036</v>
      </c>
      <c r="H46">
        <v>2031</v>
      </c>
    </row>
    <row r="47" spans="1:8">
      <c r="A47" s="85" t="s">
        <v>167</v>
      </c>
      <c r="B47" s="85" t="s">
        <v>168</v>
      </c>
      <c r="C47" s="85" t="s">
        <v>79</v>
      </c>
      <c r="D47" s="84" t="s">
        <v>87</v>
      </c>
      <c r="E47" s="84">
        <v>1</v>
      </c>
      <c r="F47" s="84">
        <v>2038</v>
      </c>
      <c r="G47" s="84">
        <v>2038</v>
      </c>
      <c r="H47">
        <v>2039</v>
      </c>
    </row>
    <row r="48" spans="1:8">
      <c r="A48" s="85" t="s">
        <v>169</v>
      </c>
      <c r="B48" s="85" t="s">
        <v>170</v>
      </c>
      <c r="C48" s="85" t="s">
        <v>92</v>
      </c>
      <c r="D48" s="84" t="s">
        <v>80</v>
      </c>
      <c r="E48" s="84">
        <v>1</v>
      </c>
      <c r="F48" s="84">
        <v>2040</v>
      </c>
      <c r="G48" s="84">
        <v>2040</v>
      </c>
      <c r="H48">
        <v>2039</v>
      </c>
    </row>
    <row r="49" spans="1:8">
      <c r="A49" s="85" t="s">
        <v>171</v>
      </c>
      <c r="B49" s="85" t="s">
        <v>172</v>
      </c>
      <c r="C49" s="85" t="s">
        <v>79</v>
      </c>
      <c r="D49" s="84" t="s">
        <v>87</v>
      </c>
      <c r="E49" s="84">
        <v>1</v>
      </c>
      <c r="F49" s="84">
        <v>2033</v>
      </c>
      <c r="G49" s="84">
        <v>2033</v>
      </c>
      <c r="H49">
        <v>2034</v>
      </c>
    </row>
    <row r="50" spans="1:8">
      <c r="A50" s="85" t="s">
        <v>173</v>
      </c>
      <c r="B50" s="85" t="s">
        <v>174</v>
      </c>
      <c r="C50" s="85" t="s">
        <v>79</v>
      </c>
      <c r="D50" s="84" t="s">
        <v>87</v>
      </c>
      <c r="E50" s="84">
        <v>1</v>
      </c>
      <c r="F50" s="84">
        <v>2032</v>
      </c>
      <c r="G50" s="84">
        <v>2032</v>
      </c>
      <c r="H50">
        <v>2034</v>
      </c>
    </row>
    <row r="51" spans="1:8">
      <c r="A51" s="85" t="s">
        <v>175</v>
      </c>
      <c r="B51" s="85" t="s">
        <v>176</v>
      </c>
      <c r="C51" s="85" t="s">
        <v>110</v>
      </c>
      <c r="D51" s="84" t="s">
        <v>75</v>
      </c>
      <c r="E51" s="84">
        <v>4</v>
      </c>
      <c r="F51" s="84">
        <v>2039</v>
      </c>
      <c r="G51" s="84">
        <v>2039</v>
      </c>
      <c r="H51">
        <v>2039</v>
      </c>
    </row>
    <row r="52" spans="1:8">
      <c r="A52" s="85" t="s">
        <v>177</v>
      </c>
      <c r="B52" s="85" t="s">
        <v>178</v>
      </c>
      <c r="C52" s="85" t="s">
        <v>83</v>
      </c>
      <c r="D52" s="84" t="s">
        <v>75</v>
      </c>
      <c r="E52" s="84" t="s">
        <v>76</v>
      </c>
      <c r="F52" s="84">
        <v>2032</v>
      </c>
      <c r="G52" s="84">
        <v>2033</v>
      </c>
      <c r="H52">
        <v>2030</v>
      </c>
    </row>
    <row r="53" spans="1:8">
      <c r="A53" s="85" t="s">
        <v>179</v>
      </c>
      <c r="B53" s="85" t="s">
        <v>180</v>
      </c>
      <c r="C53" s="85" t="s">
        <v>79</v>
      </c>
      <c r="D53" s="84" t="s">
        <v>87</v>
      </c>
      <c r="E53" s="84">
        <v>1</v>
      </c>
      <c r="F53" s="84">
        <v>2035</v>
      </c>
      <c r="G53" s="84">
        <v>2035</v>
      </c>
      <c r="H53">
        <v>2035</v>
      </c>
    </row>
    <row r="54" spans="1:8">
      <c r="A54" s="85" t="s">
        <v>181</v>
      </c>
      <c r="B54" s="85" t="s">
        <v>182</v>
      </c>
      <c r="C54" s="85" t="s">
        <v>74</v>
      </c>
      <c r="D54" s="84" t="s">
        <v>84</v>
      </c>
      <c r="E54" s="84">
        <v>3</v>
      </c>
      <c r="F54" s="84">
        <v>2040</v>
      </c>
      <c r="G54" s="84">
        <v>2040</v>
      </c>
      <c r="H54">
        <v>2037</v>
      </c>
    </row>
    <row r="55" spans="1:8">
      <c r="A55" s="85" t="s">
        <v>183</v>
      </c>
      <c r="B55" s="85" t="s">
        <v>184</v>
      </c>
      <c r="C55" s="85" t="s">
        <v>92</v>
      </c>
      <c r="D55" s="84" t="s">
        <v>80</v>
      </c>
      <c r="E55" s="84">
        <v>2</v>
      </c>
      <c r="F55" s="84">
        <v>2041</v>
      </c>
      <c r="G55" s="84">
        <v>2041</v>
      </c>
      <c r="H55">
        <v>2040</v>
      </c>
    </row>
    <row r="56" spans="1:8">
      <c r="A56" s="85" t="s">
        <v>185</v>
      </c>
      <c r="B56" s="85" t="s">
        <v>184</v>
      </c>
      <c r="C56" s="85" t="s">
        <v>92</v>
      </c>
      <c r="D56" s="84" t="s">
        <v>80</v>
      </c>
      <c r="E56" s="84">
        <v>2</v>
      </c>
      <c r="F56" s="84">
        <v>2041</v>
      </c>
      <c r="G56" s="84">
        <v>2041</v>
      </c>
      <c r="H56">
        <v>2041</v>
      </c>
    </row>
    <row r="57" spans="1:8">
      <c r="A57" s="85" t="s">
        <v>186</v>
      </c>
      <c r="B57" s="85" t="s">
        <v>187</v>
      </c>
      <c r="C57" s="85" t="s">
        <v>92</v>
      </c>
      <c r="D57" s="84" t="s">
        <v>80</v>
      </c>
      <c r="E57" s="84">
        <v>2</v>
      </c>
      <c r="F57" s="84">
        <v>2040</v>
      </c>
      <c r="G57" s="84">
        <v>2040</v>
      </c>
      <c r="H57">
        <v>2041</v>
      </c>
    </row>
    <row r="58" spans="1:8">
      <c r="A58" s="85" t="s">
        <v>188</v>
      </c>
      <c r="B58" s="85" t="s">
        <v>189</v>
      </c>
      <c r="C58" s="85" t="s">
        <v>74</v>
      </c>
      <c r="D58" s="84" t="s">
        <v>84</v>
      </c>
      <c r="E58" s="84">
        <v>2</v>
      </c>
      <c r="F58" s="84">
        <v>2038</v>
      </c>
      <c r="G58" s="84">
        <v>2038</v>
      </c>
      <c r="H58">
        <v>2035</v>
      </c>
    </row>
    <row r="59" spans="1:8">
      <c r="A59" s="85" t="s">
        <v>190</v>
      </c>
      <c r="B59" s="85" t="s">
        <v>191</v>
      </c>
      <c r="C59" s="85" t="s">
        <v>92</v>
      </c>
      <c r="D59" s="84" t="s">
        <v>84</v>
      </c>
      <c r="E59" s="84">
        <v>1</v>
      </c>
      <c r="F59" s="84">
        <v>2041</v>
      </c>
      <c r="G59" s="84">
        <v>2041</v>
      </c>
      <c r="H59">
        <v>2040</v>
      </c>
    </row>
    <row r="60" spans="1:8">
      <c r="A60" s="85" t="s">
        <v>192</v>
      </c>
      <c r="B60" s="85" t="s">
        <v>193</v>
      </c>
      <c r="C60" s="85" t="s">
        <v>83</v>
      </c>
      <c r="D60" s="84" t="s">
        <v>80</v>
      </c>
      <c r="E60" s="84">
        <v>3</v>
      </c>
      <c r="F60" s="84">
        <v>2035</v>
      </c>
      <c r="G60" s="84">
        <v>2035</v>
      </c>
      <c r="H60">
        <v>2036</v>
      </c>
    </row>
    <row r="61" spans="1:8">
      <c r="A61" s="85" t="s">
        <v>194</v>
      </c>
      <c r="B61" s="85" t="s">
        <v>195</v>
      </c>
      <c r="C61" s="85" t="s">
        <v>83</v>
      </c>
      <c r="D61" s="84" t="s">
        <v>75</v>
      </c>
      <c r="E61" s="84">
        <v>3</v>
      </c>
      <c r="F61" s="84">
        <v>2038</v>
      </c>
      <c r="G61" s="84">
        <v>2038</v>
      </c>
      <c r="H61">
        <v>2037</v>
      </c>
    </row>
    <row r="62" spans="1:8">
      <c r="A62" s="85" t="s">
        <v>196</v>
      </c>
      <c r="B62" s="85" t="s">
        <v>197</v>
      </c>
      <c r="C62" s="85" t="s">
        <v>79</v>
      </c>
      <c r="D62" s="84" t="s">
        <v>87</v>
      </c>
      <c r="E62" s="84">
        <v>1</v>
      </c>
      <c r="F62" s="84">
        <v>2038</v>
      </c>
      <c r="G62" s="84">
        <v>2038</v>
      </c>
      <c r="H62">
        <v>2040</v>
      </c>
    </row>
    <row r="63" spans="1:8">
      <c r="A63" s="85" t="s">
        <v>198</v>
      </c>
      <c r="B63" s="85" t="s">
        <v>199</v>
      </c>
      <c r="C63" s="85" t="s">
        <v>83</v>
      </c>
      <c r="D63" s="84" t="s">
        <v>75</v>
      </c>
      <c r="E63" s="84" t="s">
        <v>76</v>
      </c>
      <c r="F63" s="84">
        <v>2033</v>
      </c>
      <c r="G63" s="84">
        <v>2033</v>
      </c>
      <c r="H63">
        <v>2033</v>
      </c>
    </row>
    <row r="64" spans="1:8">
      <c r="A64" s="85" t="s">
        <v>200</v>
      </c>
      <c r="B64" s="85" t="s">
        <v>201</v>
      </c>
      <c r="C64" s="85" t="s">
        <v>99</v>
      </c>
      <c r="D64" s="84" t="s">
        <v>80</v>
      </c>
      <c r="E64" s="84">
        <v>4</v>
      </c>
      <c r="F64" s="84">
        <v>2034</v>
      </c>
      <c r="G64" s="84">
        <v>2034</v>
      </c>
      <c r="H64">
        <v>2036</v>
      </c>
    </row>
    <row r="65" spans="1:8">
      <c r="A65" s="85" t="s">
        <v>202</v>
      </c>
      <c r="B65" s="85" t="s">
        <v>203</v>
      </c>
      <c r="C65" s="85" t="s">
        <v>79</v>
      </c>
      <c r="D65" s="84" t="s">
        <v>87</v>
      </c>
      <c r="E65" s="84">
        <v>1</v>
      </c>
      <c r="F65" s="84">
        <v>2035</v>
      </c>
      <c r="G65" s="84">
        <v>2035</v>
      </c>
      <c r="H65">
        <v>2039</v>
      </c>
    </row>
    <row r="66" spans="1:8">
      <c r="A66" s="85" t="s">
        <v>204</v>
      </c>
      <c r="B66" s="85" t="s">
        <v>205</v>
      </c>
      <c r="C66" s="85" t="s">
        <v>79</v>
      </c>
      <c r="D66" s="84" t="s">
        <v>87</v>
      </c>
      <c r="E66" s="84">
        <v>1</v>
      </c>
      <c r="F66" s="84">
        <v>2030</v>
      </c>
      <c r="G66" s="84">
        <v>2030</v>
      </c>
      <c r="H66">
        <v>2034</v>
      </c>
    </row>
    <row r="67" spans="1:8">
      <c r="A67" s="85" t="s">
        <v>206</v>
      </c>
      <c r="B67" s="85" t="s">
        <v>207</v>
      </c>
      <c r="C67" s="85" t="s">
        <v>83</v>
      </c>
      <c r="D67" s="84" t="s">
        <v>80</v>
      </c>
      <c r="E67" s="84">
        <v>3</v>
      </c>
      <c r="F67" s="84">
        <v>2035</v>
      </c>
      <c r="G67" s="84">
        <v>2035</v>
      </c>
      <c r="H67">
        <v>2036</v>
      </c>
    </row>
    <row r="68" spans="1:8">
      <c r="A68" s="85" t="s">
        <v>208</v>
      </c>
      <c r="B68" s="85" t="s">
        <v>209</v>
      </c>
      <c r="C68" s="85" t="s">
        <v>83</v>
      </c>
      <c r="D68" s="84" t="s">
        <v>75</v>
      </c>
      <c r="E68" s="84">
        <v>3</v>
      </c>
      <c r="F68" s="84">
        <v>2035</v>
      </c>
      <c r="G68" s="84">
        <v>2035</v>
      </c>
      <c r="H68">
        <v>2036</v>
      </c>
    </row>
    <row r="69" spans="1:8">
      <c r="A69" s="85" t="s">
        <v>210</v>
      </c>
      <c r="B69" s="85" t="s">
        <v>211</v>
      </c>
      <c r="C69" s="85" t="s">
        <v>79</v>
      </c>
      <c r="D69" s="84" t="s">
        <v>80</v>
      </c>
      <c r="E69" s="84">
        <v>1</v>
      </c>
      <c r="F69" s="84">
        <v>2037</v>
      </c>
      <c r="G69" s="84">
        <v>2037</v>
      </c>
      <c r="H69">
        <v>2034</v>
      </c>
    </row>
    <row r="70" spans="1:8">
      <c r="A70" s="85" t="s">
        <v>212</v>
      </c>
      <c r="B70" s="85" t="s">
        <v>213</v>
      </c>
      <c r="C70" s="85" t="s">
        <v>79</v>
      </c>
      <c r="D70" s="84" t="s">
        <v>87</v>
      </c>
      <c r="E70" s="84">
        <v>1</v>
      </c>
      <c r="F70" s="84">
        <v>2030</v>
      </c>
      <c r="G70" s="84">
        <v>2030</v>
      </c>
      <c r="H70">
        <v>2035</v>
      </c>
    </row>
    <row r="71" spans="1:8">
      <c r="A71" s="85" t="s">
        <v>214</v>
      </c>
      <c r="B71" s="85" t="s">
        <v>215</v>
      </c>
      <c r="C71" s="85" t="s">
        <v>83</v>
      </c>
      <c r="D71" s="84" t="s">
        <v>84</v>
      </c>
      <c r="E71" s="84">
        <v>3</v>
      </c>
      <c r="F71" s="84">
        <v>2032</v>
      </c>
      <c r="G71" s="84">
        <v>2033</v>
      </c>
      <c r="H71">
        <v>2032</v>
      </c>
    </row>
    <row r="72" spans="1:8">
      <c r="A72" s="85" t="s">
        <v>216</v>
      </c>
      <c r="B72" s="85" t="s">
        <v>217</v>
      </c>
      <c r="C72" s="85" t="s">
        <v>79</v>
      </c>
      <c r="D72" s="84" t="s">
        <v>87</v>
      </c>
      <c r="E72" s="84">
        <v>1</v>
      </c>
      <c r="F72" s="84">
        <v>2031</v>
      </c>
      <c r="G72" s="84">
        <v>2032</v>
      </c>
      <c r="H72">
        <v>2032</v>
      </c>
    </row>
    <row r="73" spans="1:8">
      <c r="A73" s="85" t="s">
        <v>218</v>
      </c>
      <c r="B73" s="85" t="s">
        <v>219</v>
      </c>
      <c r="C73" s="85" t="s">
        <v>92</v>
      </c>
      <c r="D73" s="84" t="s">
        <v>80</v>
      </c>
      <c r="E73" s="84">
        <v>1</v>
      </c>
      <c r="F73" s="84">
        <v>2041</v>
      </c>
      <c r="G73" s="84">
        <v>2041</v>
      </c>
      <c r="H73">
        <v>2040</v>
      </c>
    </row>
    <row r="74" spans="1:8">
      <c r="A74" s="85" t="s">
        <v>220</v>
      </c>
      <c r="B74" s="85" t="s">
        <v>221</v>
      </c>
      <c r="C74" s="85" t="s">
        <v>92</v>
      </c>
      <c r="D74" s="84" t="s">
        <v>80</v>
      </c>
      <c r="E74" s="84">
        <v>1</v>
      </c>
      <c r="F74" s="84">
        <v>2040</v>
      </c>
      <c r="G74" s="84">
        <v>2040</v>
      </c>
      <c r="H74">
        <v>2041</v>
      </c>
    </row>
    <row r="75" spans="1:8">
      <c r="A75" s="85" t="s">
        <v>222</v>
      </c>
      <c r="B75" s="85" t="s">
        <v>223</v>
      </c>
      <c r="C75" s="85" t="s">
        <v>83</v>
      </c>
      <c r="D75" s="84" t="s">
        <v>75</v>
      </c>
      <c r="E75" s="84">
        <v>3</v>
      </c>
      <c r="F75" s="84">
        <v>2034</v>
      </c>
      <c r="G75" s="84">
        <v>2034</v>
      </c>
      <c r="H75">
        <v>2031</v>
      </c>
    </row>
    <row r="76" spans="1:8">
      <c r="A76" s="85" t="s">
        <v>224</v>
      </c>
      <c r="B76" s="85" t="s">
        <v>225</v>
      </c>
      <c r="C76" s="85" t="s">
        <v>83</v>
      </c>
      <c r="D76" s="84" t="s">
        <v>75</v>
      </c>
      <c r="E76" s="84">
        <v>3</v>
      </c>
      <c r="F76" s="84">
        <v>2038</v>
      </c>
      <c r="G76" s="84">
        <v>2038</v>
      </c>
      <c r="H76">
        <v>2036</v>
      </c>
    </row>
    <row r="77" spans="1:8">
      <c r="A77" s="85" t="s">
        <v>226</v>
      </c>
      <c r="B77" s="85" t="s">
        <v>227</v>
      </c>
      <c r="C77" s="85" t="s">
        <v>92</v>
      </c>
      <c r="D77" s="84" t="s">
        <v>80</v>
      </c>
      <c r="E77" s="84">
        <v>2</v>
      </c>
      <c r="F77" s="84">
        <v>2039</v>
      </c>
      <c r="G77" s="84">
        <v>2039</v>
      </c>
      <c r="H77">
        <v>2041</v>
      </c>
    </row>
    <row r="78" spans="1:8">
      <c r="A78" s="85" t="s">
        <v>228</v>
      </c>
      <c r="B78" s="85" t="s">
        <v>229</v>
      </c>
      <c r="C78" s="85" t="s">
        <v>92</v>
      </c>
      <c r="D78" s="84" t="s">
        <v>75</v>
      </c>
      <c r="E78" s="84">
        <v>2</v>
      </c>
      <c r="F78" s="84">
        <v>2042</v>
      </c>
      <c r="G78" s="84">
        <v>2042</v>
      </c>
      <c r="H78">
        <v>2041</v>
      </c>
    </row>
    <row r="79" spans="1:8">
      <c r="A79" s="85" t="s">
        <v>230</v>
      </c>
      <c r="B79" s="85" t="s">
        <v>231</v>
      </c>
      <c r="C79" s="85" t="s">
        <v>92</v>
      </c>
      <c r="D79" s="84" t="s">
        <v>84</v>
      </c>
      <c r="E79" s="84">
        <v>1</v>
      </c>
      <c r="F79" s="84">
        <v>2041</v>
      </c>
      <c r="G79" s="84">
        <v>2041</v>
      </c>
      <c r="H79">
        <v>2040</v>
      </c>
    </row>
    <row r="80" spans="1:8">
      <c r="A80" s="85" t="s">
        <v>232</v>
      </c>
      <c r="B80" s="85" t="s">
        <v>233</v>
      </c>
      <c r="C80" s="85" t="s">
        <v>79</v>
      </c>
      <c r="D80" s="84" t="s">
        <v>87</v>
      </c>
      <c r="E80" s="84">
        <v>1</v>
      </c>
      <c r="F80" s="84">
        <v>2036</v>
      </c>
      <c r="G80" s="84">
        <v>2036</v>
      </c>
      <c r="H80">
        <v>2037</v>
      </c>
    </row>
    <row r="81" spans="1:8">
      <c r="A81" s="85" t="s">
        <v>234</v>
      </c>
      <c r="B81" s="85" t="s">
        <v>235</v>
      </c>
      <c r="C81" s="85" t="s">
        <v>79</v>
      </c>
      <c r="D81" s="84" t="s">
        <v>87</v>
      </c>
      <c r="E81" s="84">
        <v>1</v>
      </c>
      <c r="F81" s="84">
        <v>2035</v>
      </c>
      <c r="G81" s="84">
        <v>2035</v>
      </c>
      <c r="H81">
        <v>2036</v>
      </c>
    </row>
    <row r="82" spans="1:8">
      <c r="A82" s="85" t="s">
        <v>236</v>
      </c>
      <c r="B82" s="85" t="s">
        <v>237</v>
      </c>
      <c r="C82" s="85" t="s">
        <v>110</v>
      </c>
      <c r="D82" s="84" t="s">
        <v>84</v>
      </c>
      <c r="E82" s="84" t="s">
        <v>76</v>
      </c>
      <c r="F82" s="84">
        <v>2035</v>
      </c>
      <c r="G82" s="84">
        <v>2035</v>
      </c>
      <c r="H82">
        <v>2030</v>
      </c>
    </row>
    <row r="83" spans="1:8">
      <c r="A83" s="85" t="s">
        <v>238</v>
      </c>
      <c r="B83" s="85" t="s">
        <v>239</v>
      </c>
      <c r="C83" s="85" t="s">
        <v>110</v>
      </c>
      <c r="D83" s="84" t="s">
        <v>80</v>
      </c>
      <c r="E83" s="84" t="s">
        <v>76</v>
      </c>
      <c r="F83" s="84">
        <v>2033</v>
      </c>
      <c r="G83" s="84">
        <v>2033</v>
      </c>
      <c r="H83">
        <v>2030</v>
      </c>
    </row>
    <row r="84" spans="1:8">
      <c r="A84" s="85" t="s">
        <v>240</v>
      </c>
      <c r="B84" s="85" t="s">
        <v>241</v>
      </c>
      <c r="C84" s="85" t="s">
        <v>74</v>
      </c>
      <c r="D84" s="84" t="s">
        <v>80</v>
      </c>
      <c r="E84" s="84">
        <v>2</v>
      </c>
      <c r="F84" s="84">
        <v>2036</v>
      </c>
      <c r="G84" s="84">
        <v>2036</v>
      </c>
      <c r="H84">
        <v>2035</v>
      </c>
    </row>
    <row r="85" spans="1:8">
      <c r="A85" s="85" t="s">
        <v>242</v>
      </c>
      <c r="B85" s="85" t="s">
        <v>243</v>
      </c>
      <c r="C85" s="85" t="s">
        <v>74</v>
      </c>
      <c r="D85" s="84" t="s">
        <v>80</v>
      </c>
      <c r="E85" s="84">
        <v>2</v>
      </c>
      <c r="F85" s="84">
        <v>2030</v>
      </c>
      <c r="G85" s="84">
        <v>2030</v>
      </c>
      <c r="H85">
        <v>2031</v>
      </c>
    </row>
    <row r="86" spans="1:8">
      <c r="A86" s="85" t="s">
        <v>244</v>
      </c>
      <c r="B86" s="85" t="s">
        <v>245</v>
      </c>
      <c r="C86" s="85" t="s">
        <v>79</v>
      </c>
      <c r="D86" s="84" t="s">
        <v>87</v>
      </c>
      <c r="E86" s="84">
        <v>1</v>
      </c>
      <c r="F86" s="84">
        <v>2030</v>
      </c>
      <c r="G86" s="84">
        <v>2030</v>
      </c>
      <c r="H86">
        <v>2032</v>
      </c>
    </row>
    <row r="87" spans="1:8">
      <c r="A87" s="85" t="s">
        <v>246</v>
      </c>
      <c r="B87" s="85" t="s">
        <v>247</v>
      </c>
      <c r="C87" s="85" t="s">
        <v>79</v>
      </c>
      <c r="D87" s="84" t="s">
        <v>87</v>
      </c>
      <c r="E87" s="84">
        <v>1</v>
      </c>
      <c r="F87" s="84">
        <v>2031</v>
      </c>
      <c r="G87" s="84">
        <v>2032</v>
      </c>
      <c r="H87">
        <v>2033</v>
      </c>
    </row>
    <row r="88" spans="1:8">
      <c r="A88" s="85" t="s">
        <v>248</v>
      </c>
      <c r="B88" s="85" t="s">
        <v>249</v>
      </c>
      <c r="C88" s="85" t="s">
        <v>79</v>
      </c>
      <c r="D88" s="84" t="s">
        <v>87</v>
      </c>
      <c r="E88" s="84">
        <v>1</v>
      </c>
      <c r="F88" s="84">
        <v>2030</v>
      </c>
      <c r="G88" s="84">
        <v>2032</v>
      </c>
      <c r="H88">
        <v>2031</v>
      </c>
    </row>
    <row r="89" spans="1:8">
      <c r="A89" s="85" t="s">
        <v>250</v>
      </c>
      <c r="B89" s="85" t="s">
        <v>251</v>
      </c>
      <c r="C89" s="85" t="s">
        <v>92</v>
      </c>
      <c r="D89" s="84" t="s">
        <v>80</v>
      </c>
      <c r="E89" s="84">
        <v>1</v>
      </c>
      <c r="F89" s="84">
        <v>2041</v>
      </c>
      <c r="G89" s="84">
        <v>2041</v>
      </c>
      <c r="H89">
        <v>2041</v>
      </c>
    </row>
    <row r="90" spans="1:8">
      <c r="A90" s="85" t="s">
        <v>252</v>
      </c>
      <c r="B90" s="85" t="s">
        <v>253</v>
      </c>
      <c r="C90" s="85" t="s">
        <v>99</v>
      </c>
      <c r="D90" s="84" t="s">
        <v>87</v>
      </c>
      <c r="E90" s="84">
        <v>4</v>
      </c>
      <c r="F90" s="84">
        <v>2031</v>
      </c>
      <c r="G90" s="84">
        <v>2031</v>
      </c>
      <c r="H90">
        <v>2031</v>
      </c>
    </row>
    <row r="91" spans="1:8">
      <c r="A91" s="85" t="s">
        <v>254</v>
      </c>
      <c r="B91" s="85" t="s">
        <v>255</v>
      </c>
      <c r="C91" s="85" t="s">
        <v>74</v>
      </c>
      <c r="D91" s="84" t="s">
        <v>80</v>
      </c>
      <c r="E91" s="84">
        <v>2</v>
      </c>
      <c r="F91" s="84">
        <v>2034</v>
      </c>
      <c r="G91" s="84">
        <v>2034</v>
      </c>
      <c r="H91">
        <v>2035</v>
      </c>
    </row>
    <row r="92" spans="1:8">
      <c r="A92" s="85" t="s">
        <v>256</v>
      </c>
      <c r="B92" s="85" t="s">
        <v>257</v>
      </c>
      <c r="C92" s="85" t="s">
        <v>79</v>
      </c>
      <c r="D92" s="84" t="s">
        <v>80</v>
      </c>
      <c r="E92" s="84">
        <v>2</v>
      </c>
      <c r="F92" s="84">
        <v>2034</v>
      </c>
      <c r="G92" s="84">
        <v>2034</v>
      </c>
      <c r="H92">
        <v>2037</v>
      </c>
    </row>
    <row r="93" spans="1:8">
      <c r="A93" s="85" t="s">
        <v>258</v>
      </c>
      <c r="B93" s="85" t="s">
        <v>259</v>
      </c>
      <c r="C93" s="85" t="s">
        <v>83</v>
      </c>
      <c r="D93" s="84" t="s">
        <v>84</v>
      </c>
      <c r="E93" s="84">
        <v>3</v>
      </c>
      <c r="F93" s="84">
        <v>2036</v>
      </c>
      <c r="G93" s="84">
        <v>2036</v>
      </c>
      <c r="H93">
        <v>2032</v>
      </c>
    </row>
    <row r="94" spans="1:8">
      <c r="A94" s="85" t="s">
        <v>260</v>
      </c>
      <c r="B94" s="85" t="s">
        <v>261</v>
      </c>
      <c r="C94" s="85" t="s">
        <v>99</v>
      </c>
      <c r="D94" s="84" t="s">
        <v>84</v>
      </c>
      <c r="E94" s="84">
        <v>4</v>
      </c>
      <c r="F94" s="84">
        <v>2040</v>
      </c>
      <c r="G94" s="84">
        <v>2040</v>
      </c>
      <c r="H94">
        <v>2039</v>
      </c>
    </row>
    <row r="95" spans="1:8">
      <c r="A95" s="85" t="s">
        <v>262</v>
      </c>
      <c r="B95" s="85" t="s">
        <v>263</v>
      </c>
      <c r="C95" s="85" t="s">
        <v>99</v>
      </c>
      <c r="D95" s="84" t="s">
        <v>87</v>
      </c>
      <c r="E95" s="84">
        <v>1</v>
      </c>
      <c r="F95" s="84">
        <v>2037</v>
      </c>
      <c r="G95" s="84">
        <v>2037</v>
      </c>
      <c r="H95">
        <v>2038</v>
      </c>
    </row>
    <row r="96" spans="1:8">
      <c r="A96" s="85" t="s">
        <v>264</v>
      </c>
      <c r="B96" s="85" t="s">
        <v>265</v>
      </c>
      <c r="C96" s="85" t="s">
        <v>74</v>
      </c>
      <c r="D96" s="84" t="s">
        <v>87</v>
      </c>
      <c r="E96" s="84">
        <v>1</v>
      </c>
      <c r="F96" s="84">
        <v>2036</v>
      </c>
      <c r="G96" s="84">
        <v>2036</v>
      </c>
      <c r="H96">
        <v>2038</v>
      </c>
    </row>
    <row r="97" spans="1:8">
      <c r="A97" s="85" t="s">
        <v>266</v>
      </c>
      <c r="B97" s="85" t="s">
        <v>267</v>
      </c>
      <c r="C97" s="85" t="s">
        <v>79</v>
      </c>
      <c r="D97" s="84" t="s">
        <v>84</v>
      </c>
      <c r="E97" s="84">
        <v>1</v>
      </c>
      <c r="F97" s="84">
        <v>2036</v>
      </c>
      <c r="G97" s="84">
        <v>2036</v>
      </c>
      <c r="H97">
        <v>2033</v>
      </c>
    </row>
    <row r="98" spans="1:8">
      <c r="A98" s="85" t="s">
        <v>268</v>
      </c>
      <c r="B98" s="85" t="s">
        <v>269</v>
      </c>
      <c r="C98" s="85" t="s">
        <v>99</v>
      </c>
      <c r="D98" s="84" t="s">
        <v>84</v>
      </c>
      <c r="E98" s="84">
        <v>4</v>
      </c>
      <c r="F98" s="84">
        <v>2033</v>
      </c>
      <c r="G98" s="84">
        <v>2033</v>
      </c>
      <c r="H98">
        <v>2031</v>
      </c>
    </row>
    <row r="99" spans="1:8">
      <c r="A99" s="85" t="s">
        <v>270</v>
      </c>
      <c r="B99" s="85" t="s">
        <v>271</v>
      </c>
      <c r="C99" s="85" t="s">
        <v>79</v>
      </c>
      <c r="D99" s="84" t="s">
        <v>87</v>
      </c>
      <c r="E99" s="84">
        <v>1</v>
      </c>
      <c r="F99" s="84">
        <v>2035</v>
      </c>
      <c r="G99" s="84">
        <v>2035</v>
      </c>
      <c r="H99">
        <v>2035</v>
      </c>
    </row>
    <row r="100" spans="1:8">
      <c r="A100" s="85" t="s">
        <v>272</v>
      </c>
      <c r="B100" s="85" t="s">
        <v>273</v>
      </c>
      <c r="C100" s="85" t="s">
        <v>74</v>
      </c>
      <c r="D100" s="84" t="s">
        <v>80</v>
      </c>
      <c r="E100" s="84">
        <v>2</v>
      </c>
      <c r="F100" s="84">
        <v>2034</v>
      </c>
      <c r="G100" s="84">
        <v>2034</v>
      </c>
      <c r="H100">
        <v>2034</v>
      </c>
    </row>
    <row r="101" spans="1:8">
      <c r="A101" s="85" t="s">
        <v>274</v>
      </c>
      <c r="B101" s="85" t="s">
        <v>275</v>
      </c>
      <c r="C101" s="85" t="s">
        <v>83</v>
      </c>
      <c r="D101" s="84" t="s">
        <v>84</v>
      </c>
      <c r="E101" s="84">
        <v>3</v>
      </c>
      <c r="F101" s="84">
        <v>2038</v>
      </c>
      <c r="G101" s="84">
        <v>2038</v>
      </c>
      <c r="H101">
        <v>2034</v>
      </c>
    </row>
    <row r="102" spans="1:8">
      <c r="A102" s="85" t="s">
        <v>276</v>
      </c>
      <c r="B102" s="85" t="s">
        <v>277</v>
      </c>
      <c r="C102" s="85" t="s">
        <v>83</v>
      </c>
      <c r="D102" s="84" t="s">
        <v>75</v>
      </c>
      <c r="E102" s="84">
        <v>3</v>
      </c>
      <c r="F102" s="84">
        <v>2031</v>
      </c>
      <c r="G102" s="84">
        <v>2031</v>
      </c>
      <c r="H102">
        <v>2030</v>
      </c>
    </row>
    <row r="103" spans="1:8">
      <c r="A103" s="85" t="s">
        <v>278</v>
      </c>
      <c r="B103" s="85" t="s">
        <v>279</v>
      </c>
      <c r="C103" s="85" t="s">
        <v>74</v>
      </c>
      <c r="D103" s="84" t="s">
        <v>80</v>
      </c>
      <c r="E103" s="84">
        <v>2</v>
      </c>
      <c r="F103" s="84">
        <v>2036</v>
      </c>
      <c r="G103" s="84">
        <v>2036</v>
      </c>
      <c r="H103">
        <v>2035</v>
      </c>
    </row>
    <row r="104" spans="1:8">
      <c r="A104" s="85" t="s">
        <v>280</v>
      </c>
      <c r="B104" s="85" t="s">
        <v>281</v>
      </c>
      <c r="C104" s="85" t="s">
        <v>79</v>
      </c>
      <c r="D104" s="84" t="s">
        <v>87</v>
      </c>
      <c r="E104" s="84">
        <v>1</v>
      </c>
      <c r="F104" s="84">
        <v>2036</v>
      </c>
      <c r="G104" s="84">
        <v>2036</v>
      </c>
      <c r="H104">
        <v>2037</v>
      </c>
    </row>
    <row r="105" spans="1:8">
      <c r="A105" s="85" t="s">
        <v>282</v>
      </c>
      <c r="B105" s="85" t="s">
        <v>283</v>
      </c>
      <c r="C105" s="85" t="s">
        <v>79</v>
      </c>
      <c r="D105" s="84" t="s">
        <v>87</v>
      </c>
      <c r="E105" s="84">
        <v>1</v>
      </c>
      <c r="F105" s="84">
        <v>2030</v>
      </c>
      <c r="G105" s="84">
        <v>2032</v>
      </c>
      <c r="H105">
        <v>2032</v>
      </c>
    </row>
    <row r="106" spans="1:8">
      <c r="A106" s="85" t="s">
        <v>284</v>
      </c>
      <c r="B106" s="85" t="s">
        <v>285</v>
      </c>
      <c r="C106" s="85" t="s">
        <v>79</v>
      </c>
      <c r="D106" s="84" t="s">
        <v>80</v>
      </c>
      <c r="E106" s="84">
        <v>1</v>
      </c>
      <c r="F106" s="84">
        <v>2031</v>
      </c>
      <c r="G106" s="84">
        <v>2032</v>
      </c>
      <c r="H106">
        <v>2030</v>
      </c>
    </row>
    <row r="107" spans="1:8">
      <c r="A107" s="85" t="s">
        <v>286</v>
      </c>
      <c r="B107" s="85" t="s">
        <v>287</v>
      </c>
      <c r="C107" s="85" t="s">
        <v>83</v>
      </c>
      <c r="D107" s="84" t="s">
        <v>75</v>
      </c>
      <c r="E107" s="84">
        <v>3</v>
      </c>
      <c r="F107" s="84">
        <v>2031</v>
      </c>
      <c r="G107" s="84">
        <v>2031</v>
      </c>
      <c r="H107">
        <v>2031</v>
      </c>
    </row>
    <row r="108" spans="1:8">
      <c r="A108" s="85" t="s">
        <v>288</v>
      </c>
      <c r="B108" s="85" t="s">
        <v>289</v>
      </c>
      <c r="C108" s="85" t="s">
        <v>83</v>
      </c>
      <c r="D108" s="84" t="s">
        <v>75</v>
      </c>
      <c r="E108" s="84">
        <v>3</v>
      </c>
      <c r="F108" s="84">
        <v>2032</v>
      </c>
      <c r="G108" s="84">
        <v>2033</v>
      </c>
      <c r="H108">
        <v>2030</v>
      </c>
    </row>
    <row r="109" spans="1:8">
      <c r="A109" s="85" t="s">
        <v>290</v>
      </c>
      <c r="B109" s="85" t="s">
        <v>291</v>
      </c>
      <c r="C109" s="85" t="s">
        <v>99</v>
      </c>
      <c r="D109" s="84" t="s">
        <v>80</v>
      </c>
      <c r="E109" s="84">
        <v>2</v>
      </c>
      <c r="F109" s="84">
        <v>2031</v>
      </c>
      <c r="G109" s="84">
        <v>2031</v>
      </c>
      <c r="H109">
        <v>2030</v>
      </c>
    </row>
    <row r="110" spans="1:8">
      <c r="A110" s="85" t="s">
        <v>292</v>
      </c>
      <c r="B110" s="85" t="s">
        <v>293</v>
      </c>
      <c r="C110" s="85" t="s">
        <v>110</v>
      </c>
      <c r="D110" s="84" t="s">
        <v>80</v>
      </c>
      <c r="E110" s="84">
        <v>2</v>
      </c>
      <c r="F110" s="84">
        <v>2038</v>
      </c>
      <c r="G110" s="84">
        <v>2038</v>
      </c>
      <c r="H110">
        <v>2036</v>
      </c>
    </row>
    <row r="111" spans="1:8">
      <c r="A111" s="85" t="s">
        <v>294</v>
      </c>
      <c r="B111" s="85" t="s">
        <v>295</v>
      </c>
      <c r="C111" s="85" t="s">
        <v>83</v>
      </c>
      <c r="D111" s="84" t="s">
        <v>75</v>
      </c>
      <c r="E111" s="84">
        <v>3</v>
      </c>
      <c r="F111" s="84">
        <v>2033</v>
      </c>
      <c r="G111" s="84">
        <v>2033</v>
      </c>
      <c r="H111">
        <v>2030</v>
      </c>
    </row>
    <row r="112" spans="1:8">
      <c r="A112" s="85" t="s">
        <v>296</v>
      </c>
      <c r="B112" s="85" t="s">
        <v>297</v>
      </c>
      <c r="C112" s="85" t="s">
        <v>79</v>
      </c>
      <c r="D112" s="84" t="s">
        <v>87</v>
      </c>
      <c r="E112" s="84">
        <v>1</v>
      </c>
      <c r="F112" s="84">
        <v>2035</v>
      </c>
      <c r="G112" s="84">
        <v>2035</v>
      </c>
      <c r="H112">
        <v>2039</v>
      </c>
    </row>
    <row r="113" spans="1:8">
      <c r="A113" s="85" t="s">
        <v>298</v>
      </c>
      <c r="B113" s="85" t="s">
        <v>299</v>
      </c>
      <c r="C113" s="85" t="s">
        <v>99</v>
      </c>
      <c r="D113" s="84" t="s">
        <v>80</v>
      </c>
      <c r="E113" s="84">
        <v>1</v>
      </c>
      <c r="F113" s="84">
        <v>2037</v>
      </c>
      <c r="G113" s="84">
        <v>2037</v>
      </c>
      <c r="H113">
        <v>2035</v>
      </c>
    </row>
    <row r="114" spans="1:8">
      <c r="A114" s="85" t="s">
        <v>300</v>
      </c>
      <c r="B114" s="85" t="s">
        <v>301</v>
      </c>
      <c r="C114" s="85" t="s">
        <v>83</v>
      </c>
      <c r="D114" s="84" t="s">
        <v>84</v>
      </c>
      <c r="E114" s="84">
        <v>3</v>
      </c>
      <c r="F114" s="84">
        <v>2038</v>
      </c>
      <c r="G114" s="84">
        <v>2038</v>
      </c>
      <c r="H114">
        <v>2033</v>
      </c>
    </row>
    <row r="115" spans="1:8">
      <c r="A115" s="85" t="s">
        <v>302</v>
      </c>
      <c r="B115" s="85" t="s">
        <v>303</v>
      </c>
      <c r="C115" s="85" t="s">
        <v>83</v>
      </c>
      <c r="D115" s="84" t="s">
        <v>87</v>
      </c>
      <c r="E115" s="84">
        <v>1</v>
      </c>
      <c r="F115" s="84">
        <v>2038</v>
      </c>
      <c r="G115" s="84">
        <v>2038</v>
      </c>
      <c r="H115">
        <v>2040</v>
      </c>
    </row>
    <row r="116" spans="1:8">
      <c r="A116" s="85" t="s">
        <v>304</v>
      </c>
      <c r="B116" s="85" t="s">
        <v>305</v>
      </c>
      <c r="C116" s="85" t="s">
        <v>92</v>
      </c>
      <c r="D116" s="84" t="s">
        <v>80</v>
      </c>
      <c r="E116" s="84">
        <v>2</v>
      </c>
      <c r="F116" s="84">
        <v>2038</v>
      </c>
      <c r="G116" s="84">
        <v>2038</v>
      </c>
      <c r="H116">
        <v>2038</v>
      </c>
    </row>
    <row r="117" spans="1:8">
      <c r="A117" s="85" t="s">
        <v>306</v>
      </c>
      <c r="B117" s="85" t="s">
        <v>307</v>
      </c>
      <c r="C117" s="85" t="s">
        <v>99</v>
      </c>
      <c r="D117" s="84" t="s">
        <v>84</v>
      </c>
      <c r="E117" s="84">
        <v>1</v>
      </c>
      <c r="F117" s="84">
        <v>2038</v>
      </c>
      <c r="G117" s="84">
        <v>2038</v>
      </c>
      <c r="H117">
        <v>2036</v>
      </c>
    </row>
    <row r="118" spans="1:8">
      <c r="A118" s="85" t="s">
        <v>308</v>
      </c>
      <c r="B118" s="85" t="s">
        <v>309</v>
      </c>
      <c r="C118" s="85" t="s">
        <v>79</v>
      </c>
      <c r="D118" s="84" t="s">
        <v>84</v>
      </c>
      <c r="E118" s="84">
        <v>1</v>
      </c>
      <c r="F118" s="84">
        <v>2041</v>
      </c>
      <c r="G118" s="84">
        <v>2041</v>
      </c>
      <c r="H118">
        <v>2041</v>
      </c>
    </row>
    <row r="119" spans="1:8">
      <c r="A119" s="85" t="s">
        <v>310</v>
      </c>
      <c r="B119" s="85" t="s">
        <v>311</v>
      </c>
      <c r="C119" s="85" t="s">
        <v>79</v>
      </c>
      <c r="D119" s="84" t="s">
        <v>87</v>
      </c>
      <c r="E119" s="84">
        <v>1</v>
      </c>
      <c r="F119" s="84">
        <v>2039</v>
      </c>
      <c r="G119" s="84">
        <v>2039</v>
      </c>
      <c r="H119">
        <v>2041</v>
      </c>
    </row>
    <row r="120" spans="1:8">
      <c r="A120" s="85" t="s">
        <v>312</v>
      </c>
      <c r="B120" s="85" t="s">
        <v>313</v>
      </c>
      <c r="C120" s="85" t="s">
        <v>99</v>
      </c>
      <c r="D120" s="84" t="s">
        <v>84</v>
      </c>
      <c r="E120" s="84">
        <v>2</v>
      </c>
      <c r="F120" s="84">
        <v>2041</v>
      </c>
      <c r="G120" s="84">
        <v>2041</v>
      </c>
      <c r="H120">
        <v>2039</v>
      </c>
    </row>
    <row r="121" spans="1:8">
      <c r="A121" s="85" t="s">
        <v>314</v>
      </c>
      <c r="B121" s="85" t="s">
        <v>315</v>
      </c>
      <c r="C121" s="85" t="s">
        <v>79</v>
      </c>
      <c r="D121" s="84" t="s">
        <v>80</v>
      </c>
      <c r="E121" s="84">
        <v>1</v>
      </c>
      <c r="F121" s="84">
        <v>2041</v>
      </c>
      <c r="G121" s="84">
        <v>2041</v>
      </c>
      <c r="H121">
        <v>2041</v>
      </c>
    </row>
    <row r="122" spans="1:8">
      <c r="A122" s="85" t="s">
        <v>316</v>
      </c>
      <c r="B122" s="85" t="s">
        <v>317</v>
      </c>
      <c r="C122" s="85" t="s">
        <v>74</v>
      </c>
      <c r="D122" s="84" t="s">
        <v>84</v>
      </c>
      <c r="E122" s="84">
        <v>3</v>
      </c>
      <c r="F122" s="84">
        <v>2033</v>
      </c>
      <c r="G122" s="84">
        <v>2034</v>
      </c>
      <c r="H122">
        <v>2034</v>
      </c>
    </row>
    <row r="123" spans="1:8">
      <c r="A123" s="85" t="s">
        <v>318</v>
      </c>
      <c r="B123" s="85" t="s">
        <v>319</v>
      </c>
      <c r="C123" s="85" t="s">
        <v>83</v>
      </c>
      <c r="D123" s="84" t="s">
        <v>75</v>
      </c>
      <c r="E123" s="84" t="s">
        <v>76</v>
      </c>
      <c r="F123" s="84">
        <v>2034</v>
      </c>
      <c r="G123" s="84">
        <v>2034</v>
      </c>
      <c r="H123">
        <v>2031</v>
      </c>
    </row>
    <row r="124" spans="1:8">
      <c r="A124" s="85" t="s">
        <v>320</v>
      </c>
      <c r="B124" s="85" t="s">
        <v>321</v>
      </c>
      <c r="C124" s="85" t="s">
        <v>110</v>
      </c>
      <c r="D124" s="84" t="s">
        <v>84</v>
      </c>
      <c r="E124" s="84">
        <v>4</v>
      </c>
      <c r="F124" s="84">
        <v>2036</v>
      </c>
      <c r="G124" s="84">
        <v>2036</v>
      </c>
      <c r="H124">
        <v>2035</v>
      </c>
    </row>
    <row r="125" spans="1:8">
      <c r="A125" s="85" t="s">
        <v>322</v>
      </c>
      <c r="B125" s="85" t="s">
        <v>323</v>
      </c>
      <c r="C125" s="85" t="s">
        <v>83</v>
      </c>
      <c r="D125" s="84" t="s">
        <v>80</v>
      </c>
      <c r="E125" s="84">
        <v>3</v>
      </c>
      <c r="F125" s="84">
        <v>2037</v>
      </c>
      <c r="G125" s="84">
        <v>2037</v>
      </c>
      <c r="H125">
        <v>2039</v>
      </c>
    </row>
    <row r="126" spans="1:8">
      <c r="A126" s="85" t="s">
        <v>324</v>
      </c>
      <c r="B126" s="85" t="s">
        <v>325</v>
      </c>
      <c r="C126" s="85" t="s">
        <v>99</v>
      </c>
      <c r="D126" s="84" t="s">
        <v>87</v>
      </c>
      <c r="E126" s="84">
        <v>1</v>
      </c>
      <c r="F126" s="84">
        <v>2039</v>
      </c>
      <c r="G126" s="84">
        <v>2039</v>
      </c>
      <c r="H126">
        <v>2038</v>
      </c>
    </row>
    <row r="127" spans="1:8">
      <c r="A127" s="85" t="s">
        <v>326</v>
      </c>
      <c r="B127" s="85" t="s">
        <v>327</v>
      </c>
      <c r="C127" s="85" t="s">
        <v>110</v>
      </c>
      <c r="D127" s="84" t="s">
        <v>84</v>
      </c>
      <c r="E127" s="84">
        <v>4</v>
      </c>
      <c r="F127" s="84">
        <v>2037</v>
      </c>
      <c r="G127" s="84">
        <v>2038</v>
      </c>
      <c r="H127">
        <v>2033</v>
      </c>
    </row>
    <row r="128" spans="1:8">
      <c r="A128" s="85" t="s">
        <v>328</v>
      </c>
      <c r="B128" s="85" t="s">
        <v>329</v>
      </c>
      <c r="C128" s="85" t="s">
        <v>79</v>
      </c>
      <c r="D128" s="84" t="s">
        <v>87</v>
      </c>
      <c r="E128" s="84">
        <v>1</v>
      </c>
      <c r="F128" s="84">
        <v>2032</v>
      </c>
      <c r="G128" s="84">
        <v>2032</v>
      </c>
      <c r="H128">
        <v>2033</v>
      </c>
    </row>
    <row r="129" spans="1:8">
      <c r="A129" s="85" t="s">
        <v>330</v>
      </c>
      <c r="B129" s="85" t="s">
        <v>331</v>
      </c>
      <c r="C129" s="85" t="s">
        <v>99</v>
      </c>
      <c r="D129" s="84" t="s">
        <v>87</v>
      </c>
      <c r="E129" s="84">
        <v>1</v>
      </c>
      <c r="F129" s="84">
        <v>2031</v>
      </c>
      <c r="G129" s="84">
        <v>2031</v>
      </c>
      <c r="H129">
        <v>2036</v>
      </c>
    </row>
    <row r="130" spans="1:8">
      <c r="A130" s="85" t="s">
        <v>332</v>
      </c>
      <c r="B130" s="85" t="s">
        <v>333</v>
      </c>
      <c r="C130" s="85" t="s">
        <v>92</v>
      </c>
      <c r="D130" s="84" t="s">
        <v>84</v>
      </c>
      <c r="E130" s="84">
        <v>2</v>
      </c>
      <c r="F130" s="84">
        <v>2041</v>
      </c>
      <c r="G130" s="84">
        <v>2041</v>
      </c>
      <c r="H130">
        <v>2041</v>
      </c>
    </row>
    <row r="131" spans="1:8">
      <c r="A131" s="85" t="s">
        <v>334</v>
      </c>
      <c r="B131" s="85" t="s">
        <v>335</v>
      </c>
      <c r="C131" s="85" t="s">
        <v>83</v>
      </c>
      <c r="D131" s="84" t="s">
        <v>75</v>
      </c>
      <c r="E131" s="84">
        <v>3</v>
      </c>
      <c r="F131" s="84">
        <v>2031</v>
      </c>
      <c r="G131" s="84">
        <v>2031</v>
      </c>
      <c r="H131">
        <v>2031</v>
      </c>
    </row>
    <row r="132" spans="1:8">
      <c r="A132" s="85" t="s">
        <v>336</v>
      </c>
      <c r="B132" s="85" t="s">
        <v>337</v>
      </c>
      <c r="C132" s="85" t="s">
        <v>83</v>
      </c>
      <c r="D132" s="84" t="s">
        <v>84</v>
      </c>
      <c r="E132" s="84" t="s">
        <v>76</v>
      </c>
      <c r="F132" s="84">
        <v>2034</v>
      </c>
      <c r="G132" s="84">
        <v>2034</v>
      </c>
      <c r="H132">
        <v>2031</v>
      </c>
    </row>
    <row r="133" spans="1:8">
      <c r="A133" s="85" t="s">
        <v>338</v>
      </c>
      <c r="B133" s="85" t="s">
        <v>339</v>
      </c>
      <c r="C133" s="85" t="s">
        <v>99</v>
      </c>
      <c r="D133" s="84" t="e">
        <v>#N/A</v>
      </c>
      <c r="E133" s="84">
        <v>1</v>
      </c>
      <c r="F133" s="84">
        <v>2040</v>
      </c>
      <c r="G133" s="84">
        <v>2040</v>
      </c>
      <c r="H133">
        <v>2039</v>
      </c>
    </row>
    <row r="134" spans="1:8">
      <c r="A134" s="85" t="s">
        <v>340</v>
      </c>
      <c r="B134" s="85" t="s">
        <v>341</v>
      </c>
      <c r="C134" s="85" t="s">
        <v>79</v>
      </c>
      <c r="D134" s="84" t="s">
        <v>87</v>
      </c>
      <c r="E134" s="84">
        <v>1</v>
      </c>
      <c r="F134" s="84">
        <v>2032</v>
      </c>
      <c r="G134" s="84">
        <v>2032</v>
      </c>
      <c r="H134">
        <v>2036</v>
      </c>
    </row>
    <row r="135" spans="1:8">
      <c r="A135" s="85" t="s">
        <v>342</v>
      </c>
      <c r="B135" s="85" t="s">
        <v>343</v>
      </c>
      <c r="C135" s="85" t="s">
        <v>74</v>
      </c>
      <c r="D135" s="84" t="s">
        <v>87</v>
      </c>
      <c r="E135" s="84">
        <v>1</v>
      </c>
      <c r="F135" s="84">
        <v>2036</v>
      </c>
      <c r="G135" s="84">
        <v>2036</v>
      </c>
      <c r="H135">
        <v>2035</v>
      </c>
    </row>
    <row r="136" spans="1:8">
      <c r="A136" s="85" t="s">
        <v>344</v>
      </c>
      <c r="B136" s="85" t="s">
        <v>345</v>
      </c>
      <c r="C136" s="85" t="s">
        <v>74</v>
      </c>
      <c r="D136" s="84" t="s">
        <v>84</v>
      </c>
      <c r="E136" s="84" t="s">
        <v>76</v>
      </c>
      <c r="F136" s="84">
        <v>2033</v>
      </c>
      <c r="G136" s="84">
        <v>2034</v>
      </c>
      <c r="H136">
        <v>2031</v>
      </c>
    </row>
    <row r="137" spans="1:8">
      <c r="A137" s="85" t="s">
        <v>346</v>
      </c>
      <c r="B137" s="85" t="s">
        <v>347</v>
      </c>
      <c r="C137" s="85" t="s">
        <v>99</v>
      </c>
      <c r="D137" s="84" t="s">
        <v>87</v>
      </c>
      <c r="E137" s="84">
        <v>1</v>
      </c>
      <c r="F137" s="84">
        <v>2031</v>
      </c>
      <c r="G137" s="84">
        <v>2031</v>
      </c>
      <c r="H137">
        <v>2035</v>
      </c>
    </row>
    <row r="138" spans="1:8">
      <c r="A138" s="85" t="s">
        <v>348</v>
      </c>
      <c r="B138" s="85" t="s">
        <v>349</v>
      </c>
      <c r="C138" s="85" t="s">
        <v>92</v>
      </c>
      <c r="D138" s="84" t="s">
        <v>87</v>
      </c>
      <c r="E138" s="84">
        <v>1</v>
      </c>
      <c r="F138" s="84">
        <v>2038</v>
      </c>
      <c r="G138" s="84">
        <v>2038</v>
      </c>
      <c r="H138">
        <v>2040</v>
      </c>
    </row>
    <row r="139" spans="1:8">
      <c r="A139" s="85" t="s">
        <v>350</v>
      </c>
      <c r="B139" s="85" t="s">
        <v>351</v>
      </c>
      <c r="C139" s="85" t="s">
        <v>99</v>
      </c>
      <c r="D139" s="84" t="s">
        <v>84</v>
      </c>
      <c r="E139" s="84">
        <v>4</v>
      </c>
      <c r="F139" s="84">
        <v>2036</v>
      </c>
      <c r="G139" s="84">
        <v>2036</v>
      </c>
      <c r="H139">
        <v>2033</v>
      </c>
    </row>
    <row r="140" spans="1:8">
      <c r="A140" s="85" t="s">
        <v>352</v>
      </c>
      <c r="B140" s="85" t="s">
        <v>353</v>
      </c>
      <c r="C140" s="85" t="s">
        <v>92</v>
      </c>
      <c r="D140" s="84" t="s">
        <v>80</v>
      </c>
      <c r="E140" s="84">
        <v>1</v>
      </c>
      <c r="F140" s="84">
        <v>2039</v>
      </c>
      <c r="G140" s="84">
        <v>2039</v>
      </c>
      <c r="H140">
        <v>2041</v>
      </c>
    </row>
    <row r="141" spans="1:8">
      <c r="A141" s="85" t="s">
        <v>354</v>
      </c>
      <c r="B141" s="85" t="s">
        <v>355</v>
      </c>
      <c r="C141" s="85" t="s">
        <v>92</v>
      </c>
      <c r="D141" s="84" t="s">
        <v>80</v>
      </c>
      <c r="E141" s="84">
        <v>2</v>
      </c>
      <c r="F141" s="84">
        <v>2039</v>
      </c>
      <c r="G141" s="84">
        <v>2039</v>
      </c>
      <c r="H141">
        <v>2040</v>
      </c>
    </row>
    <row r="142" spans="1:8">
      <c r="A142" s="85" t="s">
        <v>356</v>
      </c>
      <c r="B142" s="85" t="s">
        <v>357</v>
      </c>
      <c r="C142" s="85" t="s">
        <v>99</v>
      </c>
      <c r="D142" s="84" t="s">
        <v>84</v>
      </c>
      <c r="E142" s="84" t="s">
        <v>76</v>
      </c>
      <c r="F142" s="84">
        <v>2030</v>
      </c>
      <c r="G142" s="84">
        <v>2030</v>
      </c>
      <c r="H142">
        <v>2030</v>
      </c>
    </row>
    <row r="143" spans="1:8">
      <c r="A143" s="85" t="s">
        <v>358</v>
      </c>
      <c r="B143" s="85" t="s">
        <v>359</v>
      </c>
      <c r="C143" s="85" t="s">
        <v>79</v>
      </c>
      <c r="D143" s="84" t="s">
        <v>87</v>
      </c>
      <c r="E143" s="84">
        <v>1</v>
      </c>
      <c r="F143" s="84">
        <v>2032</v>
      </c>
      <c r="G143" s="84">
        <v>2032</v>
      </c>
      <c r="H143">
        <v>2036</v>
      </c>
    </row>
    <row r="144" spans="1:8">
      <c r="A144" s="85" t="s">
        <v>360</v>
      </c>
      <c r="B144" s="85" t="s">
        <v>361</v>
      </c>
      <c r="C144" s="85" t="s">
        <v>79</v>
      </c>
      <c r="D144" s="84" t="s">
        <v>87</v>
      </c>
      <c r="E144" s="84">
        <v>1</v>
      </c>
      <c r="F144" s="84">
        <v>2034</v>
      </c>
      <c r="G144" s="84">
        <v>2034</v>
      </c>
      <c r="H144">
        <v>2038</v>
      </c>
    </row>
    <row r="145" spans="1:8">
      <c r="A145" s="85" t="s">
        <v>362</v>
      </c>
      <c r="B145" s="85" t="s">
        <v>363</v>
      </c>
      <c r="C145" s="85" t="s">
        <v>74</v>
      </c>
      <c r="D145" s="84" t="s">
        <v>87</v>
      </c>
      <c r="E145" s="84">
        <v>1</v>
      </c>
      <c r="F145" s="84">
        <v>2032</v>
      </c>
      <c r="G145" s="84">
        <v>2032</v>
      </c>
      <c r="H145">
        <v>2037</v>
      </c>
    </row>
    <row r="146" spans="1:8">
      <c r="A146" s="85" t="s">
        <v>364</v>
      </c>
      <c r="B146" s="85" t="s">
        <v>365</v>
      </c>
      <c r="C146" s="85" t="s">
        <v>79</v>
      </c>
      <c r="D146" s="84" t="s">
        <v>87</v>
      </c>
      <c r="E146" s="84">
        <v>2</v>
      </c>
      <c r="F146" s="84">
        <v>2034</v>
      </c>
      <c r="G146" s="84">
        <v>2034</v>
      </c>
      <c r="H146">
        <v>2035</v>
      </c>
    </row>
    <row r="147" spans="1:8">
      <c r="A147" s="85" t="s">
        <v>366</v>
      </c>
      <c r="B147" s="85" t="s">
        <v>367</v>
      </c>
      <c r="C147" s="85" t="s">
        <v>79</v>
      </c>
      <c r="D147" s="84" t="s">
        <v>80</v>
      </c>
      <c r="E147" s="84">
        <v>2</v>
      </c>
      <c r="F147" s="84">
        <v>2036</v>
      </c>
      <c r="G147" s="84">
        <v>2036</v>
      </c>
      <c r="H147">
        <v>2035</v>
      </c>
    </row>
    <row r="148" spans="1:8">
      <c r="A148" s="85" t="s">
        <v>368</v>
      </c>
      <c r="B148" s="85" t="s">
        <v>369</v>
      </c>
      <c r="C148" s="85" t="s">
        <v>83</v>
      </c>
      <c r="D148" s="84" t="s">
        <v>75</v>
      </c>
      <c r="E148" s="84">
        <v>3</v>
      </c>
      <c r="F148" s="84">
        <v>2033</v>
      </c>
      <c r="G148" s="84">
        <v>2033</v>
      </c>
      <c r="H148">
        <v>2033</v>
      </c>
    </row>
    <row r="149" spans="1:8">
      <c r="A149" s="85" t="s">
        <v>370</v>
      </c>
      <c r="B149" s="85" t="s">
        <v>371</v>
      </c>
      <c r="C149" s="85" t="s">
        <v>92</v>
      </c>
      <c r="D149" s="84" t="s">
        <v>87</v>
      </c>
      <c r="E149" s="84">
        <v>1</v>
      </c>
      <c r="F149" s="84">
        <v>2041</v>
      </c>
      <c r="G149" s="84">
        <v>2041</v>
      </c>
      <c r="H149">
        <v>2040</v>
      </c>
    </row>
    <row r="150" spans="1:8">
      <c r="A150" s="85" t="s">
        <v>372</v>
      </c>
      <c r="B150" s="85" t="s">
        <v>373</v>
      </c>
      <c r="C150" s="85" t="s">
        <v>92</v>
      </c>
      <c r="D150" s="84" t="s">
        <v>80</v>
      </c>
      <c r="E150" s="84">
        <v>1</v>
      </c>
      <c r="F150" s="84">
        <v>2038</v>
      </c>
      <c r="G150" s="84">
        <v>2038</v>
      </c>
      <c r="H150">
        <v>2038</v>
      </c>
    </row>
    <row r="151" spans="1:8">
      <c r="A151" s="85" t="s">
        <v>374</v>
      </c>
      <c r="B151" s="85" t="s">
        <v>375</v>
      </c>
      <c r="C151" s="85" t="s">
        <v>92</v>
      </c>
      <c r="D151" s="84" t="s">
        <v>80</v>
      </c>
      <c r="E151" s="84">
        <v>1</v>
      </c>
      <c r="F151" s="84">
        <v>2041</v>
      </c>
      <c r="G151" s="84">
        <v>2041</v>
      </c>
      <c r="H151">
        <v>2041</v>
      </c>
    </row>
    <row r="152" spans="1:8">
      <c r="A152" s="85" t="s">
        <v>376</v>
      </c>
      <c r="B152" s="85" t="s">
        <v>377</v>
      </c>
      <c r="C152" s="85" t="s">
        <v>99</v>
      </c>
      <c r="D152" s="84" t="s">
        <v>80</v>
      </c>
      <c r="E152" s="84">
        <v>2</v>
      </c>
      <c r="F152" s="84">
        <v>2037</v>
      </c>
      <c r="G152" s="84">
        <v>2037</v>
      </c>
      <c r="H152">
        <v>2038</v>
      </c>
    </row>
    <row r="153" spans="1:8">
      <c r="A153" s="85" t="s">
        <v>378</v>
      </c>
      <c r="B153" s="85" t="s">
        <v>379</v>
      </c>
      <c r="C153" s="85" t="s">
        <v>79</v>
      </c>
      <c r="D153" s="84" t="s">
        <v>87</v>
      </c>
      <c r="E153" s="84">
        <v>1</v>
      </c>
      <c r="F153" s="84">
        <v>2039</v>
      </c>
      <c r="G153" s="84">
        <v>2039</v>
      </c>
      <c r="H153">
        <v>2040</v>
      </c>
    </row>
    <row r="154" spans="1:8">
      <c r="A154" s="85" t="s">
        <v>380</v>
      </c>
      <c r="B154" s="85" t="s">
        <v>381</v>
      </c>
      <c r="C154" s="85" t="s">
        <v>83</v>
      </c>
      <c r="D154" s="84" t="s">
        <v>84</v>
      </c>
      <c r="E154" s="84">
        <v>3</v>
      </c>
      <c r="F154" s="84">
        <v>2040</v>
      </c>
      <c r="G154" s="84">
        <v>2040</v>
      </c>
      <c r="H154">
        <v>2039</v>
      </c>
    </row>
    <row r="155" spans="1:8">
      <c r="A155" s="85" t="s">
        <v>382</v>
      </c>
      <c r="B155" s="85" t="s">
        <v>383</v>
      </c>
      <c r="C155" s="85" t="s">
        <v>74</v>
      </c>
      <c r="D155" s="84" t="s">
        <v>87</v>
      </c>
      <c r="E155" s="84">
        <v>1</v>
      </c>
      <c r="F155" s="84">
        <v>2030</v>
      </c>
      <c r="G155" s="84">
        <v>2030</v>
      </c>
      <c r="H155">
        <v>2032</v>
      </c>
    </row>
    <row r="156" spans="1:8">
      <c r="A156" s="85" t="s">
        <v>384</v>
      </c>
      <c r="B156" s="85" t="s">
        <v>385</v>
      </c>
      <c r="C156" s="85" t="s">
        <v>83</v>
      </c>
      <c r="D156" s="84" t="s">
        <v>84</v>
      </c>
      <c r="E156" s="84">
        <v>3</v>
      </c>
      <c r="F156" s="84">
        <v>2035</v>
      </c>
      <c r="G156" s="84">
        <v>2035</v>
      </c>
      <c r="H156">
        <v>2031</v>
      </c>
    </row>
    <row r="157" spans="1:8">
      <c r="A157" s="85" t="s">
        <v>386</v>
      </c>
      <c r="B157" s="85" t="s">
        <v>387</v>
      </c>
      <c r="C157" s="85" t="s">
        <v>79</v>
      </c>
      <c r="D157" s="84" t="s">
        <v>80</v>
      </c>
      <c r="E157" s="84">
        <v>1</v>
      </c>
      <c r="F157" s="84">
        <v>2040</v>
      </c>
      <c r="G157" s="84">
        <v>2040</v>
      </c>
      <c r="H157">
        <v>2038</v>
      </c>
    </row>
    <row r="158" spans="1:8">
      <c r="A158" s="85" t="s">
        <v>388</v>
      </c>
      <c r="B158" s="85" t="s">
        <v>389</v>
      </c>
      <c r="C158" s="85" t="s">
        <v>83</v>
      </c>
      <c r="D158" s="84" t="s">
        <v>87</v>
      </c>
      <c r="E158" s="84">
        <v>1</v>
      </c>
      <c r="F158" s="84">
        <v>2035</v>
      </c>
      <c r="G158" s="84">
        <v>2035</v>
      </c>
      <c r="H158">
        <v>2036</v>
      </c>
    </row>
    <row r="159" spans="1:8">
      <c r="A159" s="85" t="s">
        <v>390</v>
      </c>
      <c r="B159" s="85" t="s">
        <v>391</v>
      </c>
      <c r="C159" s="85" t="s">
        <v>83</v>
      </c>
      <c r="D159" s="84" t="s">
        <v>75</v>
      </c>
      <c r="E159" s="84">
        <v>3</v>
      </c>
      <c r="F159" s="84">
        <v>2037</v>
      </c>
      <c r="G159" s="84">
        <v>2037</v>
      </c>
      <c r="H159">
        <v>2034</v>
      </c>
    </row>
    <row r="160" spans="1:8">
      <c r="A160" s="85" t="s">
        <v>392</v>
      </c>
      <c r="B160" s="85" t="s">
        <v>393</v>
      </c>
      <c r="C160" s="85" t="s">
        <v>99</v>
      </c>
      <c r="D160" s="84" t="s">
        <v>87</v>
      </c>
      <c r="E160" s="84">
        <v>1</v>
      </c>
      <c r="F160" s="84">
        <v>2034</v>
      </c>
      <c r="G160" s="84">
        <v>2034</v>
      </c>
      <c r="H160">
        <v>2036</v>
      </c>
    </row>
    <row r="161" spans="1:8">
      <c r="A161" s="85" t="s">
        <v>394</v>
      </c>
      <c r="B161" s="85" t="s">
        <v>395</v>
      </c>
      <c r="C161" s="85" t="s">
        <v>79</v>
      </c>
      <c r="D161" s="84" t="s">
        <v>87</v>
      </c>
      <c r="E161" s="84">
        <v>1</v>
      </c>
      <c r="F161" s="84">
        <v>2034</v>
      </c>
      <c r="G161" s="84">
        <v>2034</v>
      </c>
      <c r="H161">
        <v>2036</v>
      </c>
    </row>
    <row r="162" spans="1:8">
      <c r="A162" s="85" t="s">
        <v>396</v>
      </c>
      <c r="B162" s="85" t="s">
        <v>397</v>
      </c>
      <c r="C162" s="85" t="s">
        <v>79</v>
      </c>
      <c r="D162" s="84" t="s">
        <v>87</v>
      </c>
      <c r="E162" s="84">
        <v>1</v>
      </c>
      <c r="F162" s="84">
        <v>2034</v>
      </c>
      <c r="G162" s="84">
        <v>2034</v>
      </c>
      <c r="H162">
        <v>2038</v>
      </c>
    </row>
    <row r="163" spans="1:8">
      <c r="A163" s="85" t="s">
        <v>398</v>
      </c>
      <c r="B163" s="85" t="s">
        <v>399</v>
      </c>
      <c r="C163" s="85" t="s">
        <v>74</v>
      </c>
      <c r="D163" s="84" t="s">
        <v>75</v>
      </c>
      <c r="E163" s="84">
        <v>3</v>
      </c>
      <c r="F163" s="84">
        <v>2032</v>
      </c>
      <c r="G163" s="84">
        <v>2032</v>
      </c>
      <c r="H163">
        <v>2032</v>
      </c>
    </row>
    <row r="164" spans="1:8">
      <c r="A164" s="85" t="s">
        <v>400</v>
      </c>
      <c r="B164" s="85" t="s">
        <v>401</v>
      </c>
      <c r="C164" s="85" t="s">
        <v>99</v>
      </c>
      <c r="D164" s="84" t="s">
        <v>84</v>
      </c>
      <c r="E164" s="84">
        <v>4</v>
      </c>
      <c r="F164" s="84">
        <v>2039</v>
      </c>
      <c r="G164" s="84">
        <v>2039</v>
      </c>
      <c r="H164">
        <v>2038</v>
      </c>
    </row>
    <row r="165" spans="1:8">
      <c r="A165" s="85" t="s">
        <v>402</v>
      </c>
      <c r="B165" s="85" t="s">
        <v>403</v>
      </c>
      <c r="C165" s="85" t="s">
        <v>83</v>
      </c>
      <c r="D165" s="84" t="s">
        <v>80</v>
      </c>
      <c r="E165" s="84" t="s">
        <v>76</v>
      </c>
      <c r="F165" s="84">
        <v>2030</v>
      </c>
      <c r="G165" s="84">
        <v>2030</v>
      </c>
      <c r="H165">
        <v>2030</v>
      </c>
    </row>
    <row r="166" spans="1:8">
      <c r="A166" s="85" t="s">
        <v>404</v>
      </c>
      <c r="B166" s="85" t="s">
        <v>405</v>
      </c>
      <c r="C166" s="85" t="s">
        <v>79</v>
      </c>
      <c r="D166" s="84" t="s">
        <v>87</v>
      </c>
      <c r="E166" s="84">
        <v>1</v>
      </c>
      <c r="F166" s="84">
        <v>2032</v>
      </c>
      <c r="G166" s="84">
        <v>2032</v>
      </c>
      <c r="H166">
        <v>2036</v>
      </c>
    </row>
    <row r="167" spans="1:8">
      <c r="A167" s="85" t="s">
        <v>406</v>
      </c>
      <c r="B167" s="85" t="s">
        <v>407</v>
      </c>
      <c r="C167" s="85" t="s">
        <v>110</v>
      </c>
      <c r="D167" s="84" t="s">
        <v>84</v>
      </c>
      <c r="E167" s="84">
        <v>2</v>
      </c>
      <c r="F167" s="84">
        <v>2040</v>
      </c>
      <c r="G167" s="84">
        <v>2040</v>
      </c>
      <c r="H167">
        <v>2039</v>
      </c>
    </row>
    <row r="168" spans="1:8">
      <c r="A168" s="85" t="s">
        <v>408</v>
      </c>
      <c r="B168" s="85" t="s">
        <v>409</v>
      </c>
      <c r="C168" s="85" t="s">
        <v>74</v>
      </c>
      <c r="D168" s="84" t="s">
        <v>75</v>
      </c>
      <c r="E168" s="84">
        <v>3</v>
      </c>
      <c r="F168" s="84">
        <v>2033</v>
      </c>
      <c r="G168" s="84">
        <v>2034</v>
      </c>
      <c r="H168">
        <v>2030</v>
      </c>
    </row>
    <row r="169" spans="1:8">
      <c r="A169" s="85" t="s">
        <v>410</v>
      </c>
      <c r="B169" s="85" t="s">
        <v>411</v>
      </c>
      <c r="C169" s="85" t="s">
        <v>74</v>
      </c>
      <c r="D169" s="84" t="s">
        <v>75</v>
      </c>
      <c r="E169" s="84">
        <v>3</v>
      </c>
      <c r="F169" s="84">
        <v>2037</v>
      </c>
      <c r="G169" s="84">
        <v>2037</v>
      </c>
      <c r="H169">
        <v>2037</v>
      </c>
    </row>
    <row r="170" spans="1:8">
      <c r="A170" s="85" t="s">
        <v>412</v>
      </c>
      <c r="B170" s="85" t="s">
        <v>413</v>
      </c>
      <c r="C170" s="85" t="s">
        <v>92</v>
      </c>
      <c r="D170" s="84" t="s">
        <v>80</v>
      </c>
      <c r="E170" s="84">
        <v>1</v>
      </c>
      <c r="F170" s="84">
        <v>2041</v>
      </c>
      <c r="G170" s="84">
        <v>2041</v>
      </c>
      <c r="H170">
        <v>2042</v>
      </c>
    </row>
    <row r="171" spans="1:8">
      <c r="A171" s="85" t="s">
        <v>414</v>
      </c>
      <c r="B171" s="85" t="s">
        <v>415</v>
      </c>
      <c r="C171" s="85" t="s">
        <v>83</v>
      </c>
      <c r="D171" s="84" t="s">
        <v>84</v>
      </c>
      <c r="E171" s="84">
        <v>3</v>
      </c>
      <c r="F171" s="84">
        <v>2039</v>
      </c>
      <c r="G171" s="84">
        <v>2039</v>
      </c>
      <c r="H171">
        <v>2037</v>
      </c>
    </row>
    <row r="172" spans="1:8">
      <c r="A172" s="85" t="s">
        <v>416</v>
      </c>
      <c r="B172" s="85" t="s">
        <v>417</v>
      </c>
      <c r="C172" s="85" t="s">
        <v>79</v>
      </c>
      <c r="D172" s="84" t="s">
        <v>87</v>
      </c>
      <c r="E172" s="84">
        <v>1</v>
      </c>
      <c r="F172" s="84">
        <v>2035</v>
      </c>
      <c r="G172" s="84">
        <v>2035</v>
      </c>
      <c r="H172">
        <v>2038</v>
      </c>
    </row>
    <row r="173" spans="1:8">
      <c r="A173" s="85" t="s">
        <v>418</v>
      </c>
      <c r="B173" s="85" t="s">
        <v>419</v>
      </c>
      <c r="C173" s="85" t="s">
        <v>79</v>
      </c>
      <c r="D173" s="84" t="s">
        <v>87</v>
      </c>
      <c r="E173" s="84">
        <v>1</v>
      </c>
      <c r="F173" s="84">
        <v>2030</v>
      </c>
      <c r="G173" s="84">
        <v>2032</v>
      </c>
      <c r="H173">
        <v>2034</v>
      </c>
    </row>
    <row r="174" spans="1:8">
      <c r="A174" s="85" t="s">
        <v>420</v>
      </c>
      <c r="B174" s="85" t="s">
        <v>421</v>
      </c>
      <c r="C174" s="85" t="s">
        <v>74</v>
      </c>
      <c r="D174" s="84" t="s">
        <v>75</v>
      </c>
      <c r="E174" s="84">
        <v>2</v>
      </c>
      <c r="F174" s="84">
        <v>2039</v>
      </c>
      <c r="G174" s="84">
        <v>2039</v>
      </c>
      <c r="H174">
        <v>2039</v>
      </c>
    </row>
    <row r="175" spans="1:8">
      <c r="A175" s="85" t="s">
        <v>422</v>
      </c>
      <c r="B175" s="85" t="s">
        <v>423</v>
      </c>
      <c r="C175" s="85" t="s">
        <v>83</v>
      </c>
      <c r="D175" s="84" t="s">
        <v>84</v>
      </c>
      <c r="E175" s="84" t="s">
        <v>76</v>
      </c>
      <c r="F175" s="84">
        <v>2031</v>
      </c>
      <c r="G175" s="84">
        <v>2033</v>
      </c>
      <c r="H175">
        <v>2032</v>
      </c>
    </row>
    <row r="176" spans="1:8">
      <c r="A176" s="85" t="s">
        <v>424</v>
      </c>
      <c r="B176" s="85" t="s">
        <v>425</v>
      </c>
      <c r="C176" s="85" t="s">
        <v>79</v>
      </c>
      <c r="D176" s="84" t="s">
        <v>75</v>
      </c>
      <c r="E176" s="84">
        <v>2</v>
      </c>
      <c r="F176" s="84">
        <v>2041</v>
      </c>
      <c r="G176" s="84">
        <v>2041</v>
      </c>
      <c r="H176">
        <v>2040</v>
      </c>
    </row>
    <row r="177" spans="1:8">
      <c r="A177" s="85" t="s">
        <v>426</v>
      </c>
      <c r="B177" s="85" t="s">
        <v>427</v>
      </c>
      <c r="C177" s="85" t="s">
        <v>110</v>
      </c>
      <c r="D177" s="84" t="s">
        <v>80</v>
      </c>
      <c r="E177" s="84">
        <v>1</v>
      </c>
      <c r="F177" s="84">
        <v>2031</v>
      </c>
      <c r="G177" s="84">
        <v>2031</v>
      </c>
      <c r="H177">
        <v>2034</v>
      </c>
    </row>
    <row r="178" spans="1:8">
      <c r="A178" s="85" t="s">
        <v>428</v>
      </c>
      <c r="B178" s="85" t="s">
        <v>429</v>
      </c>
      <c r="C178" s="85" t="s">
        <v>110</v>
      </c>
      <c r="D178" s="84" t="s">
        <v>84</v>
      </c>
      <c r="E178" s="84">
        <v>4</v>
      </c>
      <c r="F178" s="84">
        <v>2040</v>
      </c>
      <c r="G178" s="84">
        <v>2040</v>
      </c>
      <c r="H178">
        <v>2038</v>
      </c>
    </row>
    <row r="179" spans="1:8">
      <c r="A179" s="85" t="s">
        <v>430</v>
      </c>
      <c r="B179" s="85" t="s">
        <v>431</v>
      </c>
      <c r="C179" s="85" t="s">
        <v>83</v>
      </c>
      <c r="D179" s="84" t="s">
        <v>75</v>
      </c>
      <c r="E179" s="84">
        <v>3</v>
      </c>
      <c r="F179" s="84">
        <v>2037</v>
      </c>
      <c r="G179" s="84">
        <v>2037</v>
      </c>
      <c r="H179">
        <v>2033</v>
      </c>
    </row>
    <row r="180" spans="1:8">
      <c r="A180" s="85" t="s">
        <v>432</v>
      </c>
      <c r="B180" s="85" t="s">
        <v>433</v>
      </c>
      <c r="C180" s="85" t="s">
        <v>99</v>
      </c>
      <c r="D180" s="84" t="s">
        <v>80</v>
      </c>
      <c r="E180" s="84">
        <v>1</v>
      </c>
      <c r="F180" s="84">
        <v>2037</v>
      </c>
      <c r="G180" s="84">
        <v>2037</v>
      </c>
      <c r="H180">
        <v>2034</v>
      </c>
    </row>
    <row r="181" spans="1:8">
      <c r="A181" s="85" t="s">
        <v>434</v>
      </c>
      <c r="B181" s="85" t="s">
        <v>435</v>
      </c>
      <c r="C181" s="85" t="s">
        <v>92</v>
      </c>
      <c r="D181" s="84" t="s">
        <v>87</v>
      </c>
      <c r="E181" s="84">
        <v>1</v>
      </c>
      <c r="F181" s="84">
        <v>2039</v>
      </c>
      <c r="G181" s="84">
        <v>2039</v>
      </c>
      <c r="H181">
        <v>2041</v>
      </c>
    </row>
    <row r="182" spans="1:8">
      <c r="A182" s="85" t="s">
        <v>436</v>
      </c>
      <c r="B182" s="85" t="s">
        <v>437</v>
      </c>
      <c r="C182" s="85" t="s">
        <v>74</v>
      </c>
      <c r="D182" s="84" t="s">
        <v>84</v>
      </c>
      <c r="E182" s="84">
        <v>3</v>
      </c>
      <c r="F182" s="84">
        <v>2033</v>
      </c>
      <c r="G182" s="84">
        <v>2034</v>
      </c>
      <c r="H182">
        <v>2033</v>
      </c>
    </row>
    <row r="183" spans="1:8">
      <c r="A183" s="85" t="s">
        <v>438</v>
      </c>
      <c r="B183" s="85" t="s">
        <v>439</v>
      </c>
      <c r="C183" s="85" t="s">
        <v>79</v>
      </c>
      <c r="D183" s="84" t="s">
        <v>80</v>
      </c>
      <c r="E183" s="84">
        <v>1</v>
      </c>
      <c r="F183" s="84">
        <v>2030</v>
      </c>
      <c r="G183" s="84">
        <v>2032</v>
      </c>
      <c r="H183">
        <v>2031</v>
      </c>
    </row>
    <row r="184" spans="1:8">
      <c r="A184" s="85" t="s">
        <v>440</v>
      </c>
      <c r="B184" s="85" t="s">
        <v>441</v>
      </c>
      <c r="C184" s="85" t="s">
        <v>79</v>
      </c>
      <c r="D184" s="84" t="s">
        <v>80</v>
      </c>
      <c r="E184" s="84">
        <v>1</v>
      </c>
      <c r="F184" s="84">
        <v>2040</v>
      </c>
      <c r="G184" s="84">
        <v>2040</v>
      </c>
      <c r="H184">
        <v>2041</v>
      </c>
    </row>
    <row r="185" spans="1:8">
      <c r="A185" s="85" t="s">
        <v>442</v>
      </c>
      <c r="B185" s="85" t="s">
        <v>443</v>
      </c>
      <c r="C185" s="85" t="s">
        <v>99</v>
      </c>
      <c r="D185" s="84" t="s">
        <v>80</v>
      </c>
      <c r="E185" s="84">
        <v>4</v>
      </c>
      <c r="F185" s="84">
        <v>2040</v>
      </c>
      <c r="G185" s="84">
        <v>2040</v>
      </c>
      <c r="H185">
        <v>2038</v>
      </c>
    </row>
    <row r="186" spans="1:8">
      <c r="A186" s="85" t="s">
        <v>444</v>
      </c>
      <c r="B186" s="85" t="s">
        <v>445</v>
      </c>
      <c r="C186" s="85" t="s">
        <v>83</v>
      </c>
      <c r="D186" s="84" t="s">
        <v>75</v>
      </c>
      <c r="E186" s="84" t="s">
        <v>76</v>
      </c>
      <c r="F186" s="84">
        <v>2032</v>
      </c>
      <c r="G186" s="84">
        <v>2033</v>
      </c>
      <c r="H186">
        <v>2030</v>
      </c>
    </row>
    <row r="187" spans="1:8">
      <c r="A187" s="85" t="s">
        <v>446</v>
      </c>
      <c r="B187" s="85" t="s">
        <v>447</v>
      </c>
      <c r="C187" s="85" t="s">
        <v>79</v>
      </c>
      <c r="D187" s="84" t="s">
        <v>84</v>
      </c>
      <c r="E187" s="84">
        <v>1</v>
      </c>
      <c r="F187" s="84">
        <v>2038</v>
      </c>
      <c r="G187" s="84">
        <v>2038</v>
      </c>
      <c r="H187">
        <v>2034</v>
      </c>
    </row>
    <row r="188" spans="1:8">
      <c r="A188" s="85" t="s">
        <v>448</v>
      </c>
      <c r="B188" s="85" t="s">
        <v>449</v>
      </c>
      <c r="C188" s="85" t="s">
        <v>74</v>
      </c>
      <c r="D188" s="84" t="s">
        <v>87</v>
      </c>
      <c r="E188" s="84">
        <v>1</v>
      </c>
      <c r="F188" s="84">
        <v>2032</v>
      </c>
      <c r="G188" s="84">
        <v>2034</v>
      </c>
      <c r="H188">
        <v>2032</v>
      </c>
    </row>
    <row r="189" spans="1:8">
      <c r="A189" s="85" t="s">
        <v>450</v>
      </c>
      <c r="B189" s="85" t="s">
        <v>451</v>
      </c>
      <c r="C189" s="85" t="s">
        <v>79</v>
      </c>
      <c r="D189" s="84" t="s">
        <v>87</v>
      </c>
      <c r="E189" s="84">
        <v>1</v>
      </c>
      <c r="F189" s="84">
        <v>2030</v>
      </c>
      <c r="G189" s="84">
        <v>2032</v>
      </c>
      <c r="H189">
        <v>2033</v>
      </c>
    </row>
    <row r="190" spans="1:8">
      <c r="A190" s="85" t="s">
        <v>452</v>
      </c>
      <c r="B190" s="85" t="s">
        <v>453</v>
      </c>
      <c r="C190" s="85" t="s">
        <v>92</v>
      </c>
      <c r="D190" s="84" t="s">
        <v>87</v>
      </c>
      <c r="E190" s="84" t="s">
        <v>76</v>
      </c>
      <c r="F190" s="84">
        <v>2030</v>
      </c>
      <c r="G190" s="84">
        <v>2030</v>
      </c>
      <c r="H190">
        <v>2030</v>
      </c>
    </row>
    <row r="191" spans="1:8">
      <c r="A191" s="85" t="s">
        <v>454</v>
      </c>
      <c r="B191" s="85" t="s">
        <v>455</v>
      </c>
      <c r="C191" s="85" t="s">
        <v>92</v>
      </c>
      <c r="D191" s="84" t="s">
        <v>87</v>
      </c>
      <c r="E191" s="84">
        <v>1</v>
      </c>
      <c r="F191" s="84">
        <v>2036</v>
      </c>
      <c r="G191" s="84">
        <v>2938</v>
      </c>
      <c r="H191">
        <v>2039</v>
      </c>
    </row>
    <row r="192" spans="1:8">
      <c r="A192" s="85" t="s">
        <v>456</v>
      </c>
      <c r="B192" s="85" t="s">
        <v>457</v>
      </c>
      <c r="C192" s="85" t="s">
        <v>79</v>
      </c>
      <c r="D192" s="84" t="s">
        <v>84</v>
      </c>
      <c r="E192" s="84">
        <v>2</v>
      </c>
      <c r="F192" s="84">
        <v>2039</v>
      </c>
      <c r="G192" s="84">
        <v>2039</v>
      </c>
      <c r="H192">
        <v>2035</v>
      </c>
    </row>
    <row r="193" spans="1:8">
      <c r="A193" s="85" t="s">
        <v>458</v>
      </c>
      <c r="B193" s="85" t="s">
        <v>459</v>
      </c>
      <c r="C193" s="85" t="s">
        <v>99</v>
      </c>
      <c r="D193" s="84" t="s">
        <v>84</v>
      </c>
      <c r="E193" s="84">
        <v>4</v>
      </c>
      <c r="F193" s="84">
        <v>2041</v>
      </c>
      <c r="G193" s="84">
        <v>2041</v>
      </c>
      <c r="H193">
        <v>2038</v>
      </c>
    </row>
    <row r="194" spans="1:8">
      <c r="A194" s="85" t="s">
        <v>460</v>
      </c>
      <c r="B194" s="85" t="s">
        <v>461</v>
      </c>
      <c r="C194" s="85" t="s">
        <v>92</v>
      </c>
      <c r="D194" s="84" t="s">
        <v>80</v>
      </c>
      <c r="E194" s="84">
        <v>1</v>
      </c>
      <c r="F194" s="84">
        <v>2036</v>
      </c>
      <c r="G194" s="84">
        <v>2938</v>
      </c>
      <c r="H194">
        <v>2038</v>
      </c>
    </row>
    <row r="195" spans="1:8">
      <c r="A195" s="85" t="s">
        <v>462</v>
      </c>
      <c r="B195" s="85" t="s">
        <v>463</v>
      </c>
      <c r="C195" s="85" t="s">
        <v>99</v>
      </c>
      <c r="D195" s="84" t="s">
        <v>84</v>
      </c>
      <c r="E195" s="84">
        <v>4</v>
      </c>
      <c r="F195" s="84">
        <v>2035</v>
      </c>
      <c r="G195" s="84">
        <v>2035</v>
      </c>
      <c r="H195">
        <v>2032</v>
      </c>
    </row>
    <row r="196" spans="1:8">
      <c r="A196" s="85" t="s">
        <v>464</v>
      </c>
      <c r="B196" s="85" t="s">
        <v>465</v>
      </c>
      <c r="C196" s="85" t="s">
        <v>74</v>
      </c>
      <c r="D196" s="84" t="s">
        <v>75</v>
      </c>
      <c r="E196" s="84">
        <v>3</v>
      </c>
      <c r="F196" s="84">
        <v>2031</v>
      </c>
      <c r="G196" s="84">
        <v>2031</v>
      </c>
      <c r="H196">
        <v>2030</v>
      </c>
    </row>
    <row r="197" spans="1:8">
      <c r="A197" s="85" t="s">
        <v>466</v>
      </c>
      <c r="B197" s="85" t="s">
        <v>467</v>
      </c>
      <c r="C197" s="85" t="s">
        <v>83</v>
      </c>
      <c r="D197" s="84" t="s">
        <v>84</v>
      </c>
      <c r="E197" s="84">
        <v>3</v>
      </c>
      <c r="F197" s="84">
        <v>2033</v>
      </c>
      <c r="G197" s="84">
        <v>2033</v>
      </c>
      <c r="H197">
        <v>2032</v>
      </c>
    </row>
    <row r="198" spans="1:8">
      <c r="A198" s="85" t="s">
        <v>468</v>
      </c>
      <c r="B198" s="85" t="s">
        <v>469</v>
      </c>
      <c r="C198" s="85" t="s">
        <v>83</v>
      </c>
      <c r="D198" s="84" t="s">
        <v>84</v>
      </c>
      <c r="E198" s="84">
        <v>3</v>
      </c>
      <c r="F198" s="84">
        <v>2037</v>
      </c>
      <c r="G198" s="84">
        <v>2037</v>
      </c>
      <c r="H198">
        <v>2034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6F5C6-CA97-A146-A280-5A705EBE13ED}">
  <sheetPr>
    <tabColor theme="7" tint="0.79998168889431442"/>
  </sheetPr>
  <dimension ref="A1:P204"/>
  <sheetViews>
    <sheetView zoomScale="117" zoomScaleNormal="117" workbookViewId="0">
      <selection activeCell="E205" sqref="E205"/>
    </sheetView>
  </sheetViews>
  <sheetFormatPr defaultColWidth="10.85546875" defaultRowHeight="15"/>
  <cols>
    <col min="6" max="16" width="13.7109375" bestFit="1" customWidth="1"/>
  </cols>
  <sheetData>
    <row r="1" spans="1:16">
      <c r="A1" t="s">
        <v>470</v>
      </c>
      <c r="B1" t="s">
        <v>4</v>
      </c>
    </row>
    <row r="2" spans="1:16">
      <c r="A2" t="s">
        <v>471</v>
      </c>
      <c r="B2" t="s">
        <v>472</v>
      </c>
    </row>
    <row r="4" spans="1:16" s="88" customFormat="1">
      <c r="A4" s="86" t="s">
        <v>473</v>
      </c>
      <c r="B4" s="87" t="s">
        <v>64</v>
      </c>
      <c r="C4" s="86" t="s">
        <v>66</v>
      </c>
      <c r="D4" s="86" t="s">
        <v>67</v>
      </c>
      <c r="E4" s="86" t="s">
        <v>68</v>
      </c>
      <c r="F4" s="88">
        <v>2030</v>
      </c>
      <c r="G4" s="88">
        <v>2031</v>
      </c>
      <c r="H4" s="88">
        <v>2032</v>
      </c>
      <c r="I4" s="88">
        <v>2033</v>
      </c>
      <c r="J4" s="88">
        <v>2034</v>
      </c>
      <c r="K4" s="88">
        <v>2035</v>
      </c>
      <c r="L4" s="88">
        <v>2036</v>
      </c>
      <c r="M4" s="88">
        <v>2037</v>
      </c>
      <c r="N4" s="88">
        <v>2038</v>
      </c>
      <c r="O4" s="88">
        <v>2039</v>
      </c>
      <c r="P4" s="88">
        <v>2040</v>
      </c>
    </row>
    <row r="5" spans="1:16">
      <c r="A5" s="84" t="s">
        <v>73</v>
      </c>
      <c r="B5" s="85" t="s">
        <v>72</v>
      </c>
      <c r="C5" s="85" t="s">
        <v>74</v>
      </c>
      <c r="D5" s="84" t="s">
        <v>75</v>
      </c>
      <c r="E5" s="84" t="s">
        <v>76</v>
      </c>
      <c r="F5" s="2">
        <v>1188620</v>
      </c>
      <c r="G5" s="2">
        <v>1189745</v>
      </c>
      <c r="H5" s="2">
        <v>1190653</v>
      </c>
      <c r="I5" s="2">
        <v>1191186</v>
      </c>
      <c r="J5" s="2">
        <v>1191145</v>
      </c>
      <c r="K5" s="2">
        <v>1190375</v>
      </c>
      <c r="L5" s="2">
        <v>1189083</v>
      </c>
      <c r="M5" s="2">
        <v>1187078</v>
      </c>
      <c r="N5" s="2">
        <v>1184391</v>
      </c>
      <c r="O5" s="2">
        <v>1181096</v>
      </c>
      <c r="P5" s="2">
        <v>1177251</v>
      </c>
    </row>
    <row r="6" spans="1:16">
      <c r="A6" s="84" t="s">
        <v>78</v>
      </c>
      <c r="B6" s="85" t="s">
        <v>77</v>
      </c>
      <c r="C6" s="85" t="s">
        <v>79</v>
      </c>
      <c r="D6" s="84" t="s">
        <v>80</v>
      </c>
      <c r="E6" s="84">
        <v>1</v>
      </c>
      <c r="F6" s="2">
        <v>24693</v>
      </c>
      <c r="G6" s="2">
        <v>23913</v>
      </c>
      <c r="H6" s="2">
        <v>23296</v>
      </c>
      <c r="I6" s="2">
        <v>22812</v>
      </c>
      <c r="J6" s="2">
        <v>22409</v>
      </c>
      <c r="K6" s="2">
        <v>22044</v>
      </c>
      <c r="L6" s="2">
        <v>21728</v>
      </c>
      <c r="M6" s="2">
        <v>21461</v>
      </c>
      <c r="N6" s="2">
        <v>21228</v>
      </c>
      <c r="O6" s="2">
        <v>21016</v>
      </c>
      <c r="P6" s="2">
        <v>20816</v>
      </c>
    </row>
    <row r="7" spans="1:16">
      <c r="A7" s="84" t="s">
        <v>82</v>
      </c>
      <c r="B7" s="85" t="s">
        <v>81</v>
      </c>
      <c r="C7" s="85" t="s">
        <v>83</v>
      </c>
      <c r="D7" s="84" t="s">
        <v>84</v>
      </c>
      <c r="E7" s="84">
        <v>2</v>
      </c>
      <c r="F7" s="2">
        <v>827094</v>
      </c>
      <c r="G7" s="2">
        <v>824587</v>
      </c>
      <c r="H7" s="2">
        <v>818447</v>
      </c>
      <c r="I7" s="2">
        <v>810979</v>
      </c>
      <c r="J7" s="2">
        <v>805702</v>
      </c>
      <c r="K7" s="2">
        <v>805147</v>
      </c>
      <c r="L7" s="2">
        <v>810429</v>
      </c>
      <c r="M7" s="2">
        <v>819806</v>
      </c>
      <c r="N7" s="2">
        <v>831908</v>
      </c>
      <c r="O7" s="2">
        <v>844779</v>
      </c>
      <c r="P7" s="2">
        <v>856887</v>
      </c>
    </row>
    <row r="8" spans="1:16">
      <c r="A8" s="84" t="s">
        <v>86</v>
      </c>
      <c r="B8" s="85" t="s">
        <v>85</v>
      </c>
      <c r="C8" s="85" t="s">
        <v>79</v>
      </c>
      <c r="D8" s="84" t="s">
        <v>87</v>
      </c>
      <c r="E8" s="84">
        <v>1</v>
      </c>
      <c r="F8" s="2">
        <v>0</v>
      </c>
      <c r="G8" s="2">
        <v>0</v>
      </c>
      <c r="H8" s="2">
        <v>0</v>
      </c>
      <c r="I8" s="2">
        <v>0</v>
      </c>
      <c r="J8" s="2">
        <v>0</v>
      </c>
      <c r="K8" s="2">
        <v>0</v>
      </c>
      <c r="L8" s="2">
        <v>0</v>
      </c>
      <c r="M8" s="2">
        <v>0</v>
      </c>
      <c r="N8" s="2">
        <v>0</v>
      </c>
      <c r="O8" s="2">
        <v>0</v>
      </c>
      <c r="P8" s="2">
        <v>0</v>
      </c>
    </row>
    <row r="9" spans="1:16">
      <c r="A9" s="84" t="s">
        <v>89</v>
      </c>
      <c r="B9" s="85" t="s">
        <v>88</v>
      </c>
      <c r="C9" s="85" t="s">
        <v>83</v>
      </c>
      <c r="D9" s="84" t="s">
        <v>84</v>
      </c>
      <c r="E9" s="84">
        <v>3</v>
      </c>
      <c r="F9" s="2">
        <v>1555237</v>
      </c>
      <c r="G9" s="2">
        <v>1589452</v>
      </c>
      <c r="H9" s="2">
        <v>1624332</v>
      </c>
      <c r="I9" s="2">
        <v>1659445</v>
      </c>
      <c r="J9" s="2">
        <v>1694261</v>
      </c>
      <c r="K9" s="2">
        <v>1728424</v>
      </c>
      <c r="L9" s="2">
        <v>1761880</v>
      </c>
      <c r="M9" s="2">
        <v>1794746</v>
      </c>
      <c r="N9" s="2">
        <v>1827416</v>
      </c>
      <c r="O9" s="2">
        <v>1860458</v>
      </c>
      <c r="P9" s="2">
        <v>1894243</v>
      </c>
    </row>
    <row r="10" spans="1:16">
      <c r="A10" s="84" t="s">
        <v>91</v>
      </c>
      <c r="B10" s="85" t="s">
        <v>90</v>
      </c>
      <c r="C10" s="85" t="s">
        <v>92</v>
      </c>
      <c r="D10" s="84" t="s">
        <v>87</v>
      </c>
      <c r="E10" s="84">
        <v>1</v>
      </c>
      <c r="F10" s="2">
        <v>0</v>
      </c>
      <c r="G10" s="2">
        <v>1343</v>
      </c>
      <c r="H10" s="2">
        <v>1329</v>
      </c>
      <c r="I10" s="2">
        <v>1314</v>
      </c>
      <c r="J10" s="2">
        <v>1300</v>
      </c>
      <c r="K10" s="2">
        <v>1290</v>
      </c>
      <c r="L10" s="2">
        <v>1286</v>
      </c>
      <c r="M10" s="2">
        <v>1285</v>
      </c>
      <c r="N10" s="2">
        <v>1286</v>
      </c>
      <c r="O10" s="2">
        <v>1288</v>
      </c>
      <c r="P10" s="2">
        <v>1286</v>
      </c>
    </row>
    <row r="11" spans="1:16">
      <c r="A11" s="84" t="s">
        <v>94</v>
      </c>
      <c r="B11" s="85" t="s">
        <v>93</v>
      </c>
      <c r="C11" s="85" t="s">
        <v>92</v>
      </c>
      <c r="D11" s="84" t="s">
        <v>80</v>
      </c>
      <c r="E11" s="84">
        <v>1</v>
      </c>
      <c r="F11" s="2">
        <v>732365</v>
      </c>
      <c r="G11" s="2">
        <v>729975</v>
      </c>
      <c r="H11" s="2">
        <v>726782</v>
      </c>
      <c r="I11" s="2">
        <v>723170</v>
      </c>
      <c r="J11" s="2">
        <v>719686</v>
      </c>
      <c r="K11" s="2">
        <v>716725</v>
      </c>
      <c r="L11" s="2">
        <v>714994</v>
      </c>
      <c r="M11" s="2">
        <v>713815</v>
      </c>
      <c r="N11" s="2">
        <v>712855</v>
      </c>
      <c r="O11" s="2">
        <v>711626</v>
      </c>
      <c r="P11" s="2">
        <v>709779</v>
      </c>
    </row>
    <row r="12" spans="1:16">
      <c r="A12" s="84" t="s">
        <v>96</v>
      </c>
      <c r="B12" s="85" t="s">
        <v>95</v>
      </c>
      <c r="C12" s="85" t="s">
        <v>79</v>
      </c>
      <c r="D12" s="84" t="s">
        <v>80</v>
      </c>
      <c r="E12" s="84">
        <v>1</v>
      </c>
      <c r="F12" s="2">
        <v>30803</v>
      </c>
      <c r="G12" s="2">
        <v>30524</v>
      </c>
      <c r="H12" s="2">
        <v>30339</v>
      </c>
      <c r="I12" s="2">
        <v>30243</v>
      </c>
      <c r="J12" s="2">
        <v>30230</v>
      </c>
      <c r="K12" s="2">
        <v>30286</v>
      </c>
      <c r="L12" s="2">
        <v>30429</v>
      </c>
      <c r="M12" s="2">
        <v>30627</v>
      </c>
      <c r="N12" s="2">
        <v>30851</v>
      </c>
      <c r="O12" s="2">
        <v>31067</v>
      </c>
      <c r="P12" s="2">
        <v>31252</v>
      </c>
    </row>
    <row r="13" spans="1:16">
      <c r="A13" s="84" t="s">
        <v>98</v>
      </c>
      <c r="B13" s="85" t="s">
        <v>97</v>
      </c>
      <c r="C13" s="85" t="s">
        <v>99</v>
      </c>
      <c r="D13" s="84" t="s">
        <v>87</v>
      </c>
      <c r="E13" s="84">
        <v>1</v>
      </c>
      <c r="F13" s="2">
        <v>323745</v>
      </c>
      <c r="G13" s="2">
        <v>325024</v>
      </c>
      <c r="H13" s="2">
        <v>325423</v>
      </c>
      <c r="I13" s="2">
        <v>325321</v>
      </c>
      <c r="J13" s="2">
        <v>325323</v>
      </c>
      <c r="K13" s="2">
        <v>325870</v>
      </c>
      <c r="L13" s="2">
        <v>327603</v>
      </c>
      <c r="M13" s="2">
        <v>329798</v>
      </c>
      <c r="N13" s="2">
        <v>332358</v>
      </c>
      <c r="O13" s="2">
        <v>335119</v>
      </c>
      <c r="P13" s="2">
        <v>337937</v>
      </c>
    </row>
    <row r="14" spans="1:16">
      <c r="A14" s="84" t="s">
        <v>101</v>
      </c>
      <c r="B14" s="85" t="s">
        <v>100</v>
      </c>
      <c r="C14" s="85" t="s">
        <v>79</v>
      </c>
      <c r="D14" s="84" t="s">
        <v>87</v>
      </c>
      <c r="E14" s="84">
        <v>1</v>
      </c>
      <c r="F14" s="2">
        <v>85493</v>
      </c>
      <c r="G14" s="2">
        <v>84856</v>
      </c>
      <c r="H14" s="2">
        <v>84075</v>
      </c>
      <c r="I14" s="2">
        <v>83213</v>
      </c>
      <c r="J14" s="2">
        <v>82361</v>
      </c>
      <c r="K14" s="2">
        <v>81586</v>
      </c>
      <c r="L14" s="2">
        <v>80991</v>
      </c>
      <c r="M14" s="2">
        <v>80482</v>
      </c>
      <c r="N14" s="2">
        <v>80067</v>
      </c>
      <c r="O14" s="2">
        <v>79753</v>
      </c>
      <c r="P14" s="2">
        <v>79537</v>
      </c>
    </row>
    <row r="15" spans="1:16">
      <c r="A15" s="84" t="s">
        <v>103</v>
      </c>
      <c r="B15" s="85" t="s">
        <v>102</v>
      </c>
      <c r="C15" s="85" t="s">
        <v>79</v>
      </c>
      <c r="D15" s="84" t="s">
        <v>80</v>
      </c>
      <c r="E15" s="84">
        <v>1</v>
      </c>
      <c r="F15" s="2">
        <v>129428</v>
      </c>
      <c r="G15" s="2">
        <v>129941</v>
      </c>
      <c r="H15" s="2">
        <v>130678</v>
      </c>
      <c r="I15" s="2">
        <v>131469</v>
      </c>
      <c r="J15" s="2">
        <v>132108</v>
      </c>
      <c r="K15" s="2">
        <v>132444</v>
      </c>
      <c r="L15" s="2">
        <v>132548</v>
      </c>
      <c r="M15" s="2">
        <v>132342</v>
      </c>
      <c r="N15" s="2">
        <v>131803</v>
      </c>
      <c r="O15" s="2">
        <v>130942</v>
      </c>
      <c r="P15" s="2">
        <v>129788.99999999999</v>
      </c>
    </row>
    <row r="16" spans="1:16">
      <c r="A16" s="84" t="s">
        <v>105</v>
      </c>
      <c r="B16" s="85" t="s">
        <v>104</v>
      </c>
      <c r="C16" s="85" t="s">
        <v>92</v>
      </c>
      <c r="D16" s="84" t="s">
        <v>87</v>
      </c>
      <c r="E16" s="84">
        <v>1</v>
      </c>
      <c r="F16" s="2">
        <v>5456</v>
      </c>
      <c r="G16" s="2">
        <v>5453</v>
      </c>
      <c r="H16" s="2">
        <v>5419</v>
      </c>
      <c r="I16" s="2">
        <v>5366</v>
      </c>
      <c r="J16" s="2">
        <v>5308</v>
      </c>
      <c r="K16" s="2">
        <v>5260</v>
      </c>
      <c r="L16" s="2">
        <v>5229</v>
      </c>
      <c r="M16" s="2">
        <v>5205</v>
      </c>
      <c r="N16" s="2">
        <v>5186</v>
      </c>
      <c r="O16" s="2">
        <v>5168</v>
      </c>
      <c r="P16" s="2">
        <v>5154</v>
      </c>
    </row>
    <row r="17" spans="1:16">
      <c r="A17" s="84" t="s">
        <v>107</v>
      </c>
      <c r="B17" s="85" t="s">
        <v>106</v>
      </c>
      <c r="C17" s="85" t="s">
        <v>74</v>
      </c>
      <c r="D17" s="84" t="s">
        <v>87</v>
      </c>
      <c r="E17" s="84">
        <v>1</v>
      </c>
      <c r="F17" s="2">
        <v>22046</v>
      </c>
      <c r="G17" s="2">
        <v>22039</v>
      </c>
      <c r="H17" s="2">
        <v>22165</v>
      </c>
      <c r="I17" s="2">
        <v>22338</v>
      </c>
      <c r="J17" s="2">
        <v>22430</v>
      </c>
      <c r="K17" s="2">
        <v>22349</v>
      </c>
      <c r="L17" s="2">
        <v>22103</v>
      </c>
      <c r="M17" s="2">
        <v>21705</v>
      </c>
      <c r="N17" s="2">
        <v>21221</v>
      </c>
      <c r="O17" s="2">
        <v>20757</v>
      </c>
      <c r="P17" s="2">
        <v>20383</v>
      </c>
    </row>
    <row r="18" spans="1:16">
      <c r="A18" s="84" t="s">
        <v>109</v>
      </c>
      <c r="B18" s="85" t="s">
        <v>108</v>
      </c>
      <c r="C18" s="85" t="s">
        <v>110</v>
      </c>
      <c r="D18" s="84" t="s">
        <v>84</v>
      </c>
      <c r="E18" s="84" t="s">
        <v>76</v>
      </c>
      <c r="F18" s="2">
        <v>2519983</v>
      </c>
      <c r="G18" s="2">
        <v>2489305</v>
      </c>
      <c r="H18" s="2">
        <v>2461323</v>
      </c>
      <c r="I18" s="2">
        <v>2434900</v>
      </c>
      <c r="J18" s="2">
        <v>2408279</v>
      </c>
      <c r="K18" s="2">
        <v>2380187</v>
      </c>
      <c r="L18" s="2">
        <v>2351571</v>
      </c>
      <c r="M18" s="2">
        <v>2321684</v>
      </c>
      <c r="N18" s="2">
        <v>2291321</v>
      </c>
      <c r="O18" s="2">
        <v>2261668</v>
      </c>
      <c r="P18" s="2">
        <v>2233581</v>
      </c>
    </row>
    <row r="19" spans="1:16">
      <c r="A19" s="84" t="s">
        <v>112</v>
      </c>
      <c r="B19" s="85" t="s">
        <v>111</v>
      </c>
      <c r="C19" s="85" t="s">
        <v>92</v>
      </c>
      <c r="D19" s="84" t="s">
        <v>87</v>
      </c>
      <c r="E19" s="84">
        <v>1</v>
      </c>
      <c r="F19" s="2">
        <v>2986</v>
      </c>
      <c r="G19" s="2">
        <v>2979</v>
      </c>
      <c r="H19" s="2">
        <v>2965</v>
      </c>
      <c r="I19" s="2">
        <v>2946</v>
      </c>
      <c r="J19" s="2">
        <v>2921</v>
      </c>
      <c r="K19" s="2">
        <v>2893</v>
      </c>
      <c r="L19" s="2">
        <v>2867</v>
      </c>
      <c r="M19" s="2">
        <v>2837</v>
      </c>
      <c r="N19" s="2">
        <v>2804</v>
      </c>
      <c r="O19" s="2">
        <v>2770</v>
      </c>
      <c r="P19" s="2">
        <v>2735</v>
      </c>
    </row>
    <row r="20" spans="1:16">
      <c r="A20" s="84" t="s">
        <v>114</v>
      </c>
      <c r="B20" s="85" t="s">
        <v>113</v>
      </c>
      <c r="C20" s="85" t="s">
        <v>79</v>
      </c>
      <c r="D20" s="84" t="s">
        <v>80</v>
      </c>
      <c r="E20" s="84">
        <v>2</v>
      </c>
      <c r="F20" s="2">
        <v>84094</v>
      </c>
      <c r="G20" s="2">
        <v>82300</v>
      </c>
      <c r="H20" s="2">
        <v>82058</v>
      </c>
      <c r="I20" s="2">
        <v>82937</v>
      </c>
      <c r="J20" s="2">
        <v>84226</v>
      </c>
      <c r="K20" s="2">
        <v>85388</v>
      </c>
      <c r="L20" s="2">
        <v>86354</v>
      </c>
      <c r="M20" s="2">
        <v>87259</v>
      </c>
      <c r="N20" s="2">
        <v>88133</v>
      </c>
      <c r="O20" s="2">
        <v>89059</v>
      </c>
      <c r="P20" s="2">
        <v>90087</v>
      </c>
    </row>
    <row r="21" spans="1:16">
      <c r="A21" s="84" t="s">
        <v>116</v>
      </c>
      <c r="B21" s="85" t="s">
        <v>115</v>
      </c>
      <c r="C21" s="85" t="s">
        <v>79</v>
      </c>
      <c r="D21" s="84" t="s">
        <v>87</v>
      </c>
      <c r="E21" s="84">
        <v>1</v>
      </c>
      <c r="F21" s="2">
        <v>118972</v>
      </c>
      <c r="G21" s="2">
        <v>118666</v>
      </c>
      <c r="H21" s="2">
        <v>118778</v>
      </c>
      <c r="I21" s="2">
        <v>119184</v>
      </c>
      <c r="J21" s="2">
        <v>119682</v>
      </c>
      <c r="K21" s="2">
        <v>120118</v>
      </c>
      <c r="L21" s="2">
        <v>120636</v>
      </c>
      <c r="M21" s="2">
        <v>121103</v>
      </c>
      <c r="N21" s="2">
        <v>121512</v>
      </c>
      <c r="O21" s="2">
        <v>121874</v>
      </c>
      <c r="P21" s="2">
        <v>122194</v>
      </c>
    </row>
    <row r="22" spans="1:16">
      <c r="A22" s="84" t="s">
        <v>118</v>
      </c>
      <c r="B22" s="85" t="s">
        <v>117</v>
      </c>
      <c r="C22" s="85" t="s">
        <v>92</v>
      </c>
      <c r="D22" s="84" t="s">
        <v>80</v>
      </c>
      <c r="E22" s="84">
        <v>1</v>
      </c>
      <c r="F22" s="2">
        <v>7893</v>
      </c>
      <c r="G22" s="2">
        <v>7851</v>
      </c>
      <c r="H22" s="2">
        <v>7825</v>
      </c>
      <c r="I22" s="2">
        <v>7808</v>
      </c>
      <c r="J22" s="2">
        <v>7790</v>
      </c>
      <c r="K22" s="2">
        <v>7763</v>
      </c>
      <c r="L22" s="2">
        <v>7732</v>
      </c>
      <c r="M22" s="2">
        <v>7695</v>
      </c>
      <c r="N22" s="2">
        <v>7652</v>
      </c>
      <c r="O22" s="2">
        <v>7607</v>
      </c>
      <c r="P22" s="2">
        <v>7563</v>
      </c>
    </row>
    <row r="23" spans="1:16">
      <c r="A23" s="84" t="s">
        <v>120</v>
      </c>
      <c r="B23" s="85" t="s">
        <v>119</v>
      </c>
      <c r="C23" s="85" t="s">
        <v>83</v>
      </c>
      <c r="D23" s="84" t="s">
        <v>84</v>
      </c>
      <c r="E23" s="84">
        <v>3</v>
      </c>
      <c r="F23" s="2">
        <v>476522</v>
      </c>
      <c r="G23" s="2">
        <v>483712</v>
      </c>
      <c r="H23" s="2">
        <v>490943</v>
      </c>
      <c r="I23" s="2">
        <v>498170</v>
      </c>
      <c r="J23" s="2">
        <v>505346</v>
      </c>
      <c r="K23" s="2">
        <v>512433</v>
      </c>
      <c r="L23" s="2">
        <v>519389</v>
      </c>
      <c r="M23" s="2">
        <v>526292</v>
      </c>
      <c r="N23" s="2">
        <v>533105</v>
      </c>
      <c r="O23" s="2">
        <v>539789</v>
      </c>
      <c r="P23" s="2">
        <v>546320</v>
      </c>
    </row>
    <row r="24" spans="1:16">
      <c r="A24" s="84" t="s">
        <v>122</v>
      </c>
      <c r="B24" s="85" t="s">
        <v>121</v>
      </c>
      <c r="C24" s="85" t="s">
        <v>110</v>
      </c>
      <c r="D24" s="84" t="s">
        <v>84</v>
      </c>
      <c r="E24" s="84">
        <v>2</v>
      </c>
      <c r="F24" s="2">
        <v>10939</v>
      </c>
      <c r="G24" s="2">
        <v>10783</v>
      </c>
      <c r="H24" s="2">
        <v>10587</v>
      </c>
      <c r="I24" s="2">
        <v>10364</v>
      </c>
      <c r="J24" s="2">
        <v>10140</v>
      </c>
      <c r="K24" s="2">
        <v>9932</v>
      </c>
      <c r="L24" s="2">
        <v>9751</v>
      </c>
      <c r="M24" s="2">
        <v>9584</v>
      </c>
      <c r="N24" s="2">
        <v>9433</v>
      </c>
      <c r="O24" s="2">
        <v>9298</v>
      </c>
      <c r="P24" s="2">
        <v>9182</v>
      </c>
    </row>
    <row r="25" spans="1:16">
      <c r="A25" s="84" t="s">
        <v>124</v>
      </c>
      <c r="B25" s="85" t="s">
        <v>123</v>
      </c>
      <c r="C25" s="85" t="s">
        <v>92</v>
      </c>
      <c r="D25" s="84" t="s">
        <v>84</v>
      </c>
      <c r="E25" s="84">
        <v>2</v>
      </c>
      <c r="F25" s="2">
        <v>241987</v>
      </c>
      <c r="G25" s="2">
        <v>241232</v>
      </c>
      <c r="H25" s="2">
        <v>240667</v>
      </c>
      <c r="I25" s="2">
        <v>240236</v>
      </c>
      <c r="J25" s="2">
        <v>239843</v>
      </c>
      <c r="K25" s="2">
        <v>239404</v>
      </c>
      <c r="L25" s="2">
        <v>239055</v>
      </c>
      <c r="M25" s="2">
        <v>238700</v>
      </c>
      <c r="N25" s="2">
        <v>238269</v>
      </c>
      <c r="O25" s="2">
        <v>237666</v>
      </c>
      <c r="P25" s="2">
        <v>236828</v>
      </c>
    </row>
    <row r="26" spans="1:16">
      <c r="A26" s="84" t="s">
        <v>126</v>
      </c>
      <c r="B26" s="85" t="s">
        <v>125</v>
      </c>
      <c r="C26" s="85" t="s">
        <v>79</v>
      </c>
      <c r="D26" s="84" t="s">
        <v>80</v>
      </c>
      <c r="E26" s="84">
        <v>1</v>
      </c>
      <c r="F26" s="2">
        <v>22287</v>
      </c>
      <c r="G26" s="2">
        <v>22126</v>
      </c>
      <c r="H26" s="2">
        <v>22121</v>
      </c>
      <c r="I26" s="2">
        <v>22211</v>
      </c>
      <c r="J26" s="2">
        <v>22307</v>
      </c>
      <c r="K26" s="2">
        <v>22338</v>
      </c>
      <c r="L26" s="2">
        <v>22304</v>
      </c>
      <c r="M26" s="2">
        <v>22209</v>
      </c>
      <c r="N26" s="2">
        <v>22064</v>
      </c>
      <c r="O26" s="2">
        <v>21894</v>
      </c>
      <c r="P26" s="2">
        <v>21721</v>
      </c>
    </row>
    <row r="27" spans="1:16">
      <c r="A27" s="84" t="s">
        <v>128</v>
      </c>
      <c r="B27" s="85" t="s">
        <v>127</v>
      </c>
      <c r="C27" s="85" t="s">
        <v>83</v>
      </c>
      <c r="D27" s="84" t="s">
        <v>80</v>
      </c>
      <c r="E27" s="84">
        <v>2</v>
      </c>
      <c r="F27" s="2">
        <v>54304</v>
      </c>
      <c r="G27" s="2">
        <v>54525</v>
      </c>
      <c r="H27" s="2">
        <v>54671</v>
      </c>
      <c r="I27" s="2">
        <v>54764</v>
      </c>
      <c r="J27" s="2">
        <v>54841</v>
      </c>
      <c r="K27" s="2">
        <v>54932</v>
      </c>
      <c r="L27" s="2">
        <v>55084</v>
      </c>
      <c r="M27" s="2">
        <v>55244</v>
      </c>
      <c r="N27" s="2">
        <v>55384</v>
      </c>
      <c r="O27" s="2">
        <v>55472</v>
      </c>
      <c r="P27" s="2">
        <v>55484</v>
      </c>
    </row>
    <row r="28" spans="1:16">
      <c r="A28" s="84" t="s">
        <v>130</v>
      </c>
      <c r="B28" s="85" t="s">
        <v>129</v>
      </c>
      <c r="C28" s="85" t="s">
        <v>92</v>
      </c>
      <c r="D28" s="84" t="s">
        <v>80</v>
      </c>
      <c r="E28" s="84" t="s">
        <v>76</v>
      </c>
      <c r="F28" s="2">
        <v>2511946</v>
      </c>
      <c r="G28" s="2">
        <v>2492137</v>
      </c>
      <c r="H28" s="2">
        <v>2469079</v>
      </c>
      <c r="I28" s="2">
        <v>2443271</v>
      </c>
      <c r="J28" s="2">
        <v>2415734</v>
      </c>
      <c r="K28" s="2">
        <v>2387322</v>
      </c>
      <c r="L28" s="2">
        <v>2359889</v>
      </c>
      <c r="M28" s="2">
        <v>2331427</v>
      </c>
      <c r="N28" s="2">
        <v>2302988</v>
      </c>
      <c r="O28" s="2">
        <v>2276043</v>
      </c>
      <c r="P28" s="2">
        <v>2251652</v>
      </c>
    </row>
    <row r="29" spans="1:16">
      <c r="A29" s="84" t="s">
        <v>132</v>
      </c>
      <c r="B29" s="85" t="s">
        <v>131</v>
      </c>
      <c r="C29" s="85" t="s">
        <v>99</v>
      </c>
      <c r="D29" s="84" t="s">
        <v>87</v>
      </c>
      <c r="E29" s="84">
        <v>1</v>
      </c>
      <c r="F29" s="2">
        <v>5395</v>
      </c>
      <c r="G29" s="2">
        <v>5302</v>
      </c>
      <c r="H29" s="2">
        <v>5241</v>
      </c>
      <c r="I29" s="2">
        <v>5203</v>
      </c>
      <c r="J29" s="2">
        <v>5174</v>
      </c>
      <c r="K29" s="2">
        <v>5144</v>
      </c>
      <c r="L29" s="2">
        <v>5120</v>
      </c>
      <c r="M29" s="2">
        <v>5096</v>
      </c>
      <c r="N29" s="2">
        <v>5075</v>
      </c>
      <c r="O29" s="2">
        <v>5055</v>
      </c>
      <c r="P29" s="2">
        <v>5038</v>
      </c>
    </row>
    <row r="30" spans="1:16">
      <c r="A30" s="84" t="s">
        <v>134</v>
      </c>
      <c r="B30" s="85" t="s">
        <v>133</v>
      </c>
      <c r="C30" s="85" t="s">
        <v>79</v>
      </c>
      <c r="D30" s="84" t="s">
        <v>80</v>
      </c>
      <c r="E30" s="84">
        <v>1</v>
      </c>
      <c r="F30" s="2">
        <v>53902</v>
      </c>
      <c r="G30" s="2">
        <v>53523</v>
      </c>
      <c r="H30" s="2">
        <v>53152</v>
      </c>
      <c r="I30" s="2">
        <v>52807</v>
      </c>
      <c r="J30" s="2">
        <v>52523</v>
      </c>
      <c r="K30" s="2">
        <v>52323</v>
      </c>
      <c r="L30" s="2">
        <v>52201</v>
      </c>
      <c r="M30" s="2">
        <v>52141</v>
      </c>
      <c r="N30" s="2">
        <v>52113</v>
      </c>
      <c r="O30" s="2">
        <v>52076</v>
      </c>
      <c r="P30" s="2">
        <v>52000</v>
      </c>
    </row>
    <row r="31" spans="1:16">
      <c r="A31" s="84" t="s">
        <v>136</v>
      </c>
      <c r="B31" s="85" t="s">
        <v>135</v>
      </c>
      <c r="C31" s="85" t="s">
        <v>83</v>
      </c>
      <c r="D31" s="84" t="s">
        <v>75</v>
      </c>
      <c r="E31" s="84">
        <v>3</v>
      </c>
      <c r="F31" s="2">
        <v>870205</v>
      </c>
      <c r="G31" s="2">
        <v>883882</v>
      </c>
      <c r="H31" s="2">
        <v>897219</v>
      </c>
      <c r="I31" s="2">
        <v>910230</v>
      </c>
      <c r="J31" s="2">
        <v>922990</v>
      </c>
      <c r="K31" s="2">
        <v>935560</v>
      </c>
      <c r="L31" s="2">
        <v>947949</v>
      </c>
      <c r="M31" s="2">
        <v>960172</v>
      </c>
      <c r="N31" s="2">
        <v>972123</v>
      </c>
      <c r="O31" s="2">
        <v>983684</v>
      </c>
      <c r="P31" s="2">
        <v>994772</v>
      </c>
    </row>
    <row r="32" spans="1:16">
      <c r="A32" s="84" t="s">
        <v>138</v>
      </c>
      <c r="B32" s="85" t="s">
        <v>137</v>
      </c>
      <c r="C32" s="85" t="s">
        <v>83</v>
      </c>
      <c r="D32" s="84" t="s">
        <v>75</v>
      </c>
      <c r="E32" s="84">
        <v>3</v>
      </c>
      <c r="F32" s="2">
        <v>496204</v>
      </c>
      <c r="G32" s="2">
        <v>503605</v>
      </c>
      <c r="H32" s="2">
        <v>511504</v>
      </c>
      <c r="I32" s="2">
        <v>519760.99999999994</v>
      </c>
      <c r="J32" s="2">
        <v>528170</v>
      </c>
      <c r="K32" s="2">
        <v>536560</v>
      </c>
      <c r="L32" s="2">
        <v>544889</v>
      </c>
      <c r="M32" s="2">
        <v>553209</v>
      </c>
      <c r="N32" s="2">
        <v>561491</v>
      </c>
      <c r="O32" s="2">
        <v>569716</v>
      </c>
      <c r="P32" s="2">
        <v>577868</v>
      </c>
    </row>
    <row r="33" spans="1:16">
      <c r="A33" s="84" t="s">
        <v>140</v>
      </c>
      <c r="B33" s="85" t="s">
        <v>139</v>
      </c>
      <c r="C33" s="85" t="s">
        <v>99</v>
      </c>
      <c r="D33" s="84" t="s">
        <v>84</v>
      </c>
      <c r="E33" s="84">
        <v>4</v>
      </c>
      <c r="F33" s="2">
        <v>332712</v>
      </c>
      <c r="G33" s="2">
        <v>333107</v>
      </c>
      <c r="H33" s="2">
        <v>333741</v>
      </c>
      <c r="I33" s="2">
        <v>334463</v>
      </c>
      <c r="J33" s="2">
        <v>335085</v>
      </c>
      <c r="K33" s="2">
        <v>335455</v>
      </c>
      <c r="L33" s="2">
        <v>335658</v>
      </c>
      <c r="M33" s="2">
        <v>335579</v>
      </c>
      <c r="N33" s="2">
        <v>335117</v>
      </c>
      <c r="O33" s="2">
        <v>334183</v>
      </c>
      <c r="P33" s="2">
        <v>332730</v>
      </c>
    </row>
    <row r="34" spans="1:16">
      <c r="A34" s="84" t="s">
        <v>142</v>
      </c>
      <c r="B34" s="85" t="s">
        <v>141</v>
      </c>
      <c r="C34" s="85" t="s">
        <v>83</v>
      </c>
      <c r="D34" s="84" t="s">
        <v>84</v>
      </c>
      <c r="E34" s="84">
        <v>3</v>
      </c>
      <c r="F34" s="2">
        <v>983852</v>
      </c>
      <c r="G34" s="2">
        <v>995597</v>
      </c>
      <c r="H34" s="2">
        <v>1007108</v>
      </c>
      <c r="I34" s="2">
        <v>1018497</v>
      </c>
      <c r="J34" s="2">
        <v>1029958.0000000001</v>
      </c>
      <c r="K34" s="2">
        <v>1041622.0000000001</v>
      </c>
      <c r="L34" s="2">
        <v>1053642</v>
      </c>
      <c r="M34" s="2">
        <v>1065898</v>
      </c>
      <c r="N34" s="2">
        <v>1078180</v>
      </c>
      <c r="O34" s="2">
        <v>1090203</v>
      </c>
      <c r="P34" s="2">
        <v>1101755</v>
      </c>
    </row>
    <row r="35" spans="1:16">
      <c r="A35" s="84" t="s">
        <v>144</v>
      </c>
      <c r="B35" s="85" t="s">
        <v>143</v>
      </c>
      <c r="C35" s="85" t="s">
        <v>92</v>
      </c>
      <c r="D35" s="84" t="s">
        <v>87</v>
      </c>
      <c r="E35" s="84">
        <v>1</v>
      </c>
      <c r="F35" s="2">
        <v>399804</v>
      </c>
      <c r="G35" s="2">
        <v>400929</v>
      </c>
      <c r="H35" s="2">
        <v>401429</v>
      </c>
      <c r="I35" s="2">
        <v>401606</v>
      </c>
      <c r="J35" s="2">
        <v>401913</v>
      </c>
      <c r="K35" s="2">
        <v>402674</v>
      </c>
      <c r="L35" s="2">
        <v>404716</v>
      </c>
      <c r="M35" s="2">
        <v>407165</v>
      </c>
      <c r="N35" s="2">
        <v>409873</v>
      </c>
      <c r="O35" s="2">
        <v>412608</v>
      </c>
      <c r="P35" s="2">
        <v>415183</v>
      </c>
    </row>
    <row r="36" spans="1:16">
      <c r="A36" s="84" t="s">
        <v>146</v>
      </c>
      <c r="B36" s="85" t="s">
        <v>145</v>
      </c>
      <c r="C36" s="85" t="s">
        <v>83</v>
      </c>
      <c r="D36" s="84" t="s">
        <v>84</v>
      </c>
      <c r="E36" s="84">
        <v>2</v>
      </c>
      <c r="F36" s="2">
        <v>9099</v>
      </c>
      <c r="G36" s="2">
        <v>9012</v>
      </c>
      <c r="H36" s="2">
        <v>8949</v>
      </c>
      <c r="I36" s="2">
        <v>8905</v>
      </c>
      <c r="J36" s="2">
        <v>8862</v>
      </c>
      <c r="K36" s="2">
        <v>8812</v>
      </c>
      <c r="L36" s="2">
        <v>8757</v>
      </c>
      <c r="M36" s="2">
        <v>8695</v>
      </c>
      <c r="N36" s="2">
        <v>8628</v>
      </c>
      <c r="O36" s="2">
        <v>8562</v>
      </c>
      <c r="P36" s="2">
        <v>8498</v>
      </c>
    </row>
    <row r="37" spans="1:16">
      <c r="A37" s="84" t="s">
        <v>148</v>
      </c>
      <c r="B37" s="85" t="s">
        <v>147</v>
      </c>
      <c r="C37" s="85" t="s">
        <v>83</v>
      </c>
      <c r="D37" s="84" t="s">
        <v>75</v>
      </c>
      <c r="E37" s="84">
        <v>3</v>
      </c>
      <c r="F37" s="2">
        <v>179226</v>
      </c>
      <c r="G37" s="2">
        <v>180243</v>
      </c>
      <c r="H37" s="2">
        <v>181264</v>
      </c>
      <c r="I37" s="2">
        <v>182221</v>
      </c>
      <c r="J37" s="2">
        <v>183028</v>
      </c>
      <c r="K37" s="2">
        <v>183621</v>
      </c>
      <c r="L37" s="2">
        <v>183956</v>
      </c>
      <c r="M37" s="2">
        <v>184121</v>
      </c>
      <c r="N37" s="2">
        <v>184166</v>
      </c>
      <c r="O37" s="2">
        <v>184158</v>
      </c>
      <c r="P37" s="2">
        <v>184147</v>
      </c>
    </row>
    <row r="38" spans="1:16">
      <c r="A38" s="84" t="s">
        <v>150</v>
      </c>
      <c r="B38" s="85" t="s">
        <v>149</v>
      </c>
      <c r="C38" s="85" t="s">
        <v>83</v>
      </c>
      <c r="D38" s="84" t="s">
        <v>75</v>
      </c>
      <c r="E38" s="84" t="s">
        <v>76</v>
      </c>
      <c r="F38" s="2">
        <v>733710</v>
      </c>
      <c r="G38" s="2">
        <v>743419</v>
      </c>
      <c r="H38" s="2">
        <v>753198</v>
      </c>
      <c r="I38" s="2">
        <v>762912</v>
      </c>
      <c r="J38" s="2">
        <v>772393</v>
      </c>
      <c r="K38" s="2">
        <v>781523</v>
      </c>
      <c r="L38" s="2">
        <v>789749</v>
      </c>
      <c r="M38" s="2">
        <v>797706</v>
      </c>
      <c r="N38" s="2">
        <v>805515</v>
      </c>
      <c r="O38" s="2">
        <v>813357</v>
      </c>
      <c r="P38" s="2">
        <v>821350</v>
      </c>
    </row>
    <row r="39" spans="1:16">
      <c r="A39" s="84" t="s">
        <v>152</v>
      </c>
      <c r="B39" s="85" t="s">
        <v>151</v>
      </c>
      <c r="C39" s="85" t="s">
        <v>92</v>
      </c>
      <c r="D39" s="84" t="s">
        <v>87</v>
      </c>
      <c r="E39" s="84">
        <v>2</v>
      </c>
      <c r="F39" s="2">
        <v>200425</v>
      </c>
      <c r="G39" s="2">
        <v>198508</v>
      </c>
      <c r="H39" s="2">
        <v>198456</v>
      </c>
      <c r="I39" s="2">
        <v>199500</v>
      </c>
      <c r="J39" s="2">
        <v>200482</v>
      </c>
      <c r="K39" s="2">
        <v>200561</v>
      </c>
      <c r="L39" s="2">
        <v>199757</v>
      </c>
      <c r="M39" s="2">
        <v>198127</v>
      </c>
      <c r="N39" s="2">
        <v>196040</v>
      </c>
      <c r="O39" s="2">
        <v>194078</v>
      </c>
      <c r="P39" s="2">
        <v>192649</v>
      </c>
    </row>
    <row r="40" spans="1:16">
      <c r="A40" s="84" t="s">
        <v>154</v>
      </c>
      <c r="B40" s="85" t="s">
        <v>153</v>
      </c>
      <c r="C40" s="85" t="s">
        <v>99</v>
      </c>
      <c r="D40" s="84" t="s">
        <v>80</v>
      </c>
      <c r="E40" s="84">
        <v>1</v>
      </c>
      <c r="F40" s="2">
        <v>14139260</v>
      </c>
      <c r="G40" s="2">
        <v>14077286</v>
      </c>
      <c r="H40" s="2">
        <v>13997268</v>
      </c>
      <c r="I40" s="2">
        <v>13904630</v>
      </c>
      <c r="J40" s="2">
        <v>13809850</v>
      </c>
      <c r="K40" s="2">
        <v>13720911</v>
      </c>
      <c r="L40" s="2">
        <v>13652009</v>
      </c>
      <c r="M40" s="2">
        <v>13585091</v>
      </c>
      <c r="N40" s="2">
        <v>13521676</v>
      </c>
      <c r="O40" s="2">
        <v>13464045</v>
      </c>
      <c r="P40" s="2">
        <v>13413139</v>
      </c>
    </row>
    <row r="41" spans="1:16">
      <c r="A41" s="84" t="s">
        <v>156</v>
      </c>
      <c r="B41" s="85" t="s">
        <v>155</v>
      </c>
      <c r="C41" s="85" t="s">
        <v>92</v>
      </c>
      <c r="D41" s="84" t="s">
        <v>80</v>
      </c>
      <c r="E41" s="84">
        <v>2</v>
      </c>
      <c r="F41" s="2">
        <v>640771</v>
      </c>
      <c r="G41" s="2">
        <v>636441</v>
      </c>
      <c r="H41" s="2">
        <v>630342</v>
      </c>
      <c r="I41" s="2">
        <v>622977</v>
      </c>
      <c r="J41" s="2">
        <v>615227</v>
      </c>
      <c r="K41" s="2">
        <v>607761</v>
      </c>
      <c r="L41" s="2">
        <v>601141</v>
      </c>
      <c r="M41" s="2">
        <v>594633</v>
      </c>
      <c r="N41" s="2">
        <v>588324</v>
      </c>
      <c r="O41" s="2">
        <v>582310</v>
      </c>
      <c r="P41" s="2">
        <v>576653</v>
      </c>
    </row>
    <row r="42" spans="1:16">
      <c r="A42" s="84" t="s">
        <v>158</v>
      </c>
      <c r="B42" s="85" t="s">
        <v>157</v>
      </c>
      <c r="C42" s="85" t="s">
        <v>83</v>
      </c>
      <c r="D42" s="84" t="s">
        <v>84</v>
      </c>
      <c r="E42" s="84">
        <v>3</v>
      </c>
      <c r="F42" s="2">
        <v>27623</v>
      </c>
      <c r="G42" s="2">
        <v>27855</v>
      </c>
      <c r="H42" s="2">
        <v>28101</v>
      </c>
      <c r="I42" s="2">
        <v>28354</v>
      </c>
      <c r="J42" s="2">
        <v>28604</v>
      </c>
      <c r="K42" s="2">
        <v>28840</v>
      </c>
      <c r="L42" s="2">
        <v>29066</v>
      </c>
      <c r="M42" s="2">
        <v>29279</v>
      </c>
      <c r="N42" s="2">
        <v>29484</v>
      </c>
      <c r="O42" s="2">
        <v>29684</v>
      </c>
      <c r="P42" s="2">
        <v>29881</v>
      </c>
    </row>
    <row r="43" spans="1:16">
      <c r="A43" s="84" t="s">
        <v>160</v>
      </c>
      <c r="B43" s="85" t="s">
        <v>159</v>
      </c>
      <c r="C43" s="85" t="s">
        <v>83</v>
      </c>
      <c r="D43" s="84" t="s">
        <v>84</v>
      </c>
      <c r="E43" s="84">
        <v>3</v>
      </c>
      <c r="F43" s="2">
        <v>202403</v>
      </c>
      <c r="G43" s="2">
        <v>205920</v>
      </c>
      <c r="H43" s="2">
        <v>209514</v>
      </c>
      <c r="I43" s="2">
        <v>213109</v>
      </c>
      <c r="J43" s="2">
        <v>216608</v>
      </c>
      <c r="K43" s="2">
        <v>219947</v>
      </c>
      <c r="L43" s="2">
        <v>223197</v>
      </c>
      <c r="M43" s="2">
        <v>226293</v>
      </c>
      <c r="N43" s="2">
        <v>229274</v>
      </c>
      <c r="O43" s="2">
        <v>232201</v>
      </c>
      <c r="P43" s="2">
        <v>235115</v>
      </c>
    </row>
    <row r="44" spans="1:16">
      <c r="A44" s="84" t="s">
        <v>162</v>
      </c>
      <c r="B44" s="85" t="s">
        <v>161</v>
      </c>
      <c r="C44" s="85" t="s">
        <v>99</v>
      </c>
      <c r="D44" s="84" t="e">
        <v>#N/A</v>
      </c>
      <c r="E44" s="84">
        <v>1</v>
      </c>
      <c r="F44" s="2">
        <v>0</v>
      </c>
      <c r="G44" s="2">
        <v>0</v>
      </c>
      <c r="H44" s="2">
        <v>0</v>
      </c>
      <c r="I44" s="2">
        <v>0</v>
      </c>
      <c r="J44" s="2">
        <v>0</v>
      </c>
      <c r="K44" s="2">
        <v>0</v>
      </c>
      <c r="L44" s="2">
        <v>0</v>
      </c>
      <c r="M44" s="2">
        <v>0</v>
      </c>
      <c r="N44" s="2">
        <v>0</v>
      </c>
      <c r="O44" s="2">
        <v>0</v>
      </c>
      <c r="P44" s="2">
        <v>0</v>
      </c>
    </row>
    <row r="45" spans="1:16">
      <c r="A45" s="84" t="s">
        <v>164</v>
      </c>
      <c r="B45" s="85" t="s">
        <v>163</v>
      </c>
      <c r="C45" s="85" t="s">
        <v>92</v>
      </c>
      <c r="D45" s="84" t="s">
        <v>80</v>
      </c>
      <c r="E45" s="84">
        <v>2</v>
      </c>
      <c r="F45" s="2">
        <v>60020</v>
      </c>
      <c r="G45" s="2">
        <v>59638</v>
      </c>
      <c r="H45" s="2">
        <v>59359</v>
      </c>
      <c r="I45" s="2">
        <v>59126</v>
      </c>
      <c r="J45" s="2">
        <v>58857</v>
      </c>
      <c r="K45" s="2">
        <v>58492</v>
      </c>
      <c r="L45" s="2">
        <v>58066</v>
      </c>
      <c r="M45" s="2">
        <v>57547</v>
      </c>
      <c r="N45" s="2">
        <v>56979</v>
      </c>
      <c r="O45" s="2">
        <v>56429</v>
      </c>
      <c r="P45" s="2">
        <v>55945</v>
      </c>
    </row>
    <row r="46" spans="1:16">
      <c r="A46" s="84" t="s">
        <v>166</v>
      </c>
      <c r="B46" s="85" t="s">
        <v>165</v>
      </c>
      <c r="C46" s="85" t="s">
        <v>83</v>
      </c>
      <c r="D46" s="84" t="s">
        <v>84</v>
      </c>
      <c r="E46" s="84">
        <v>3</v>
      </c>
      <c r="F46" s="2">
        <v>1019211</v>
      </c>
      <c r="G46" s="2">
        <v>1033183</v>
      </c>
      <c r="H46" s="2">
        <v>1046627</v>
      </c>
      <c r="I46" s="2">
        <v>1059805</v>
      </c>
      <c r="J46" s="2">
        <v>1073101</v>
      </c>
      <c r="K46" s="2">
        <v>1086784</v>
      </c>
      <c r="L46" s="2">
        <v>1101066</v>
      </c>
      <c r="M46" s="2">
        <v>1115745</v>
      </c>
      <c r="N46" s="2">
        <v>1130605</v>
      </c>
      <c r="O46" s="2">
        <v>1145330</v>
      </c>
      <c r="P46" s="2">
        <v>1159681</v>
      </c>
    </row>
    <row r="47" spans="1:16">
      <c r="A47" s="84" t="s">
        <v>168</v>
      </c>
      <c r="B47" s="85" t="s">
        <v>167</v>
      </c>
      <c r="C47" s="85" t="s">
        <v>79</v>
      </c>
      <c r="D47" s="84" t="s">
        <v>87</v>
      </c>
      <c r="E47" s="84">
        <v>1</v>
      </c>
      <c r="F47" s="2">
        <v>30929</v>
      </c>
      <c r="G47" s="2">
        <v>30633</v>
      </c>
      <c r="H47" s="2">
        <v>30338</v>
      </c>
      <c r="I47" s="2">
        <v>30051</v>
      </c>
      <c r="J47" s="2">
        <v>29780</v>
      </c>
      <c r="K47" s="2">
        <v>29532</v>
      </c>
      <c r="L47" s="2">
        <v>29319</v>
      </c>
      <c r="M47" s="2">
        <v>29124</v>
      </c>
      <c r="N47" s="2">
        <v>28950</v>
      </c>
      <c r="O47" s="2">
        <v>28803</v>
      </c>
      <c r="P47" s="2">
        <v>28684</v>
      </c>
    </row>
    <row r="48" spans="1:16">
      <c r="A48" s="84" t="s">
        <v>170</v>
      </c>
      <c r="B48" s="85" t="s">
        <v>169</v>
      </c>
      <c r="C48" s="85" t="s">
        <v>92</v>
      </c>
      <c r="D48" s="84" t="s">
        <v>80</v>
      </c>
      <c r="E48" s="84">
        <v>1</v>
      </c>
      <c r="F48" s="2">
        <v>96007</v>
      </c>
      <c r="G48" s="2">
        <v>94748</v>
      </c>
      <c r="H48" s="2">
        <v>93936</v>
      </c>
      <c r="I48" s="2">
        <v>93423</v>
      </c>
      <c r="J48" s="2">
        <v>92972</v>
      </c>
      <c r="K48" s="2">
        <v>92403</v>
      </c>
      <c r="L48" s="2">
        <v>91790</v>
      </c>
      <c r="M48" s="2">
        <v>91107</v>
      </c>
      <c r="N48" s="2">
        <v>90355</v>
      </c>
      <c r="O48" s="2">
        <v>89549</v>
      </c>
      <c r="P48" s="2">
        <v>88700</v>
      </c>
    </row>
    <row r="49" spans="1:16">
      <c r="A49" s="84" t="s">
        <v>172</v>
      </c>
      <c r="B49" s="85" t="s">
        <v>171</v>
      </c>
      <c r="C49" s="85" t="s">
        <v>79</v>
      </c>
      <c r="D49" s="84" t="s">
        <v>87</v>
      </c>
      <c r="E49" s="84">
        <v>1</v>
      </c>
      <c r="F49" s="2">
        <v>11143</v>
      </c>
      <c r="G49" s="2">
        <v>11186</v>
      </c>
      <c r="H49" s="2">
        <v>11203</v>
      </c>
      <c r="I49" s="2">
        <v>11205</v>
      </c>
      <c r="J49" s="2">
        <v>11206</v>
      </c>
      <c r="K49" s="2">
        <v>11217</v>
      </c>
      <c r="L49" s="2">
        <v>11249</v>
      </c>
      <c r="M49" s="2">
        <v>11287</v>
      </c>
      <c r="N49" s="2">
        <v>11323</v>
      </c>
      <c r="O49" s="2">
        <v>11350</v>
      </c>
      <c r="P49" s="2">
        <v>11361</v>
      </c>
    </row>
    <row r="50" spans="1:16">
      <c r="A50" s="84" t="s">
        <v>174</v>
      </c>
      <c r="B50" s="85" t="s">
        <v>173</v>
      </c>
      <c r="C50" s="85" t="s">
        <v>79</v>
      </c>
      <c r="D50" s="84" t="s">
        <v>87</v>
      </c>
      <c r="E50" s="84">
        <v>1</v>
      </c>
      <c r="F50" s="2">
        <v>97295</v>
      </c>
      <c r="G50" s="2">
        <v>97349</v>
      </c>
      <c r="H50" s="2">
        <v>97042</v>
      </c>
      <c r="I50" s="2">
        <v>96590</v>
      </c>
      <c r="J50" s="2">
        <v>96331</v>
      </c>
      <c r="K50" s="2">
        <v>96502</v>
      </c>
      <c r="L50" s="2">
        <v>97246</v>
      </c>
      <c r="M50" s="2">
        <v>98342</v>
      </c>
      <c r="N50" s="2">
        <v>99639</v>
      </c>
      <c r="O50" s="2">
        <v>100916</v>
      </c>
      <c r="P50" s="2">
        <v>102004</v>
      </c>
    </row>
    <row r="51" spans="1:16">
      <c r="A51" s="84" t="s">
        <v>176</v>
      </c>
      <c r="B51" s="85" t="s">
        <v>175</v>
      </c>
      <c r="C51" s="85" t="s">
        <v>110</v>
      </c>
      <c r="D51" s="84" t="s">
        <v>75</v>
      </c>
      <c r="E51" s="84">
        <v>4</v>
      </c>
      <c r="F51" s="2">
        <v>331199</v>
      </c>
      <c r="G51" s="2">
        <v>326859</v>
      </c>
      <c r="H51" s="2">
        <v>321399</v>
      </c>
      <c r="I51" s="2">
        <v>315335</v>
      </c>
      <c r="J51" s="2">
        <v>309406</v>
      </c>
      <c r="K51" s="2">
        <v>304162</v>
      </c>
      <c r="L51" s="2">
        <v>300010</v>
      </c>
      <c r="M51" s="2">
        <v>296583</v>
      </c>
      <c r="N51" s="2">
        <v>293834</v>
      </c>
      <c r="O51" s="2">
        <v>291627</v>
      </c>
      <c r="P51" s="2">
        <v>289845</v>
      </c>
    </row>
    <row r="52" spans="1:16">
      <c r="A52" s="84" t="s">
        <v>178</v>
      </c>
      <c r="B52" s="85" t="s">
        <v>177</v>
      </c>
      <c r="C52" s="85" t="s">
        <v>83</v>
      </c>
      <c r="D52" s="84" t="s">
        <v>75</v>
      </c>
      <c r="E52" s="84" t="s">
        <v>76</v>
      </c>
      <c r="F52" s="2">
        <v>4035831</v>
      </c>
      <c r="G52" s="2">
        <v>4103502.0000000005</v>
      </c>
      <c r="H52" s="2">
        <v>4171310.9999999995</v>
      </c>
      <c r="I52" s="2">
        <v>4238152</v>
      </c>
      <c r="J52" s="2">
        <v>4302778</v>
      </c>
      <c r="K52" s="2">
        <v>4364314</v>
      </c>
      <c r="L52" s="2">
        <v>4420531</v>
      </c>
      <c r="M52" s="2">
        <v>4474058</v>
      </c>
      <c r="N52" s="2">
        <v>4525310</v>
      </c>
      <c r="O52" s="2">
        <v>4575109</v>
      </c>
      <c r="P52" s="2">
        <v>4624047</v>
      </c>
    </row>
    <row r="53" spans="1:16">
      <c r="A53" s="84" t="s">
        <v>180</v>
      </c>
      <c r="B53" s="85" t="s">
        <v>179</v>
      </c>
      <c r="C53" s="85" t="s">
        <v>79</v>
      </c>
      <c r="D53" s="84" t="s">
        <v>87</v>
      </c>
      <c r="E53" s="84">
        <v>1</v>
      </c>
      <c r="F53" s="2">
        <v>67589</v>
      </c>
      <c r="G53" s="2">
        <v>67593</v>
      </c>
      <c r="H53" s="2">
        <v>67371</v>
      </c>
      <c r="I53" s="2">
        <v>66999</v>
      </c>
      <c r="J53" s="2">
        <v>66586</v>
      </c>
      <c r="K53" s="2">
        <v>66213</v>
      </c>
      <c r="L53" s="2">
        <v>65973</v>
      </c>
      <c r="M53" s="2">
        <v>65773</v>
      </c>
      <c r="N53" s="2">
        <v>65594</v>
      </c>
      <c r="O53" s="2">
        <v>65400.999999999993</v>
      </c>
      <c r="P53" s="2">
        <v>65170</v>
      </c>
    </row>
    <row r="54" spans="1:16">
      <c r="A54" s="84" t="s">
        <v>182</v>
      </c>
      <c r="B54" s="85" t="s">
        <v>181</v>
      </c>
      <c r="C54" s="85" t="s">
        <v>74</v>
      </c>
      <c r="D54" s="84" t="s">
        <v>84</v>
      </c>
      <c r="E54" s="84">
        <v>3</v>
      </c>
      <c r="F54" s="2">
        <v>18233</v>
      </c>
      <c r="G54" s="2">
        <v>18071</v>
      </c>
      <c r="H54" s="2">
        <v>17935</v>
      </c>
      <c r="I54" s="2">
        <v>17821</v>
      </c>
      <c r="J54" s="2">
        <v>17724</v>
      </c>
      <c r="K54" s="2">
        <v>17637</v>
      </c>
      <c r="L54" s="2">
        <v>17574</v>
      </c>
      <c r="M54" s="2">
        <v>17526</v>
      </c>
      <c r="N54" s="2">
        <v>17490</v>
      </c>
      <c r="O54" s="2">
        <v>17466</v>
      </c>
      <c r="P54" s="2">
        <v>17452</v>
      </c>
    </row>
    <row r="55" spans="1:16">
      <c r="A55" s="84" t="s">
        <v>184</v>
      </c>
      <c r="B55" s="85" t="s">
        <v>183</v>
      </c>
      <c r="C55" s="85" t="s">
        <v>92</v>
      </c>
      <c r="D55" s="84" t="s">
        <v>80</v>
      </c>
      <c r="E55" s="84">
        <v>2</v>
      </c>
      <c r="F55" s="2">
        <v>182787</v>
      </c>
      <c r="G55" s="2">
        <v>181485</v>
      </c>
      <c r="H55" s="2">
        <v>180046</v>
      </c>
      <c r="I55" s="2">
        <v>178520</v>
      </c>
      <c r="J55" s="2">
        <v>176978</v>
      </c>
      <c r="K55" s="2">
        <v>175477</v>
      </c>
      <c r="L55" s="2">
        <v>174114</v>
      </c>
      <c r="M55" s="2">
        <v>172783</v>
      </c>
      <c r="N55" s="2">
        <v>171470</v>
      </c>
      <c r="O55" s="2">
        <v>170157</v>
      </c>
      <c r="P55" s="2">
        <v>168831</v>
      </c>
    </row>
    <row r="56" spans="1:16">
      <c r="A56" s="84" t="s">
        <v>184</v>
      </c>
      <c r="B56" s="85" t="s">
        <v>185</v>
      </c>
      <c r="C56" s="85" t="s">
        <v>92</v>
      </c>
      <c r="D56" s="84" t="s">
        <v>80</v>
      </c>
      <c r="E56" s="84">
        <v>2</v>
      </c>
      <c r="F56" s="2">
        <v>182787</v>
      </c>
      <c r="G56" s="2">
        <v>181485</v>
      </c>
      <c r="H56" s="2">
        <v>180046</v>
      </c>
      <c r="I56" s="2">
        <v>178520</v>
      </c>
      <c r="J56" s="2">
        <v>176978</v>
      </c>
      <c r="K56" s="2">
        <v>175477</v>
      </c>
      <c r="L56" s="2">
        <v>174114</v>
      </c>
      <c r="M56" s="2">
        <v>172783</v>
      </c>
      <c r="N56" s="2">
        <v>171470</v>
      </c>
      <c r="O56" s="2">
        <v>170157</v>
      </c>
      <c r="P56" s="2">
        <v>168831</v>
      </c>
    </row>
    <row r="57" spans="1:16">
      <c r="A57" s="84" t="s">
        <v>187</v>
      </c>
      <c r="B57" s="85" t="s">
        <v>186</v>
      </c>
      <c r="C57" s="85" t="s">
        <v>92</v>
      </c>
      <c r="D57" s="84" t="s">
        <v>80</v>
      </c>
      <c r="E57" s="84">
        <v>2</v>
      </c>
      <c r="F57" s="2">
        <v>322288</v>
      </c>
      <c r="G57" s="2">
        <v>321587</v>
      </c>
      <c r="H57" s="2">
        <v>320755</v>
      </c>
      <c r="I57" s="2">
        <v>319798</v>
      </c>
      <c r="J57" s="2">
        <v>318735</v>
      </c>
      <c r="K57" s="2">
        <v>317581</v>
      </c>
      <c r="L57" s="2">
        <v>316508</v>
      </c>
      <c r="M57" s="2">
        <v>315333</v>
      </c>
      <c r="N57" s="2">
        <v>314066</v>
      </c>
      <c r="O57" s="2">
        <v>312729</v>
      </c>
      <c r="P57" s="2">
        <v>311336</v>
      </c>
    </row>
    <row r="58" spans="1:16">
      <c r="A58" s="84" t="s">
        <v>189</v>
      </c>
      <c r="B58" s="85" t="s">
        <v>188</v>
      </c>
      <c r="C58" s="85" t="s">
        <v>74</v>
      </c>
      <c r="D58" s="84" t="s">
        <v>84</v>
      </c>
      <c r="E58" s="84">
        <v>2</v>
      </c>
      <c r="F58" s="2">
        <v>2537952</v>
      </c>
      <c r="G58" s="2">
        <v>2567188</v>
      </c>
      <c r="H58" s="2">
        <v>2607470</v>
      </c>
      <c r="I58" s="2">
        <v>2654391</v>
      </c>
      <c r="J58" s="2">
        <v>2701579</v>
      </c>
      <c r="K58" s="2">
        <v>2744113</v>
      </c>
      <c r="L58" s="2">
        <v>2781528</v>
      </c>
      <c r="M58" s="2">
        <v>2814724</v>
      </c>
      <c r="N58" s="2">
        <v>2842577</v>
      </c>
      <c r="O58" s="2">
        <v>2864327</v>
      </c>
      <c r="P58" s="2">
        <v>2879739</v>
      </c>
    </row>
    <row r="59" spans="1:16">
      <c r="A59" s="84" t="s">
        <v>191</v>
      </c>
      <c r="B59" s="85" t="s">
        <v>190</v>
      </c>
      <c r="C59" s="85" t="s">
        <v>92</v>
      </c>
      <c r="D59" s="84" t="s">
        <v>84</v>
      </c>
      <c r="E59" s="84">
        <v>1</v>
      </c>
      <c r="F59" s="2">
        <v>100402</v>
      </c>
      <c r="G59" s="2">
        <v>98950</v>
      </c>
      <c r="H59" s="2">
        <v>97470</v>
      </c>
      <c r="I59" s="2">
        <v>95993</v>
      </c>
      <c r="J59" s="2">
        <v>94554</v>
      </c>
      <c r="K59" s="2">
        <v>93180</v>
      </c>
      <c r="L59" s="2">
        <v>91847</v>
      </c>
      <c r="M59" s="2">
        <v>90578</v>
      </c>
      <c r="N59" s="2">
        <v>89369</v>
      </c>
      <c r="O59" s="2">
        <v>88215</v>
      </c>
      <c r="P59" s="2">
        <v>87110</v>
      </c>
    </row>
    <row r="60" spans="1:16">
      <c r="A60" s="84" t="s">
        <v>193</v>
      </c>
      <c r="B60" s="85" t="s">
        <v>192</v>
      </c>
      <c r="C60" s="85" t="s">
        <v>83</v>
      </c>
      <c r="D60" s="84" t="s">
        <v>80</v>
      </c>
      <c r="E60" s="84">
        <v>3</v>
      </c>
      <c r="F60" s="2">
        <v>50135</v>
      </c>
      <c r="G60" s="2">
        <v>50757</v>
      </c>
      <c r="H60" s="2">
        <v>51329</v>
      </c>
      <c r="I60" s="2">
        <v>51866</v>
      </c>
      <c r="J60" s="2">
        <v>52390</v>
      </c>
      <c r="K60" s="2">
        <v>52911</v>
      </c>
      <c r="L60" s="2">
        <v>53451</v>
      </c>
      <c r="M60" s="2">
        <v>53988</v>
      </c>
      <c r="N60" s="2">
        <v>54518</v>
      </c>
      <c r="O60" s="2">
        <v>55039</v>
      </c>
      <c r="P60" s="2">
        <v>55545</v>
      </c>
    </row>
    <row r="61" spans="1:16">
      <c r="A61" s="84" t="s">
        <v>195</v>
      </c>
      <c r="B61" s="85" t="s">
        <v>194</v>
      </c>
      <c r="C61" s="85" t="s">
        <v>83</v>
      </c>
      <c r="D61" s="84" t="s">
        <v>75</v>
      </c>
      <c r="E61" s="84">
        <v>3</v>
      </c>
      <c r="F61" s="2">
        <v>111179</v>
      </c>
      <c r="G61" s="2">
        <v>113054</v>
      </c>
      <c r="H61" s="2">
        <v>114573</v>
      </c>
      <c r="I61" s="2">
        <v>115814</v>
      </c>
      <c r="J61" s="2">
        <v>116933</v>
      </c>
      <c r="K61" s="2">
        <v>118045</v>
      </c>
      <c r="L61" s="2">
        <v>119175</v>
      </c>
      <c r="M61" s="2">
        <v>120253</v>
      </c>
      <c r="N61" s="2">
        <v>121236</v>
      </c>
      <c r="O61" s="2">
        <v>122078</v>
      </c>
      <c r="P61" s="2">
        <v>122745</v>
      </c>
    </row>
    <row r="62" spans="1:16">
      <c r="A62" s="84" t="s">
        <v>197</v>
      </c>
      <c r="B62" s="85" t="s">
        <v>196</v>
      </c>
      <c r="C62" s="85" t="s">
        <v>79</v>
      </c>
      <c r="D62" s="84" t="s">
        <v>87</v>
      </c>
      <c r="E62" s="84">
        <v>1</v>
      </c>
      <c r="F62" s="2">
        <v>11101</v>
      </c>
      <c r="G62" s="2">
        <v>10916</v>
      </c>
      <c r="H62" s="2">
        <v>10814</v>
      </c>
      <c r="I62" s="2">
        <v>10781</v>
      </c>
      <c r="J62" s="2">
        <v>10790</v>
      </c>
      <c r="K62" s="2">
        <v>10821</v>
      </c>
      <c r="L62" s="2">
        <v>10874</v>
      </c>
      <c r="M62" s="2">
        <v>10949</v>
      </c>
      <c r="N62" s="2">
        <v>11036</v>
      </c>
      <c r="O62" s="2">
        <v>11122</v>
      </c>
      <c r="P62" s="2">
        <v>11199</v>
      </c>
    </row>
    <row r="63" spans="1:16">
      <c r="A63" s="84" t="s">
        <v>199</v>
      </c>
      <c r="B63" s="85" t="s">
        <v>198</v>
      </c>
      <c r="C63" s="85" t="s">
        <v>83</v>
      </c>
      <c r="D63" s="84" t="s">
        <v>75</v>
      </c>
      <c r="E63" s="84" t="s">
        <v>76</v>
      </c>
      <c r="F63" s="2">
        <v>3745306</v>
      </c>
      <c r="G63" s="2">
        <v>3760482</v>
      </c>
      <c r="H63" s="2">
        <v>3775089</v>
      </c>
      <c r="I63" s="2">
        <v>3789179</v>
      </c>
      <c r="J63" s="2">
        <v>3802636</v>
      </c>
      <c r="K63" s="2">
        <v>3815367</v>
      </c>
      <c r="L63" s="2">
        <v>3828143</v>
      </c>
      <c r="M63" s="2">
        <v>3840226</v>
      </c>
      <c r="N63" s="2">
        <v>3852244</v>
      </c>
      <c r="O63" s="2">
        <v>3864975</v>
      </c>
      <c r="P63" s="2">
        <v>3878824</v>
      </c>
    </row>
    <row r="64" spans="1:16">
      <c r="A64" s="84" t="s">
        <v>201</v>
      </c>
      <c r="B64" s="85" t="s">
        <v>200</v>
      </c>
      <c r="C64" s="85" t="s">
        <v>99</v>
      </c>
      <c r="D64" s="84" t="s">
        <v>80</v>
      </c>
      <c r="E64" s="84">
        <v>4</v>
      </c>
      <c r="F64" s="2">
        <v>17055</v>
      </c>
      <c r="G64" s="2">
        <v>17084</v>
      </c>
      <c r="H64" s="2">
        <v>17122</v>
      </c>
      <c r="I64" s="2">
        <v>17158</v>
      </c>
      <c r="J64" s="2">
        <v>17179</v>
      </c>
      <c r="K64" s="2">
        <v>17177</v>
      </c>
      <c r="L64" s="2">
        <v>17155</v>
      </c>
      <c r="M64" s="2">
        <v>17109</v>
      </c>
      <c r="N64" s="2">
        <v>17045</v>
      </c>
      <c r="O64" s="2">
        <v>16972</v>
      </c>
      <c r="P64" s="2">
        <v>16900</v>
      </c>
    </row>
    <row r="65" spans="1:16">
      <c r="A65" s="84" t="s">
        <v>203</v>
      </c>
      <c r="B65" s="85" t="s">
        <v>202</v>
      </c>
      <c r="C65" s="85" t="s">
        <v>79</v>
      </c>
      <c r="D65" s="84" t="s">
        <v>87</v>
      </c>
      <c r="E65" s="84">
        <v>1</v>
      </c>
      <c r="F65" s="2">
        <v>48860</v>
      </c>
      <c r="G65" s="2">
        <v>48898</v>
      </c>
      <c r="H65" s="2">
        <v>49025</v>
      </c>
      <c r="I65" s="2">
        <v>49209</v>
      </c>
      <c r="J65" s="2">
        <v>49404</v>
      </c>
      <c r="K65" s="2">
        <v>49574</v>
      </c>
      <c r="L65" s="2">
        <v>49794</v>
      </c>
      <c r="M65" s="2">
        <v>49993</v>
      </c>
      <c r="N65" s="2">
        <v>50162</v>
      </c>
      <c r="O65" s="2">
        <v>50295</v>
      </c>
      <c r="P65" s="2">
        <v>50384</v>
      </c>
    </row>
    <row r="66" spans="1:16">
      <c r="A66" s="84" t="s">
        <v>205</v>
      </c>
      <c r="B66" s="85" t="s">
        <v>204</v>
      </c>
      <c r="C66" s="85" t="s">
        <v>79</v>
      </c>
      <c r="D66" s="84" t="s">
        <v>87</v>
      </c>
      <c r="E66" s="84">
        <v>1</v>
      </c>
      <c r="F66" s="2">
        <v>696445</v>
      </c>
      <c r="G66" s="2">
        <v>695540</v>
      </c>
      <c r="H66" s="2">
        <v>698203</v>
      </c>
      <c r="I66" s="2">
        <v>703092</v>
      </c>
      <c r="J66" s="2">
        <v>708146</v>
      </c>
      <c r="K66" s="2">
        <v>711800</v>
      </c>
      <c r="L66" s="2">
        <v>714779</v>
      </c>
      <c r="M66" s="2">
        <v>716612</v>
      </c>
      <c r="N66" s="2">
        <v>717261</v>
      </c>
      <c r="O66" s="2">
        <v>716893</v>
      </c>
      <c r="P66" s="2">
        <v>715664</v>
      </c>
    </row>
    <row r="67" spans="1:16">
      <c r="A67" s="84" t="s">
        <v>207</v>
      </c>
      <c r="B67" s="85" t="s">
        <v>206</v>
      </c>
      <c r="C67" s="85" t="s">
        <v>83</v>
      </c>
      <c r="D67" s="84" t="s">
        <v>80</v>
      </c>
      <c r="E67" s="84">
        <v>3</v>
      </c>
      <c r="F67" s="2">
        <v>66254</v>
      </c>
      <c r="G67" s="2">
        <v>66805</v>
      </c>
      <c r="H67" s="2">
        <v>67151</v>
      </c>
      <c r="I67" s="2">
        <v>67387</v>
      </c>
      <c r="J67" s="2">
        <v>67659</v>
      </c>
      <c r="K67" s="2">
        <v>68077</v>
      </c>
      <c r="L67" s="2">
        <v>68698</v>
      </c>
      <c r="M67" s="2">
        <v>69445</v>
      </c>
      <c r="N67" s="2">
        <v>70280</v>
      </c>
      <c r="O67" s="2">
        <v>71151</v>
      </c>
      <c r="P67" s="2">
        <v>72013</v>
      </c>
    </row>
    <row r="68" spans="1:16">
      <c r="A68" s="84" t="s">
        <v>209</v>
      </c>
      <c r="B68" s="85" t="s">
        <v>208</v>
      </c>
      <c r="C68" s="85" t="s">
        <v>83</v>
      </c>
      <c r="D68" s="84" t="s">
        <v>75</v>
      </c>
      <c r="E68" s="84">
        <v>3</v>
      </c>
      <c r="F68" s="2">
        <v>99463</v>
      </c>
      <c r="G68" s="2">
        <v>100529</v>
      </c>
      <c r="H68" s="2">
        <v>101545</v>
      </c>
      <c r="I68" s="2">
        <v>102530</v>
      </c>
      <c r="J68" s="2">
        <v>103511</v>
      </c>
      <c r="K68" s="2">
        <v>104509</v>
      </c>
      <c r="L68" s="2">
        <v>105510</v>
      </c>
      <c r="M68" s="2">
        <v>106532</v>
      </c>
      <c r="N68" s="2">
        <v>107546</v>
      </c>
      <c r="O68" s="2">
        <v>108519</v>
      </c>
      <c r="P68" s="2">
        <v>109426</v>
      </c>
    </row>
    <row r="69" spans="1:16">
      <c r="A69" s="84" t="s">
        <v>211</v>
      </c>
      <c r="B69" s="85" t="s">
        <v>210</v>
      </c>
      <c r="C69" s="85" t="s">
        <v>79</v>
      </c>
      <c r="D69" s="84" t="s">
        <v>80</v>
      </c>
      <c r="E69" s="84">
        <v>1</v>
      </c>
      <c r="F69" s="2">
        <v>43417</v>
      </c>
      <c r="G69" s="2">
        <v>43140</v>
      </c>
      <c r="H69" s="2">
        <v>42989</v>
      </c>
      <c r="I69" s="2">
        <v>42936</v>
      </c>
      <c r="J69" s="2">
        <v>42939</v>
      </c>
      <c r="K69" s="2">
        <v>42960</v>
      </c>
      <c r="L69" s="2">
        <v>42996</v>
      </c>
      <c r="M69" s="2">
        <v>43048</v>
      </c>
      <c r="N69" s="2">
        <v>43096</v>
      </c>
      <c r="O69" s="2">
        <v>43123</v>
      </c>
      <c r="P69" s="2">
        <v>43117</v>
      </c>
    </row>
    <row r="70" spans="1:16">
      <c r="A70" s="84" t="s">
        <v>213</v>
      </c>
      <c r="B70" s="85" t="s">
        <v>212</v>
      </c>
      <c r="C70" s="85" t="s">
        <v>79</v>
      </c>
      <c r="D70" s="84" t="s">
        <v>87</v>
      </c>
      <c r="E70" s="84">
        <v>1</v>
      </c>
      <c r="F70" s="2">
        <v>761842</v>
      </c>
      <c r="G70" s="2">
        <v>759813</v>
      </c>
      <c r="H70" s="2">
        <v>752637</v>
      </c>
      <c r="I70" s="2">
        <v>742294</v>
      </c>
      <c r="J70" s="2">
        <v>731803</v>
      </c>
      <c r="K70" s="2">
        <v>723345</v>
      </c>
      <c r="L70" s="2">
        <v>718283</v>
      </c>
      <c r="M70" s="2">
        <v>715110</v>
      </c>
      <c r="N70" s="2">
        <v>713257</v>
      </c>
      <c r="O70" s="2">
        <v>711825</v>
      </c>
      <c r="P70" s="2">
        <v>710190</v>
      </c>
    </row>
    <row r="71" spans="1:16">
      <c r="A71" s="84" t="s">
        <v>215</v>
      </c>
      <c r="B71" s="85" t="s">
        <v>214</v>
      </c>
      <c r="C71" s="85" t="s">
        <v>83</v>
      </c>
      <c r="D71" s="84" t="s">
        <v>84</v>
      </c>
      <c r="E71" s="84">
        <v>3</v>
      </c>
      <c r="F71" s="2">
        <v>932689</v>
      </c>
      <c r="G71" s="2">
        <v>940432</v>
      </c>
      <c r="H71" s="2">
        <v>948700</v>
      </c>
      <c r="I71" s="2">
        <v>957271</v>
      </c>
      <c r="J71" s="2">
        <v>965810</v>
      </c>
      <c r="K71" s="2">
        <v>974058</v>
      </c>
      <c r="L71" s="2">
        <v>982349</v>
      </c>
      <c r="M71" s="2">
        <v>990383</v>
      </c>
      <c r="N71" s="2">
        <v>998181</v>
      </c>
      <c r="O71" s="2">
        <v>1005801</v>
      </c>
      <c r="P71" s="2">
        <v>1013273</v>
      </c>
    </row>
    <row r="72" spans="1:16">
      <c r="A72" s="84" t="s">
        <v>217</v>
      </c>
      <c r="B72" s="85" t="s">
        <v>216</v>
      </c>
      <c r="C72" s="85" t="s">
        <v>79</v>
      </c>
      <c r="D72" s="84" t="s">
        <v>87</v>
      </c>
      <c r="E72" s="84">
        <v>1</v>
      </c>
      <c r="F72" s="2">
        <v>66812</v>
      </c>
      <c r="G72" s="2">
        <v>67369</v>
      </c>
      <c r="H72" s="2">
        <v>67998</v>
      </c>
      <c r="I72" s="2">
        <v>68634</v>
      </c>
      <c r="J72" s="2">
        <v>69219</v>
      </c>
      <c r="K72" s="2">
        <v>69699</v>
      </c>
      <c r="L72" s="2">
        <v>70128</v>
      </c>
      <c r="M72" s="2">
        <v>70407</v>
      </c>
      <c r="N72" s="2">
        <v>70544</v>
      </c>
      <c r="O72" s="2">
        <v>70575</v>
      </c>
      <c r="P72" s="2">
        <v>70528</v>
      </c>
    </row>
    <row r="73" spans="1:16">
      <c r="A73" s="84" t="s">
        <v>219</v>
      </c>
      <c r="B73" s="85" t="s">
        <v>218</v>
      </c>
      <c r="C73" s="85" t="s">
        <v>92</v>
      </c>
      <c r="D73" s="84" t="s">
        <v>80</v>
      </c>
      <c r="E73" s="84">
        <v>1</v>
      </c>
      <c r="F73" s="2">
        <v>1446</v>
      </c>
      <c r="G73" s="2">
        <v>1428</v>
      </c>
      <c r="H73" s="2">
        <v>1417</v>
      </c>
      <c r="I73" s="2">
        <v>1410</v>
      </c>
      <c r="J73" s="2">
        <v>1407</v>
      </c>
      <c r="K73" s="2">
        <v>1406</v>
      </c>
      <c r="L73" s="2">
        <v>1406</v>
      </c>
      <c r="M73" s="2">
        <v>1408</v>
      </c>
      <c r="N73" s="2">
        <v>1410</v>
      </c>
      <c r="O73" s="2">
        <v>1412</v>
      </c>
      <c r="P73" s="2">
        <v>1412</v>
      </c>
    </row>
    <row r="74" spans="1:16">
      <c r="A74" s="84" t="s">
        <v>221</v>
      </c>
      <c r="B74" s="85" t="s">
        <v>220</v>
      </c>
      <c r="C74" s="85" t="s">
        <v>92</v>
      </c>
      <c r="D74" s="84" t="s">
        <v>80</v>
      </c>
      <c r="E74" s="84">
        <v>1</v>
      </c>
      <c r="F74" s="2">
        <v>422796</v>
      </c>
      <c r="G74" s="2">
        <v>422651</v>
      </c>
      <c r="H74" s="2">
        <v>422428</v>
      </c>
      <c r="I74" s="2">
        <v>422019</v>
      </c>
      <c r="J74" s="2">
        <v>421271</v>
      </c>
      <c r="K74" s="2">
        <v>420082</v>
      </c>
      <c r="L74" s="2">
        <v>418565</v>
      </c>
      <c r="M74" s="2">
        <v>416631</v>
      </c>
      <c r="N74" s="2">
        <v>414493</v>
      </c>
      <c r="O74" s="2">
        <v>412444</v>
      </c>
      <c r="P74" s="2">
        <v>410692</v>
      </c>
    </row>
    <row r="75" spans="1:16">
      <c r="A75" s="84" t="s">
        <v>223</v>
      </c>
      <c r="B75" s="85" t="s">
        <v>222</v>
      </c>
      <c r="C75" s="85" t="s">
        <v>83</v>
      </c>
      <c r="D75" s="84" t="s">
        <v>75</v>
      </c>
      <c r="E75" s="84">
        <v>3</v>
      </c>
      <c r="F75" s="2">
        <v>511599</v>
      </c>
      <c r="G75" s="2">
        <v>517381.99999999994</v>
      </c>
      <c r="H75" s="2">
        <v>523015.99999999994</v>
      </c>
      <c r="I75" s="2">
        <v>528514</v>
      </c>
      <c r="J75" s="2">
        <v>533903</v>
      </c>
      <c r="K75" s="2">
        <v>539197</v>
      </c>
      <c r="L75" s="2">
        <v>544395</v>
      </c>
      <c r="M75" s="2">
        <v>549530</v>
      </c>
      <c r="N75" s="2">
        <v>554589</v>
      </c>
      <c r="O75" s="2">
        <v>559550</v>
      </c>
      <c r="P75" s="2">
        <v>564397</v>
      </c>
    </row>
    <row r="76" spans="1:16">
      <c r="A76" s="84" t="s">
        <v>225</v>
      </c>
      <c r="B76" s="85" t="s">
        <v>224</v>
      </c>
      <c r="C76" s="85" t="s">
        <v>83</v>
      </c>
      <c r="D76" s="84" t="s">
        <v>75</v>
      </c>
      <c r="E76" s="84">
        <v>3</v>
      </c>
      <c r="F76" s="2">
        <v>69440</v>
      </c>
      <c r="G76" s="2">
        <v>70119</v>
      </c>
      <c r="H76" s="2">
        <v>70806</v>
      </c>
      <c r="I76" s="2">
        <v>71491</v>
      </c>
      <c r="J76" s="2">
        <v>72160</v>
      </c>
      <c r="K76" s="2">
        <v>72806</v>
      </c>
      <c r="L76" s="2">
        <v>73411</v>
      </c>
      <c r="M76" s="2">
        <v>73993</v>
      </c>
      <c r="N76" s="2">
        <v>74570</v>
      </c>
      <c r="O76" s="2">
        <v>75168</v>
      </c>
      <c r="P76" s="2">
        <v>75803</v>
      </c>
    </row>
    <row r="77" spans="1:16">
      <c r="A77" s="84" t="s">
        <v>227</v>
      </c>
      <c r="B77" s="85" t="s">
        <v>226</v>
      </c>
      <c r="C77" s="85" t="s">
        <v>92</v>
      </c>
      <c r="D77" s="84" t="s">
        <v>80</v>
      </c>
      <c r="E77" s="84">
        <v>2</v>
      </c>
      <c r="F77" s="2">
        <v>13415</v>
      </c>
      <c r="G77" s="2">
        <v>13268</v>
      </c>
      <c r="H77" s="2">
        <v>13136</v>
      </c>
      <c r="I77" s="2">
        <v>13011</v>
      </c>
      <c r="J77" s="2">
        <v>12881</v>
      </c>
      <c r="K77" s="2">
        <v>12735</v>
      </c>
      <c r="L77" s="2">
        <v>12576</v>
      </c>
      <c r="M77" s="2">
        <v>12404</v>
      </c>
      <c r="N77" s="2">
        <v>12228</v>
      </c>
      <c r="O77" s="2">
        <v>12059</v>
      </c>
      <c r="P77" s="2">
        <v>11905</v>
      </c>
    </row>
    <row r="78" spans="1:16">
      <c r="A78" s="84" t="s">
        <v>229</v>
      </c>
      <c r="B78" s="85" t="s">
        <v>228</v>
      </c>
      <c r="C78" s="85" t="s">
        <v>92</v>
      </c>
      <c r="D78" s="84" t="s">
        <v>75</v>
      </c>
      <c r="E78" s="84">
        <v>2</v>
      </c>
      <c r="F78" s="2">
        <v>245721</v>
      </c>
      <c r="G78" s="2">
        <v>244631</v>
      </c>
      <c r="H78" s="2">
        <v>243598</v>
      </c>
      <c r="I78" s="2">
        <v>242611</v>
      </c>
      <c r="J78" s="2">
        <v>241660</v>
      </c>
      <c r="K78" s="2">
        <v>240728</v>
      </c>
      <c r="L78" s="2">
        <v>239765</v>
      </c>
      <c r="M78" s="2">
        <v>238837</v>
      </c>
      <c r="N78" s="2">
        <v>237915</v>
      </c>
      <c r="O78" s="2">
        <v>236959</v>
      </c>
      <c r="P78" s="2">
        <v>235943</v>
      </c>
    </row>
    <row r="79" spans="1:16">
      <c r="A79" s="84" t="s">
        <v>231</v>
      </c>
      <c r="B79" s="85" t="s">
        <v>230</v>
      </c>
      <c r="C79" s="85" t="s">
        <v>92</v>
      </c>
      <c r="D79" s="84" t="s">
        <v>84</v>
      </c>
      <c r="E79" s="84">
        <v>1</v>
      </c>
      <c r="F79" s="2">
        <v>201563</v>
      </c>
      <c r="G79" s="2">
        <v>200571</v>
      </c>
      <c r="H79" s="2">
        <v>199291</v>
      </c>
      <c r="I79" s="2">
        <v>197824</v>
      </c>
      <c r="J79" s="2">
        <v>196310</v>
      </c>
      <c r="K79" s="2">
        <v>194854</v>
      </c>
      <c r="L79" s="2">
        <v>193609</v>
      </c>
      <c r="M79" s="2">
        <v>192415</v>
      </c>
      <c r="N79" s="2">
        <v>191234</v>
      </c>
      <c r="O79" s="2">
        <v>189997</v>
      </c>
      <c r="P79" s="2">
        <v>188661</v>
      </c>
    </row>
    <row r="80" spans="1:16">
      <c r="A80" s="84" t="s">
        <v>233</v>
      </c>
      <c r="B80" s="85" t="s">
        <v>232</v>
      </c>
      <c r="C80" s="85" t="s">
        <v>79</v>
      </c>
      <c r="D80" s="84" t="s">
        <v>87</v>
      </c>
      <c r="E80" s="84">
        <v>1</v>
      </c>
      <c r="F80" s="2">
        <v>85246</v>
      </c>
      <c r="G80" s="2">
        <v>84844</v>
      </c>
      <c r="H80" s="2">
        <v>83887</v>
      </c>
      <c r="I80" s="2">
        <v>82596</v>
      </c>
      <c r="J80" s="2">
        <v>81320</v>
      </c>
      <c r="K80" s="2">
        <v>80314</v>
      </c>
      <c r="L80" s="2">
        <v>79686</v>
      </c>
      <c r="M80" s="2">
        <v>79290</v>
      </c>
      <c r="N80" s="2">
        <v>79061</v>
      </c>
      <c r="O80" s="2">
        <v>78890</v>
      </c>
      <c r="P80" s="2">
        <v>78694</v>
      </c>
    </row>
    <row r="81" spans="1:16">
      <c r="A81" s="84" t="s">
        <v>235</v>
      </c>
      <c r="B81" s="85" t="s">
        <v>234</v>
      </c>
      <c r="C81" s="85" t="s">
        <v>79</v>
      </c>
      <c r="D81" s="84" t="s">
        <v>87</v>
      </c>
      <c r="E81" s="84">
        <v>1</v>
      </c>
      <c r="F81" s="2">
        <v>3802</v>
      </c>
      <c r="G81" s="2">
        <v>3781</v>
      </c>
      <c r="H81" s="2">
        <v>3786</v>
      </c>
      <c r="I81" s="2">
        <v>3809</v>
      </c>
      <c r="J81" s="2">
        <v>3835</v>
      </c>
      <c r="K81" s="2">
        <v>3850</v>
      </c>
      <c r="L81" s="2">
        <v>3858</v>
      </c>
      <c r="M81" s="2">
        <v>3860</v>
      </c>
      <c r="N81" s="2">
        <v>3853</v>
      </c>
      <c r="O81" s="2">
        <v>3843</v>
      </c>
      <c r="P81" s="2">
        <v>3832</v>
      </c>
    </row>
    <row r="82" spans="1:16">
      <c r="A82" s="84" t="s">
        <v>237</v>
      </c>
      <c r="B82" s="85" t="s">
        <v>236</v>
      </c>
      <c r="C82" s="85" t="s">
        <v>110</v>
      </c>
      <c r="D82" s="84" t="s">
        <v>84</v>
      </c>
      <c r="E82" s="84" t="s">
        <v>76</v>
      </c>
      <c r="F82" s="2">
        <v>22769934</v>
      </c>
      <c r="G82" s="2">
        <v>22667587</v>
      </c>
      <c r="H82" s="2">
        <v>22537348</v>
      </c>
      <c r="I82" s="2">
        <v>22378269</v>
      </c>
      <c r="J82" s="2">
        <v>22191000</v>
      </c>
      <c r="K82" s="2">
        <v>21977436</v>
      </c>
      <c r="L82" s="2">
        <v>21750431</v>
      </c>
      <c r="M82" s="2">
        <v>21497401</v>
      </c>
      <c r="N82" s="2">
        <v>21231364</v>
      </c>
      <c r="O82" s="2">
        <v>20969645</v>
      </c>
      <c r="P82" s="2">
        <v>20725207</v>
      </c>
    </row>
    <row r="83" spans="1:16">
      <c r="A83" s="84" t="s">
        <v>239</v>
      </c>
      <c r="B83" s="85" t="s">
        <v>238</v>
      </c>
      <c r="C83" s="85" t="s">
        <v>110</v>
      </c>
      <c r="D83" s="84" t="s">
        <v>80</v>
      </c>
      <c r="E83" s="84" t="s">
        <v>76</v>
      </c>
      <c r="F83" s="2">
        <v>4531781</v>
      </c>
      <c r="G83" s="2">
        <v>4509265</v>
      </c>
      <c r="H83" s="2">
        <v>4493241</v>
      </c>
      <c r="I83" s="2">
        <v>4481457</v>
      </c>
      <c r="J83" s="2">
        <v>4470172</v>
      </c>
      <c r="K83" s="2">
        <v>4456566</v>
      </c>
      <c r="L83" s="2">
        <v>4444144</v>
      </c>
      <c r="M83" s="2">
        <v>4430336</v>
      </c>
      <c r="N83" s="2">
        <v>4414835</v>
      </c>
      <c r="O83" s="2">
        <v>4397400</v>
      </c>
      <c r="P83" s="2">
        <v>4377865</v>
      </c>
    </row>
    <row r="84" spans="1:16">
      <c r="A84" s="84" t="s">
        <v>241</v>
      </c>
      <c r="B84" s="85" t="s">
        <v>240</v>
      </c>
      <c r="C84" s="85" t="s">
        <v>74</v>
      </c>
      <c r="D84" s="84" t="s">
        <v>80</v>
      </c>
      <c r="E84" s="84">
        <v>2</v>
      </c>
      <c r="F84" s="2">
        <v>1255369</v>
      </c>
      <c r="G84" s="2">
        <v>1249409</v>
      </c>
      <c r="H84" s="2">
        <v>1234218</v>
      </c>
      <c r="I84" s="2">
        <v>1214121</v>
      </c>
      <c r="J84" s="2">
        <v>1195858</v>
      </c>
      <c r="K84" s="2">
        <v>1184365</v>
      </c>
      <c r="L84" s="2">
        <v>1181737</v>
      </c>
      <c r="M84" s="2">
        <v>1184894</v>
      </c>
      <c r="N84" s="2">
        <v>1191993</v>
      </c>
      <c r="O84" s="2">
        <v>1200249</v>
      </c>
      <c r="P84" s="2">
        <v>1207559</v>
      </c>
    </row>
    <row r="85" spans="1:16">
      <c r="A85" s="84" t="s">
        <v>243</v>
      </c>
      <c r="B85" s="85" t="s">
        <v>242</v>
      </c>
      <c r="C85" s="85" t="s">
        <v>74</v>
      </c>
      <c r="D85" s="84" t="s">
        <v>80</v>
      </c>
      <c r="E85" s="84">
        <v>2</v>
      </c>
      <c r="F85" s="2">
        <v>1229674</v>
      </c>
      <c r="G85" s="2">
        <v>1237721</v>
      </c>
      <c r="H85" s="2">
        <v>1249472</v>
      </c>
      <c r="I85" s="2">
        <v>1263608</v>
      </c>
      <c r="J85" s="2">
        <v>1278032</v>
      </c>
      <c r="K85" s="2">
        <v>1291124</v>
      </c>
      <c r="L85" s="2">
        <v>1303344</v>
      </c>
      <c r="M85" s="2">
        <v>1314555</v>
      </c>
      <c r="N85" s="2">
        <v>1324763</v>
      </c>
      <c r="O85" s="2">
        <v>1334060</v>
      </c>
      <c r="P85" s="2">
        <v>1342527</v>
      </c>
    </row>
    <row r="86" spans="1:16">
      <c r="A86" s="84" t="s">
        <v>245</v>
      </c>
      <c r="B86" s="85" t="s">
        <v>244</v>
      </c>
      <c r="C86" s="85" t="s">
        <v>79</v>
      </c>
      <c r="D86" s="84" t="s">
        <v>87</v>
      </c>
      <c r="E86" s="84">
        <v>1</v>
      </c>
      <c r="F86" s="2">
        <v>53209</v>
      </c>
      <c r="G86" s="2">
        <v>53412</v>
      </c>
      <c r="H86" s="2">
        <v>54070</v>
      </c>
      <c r="I86" s="2">
        <v>55016</v>
      </c>
      <c r="J86" s="2">
        <v>56007</v>
      </c>
      <c r="K86" s="2">
        <v>56856</v>
      </c>
      <c r="L86" s="2">
        <v>57571</v>
      </c>
      <c r="M86" s="2">
        <v>58141</v>
      </c>
      <c r="N86" s="2">
        <v>58587</v>
      </c>
      <c r="O86" s="2">
        <v>58957</v>
      </c>
      <c r="P86" s="2">
        <v>59287</v>
      </c>
    </row>
    <row r="87" spans="1:16">
      <c r="A87" s="84" t="s">
        <v>247</v>
      </c>
      <c r="B87" s="85" t="s">
        <v>246</v>
      </c>
      <c r="C87" s="85" t="s">
        <v>79</v>
      </c>
      <c r="D87" s="84" t="s">
        <v>87</v>
      </c>
      <c r="E87" s="84">
        <v>1</v>
      </c>
      <c r="F87" s="2">
        <v>176761</v>
      </c>
      <c r="G87" s="2">
        <v>178346</v>
      </c>
      <c r="H87" s="2">
        <v>179992</v>
      </c>
      <c r="I87" s="2">
        <v>181670</v>
      </c>
      <c r="J87" s="2">
        <v>183352</v>
      </c>
      <c r="K87" s="2">
        <v>185013</v>
      </c>
      <c r="L87" s="2">
        <v>186812</v>
      </c>
      <c r="M87" s="2">
        <v>188576</v>
      </c>
      <c r="N87" s="2">
        <v>190303</v>
      </c>
      <c r="O87" s="2">
        <v>191999</v>
      </c>
      <c r="P87" s="2">
        <v>193665</v>
      </c>
    </row>
    <row r="88" spans="1:16">
      <c r="A88" s="84" t="s">
        <v>249</v>
      </c>
      <c r="B88" s="85" t="s">
        <v>248</v>
      </c>
      <c r="C88" s="85" t="s">
        <v>79</v>
      </c>
      <c r="D88" s="84" t="s">
        <v>87</v>
      </c>
      <c r="E88" s="84">
        <v>1</v>
      </c>
      <c r="F88" s="2">
        <v>419579</v>
      </c>
      <c r="G88" s="2">
        <v>420046</v>
      </c>
      <c r="H88" s="2">
        <v>420696</v>
      </c>
      <c r="I88" s="2">
        <v>421431</v>
      </c>
      <c r="J88" s="2">
        <v>422117</v>
      </c>
      <c r="K88" s="2">
        <v>422621</v>
      </c>
      <c r="L88" s="2">
        <v>423555</v>
      </c>
      <c r="M88" s="2">
        <v>424291</v>
      </c>
      <c r="N88" s="2">
        <v>424691</v>
      </c>
      <c r="O88" s="2">
        <v>424644</v>
      </c>
      <c r="P88" s="2">
        <v>424072</v>
      </c>
    </row>
    <row r="89" spans="1:16">
      <c r="A89" s="84" t="s">
        <v>251</v>
      </c>
      <c r="B89" s="85" t="s">
        <v>250</v>
      </c>
      <c r="C89" s="85" t="s">
        <v>92</v>
      </c>
      <c r="D89" s="84" t="s">
        <v>80</v>
      </c>
      <c r="E89" s="84">
        <v>1</v>
      </c>
      <c r="F89" s="2">
        <v>39938</v>
      </c>
      <c r="G89" s="2">
        <v>39351</v>
      </c>
      <c r="H89" s="2">
        <v>38820</v>
      </c>
      <c r="I89" s="2">
        <v>38331</v>
      </c>
      <c r="J89" s="2">
        <v>37855</v>
      </c>
      <c r="K89" s="2">
        <v>37373</v>
      </c>
      <c r="L89" s="2">
        <v>36901</v>
      </c>
      <c r="M89" s="2">
        <v>36431</v>
      </c>
      <c r="N89" s="2">
        <v>35967</v>
      </c>
      <c r="O89" s="2">
        <v>35519</v>
      </c>
      <c r="P89" s="2">
        <v>35089</v>
      </c>
    </row>
    <row r="90" spans="1:16">
      <c r="A90" s="84" t="s">
        <v>253</v>
      </c>
      <c r="B90" s="85" t="s">
        <v>252</v>
      </c>
      <c r="C90" s="85" t="s">
        <v>99</v>
      </c>
      <c r="D90" s="84" t="s">
        <v>87</v>
      </c>
      <c r="E90" s="84">
        <v>4</v>
      </c>
      <c r="F90" s="2">
        <v>844030</v>
      </c>
      <c r="G90" s="2">
        <v>840731</v>
      </c>
      <c r="H90" s="2">
        <v>839810</v>
      </c>
      <c r="I90" s="2">
        <v>840260</v>
      </c>
      <c r="J90" s="2">
        <v>840582</v>
      </c>
      <c r="K90" s="2">
        <v>839661</v>
      </c>
      <c r="L90" s="2">
        <v>838784</v>
      </c>
      <c r="M90" s="2">
        <v>836982</v>
      </c>
      <c r="N90" s="2">
        <v>834406</v>
      </c>
      <c r="O90" s="2">
        <v>831413</v>
      </c>
      <c r="P90" s="2">
        <v>828207</v>
      </c>
    </row>
    <row r="91" spans="1:16">
      <c r="A91" s="84" t="s">
        <v>255</v>
      </c>
      <c r="B91" s="85" t="s">
        <v>254</v>
      </c>
      <c r="C91" s="85" t="s">
        <v>74</v>
      </c>
      <c r="D91" s="84" t="s">
        <v>80</v>
      </c>
      <c r="E91" s="84">
        <v>2</v>
      </c>
      <c r="F91" s="2">
        <v>192652</v>
      </c>
      <c r="G91" s="2">
        <v>190640</v>
      </c>
      <c r="H91" s="2">
        <v>190798</v>
      </c>
      <c r="I91" s="2">
        <v>192355</v>
      </c>
      <c r="J91" s="2">
        <v>194155</v>
      </c>
      <c r="K91" s="2">
        <v>195320</v>
      </c>
      <c r="L91" s="2">
        <v>195229</v>
      </c>
      <c r="M91" s="2">
        <v>194569</v>
      </c>
      <c r="N91" s="2">
        <v>193421</v>
      </c>
      <c r="O91" s="2">
        <v>191977</v>
      </c>
      <c r="P91" s="2">
        <v>190393</v>
      </c>
    </row>
    <row r="92" spans="1:16">
      <c r="A92" s="84" t="s">
        <v>257</v>
      </c>
      <c r="B92" s="85" t="s">
        <v>256</v>
      </c>
      <c r="C92" s="85" t="s">
        <v>79</v>
      </c>
      <c r="D92" s="84" t="s">
        <v>80</v>
      </c>
      <c r="E92" s="84">
        <v>2</v>
      </c>
      <c r="F92" s="2">
        <v>331034</v>
      </c>
      <c r="G92" s="2">
        <v>334387</v>
      </c>
      <c r="H92" s="2">
        <v>337814</v>
      </c>
      <c r="I92" s="2">
        <v>341322</v>
      </c>
      <c r="J92" s="2">
        <v>345015</v>
      </c>
      <c r="K92" s="2">
        <v>348940</v>
      </c>
      <c r="L92" s="2">
        <v>353256</v>
      </c>
      <c r="M92" s="2">
        <v>357661</v>
      </c>
      <c r="N92" s="2">
        <v>361829</v>
      </c>
      <c r="O92" s="2">
        <v>365395</v>
      </c>
      <c r="P92" s="2">
        <v>368106</v>
      </c>
    </row>
    <row r="93" spans="1:16">
      <c r="A93" s="84" t="s">
        <v>259</v>
      </c>
      <c r="B93" s="85" t="s">
        <v>258</v>
      </c>
      <c r="C93" s="85" t="s">
        <v>83</v>
      </c>
      <c r="D93" s="84" t="s">
        <v>84</v>
      </c>
      <c r="E93" s="84">
        <v>3</v>
      </c>
      <c r="F93" s="2">
        <v>1615191</v>
      </c>
      <c r="G93" s="2">
        <v>1626222</v>
      </c>
      <c r="H93" s="2">
        <v>1640895</v>
      </c>
      <c r="I93" s="2">
        <v>1656929</v>
      </c>
      <c r="J93" s="2">
        <v>1670986</v>
      </c>
      <c r="K93" s="2">
        <v>1680640</v>
      </c>
      <c r="L93" s="2">
        <v>1685885</v>
      </c>
      <c r="M93" s="2">
        <v>1687110</v>
      </c>
      <c r="N93" s="2">
        <v>1685776</v>
      </c>
      <c r="O93" s="2">
        <v>1684006</v>
      </c>
      <c r="P93" s="2">
        <v>1683377</v>
      </c>
    </row>
    <row r="94" spans="1:16">
      <c r="A94" s="84" t="s">
        <v>261</v>
      </c>
      <c r="B94" s="85" t="s">
        <v>260</v>
      </c>
      <c r="C94" s="85" t="s">
        <v>99</v>
      </c>
      <c r="D94" s="84" t="s">
        <v>84</v>
      </c>
      <c r="E94" s="84">
        <v>4</v>
      </c>
      <c r="F94" s="2">
        <v>3036</v>
      </c>
      <c r="G94" s="2">
        <v>3040</v>
      </c>
      <c r="H94" s="2">
        <v>3044</v>
      </c>
      <c r="I94" s="2">
        <v>3052</v>
      </c>
      <c r="J94" s="2">
        <v>3065</v>
      </c>
      <c r="K94" s="2">
        <v>3085</v>
      </c>
      <c r="L94" s="2">
        <v>3115</v>
      </c>
      <c r="M94" s="2">
        <v>3152</v>
      </c>
      <c r="N94" s="2">
        <v>3193</v>
      </c>
      <c r="O94" s="2">
        <v>3235</v>
      </c>
      <c r="P94" s="2">
        <v>3277</v>
      </c>
    </row>
    <row r="95" spans="1:16">
      <c r="A95" s="84" t="s">
        <v>263</v>
      </c>
      <c r="B95" s="85" t="s">
        <v>262</v>
      </c>
      <c r="C95" s="85" t="s">
        <v>99</v>
      </c>
      <c r="D95" s="84" t="s">
        <v>87</v>
      </c>
      <c r="E95" s="84">
        <v>1</v>
      </c>
      <c r="F95" s="2">
        <v>341685</v>
      </c>
      <c r="G95" s="2">
        <v>341092</v>
      </c>
      <c r="H95" s="2">
        <v>342768</v>
      </c>
      <c r="I95" s="2">
        <v>345014</v>
      </c>
      <c r="J95" s="2">
        <v>345366</v>
      </c>
      <c r="K95" s="2">
        <v>342166</v>
      </c>
      <c r="L95" s="2">
        <v>335205</v>
      </c>
      <c r="M95" s="2">
        <v>324966</v>
      </c>
      <c r="N95" s="2">
        <v>313423</v>
      </c>
      <c r="O95" s="2">
        <v>303391</v>
      </c>
      <c r="P95" s="2">
        <v>296852</v>
      </c>
    </row>
    <row r="96" spans="1:16">
      <c r="A96" s="84" t="s">
        <v>265</v>
      </c>
      <c r="B96" s="85" t="s">
        <v>264</v>
      </c>
      <c r="C96" s="85" t="s">
        <v>74</v>
      </c>
      <c r="D96" s="84" t="s">
        <v>87</v>
      </c>
      <c r="E96" s="84">
        <v>1</v>
      </c>
      <c r="F96" s="2">
        <v>56036</v>
      </c>
      <c r="G96" s="2">
        <v>57250</v>
      </c>
      <c r="H96" s="2">
        <v>57905</v>
      </c>
      <c r="I96" s="2">
        <v>58190</v>
      </c>
      <c r="J96" s="2">
        <v>58422</v>
      </c>
      <c r="K96" s="2">
        <v>58832</v>
      </c>
      <c r="L96" s="2">
        <v>59580</v>
      </c>
      <c r="M96" s="2">
        <v>60450</v>
      </c>
      <c r="N96" s="2">
        <v>61344</v>
      </c>
      <c r="O96" s="2">
        <v>62122</v>
      </c>
      <c r="P96" s="2">
        <v>62676</v>
      </c>
    </row>
    <row r="97" spans="1:16">
      <c r="A97" s="84" t="s">
        <v>267</v>
      </c>
      <c r="B97" s="85" t="s">
        <v>266</v>
      </c>
      <c r="C97" s="85" t="s">
        <v>79</v>
      </c>
      <c r="D97" s="84" t="s">
        <v>84</v>
      </c>
      <c r="E97" s="84">
        <v>1</v>
      </c>
      <c r="F97" s="2">
        <v>139178</v>
      </c>
      <c r="G97" s="2">
        <v>140026</v>
      </c>
      <c r="H97" s="2">
        <v>141794</v>
      </c>
      <c r="I97" s="2">
        <v>144137</v>
      </c>
      <c r="J97" s="2">
        <v>146554</v>
      </c>
      <c r="K97" s="2">
        <v>148656</v>
      </c>
      <c r="L97" s="2">
        <v>150408</v>
      </c>
      <c r="M97" s="2">
        <v>151880</v>
      </c>
      <c r="N97" s="2">
        <v>153051</v>
      </c>
      <c r="O97" s="2">
        <v>153948</v>
      </c>
      <c r="P97" s="2">
        <v>154603</v>
      </c>
    </row>
    <row r="98" spans="1:16">
      <c r="A98" s="84" t="s">
        <v>269</v>
      </c>
      <c r="B98" s="85" t="s">
        <v>268</v>
      </c>
      <c r="C98" s="85" t="s">
        <v>99</v>
      </c>
      <c r="D98" s="84" t="s">
        <v>84</v>
      </c>
      <c r="E98" s="84">
        <v>4</v>
      </c>
      <c r="F98" s="2">
        <v>148882</v>
      </c>
      <c r="G98" s="2">
        <v>147998</v>
      </c>
      <c r="H98" s="2">
        <v>146792</v>
      </c>
      <c r="I98" s="2">
        <v>145394</v>
      </c>
      <c r="J98" s="2">
        <v>144010</v>
      </c>
      <c r="K98" s="2">
        <v>142787</v>
      </c>
      <c r="L98" s="2">
        <v>141828</v>
      </c>
      <c r="M98" s="2">
        <v>141003</v>
      </c>
      <c r="N98" s="2">
        <v>140239</v>
      </c>
      <c r="O98" s="2">
        <v>139428</v>
      </c>
      <c r="P98" s="2">
        <v>138492</v>
      </c>
    </row>
    <row r="99" spans="1:16">
      <c r="A99" s="84" t="s">
        <v>271</v>
      </c>
      <c r="B99" s="85" t="s">
        <v>270</v>
      </c>
      <c r="C99" s="85" t="s">
        <v>79</v>
      </c>
      <c r="D99" s="84" t="s">
        <v>87</v>
      </c>
      <c r="E99" s="84">
        <v>1</v>
      </c>
      <c r="F99" s="2">
        <v>16951</v>
      </c>
      <c r="G99" s="2">
        <v>16978</v>
      </c>
      <c r="H99" s="2">
        <v>16236</v>
      </c>
      <c r="I99" s="2">
        <v>15051</v>
      </c>
      <c r="J99" s="2">
        <v>13931</v>
      </c>
      <c r="K99" s="2">
        <v>13251</v>
      </c>
      <c r="L99" s="2">
        <v>13107</v>
      </c>
      <c r="M99" s="2">
        <v>13344</v>
      </c>
      <c r="N99" s="2">
        <v>13832</v>
      </c>
      <c r="O99" s="2">
        <v>14365</v>
      </c>
      <c r="P99" s="2">
        <v>14786</v>
      </c>
    </row>
    <row r="100" spans="1:16">
      <c r="A100" s="84" t="s">
        <v>273</v>
      </c>
      <c r="B100" s="85" t="s">
        <v>272</v>
      </c>
      <c r="C100" s="85" t="s">
        <v>74</v>
      </c>
      <c r="D100" s="84" t="s">
        <v>80</v>
      </c>
      <c r="E100" s="84">
        <v>2</v>
      </c>
      <c r="F100" s="2">
        <v>82443</v>
      </c>
      <c r="G100" s="2">
        <v>79328</v>
      </c>
      <c r="H100" s="2">
        <v>77379</v>
      </c>
      <c r="I100" s="2">
        <v>76289</v>
      </c>
      <c r="J100" s="2">
        <v>75589</v>
      </c>
      <c r="K100" s="2">
        <v>74923</v>
      </c>
      <c r="L100" s="2">
        <v>73946</v>
      </c>
      <c r="M100" s="2">
        <v>73035</v>
      </c>
      <c r="N100" s="2">
        <v>72196</v>
      </c>
      <c r="O100" s="2">
        <v>71471</v>
      </c>
      <c r="P100" s="2">
        <v>70888</v>
      </c>
    </row>
    <row r="101" spans="1:16">
      <c r="A101" s="84" t="s">
        <v>275</v>
      </c>
      <c r="B101" s="85" t="s">
        <v>274</v>
      </c>
      <c r="C101" s="85" t="s">
        <v>83</v>
      </c>
      <c r="D101" s="84" t="s">
        <v>84</v>
      </c>
      <c r="E101" s="84">
        <v>3</v>
      </c>
      <c r="F101" s="2">
        <v>50023</v>
      </c>
      <c r="G101" s="2">
        <v>49886</v>
      </c>
      <c r="H101" s="2">
        <v>49574</v>
      </c>
      <c r="I101" s="2">
        <v>49172</v>
      </c>
      <c r="J101" s="2">
        <v>48811</v>
      </c>
      <c r="K101" s="2">
        <v>48582</v>
      </c>
      <c r="L101" s="2">
        <v>48476</v>
      </c>
      <c r="M101" s="2">
        <v>48491</v>
      </c>
      <c r="N101" s="2">
        <v>48576</v>
      </c>
      <c r="O101" s="2">
        <v>48661</v>
      </c>
      <c r="P101" s="2">
        <v>48685</v>
      </c>
    </row>
    <row r="102" spans="1:16">
      <c r="A102" s="84" t="s">
        <v>277</v>
      </c>
      <c r="B102" s="85" t="s">
        <v>276</v>
      </c>
      <c r="C102" s="85" t="s">
        <v>83</v>
      </c>
      <c r="D102" s="84" t="s">
        <v>75</v>
      </c>
      <c r="E102" s="84">
        <v>3</v>
      </c>
      <c r="F102" s="2">
        <v>177900</v>
      </c>
      <c r="G102" s="2">
        <v>179901</v>
      </c>
      <c r="H102" s="2">
        <v>181956</v>
      </c>
      <c r="I102" s="2">
        <v>184026</v>
      </c>
      <c r="J102" s="2">
        <v>186057</v>
      </c>
      <c r="K102" s="2">
        <v>188002</v>
      </c>
      <c r="L102" s="2">
        <v>189889</v>
      </c>
      <c r="M102" s="2">
        <v>191696</v>
      </c>
      <c r="N102" s="2">
        <v>193437</v>
      </c>
      <c r="O102" s="2">
        <v>195124</v>
      </c>
      <c r="P102" s="2">
        <v>196766</v>
      </c>
    </row>
    <row r="103" spans="1:16">
      <c r="A103" s="84" t="s">
        <v>279</v>
      </c>
      <c r="B103" s="85" t="s">
        <v>278</v>
      </c>
      <c r="C103" s="85" t="s">
        <v>74</v>
      </c>
      <c r="D103" s="84" t="s">
        <v>80</v>
      </c>
      <c r="E103" s="84">
        <v>2</v>
      </c>
      <c r="F103" s="2">
        <v>107692</v>
      </c>
      <c r="G103" s="2">
        <v>106720</v>
      </c>
      <c r="H103" s="2">
        <v>106175</v>
      </c>
      <c r="I103" s="2">
        <v>105980</v>
      </c>
      <c r="J103" s="2">
        <v>105999</v>
      </c>
      <c r="K103" s="2">
        <v>106123</v>
      </c>
      <c r="L103" s="2">
        <v>106435</v>
      </c>
      <c r="M103" s="2">
        <v>106855</v>
      </c>
      <c r="N103" s="2">
        <v>107308</v>
      </c>
      <c r="O103" s="2">
        <v>107708</v>
      </c>
      <c r="P103" s="2">
        <v>107986</v>
      </c>
    </row>
    <row r="104" spans="1:16">
      <c r="A104" s="84" t="s">
        <v>281</v>
      </c>
      <c r="B104" s="85" t="s">
        <v>280</v>
      </c>
      <c r="C104" s="85" t="s">
        <v>79</v>
      </c>
      <c r="D104" s="84" t="s">
        <v>87</v>
      </c>
      <c r="E104" s="84">
        <v>1</v>
      </c>
      <c r="F104" s="2">
        <v>21794</v>
      </c>
      <c r="G104" s="2">
        <v>20941</v>
      </c>
      <c r="H104" s="2">
        <v>20099</v>
      </c>
      <c r="I104" s="2">
        <v>19336</v>
      </c>
      <c r="J104" s="2">
        <v>18745</v>
      </c>
      <c r="K104" s="2">
        <v>18389</v>
      </c>
      <c r="L104" s="2">
        <v>18311</v>
      </c>
      <c r="M104" s="2">
        <v>18476</v>
      </c>
      <c r="N104" s="2">
        <v>18826</v>
      </c>
      <c r="O104" s="2">
        <v>19272</v>
      </c>
      <c r="P104" s="2">
        <v>19737</v>
      </c>
    </row>
    <row r="105" spans="1:16">
      <c r="A105" s="84" t="s">
        <v>283</v>
      </c>
      <c r="B105" s="85" t="s">
        <v>282</v>
      </c>
      <c r="C105" s="85" t="s">
        <v>79</v>
      </c>
      <c r="D105" s="84" t="s">
        <v>87</v>
      </c>
      <c r="E105" s="84">
        <v>1</v>
      </c>
      <c r="F105" s="2">
        <v>6770</v>
      </c>
      <c r="G105" s="2">
        <v>6802</v>
      </c>
      <c r="H105" s="2">
        <v>6853</v>
      </c>
      <c r="I105" s="2">
        <v>6915</v>
      </c>
      <c r="J105" s="2">
        <v>6972</v>
      </c>
      <c r="K105" s="2">
        <v>7012</v>
      </c>
      <c r="L105" s="2">
        <v>7042</v>
      </c>
      <c r="M105" s="2">
        <v>7057</v>
      </c>
      <c r="N105" s="2">
        <v>7066</v>
      </c>
      <c r="O105" s="2">
        <v>7077</v>
      </c>
      <c r="P105" s="2">
        <v>7101</v>
      </c>
    </row>
    <row r="106" spans="1:16">
      <c r="A106" s="84" t="s">
        <v>285</v>
      </c>
      <c r="B106" s="85" t="s">
        <v>284</v>
      </c>
      <c r="C106" s="85" t="s">
        <v>79</v>
      </c>
      <c r="D106" s="84" t="s">
        <v>80</v>
      </c>
      <c r="E106" s="84">
        <v>1</v>
      </c>
      <c r="F106" s="2">
        <v>18663</v>
      </c>
      <c r="G106" s="2">
        <v>18379</v>
      </c>
      <c r="H106" s="2">
        <v>18077</v>
      </c>
      <c r="I106" s="2">
        <v>17770</v>
      </c>
      <c r="J106" s="2">
        <v>17482</v>
      </c>
      <c r="K106" s="2">
        <v>17229</v>
      </c>
      <c r="L106" s="2">
        <v>17029</v>
      </c>
      <c r="M106" s="2">
        <v>16864</v>
      </c>
      <c r="N106" s="2">
        <v>16733</v>
      </c>
      <c r="O106" s="2">
        <v>16626</v>
      </c>
      <c r="P106" s="2">
        <v>16537</v>
      </c>
    </row>
    <row r="107" spans="1:16">
      <c r="A107" s="84" t="s">
        <v>287</v>
      </c>
      <c r="B107" s="85" t="s">
        <v>286</v>
      </c>
      <c r="C107" s="85" t="s">
        <v>83</v>
      </c>
      <c r="D107" s="84" t="s">
        <v>75</v>
      </c>
      <c r="E107" s="84">
        <v>3</v>
      </c>
      <c r="F107" s="2">
        <v>1004312</v>
      </c>
      <c r="G107" s="2">
        <v>1015978</v>
      </c>
      <c r="H107" s="2">
        <v>1026857</v>
      </c>
      <c r="I107" s="2">
        <v>1037377</v>
      </c>
      <c r="J107" s="2">
        <v>1048109.9999999999</v>
      </c>
      <c r="K107" s="2">
        <v>1059458</v>
      </c>
      <c r="L107" s="2">
        <v>1072099</v>
      </c>
      <c r="M107" s="2">
        <v>1085321</v>
      </c>
      <c r="N107" s="2">
        <v>1098792</v>
      </c>
      <c r="O107" s="2">
        <v>1112011</v>
      </c>
      <c r="P107" s="2">
        <v>1124602</v>
      </c>
    </row>
    <row r="108" spans="1:16">
      <c r="A108" s="84" t="s">
        <v>289</v>
      </c>
      <c r="B108" s="85" t="s">
        <v>288</v>
      </c>
      <c r="C108" s="85" t="s">
        <v>83</v>
      </c>
      <c r="D108" s="84" t="s">
        <v>75</v>
      </c>
      <c r="E108" s="84">
        <v>3</v>
      </c>
      <c r="F108" s="2">
        <v>727280</v>
      </c>
      <c r="G108" s="2">
        <v>734917</v>
      </c>
      <c r="H108" s="2">
        <v>743213</v>
      </c>
      <c r="I108" s="2">
        <v>751880</v>
      </c>
      <c r="J108" s="2">
        <v>760452</v>
      </c>
      <c r="K108" s="2">
        <v>768567</v>
      </c>
      <c r="L108" s="2">
        <v>776413</v>
      </c>
      <c r="M108" s="2">
        <v>783847</v>
      </c>
      <c r="N108" s="2">
        <v>790990</v>
      </c>
      <c r="O108" s="2">
        <v>797987</v>
      </c>
      <c r="P108" s="2">
        <v>804927</v>
      </c>
    </row>
    <row r="109" spans="1:16">
      <c r="A109" s="84" t="s">
        <v>291</v>
      </c>
      <c r="B109" s="85" t="s">
        <v>290</v>
      </c>
      <c r="C109" s="85" t="s">
        <v>99</v>
      </c>
      <c r="D109" s="84" t="s">
        <v>80</v>
      </c>
      <c r="E109" s="84">
        <v>2</v>
      </c>
      <c r="F109" s="2">
        <v>498979</v>
      </c>
      <c r="G109" s="2">
        <v>494184</v>
      </c>
      <c r="H109" s="2">
        <v>488874</v>
      </c>
      <c r="I109" s="2">
        <v>483219</v>
      </c>
      <c r="J109" s="2">
        <v>477438</v>
      </c>
      <c r="K109" s="2">
        <v>471712</v>
      </c>
      <c r="L109" s="2">
        <v>466515</v>
      </c>
      <c r="M109" s="2">
        <v>461433</v>
      </c>
      <c r="N109" s="2">
        <v>456698</v>
      </c>
      <c r="O109" s="2">
        <v>452593</v>
      </c>
      <c r="P109" s="2">
        <v>449307</v>
      </c>
    </row>
    <row r="110" spans="1:16">
      <c r="A110" s="84" t="s">
        <v>293</v>
      </c>
      <c r="B110" s="85" t="s">
        <v>292</v>
      </c>
      <c r="C110" s="85" t="s">
        <v>110</v>
      </c>
      <c r="D110" s="84" t="s">
        <v>80</v>
      </c>
      <c r="E110" s="84">
        <v>2</v>
      </c>
      <c r="F110" s="2">
        <v>5199</v>
      </c>
      <c r="G110" s="2">
        <v>5133</v>
      </c>
      <c r="H110" s="2">
        <v>5134</v>
      </c>
      <c r="I110" s="2">
        <v>5185</v>
      </c>
      <c r="J110" s="2">
        <v>5258</v>
      </c>
      <c r="K110" s="2">
        <v>5331</v>
      </c>
      <c r="L110" s="2">
        <v>5399</v>
      </c>
      <c r="M110" s="2">
        <v>5464</v>
      </c>
      <c r="N110" s="2">
        <v>5524</v>
      </c>
      <c r="O110" s="2">
        <v>5577</v>
      </c>
      <c r="P110" s="2">
        <v>5621</v>
      </c>
    </row>
    <row r="111" spans="1:16">
      <c r="A111" s="84" t="s">
        <v>295</v>
      </c>
      <c r="B111" s="85" t="s">
        <v>294</v>
      </c>
      <c r="C111" s="85" t="s">
        <v>83</v>
      </c>
      <c r="D111" s="84" t="s">
        <v>75</v>
      </c>
      <c r="E111" s="84">
        <v>3</v>
      </c>
      <c r="F111" s="2">
        <v>931277</v>
      </c>
      <c r="G111" s="2">
        <v>945554</v>
      </c>
      <c r="H111" s="2">
        <v>959160</v>
      </c>
      <c r="I111" s="2">
        <v>972333</v>
      </c>
      <c r="J111" s="2">
        <v>985472</v>
      </c>
      <c r="K111" s="2">
        <v>998854</v>
      </c>
      <c r="L111" s="2">
        <v>1012395</v>
      </c>
      <c r="M111" s="2">
        <v>1026232</v>
      </c>
      <c r="N111" s="2">
        <v>1039874</v>
      </c>
      <c r="O111" s="2">
        <v>1052655</v>
      </c>
      <c r="P111" s="2">
        <v>1064108</v>
      </c>
    </row>
    <row r="112" spans="1:16">
      <c r="A112" s="84" t="s">
        <v>297</v>
      </c>
      <c r="B112" s="85" t="s">
        <v>296</v>
      </c>
      <c r="C112" s="85" t="s">
        <v>79</v>
      </c>
      <c r="D112" s="84" t="s">
        <v>87</v>
      </c>
      <c r="E112" s="84">
        <v>1</v>
      </c>
      <c r="F112" s="2">
        <v>3962</v>
      </c>
      <c r="G112" s="2">
        <v>3897</v>
      </c>
      <c r="H112" s="2">
        <v>3838</v>
      </c>
      <c r="I112" s="2">
        <v>3786</v>
      </c>
      <c r="J112" s="2">
        <v>3740</v>
      </c>
      <c r="K112" s="2">
        <v>3697</v>
      </c>
      <c r="L112" s="2">
        <v>3663</v>
      </c>
      <c r="M112" s="2">
        <v>3636</v>
      </c>
      <c r="N112" s="2">
        <v>3613</v>
      </c>
      <c r="O112" s="2">
        <v>3597</v>
      </c>
      <c r="P112" s="2">
        <v>3586</v>
      </c>
    </row>
    <row r="113" spans="1:16">
      <c r="A113" s="84" t="s">
        <v>299</v>
      </c>
      <c r="B113" s="85" t="s">
        <v>298</v>
      </c>
      <c r="C113" s="85" t="s">
        <v>99</v>
      </c>
      <c r="D113" s="84" t="s">
        <v>80</v>
      </c>
      <c r="E113" s="84">
        <v>1</v>
      </c>
      <c r="F113" s="2">
        <v>0</v>
      </c>
      <c r="G113" s="2">
        <v>0</v>
      </c>
      <c r="H113" s="2">
        <v>0</v>
      </c>
      <c r="I113" s="2">
        <v>0</v>
      </c>
      <c r="J113" s="2">
        <v>0</v>
      </c>
      <c r="K113" s="2">
        <v>0</v>
      </c>
      <c r="L113" s="2">
        <v>0</v>
      </c>
      <c r="M113" s="2">
        <v>0</v>
      </c>
      <c r="N113" s="2">
        <v>0</v>
      </c>
      <c r="O113" s="2">
        <v>0</v>
      </c>
      <c r="P113" s="2">
        <v>0</v>
      </c>
    </row>
    <row r="114" spans="1:16">
      <c r="A114" s="84" t="s">
        <v>301</v>
      </c>
      <c r="B114" s="85" t="s">
        <v>300</v>
      </c>
      <c r="C114" s="85" t="s">
        <v>83</v>
      </c>
      <c r="D114" s="84" t="s">
        <v>84</v>
      </c>
      <c r="E114" s="84">
        <v>3</v>
      </c>
      <c r="F114" s="2">
        <v>166749</v>
      </c>
      <c r="G114" s="2">
        <v>168996</v>
      </c>
      <c r="H114" s="2">
        <v>171260</v>
      </c>
      <c r="I114" s="2">
        <v>173556</v>
      </c>
      <c r="J114" s="2">
        <v>175906</v>
      </c>
      <c r="K114" s="2">
        <v>178317</v>
      </c>
      <c r="L114" s="2">
        <v>180864</v>
      </c>
      <c r="M114" s="2">
        <v>183480</v>
      </c>
      <c r="N114" s="2">
        <v>186114</v>
      </c>
      <c r="O114" s="2">
        <v>188694</v>
      </c>
      <c r="P114" s="2">
        <v>191167</v>
      </c>
    </row>
    <row r="115" spans="1:16">
      <c r="A115" s="84" t="s">
        <v>303</v>
      </c>
      <c r="B115" s="85" t="s">
        <v>302</v>
      </c>
      <c r="C115" s="85" t="s">
        <v>83</v>
      </c>
      <c r="D115" s="84" t="s">
        <v>87</v>
      </c>
      <c r="E115" s="84">
        <v>1</v>
      </c>
      <c r="F115" s="2">
        <v>11924</v>
      </c>
      <c r="G115" s="2">
        <v>11878</v>
      </c>
      <c r="H115" s="2">
        <v>11840</v>
      </c>
      <c r="I115" s="2">
        <v>11795</v>
      </c>
      <c r="J115" s="2">
        <v>11724</v>
      </c>
      <c r="K115" s="2">
        <v>11614</v>
      </c>
      <c r="L115" s="2">
        <v>11469</v>
      </c>
      <c r="M115" s="2">
        <v>11287</v>
      </c>
      <c r="N115" s="2">
        <v>11079</v>
      </c>
      <c r="O115" s="2">
        <v>10868</v>
      </c>
      <c r="P115" s="2">
        <v>10670</v>
      </c>
    </row>
    <row r="116" spans="1:16">
      <c r="A116" s="84" t="s">
        <v>305</v>
      </c>
      <c r="B116" s="85" t="s">
        <v>304</v>
      </c>
      <c r="C116" s="85" t="s">
        <v>92</v>
      </c>
      <c r="D116" s="84" t="s">
        <v>80</v>
      </c>
      <c r="E116" s="84">
        <v>2</v>
      </c>
      <c r="F116" s="2">
        <v>2017455</v>
      </c>
      <c r="G116" s="2">
        <v>2001514</v>
      </c>
      <c r="H116" s="2">
        <v>1987101</v>
      </c>
      <c r="I116" s="2">
        <v>1973628</v>
      </c>
      <c r="J116" s="2">
        <v>1960153</v>
      </c>
      <c r="K116" s="2">
        <v>1945977</v>
      </c>
      <c r="L116" s="2">
        <v>1932566</v>
      </c>
      <c r="M116" s="2">
        <v>1918672</v>
      </c>
      <c r="N116" s="2">
        <v>1904440</v>
      </c>
      <c r="O116" s="2">
        <v>1890098</v>
      </c>
      <c r="P116" s="2">
        <v>1875796</v>
      </c>
    </row>
    <row r="117" spans="1:16">
      <c r="A117" s="84" t="s">
        <v>307</v>
      </c>
      <c r="B117" s="85" t="s">
        <v>306</v>
      </c>
      <c r="C117" s="85" t="s">
        <v>99</v>
      </c>
      <c r="D117" s="84" t="s">
        <v>84</v>
      </c>
      <c r="E117" s="84">
        <v>1</v>
      </c>
      <c r="F117" s="2">
        <v>2533</v>
      </c>
      <c r="G117" s="2">
        <v>2509</v>
      </c>
      <c r="H117" s="2">
        <v>2480</v>
      </c>
      <c r="I117" s="2">
        <v>2448</v>
      </c>
      <c r="J117" s="2">
        <v>2414</v>
      </c>
      <c r="K117" s="2">
        <v>2381</v>
      </c>
      <c r="L117" s="2">
        <v>2349</v>
      </c>
      <c r="M117" s="2">
        <v>2318</v>
      </c>
      <c r="N117" s="2">
        <v>2289</v>
      </c>
      <c r="O117" s="2">
        <v>2263</v>
      </c>
      <c r="P117" s="2">
        <v>2241</v>
      </c>
    </row>
    <row r="118" spans="1:16">
      <c r="A118" s="84" t="s">
        <v>309</v>
      </c>
      <c r="B118" s="85" t="s">
        <v>308</v>
      </c>
      <c r="C118" s="85" t="s">
        <v>79</v>
      </c>
      <c r="D118" s="84" t="s">
        <v>84</v>
      </c>
      <c r="E118" s="84">
        <v>1</v>
      </c>
      <c r="F118" s="2">
        <v>31222</v>
      </c>
      <c r="G118" s="2">
        <v>30618</v>
      </c>
      <c r="H118" s="2">
        <v>30262</v>
      </c>
      <c r="I118" s="2">
        <v>30092</v>
      </c>
      <c r="J118" s="2">
        <v>29995</v>
      </c>
      <c r="K118" s="2">
        <v>29890</v>
      </c>
      <c r="L118" s="2">
        <v>29776</v>
      </c>
      <c r="M118" s="2">
        <v>29660</v>
      </c>
      <c r="N118" s="2">
        <v>29540</v>
      </c>
      <c r="O118" s="2">
        <v>29427</v>
      </c>
      <c r="P118" s="2">
        <v>29321</v>
      </c>
    </row>
    <row r="119" spans="1:16">
      <c r="A119" s="84" t="s">
        <v>311</v>
      </c>
      <c r="B119" s="85" t="s">
        <v>310</v>
      </c>
      <c r="C119" s="85" t="s">
        <v>79</v>
      </c>
      <c r="D119" s="84" t="s">
        <v>87</v>
      </c>
      <c r="E119" s="84">
        <v>1</v>
      </c>
      <c r="F119" s="2">
        <v>0</v>
      </c>
      <c r="G119" s="2">
        <v>0</v>
      </c>
      <c r="H119" s="2">
        <v>0</v>
      </c>
      <c r="I119" s="2">
        <v>0</v>
      </c>
      <c r="J119" s="2">
        <v>0</v>
      </c>
      <c r="K119" s="2">
        <v>0</v>
      </c>
      <c r="L119" s="2">
        <v>0</v>
      </c>
      <c r="M119" s="2">
        <v>0</v>
      </c>
      <c r="N119" s="2">
        <v>0</v>
      </c>
      <c r="O119" s="2">
        <v>0</v>
      </c>
      <c r="P119" s="2">
        <v>0</v>
      </c>
    </row>
    <row r="120" spans="1:16">
      <c r="A120" s="84" t="s">
        <v>313</v>
      </c>
      <c r="B120" s="85" t="s">
        <v>312</v>
      </c>
      <c r="C120" s="85" t="s">
        <v>99</v>
      </c>
      <c r="D120" s="84" t="s">
        <v>84</v>
      </c>
      <c r="E120" s="84">
        <v>2</v>
      </c>
      <c r="F120" s="2">
        <v>65452</v>
      </c>
      <c r="G120" s="2">
        <v>65599</v>
      </c>
      <c r="H120" s="2">
        <v>65671</v>
      </c>
      <c r="I120" s="2">
        <v>65721</v>
      </c>
      <c r="J120" s="2">
        <v>65839</v>
      </c>
      <c r="K120" s="2">
        <v>66089</v>
      </c>
      <c r="L120" s="2">
        <v>66530</v>
      </c>
      <c r="M120" s="2">
        <v>67087</v>
      </c>
      <c r="N120" s="2">
        <v>67715</v>
      </c>
      <c r="O120" s="2">
        <v>68348</v>
      </c>
      <c r="P120" s="2">
        <v>68941</v>
      </c>
    </row>
    <row r="121" spans="1:16">
      <c r="A121" s="84" t="s">
        <v>315</v>
      </c>
      <c r="B121" s="85" t="s">
        <v>314</v>
      </c>
      <c r="C121" s="85" t="s">
        <v>79</v>
      </c>
      <c r="D121" s="84" t="s">
        <v>80</v>
      </c>
      <c r="E121" s="84">
        <v>1</v>
      </c>
      <c r="F121" s="2">
        <v>6663</v>
      </c>
      <c r="G121" s="2">
        <v>6621</v>
      </c>
      <c r="H121" s="2">
        <v>6560</v>
      </c>
      <c r="I121" s="2">
        <v>6487</v>
      </c>
      <c r="J121" s="2">
        <v>6413</v>
      </c>
      <c r="K121" s="2">
        <v>6348</v>
      </c>
      <c r="L121" s="2">
        <v>6295</v>
      </c>
      <c r="M121" s="2">
        <v>6250</v>
      </c>
      <c r="N121" s="2">
        <v>6208</v>
      </c>
      <c r="O121" s="2">
        <v>6169</v>
      </c>
      <c r="P121" s="2">
        <v>6129</v>
      </c>
    </row>
    <row r="122" spans="1:16">
      <c r="A122" s="84" t="s">
        <v>317</v>
      </c>
      <c r="B122" s="85" t="s">
        <v>316</v>
      </c>
      <c r="C122" s="85" t="s">
        <v>74</v>
      </c>
      <c r="D122" s="84" t="s">
        <v>84</v>
      </c>
      <c r="E122" s="84">
        <v>3</v>
      </c>
      <c r="F122" s="2">
        <v>611059</v>
      </c>
      <c r="G122" s="2">
        <v>606356</v>
      </c>
      <c r="H122" s="2">
        <v>603658</v>
      </c>
      <c r="I122" s="2">
        <v>602394</v>
      </c>
      <c r="J122" s="2">
        <v>601622</v>
      </c>
      <c r="K122" s="2">
        <v>600622</v>
      </c>
      <c r="L122" s="2">
        <v>599739</v>
      </c>
      <c r="M122" s="2">
        <v>598769</v>
      </c>
      <c r="N122" s="2">
        <v>597660</v>
      </c>
      <c r="O122" s="2">
        <v>596397</v>
      </c>
      <c r="P122" s="2">
        <v>594958</v>
      </c>
    </row>
    <row r="123" spans="1:16">
      <c r="A123" s="84" t="s">
        <v>319</v>
      </c>
      <c r="B123" s="85" t="s">
        <v>318</v>
      </c>
      <c r="C123" s="85" t="s">
        <v>83</v>
      </c>
      <c r="D123" s="84" t="s">
        <v>75</v>
      </c>
      <c r="E123" s="84" t="s">
        <v>76</v>
      </c>
      <c r="F123" s="2">
        <v>1296354</v>
      </c>
      <c r="G123" s="2">
        <v>1314776</v>
      </c>
      <c r="H123" s="2">
        <v>1333092</v>
      </c>
      <c r="I123" s="2">
        <v>1351300</v>
      </c>
      <c r="J123" s="2">
        <v>1369388</v>
      </c>
      <c r="K123" s="2">
        <v>1387313</v>
      </c>
      <c r="L123" s="2">
        <v>1405330</v>
      </c>
      <c r="M123" s="2">
        <v>1423206</v>
      </c>
      <c r="N123" s="2">
        <v>1440684</v>
      </c>
      <c r="O123" s="2">
        <v>1457418</v>
      </c>
      <c r="P123" s="2">
        <v>1473169</v>
      </c>
    </row>
    <row r="124" spans="1:16">
      <c r="A124" s="84" t="s">
        <v>321</v>
      </c>
      <c r="B124" s="85" t="s">
        <v>320</v>
      </c>
      <c r="C124" s="85" t="s">
        <v>110</v>
      </c>
      <c r="D124" s="84" t="s">
        <v>84</v>
      </c>
      <c r="E124" s="84">
        <v>4</v>
      </c>
      <c r="F124" s="2">
        <v>888532</v>
      </c>
      <c r="G124" s="2">
        <v>885728</v>
      </c>
      <c r="H124" s="2">
        <v>881058</v>
      </c>
      <c r="I124" s="2">
        <v>874798</v>
      </c>
      <c r="J124" s="2">
        <v>867451</v>
      </c>
      <c r="K124" s="2">
        <v>859448</v>
      </c>
      <c r="L124" s="2">
        <v>851464</v>
      </c>
      <c r="M124" s="2">
        <v>842772</v>
      </c>
      <c r="N124" s="2">
        <v>833784</v>
      </c>
      <c r="O124" s="2">
        <v>825024</v>
      </c>
      <c r="P124" s="2">
        <v>816863</v>
      </c>
    </row>
    <row r="125" spans="1:16">
      <c r="A125" s="84" t="s">
        <v>323</v>
      </c>
      <c r="B125" s="85" t="s">
        <v>322</v>
      </c>
      <c r="C125" s="85" t="s">
        <v>83</v>
      </c>
      <c r="D125" s="84" t="s">
        <v>80</v>
      </c>
      <c r="E125" s="84">
        <v>3</v>
      </c>
      <c r="F125" s="2">
        <v>69491</v>
      </c>
      <c r="G125" s="2">
        <v>69846</v>
      </c>
      <c r="H125" s="2">
        <v>70267</v>
      </c>
      <c r="I125" s="2">
        <v>70727</v>
      </c>
      <c r="J125" s="2">
        <v>71184</v>
      </c>
      <c r="K125" s="2">
        <v>71607</v>
      </c>
      <c r="L125" s="2">
        <v>71993</v>
      </c>
      <c r="M125" s="2">
        <v>72347</v>
      </c>
      <c r="N125" s="2">
        <v>72677</v>
      </c>
      <c r="O125" s="2">
        <v>73000</v>
      </c>
      <c r="P125" s="2">
        <v>73327</v>
      </c>
    </row>
    <row r="126" spans="1:16">
      <c r="A126" s="84" t="s">
        <v>325</v>
      </c>
      <c r="B126" s="85" t="s">
        <v>324</v>
      </c>
      <c r="C126" s="85" t="s">
        <v>99</v>
      </c>
      <c r="D126" s="84" t="s">
        <v>87</v>
      </c>
      <c r="E126" s="84">
        <v>1</v>
      </c>
      <c r="F126" s="2">
        <v>0</v>
      </c>
      <c r="G126" s="2">
        <v>0</v>
      </c>
      <c r="H126" s="2">
        <v>0</v>
      </c>
      <c r="I126" s="2">
        <v>0</v>
      </c>
      <c r="J126" s="2">
        <v>0</v>
      </c>
      <c r="K126" s="2">
        <v>0</v>
      </c>
      <c r="L126" s="2">
        <v>0</v>
      </c>
      <c r="M126" s="2">
        <v>0</v>
      </c>
      <c r="N126" s="2">
        <v>0</v>
      </c>
      <c r="O126" s="2">
        <v>0</v>
      </c>
      <c r="P126" s="2">
        <v>0</v>
      </c>
    </row>
    <row r="127" spans="1:16">
      <c r="A127" s="84" t="s">
        <v>327</v>
      </c>
      <c r="B127" s="85" t="s">
        <v>326</v>
      </c>
      <c r="C127" s="85" t="s">
        <v>110</v>
      </c>
      <c r="D127" s="84" t="s">
        <v>84</v>
      </c>
      <c r="E127" s="84">
        <v>4</v>
      </c>
      <c r="F127" s="2">
        <v>467548</v>
      </c>
      <c r="G127" s="2">
        <v>457714</v>
      </c>
      <c r="H127" s="2">
        <v>451687</v>
      </c>
      <c r="I127" s="2">
        <v>447975</v>
      </c>
      <c r="J127" s="2">
        <v>444179</v>
      </c>
      <c r="K127" s="2">
        <v>438541</v>
      </c>
      <c r="L127" s="2">
        <v>430621</v>
      </c>
      <c r="M127" s="2">
        <v>421140</v>
      </c>
      <c r="N127" s="2">
        <v>410979</v>
      </c>
      <c r="O127" s="2">
        <v>401456</v>
      </c>
      <c r="P127" s="2">
        <v>393518</v>
      </c>
    </row>
    <row r="128" spans="1:16">
      <c r="A128" s="84" t="s">
        <v>329</v>
      </c>
      <c r="B128" s="85" t="s">
        <v>328</v>
      </c>
      <c r="C128" s="85" t="s">
        <v>79</v>
      </c>
      <c r="D128" s="84" t="s">
        <v>87</v>
      </c>
      <c r="E128" s="84">
        <v>1</v>
      </c>
      <c r="F128" s="2">
        <v>172586</v>
      </c>
      <c r="G128" s="2">
        <v>171888</v>
      </c>
      <c r="H128" s="2">
        <v>171701</v>
      </c>
      <c r="I128" s="2">
        <v>171778</v>
      </c>
      <c r="J128" s="2">
        <v>171733</v>
      </c>
      <c r="K128" s="2">
        <v>171282</v>
      </c>
      <c r="L128" s="2">
        <v>170613</v>
      </c>
      <c r="M128" s="2">
        <v>169612</v>
      </c>
      <c r="N128" s="2">
        <v>168363</v>
      </c>
      <c r="O128" s="2">
        <v>167006</v>
      </c>
      <c r="P128" s="2">
        <v>165645</v>
      </c>
    </row>
    <row r="129" spans="1:16">
      <c r="A129" s="84" t="s">
        <v>331</v>
      </c>
      <c r="B129" s="85" t="s">
        <v>330</v>
      </c>
      <c r="C129" s="85" t="s">
        <v>99</v>
      </c>
      <c r="D129" s="84" t="s">
        <v>87</v>
      </c>
      <c r="E129" s="84">
        <v>1</v>
      </c>
      <c r="F129" s="2">
        <v>59297</v>
      </c>
      <c r="G129" s="2">
        <v>59104</v>
      </c>
      <c r="H129" s="2">
        <v>59010</v>
      </c>
      <c r="I129" s="2">
        <v>58988</v>
      </c>
      <c r="J129" s="2">
        <v>58984</v>
      </c>
      <c r="K129" s="2">
        <v>58960</v>
      </c>
      <c r="L129" s="2">
        <v>58992</v>
      </c>
      <c r="M129" s="2">
        <v>59013</v>
      </c>
      <c r="N129" s="2">
        <v>59019</v>
      </c>
      <c r="O129" s="2">
        <v>59011</v>
      </c>
      <c r="P129" s="2">
        <v>58987</v>
      </c>
    </row>
    <row r="130" spans="1:16">
      <c r="A130" s="84" t="s">
        <v>333</v>
      </c>
      <c r="B130" s="85" t="s">
        <v>332</v>
      </c>
      <c r="C130" s="85" t="s">
        <v>92</v>
      </c>
      <c r="D130" s="84" t="s">
        <v>84</v>
      </c>
      <c r="E130" s="84">
        <v>2</v>
      </c>
      <c r="F130" s="2">
        <v>120784</v>
      </c>
      <c r="G130" s="2">
        <v>120293</v>
      </c>
      <c r="H130" s="2">
        <v>119730</v>
      </c>
      <c r="I130" s="2">
        <v>119105</v>
      </c>
      <c r="J130" s="2">
        <v>118448</v>
      </c>
      <c r="K130" s="2">
        <v>117778</v>
      </c>
      <c r="L130" s="2">
        <v>117162</v>
      </c>
      <c r="M130" s="2">
        <v>116521</v>
      </c>
      <c r="N130" s="2">
        <v>115861</v>
      </c>
      <c r="O130" s="2">
        <v>115188</v>
      </c>
      <c r="P130" s="2">
        <v>114506</v>
      </c>
    </row>
    <row r="131" spans="1:16">
      <c r="A131" s="84" t="s">
        <v>335</v>
      </c>
      <c r="B131" s="85" t="s">
        <v>334</v>
      </c>
      <c r="C131" s="85" t="s">
        <v>83</v>
      </c>
      <c r="D131" s="84" t="s">
        <v>75</v>
      </c>
      <c r="E131" s="84">
        <v>3</v>
      </c>
      <c r="F131" s="2">
        <v>1375907</v>
      </c>
      <c r="G131" s="2">
        <v>1411653</v>
      </c>
      <c r="H131" s="2">
        <v>1447811</v>
      </c>
      <c r="I131" s="2">
        <v>1484125</v>
      </c>
      <c r="J131" s="2">
        <v>1520322</v>
      </c>
      <c r="K131" s="2">
        <v>1556195</v>
      </c>
      <c r="L131" s="2">
        <v>1591140</v>
      </c>
      <c r="M131" s="2">
        <v>1625843</v>
      </c>
      <c r="N131" s="2">
        <v>1660288</v>
      </c>
      <c r="O131" s="2">
        <v>1694526</v>
      </c>
      <c r="P131" s="2">
        <v>1728586</v>
      </c>
    </row>
    <row r="132" spans="1:16">
      <c r="A132" s="84" t="s">
        <v>337</v>
      </c>
      <c r="B132" s="85" t="s">
        <v>336</v>
      </c>
      <c r="C132" s="85" t="s">
        <v>83</v>
      </c>
      <c r="D132" s="84" t="s">
        <v>84</v>
      </c>
      <c r="E132" s="84" t="s">
        <v>76</v>
      </c>
      <c r="F132" s="2">
        <v>8360531.0000000009</v>
      </c>
      <c r="G132" s="2">
        <v>8479710</v>
      </c>
      <c r="H132" s="2">
        <v>8599531</v>
      </c>
      <c r="I132" s="2">
        <v>8719230</v>
      </c>
      <c r="J132" s="2">
        <v>8838124</v>
      </c>
      <c r="K132" s="2">
        <v>8955643</v>
      </c>
      <c r="L132" s="2">
        <v>9067985</v>
      </c>
      <c r="M132" s="2">
        <v>9179393</v>
      </c>
      <c r="N132" s="2">
        <v>9289052</v>
      </c>
      <c r="O132" s="2">
        <v>9396146</v>
      </c>
      <c r="P132" s="2">
        <v>9500017</v>
      </c>
    </row>
    <row r="133" spans="1:16">
      <c r="A133" s="84" t="s">
        <v>339</v>
      </c>
      <c r="B133" s="85" t="s">
        <v>338</v>
      </c>
      <c r="C133" s="85" t="s">
        <v>99</v>
      </c>
      <c r="D133" s="84" t="e">
        <v>#N/A</v>
      </c>
      <c r="E133" s="84">
        <v>1</v>
      </c>
      <c r="F133" s="2">
        <v>0</v>
      </c>
      <c r="G133" s="2">
        <v>0</v>
      </c>
      <c r="H133" s="2">
        <v>0</v>
      </c>
      <c r="I133" s="2">
        <v>0</v>
      </c>
      <c r="J133" s="2">
        <v>0</v>
      </c>
      <c r="K133" s="2">
        <v>0</v>
      </c>
      <c r="L133" s="2">
        <v>0</v>
      </c>
      <c r="M133" s="2">
        <v>0</v>
      </c>
      <c r="N133" s="2">
        <v>0</v>
      </c>
      <c r="O133" s="2">
        <v>0</v>
      </c>
      <c r="P133" s="2">
        <v>0</v>
      </c>
    </row>
    <row r="134" spans="1:16">
      <c r="A134" s="84" t="s">
        <v>341</v>
      </c>
      <c r="B134" s="85" t="s">
        <v>340</v>
      </c>
      <c r="C134" s="85" t="s">
        <v>79</v>
      </c>
      <c r="D134" s="84" t="s">
        <v>87</v>
      </c>
      <c r="E134" s="84">
        <v>1</v>
      </c>
      <c r="F134" s="2">
        <v>63932</v>
      </c>
      <c r="G134" s="2">
        <v>64049.000000000007</v>
      </c>
      <c r="H134" s="2">
        <v>64414</v>
      </c>
      <c r="I134" s="2">
        <v>64926</v>
      </c>
      <c r="J134" s="2">
        <v>65432</v>
      </c>
      <c r="K134" s="2">
        <v>65813</v>
      </c>
      <c r="L134" s="2">
        <v>66140</v>
      </c>
      <c r="M134" s="2">
        <v>66361</v>
      </c>
      <c r="N134" s="2">
        <v>66494</v>
      </c>
      <c r="O134" s="2">
        <v>66571</v>
      </c>
      <c r="P134" s="2">
        <v>66616</v>
      </c>
    </row>
    <row r="135" spans="1:16">
      <c r="A135" s="84" t="s">
        <v>343</v>
      </c>
      <c r="B135" s="85" t="s">
        <v>342</v>
      </c>
      <c r="C135" s="85" t="s">
        <v>74</v>
      </c>
      <c r="D135" s="84" t="s">
        <v>87</v>
      </c>
      <c r="E135" s="84">
        <v>1</v>
      </c>
      <c r="F135" s="2">
        <v>74831</v>
      </c>
      <c r="G135" s="2">
        <v>74455</v>
      </c>
      <c r="H135" s="2">
        <v>73226</v>
      </c>
      <c r="I135" s="2">
        <v>71536</v>
      </c>
      <c r="J135" s="2">
        <v>69989</v>
      </c>
      <c r="K135" s="2">
        <v>69024</v>
      </c>
      <c r="L135" s="2">
        <v>68785</v>
      </c>
      <c r="M135" s="2">
        <v>69048</v>
      </c>
      <c r="N135" s="2">
        <v>69676</v>
      </c>
      <c r="O135" s="2">
        <v>70444</v>
      </c>
      <c r="P135" s="2">
        <v>71186</v>
      </c>
    </row>
    <row r="136" spans="1:16">
      <c r="A136" s="84" t="s">
        <v>345</v>
      </c>
      <c r="B136" s="85" t="s">
        <v>344</v>
      </c>
      <c r="C136" s="85" t="s">
        <v>74</v>
      </c>
      <c r="D136" s="84" t="s">
        <v>84</v>
      </c>
      <c r="E136" s="84" t="s">
        <v>76</v>
      </c>
      <c r="F136" s="2">
        <v>5731929</v>
      </c>
      <c r="G136" s="2">
        <v>5738541</v>
      </c>
      <c r="H136" s="2">
        <v>5732115</v>
      </c>
      <c r="I136" s="2">
        <v>5719143</v>
      </c>
      <c r="J136" s="2">
        <v>5709215</v>
      </c>
      <c r="K136" s="2">
        <v>5709302</v>
      </c>
      <c r="L136" s="2">
        <v>5723955</v>
      </c>
      <c r="M136" s="2">
        <v>5747266</v>
      </c>
      <c r="N136" s="2">
        <v>5775975</v>
      </c>
      <c r="O136" s="2">
        <v>5805238</v>
      </c>
      <c r="P136" s="2">
        <v>5831147</v>
      </c>
    </row>
    <row r="137" spans="1:16">
      <c r="A137" s="84" t="s">
        <v>347</v>
      </c>
      <c r="B137" s="85" t="s">
        <v>346</v>
      </c>
      <c r="C137" s="85" t="s">
        <v>99</v>
      </c>
      <c r="D137" s="84" t="s">
        <v>87</v>
      </c>
      <c r="E137" s="84">
        <v>1</v>
      </c>
      <c r="F137" s="2">
        <v>0</v>
      </c>
      <c r="G137" s="2">
        <v>0</v>
      </c>
      <c r="H137" s="2">
        <v>0</v>
      </c>
      <c r="I137" s="2">
        <v>0</v>
      </c>
      <c r="J137" s="2">
        <v>0</v>
      </c>
      <c r="K137" s="2">
        <v>0</v>
      </c>
      <c r="L137" s="2">
        <v>0</v>
      </c>
      <c r="M137" s="2">
        <v>0</v>
      </c>
      <c r="N137" s="2">
        <v>0</v>
      </c>
      <c r="O137" s="2">
        <v>0</v>
      </c>
      <c r="P137" s="2">
        <v>0</v>
      </c>
    </row>
    <row r="138" spans="1:16">
      <c r="A138" s="84" t="s">
        <v>349</v>
      </c>
      <c r="B138" s="85" t="s">
        <v>348</v>
      </c>
      <c r="C138" s="85" t="s">
        <v>92</v>
      </c>
      <c r="D138" s="84" t="s">
        <v>87</v>
      </c>
      <c r="E138" s="84">
        <v>1</v>
      </c>
      <c r="F138" s="2">
        <v>79022</v>
      </c>
      <c r="G138" s="2">
        <v>78934</v>
      </c>
      <c r="H138" s="2">
        <v>78930</v>
      </c>
      <c r="I138" s="2">
        <v>78967</v>
      </c>
      <c r="J138" s="2">
        <v>78973</v>
      </c>
      <c r="K138" s="2">
        <v>78894</v>
      </c>
      <c r="L138" s="2">
        <v>78798</v>
      </c>
      <c r="M138" s="2">
        <v>78633</v>
      </c>
      <c r="N138" s="2">
        <v>78415</v>
      </c>
      <c r="O138" s="2">
        <v>78170</v>
      </c>
      <c r="P138" s="2">
        <v>77918</v>
      </c>
    </row>
    <row r="139" spans="1:16">
      <c r="A139" s="84" t="s">
        <v>351</v>
      </c>
      <c r="B139" s="85" t="s">
        <v>350</v>
      </c>
      <c r="C139" s="85" t="s">
        <v>99</v>
      </c>
      <c r="D139" s="84" t="s">
        <v>84</v>
      </c>
      <c r="E139" s="84">
        <v>4</v>
      </c>
      <c r="F139" s="2">
        <v>248905</v>
      </c>
      <c r="G139" s="2">
        <v>250849</v>
      </c>
      <c r="H139" s="2">
        <v>252711</v>
      </c>
      <c r="I139" s="2">
        <v>254445</v>
      </c>
      <c r="J139" s="2">
        <v>255993</v>
      </c>
      <c r="K139" s="2">
        <v>257321.00000000003</v>
      </c>
      <c r="L139" s="2">
        <v>258538</v>
      </c>
      <c r="M139" s="2">
        <v>259540.00000000003</v>
      </c>
      <c r="N139" s="2">
        <v>260426</v>
      </c>
      <c r="O139" s="2">
        <v>261337</v>
      </c>
      <c r="P139" s="2">
        <v>262372</v>
      </c>
    </row>
    <row r="140" spans="1:16">
      <c r="A140" s="84" t="s">
        <v>353</v>
      </c>
      <c r="B140" s="85" t="s">
        <v>352</v>
      </c>
      <c r="C140" s="85" t="s">
        <v>92</v>
      </c>
      <c r="D140" s="84" t="s">
        <v>80</v>
      </c>
      <c r="E140" s="84">
        <v>1</v>
      </c>
      <c r="F140" s="2">
        <v>135250</v>
      </c>
      <c r="G140" s="2">
        <v>134648</v>
      </c>
      <c r="H140" s="2">
        <v>133985</v>
      </c>
      <c r="I140" s="2">
        <v>133280</v>
      </c>
      <c r="J140" s="2">
        <v>132565</v>
      </c>
      <c r="K140" s="2">
        <v>131858</v>
      </c>
      <c r="L140" s="2">
        <v>131249</v>
      </c>
      <c r="M140" s="2">
        <v>130642</v>
      </c>
      <c r="N140" s="2">
        <v>130025</v>
      </c>
      <c r="O140" s="2">
        <v>129380</v>
      </c>
      <c r="P140" s="2">
        <v>128695</v>
      </c>
    </row>
    <row r="141" spans="1:16">
      <c r="A141" s="84" t="s">
        <v>355</v>
      </c>
      <c r="B141" s="85" t="s">
        <v>354</v>
      </c>
      <c r="C141" s="85" t="s">
        <v>92</v>
      </c>
      <c r="D141" s="84" t="s">
        <v>80</v>
      </c>
      <c r="E141" s="84">
        <v>2</v>
      </c>
      <c r="F141" s="2">
        <v>527667</v>
      </c>
      <c r="G141" s="2">
        <v>525935</v>
      </c>
      <c r="H141" s="2">
        <v>522780</v>
      </c>
      <c r="I141" s="2">
        <v>518609.00000000006</v>
      </c>
      <c r="J141" s="2">
        <v>514130</v>
      </c>
      <c r="K141" s="2">
        <v>509873</v>
      </c>
      <c r="L141" s="2">
        <v>506110</v>
      </c>
      <c r="M141" s="2">
        <v>502368</v>
      </c>
      <c r="N141" s="2">
        <v>498741</v>
      </c>
      <c r="O141" s="2">
        <v>495347</v>
      </c>
      <c r="P141" s="2">
        <v>492263</v>
      </c>
    </row>
    <row r="142" spans="1:16">
      <c r="A142" s="84" t="s">
        <v>357</v>
      </c>
      <c r="B142" s="85" t="s">
        <v>356</v>
      </c>
      <c r="C142" s="85" t="s">
        <v>99</v>
      </c>
      <c r="D142" s="84" t="s">
        <v>84</v>
      </c>
      <c r="E142" s="84" t="s">
        <v>76</v>
      </c>
      <c r="F142" s="2">
        <v>2159740</v>
      </c>
      <c r="G142" s="2">
        <v>2147225</v>
      </c>
      <c r="H142" s="2">
        <v>2149215</v>
      </c>
      <c r="I142" s="2">
        <v>2159633</v>
      </c>
      <c r="J142" s="2">
        <v>2169011</v>
      </c>
      <c r="K142" s="2">
        <v>2170389</v>
      </c>
      <c r="L142" s="2">
        <v>2163429</v>
      </c>
      <c r="M142" s="2">
        <v>2149774</v>
      </c>
      <c r="N142" s="2">
        <v>2132163</v>
      </c>
      <c r="O142" s="2">
        <v>2114721</v>
      </c>
      <c r="P142" s="2">
        <v>2100417</v>
      </c>
    </row>
    <row r="143" spans="1:16">
      <c r="A143" s="84" t="s">
        <v>359</v>
      </c>
      <c r="B143" s="85" t="s">
        <v>358</v>
      </c>
      <c r="C143" s="85" t="s">
        <v>79</v>
      </c>
      <c r="D143" s="84" t="s">
        <v>87</v>
      </c>
      <c r="E143" s="84">
        <v>1</v>
      </c>
      <c r="F143" s="2">
        <v>304504</v>
      </c>
      <c r="G143" s="2">
        <v>301695</v>
      </c>
      <c r="H143" s="2">
        <v>297806</v>
      </c>
      <c r="I143" s="2">
        <v>293482</v>
      </c>
      <c r="J143" s="2">
        <v>289731</v>
      </c>
      <c r="K143" s="2">
        <v>287254</v>
      </c>
      <c r="L143" s="2">
        <v>286559</v>
      </c>
      <c r="M143" s="2">
        <v>286940</v>
      </c>
      <c r="N143" s="2">
        <v>287975</v>
      </c>
      <c r="O143" s="2">
        <v>289073</v>
      </c>
      <c r="P143" s="2">
        <v>289803</v>
      </c>
    </row>
    <row r="144" spans="1:16">
      <c r="A144" s="84" t="s">
        <v>361</v>
      </c>
      <c r="B144" s="85" t="s">
        <v>360</v>
      </c>
      <c r="C144" s="85" t="s">
        <v>79</v>
      </c>
      <c r="D144" s="84" t="s">
        <v>87</v>
      </c>
      <c r="E144" s="84">
        <v>1</v>
      </c>
      <c r="F144" s="2">
        <v>76481</v>
      </c>
      <c r="G144" s="2">
        <v>76505</v>
      </c>
      <c r="H144" s="2">
        <v>76716</v>
      </c>
      <c r="I144" s="2">
        <v>77002</v>
      </c>
      <c r="J144" s="2">
        <v>77205</v>
      </c>
      <c r="K144" s="2">
        <v>77207</v>
      </c>
      <c r="L144" s="2">
        <v>77071</v>
      </c>
      <c r="M144" s="2">
        <v>76746</v>
      </c>
      <c r="N144" s="2">
        <v>76264</v>
      </c>
      <c r="O144" s="2">
        <v>75680</v>
      </c>
      <c r="P144" s="2">
        <v>75038</v>
      </c>
    </row>
    <row r="145" spans="1:16">
      <c r="A145" s="84" t="s">
        <v>363</v>
      </c>
      <c r="B145" s="85" t="s">
        <v>362</v>
      </c>
      <c r="C145" s="85" t="s">
        <v>74</v>
      </c>
      <c r="D145" s="84" t="s">
        <v>87</v>
      </c>
      <c r="E145" s="84">
        <v>1</v>
      </c>
      <c r="F145" s="2">
        <v>25670</v>
      </c>
      <c r="G145" s="2">
        <v>25572</v>
      </c>
      <c r="H145" s="2">
        <v>25463</v>
      </c>
      <c r="I145" s="2">
        <v>25360</v>
      </c>
      <c r="J145" s="2">
        <v>25284</v>
      </c>
      <c r="K145" s="2">
        <v>25246</v>
      </c>
      <c r="L145" s="2">
        <v>25321</v>
      </c>
      <c r="M145" s="2">
        <v>25432</v>
      </c>
      <c r="N145" s="2">
        <v>25570</v>
      </c>
      <c r="O145" s="2">
        <v>25715</v>
      </c>
      <c r="P145" s="2">
        <v>25853</v>
      </c>
    </row>
    <row r="146" spans="1:16">
      <c r="A146" s="84" t="s">
        <v>365</v>
      </c>
      <c r="B146" s="85" t="s">
        <v>364</v>
      </c>
      <c r="C146" s="85" t="s">
        <v>79</v>
      </c>
      <c r="D146" s="84" t="s">
        <v>87</v>
      </c>
      <c r="E146" s="84">
        <v>2</v>
      </c>
      <c r="F146" s="2">
        <v>167120</v>
      </c>
      <c r="G146" s="2">
        <v>167064</v>
      </c>
      <c r="H146" s="2">
        <v>166246</v>
      </c>
      <c r="I146" s="2">
        <v>164948</v>
      </c>
      <c r="J146" s="2">
        <v>163647</v>
      </c>
      <c r="K146" s="2">
        <v>162682</v>
      </c>
      <c r="L146" s="2">
        <v>162187</v>
      </c>
      <c r="M146" s="2">
        <v>161921</v>
      </c>
      <c r="N146" s="2">
        <v>161735</v>
      </c>
      <c r="O146" s="2">
        <v>161423</v>
      </c>
      <c r="P146" s="2">
        <v>160844</v>
      </c>
    </row>
    <row r="147" spans="1:16">
      <c r="A147" s="84" t="s">
        <v>367</v>
      </c>
      <c r="B147" s="85" t="s">
        <v>366</v>
      </c>
      <c r="C147" s="85" t="s">
        <v>79</v>
      </c>
      <c r="D147" s="84" t="s">
        <v>80</v>
      </c>
      <c r="E147" s="84">
        <v>2</v>
      </c>
      <c r="F147" s="2">
        <v>1450916</v>
      </c>
      <c r="G147" s="2">
        <v>1442202</v>
      </c>
      <c r="H147" s="2">
        <v>1434130</v>
      </c>
      <c r="I147" s="2">
        <v>1428366</v>
      </c>
      <c r="J147" s="2">
        <v>1427258</v>
      </c>
      <c r="K147" s="2">
        <v>1432234</v>
      </c>
      <c r="L147" s="2">
        <v>1444458</v>
      </c>
      <c r="M147" s="2">
        <v>1462089</v>
      </c>
      <c r="N147" s="2">
        <v>1483020</v>
      </c>
      <c r="O147" s="2">
        <v>1504585</v>
      </c>
      <c r="P147" s="2">
        <v>1524794</v>
      </c>
    </row>
    <row r="148" spans="1:16">
      <c r="A148" s="84" t="s">
        <v>369</v>
      </c>
      <c r="B148" s="85" t="s">
        <v>368</v>
      </c>
      <c r="C148" s="85" t="s">
        <v>83</v>
      </c>
      <c r="D148" s="84" t="s">
        <v>75</v>
      </c>
      <c r="E148" s="84">
        <v>3</v>
      </c>
      <c r="F148" s="2">
        <v>415131</v>
      </c>
      <c r="G148" s="2">
        <v>419142</v>
      </c>
      <c r="H148" s="2">
        <v>421705</v>
      </c>
      <c r="I148" s="2">
        <v>423316</v>
      </c>
      <c r="J148" s="2">
        <v>424752</v>
      </c>
      <c r="K148" s="2">
        <v>426606</v>
      </c>
      <c r="L148" s="2">
        <v>429157</v>
      </c>
      <c r="M148" s="2">
        <v>431994</v>
      </c>
      <c r="N148" s="2">
        <v>434997</v>
      </c>
      <c r="O148" s="2">
        <v>437984</v>
      </c>
      <c r="P148" s="2">
        <v>440802</v>
      </c>
    </row>
    <row r="149" spans="1:16">
      <c r="A149" s="84" t="s">
        <v>371</v>
      </c>
      <c r="B149" s="85" t="s">
        <v>370</v>
      </c>
      <c r="C149" s="85" t="s">
        <v>92</v>
      </c>
      <c r="D149" s="84" t="s">
        <v>87</v>
      </c>
      <c r="E149" s="84">
        <v>1</v>
      </c>
      <c r="F149" s="2">
        <v>0</v>
      </c>
      <c r="G149" s="2">
        <v>0</v>
      </c>
      <c r="H149" s="2">
        <v>0</v>
      </c>
      <c r="I149" s="2">
        <v>0</v>
      </c>
      <c r="J149" s="2">
        <v>0</v>
      </c>
      <c r="K149" s="2">
        <v>0</v>
      </c>
      <c r="L149" s="2">
        <v>0</v>
      </c>
      <c r="M149" s="2">
        <v>0</v>
      </c>
      <c r="N149" s="2">
        <v>0</v>
      </c>
      <c r="O149" s="2">
        <v>0</v>
      </c>
      <c r="P149" s="2">
        <v>0</v>
      </c>
    </row>
    <row r="150" spans="1:16">
      <c r="A150" s="84" t="s">
        <v>373</v>
      </c>
      <c r="B150" s="85" t="s">
        <v>372</v>
      </c>
      <c r="C150" s="85" t="s">
        <v>92</v>
      </c>
      <c r="D150" s="84" t="s">
        <v>80</v>
      </c>
      <c r="E150" s="84">
        <v>1</v>
      </c>
      <c r="F150" s="2">
        <v>1768</v>
      </c>
      <c r="G150" s="2">
        <v>1738</v>
      </c>
      <c r="H150" s="2">
        <v>1712</v>
      </c>
      <c r="I150" s="2">
        <v>1688</v>
      </c>
      <c r="J150" s="2">
        <v>1665</v>
      </c>
      <c r="K150" s="2">
        <v>1641</v>
      </c>
      <c r="L150" s="2">
        <v>1617</v>
      </c>
      <c r="M150" s="2">
        <v>1594</v>
      </c>
      <c r="N150" s="2">
        <v>1571</v>
      </c>
      <c r="O150" s="2">
        <v>1551</v>
      </c>
      <c r="P150" s="2">
        <v>1533</v>
      </c>
    </row>
    <row r="151" spans="1:16">
      <c r="A151" s="84" t="s">
        <v>375</v>
      </c>
      <c r="B151" s="85" t="s">
        <v>374</v>
      </c>
      <c r="C151" s="85" t="s">
        <v>92</v>
      </c>
      <c r="D151" s="84" t="s">
        <v>80</v>
      </c>
      <c r="E151" s="84">
        <v>1</v>
      </c>
      <c r="F151" s="2">
        <v>1372</v>
      </c>
      <c r="G151" s="2">
        <v>1353</v>
      </c>
      <c r="H151" s="2">
        <v>1339</v>
      </c>
      <c r="I151" s="2">
        <v>1329</v>
      </c>
      <c r="J151" s="2">
        <v>1319</v>
      </c>
      <c r="K151" s="2">
        <v>1307</v>
      </c>
      <c r="L151" s="2">
        <v>1293</v>
      </c>
      <c r="M151" s="2">
        <v>1278</v>
      </c>
      <c r="N151" s="2">
        <v>1261</v>
      </c>
      <c r="O151" s="2">
        <v>1245</v>
      </c>
      <c r="P151" s="2">
        <v>1230</v>
      </c>
    </row>
    <row r="152" spans="1:16">
      <c r="A152" s="84" t="s">
        <v>377</v>
      </c>
      <c r="B152" s="85" t="s">
        <v>376</v>
      </c>
      <c r="C152" s="85" t="s">
        <v>99</v>
      </c>
      <c r="D152" s="84" t="s">
        <v>80</v>
      </c>
      <c r="E152" s="84">
        <v>2</v>
      </c>
      <c r="F152" s="2">
        <v>5430</v>
      </c>
      <c r="G152" s="2">
        <v>5488</v>
      </c>
      <c r="H152" s="2">
        <v>5401</v>
      </c>
      <c r="I152" s="2">
        <v>5227</v>
      </c>
      <c r="J152" s="2">
        <v>5057</v>
      </c>
      <c r="K152" s="2">
        <v>4962</v>
      </c>
      <c r="L152" s="2">
        <v>4966</v>
      </c>
      <c r="M152" s="2">
        <v>5035</v>
      </c>
      <c r="N152" s="2">
        <v>5146</v>
      </c>
      <c r="O152" s="2">
        <v>5259</v>
      </c>
      <c r="P152" s="2">
        <v>5345</v>
      </c>
    </row>
    <row r="153" spans="1:16">
      <c r="A153" s="84" t="s">
        <v>379</v>
      </c>
      <c r="B153" s="85" t="s">
        <v>378</v>
      </c>
      <c r="C153" s="85" t="s">
        <v>79</v>
      </c>
      <c r="D153" s="84" t="s">
        <v>87</v>
      </c>
      <c r="E153" s="84">
        <v>1</v>
      </c>
      <c r="F153" s="2">
        <v>0</v>
      </c>
      <c r="G153" s="2">
        <v>0</v>
      </c>
      <c r="H153" s="2">
        <v>0</v>
      </c>
      <c r="I153" s="2">
        <v>0</v>
      </c>
      <c r="J153" s="2">
        <v>0</v>
      </c>
      <c r="K153" s="2">
        <v>0</v>
      </c>
      <c r="L153" s="2">
        <v>0</v>
      </c>
      <c r="M153" s="2">
        <v>0</v>
      </c>
      <c r="N153" s="2">
        <v>0</v>
      </c>
      <c r="O153" s="2">
        <v>0</v>
      </c>
      <c r="P153" s="2">
        <v>0</v>
      </c>
    </row>
    <row r="154" spans="1:16">
      <c r="A154" s="84" t="s">
        <v>381</v>
      </c>
      <c r="B154" s="85" t="s">
        <v>380</v>
      </c>
      <c r="C154" s="85" t="s">
        <v>83</v>
      </c>
      <c r="D154" s="84" t="s">
        <v>84</v>
      </c>
      <c r="E154" s="84">
        <v>3</v>
      </c>
      <c r="F154" s="2">
        <v>7591</v>
      </c>
      <c r="G154" s="2">
        <v>7687</v>
      </c>
      <c r="H154" s="2">
        <v>7774</v>
      </c>
      <c r="I154" s="2">
        <v>7852</v>
      </c>
      <c r="J154" s="2">
        <v>7925</v>
      </c>
      <c r="K154" s="2">
        <v>7999</v>
      </c>
      <c r="L154" s="2">
        <v>8074</v>
      </c>
      <c r="M154" s="2">
        <v>8147</v>
      </c>
      <c r="N154" s="2">
        <v>8222</v>
      </c>
      <c r="O154" s="2">
        <v>8298</v>
      </c>
      <c r="P154" s="2">
        <v>8375</v>
      </c>
    </row>
    <row r="155" spans="1:16">
      <c r="A155" s="84" t="s">
        <v>383</v>
      </c>
      <c r="B155" s="85" t="s">
        <v>382</v>
      </c>
      <c r="C155" s="85" t="s">
        <v>74</v>
      </c>
      <c r="D155" s="84" t="s">
        <v>87</v>
      </c>
      <c r="E155" s="84">
        <v>1</v>
      </c>
      <c r="F155" s="2">
        <v>497351</v>
      </c>
      <c r="G155" s="2">
        <v>491412</v>
      </c>
      <c r="H155" s="2">
        <v>487359</v>
      </c>
      <c r="I155" s="2">
        <v>484823</v>
      </c>
      <c r="J155" s="2">
        <v>483179</v>
      </c>
      <c r="K155" s="2">
        <v>481936</v>
      </c>
      <c r="L155" s="2">
        <v>481676</v>
      </c>
      <c r="M155" s="2">
        <v>481814</v>
      </c>
      <c r="N155" s="2">
        <v>482262</v>
      </c>
      <c r="O155" s="2">
        <v>482940</v>
      </c>
      <c r="P155" s="2">
        <v>483765</v>
      </c>
    </row>
    <row r="156" spans="1:16">
      <c r="A156" s="84" t="s">
        <v>385</v>
      </c>
      <c r="B156" s="85" t="s">
        <v>384</v>
      </c>
      <c r="C156" s="85" t="s">
        <v>83</v>
      </c>
      <c r="D156" s="84" t="s">
        <v>84</v>
      </c>
      <c r="E156" s="84">
        <v>3</v>
      </c>
      <c r="F156" s="2">
        <v>621440</v>
      </c>
      <c r="G156" s="2">
        <v>630424</v>
      </c>
      <c r="H156" s="2">
        <v>639969</v>
      </c>
      <c r="I156" s="2">
        <v>649891</v>
      </c>
      <c r="J156" s="2">
        <v>659932</v>
      </c>
      <c r="K156" s="2">
        <v>669880</v>
      </c>
      <c r="L156" s="2">
        <v>679879</v>
      </c>
      <c r="M156" s="2">
        <v>689803</v>
      </c>
      <c r="N156" s="2">
        <v>699477</v>
      </c>
      <c r="O156" s="2">
        <v>708692</v>
      </c>
      <c r="P156" s="2">
        <v>717313</v>
      </c>
    </row>
    <row r="157" spans="1:16">
      <c r="A157" s="84" t="s">
        <v>387</v>
      </c>
      <c r="B157" s="85" t="s">
        <v>386</v>
      </c>
      <c r="C157" s="85" t="s">
        <v>79</v>
      </c>
      <c r="D157" s="84" t="s">
        <v>80</v>
      </c>
      <c r="E157" s="84">
        <v>1</v>
      </c>
      <c r="F157" s="2">
        <v>71346</v>
      </c>
      <c r="G157" s="2">
        <v>70892</v>
      </c>
      <c r="H157" s="2">
        <v>70248</v>
      </c>
      <c r="I157" s="2">
        <v>69472</v>
      </c>
      <c r="J157" s="2">
        <v>68667</v>
      </c>
      <c r="K157" s="2">
        <v>67908</v>
      </c>
      <c r="L157" s="2">
        <v>67210</v>
      </c>
      <c r="M157" s="2">
        <v>66532</v>
      </c>
      <c r="N157" s="2">
        <v>65861</v>
      </c>
      <c r="O157" s="2">
        <v>65180.000000000007</v>
      </c>
      <c r="P157" s="2">
        <v>64476</v>
      </c>
    </row>
    <row r="158" spans="1:16">
      <c r="A158" s="84" t="s">
        <v>389</v>
      </c>
      <c r="B158" s="85" t="s">
        <v>388</v>
      </c>
      <c r="C158" s="85" t="s">
        <v>83</v>
      </c>
      <c r="D158" s="84" t="s">
        <v>87</v>
      </c>
      <c r="E158" s="84">
        <v>1</v>
      </c>
      <c r="F158" s="2">
        <v>1412</v>
      </c>
      <c r="G158" s="2">
        <v>1412</v>
      </c>
      <c r="H158" s="2">
        <v>1408</v>
      </c>
      <c r="I158" s="2">
        <v>1401</v>
      </c>
      <c r="J158" s="2">
        <v>1393</v>
      </c>
      <c r="K158" s="2">
        <v>1389</v>
      </c>
      <c r="L158" s="2">
        <v>1387</v>
      </c>
      <c r="M158" s="2">
        <v>1388</v>
      </c>
      <c r="N158" s="2">
        <v>1389</v>
      </c>
      <c r="O158" s="2">
        <v>1389</v>
      </c>
      <c r="P158" s="2">
        <v>1386</v>
      </c>
    </row>
    <row r="159" spans="1:16">
      <c r="A159" s="84" t="s">
        <v>391</v>
      </c>
      <c r="B159" s="85" t="s">
        <v>390</v>
      </c>
      <c r="C159" s="85" t="s">
        <v>83</v>
      </c>
      <c r="D159" s="84" t="s">
        <v>75</v>
      </c>
      <c r="E159" s="84">
        <v>3</v>
      </c>
      <c r="F159" s="2">
        <v>251368</v>
      </c>
      <c r="G159" s="2">
        <v>252462</v>
      </c>
      <c r="H159" s="2">
        <v>253452</v>
      </c>
      <c r="I159" s="2">
        <v>254329</v>
      </c>
      <c r="J159" s="2">
        <v>255096</v>
      </c>
      <c r="K159" s="2">
        <v>255759</v>
      </c>
      <c r="L159" s="2">
        <v>256247</v>
      </c>
      <c r="M159" s="2">
        <v>256630.99999999997</v>
      </c>
      <c r="N159" s="2">
        <v>256957</v>
      </c>
      <c r="O159" s="2">
        <v>257298.99999999997</v>
      </c>
      <c r="P159" s="2">
        <v>257700</v>
      </c>
    </row>
    <row r="160" spans="1:16">
      <c r="A160" s="84" t="s">
        <v>393</v>
      </c>
      <c r="B160" s="85" t="s">
        <v>392</v>
      </c>
      <c r="C160" s="85" t="s">
        <v>99</v>
      </c>
      <c r="D160" s="84" t="s">
        <v>87</v>
      </c>
      <c r="E160" s="84">
        <v>1</v>
      </c>
      <c r="F160" s="2">
        <v>48804</v>
      </c>
      <c r="G160" s="2">
        <v>48538</v>
      </c>
      <c r="H160" s="2">
        <v>47585</v>
      </c>
      <c r="I160" s="2">
        <v>46199</v>
      </c>
      <c r="J160" s="2">
        <v>44774</v>
      </c>
      <c r="K160" s="2">
        <v>43608</v>
      </c>
      <c r="L160" s="2">
        <v>42855</v>
      </c>
      <c r="M160" s="2">
        <v>42323</v>
      </c>
      <c r="N160" s="2">
        <v>41970</v>
      </c>
      <c r="O160" s="2">
        <v>41720</v>
      </c>
      <c r="P160" s="2">
        <v>41512</v>
      </c>
    </row>
    <row r="161" spans="1:16">
      <c r="A161" s="84" t="s">
        <v>395</v>
      </c>
      <c r="B161" s="85" t="s">
        <v>394</v>
      </c>
      <c r="C161" s="85" t="s">
        <v>79</v>
      </c>
      <c r="D161" s="84" t="s">
        <v>87</v>
      </c>
      <c r="E161" s="84">
        <v>1</v>
      </c>
      <c r="F161" s="2">
        <v>48182</v>
      </c>
      <c r="G161" s="2">
        <v>47651</v>
      </c>
      <c r="H161" s="2">
        <v>47016</v>
      </c>
      <c r="I161" s="2">
        <v>46353</v>
      </c>
      <c r="J161" s="2">
        <v>45773</v>
      </c>
      <c r="K161" s="2">
        <v>45354</v>
      </c>
      <c r="L161" s="2">
        <v>45162</v>
      </c>
      <c r="M161" s="2">
        <v>45114</v>
      </c>
      <c r="N161" s="2">
        <v>45173</v>
      </c>
      <c r="O161" s="2">
        <v>45279</v>
      </c>
      <c r="P161" s="2">
        <v>45383</v>
      </c>
    </row>
    <row r="162" spans="1:16">
      <c r="A162" s="84" t="s">
        <v>397</v>
      </c>
      <c r="B162" s="85" t="s">
        <v>396</v>
      </c>
      <c r="C162" s="85" t="s">
        <v>79</v>
      </c>
      <c r="D162" s="84" t="s">
        <v>87</v>
      </c>
      <c r="E162" s="84">
        <v>1</v>
      </c>
      <c r="F162" s="2">
        <v>16853</v>
      </c>
      <c r="G162" s="2">
        <v>16790</v>
      </c>
      <c r="H162" s="2">
        <v>16824</v>
      </c>
      <c r="I162" s="2">
        <v>16930</v>
      </c>
      <c r="J162" s="2">
        <v>17070</v>
      </c>
      <c r="K162" s="2">
        <v>17214</v>
      </c>
      <c r="L162" s="2">
        <v>17377</v>
      </c>
      <c r="M162" s="2">
        <v>17544</v>
      </c>
      <c r="N162" s="2">
        <v>17704</v>
      </c>
      <c r="O162" s="2">
        <v>17851</v>
      </c>
      <c r="P162" s="2">
        <v>17976</v>
      </c>
    </row>
    <row r="163" spans="1:16">
      <c r="A163" s="84" t="s">
        <v>399</v>
      </c>
      <c r="B163" s="85" t="s">
        <v>398</v>
      </c>
      <c r="C163" s="85" t="s">
        <v>74</v>
      </c>
      <c r="D163" s="84" t="s">
        <v>75</v>
      </c>
      <c r="E163" s="84">
        <v>3</v>
      </c>
      <c r="F163" s="2">
        <v>763169</v>
      </c>
      <c r="G163" s="2">
        <v>775861</v>
      </c>
      <c r="H163" s="2">
        <v>787893</v>
      </c>
      <c r="I163" s="2">
        <v>799439</v>
      </c>
      <c r="J163" s="2">
        <v>810784</v>
      </c>
      <c r="K163" s="2">
        <v>822167</v>
      </c>
      <c r="L163" s="2">
        <v>833249</v>
      </c>
      <c r="M163" s="2">
        <v>844493</v>
      </c>
      <c r="N163" s="2">
        <v>855933</v>
      </c>
      <c r="O163" s="2">
        <v>867589</v>
      </c>
      <c r="P163" s="2">
        <v>879468</v>
      </c>
    </row>
    <row r="164" spans="1:16">
      <c r="A164" s="84" t="s">
        <v>401</v>
      </c>
      <c r="B164" s="85" t="s">
        <v>400</v>
      </c>
      <c r="C164" s="85" t="s">
        <v>99</v>
      </c>
      <c r="D164" s="84" t="s">
        <v>84</v>
      </c>
      <c r="E164" s="84">
        <v>4</v>
      </c>
      <c r="F164" s="2">
        <v>23862</v>
      </c>
      <c r="G164" s="2">
        <v>24258</v>
      </c>
      <c r="H164" s="2">
        <v>24628</v>
      </c>
      <c r="I164" s="2">
        <v>24980</v>
      </c>
      <c r="J164" s="2">
        <v>25330</v>
      </c>
      <c r="K164" s="2">
        <v>25688</v>
      </c>
      <c r="L164" s="2">
        <v>26069</v>
      </c>
      <c r="M164" s="2">
        <v>26458</v>
      </c>
      <c r="N164" s="2">
        <v>26840</v>
      </c>
      <c r="O164" s="2">
        <v>27195</v>
      </c>
      <c r="P164" s="2">
        <v>27513</v>
      </c>
    </row>
    <row r="165" spans="1:16">
      <c r="A165" s="84" t="s">
        <v>403</v>
      </c>
      <c r="B165" s="85" t="s">
        <v>402</v>
      </c>
      <c r="C165" s="85" t="s">
        <v>83</v>
      </c>
      <c r="D165" s="84" t="s">
        <v>80</v>
      </c>
      <c r="E165" s="84" t="s">
        <v>76</v>
      </c>
      <c r="F165" s="2">
        <v>1117929</v>
      </c>
      <c r="G165" s="2">
        <v>1117051</v>
      </c>
      <c r="H165" s="2">
        <v>1117160</v>
      </c>
      <c r="I165" s="2">
        <v>1117855</v>
      </c>
      <c r="J165" s="2">
        <v>1118544</v>
      </c>
      <c r="K165" s="2">
        <v>1118757</v>
      </c>
      <c r="L165" s="2">
        <v>1119379</v>
      </c>
      <c r="M165" s="2">
        <v>1119581</v>
      </c>
      <c r="N165" s="2">
        <v>1119090</v>
      </c>
      <c r="O165" s="2">
        <v>1117594</v>
      </c>
      <c r="P165" s="2">
        <v>1114909</v>
      </c>
    </row>
    <row r="166" spans="1:16">
      <c r="A166" s="84" t="s">
        <v>405</v>
      </c>
      <c r="B166" s="85" t="s">
        <v>404</v>
      </c>
      <c r="C166" s="85" t="s">
        <v>79</v>
      </c>
      <c r="D166" s="84" t="s">
        <v>87</v>
      </c>
      <c r="E166" s="84">
        <v>1</v>
      </c>
      <c r="F166" s="2">
        <v>341925</v>
      </c>
      <c r="G166" s="2">
        <v>341743</v>
      </c>
      <c r="H166" s="2">
        <v>342957</v>
      </c>
      <c r="I166" s="2">
        <v>345056</v>
      </c>
      <c r="J166" s="2">
        <v>347354</v>
      </c>
      <c r="K166" s="2">
        <v>349342</v>
      </c>
      <c r="L166" s="2">
        <v>351355</v>
      </c>
      <c r="M166" s="2">
        <v>352963</v>
      </c>
      <c r="N166" s="2">
        <v>354205</v>
      </c>
      <c r="O166" s="2">
        <v>355185</v>
      </c>
      <c r="P166" s="2">
        <v>355937</v>
      </c>
    </row>
    <row r="167" spans="1:16">
      <c r="A167" s="84" t="s">
        <v>407</v>
      </c>
      <c r="B167" s="85" t="s">
        <v>406</v>
      </c>
      <c r="C167" s="85" t="s">
        <v>110</v>
      </c>
      <c r="D167" s="84" t="s">
        <v>84</v>
      </c>
      <c r="E167" s="84">
        <v>2</v>
      </c>
      <c r="F167" s="2">
        <v>301922</v>
      </c>
      <c r="G167" s="2">
        <v>301328</v>
      </c>
      <c r="H167" s="2">
        <v>299657</v>
      </c>
      <c r="I167" s="2">
        <v>297227</v>
      </c>
      <c r="J167" s="2">
        <v>294587</v>
      </c>
      <c r="K167" s="2">
        <v>292143</v>
      </c>
      <c r="L167" s="2">
        <v>290131</v>
      </c>
      <c r="M167" s="2">
        <v>288235</v>
      </c>
      <c r="N167" s="2">
        <v>286299</v>
      </c>
      <c r="O167" s="2">
        <v>284099</v>
      </c>
      <c r="P167" s="2">
        <v>281477</v>
      </c>
    </row>
    <row r="168" spans="1:16">
      <c r="A168" s="84" t="s">
        <v>409</v>
      </c>
      <c r="B168" s="85" t="s">
        <v>408</v>
      </c>
      <c r="C168" s="85" t="s">
        <v>74</v>
      </c>
      <c r="D168" s="84" t="s">
        <v>75</v>
      </c>
      <c r="E168" s="84">
        <v>3</v>
      </c>
      <c r="F168" s="2">
        <v>1529243</v>
      </c>
      <c r="G168" s="2">
        <v>1547878</v>
      </c>
      <c r="H168" s="2">
        <v>1564977</v>
      </c>
      <c r="I168" s="2">
        <v>1580926</v>
      </c>
      <c r="J168" s="2">
        <v>1596360</v>
      </c>
      <c r="K168" s="2">
        <v>1611771</v>
      </c>
      <c r="L168" s="2">
        <v>1627849</v>
      </c>
      <c r="M168" s="2">
        <v>1643919</v>
      </c>
      <c r="N168" s="2">
        <v>1659752</v>
      </c>
      <c r="O168" s="2">
        <v>1675012</v>
      </c>
      <c r="P168" s="2">
        <v>1689450</v>
      </c>
    </row>
    <row r="169" spans="1:16">
      <c r="A169" s="84" t="s">
        <v>411</v>
      </c>
      <c r="B169" s="85" t="s">
        <v>410</v>
      </c>
      <c r="C169" s="85" t="s">
        <v>74</v>
      </c>
      <c r="D169" s="84" t="s">
        <v>75</v>
      </c>
      <c r="E169" s="84">
        <v>3</v>
      </c>
      <c r="F169" s="2">
        <v>397886</v>
      </c>
      <c r="G169" s="2">
        <v>401604</v>
      </c>
      <c r="H169" s="2">
        <v>405858</v>
      </c>
      <c r="I169" s="2">
        <v>410370</v>
      </c>
      <c r="J169" s="2">
        <v>414754</v>
      </c>
      <c r="K169" s="2">
        <v>418720</v>
      </c>
      <c r="L169" s="2">
        <v>422055</v>
      </c>
      <c r="M169" s="2">
        <v>425012</v>
      </c>
      <c r="N169" s="2">
        <v>427732</v>
      </c>
      <c r="O169" s="2">
        <v>430430</v>
      </c>
      <c r="P169" s="2">
        <v>433263</v>
      </c>
    </row>
    <row r="170" spans="1:16">
      <c r="A170" s="84" t="s">
        <v>413</v>
      </c>
      <c r="B170" s="85" t="s">
        <v>412</v>
      </c>
      <c r="C170" s="85" t="s">
        <v>92</v>
      </c>
      <c r="D170" s="84" t="s">
        <v>80</v>
      </c>
      <c r="E170" s="84">
        <v>1</v>
      </c>
      <c r="F170" s="2">
        <v>9922</v>
      </c>
      <c r="G170" s="2">
        <v>9869</v>
      </c>
      <c r="H170" s="2">
        <v>9819</v>
      </c>
      <c r="I170" s="2">
        <v>9770</v>
      </c>
      <c r="J170" s="2">
        <v>9718</v>
      </c>
      <c r="K170" s="2">
        <v>9661</v>
      </c>
      <c r="L170" s="2">
        <v>9605</v>
      </c>
      <c r="M170" s="2">
        <v>9544</v>
      </c>
      <c r="N170" s="2">
        <v>9481</v>
      </c>
      <c r="O170" s="2">
        <v>9417</v>
      </c>
      <c r="P170" s="2">
        <v>9354</v>
      </c>
    </row>
    <row r="171" spans="1:16">
      <c r="A171" s="84" t="s">
        <v>415</v>
      </c>
      <c r="B171" s="85" t="s">
        <v>414</v>
      </c>
      <c r="C171" s="85" t="s">
        <v>83</v>
      </c>
      <c r="D171" s="84" t="s">
        <v>84</v>
      </c>
      <c r="E171" s="84">
        <v>3</v>
      </c>
      <c r="F171" s="2">
        <v>28750</v>
      </c>
      <c r="G171" s="2">
        <v>28984</v>
      </c>
      <c r="H171" s="2">
        <v>29163</v>
      </c>
      <c r="I171" s="2">
        <v>29298</v>
      </c>
      <c r="J171" s="2">
        <v>29421</v>
      </c>
      <c r="K171" s="2">
        <v>29557</v>
      </c>
      <c r="L171" s="2">
        <v>29717</v>
      </c>
      <c r="M171" s="2">
        <v>29877</v>
      </c>
      <c r="N171" s="2">
        <v>30018</v>
      </c>
      <c r="O171" s="2">
        <v>30119</v>
      </c>
      <c r="P171" s="2">
        <v>30163</v>
      </c>
    </row>
    <row r="172" spans="1:16">
      <c r="A172" s="84" t="s">
        <v>417</v>
      </c>
      <c r="B172" s="85" t="s">
        <v>416</v>
      </c>
      <c r="C172" s="85" t="s">
        <v>79</v>
      </c>
      <c r="D172" s="84" t="s">
        <v>87</v>
      </c>
      <c r="E172" s="84">
        <v>1</v>
      </c>
      <c r="F172" s="2">
        <v>114481</v>
      </c>
      <c r="G172" s="2">
        <v>114035</v>
      </c>
      <c r="H172" s="2">
        <v>113952</v>
      </c>
      <c r="I172" s="2">
        <v>114181</v>
      </c>
      <c r="J172" s="2">
        <v>114628</v>
      </c>
      <c r="K172" s="2">
        <v>115205</v>
      </c>
      <c r="L172" s="2">
        <v>116041</v>
      </c>
      <c r="M172" s="2">
        <v>117008</v>
      </c>
      <c r="N172" s="2">
        <v>118031</v>
      </c>
      <c r="O172" s="2">
        <v>119013</v>
      </c>
      <c r="P172" s="2">
        <v>119876</v>
      </c>
    </row>
    <row r="173" spans="1:16">
      <c r="A173" s="84" t="s">
        <v>419</v>
      </c>
      <c r="B173" s="85" t="s">
        <v>418</v>
      </c>
      <c r="C173" s="85" t="s">
        <v>79</v>
      </c>
      <c r="D173" s="84" t="s">
        <v>87</v>
      </c>
      <c r="E173" s="84">
        <v>1</v>
      </c>
      <c r="F173" s="2">
        <v>87982</v>
      </c>
      <c r="G173" s="2">
        <v>87766</v>
      </c>
      <c r="H173" s="2">
        <v>87430</v>
      </c>
      <c r="I173" s="2">
        <v>87036</v>
      </c>
      <c r="J173" s="2">
        <v>86671</v>
      </c>
      <c r="K173" s="2">
        <v>86398</v>
      </c>
      <c r="L173" s="2">
        <v>86374</v>
      </c>
      <c r="M173" s="2">
        <v>86450</v>
      </c>
      <c r="N173" s="2">
        <v>86616</v>
      </c>
      <c r="O173" s="2">
        <v>86853</v>
      </c>
      <c r="P173" s="2">
        <v>87142</v>
      </c>
    </row>
    <row r="174" spans="1:16">
      <c r="A174" s="84" t="s">
        <v>421</v>
      </c>
      <c r="B174" s="85" t="s">
        <v>420</v>
      </c>
      <c r="C174" s="85" t="s">
        <v>74</v>
      </c>
      <c r="D174" s="84" t="s">
        <v>75</v>
      </c>
      <c r="E174" s="84">
        <v>2</v>
      </c>
      <c r="F174" s="2">
        <v>452955</v>
      </c>
      <c r="G174" s="2">
        <v>455342</v>
      </c>
      <c r="H174" s="2">
        <v>454996</v>
      </c>
      <c r="I174" s="2">
        <v>453208</v>
      </c>
      <c r="J174" s="2">
        <v>451588</v>
      </c>
      <c r="K174" s="2">
        <v>451231</v>
      </c>
      <c r="L174" s="2">
        <v>453437</v>
      </c>
      <c r="M174" s="2">
        <v>456982</v>
      </c>
      <c r="N174" s="2">
        <v>461236</v>
      </c>
      <c r="O174" s="2">
        <v>465268</v>
      </c>
      <c r="P174" s="2">
        <v>468418</v>
      </c>
    </row>
    <row r="175" spans="1:16">
      <c r="A175" s="84" t="s">
        <v>423</v>
      </c>
      <c r="B175" s="85" t="s">
        <v>422</v>
      </c>
      <c r="C175" s="85" t="s">
        <v>83</v>
      </c>
      <c r="D175" s="84" t="s">
        <v>84</v>
      </c>
      <c r="E175" s="84" t="s">
        <v>76</v>
      </c>
      <c r="F175" s="2">
        <v>2517606</v>
      </c>
      <c r="G175" s="2">
        <v>2566699</v>
      </c>
      <c r="H175" s="2">
        <v>2615526</v>
      </c>
      <c r="I175" s="2">
        <v>2663737</v>
      </c>
      <c r="J175" s="2">
        <v>2710977</v>
      </c>
      <c r="K175" s="2">
        <v>2757034</v>
      </c>
      <c r="L175" s="2">
        <v>2802199</v>
      </c>
      <c r="M175" s="2">
        <v>2846216</v>
      </c>
      <c r="N175" s="2">
        <v>2889506</v>
      </c>
      <c r="O175" s="2">
        <v>2932691</v>
      </c>
      <c r="P175" s="2">
        <v>2976232</v>
      </c>
    </row>
    <row r="176" spans="1:16">
      <c r="A176" s="84" t="s">
        <v>425</v>
      </c>
      <c r="B176" s="85" t="s">
        <v>424</v>
      </c>
      <c r="C176" s="85" t="s">
        <v>79</v>
      </c>
      <c r="D176" s="84" t="s">
        <v>75</v>
      </c>
      <c r="E176" s="84">
        <v>2</v>
      </c>
      <c r="F176" s="2">
        <v>272580</v>
      </c>
      <c r="G176" s="2">
        <v>279731</v>
      </c>
      <c r="H176" s="2">
        <v>287386</v>
      </c>
      <c r="I176" s="2">
        <v>295236</v>
      </c>
      <c r="J176" s="2">
        <v>302916</v>
      </c>
      <c r="K176" s="2">
        <v>310115</v>
      </c>
      <c r="L176" s="2">
        <v>316676</v>
      </c>
      <c r="M176" s="2">
        <v>322656</v>
      </c>
      <c r="N176" s="2">
        <v>327749</v>
      </c>
      <c r="O176" s="2">
        <v>331668</v>
      </c>
      <c r="P176" s="2">
        <v>334261</v>
      </c>
    </row>
    <row r="177" spans="1:16">
      <c r="A177" s="84" t="s">
        <v>427</v>
      </c>
      <c r="B177" s="85" t="s">
        <v>426</v>
      </c>
      <c r="C177" s="85" t="s">
        <v>110</v>
      </c>
      <c r="D177" s="84" t="s">
        <v>80</v>
      </c>
      <c r="E177" s="84">
        <v>1</v>
      </c>
      <c r="F177" s="2">
        <v>608542</v>
      </c>
      <c r="G177" s="2">
        <v>603263</v>
      </c>
      <c r="H177" s="2">
        <v>597568</v>
      </c>
      <c r="I177" s="2">
        <v>591632</v>
      </c>
      <c r="J177" s="2">
        <v>585762</v>
      </c>
      <c r="K177" s="2">
        <v>580165</v>
      </c>
      <c r="L177" s="2">
        <v>575622</v>
      </c>
      <c r="M177" s="2">
        <v>571299</v>
      </c>
      <c r="N177" s="2">
        <v>566954</v>
      </c>
      <c r="O177" s="2">
        <v>562270</v>
      </c>
      <c r="P177" s="2">
        <v>557038</v>
      </c>
    </row>
    <row r="178" spans="1:16">
      <c r="A178" s="84" t="s">
        <v>429</v>
      </c>
      <c r="B178" s="85" t="s">
        <v>428</v>
      </c>
      <c r="C178" s="85" t="s">
        <v>110</v>
      </c>
      <c r="D178" s="84" t="s">
        <v>84</v>
      </c>
      <c r="E178" s="84">
        <v>4</v>
      </c>
      <c r="F178" s="2">
        <v>38154</v>
      </c>
      <c r="G178" s="2">
        <v>38178</v>
      </c>
      <c r="H178" s="2">
        <v>37977</v>
      </c>
      <c r="I178" s="2">
        <v>37627</v>
      </c>
      <c r="J178" s="2">
        <v>37246</v>
      </c>
      <c r="K178" s="2">
        <v>36924</v>
      </c>
      <c r="L178" s="2">
        <v>36692</v>
      </c>
      <c r="M178" s="2">
        <v>36511</v>
      </c>
      <c r="N178" s="2">
        <v>36375</v>
      </c>
      <c r="O178" s="2">
        <v>36269</v>
      </c>
      <c r="P178" s="2">
        <v>36179</v>
      </c>
    </row>
    <row r="179" spans="1:16">
      <c r="A179" s="84" t="s">
        <v>431</v>
      </c>
      <c r="B179" s="85" t="s">
        <v>430</v>
      </c>
      <c r="C179" s="85" t="s">
        <v>83</v>
      </c>
      <c r="D179" s="84" t="s">
        <v>75</v>
      </c>
      <c r="E179" s="84">
        <v>3</v>
      </c>
      <c r="F179" s="2">
        <v>295936</v>
      </c>
      <c r="G179" s="2">
        <v>299910</v>
      </c>
      <c r="H179" s="2">
        <v>303787</v>
      </c>
      <c r="I179" s="2">
        <v>307563</v>
      </c>
      <c r="J179" s="2">
        <v>311246</v>
      </c>
      <c r="K179" s="2">
        <v>314843</v>
      </c>
      <c r="L179" s="2">
        <v>318418</v>
      </c>
      <c r="M179" s="2">
        <v>321916</v>
      </c>
      <c r="N179" s="2">
        <v>325316</v>
      </c>
      <c r="O179" s="2">
        <v>328592</v>
      </c>
      <c r="P179" s="2">
        <v>331725</v>
      </c>
    </row>
    <row r="180" spans="1:16">
      <c r="A180" s="84" t="s">
        <v>433</v>
      </c>
      <c r="B180" s="85" t="s">
        <v>432</v>
      </c>
      <c r="C180" s="85" t="s">
        <v>99</v>
      </c>
      <c r="D180" s="84" t="s">
        <v>80</v>
      </c>
      <c r="E180" s="84">
        <v>1</v>
      </c>
      <c r="F180" s="2">
        <v>2567</v>
      </c>
      <c r="G180" s="2">
        <v>2578</v>
      </c>
      <c r="H180" s="2">
        <v>2588</v>
      </c>
      <c r="I180" s="2">
        <v>2598</v>
      </c>
      <c r="J180" s="2">
        <v>2606</v>
      </c>
      <c r="K180" s="2">
        <v>2610</v>
      </c>
      <c r="L180" s="2">
        <v>2611</v>
      </c>
      <c r="M180" s="2">
        <v>2608</v>
      </c>
      <c r="N180" s="2">
        <v>2604</v>
      </c>
      <c r="O180" s="2">
        <v>2598</v>
      </c>
      <c r="P180" s="2">
        <v>2590</v>
      </c>
    </row>
    <row r="181" spans="1:16">
      <c r="A181" s="84" t="s">
        <v>435</v>
      </c>
      <c r="B181" s="85" t="s">
        <v>434</v>
      </c>
      <c r="C181" s="85" t="s">
        <v>92</v>
      </c>
      <c r="D181" s="84" t="s">
        <v>87</v>
      </c>
      <c r="E181" s="84">
        <v>1</v>
      </c>
      <c r="F181" s="2">
        <v>14533</v>
      </c>
      <c r="G181" s="2">
        <v>14486</v>
      </c>
      <c r="H181" s="2">
        <v>14456</v>
      </c>
      <c r="I181" s="2">
        <v>14435</v>
      </c>
      <c r="J181" s="2">
        <v>14415</v>
      </c>
      <c r="K181" s="2">
        <v>14392</v>
      </c>
      <c r="L181" s="2">
        <v>14373</v>
      </c>
      <c r="M181" s="2">
        <v>14348</v>
      </c>
      <c r="N181" s="2">
        <v>14310</v>
      </c>
      <c r="O181" s="2">
        <v>14252</v>
      </c>
      <c r="P181" s="2">
        <v>14172</v>
      </c>
    </row>
    <row r="182" spans="1:16">
      <c r="A182" s="84" t="s">
        <v>437</v>
      </c>
      <c r="B182" s="85" t="s">
        <v>436</v>
      </c>
      <c r="C182" s="85" t="s">
        <v>74</v>
      </c>
      <c r="D182" s="84" t="s">
        <v>84</v>
      </c>
      <c r="E182" s="84">
        <v>3</v>
      </c>
      <c r="F182" s="2">
        <v>162131</v>
      </c>
      <c r="G182" s="2">
        <v>160387</v>
      </c>
      <c r="H182" s="2">
        <v>159193</v>
      </c>
      <c r="I182" s="2">
        <v>158506</v>
      </c>
      <c r="J182" s="2">
        <v>158233</v>
      </c>
      <c r="K182" s="2">
        <v>158291</v>
      </c>
      <c r="L182" s="2">
        <v>158803</v>
      </c>
      <c r="M182" s="2">
        <v>159639</v>
      </c>
      <c r="N182" s="2">
        <v>160681</v>
      </c>
      <c r="O182" s="2">
        <v>161785</v>
      </c>
      <c r="P182" s="2">
        <v>162833</v>
      </c>
    </row>
    <row r="183" spans="1:16">
      <c r="A183" s="84" t="s">
        <v>439</v>
      </c>
      <c r="B183" s="85" t="s">
        <v>438</v>
      </c>
      <c r="C183" s="85" t="s">
        <v>79</v>
      </c>
      <c r="D183" s="84" t="s">
        <v>80</v>
      </c>
      <c r="E183" s="84">
        <v>1</v>
      </c>
      <c r="F183" s="2">
        <v>1189626</v>
      </c>
      <c r="G183" s="2">
        <v>1181913</v>
      </c>
      <c r="H183" s="2">
        <v>1175760</v>
      </c>
      <c r="I183" s="2">
        <v>1170365</v>
      </c>
      <c r="J183" s="2">
        <v>1164589</v>
      </c>
      <c r="K183" s="2">
        <v>1157632</v>
      </c>
      <c r="L183" s="2">
        <v>1149820</v>
      </c>
      <c r="M183" s="2">
        <v>1140956</v>
      </c>
      <c r="N183" s="2">
        <v>1131534</v>
      </c>
      <c r="O183" s="2">
        <v>1122308</v>
      </c>
      <c r="P183" s="2">
        <v>1113820</v>
      </c>
    </row>
    <row r="184" spans="1:16">
      <c r="A184" s="84" t="s">
        <v>441</v>
      </c>
      <c r="B184" s="85" t="s">
        <v>440</v>
      </c>
      <c r="C184" s="85" t="s">
        <v>79</v>
      </c>
      <c r="D184" s="84" t="s">
        <v>80</v>
      </c>
      <c r="E184" s="84">
        <v>1</v>
      </c>
      <c r="F184" s="2">
        <v>115744</v>
      </c>
      <c r="G184" s="2">
        <v>115655</v>
      </c>
      <c r="H184" s="2">
        <v>116452</v>
      </c>
      <c r="I184" s="2">
        <v>117865</v>
      </c>
      <c r="J184" s="2">
        <v>119471</v>
      </c>
      <c r="K184" s="2">
        <v>120942</v>
      </c>
      <c r="L184" s="2">
        <v>122274</v>
      </c>
      <c r="M184" s="2">
        <v>123494</v>
      </c>
      <c r="N184" s="2">
        <v>124558</v>
      </c>
      <c r="O184" s="2">
        <v>125444</v>
      </c>
      <c r="P184" s="2">
        <v>126135</v>
      </c>
    </row>
    <row r="185" spans="1:16">
      <c r="A185" s="84" t="s">
        <v>443</v>
      </c>
      <c r="B185" s="85" t="s">
        <v>442</v>
      </c>
      <c r="C185" s="85" t="s">
        <v>99</v>
      </c>
      <c r="D185" s="84" t="s">
        <v>80</v>
      </c>
      <c r="E185" s="84">
        <v>4</v>
      </c>
      <c r="F185" s="2">
        <v>0</v>
      </c>
      <c r="G185" s="2">
        <v>0</v>
      </c>
      <c r="H185" s="2">
        <v>0</v>
      </c>
      <c r="I185" s="2">
        <v>0</v>
      </c>
      <c r="J185" s="2">
        <v>0</v>
      </c>
      <c r="K185" s="2">
        <v>0</v>
      </c>
      <c r="L185" s="2">
        <v>0</v>
      </c>
      <c r="M185" s="2">
        <v>0</v>
      </c>
      <c r="N185" s="2">
        <v>0</v>
      </c>
      <c r="O185" s="2">
        <v>0</v>
      </c>
      <c r="P185" s="2">
        <v>0</v>
      </c>
    </row>
    <row r="186" spans="1:16">
      <c r="A186" s="84" t="s">
        <v>445</v>
      </c>
      <c r="B186" s="85" t="s">
        <v>444</v>
      </c>
      <c r="C186" s="85" t="s">
        <v>83</v>
      </c>
      <c r="D186" s="84" t="s">
        <v>75</v>
      </c>
      <c r="E186" s="84" t="s">
        <v>76</v>
      </c>
      <c r="F186" s="2">
        <v>1785043</v>
      </c>
      <c r="G186" s="2">
        <v>1798338</v>
      </c>
      <c r="H186" s="2">
        <v>1806439</v>
      </c>
      <c r="I186" s="2">
        <v>1811032</v>
      </c>
      <c r="J186" s="2">
        <v>1814824</v>
      </c>
      <c r="K186" s="2">
        <v>1819955</v>
      </c>
      <c r="L186" s="2">
        <v>1827416</v>
      </c>
      <c r="M186" s="2">
        <v>1836070</v>
      </c>
      <c r="N186" s="2">
        <v>1845586</v>
      </c>
      <c r="O186" s="2">
        <v>1855359</v>
      </c>
      <c r="P186" s="2">
        <v>1864858</v>
      </c>
    </row>
    <row r="187" spans="1:16">
      <c r="A187" s="84" t="s">
        <v>447</v>
      </c>
      <c r="B187" s="85" t="s">
        <v>446</v>
      </c>
      <c r="C187" s="85" t="s">
        <v>79</v>
      </c>
      <c r="D187" s="84" t="s">
        <v>84</v>
      </c>
      <c r="E187" s="84">
        <v>1</v>
      </c>
      <c r="F187" s="2">
        <v>337089</v>
      </c>
      <c r="G187" s="2">
        <v>334647</v>
      </c>
      <c r="H187" s="2">
        <v>334321</v>
      </c>
      <c r="I187" s="2">
        <v>335451</v>
      </c>
      <c r="J187" s="2">
        <v>337018</v>
      </c>
      <c r="K187" s="2">
        <v>338240</v>
      </c>
      <c r="L187" s="2">
        <v>338959</v>
      </c>
      <c r="M187" s="2">
        <v>339368</v>
      </c>
      <c r="N187" s="2">
        <v>339448</v>
      </c>
      <c r="O187" s="2">
        <v>339282</v>
      </c>
      <c r="P187" s="2">
        <v>338937</v>
      </c>
    </row>
    <row r="188" spans="1:16">
      <c r="A188" s="84" t="s">
        <v>449</v>
      </c>
      <c r="B188" s="85" t="s">
        <v>448</v>
      </c>
      <c r="C188" s="85" t="s">
        <v>74</v>
      </c>
      <c r="D188" s="84" t="s">
        <v>87</v>
      </c>
      <c r="E188" s="84">
        <v>1</v>
      </c>
      <c r="F188" s="2">
        <v>94612</v>
      </c>
      <c r="G188" s="2">
        <v>94131</v>
      </c>
      <c r="H188" s="2">
        <v>94330</v>
      </c>
      <c r="I188" s="2">
        <v>94989</v>
      </c>
      <c r="J188" s="2">
        <v>95746</v>
      </c>
      <c r="K188" s="2">
        <v>96337</v>
      </c>
      <c r="L188" s="2">
        <v>96873</v>
      </c>
      <c r="M188" s="2">
        <v>97289</v>
      </c>
      <c r="N188" s="2">
        <v>97688</v>
      </c>
      <c r="O188" s="2">
        <v>98229</v>
      </c>
      <c r="P188" s="2">
        <v>99014</v>
      </c>
    </row>
    <row r="189" spans="1:16">
      <c r="A189" s="84" t="s">
        <v>451</v>
      </c>
      <c r="B189" s="85" t="s">
        <v>450</v>
      </c>
      <c r="C189" s="85" t="s">
        <v>79</v>
      </c>
      <c r="D189" s="84" t="s">
        <v>87</v>
      </c>
      <c r="E189" s="84">
        <v>1</v>
      </c>
      <c r="F189" s="2">
        <v>739310</v>
      </c>
      <c r="G189" s="2">
        <v>734342</v>
      </c>
      <c r="H189" s="2">
        <v>733413</v>
      </c>
      <c r="I189" s="2">
        <v>735507</v>
      </c>
      <c r="J189" s="2">
        <v>738898</v>
      </c>
      <c r="K189" s="2">
        <v>742236</v>
      </c>
      <c r="L189" s="2">
        <v>746176</v>
      </c>
      <c r="M189" s="2">
        <v>750265</v>
      </c>
      <c r="N189" s="2">
        <v>754309</v>
      </c>
      <c r="O189" s="2">
        <v>758141</v>
      </c>
      <c r="P189" s="2">
        <v>761603</v>
      </c>
    </row>
    <row r="190" spans="1:16">
      <c r="A190" s="84" t="s">
        <v>453</v>
      </c>
      <c r="B190" s="85" t="s">
        <v>452</v>
      </c>
      <c r="C190" s="85" t="s">
        <v>92</v>
      </c>
      <c r="D190" s="84" t="s">
        <v>87</v>
      </c>
      <c r="E190" s="84" t="s">
        <v>76</v>
      </c>
      <c r="F190" s="2">
        <v>4126488.0000000005</v>
      </c>
      <c r="G190" s="2">
        <v>4125383</v>
      </c>
      <c r="H190" s="2">
        <v>4127037.9999999995</v>
      </c>
      <c r="I190" s="2">
        <v>4130526</v>
      </c>
      <c r="J190" s="2">
        <v>4134060.0000000005</v>
      </c>
      <c r="K190" s="2">
        <v>4136143</v>
      </c>
      <c r="L190" s="2">
        <v>4142264</v>
      </c>
      <c r="M190" s="2">
        <v>4147528.0000000005</v>
      </c>
      <c r="N190" s="2">
        <v>4151122.0000000005</v>
      </c>
      <c r="O190" s="2">
        <v>4151964</v>
      </c>
      <c r="P190" s="2">
        <v>4149305.0000000005</v>
      </c>
    </row>
    <row r="191" spans="1:16">
      <c r="A191" s="84" t="s">
        <v>455</v>
      </c>
      <c r="B191" s="85" t="s">
        <v>454</v>
      </c>
      <c r="C191" s="85" t="s">
        <v>92</v>
      </c>
      <c r="D191" s="84" t="s">
        <v>87</v>
      </c>
      <c r="E191" s="84">
        <v>1</v>
      </c>
      <c r="F191" s="2">
        <v>44286</v>
      </c>
      <c r="G191" s="2">
        <v>43951</v>
      </c>
      <c r="H191" s="2">
        <v>43535</v>
      </c>
      <c r="I191" s="2">
        <v>43072</v>
      </c>
      <c r="J191" s="2">
        <v>42612</v>
      </c>
      <c r="K191" s="2">
        <v>42195</v>
      </c>
      <c r="L191" s="2">
        <v>41863</v>
      </c>
      <c r="M191" s="2">
        <v>41576</v>
      </c>
      <c r="N191" s="2">
        <v>41322</v>
      </c>
      <c r="O191" s="2">
        <v>41082</v>
      </c>
      <c r="P191" s="2">
        <v>40841</v>
      </c>
    </row>
    <row r="192" spans="1:16">
      <c r="A192" s="84" t="s">
        <v>457</v>
      </c>
      <c r="B192" s="85" t="s">
        <v>456</v>
      </c>
      <c r="C192" s="85" t="s">
        <v>79</v>
      </c>
      <c r="D192" s="84" t="s">
        <v>84</v>
      </c>
      <c r="E192" s="84">
        <v>2</v>
      </c>
      <c r="F192" s="2">
        <v>592664</v>
      </c>
      <c r="G192" s="2">
        <v>597553</v>
      </c>
      <c r="H192" s="2">
        <v>601529</v>
      </c>
      <c r="I192" s="2">
        <v>604745</v>
      </c>
      <c r="J192" s="2">
        <v>607638</v>
      </c>
      <c r="K192" s="2">
        <v>610499</v>
      </c>
      <c r="L192" s="2">
        <v>613664</v>
      </c>
      <c r="M192" s="2">
        <v>616466</v>
      </c>
      <c r="N192" s="2">
        <v>618452</v>
      </c>
      <c r="O192" s="2">
        <v>619121</v>
      </c>
      <c r="P192" s="2">
        <v>618159</v>
      </c>
    </row>
    <row r="193" spans="1:16">
      <c r="A193" s="84" t="s">
        <v>459</v>
      </c>
      <c r="B193" s="85" t="s">
        <v>458</v>
      </c>
      <c r="C193" s="85" t="s">
        <v>99</v>
      </c>
      <c r="D193" s="84" t="s">
        <v>84</v>
      </c>
      <c r="E193" s="84">
        <v>4</v>
      </c>
      <c r="F193" s="2">
        <v>9701</v>
      </c>
      <c r="G193" s="2">
        <v>9849</v>
      </c>
      <c r="H193" s="2">
        <v>9983</v>
      </c>
      <c r="I193" s="2">
        <v>10107</v>
      </c>
      <c r="J193" s="2">
        <v>10226</v>
      </c>
      <c r="K193" s="2">
        <v>10346</v>
      </c>
      <c r="L193" s="2">
        <v>10471</v>
      </c>
      <c r="M193" s="2">
        <v>10595</v>
      </c>
      <c r="N193" s="2">
        <v>10716</v>
      </c>
      <c r="O193" s="2">
        <v>10832</v>
      </c>
      <c r="P193" s="2">
        <v>10943</v>
      </c>
    </row>
    <row r="194" spans="1:16">
      <c r="A194" s="84" t="s">
        <v>461</v>
      </c>
      <c r="B194" s="85" t="s">
        <v>460</v>
      </c>
      <c r="C194" s="85" t="s">
        <v>92</v>
      </c>
      <c r="D194" s="84" t="s">
        <v>80</v>
      </c>
      <c r="E194" s="84">
        <v>1</v>
      </c>
      <c r="F194" s="2">
        <v>527718</v>
      </c>
      <c r="G194" s="2">
        <v>521070.00000000006</v>
      </c>
      <c r="H194" s="2">
        <v>515857.99999999994</v>
      </c>
      <c r="I194" s="2">
        <v>511682</v>
      </c>
      <c r="J194" s="2">
        <v>507651</v>
      </c>
      <c r="K194" s="2">
        <v>503102</v>
      </c>
      <c r="L194" s="2">
        <v>498943</v>
      </c>
      <c r="M194" s="2">
        <v>494809</v>
      </c>
      <c r="N194" s="2">
        <v>490721</v>
      </c>
      <c r="O194" s="2">
        <v>486635</v>
      </c>
      <c r="P194" s="2">
        <v>482508</v>
      </c>
    </row>
    <row r="195" spans="1:16">
      <c r="A195" s="84" t="s">
        <v>463</v>
      </c>
      <c r="B195" s="85" t="s">
        <v>462</v>
      </c>
      <c r="C195" s="85" t="s">
        <v>99</v>
      </c>
      <c r="D195" s="84" t="s">
        <v>84</v>
      </c>
      <c r="E195" s="84">
        <v>4</v>
      </c>
      <c r="F195" s="2">
        <v>1401387</v>
      </c>
      <c r="G195" s="2">
        <v>1374384</v>
      </c>
      <c r="H195" s="2">
        <v>1332230</v>
      </c>
      <c r="I195" s="2">
        <v>1283740</v>
      </c>
      <c r="J195" s="2">
        <v>1241757</v>
      </c>
      <c r="K195" s="2">
        <v>1215541</v>
      </c>
      <c r="L195" s="2">
        <v>1210293</v>
      </c>
      <c r="M195" s="2">
        <v>1220039</v>
      </c>
      <c r="N195" s="2">
        <v>1239261</v>
      </c>
      <c r="O195" s="2">
        <v>1259588</v>
      </c>
      <c r="P195" s="2">
        <v>1274747</v>
      </c>
    </row>
    <row r="196" spans="1:16">
      <c r="A196" s="84" t="s">
        <v>465</v>
      </c>
      <c r="B196" s="85" t="s">
        <v>464</v>
      </c>
      <c r="C196" s="85" t="s">
        <v>74</v>
      </c>
      <c r="D196" s="84" t="s">
        <v>75</v>
      </c>
      <c r="E196" s="84">
        <v>3</v>
      </c>
      <c r="F196" s="2">
        <v>850406</v>
      </c>
      <c r="G196" s="2">
        <v>851433</v>
      </c>
      <c r="H196" s="2">
        <v>853100</v>
      </c>
      <c r="I196" s="2">
        <v>854842</v>
      </c>
      <c r="J196" s="2">
        <v>855857</v>
      </c>
      <c r="K196" s="2">
        <v>855580</v>
      </c>
      <c r="L196" s="2">
        <v>853900</v>
      </c>
      <c r="M196" s="2">
        <v>851006</v>
      </c>
      <c r="N196" s="2">
        <v>847391</v>
      </c>
      <c r="O196" s="2">
        <v>843782</v>
      </c>
      <c r="P196" s="2">
        <v>840699</v>
      </c>
    </row>
    <row r="197" spans="1:16">
      <c r="A197" s="84" t="s">
        <v>467</v>
      </c>
      <c r="B197" s="85" t="s">
        <v>466</v>
      </c>
      <c r="C197" s="85" t="s">
        <v>83</v>
      </c>
      <c r="D197" s="84" t="s">
        <v>84</v>
      </c>
      <c r="E197" s="84">
        <v>3</v>
      </c>
      <c r="F197" s="2">
        <v>758518</v>
      </c>
      <c r="G197" s="2">
        <v>770827</v>
      </c>
      <c r="H197" s="2">
        <v>784536</v>
      </c>
      <c r="I197" s="2">
        <v>798994</v>
      </c>
      <c r="J197" s="2">
        <v>813238</v>
      </c>
      <c r="K197" s="2">
        <v>826542</v>
      </c>
      <c r="L197" s="2">
        <v>838901</v>
      </c>
      <c r="M197" s="2">
        <v>850430</v>
      </c>
      <c r="N197" s="2">
        <v>861439</v>
      </c>
      <c r="O197" s="2">
        <v>872381</v>
      </c>
      <c r="P197" s="2">
        <v>883579</v>
      </c>
    </row>
    <row r="198" spans="1:16">
      <c r="A198" s="84" t="s">
        <v>469</v>
      </c>
      <c r="B198" s="85" t="s">
        <v>468</v>
      </c>
      <c r="C198" s="85" t="s">
        <v>83</v>
      </c>
      <c r="D198" s="84" t="s">
        <v>84</v>
      </c>
      <c r="E198" s="84">
        <v>3</v>
      </c>
      <c r="F198" s="2">
        <v>437901</v>
      </c>
      <c r="G198" s="2">
        <v>441156</v>
      </c>
      <c r="H198" s="2">
        <v>446101</v>
      </c>
      <c r="I198" s="2">
        <v>451957</v>
      </c>
      <c r="J198" s="2">
        <v>457638</v>
      </c>
      <c r="K198" s="2">
        <v>462332</v>
      </c>
      <c r="L198" s="2">
        <v>465953</v>
      </c>
      <c r="M198" s="2">
        <v>468699</v>
      </c>
      <c r="N198" s="2">
        <v>470601</v>
      </c>
      <c r="O198" s="2">
        <v>471795</v>
      </c>
      <c r="P198" s="2">
        <v>472403</v>
      </c>
    </row>
    <row r="199" spans="1:16">
      <c r="E199" s="2"/>
      <c r="F199" s="2"/>
      <c r="G199" s="2"/>
      <c r="H199" s="2"/>
      <c r="I199" s="2"/>
      <c r="J199" s="2"/>
      <c r="K199" s="2"/>
      <c r="L199" s="2"/>
      <c r="M199" s="2"/>
      <c r="N199" s="2"/>
      <c r="O199" s="2"/>
      <c r="P199" s="2"/>
    </row>
    <row r="200" spans="1:16">
      <c r="E200" s="2"/>
      <c r="F200" s="2"/>
      <c r="G200" s="2"/>
      <c r="H200" s="2"/>
      <c r="I200" s="2"/>
      <c r="J200" s="2"/>
      <c r="K200" s="2"/>
      <c r="L200" s="2"/>
      <c r="M200" s="2"/>
      <c r="N200" s="2"/>
      <c r="O200" s="2"/>
      <c r="P200" s="2"/>
    </row>
    <row r="201" spans="1:16">
      <c r="E201" s="2"/>
      <c r="F201" s="2"/>
      <c r="G201" s="2"/>
      <c r="H201" s="2"/>
      <c r="I201" s="2"/>
      <c r="J201" s="2"/>
      <c r="K201" s="2"/>
      <c r="L201" s="2"/>
      <c r="M201" s="2"/>
      <c r="N201" s="2"/>
      <c r="O201" s="2"/>
      <c r="P201" s="2"/>
    </row>
    <row r="202" spans="1:16">
      <c r="E202" s="2"/>
      <c r="F202" s="2"/>
      <c r="G202" s="2"/>
      <c r="H202" s="2"/>
      <c r="I202" s="2"/>
      <c r="J202" s="2"/>
      <c r="K202" s="2"/>
      <c r="L202" s="2"/>
      <c r="M202" s="2"/>
      <c r="N202" s="2"/>
      <c r="O202" s="2"/>
      <c r="P202" s="2"/>
    </row>
    <row r="203" spans="1:16">
      <c r="E203" s="2"/>
      <c r="F203" s="2"/>
      <c r="G203" s="2"/>
      <c r="H203" s="2"/>
      <c r="I203" s="2"/>
      <c r="J203" s="2"/>
      <c r="K203" s="2"/>
      <c r="L203" s="2"/>
      <c r="M203" s="2"/>
      <c r="N203" s="2"/>
      <c r="O203" s="2"/>
      <c r="P203" s="2"/>
    </row>
    <row r="204" spans="1:16">
      <c r="E204" s="94"/>
      <c r="F204" s="2"/>
      <c r="G204" s="2"/>
      <c r="H204" s="2"/>
      <c r="I204" s="2"/>
      <c r="J204" s="2"/>
      <c r="K204" s="2"/>
      <c r="L204" s="2"/>
      <c r="M204" s="2"/>
      <c r="N204" s="2"/>
      <c r="O204" s="2"/>
      <c r="P204" s="2"/>
    </row>
  </sheetData>
  <autoFilter ref="A4:P204" xr:uid="{1BE26F4C-1587-7C4D-887A-C69327E2A75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27136-A2F3-4443-8D8C-BA52B8817525}">
  <sheetPr>
    <tabColor theme="7" tint="0.79998168889431442"/>
  </sheetPr>
  <dimension ref="A1:P204"/>
  <sheetViews>
    <sheetView zoomScale="117" zoomScaleNormal="117" workbookViewId="0">
      <selection activeCell="E185" sqref="E185"/>
    </sheetView>
  </sheetViews>
  <sheetFormatPr defaultColWidth="10.85546875" defaultRowHeight="15"/>
  <cols>
    <col min="6" max="16" width="13.7109375" bestFit="1" customWidth="1"/>
  </cols>
  <sheetData>
    <row r="1" spans="1:16">
      <c r="A1" t="s">
        <v>470</v>
      </c>
      <c r="B1" t="s">
        <v>474</v>
      </c>
    </row>
    <row r="2" spans="1:16">
      <c r="A2" t="s">
        <v>471</v>
      </c>
      <c r="B2" t="s">
        <v>472</v>
      </c>
    </row>
    <row r="4" spans="1:16" s="88" customFormat="1">
      <c r="A4" s="86" t="s">
        <v>473</v>
      </c>
      <c r="B4" s="87" t="s">
        <v>64</v>
      </c>
      <c r="C4" s="86" t="s">
        <v>66</v>
      </c>
      <c r="D4" s="86" t="s">
        <v>67</v>
      </c>
      <c r="E4" s="86" t="s">
        <v>68</v>
      </c>
      <c r="F4" s="88">
        <v>2030</v>
      </c>
      <c r="G4" s="88">
        <v>2031</v>
      </c>
      <c r="H4" s="88">
        <v>2032</v>
      </c>
      <c r="I4" s="88">
        <v>2033</v>
      </c>
      <c r="J4" s="88">
        <v>2034</v>
      </c>
      <c r="K4" s="88">
        <v>2035</v>
      </c>
      <c r="L4" s="88">
        <v>2036</v>
      </c>
      <c r="M4" s="88">
        <v>2037</v>
      </c>
      <c r="N4" s="88">
        <v>2038</v>
      </c>
      <c r="O4" s="88">
        <v>2039</v>
      </c>
      <c r="P4" s="88">
        <v>2040</v>
      </c>
    </row>
    <row r="5" spans="1:16">
      <c r="A5" s="84" t="s">
        <v>73</v>
      </c>
      <c r="B5" s="85" t="s">
        <v>72</v>
      </c>
      <c r="C5" s="85" t="s">
        <v>74</v>
      </c>
      <c r="D5" s="84" t="s">
        <v>75</v>
      </c>
      <c r="E5" s="84" t="s">
        <v>76</v>
      </c>
      <c r="F5" s="2">
        <v>1183547</v>
      </c>
      <c r="G5" s="2">
        <v>1185914</v>
      </c>
      <c r="H5" s="2">
        <v>1186114</v>
      </c>
      <c r="I5" s="2">
        <v>1186833</v>
      </c>
      <c r="J5" s="2">
        <v>1187037</v>
      </c>
      <c r="K5" s="2">
        <v>1186634</v>
      </c>
      <c r="L5" s="2">
        <v>1187735</v>
      </c>
      <c r="M5" s="2">
        <v>1184529</v>
      </c>
      <c r="N5" s="2">
        <v>1182605</v>
      </c>
      <c r="O5" s="2">
        <v>1180085</v>
      </c>
      <c r="P5" s="2">
        <v>1176967</v>
      </c>
    </row>
    <row r="6" spans="1:16">
      <c r="A6" s="84" t="s">
        <v>78</v>
      </c>
      <c r="B6" s="85" t="s">
        <v>77</v>
      </c>
      <c r="C6" s="85" t="s">
        <v>79</v>
      </c>
      <c r="D6" s="84" t="s">
        <v>80</v>
      </c>
      <c r="E6" s="84">
        <v>1</v>
      </c>
      <c r="F6" s="2">
        <v>25632</v>
      </c>
      <c r="G6" s="2">
        <v>24651</v>
      </c>
      <c r="H6" s="2">
        <v>24059</v>
      </c>
      <c r="I6" s="2">
        <v>23393</v>
      </c>
      <c r="J6" s="2">
        <v>22800</v>
      </c>
      <c r="K6" s="2">
        <v>22272</v>
      </c>
      <c r="L6" s="2">
        <v>21904</v>
      </c>
      <c r="M6" s="2">
        <v>21450</v>
      </c>
      <c r="N6" s="2">
        <v>21136</v>
      </c>
      <c r="O6" s="2">
        <v>20866</v>
      </c>
      <c r="P6" s="2">
        <v>20627</v>
      </c>
    </row>
    <row r="7" spans="1:16">
      <c r="A7" s="84" t="s">
        <v>82</v>
      </c>
      <c r="B7" s="85" t="s">
        <v>81</v>
      </c>
      <c r="C7" s="85" t="s">
        <v>83</v>
      </c>
      <c r="D7" s="84" t="s">
        <v>84</v>
      </c>
      <c r="E7" s="84">
        <v>2</v>
      </c>
      <c r="F7" s="2">
        <v>819737</v>
      </c>
      <c r="G7" s="2">
        <v>821951</v>
      </c>
      <c r="H7" s="2">
        <v>804455</v>
      </c>
      <c r="I7" s="2">
        <v>798985</v>
      </c>
      <c r="J7" s="2">
        <v>796091</v>
      </c>
      <c r="K7" s="2">
        <v>796422</v>
      </c>
      <c r="L7" s="2">
        <v>803616</v>
      </c>
      <c r="M7" s="2">
        <v>807869</v>
      </c>
      <c r="N7" s="2">
        <v>817243</v>
      </c>
      <c r="O7" s="2">
        <v>827840</v>
      </c>
      <c r="P7" s="2">
        <v>838840</v>
      </c>
    </row>
    <row r="8" spans="1:16">
      <c r="A8" s="84" t="s">
        <v>86</v>
      </c>
      <c r="B8" s="85" t="s">
        <v>85</v>
      </c>
      <c r="C8" s="85" t="s">
        <v>79</v>
      </c>
      <c r="D8" s="84" t="s">
        <v>87</v>
      </c>
      <c r="E8" s="84">
        <v>1</v>
      </c>
      <c r="F8" s="2">
        <v>0</v>
      </c>
      <c r="G8" s="2">
        <v>0</v>
      </c>
      <c r="H8" s="2">
        <v>0</v>
      </c>
      <c r="I8" s="2">
        <v>0</v>
      </c>
      <c r="J8" s="2">
        <v>0</v>
      </c>
      <c r="K8" s="2">
        <v>0</v>
      </c>
      <c r="L8" s="2">
        <v>0</v>
      </c>
      <c r="M8" s="2">
        <v>0</v>
      </c>
      <c r="N8" s="2">
        <v>0</v>
      </c>
      <c r="O8" s="2">
        <v>0</v>
      </c>
      <c r="P8" s="2">
        <v>0</v>
      </c>
    </row>
    <row r="9" spans="1:16">
      <c r="A9" s="84" t="s">
        <v>89</v>
      </c>
      <c r="B9" s="85" t="s">
        <v>88</v>
      </c>
      <c r="C9" s="85" t="s">
        <v>83</v>
      </c>
      <c r="D9" s="84" t="s">
        <v>84</v>
      </c>
      <c r="E9" s="84">
        <v>3</v>
      </c>
      <c r="F9" s="2">
        <v>1512448</v>
      </c>
      <c r="G9" s="2">
        <v>1550187</v>
      </c>
      <c r="H9" s="2">
        <v>1582713</v>
      </c>
      <c r="I9" s="2">
        <v>1618066</v>
      </c>
      <c r="J9" s="2">
        <v>1653162</v>
      </c>
      <c r="K9" s="2">
        <v>1687792</v>
      </c>
      <c r="L9" s="2">
        <v>1723970</v>
      </c>
      <c r="M9" s="2">
        <v>1755650</v>
      </c>
      <c r="N9" s="2">
        <v>1789112</v>
      </c>
      <c r="O9" s="2">
        <v>1822667</v>
      </c>
      <c r="P9" s="2">
        <v>1856534</v>
      </c>
    </row>
    <row r="10" spans="1:16">
      <c r="A10" s="84" t="s">
        <v>91</v>
      </c>
      <c r="B10" s="85" t="s">
        <v>90</v>
      </c>
      <c r="C10" s="85" t="s">
        <v>92</v>
      </c>
      <c r="D10" s="84" t="s">
        <v>87</v>
      </c>
      <c r="E10" s="84">
        <v>1</v>
      </c>
      <c r="F10" s="2">
        <v>0</v>
      </c>
      <c r="G10" s="2">
        <v>1351</v>
      </c>
      <c r="H10" s="2">
        <v>1331</v>
      </c>
      <c r="I10" s="2">
        <v>1319</v>
      </c>
      <c r="J10" s="2">
        <v>1309</v>
      </c>
      <c r="K10" s="2">
        <v>1300</v>
      </c>
      <c r="L10" s="2">
        <v>1291</v>
      </c>
      <c r="M10" s="2">
        <v>1290</v>
      </c>
      <c r="N10" s="2">
        <v>1288</v>
      </c>
      <c r="O10" s="2">
        <v>1286</v>
      </c>
      <c r="P10" s="2">
        <v>1283</v>
      </c>
    </row>
    <row r="11" spans="1:16">
      <c r="A11" s="84" t="s">
        <v>94</v>
      </c>
      <c r="B11" s="85" t="s">
        <v>93</v>
      </c>
      <c r="C11" s="85" t="s">
        <v>92</v>
      </c>
      <c r="D11" s="84" t="s">
        <v>80</v>
      </c>
      <c r="E11" s="84">
        <v>1</v>
      </c>
      <c r="F11" s="2">
        <v>732108</v>
      </c>
      <c r="G11" s="2">
        <v>731819</v>
      </c>
      <c r="H11" s="2">
        <v>727681</v>
      </c>
      <c r="I11" s="2">
        <v>724976</v>
      </c>
      <c r="J11" s="2">
        <v>722248</v>
      </c>
      <c r="K11" s="2">
        <v>719676</v>
      </c>
      <c r="L11" s="2">
        <v>717038</v>
      </c>
      <c r="M11" s="2">
        <v>716248</v>
      </c>
      <c r="N11" s="2">
        <v>714652</v>
      </c>
      <c r="O11" s="2">
        <v>712877</v>
      </c>
      <c r="P11" s="2">
        <v>710767</v>
      </c>
    </row>
    <row r="12" spans="1:16">
      <c r="A12" s="84" t="s">
        <v>96</v>
      </c>
      <c r="B12" s="85" t="s">
        <v>95</v>
      </c>
      <c r="C12" s="85" t="s">
        <v>79</v>
      </c>
      <c r="D12" s="84" t="s">
        <v>80</v>
      </c>
      <c r="E12" s="84">
        <v>1</v>
      </c>
      <c r="F12" s="2">
        <v>31006</v>
      </c>
      <c r="G12" s="2">
        <v>30697</v>
      </c>
      <c r="H12" s="2">
        <v>30231</v>
      </c>
      <c r="I12" s="2">
        <v>30015</v>
      </c>
      <c r="J12" s="2">
        <v>29898</v>
      </c>
      <c r="K12" s="2">
        <v>29870</v>
      </c>
      <c r="L12" s="2">
        <v>30165</v>
      </c>
      <c r="M12" s="2">
        <v>30098</v>
      </c>
      <c r="N12" s="2">
        <v>30299</v>
      </c>
      <c r="O12" s="2">
        <v>30519</v>
      </c>
      <c r="P12" s="2">
        <v>30732</v>
      </c>
    </row>
    <row r="13" spans="1:16">
      <c r="A13" s="84" t="s">
        <v>98</v>
      </c>
      <c r="B13" s="85" t="s">
        <v>97</v>
      </c>
      <c r="C13" s="85" t="s">
        <v>99</v>
      </c>
      <c r="D13" s="84" t="s">
        <v>87</v>
      </c>
      <c r="E13" s="84">
        <v>1</v>
      </c>
      <c r="F13" s="2">
        <v>324108</v>
      </c>
      <c r="G13" s="2">
        <v>326042</v>
      </c>
      <c r="H13" s="2">
        <v>325016</v>
      </c>
      <c r="I13" s="2">
        <v>325444</v>
      </c>
      <c r="J13" s="2">
        <v>326028</v>
      </c>
      <c r="K13" s="2">
        <v>326876</v>
      </c>
      <c r="L13" s="2">
        <v>328776</v>
      </c>
      <c r="M13" s="2">
        <v>330523</v>
      </c>
      <c r="N13" s="2">
        <v>332695</v>
      </c>
      <c r="O13" s="2">
        <v>335051</v>
      </c>
      <c r="P13" s="2">
        <v>337539</v>
      </c>
    </row>
    <row r="14" spans="1:16">
      <c r="A14" s="84" t="s">
        <v>101</v>
      </c>
      <c r="B14" s="85" t="s">
        <v>100</v>
      </c>
      <c r="C14" s="85" t="s">
        <v>79</v>
      </c>
      <c r="D14" s="84" t="s">
        <v>87</v>
      </c>
      <c r="E14" s="84">
        <v>1</v>
      </c>
      <c r="F14" s="2">
        <v>86816</v>
      </c>
      <c r="G14" s="2">
        <v>85818</v>
      </c>
      <c r="H14" s="2">
        <v>85251</v>
      </c>
      <c r="I14" s="2">
        <v>84399</v>
      </c>
      <c r="J14" s="2">
        <v>83550</v>
      </c>
      <c r="K14" s="2">
        <v>82736</v>
      </c>
      <c r="L14" s="2">
        <v>81891</v>
      </c>
      <c r="M14" s="2">
        <v>81443</v>
      </c>
      <c r="N14" s="2">
        <v>80899</v>
      </c>
      <c r="O14" s="2">
        <v>80443</v>
      </c>
      <c r="P14" s="2">
        <v>80081</v>
      </c>
    </row>
    <row r="15" spans="1:16">
      <c r="A15" s="84" t="s">
        <v>103</v>
      </c>
      <c r="B15" s="85" t="s">
        <v>102</v>
      </c>
      <c r="C15" s="85" t="s">
        <v>79</v>
      </c>
      <c r="D15" s="84" t="s">
        <v>80</v>
      </c>
      <c r="E15" s="84">
        <v>1</v>
      </c>
      <c r="F15" s="2">
        <v>126828</v>
      </c>
      <c r="G15" s="2">
        <v>128566</v>
      </c>
      <c r="H15" s="2">
        <v>127212</v>
      </c>
      <c r="I15" s="2">
        <v>127973</v>
      </c>
      <c r="J15" s="2">
        <v>128808</v>
      </c>
      <c r="K15" s="2">
        <v>129531</v>
      </c>
      <c r="L15" s="2">
        <v>131868</v>
      </c>
      <c r="M15" s="2">
        <v>130713</v>
      </c>
      <c r="N15" s="2">
        <v>130981</v>
      </c>
      <c r="O15" s="2">
        <v>130931.00000000001</v>
      </c>
      <c r="P15" s="2">
        <v>130525</v>
      </c>
    </row>
    <row r="16" spans="1:16">
      <c r="A16" s="84" t="s">
        <v>105</v>
      </c>
      <c r="B16" s="85" t="s">
        <v>104</v>
      </c>
      <c r="C16" s="85" t="s">
        <v>92</v>
      </c>
      <c r="D16" s="84" t="s">
        <v>87</v>
      </c>
      <c r="E16" s="84">
        <v>1</v>
      </c>
      <c r="F16" s="2">
        <v>5478</v>
      </c>
      <c r="G16" s="2">
        <v>5464</v>
      </c>
      <c r="H16" s="2">
        <v>5441</v>
      </c>
      <c r="I16" s="2">
        <v>5406</v>
      </c>
      <c r="J16" s="2">
        <v>5367</v>
      </c>
      <c r="K16" s="2">
        <v>5329</v>
      </c>
      <c r="L16" s="2">
        <v>5278</v>
      </c>
      <c r="M16" s="2">
        <v>5271</v>
      </c>
      <c r="N16" s="2">
        <v>5243</v>
      </c>
      <c r="O16" s="2">
        <v>5216</v>
      </c>
      <c r="P16" s="2">
        <v>5192</v>
      </c>
    </row>
    <row r="17" spans="1:16">
      <c r="A17" s="84" t="s">
        <v>107</v>
      </c>
      <c r="B17" s="85" t="s">
        <v>106</v>
      </c>
      <c r="C17" s="85" t="s">
        <v>74</v>
      </c>
      <c r="D17" s="84" t="s">
        <v>87</v>
      </c>
      <c r="E17" s="84">
        <v>1</v>
      </c>
      <c r="F17" s="2">
        <v>22264</v>
      </c>
      <c r="G17" s="2">
        <v>22155</v>
      </c>
      <c r="H17" s="2">
        <v>22389</v>
      </c>
      <c r="I17" s="2">
        <v>22453</v>
      </c>
      <c r="J17" s="2">
        <v>22451</v>
      </c>
      <c r="K17" s="2">
        <v>22350</v>
      </c>
      <c r="L17" s="2">
        <v>22333</v>
      </c>
      <c r="M17" s="2">
        <v>21903</v>
      </c>
      <c r="N17" s="2">
        <v>21575</v>
      </c>
      <c r="O17" s="2">
        <v>21238</v>
      </c>
      <c r="P17" s="2">
        <v>20927</v>
      </c>
    </row>
    <row r="18" spans="1:16">
      <c r="A18" s="84" t="s">
        <v>109</v>
      </c>
      <c r="B18" s="85" t="s">
        <v>108</v>
      </c>
      <c r="C18" s="85" t="s">
        <v>110</v>
      </c>
      <c r="D18" s="84" t="s">
        <v>84</v>
      </c>
      <c r="E18" s="84" t="s">
        <v>76</v>
      </c>
      <c r="F18" s="2">
        <v>2558646</v>
      </c>
      <c r="G18" s="2">
        <v>2520285</v>
      </c>
      <c r="H18" s="2">
        <v>2494231</v>
      </c>
      <c r="I18" s="2">
        <v>2463353</v>
      </c>
      <c r="J18" s="2">
        <v>2432648</v>
      </c>
      <c r="K18" s="2">
        <v>2401657</v>
      </c>
      <c r="L18" s="2">
        <v>2377055</v>
      </c>
      <c r="M18" s="2">
        <v>2341692</v>
      </c>
      <c r="N18" s="2">
        <v>2311988</v>
      </c>
      <c r="O18" s="2">
        <v>2282959</v>
      </c>
      <c r="P18" s="2">
        <v>2254898</v>
      </c>
    </row>
    <row r="19" spans="1:16">
      <c r="A19" s="84" t="s">
        <v>112</v>
      </c>
      <c r="B19" s="85" t="s">
        <v>111</v>
      </c>
      <c r="C19" s="85" t="s">
        <v>92</v>
      </c>
      <c r="D19" s="84" t="s">
        <v>87</v>
      </c>
      <c r="E19" s="84">
        <v>1</v>
      </c>
      <c r="F19" s="2">
        <v>2992</v>
      </c>
      <c r="G19" s="2">
        <v>2985</v>
      </c>
      <c r="H19" s="2">
        <v>2975</v>
      </c>
      <c r="I19" s="2">
        <v>2960</v>
      </c>
      <c r="J19" s="2">
        <v>2940</v>
      </c>
      <c r="K19" s="2">
        <v>2918</v>
      </c>
      <c r="L19" s="2">
        <v>2894</v>
      </c>
      <c r="M19" s="2">
        <v>2869</v>
      </c>
      <c r="N19" s="2">
        <v>2839</v>
      </c>
      <c r="O19" s="2">
        <v>2806</v>
      </c>
      <c r="P19" s="2">
        <v>2772</v>
      </c>
    </row>
    <row r="20" spans="1:16">
      <c r="A20" s="84" t="s">
        <v>114</v>
      </c>
      <c r="B20" s="85" t="s">
        <v>113</v>
      </c>
      <c r="C20" s="85" t="s">
        <v>79</v>
      </c>
      <c r="D20" s="84" t="s">
        <v>80</v>
      </c>
      <c r="E20" s="84">
        <v>2</v>
      </c>
      <c r="F20" s="2">
        <v>88008</v>
      </c>
      <c r="G20" s="2">
        <v>84725</v>
      </c>
      <c r="H20" s="2">
        <v>85160</v>
      </c>
      <c r="I20" s="2">
        <v>84610</v>
      </c>
      <c r="J20" s="2">
        <v>84440</v>
      </c>
      <c r="K20" s="2">
        <v>84502</v>
      </c>
      <c r="L20" s="2">
        <v>85178</v>
      </c>
      <c r="M20" s="2">
        <v>85350</v>
      </c>
      <c r="N20" s="2">
        <v>86105</v>
      </c>
      <c r="O20" s="2">
        <v>87032</v>
      </c>
      <c r="P20" s="2">
        <v>88088</v>
      </c>
    </row>
    <row r="21" spans="1:16">
      <c r="A21" s="84" t="s">
        <v>116</v>
      </c>
      <c r="B21" s="85" t="s">
        <v>115</v>
      </c>
      <c r="C21" s="85" t="s">
        <v>79</v>
      </c>
      <c r="D21" s="84" t="s">
        <v>87</v>
      </c>
      <c r="E21" s="84">
        <v>1</v>
      </c>
      <c r="F21" s="2">
        <v>120670</v>
      </c>
      <c r="G21" s="2">
        <v>119771</v>
      </c>
      <c r="H21" s="2">
        <v>120220</v>
      </c>
      <c r="I21" s="2">
        <v>120206</v>
      </c>
      <c r="J21" s="2">
        <v>120275</v>
      </c>
      <c r="K21" s="2">
        <v>120380</v>
      </c>
      <c r="L21" s="2">
        <v>120673</v>
      </c>
      <c r="M21" s="2">
        <v>121039</v>
      </c>
      <c r="N21" s="2">
        <v>121407</v>
      </c>
      <c r="O21" s="2">
        <v>121770</v>
      </c>
      <c r="P21" s="2">
        <v>122110</v>
      </c>
    </row>
    <row r="22" spans="1:16">
      <c r="A22" s="84" t="s">
        <v>118</v>
      </c>
      <c r="B22" s="85" t="s">
        <v>117</v>
      </c>
      <c r="C22" s="85" t="s">
        <v>92</v>
      </c>
      <c r="D22" s="84" t="s">
        <v>80</v>
      </c>
      <c r="E22" s="84">
        <v>1</v>
      </c>
      <c r="F22" s="2">
        <v>8010.9999999999991</v>
      </c>
      <c r="G22" s="2">
        <v>7921</v>
      </c>
      <c r="H22" s="2">
        <v>7938</v>
      </c>
      <c r="I22" s="2">
        <v>7900</v>
      </c>
      <c r="J22" s="2">
        <v>7861</v>
      </c>
      <c r="K22" s="2">
        <v>7817</v>
      </c>
      <c r="L22" s="2">
        <v>7770</v>
      </c>
      <c r="M22" s="2">
        <v>7736</v>
      </c>
      <c r="N22" s="2">
        <v>7693</v>
      </c>
      <c r="O22" s="2">
        <v>7648</v>
      </c>
      <c r="P22" s="2">
        <v>7604</v>
      </c>
    </row>
    <row r="23" spans="1:16">
      <c r="A23" s="84" t="s">
        <v>120</v>
      </c>
      <c r="B23" s="85" t="s">
        <v>119</v>
      </c>
      <c r="C23" s="85" t="s">
        <v>83</v>
      </c>
      <c r="D23" s="84" t="s">
        <v>84</v>
      </c>
      <c r="E23" s="84">
        <v>3</v>
      </c>
      <c r="F23" s="2">
        <v>465609</v>
      </c>
      <c r="G23" s="2">
        <v>473956</v>
      </c>
      <c r="H23" s="2">
        <v>480337</v>
      </c>
      <c r="I23" s="2">
        <v>487677</v>
      </c>
      <c r="J23" s="2">
        <v>494962</v>
      </c>
      <c r="K23" s="2">
        <v>502166</v>
      </c>
      <c r="L23" s="2">
        <v>510039</v>
      </c>
      <c r="M23" s="2">
        <v>516267.00000000006</v>
      </c>
      <c r="N23" s="2">
        <v>523201</v>
      </c>
      <c r="O23" s="2">
        <v>530016</v>
      </c>
      <c r="P23" s="2">
        <v>536688</v>
      </c>
    </row>
    <row r="24" spans="1:16">
      <c r="A24" s="84" t="s">
        <v>122</v>
      </c>
      <c r="B24" s="85" t="s">
        <v>121</v>
      </c>
      <c r="C24" s="85" t="s">
        <v>110</v>
      </c>
      <c r="D24" s="84" t="s">
        <v>84</v>
      </c>
      <c r="E24" s="84">
        <v>2</v>
      </c>
      <c r="F24" s="2">
        <v>11099</v>
      </c>
      <c r="G24" s="2">
        <v>10921</v>
      </c>
      <c r="H24" s="2">
        <v>10704</v>
      </c>
      <c r="I24" s="2">
        <v>10495</v>
      </c>
      <c r="J24" s="2">
        <v>10289</v>
      </c>
      <c r="K24" s="2">
        <v>10089</v>
      </c>
      <c r="L24" s="2">
        <v>9921</v>
      </c>
      <c r="M24" s="2">
        <v>9730</v>
      </c>
      <c r="N24" s="2">
        <v>9565</v>
      </c>
      <c r="O24" s="2">
        <v>9415</v>
      </c>
      <c r="P24" s="2">
        <v>9280</v>
      </c>
    </row>
    <row r="25" spans="1:16">
      <c r="A25" s="84" t="s">
        <v>124</v>
      </c>
      <c r="B25" s="85" t="s">
        <v>123</v>
      </c>
      <c r="C25" s="85" t="s">
        <v>92</v>
      </c>
      <c r="D25" s="84" t="s">
        <v>84</v>
      </c>
      <c r="E25" s="84">
        <v>2</v>
      </c>
      <c r="F25" s="2">
        <v>242262</v>
      </c>
      <c r="G25" s="2">
        <v>241673</v>
      </c>
      <c r="H25" s="2">
        <v>241433</v>
      </c>
      <c r="I25" s="2">
        <v>240911</v>
      </c>
      <c r="J25" s="2">
        <v>240347</v>
      </c>
      <c r="K25" s="2">
        <v>239752</v>
      </c>
      <c r="L25" s="2">
        <v>239044</v>
      </c>
      <c r="M25" s="2">
        <v>238767</v>
      </c>
      <c r="N25" s="2">
        <v>238214</v>
      </c>
      <c r="O25" s="2">
        <v>237546</v>
      </c>
      <c r="P25" s="2">
        <v>236720</v>
      </c>
    </row>
    <row r="26" spans="1:16">
      <c r="A26" s="84" t="s">
        <v>126</v>
      </c>
      <c r="B26" s="85" t="s">
        <v>125</v>
      </c>
      <c r="C26" s="85" t="s">
        <v>79</v>
      </c>
      <c r="D26" s="84" t="s">
        <v>80</v>
      </c>
      <c r="E26" s="84">
        <v>1</v>
      </c>
      <c r="F26" s="2">
        <v>22564</v>
      </c>
      <c r="G26" s="2">
        <v>22334</v>
      </c>
      <c r="H26" s="2">
        <v>22391</v>
      </c>
      <c r="I26" s="2">
        <v>22373</v>
      </c>
      <c r="J26" s="2">
        <v>22361</v>
      </c>
      <c r="K26" s="2">
        <v>22330</v>
      </c>
      <c r="L26" s="2">
        <v>22323</v>
      </c>
      <c r="M26" s="2">
        <v>22216</v>
      </c>
      <c r="N26" s="2">
        <v>22123</v>
      </c>
      <c r="O26" s="2">
        <v>22009</v>
      </c>
      <c r="P26" s="2">
        <v>21879</v>
      </c>
    </row>
    <row r="27" spans="1:16">
      <c r="A27" s="84" t="s">
        <v>128</v>
      </c>
      <c r="B27" s="85" t="s">
        <v>127</v>
      </c>
      <c r="C27" s="85" t="s">
        <v>83</v>
      </c>
      <c r="D27" s="84" t="s">
        <v>80</v>
      </c>
      <c r="E27" s="84">
        <v>2</v>
      </c>
      <c r="F27" s="2">
        <v>53647</v>
      </c>
      <c r="G27" s="2">
        <v>54159</v>
      </c>
      <c r="H27" s="2">
        <v>54050</v>
      </c>
      <c r="I27" s="2">
        <v>54244</v>
      </c>
      <c r="J27" s="2">
        <v>54433</v>
      </c>
      <c r="K27" s="2">
        <v>54616</v>
      </c>
      <c r="L27" s="2">
        <v>54901</v>
      </c>
      <c r="M27" s="2">
        <v>55039</v>
      </c>
      <c r="N27" s="2">
        <v>55214</v>
      </c>
      <c r="O27" s="2">
        <v>55340</v>
      </c>
      <c r="P27" s="2">
        <v>55404</v>
      </c>
    </row>
    <row r="28" spans="1:16">
      <c r="A28" s="84" t="s">
        <v>130</v>
      </c>
      <c r="B28" s="85" t="s">
        <v>129</v>
      </c>
      <c r="C28" s="85" t="s">
        <v>92</v>
      </c>
      <c r="D28" s="84" t="s">
        <v>80</v>
      </c>
      <c r="E28" s="84" t="s">
        <v>76</v>
      </c>
      <c r="F28" s="2">
        <v>2530235</v>
      </c>
      <c r="G28" s="2">
        <v>2508994</v>
      </c>
      <c r="H28" s="2">
        <v>2478921</v>
      </c>
      <c r="I28" s="2">
        <v>2453720</v>
      </c>
      <c r="J28" s="2">
        <v>2428155</v>
      </c>
      <c r="K28" s="2">
        <v>2401870</v>
      </c>
      <c r="L28" s="2">
        <v>2385047</v>
      </c>
      <c r="M28" s="2">
        <v>2351032</v>
      </c>
      <c r="N28" s="2">
        <v>2325243</v>
      </c>
      <c r="O28" s="2">
        <v>2300149</v>
      </c>
      <c r="P28" s="2">
        <v>2276349</v>
      </c>
    </row>
    <row r="29" spans="1:16">
      <c r="A29" s="84" t="s">
        <v>132</v>
      </c>
      <c r="B29" s="85" t="s">
        <v>131</v>
      </c>
      <c r="C29" s="85" t="s">
        <v>99</v>
      </c>
      <c r="D29" s="84" t="s">
        <v>87</v>
      </c>
      <c r="E29" s="84">
        <v>1</v>
      </c>
      <c r="F29" s="2">
        <v>5472</v>
      </c>
      <c r="G29" s="2">
        <v>5400</v>
      </c>
      <c r="H29" s="2">
        <v>5340</v>
      </c>
      <c r="I29" s="2">
        <v>5285</v>
      </c>
      <c r="J29" s="2">
        <v>5236</v>
      </c>
      <c r="K29" s="2">
        <v>5190</v>
      </c>
      <c r="L29" s="2">
        <v>5147</v>
      </c>
      <c r="M29" s="2">
        <v>5122</v>
      </c>
      <c r="N29" s="2">
        <v>5093</v>
      </c>
      <c r="O29" s="2">
        <v>5067</v>
      </c>
      <c r="P29" s="2">
        <v>5044</v>
      </c>
    </row>
    <row r="30" spans="1:16">
      <c r="A30" s="84" t="s">
        <v>134</v>
      </c>
      <c r="B30" s="85" t="s">
        <v>133</v>
      </c>
      <c r="C30" s="85" t="s">
        <v>79</v>
      </c>
      <c r="D30" s="84" t="s">
        <v>80</v>
      </c>
      <c r="E30" s="84">
        <v>1</v>
      </c>
      <c r="F30" s="2">
        <v>54316</v>
      </c>
      <c r="G30" s="2">
        <v>53840</v>
      </c>
      <c r="H30" s="2">
        <v>53390</v>
      </c>
      <c r="I30" s="2">
        <v>52996</v>
      </c>
      <c r="J30" s="2">
        <v>52665</v>
      </c>
      <c r="K30" s="2">
        <v>52407</v>
      </c>
      <c r="L30" s="2">
        <v>52240</v>
      </c>
      <c r="M30" s="2">
        <v>52080</v>
      </c>
      <c r="N30" s="2">
        <v>51989</v>
      </c>
      <c r="O30" s="2">
        <v>51911</v>
      </c>
      <c r="P30" s="2">
        <v>51827</v>
      </c>
    </row>
    <row r="31" spans="1:16">
      <c r="A31" s="84" t="s">
        <v>136</v>
      </c>
      <c r="B31" s="85" t="s">
        <v>135</v>
      </c>
      <c r="C31" s="85" t="s">
        <v>83</v>
      </c>
      <c r="D31" s="84" t="s">
        <v>75</v>
      </c>
      <c r="E31" s="84">
        <v>3</v>
      </c>
      <c r="F31" s="2">
        <v>850055</v>
      </c>
      <c r="G31" s="2">
        <v>866395</v>
      </c>
      <c r="H31" s="2">
        <v>878037</v>
      </c>
      <c r="I31" s="2">
        <v>891776</v>
      </c>
      <c r="J31" s="2">
        <v>905278</v>
      </c>
      <c r="K31" s="2">
        <v>918515</v>
      </c>
      <c r="L31" s="2">
        <v>932601</v>
      </c>
      <c r="M31" s="2">
        <v>944157</v>
      </c>
      <c r="N31" s="2">
        <v>956525</v>
      </c>
      <c r="O31" s="2">
        <v>968498</v>
      </c>
      <c r="P31" s="2">
        <v>980030</v>
      </c>
    </row>
    <row r="32" spans="1:16">
      <c r="A32" s="84" t="s">
        <v>138</v>
      </c>
      <c r="B32" s="85" t="s">
        <v>137</v>
      </c>
      <c r="C32" s="85" t="s">
        <v>83</v>
      </c>
      <c r="D32" s="84" t="s">
        <v>75</v>
      </c>
      <c r="E32" s="84">
        <v>3</v>
      </c>
      <c r="F32" s="2">
        <v>487338</v>
      </c>
      <c r="G32" s="2">
        <v>494722</v>
      </c>
      <c r="H32" s="2">
        <v>502195</v>
      </c>
      <c r="I32" s="2">
        <v>510005</v>
      </c>
      <c r="J32" s="2">
        <v>517991.99999999994</v>
      </c>
      <c r="K32" s="2">
        <v>526088</v>
      </c>
      <c r="L32" s="2">
        <v>534946</v>
      </c>
      <c r="M32" s="2">
        <v>542562</v>
      </c>
      <c r="N32" s="2">
        <v>550906</v>
      </c>
      <c r="O32" s="2">
        <v>559254</v>
      </c>
      <c r="P32" s="2">
        <v>567557</v>
      </c>
    </row>
    <row r="33" spans="1:16">
      <c r="A33" s="84" t="s">
        <v>140</v>
      </c>
      <c r="B33" s="85" t="s">
        <v>139</v>
      </c>
      <c r="C33" s="85" t="s">
        <v>99</v>
      </c>
      <c r="D33" s="84" t="s">
        <v>84</v>
      </c>
      <c r="E33" s="84">
        <v>4</v>
      </c>
      <c r="F33" s="2">
        <v>331972</v>
      </c>
      <c r="G33" s="2">
        <v>332024</v>
      </c>
      <c r="H33" s="2">
        <v>331588</v>
      </c>
      <c r="I33" s="2">
        <v>331873</v>
      </c>
      <c r="J33" s="2">
        <v>332262</v>
      </c>
      <c r="K33" s="2">
        <v>332610</v>
      </c>
      <c r="L33" s="2">
        <v>334532</v>
      </c>
      <c r="M33" s="2">
        <v>333352</v>
      </c>
      <c r="N33" s="2">
        <v>333476</v>
      </c>
      <c r="O33" s="2">
        <v>333231</v>
      </c>
      <c r="P33" s="2">
        <v>332515</v>
      </c>
    </row>
    <row r="34" spans="1:16">
      <c r="A34" s="84" t="s">
        <v>142</v>
      </c>
      <c r="B34" s="85" t="s">
        <v>141</v>
      </c>
      <c r="C34" s="85" t="s">
        <v>83</v>
      </c>
      <c r="D34" s="84" t="s">
        <v>84</v>
      </c>
      <c r="E34" s="84">
        <v>3</v>
      </c>
      <c r="F34" s="2">
        <v>964326</v>
      </c>
      <c r="G34" s="2">
        <v>979204</v>
      </c>
      <c r="H34" s="2">
        <v>988776</v>
      </c>
      <c r="I34" s="2">
        <v>1000830</v>
      </c>
      <c r="J34" s="2">
        <v>1012851</v>
      </c>
      <c r="K34" s="2">
        <v>1024895</v>
      </c>
      <c r="L34" s="2">
        <v>1037872.0000000001</v>
      </c>
      <c r="M34" s="2">
        <v>1049257</v>
      </c>
      <c r="N34" s="2">
        <v>1061381</v>
      </c>
      <c r="O34" s="2">
        <v>1073300</v>
      </c>
      <c r="P34" s="2">
        <v>1084910</v>
      </c>
    </row>
    <row r="35" spans="1:16">
      <c r="A35" s="84" t="s">
        <v>144</v>
      </c>
      <c r="B35" s="85" t="s">
        <v>143</v>
      </c>
      <c r="C35" s="85" t="s">
        <v>92</v>
      </c>
      <c r="D35" s="84" t="s">
        <v>87</v>
      </c>
      <c r="E35" s="84">
        <v>1</v>
      </c>
      <c r="F35" s="2">
        <v>402569</v>
      </c>
      <c r="G35" s="2">
        <v>402321</v>
      </c>
      <c r="H35" s="2">
        <v>404216</v>
      </c>
      <c r="I35" s="2">
        <v>404813</v>
      </c>
      <c r="J35" s="2">
        <v>405472</v>
      </c>
      <c r="K35" s="2">
        <v>406320</v>
      </c>
      <c r="L35" s="2">
        <v>405675</v>
      </c>
      <c r="M35" s="2">
        <v>410145</v>
      </c>
      <c r="N35" s="2">
        <v>412281</v>
      </c>
      <c r="O35" s="2">
        <v>414473</v>
      </c>
      <c r="P35" s="2">
        <v>416648</v>
      </c>
    </row>
    <row r="36" spans="1:16">
      <c r="A36" s="84" t="s">
        <v>146</v>
      </c>
      <c r="B36" s="85" t="s">
        <v>145</v>
      </c>
      <c r="C36" s="85" t="s">
        <v>83</v>
      </c>
      <c r="D36" s="84" t="s">
        <v>84</v>
      </c>
      <c r="E36" s="84">
        <v>2</v>
      </c>
      <c r="F36" s="2">
        <v>9141</v>
      </c>
      <c r="G36" s="2">
        <v>9071</v>
      </c>
      <c r="H36" s="2">
        <v>8971</v>
      </c>
      <c r="I36" s="2">
        <v>8904</v>
      </c>
      <c r="J36" s="2">
        <v>8843</v>
      </c>
      <c r="K36" s="2">
        <v>8783</v>
      </c>
      <c r="L36" s="2">
        <v>8780</v>
      </c>
      <c r="M36" s="2">
        <v>8668</v>
      </c>
      <c r="N36" s="2">
        <v>8613</v>
      </c>
      <c r="O36" s="2">
        <v>8558</v>
      </c>
      <c r="P36" s="2">
        <v>8503</v>
      </c>
    </row>
    <row r="37" spans="1:16">
      <c r="A37" s="84" t="s">
        <v>148</v>
      </c>
      <c r="B37" s="85" t="s">
        <v>147</v>
      </c>
      <c r="C37" s="85" t="s">
        <v>83</v>
      </c>
      <c r="D37" s="84" t="s">
        <v>75</v>
      </c>
      <c r="E37" s="84">
        <v>3</v>
      </c>
      <c r="F37" s="2">
        <v>176084</v>
      </c>
      <c r="G37" s="2">
        <v>178091</v>
      </c>
      <c r="H37" s="2">
        <v>179136</v>
      </c>
      <c r="I37" s="2">
        <v>180352</v>
      </c>
      <c r="J37" s="2">
        <v>181346</v>
      </c>
      <c r="K37" s="2">
        <v>182121</v>
      </c>
      <c r="L37" s="2">
        <v>182645</v>
      </c>
      <c r="M37" s="2">
        <v>182946</v>
      </c>
      <c r="N37" s="2">
        <v>183105</v>
      </c>
      <c r="O37" s="2">
        <v>183165</v>
      </c>
      <c r="P37" s="2">
        <v>183173</v>
      </c>
    </row>
    <row r="38" spans="1:16">
      <c r="A38" s="84" t="s">
        <v>150</v>
      </c>
      <c r="B38" s="85" t="s">
        <v>149</v>
      </c>
      <c r="C38" s="85" t="s">
        <v>83</v>
      </c>
      <c r="D38" s="84" t="s">
        <v>75</v>
      </c>
      <c r="E38" s="84" t="s">
        <v>76</v>
      </c>
      <c r="F38" s="2">
        <v>716015</v>
      </c>
      <c r="G38" s="2">
        <v>727536</v>
      </c>
      <c r="H38" s="2">
        <v>735903</v>
      </c>
      <c r="I38" s="2">
        <v>745754</v>
      </c>
      <c r="J38" s="2">
        <v>755409</v>
      </c>
      <c r="K38" s="2">
        <v>764789</v>
      </c>
      <c r="L38" s="2">
        <v>775388</v>
      </c>
      <c r="M38" s="2">
        <v>781782</v>
      </c>
      <c r="N38" s="2">
        <v>790051</v>
      </c>
      <c r="O38" s="2">
        <v>798275</v>
      </c>
      <c r="P38" s="2">
        <v>806510</v>
      </c>
    </row>
    <row r="39" spans="1:16">
      <c r="A39" s="84" t="s">
        <v>152</v>
      </c>
      <c r="B39" s="85" t="s">
        <v>151</v>
      </c>
      <c r="C39" s="85" t="s">
        <v>92</v>
      </c>
      <c r="D39" s="84" t="s">
        <v>87</v>
      </c>
      <c r="E39" s="84">
        <v>2</v>
      </c>
      <c r="F39" s="2">
        <v>204806</v>
      </c>
      <c r="G39" s="2">
        <v>201240</v>
      </c>
      <c r="H39" s="2">
        <v>202142</v>
      </c>
      <c r="I39" s="2">
        <v>201766</v>
      </c>
      <c r="J39" s="2">
        <v>201409</v>
      </c>
      <c r="K39" s="2">
        <v>200696</v>
      </c>
      <c r="L39" s="2">
        <v>200579</v>
      </c>
      <c r="M39" s="2">
        <v>198519</v>
      </c>
      <c r="N39" s="2">
        <v>197079</v>
      </c>
      <c r="O39" s="2">
        <v>195694</v>
      </c>
      <c r="P39" s="2">
        <v>194534</v>
      </c>
    </row>
    <row r="40" spans="1:16">
      <c r="A40" s="84" t="s">
        <v>154</v>
      </c>
      <c r="B40" s="85" t="s">
        <v>153</v>
      </c>
      <c r="C40" s="85" t="s">
        <v>99</v>
      </c>
      <c r="D40" s="84" t="s">
        <v>80</v>
      </c>
      <c r="E40" s="84">
        <v>1</v>
      </c>
      <c r="F40" s="2">
        <v>14092832</v>
      </c>
      <c r="G40" s="2">
        <v>14094897</v>
      </c>
      <c r="H40" s="2">
        <v>13909190</v>
      </c>
      <c r="I40" s="2">
        <v>13832828</v>
      </c>
      <c r="J40" s="2">
        <v>13762495</v>
      </c>
      <c r="K40" s="2">
        <v>13695845</v>
      </c>
      <c r="L40" s="2">
        <v>13704055</v>
      </c>
      <c r="M40" s="2">
        <v>13596110</v>
      </c>
      <c r="N40" s="2">
        <v>13547668</v>
      </c>
      <c r="O40" s="2">
        <v>13501572</v>
      </c>
      <c r="P40" s="2">
        <v>13458309</v>
      </c>
    </row>
    <row r="41" spans="1:16">
      <c r="A41" s="84" t="s">
        <v>156</v>
      </c>
      <c r="B41" s="85" t="s">
        <v>155</v>
      </c>
      <c r="C41" s="85" t="s">
        <v>92</v>
      </c>
      <c r="D41" s="84" t="s">
        <v>80</v>
      </c>
      <c r="E41" s="84">
        <v>2</v>
      </c>
      <c r="F41" s="2">
        <v>644209</v>
      </c>
      <c r="G41" s="2">
        <v>639623</v>
      </c>
      <c r="H41" s="2">
        <v>631340</v>
      </c>
      <c r="I41" s="2">
        <v>624714</v>
      </c>
      <c r="J41" s="2">
        <v>618063</v>
      </c>
      <c r="K41" s="2">
        <v>611467</v>
      </c>
      <c r="L41" s="2">
        <v>607186</v>
      </c>
      <c r="M41" s="2">
        <v>599425</v>
      </c>
      <c r="N41" s="2">
        <v>593477</v>
      </c>
      <c r="O41" s="2">
        <v>587674</v>
      </c>
      <c r="P41" s="2">
        <v>582070</v>
      </c>
    </row>
    <row r="42" spans="1:16">
      <c r="A42" s="84" t="s">
        <v>158</v>
      </c>
      <c r="B42" s="85" t="s">
        <v>157</v>
      </c>
      <c r="C42" s="85" t="s">
        <v>83</v>
      </c>
      <c r="D42" s="84" t="s">
        <v>84</v>
      </c>
      <c r="E42" s="84">
        <v>3</v>
      </c>
      <c r="F42" s="2">
        <v>27232</v>
      </c>
      <c r="G42" s="2">
        <v>27500</v>
      </c>
      <c r="H42" s="2">
        <v>27706</v>
      </c>
      <c r="I42" s="2">
        <v>27952</v>
      </c>
      <c r="J42" s="2">
        <v>28196</v>
      </c>
      <c r="K42" s="2">
        <v>28434</v>
      </c>
      <c r="L42" s="2">
        <v>28719</v>
      </c>
      <c r="M42" s="2">
        <v>28895</v>
      </c>
      <c r="N42" s="2">
        <v>29117</v>
      </c>
      <c r="O42" s="2">
        <v>29333</v>
      </c>
      <c r="P42" s="2">
        <v>29544</v>
      </c>
    </row>
    <row r="43" spans="1:16">
      <c r="A43" s="84" t="s">
        <v>160</v>
      </c>
      <c r="B43" s="85" t="s">
        <v>159</v>
      </c>
      <c r="C43" s="85" t="s">
        <v>83</v>
      </c>
      <c r="D43" s="84" t="s">
        <v>84</v>
      </c>
      <c r="E43" s="84">
        <v>3</v>
      </c>
      <c r="F43" s="2">
        <v>197764</v>
      </c>
      <c r="G43" s="2">
        <v>201907</v>
      </c>
      <c r="H43" s="2">
        <v>205145</v>
      </c>
      <c r="I43" s="2">
        <v>208827</v>
      </c>
      <c r="J43" s="2">
        <v>212426</v>
      </c>
      <c r="K43" s="2">
        <v>215901</v>
      </c>
      <c r="L43" s="2">
        <v>219567</v>
      </c>
      <c r="M43" s="2">
        <v>222620</v>
      </c>
      <c r="N43" s="2">
        <v>225798</v>
      </c>
      <c r="O43" s="2">
        <v>228888</v>
      </c>
      <c r="P43" s="2">
        <v>231914</v>
      </c>
    </row>
    <row r="44" spans="1:16">
      <c r="A44" s="84" t="s">
        <v>162</v>
      </c>
      <c r="B44" s="85" t="s">
        <v>161</v>
      </c>
      <c r="C44" s="85" t="s">
        <v>99</v>
      </c>
      <c r="D44" s="84" t="e">
        <v>#N/A</v>
      </c>
      <c r="E44" s="84">
        <v>1</v>
      </c>
      <c r="F44" s="2">
        <v>0</v>
      </c>
      <c r="G44" s="2">
        <v>0</v>
      </c>
      <c r="H44" s="2">
        <v>0</v>
      </c>
      <c r="I44" s="2">
        <v>0</v>
      </c>
      <c r="J44" s="2">
        <v>0</v>
      </c>
      <c r="K44" s="2">
        <v>0</v>
      </c>
      <c r="L44" s="2">
        <v>0</v>
      </c>
      <c r="M44" s="2">
        <v>0</v>
      </c>
      <c r="N44" s="2">
        <v>0</v>
      </c>
      <c r="O44" s="2">
        <v>0</v>
      </c>
      <c r="P44" s="2">
        <v>0</v>
      </c>
    </row>
    <row r="45" spans="1:16">
      <c r="A45" s="84" t="s">
        <v>164</v>
      </c>
      <c r="B45" s="85" t="s">
        <v>163</v>
      </c>
      <c r="C45" s="85" t="s">
        <v>92</v>
      </c>
      <c r="D45" s="84" t="s">
        <v>80</v>
      </c>
      <c r="E45" s="84">
        <v>2</v>
      </c>
      <c r="F45" s="2">
        <v>60599</v>
      </c>
      <c r="G45" s="2">
        <v>60026</v>
      </c>
      <c r="H45" s="2">
        <v>59646</v>
      </c>
      <c r="I45" s="2">
        <v>59270</v>
      </c>
      <c r="J45" s="2">
        <v>58897</v>
      </c>
      <c r="K45" s="2">
        <v>58492</v>
      </c>
      <c r="L45" s="2">
        <v>58406</v>
      </c>
      <c r="M45" s="2">
        <v>57673</v>
      </c>
      <c r="N45" s="2">
        <v>57232</v>
      </c>
      <c r="O45" s="2">
        <v>56795</v>
      </c>
      <c r="P45" s="2">
        <v>56379</v>
      </c>
    </row>
    <row r="46" spans="1:16">
      <c r="A46" s="84" t="s">
        <v>166</v>
      </c>
      <c r="B46" s="85" t="s">
        <v>165</v>
      </c>
      <c r="C46" s="85" t="s">
        <v>83</v>
      </c>
      <c r="D46" s="84" t="s">
        <v>84</v>
      </c>
      <c r="E46" s="84">
        <v>3</v>
      </c>
      <c r="F46" s="2">
        <v>998599</v>
      </c>
      <c r="G46" s="2">
        <v>1014498</v>
      </c>
      <c r="H46" s="2">
        <v>1026443</v>
      </c>
      <c r="I46" s="2">
        <v>1040098.9999999999</v>
      </c>
      <c r="J46" s="2">
        <v>1053783</v>
      </c>
      <c r="K46" s="2">
        <v>1067615</v>
      </c>
      <c r="L46" s="2">
        <v>1082498</v>
      </c>
      <c r="M46" s="2">
        <v>1096063</v>
      </c>
      <c r="N46" s="2">
        <v>1110453</v>
      </c>
      <c r="O46" s="2">
        <v>1124785</v>
      </c>
      <c r="P46" s="2">
        <v>1138945</v>
      </c>
    </row>
    <row r="47" spans="1:16">
      <c r="A47" s="84" t="s">
        <v>168</v>
      </c>
      <c r="B47" s="85" t="s">
        <v>167</v>
      </c>
      <c r="C47" s="85" t="s">
        <v>79</v>
      </c>
      <c r="D47" s="84" t="s">
        <v>87</v>
      </c>
      <c r="E47" s="84">
        <v>1</v>
      </c>
      <c r="F47" s="2">
        <v>31027</v>
      </c>
      <c r="G47" s="2">
        <v>30859</v>
      </c>
      <c r="H47" s="2">
        <v>30441</v>
      </c>
      <c r="I47" s="2">
        <v>30176</v>
      </c>
      <c r="J47" s="2">
        <v>29927</v>
      </c>
      <c r="K47" s="2">
        <v>29693</v>
      </c>
      <c r="L47" s="2">
        <v>29510</v>
      </c>
      <c r="M47" s="2">
        <v>29288</v>
      </c>
      <c r="N47" s="2">
        <v>29105</v>
      </c>
      <c r="O47" s="2">
        <v>28941</v>
      </c>
      <c r="P47" s="2">
        <v>28801</v>
      </c>
    </row>
    <row r="48" spans="1:16">
      <c r="A48" s="84" t="s">
        <v>170</v>
      </c>
      <c r="B48" s="85" t="s">
        <v>169</v>
      </c>
      <c r="C48" s="85" t="s">
        <v>92</v>
      </c>
      <c r="D48" s="84" t="s">
        <v>80</v>
      </c>
      <c r="E48" s="84">
        <v>1</v>
      </c>
      <c r="F48" s="2">
        <v>96987</v>
      </c>
      <c r="G48" s="2">
        <v>95984</v>
      </c>
      <c r="H48" s="2">
        <v>95042</v>
      </c>
      <c r="I48" s="2">
        <v>94277</v>
      </c>
      <c r="J48" s="2">
        <v>93557</v>
      </c>
      <c r="K48" s="2">
        <v>92821</v>
      </c>
      <c r="L48" s="2">
        <v>92315</v>
      </c>
      <c r="M48" s="2">
        <v>91481</v>
      </c>
      <c r="N48" s="2">
        <v>90787</v>
      </c>
      <c r="O48" s="2">
        <v>90056</v>
      </c>
      <c r="P48" s="2">
        <v>89277</v>
      </c>
    </row>
    <row r="49" spans="1:16">
      <c r="A49" s="84" t="s">
        <v>172</v>
      </c>
      <c r="B49" s="85" t="s">
        <v>171</v>
      </c>
      <c r="C49" s="85" t="s">
        <v>79</v>
      </c>
      <c r="D49" s="84" t="s">
        <v>87</v>
      </c>
      <c r="E49" s="84">
        <v>1</v>
      </c>
      <c r="F49" s="2">
        <v>11107</v>
      </c>
      <c r="G49" s="2">
        <v>11151</v>
      </c>
      <c r="H49" s="2">
        <v>11107</v>
      </c>
      <c r="I49" s="2">
        <v>11123</v>
      </c>
      <c r="J49" s="2">
        <v>11147</v>
      </c>
      <c r="K49" s="2">
        <v>11179</v>
      </c>
      <c r="L49" s="2">
        <v>11247</v>
      </c>
      <c r="M49" s="2">
        <v>11280</v>
      </c>
      <c r="N49" s="2">
        <v>11330</v>
      </c>
      <c r="O49" s="2">
        <v>11372</v>
      </c>
      <c r="P49" s="2">
        <v>11402</v>
      </c>
    </row>
    <row r="50" spans="1:16">
      <c r="A50" s="84" t="s">
        <v>174</v>
      </c>
      <c r="B50" s="85" t="s">
        <v>173</v>
      </c>
      <c r="C50" s="85" t="s">
        <v>79</v>
      </c>
      <c r="D50" s="84" t="s">
        <v>87</v>
      </c>
      <c r="E50" s="84">
        <v>1</v>
      </c>
      <c r="F50" s="2">
        <v>97507</v>
      </c>
      <c r="G50" s="2">
        <v>97380</v>
      </c>
      <c r="H50" s="2">
        <v>96585</v>
      </c>
      <c r="I50" s="2">
        <v>96244</v>
      </c>
      <c r="J50" s="2">
        <v>96120</v>
      </c>
      <c r="K50" s="2">
        <v>96287</v>
      </c>
      <c r="L50" s="2">
        <v>96760</v>
      </c>
      <c r="M50" s="2">
        <v>97683</v>
      </c>
      <c r="N50" s="2">
        <v>98683</v>
      </c>
      <c r="O50" s="2">
        <v>99735</v>
      </c>
      <c r="P50" s="2">
        <v>100743</v>
      </c>
    </row>
    <row r="51" spans="1:16">
      <c r="A51" s="84" t="s">
        <v>176</v>
      </c>
      <c r="B51" s="85" t="s">
        <v>175</v>
      </c>
      <c r="C51" s="85" t="s">
        <v>110</v>
      </c>
      <c r="D51" s="84" t="s">
        <v>75</v>
      </c>
      <c r="E51" s="84">
        <v>4</v>
      </c>
      <c r="F51" s="2">
        <v>334011</v>
      </c>
      <c r="G51" s="2">
        <v>330844</v>
      </c>
      <c r="H51" s="2">
        <v>325304</v>
      </c>
      <c r="I51" s="2">
        <v>320207</v>
      </c>
      <c r="J51" s="2">
        <v>315048</v>
      </c>
      <c r="K51" s="2">
        <v>310110</v>
      </c>
      <c r="L51" s="2">
        <v>304541</v>
      </c>
      <c r="M51" s="2">
        <v>301640</v>
      </c>
      <c r="N51" s="2">
        <v>297929</v>
      </c>
      <c r="O51" s="2">
        <v>294663</v>
      </c>
      <c r="P51" s="2">
        <v>291883</v>
      </c>
    </row>
    <row r="52" spans="1:16">
      <c r="A52" s="84" t="s">
        <v>178</v>
      </c>
      <c r="B52" s="85" t="s">
        <v>177</v>
      </c>
      <c r="C52" s="85" t="s">
        <v>83</v>
      </c>
      <c r="D52" s="84" t="s">
        <v>75</v>
      </c>
      <c r="E52" s="84" t="s">
        <v>76</v>
      </c>
      <c r="F52" s="2">
        <v>3927291</v>
      </c>
      <c r="G52" s="2">
        <v>4008181</v>
      </c>
      <c r="H52" s="2">
        <v>4064606</v>
      </c>
      <c r="I52" s="2">
        <v>4133218</v>
      </c>
      <c r="J52" s="2">
        <v>4200313</v>
      </c>
      <c r="K52" s="2">
        <v>4265050</v>
      </c>
      <c r="L52" s="2">
        <v>4338443</v>
      </c>
      <c r="M52" s="2">
        <v>4383552</v>
      </c>
      <c r="N52" s="2">
        <v>4439720</v>
      </c>
      <c r="O52" s="2">
        <v>4494041</v>
      </c>
      <c r="P52" s="2">
        <v>4546683</v>
      </c>
    </row>
    <row r="53" spans="1:16">
      <c r="A53" s="84" t="s">
        <v>180</v>
      </c>
      <c r="B53" s="85" t="s">
        <v>179</v>
      </c>
      <c r="C53" s="85" t="s">
        <v>79</v>
      </c>
      <c r="D53" s="84" t="s">
        <v>87</v>
      </c>
      <c r="E53" s="84">
        <v>1</v>
      </c>
      <c r="F53" s="2">
        <v>67922</v>
      </c>
      <c r="G53" s="2">
        <v>67781</v>
      </c>
      <c r="H53" s="2">
        <v>67831</v>
      </c>
      <c r="I53" s="2">
        <v>67591</v>
      </c>
      <c r="J53" s="2">
        <v>67286</v>
      </c>
      <c r="K53" s="2">
        <v>66960</v>
      </c>
      <c r="L53" s="2">
        <v>66423</v>
      </c>
      <c r="M53" s="2">
        <v>66424</v>
      </c>
      <c r="N53" s="2">
        <v>66142</v>
      </c>
      <c r="O53" s="2">
        <v>65848</v>
      </c>
      <c r="P53" s="2">
        <v>65535</v>
      </c>
    </row>
    <row r="54" spans="1:16">
      <c r="A54" s="84" t="s">
        <v>182</v>
      </c>
      <c r="B54" s="85" t="s">
        <v>181</v>
      </c>
      <c r="C54" s="85" t="s">
        <v>74</v>
      </c>
      <c r="D54" s="84" t="s">
        <v>84</v>
      </c>
      <c r="E54" s="84">
        <v>3</v>
      </c>
      <c r="F54" s="2">
        <v>18337</v>
      </c>
      <c r="G54" s="2">
        <v>18203</v>
      </c>
      <c r="H54" s="2">
        <v>18043</v>
      </c>
      <c r="I54" s="2">
        <v>17913</v>
      </c>
      <c r="J54" s="2">
        <v>17795</v>
      </c>
      <c r="K54" s="2">
        <v>17688</v>
      </c>
      <c r="L54" s="2">
        <v>17614</v>
      </c>
      <c r="M54" s="2">
        <v>17540</v>
      </c>
      <c r="N54" s="2">
        <v>17486</v>
      </c>
      <c r="O54" s="2">
        <v>17445</v>
      </c>
      <c r="P54" s="2">
        <v>17415</v>
      </c>
    </row>
    <row r="55" spans="1:16">
      <c r="A55" s="84" t="s">
        <v>184</v>
      </c>
      <c r="B55" s="85" t="s">
        <v>183</v>
      </c>
      <c r="C55" s="85" t="s">
        <v>92</v>
      </c>
      <c r="D55" s="84" t="s">
        <v>80</v>
      </c>
      <c r="E55" s="84">
        <v>2</v>
      </c>
      <c r="F55" s="2">
        <v>183256</v>
      </c>
      <c r="G55" s="2">
        <v>182291</v>
      </c>
      <c r="H55" s="2">
        <v>180272</v>
      </c>
      <c r="I55" s="2">
        <v>178802</v>
      </c>
      <c r="J55" s="2">
        <v>177351</v>
      </c>
      <c r="K55" s="2">
        <v>175921</v>
      </c>
      <c r="L55" s="2">
        <v>175078</v>
      </c>
      <c r="M55" s="2">
        <v>173303</v>
      </c>
      <c r="N55" s="2">
        <v>172017</v>
      </c>
      <c r="O55" s="2">
        <v>170732</v>
      </c>
      <c r="P55" s="2">
        <v>169436</v>
      </c>
    </row>
    <row r="56" spans="1:16">
      <c r="A56" s="84" t="s">
        <v>184</v>
      </c>
      <c r="B56" s="85" t="s">
        <v>185</v>
      </c>
      <c r="C56" s="85" t="s">
        <v>92</v>
      </c>
      <c r="D56" s="84" t="s">
        <v>80</v>
      </c>
      <c r="E56" s="84">
        <v>2</v>
      </c>
      <c r="F56" s="2">
        <v>183256</v>
      </c>
      <c r="G56" s="2">
        <v>182291</v>
      </c>
      <c r="H56" s="2">
        <v>180272</v>
      </c>
      <c r="I56" s="2">
        <v>178802</v>
      </c>
      <c r="J56" s="2">
        <v>177351</v>
      </c>
      <c r="K56" s="2">
        <v>175921</v>
      </c>
      <c r="L56" s="2">
        <v>175078</v>
      </c>
      <c r="M56" s="2">
        <v>173303</v>
      </c>
      <c r="N56" s="2">
        <v>172017</v>
      </c>
      <c r="O56" s="2">
        <v>170732</v>
      </c>
      <c r="P56" s="2">
        <v>169436</v>
      </c>
    </row>
    <row r="57" spans="1:16">
      <c r="A57" s="84" t="s">
        <v>187</v>
      </c>
      <c r="B57" s="85" t="s">
        <v>186</v>
      </c>
      <c r="C57" s="85" t="s">
        <v>92</v>
      </c>
      <c r="D57" s="84" t="s">
        <v>80</v>
      </c>
      <c r="E57" s="84">
        <v>2</v>
      </c>
      <c r="F57" s="2">
        <v>323269</v>
      </c>
      <c r="G57" s="2">
        <v>322156</v>
      </c>
      <c r="H57" s="2">
        <v>321112</v>
      </c>
      <c r="I57" s="2">
        <v>320051</v>
      </c>
      <c r="J57" s="2">
        <v>318962</v>
      </c>
      <c r="K57" s="2">
        <v>317824</v>
      </c>
      <c r="L57" s="2">
        <v>317349</v>
      </c>
      <c r="M57" s="2">
        <v>315757</v>
      </c>
      <c r="N57" s="2">
        <v>314648</v>
      </c>
      <c r="O57" s="2">
        <v>313473</v>
      </c>
      <c r="P57" s="2">
        <v>312224</v>
      </c>
    </row>
    <row r="58" spans="1:16">
      <c r="A58" s="84" t="s">
        <v>189</v>
      </c>
      <c r="B58" s="85" t="s">
        <v>188</v>
      </c>
      <c r="C58" s="85" t="s">
        <v>74</v>
      </c>
      <c r="D58" s="84" t="s">
        <v>84</v>
      </c>
      <c r="E58" s="84">
        <v>2</v>
      </c>
      <c r="F58" s="2">
        <v>2506150</v>
      </c>
      <c r="G58" s="2">
        <v>2534145</v>
      </c>
      <c r="H58" s="2">
        <v>2562818</v>
      </c>
      <c r="I58" s="2">
        <v>2600428</v>
      </c>
      <c r="J58" s="2">
        <v>2640287</v>
      </c>
      <c r="K58" s="2">
        <v>2679749</v>
      </c>
      <c r="L58" s="2">
        <v>2735937</v>
      </c>
      <c r="M58" s="2">
        <v>2756991</v>
      </c>
      <c r="N58" s="2">
        <v>2792713</v>
      </c>
      <c r="O58" s="2">
        <v>2823845</v>
      </c>
      <c r="P58" s="2">
        <v>2849104</v>
      </c>
    </row>
    <row r="59" spans="1:16">
      <c r="A59" s="84" t="s">
        <v>191</v>
      </c>
      <c r="B59" s="85" t="s">
        <v>190</v>
      </c>
      <c r="C59" s="85" t="s">
        <v>92</v>
      </c>
      <c r="D59" s="84" t="s">
        <v>84</v>
      </c>
      <c r="E59" s="84">
        <v>1</v>
      </c>
      <c r="F59" s="2">
        <v>101803</v>
      </c>
      <c r="G59" s="2">
        <v>100107</v>
      </c>
      <c r="H59" s="2">
        <v>98622</v>
      </c>
      <c r="I59" s="2">
        <v>97055</v>
      </c>
      <c r="J59" s="2">
        <v>95535</v>
      </c>
      <c r="K59" s="2">
        <v>94080</v>
      </c>
      <c r="L59" s="2">
        <v>92838</v>
      </c>
      <c r="M59" s="2">
        <v>91336</v>
      </c>
      <c r="N59" s="2">
        <v>90071</v>
      </c>
      <c r="O59" s="2">
        <v>88866</v>
      </c>
      <c r="P59" s="2">
        <v>87712</v>
      </c>
    </row>
    <row r="60" spans="1:16">
      <c r="A60" s="84" t="s">
        <v>193</v>
      </c>
      <c r="B60" s="85" t="s">
        <v>192</v>
      </c>
      <c r="C60" s="85" t="s">
        <v>83</v>
      </c>
      <c r="D60" s="84" t="s">
        <v>80</v>
      </c>
      <c r="E60" s="84">
        <v>3</v>
      </c>
      <c r="F60" s="2">
        <v>49501</v>
      </c>
      <c r="G60" s="2">
        <v>50059</v>
      </c>
      <c r="H60" s="2">
        <v>50759</v>
      </c>
      <c r="I60" s="2">
        <v>51314</v>
      </c>
      <c r="J60" s="2">
        <v>51846</v>
      </c>
      <c r="K60" s="2">
        <v>52370</v>
      </c>
      <c r="L60" s="2">
        <v>52816</v>
      </c>
      <c r="M60" s="2">
        <v>53431</v>
      </c>
      <c r="N60" s="2">
        <v>53948</v>
      </c>
      <c r="O60" s="2">
        <v>54455</v>
      </c>
      <c r="P60" s="2">
        <v>54949</v>
      </c>
    </row>
    <row r="61" spans="1:16">
      <c r="A61" s="84" t="s">
        <v>195</v>
      </c>
      <c r="B61" s="85" t="s">
        <v>194</v>
      </c>
      <c r="C61" s="85" t="s">
        <v>83</v>
      </c>
      <c r="D61" s="84" t="s">
        <v>75</v>
      </c>
      <c r="E61" s="84">
        <v>3</v>
      </c>
      <c r="F61" s="2">
        <v>108129</v>
      </c>
      <c r="G61" s="2">
        <v>110636</v>
      </c>
      <c r="H61" s="2">
        <v>111477</v>
      </c>
      <c r="I61" s="2">
        <v>113096</v>
      </c>
      <c r="J61" s="2">
        <v>114651</v>
      </c>
      <c r="K61" s="2">
        <v>116133</v>
      </c>
      <c r="L61" s="2">
        <v>117836</v>
      </c>
      <c r="M61" s="2">
        <v>118857</v>
      </c>
      <c r="N61" s="2">
        <v>120041</v>
      </c>
      <c r="O61" s="2">
        <v>121072</v>
      </c>
      <c r="P61" s="2">
        <v>121934</v>
      </c>
    </row>
    <row r="62" spans="1:16">
      <c r="A62" s="84" t="s">
        <v>197</v>
      </c>
      <c r="B62" s="85" t="s">
        <v>196</v>
      </c>
      <c r="C62" s="85" t="s">
        <v>79</v>
      </c>
      <c r="D62" s="84" t="s">
        <v>87</v>
      </c>
      <c r="E62" s="84">
        <v>1</v>
      </c>
      <c r="F62" s="2">
        <v>11446</v>
      </c>
      <c r="G62" s="2">
        <v>11136</v>
      </c>
      <c r="H62" s="2">
        <v>11077</v>
      </c>
      <c r="I62" s="2">
        <v>10951</v>
      </c>
      <c r="J62" s="2">
        <v>10863</v>
      </c>
      <c r="K62" s="2">
        <v>10809</v>
      </c>
      <c r="L62" s="2">
        <v>10801</v>
      </c>
      <c r="M62" s="2">
        <v>10818</v>
      </c>
      <c r="N62" s="2">
        <v>10865</v>
      </c>
      <c r="O62" s="2">
        <v>10928</v>
      </c>
      <c r="P62" s="2">
        <v>10994</v>
      </c>
    </row>
    <row r="63" spans="1:16">
      <c r="A63" s="84" t="s">
        <v>199</v>
      </c>
      <c r="B63" s="85" t="s">
        <v>198</v>
      </c>
      <c r="C63" s="85" t="s">
        <v>83</v>
      </c>
      <c r="D63" s="84" t="s">
        <v>75</v>
      </c>
      <c r="E63" s="84" t="s">
        <v>76</v>
      </c>
      <c r="F63" s="2">
        <v>3725922</v>
      </c>
      <c r="G63" s="2">
        <v>3739908</v>
      </c>
      <c r="H63" s="2">
        <v>3757460</v>
      </c>
      <c r="I63" s="2">
        <v>3771192</v>
      </c>
      <c r="J63" s="2">
        <v>3783985</v>
      </c>
      <c r="K63" s="2">
        <v>3796062</v>
      </c>
      <c r="L63" s="2">
        <v>3809415</v>
      </c>
      <c r="M63" s="2">
        <v>3820063</v>
      </c>
      <c r="N63" s="2">
        <v>3831712</v>
      </c>
      <c r="O63" s="2">
        <v>3843867</v>
      </c>
      <c r="P63" s="2">
        <v>3856824</v>
      </c>
    </row>
    <row r="64" spans="1:16">
      <c r="A64" s="84" t="s">
        <v>201</v>
      </c>
      <c r="B64" s="85" t="s">
        <v>200</v>
      </c>
      <c r="C64" s="85" t="s">
        <v>99</v>
      </c>
      <c r="D64" s="84" t="s">
        <v>80</v>
      </c>
      <c r="E64" s="84">
        <v>4</v>
      </c>
      <c r="F64" s="2">
        <v>16985</v>
      </c>
      <c r="G64" s="2">
        <v>17015</v>
      </c>
      <c r="H64" s="2">
        <v>16997</v>
      </c>
      <c r="I64" s="2">
        <v>17017</v>
      </c>
      <c r="J64" s="2">
        <v>17034</v>
      </c>
      <c r="K64" s="2">
        <v>17039</v>
      </c>
      <c r="L64" s="2">
        <v>17126</v>
      </c>
      <c r="M64" s="2">
        <v>17024</v>
      </c>
      <c r="N64" s="2">
        <v>16998</v>
      </c>
      <c r="O64" s="2">
        <v>16962</v>
      </c>
      <c r="P64" s="2">
        <v>16919</v>
      </c>
    </row>
    <row r="65" spans="1:16">
      <c r="A65" s="84" t="s">
        <v>203</v>
      </c>
      <c r="B65" s="85" t="s">
        <v>202</v>
      </c>
      <c r="C65" s="85" t="s">
        <v>79</v>
      </c>
      <c r="D65" s="84" t="s">
        <v>87</v>
      </c>
      <c r="E65" s="84">
        <v>1</v>
      </c>
      <c r="F65" s="2">
        <v>48616</v>
      </c>
      <c r="G65" s="2">
        <v>49020</v>
      </c>
      <c r="H65" s="2">
        <v>49006</v>
      </c>
      <c r="I65" s="2">
        <v>49232</v>
      </c>
      <c r="J65" s="2">
        <v>49454</v>
      </c>
      <c r="K65" s="2">
        <v>49655</v>
      </c>
      <c r="L65" s="2">
        <v>49830</v>
      </c>
      <c r="M65" s="2">
        <v>50138</v>
      </c>
      <c r="N65" s="2">
        <v>50331</v>
      </c>
      <c r="O65" s="2">
        <v>50485</v>
      </c>
      <c r="P65" s="2">
        <v>50598</v>
      </c>
    </row>
    <row r="66" spans="1:16">
      <c r="A66" s="84" t="s">
        <v>205</v>
      </c>
      <c r="B66" s="85" t="s">
        <v>204</v>
      </c>
      <c r="C66" s="85" t="s">
        <v>79</v>
      </c>
      <c r="D66" s="84" t="s">
        <v>87</v>
      </c>
      <c r="E66" s="84">
        <v>1</v>
      </c>
      <c r="F66" s="2">
        <v>699277</v>
      </c>
      <c r="G66" s="2">
        <v>697571</v>
      </c>
      <c r="H66" s="2">
        <v>699995</v>
      </c>
      <c r="I66" s="2">
        <v>701801</v>
      </c>
      <c r="J66" s="2">
        <v>703771</v>
      </c>
      <c r="K66" s="2">
        <v>705364</v>
      </c>
      <c r="L66" s="2">
        <v>710901</v>
      </c>
      <c r="M66" s="2">
        <v>709351</v>
      </c>
      <c r="N66" s="2">
        <v>710693</v>
      </c>
      <c r="O66" s="2">
        <v>711336</v>
      </c>
      <c r="P66" s="2">
        <v>711161</v>
      </c>
    </row>
    <row r="67" spans="1:16">
      <c r="A67" s="84" t="s">
        <v>207</v>
      </c>
      <c r="B67" s="85" t="s">
        <v>206</v>
      </c>
      <c r="C67" s="85" t="s">
        <v>83</v>
      </c>
      <c r="D67" s="84" t="s">
        <v>80</v>
      </c>
      <c r="E67" s="84">
        <v>3</v>
      </c>
      <c r="F67" s="2">
        <v>65084.999999999993</v>
      </c>
      <c r="G67" s="2">
        <v>65920</v>
      </c>
      <c r="H67" s="2">
        <v>65779</v>
      </c>
      <c r="I67" s="2">
        <v>66162</v>
      </c>
      <c r="J67" s="2">
        <v>66603</v>
      </c>
      <c r="K67" s="2">
        <v>67126</v>
      </c>
      <c r="L67" s="2">
        <v>67932</v>
      </c>
      <c r="M67" s="2">
        <v>68486</v>
      </c>
      <c r="N67" s="2">
        <v>69261</v>
      </c>
      <c r="O67" s="2">
        <v>70072</v>
      </c>
      <c r="P67" s="2">
        <v>70901</v>
      </c>
    </row>
    <row r="68" spans="1:16">
      <c r="A68" s="84" t="s">
        <v>209</v>
      </c>
      <c r="B68" s="85" t="s">
        <v>208</v>
      </c>
      <c r="C68" s="85" t="s">
        <v>83</v>
      </c>
      <c r="D68" s="84" t="s">
        <v>75</v>
      </c>
      <c r="E68" s="84">
        <v>3</v>
      </c>
      <c r="F68" s="2">
        <v>97560</v>
      </c>
      <c r="G68" s="2">
        <v>98854</v>
      </c>
      <c r="H68" s="2">
        <v>99737</v>
      </c>
      <c r="I68" s="2">
        <v>100786</v>
      </c>
      <c r="J68" s="2">
        <v>101826</v>
      </c>
      <c r="K68" s="2">
        <v>102862</v>
      </c>
      <c r="L68" s="2">
        <v>103964</v>
      </c>
      <c r="M68" s="2">
        <v>104895</v>
      </c>
      <c r="N68" s="2">
        <v>105899</v>
      </c>
      <c r="O68" s="2">
        <v>106872</v>
      </c>
      <c r="P68" s="2">
        <v>107800</v>
      </c>
    </row>
    <row r="69" spans="1:16">
      <c r="A69" s="84" t="s">
        <v>211</v>
      </c>
      <c r="B69" s="85" t="s">
        <v>210</v>
      </c>
      <c r="C69" s="85" t="s">
        <v>79</v>
      </c>
      <c r="D69" s="84" t="s">
        <v>80</v>
      </c>
      <c r="E69" s="84">
        <v>1</v>
      </c>
      <c r="F69" s="2">
        <v>43163</v>
      </c>
      <c r="G69" s="2">
        <v>43163</v>
      </c>
      <c r="H69" s="2">
        <v>42598</v>
      </c>
      <c r="I69" s="2">
        <v>42481</v>
      </c>
      <c r="J69" s="2">
        <v>42438</v>
      </c>
      <c r="K69" s="2">
        <v>42443</v>
      </c>
      <c r="L69" s="2">
        <v>42755</v>
      </c>
      <c r="M69" s="2">
        <v>42566</v>
      </c>
      <c r="N69" s="2">
        <v>42660</v>
      </c>
      <c r="O69" s="2">
        <v>42745</v>
      </c>
      <c r="P69" s="2">
        <v>42807</v>
      </c>
    </row>
    <row r="70" spans="1:16">
      <c r="A70" s="84" t="s">
        <v>213</v>
      </c>
      <c r="B70" s="85" t="s">
        <v>212</v>
      </c>
      <c r="C70" s="85" t="s">
        <v>79</v>
      </c>
      <c r="D70" s="84" t="s">
        <v>87</v>
      </c>
      <c r="E70" s="84">
        <v>1</v>
      </c>
      <c r="F70" s="2">
        <v>759259</v>
      </c>
      <c r="G70" s="2">
        <v>761144</v>
      </c>
      <c r="H70" s="2">
        <v>749834</v>
      </c>
      <c r="I70" s="2">
        <v>743555</v>
      </c>
      <c r="J70" s="2">
        <v>737249</v>
      </c>
      <c r="K70" s="2">
        <v>731498</v>
      </c>
      <c r="L70" s="2">
        <v>726009</v>
      </c>
      <c r="M70" s="2">
        <v>723800</v>
      </c>
      <c r="N70" s="2">
        <v>720724</v>
      </c>
      <c r="O70" s="2">
        <v>717875</v>
      </c>
      <c r="P70" s="2">
        <v>715118</v>
      </c>
    </row>
    <row r="71" spans="1:16">
      <c r="A71" s="84" t="s">
        <v>215</v>
      </c>
      <c r="B71" s="85" t="s">
        <v>214</v>
      </c>
      <c r="C71" s="85" t="s">
        <v>83</v>
      </c>
      <c r="D71" s="84" t="s">
        <v>84</v>
      </c>
      <c r="E71" s="84">
        <v>3</v>
      </c>
      <c r="F71" s="2">
        <v>921749</v>
      </c>
      <c r="G71" s="2">
        <v>930424</v>
      </c>
      <c r="H71" s="2">
        <v>937883</v>
      </c>
      <c r="I71" s="2">
        <v>946126</v>
      </c>
      <c r="J71" s="2">
        <v>954343</v>
      </c>
      <c r="K71" s="2">
        <v>962437</v>
      </c>
      <c r="L71" s="2">
        <v>971829</v>
      </c>
      <c r="M71" s="2">
        <v>978964</v>
      </c>
      <c r="N71" s="2">
        <v>987017</v>
      </c>
      <c r="O71" s="2">
        <v>994918</v>
      </c>
      <c r="P71" s="2">
        <v>1002650</v>
      </c>
    </row>
    <row r="72" spans="1:16">
      <c r="A72" s="84" t="s">
        <v>217</v>
      </c>
      <c r="B72" s="85" t="s">
        <v>216</v>
      </c>
      <c r="C72" s="85" t="s">
        <v>79</v>
      </c>
      <c r="D72" s="84" t="s">
        <v>87</v>
      </c>
      <c r="E72" s="84">
        <v>1</v>
      </c>
      <c r="F72" s="2">
        <v>66251</v>
      </c>
      <c r="G72" s="2">
        <v>66779</v>
      </c>
      <c r="H72" s="2">
        <v>66966</v>
      </c>
      <c r="I72" s="2">
        <v>67547</v>
      </c>
      <c r="J72" s="2">
        <v>68160</v>
      </c>
      <c r="K72" s="2">
        <v>68733</v>
      </c>
      <c r="L72" s="2">
        <v>69720</v>
      </c>
      <c r="M72" s="2">
        <v>69830</v>
      </c>
      <c r="N72" s="2">
        <v>70239</v>
      </c>
      <c r="O72" s="2">
        <v>70540</v>
      </c>
      <c r="P72" s="2">
        <v>70733</v>
      </c>
    </row>
    <row r="73" spans="1:16">
      <c r="A73" s="84" t="s">
        <v>219</v>
      </c>
      <c r="B73" s="85" t="s">
        <v>218</v>
      </c>
      <c r="C73" s="85" t="s">
        <v>92</v>
      </c>
      <c r="D73" s="84" t="s">
        <v>80</v>
      </c>
      <c r="E73" s="84">
        <v>1</v>
      </c>
      <c r="F73" s="2">
        <v>1474</v>
      </c>
      <c r="G73" s="2">
        <v>1445</v>
      </c>
      <c r="H73" s="2">
        <v>1431</v>
      </c>
      <c r="I73" s="2">
        <v>1416</v>
      </c>
      <c r="J73" s="2">
        <v>1405</v>
      </c>
      <c r="K73" s="2">
        <v>1397</v>
      </c>
      <c r="L73" s="2">
        <v>1400</v>
      </c>
      <c r="M73" s="2">
        <v>1392</v>
      </c>
      <c r="N73" s="2">
        <v>1394</v>
      </c>
      <c r="O73" s="2">
        <v>1394</v>
      </c>
      <c r="P73" s="2">
        <v>1396</v>
      </c>
    </row>
    <row r="74" spans="1:16">
      <c r="A74" s="84" t="s">
        <v>221</v>
      </c>
      <c r="B74" s="85" t="s">
        <v>220</v>
      </c>
      <c r="C74" s="85" t="s">
        <v>92</v>
      </c>
      <c r="D74" s="84" t="s">
        <v>80</v>
      </c>
      <c r="E74" s="84">
        <v>1</v>
      </c>
      <c r="F74" s="2">
        <v>423293</v>
      </c>
      <c r="G74" s="2">
        <v>422631</v>
      </c>
      <c r="H74" s="2">
        <v>422743</v>
      </c>
      <c r="I74" s="2">
        <v>422234</v>
      </c>
      <c r="J74" s="2">
        <v>421460</v>
      </c>
      <c r="K74" s="2">
        <v>420362</v>
      </c>
      <c r="L74" s="2">
        <v>419669</v>
      </c>
      <c r="M74" s="2">
        <v>417526</v>
      </c>
      <c r="N74" s="2">
        <v>415793</v>
      </c>
      <c r="O74" s="2">
        <v>414045</v>
      </c>
      <c r="P74" s="2">
        <v>412401</v>
      </c>
    </row>
    <row r="75" spans="1:16">
      <c r="A75" s="84" t="s">
        <v>223</v>
      </c>
      <c r="B75" s="85" t="s">
        <v>222</v>
      </c>
      <c r="C75" s="85" t="s">
        <v>83</v>
      </c>
      <c r="D75" s="84" t="s">
        <v>75</v>
      </c>
      <c r="E75" s="84">
        <v>3</v>
      </c>
      <c r="F75" s="2">
        <v>502933</v>
      </c>
      <c r="G75" s="2">
        <v>509547</v>
      </c>
      <c r="H75" s="2">
        <v>514885</v>
      </c>
      <c r="I75" s="2">
        <v>520595</v>
      </c>
      <c r="J75" s="2">
        <v>526159</v>
      </c>
      <c r="K75" s="2">
        <v>531594</v>
      </c>
      <c r="L75" s="2">
        <v>537337</v>
      </c>
      <c r="M75" s="2">
        <v>542103</v>
      </c>
      <c r="N75" s="2">
        <v>547212</v>
      </c>
      <c r="O75" s="2">
        <v>552220</v>
      </c>
      <c r="P75" s="2">
        <v>557125</v>
      </c>
    </row>
    <row r="76" spans="1:16">
      <c r="A76" s="84" t="s">
        <v>225</v>
      </c>
      <c r="B76" s="85" t="s">
        <v>224</v>
      </c>
      <c r="C76" s="85" t="s">
        <v>83</v>
      </c>
      <c r="D76" s="84" t="s">
        <v>75</v>
      </c>
      <c r="E76" s="84">
        <v>3</v>
      </c>
      <c r="F76" s="2">
        <v>68249</v>
      </c>
      <c r="G76" s="2">
        <v>69080</v>
      </c>
      <c r="H76" s="2">
        <v>69607</v>
      </c>
      <c r="I76" s="2">
        <v>70303</v>
      </c>
      <c r="J76" s="2">
        <v>70992</v>
      </c>
      <c r="K76" s="2">
        <v>71666</v>
      </c>
      <c r="L76" s="2">
        <v>72476</v>
      </c>
      <c r="M76" s="2">
        <v>72937</v>
      </c>
      <c r="N76" s="2">
        <v>73561</v>
      </c>
      <c r="O76" s="2">
        <v>74194</v>
      </c>
      <c r="P76" s="2">
        <v>74844</v>
      </c>
    </row>
    <row r="77" spans="1:16">
      <c r="A77" s="84" t="s">
        <v>227</v>
      </c>
      <c r="B77" s="85" t="s">
        <v>226</v>
      </c>
      <c r="C77" s="85" t="s">
        <v>92</v>
      </c>
      <c r="D77" s="84" t="s">
        <v>80</v>
      </c>
      <c r="E77" s="84">
        <v>2</v>
      </c>
      <c r="F77" s="2">
        <v>13482</v>
      </c>
      <c r="G77" s="2">
        <v>13365</v>
      </c>
      <c r="H77" s="2">
        <v>13200</v>
      </c>
      <c r="I77" s="2">
        <v>13063</v>
      </c>
      <c r="J77" s="2">
        <v>12921</v>
      </c>
      <c r="K77" s="2">
        <v>12771</v>
      </c>
      <c r="L77" s="2">
        <v>12675</v>
      </c>
      <c r="M77" s="2">
        <v>12456</v>
      </c>
      <c r="N77" s="2">
        <v>12293</v>
      </c>
      <c r="O77" s="2">
        <v>12132</v>
      </c>
      <c r="P77" s="2">
        <v>11981</v>
      </c>
    </row>
    <row r="78" spans="1:16">
      <c r="A78" s="84" t="s">
        <v>229</v>
      </c>
      <c r="B78" s="85" t="s">
        <v>228</v>
      </c>
      <c r="C78" s="85" t="s">
        <v>92</v>
      </c>
      <c r="D78" s="84" t="s">
        <v>75</v>
      </c>
      <c r="E78" s="84">
        <v>2</v>
      </c>
      <c r="F78" s="2">
        <v>244781</v>
      </c>
      <c r="G78" s="2">
        <v>244409</v>
      </c>
      <c r="H78" s="2">
        <v>242765</v>
      </c>
      <c r="I78" s="2">
        <v>241806</v>
      </c>
      <c r="J78" s="2">
        <v>240879</v>
      </c>
      <c r="K78" s="2">
        <v>239977</v>
      </c>
      <c r="L78" s="2">
        <v>239618</v>
      </c>
      <c r="M78" s="2">
        <v>238158</v>
      </c>
      <c r="N78" s="2">
        <v>237279</v>
      </c>
      <c r="O78" s="2">
        <v>236377</v>
      </c>
      <c r="P78" s="2">
        <v>235430</v>
      </c>
    </row>
    <row r="79" spans="1:16">
      <c r="A79" s="84" t="s">
        <v>231</v>
      </c>
      <c r="B79" s="85" t="s">
        <v>230</v>
      </c>
      <c r="C79" s="85" t="s">
        <v>92</v>
      </c>
      <c r="D79" s="84" t="s">
        <v>84</v>
      </c>
      <c r="E79" s="84">
        <v>1</v>
      </c>
      <c r="F79" s="2">
        <v>202750</v>
      </c>
      <c r="G79" s="2">
        <v>201497</v>
      </c>
      <c r="H79" s="2">
        <v>200494</v>
      </c>
      <c r="I79" s="2">
        <v>199133</v>
      </c>
      <c r="J79" s="2">
        <v>197706</v>
      </c>
      <c r="K79" s="2">
        <v>196265</v>
      </c>
      <c r="L79" s="2">
        <v>194784</v>
      </c>
      <c r="M79" s="2">
        <v>193654</v>
      </c>
      <c r="N79" s="2">
        <v>192341</v>
      </c>
      <c r="O79" s="2">
        <v>190989</v>
      </c>
      <c r="P79" s="2">
        <v>189585</v>
      </c>
    </row>
    <row r="80" spans="1:16">
      <c r="A80" s="84" t="s">
        <v>233</v>
      </c>
      <c r="B80" s="85" t="s">
        <v>232</v>
      </c>
      <c r="C80" s="85" t="s">
        <v>79</v>
      </c>
      <c r="D80" s="84" t="s">
        <v>87</v>
      </c>
      <c r="E80" s="84">
        <v>1</v>
      </c>
      <c r="F80" s="2">
        <v>85245</v>
      </c>
      <c r="G80" s="2">
        <v>85094</v>
      </c>
      <c r="H80" s="2">
        <v>83805</v>
      </c>
      <c r="I80" s="2">
        <v>82905</v>
      </c>
      <c r="J80" s="2">
        <v>82022</v>
      </c>
      <c r="K80" s="2">
        <v>81242</v>
      </c>
      <c r="L80" s="2">
        <v>80443</v>
      </c>
      <c r="M80" s="2">
        <v>80129</v>
      </c>
      <c r="N80" s="2">
        <v>79703</v>
      </c>
      <c r="O80" s="2">
        <v>79330</v>
      </c>
      <c r="P80" s="2">
        <v>78984</v>
      </c>
    </row>
    <row r="81" spans="1:16">
      <c r="A81" s="84" t="s">
        <v>235</v>
      </c>
      <c r="B81" s="85" t="s">
        <v>234</v>
      </c>
      <c r="C81" s="85" t="s">
        <v>79</v>
      </c>
      <c r="D81" s="84" t="s">
        <v>87</v>
      </c>
      <c r="E81" s="84">
        <v>1</v>
      </c>
      <c r="F81" s="2">
        <v>3878</v>
      </c>
      <c r="G81" s="2">
        <v>3823</v>
      </c>
      <c r="H81" s="2">
        <v>3856</v>
      </c>
      <c r="I81" s="2">
        <v>3855</v>
      </c>
      <c r="J81" s="2">
        <v>3855</v>
      </c>
      <c r="K81" s="2">
        <v>3853</v>
      </c>
      <c r="L81" s="2">
        <v>3853</v>
      </c>
      <c r="M81" s="2">
        <v>3853</v>
      </c>
      <c r="N81" s="2">
        <v>3851</v>
      </c>
      <c r="O81" s="2">
        <v>3845</v>
      </c>
      <c r="P81" s="2">
        <v>3837</v>
      </c>
    </row>
    <row r="82" spans="1:16">
      <c r="A82" s="84" t="s">
        <v>237</v>
      </c>
      <c r="B82" s="85" t="s">
        <v>236</v>
      </c>
      <c r="C82" s="85" t="s">
        <v>110</v>
      </c>
      <c r="D82" s="84" t="s">
        <v>84</v>
      </c>
      <c r="E82" s="84" t="s">
        <v>76</v>
      </c>
      <c r="F82" s="2">
        <v>22870126</v>
      </c>
      <c r="G82" s="2">
        <v>22753647</v>
      </c>
      <c r="H82" s="2">
        <v>22650263</v>
      </c>
      <c r="I82" s="2">
        <v>22508606</v>
      </c>
      <c r="J82" s="2">
        <v>22342240</v>
      </c>
      <c r="K82" s="2">
        <v>22150180</v>
      </c>
      <c r="L82" s="2">
        <v>21960001</v>
      </c>
      <c r="M82" s="2">
        <v>21719752</v>
      </c>
      <c r="N82" s="2">
        <v>21477520</v>
      </c>
      <c r="O82" s="2">
        <v>21231030</v>
      </c>
      <c r="P82" s="2">
        <v>20988997</v>
      </c>
    </row>
    <row r="83" spans="1:16">
      <c r="A83" s="84" t="s">
        <v>239</v>
      </c>
      <c r="B83" s="85" t="s">
        <v>238</v>
      </c>
      <c r="C83" s="85" t="s">
        <v>110</v>
      </c>
      <c r="D83" s="84" t="s">
        <v>80</v>
      </c>
      <c r="E83" s="84" t="s">
        <v>76</v>
      </c>
      <c r="F83" s="2">
        <v>4536312</v>
      </c>
      <c r="G83" s="2">
        <v>4527955</v>
      </c>
      <c r="H83" s="2">
        <v>4507829</v>
      </c>
      <c r="I83" s="2">
        <v>4494499</v>
      </c>
      <c r="J83" s="2">
        <v>4480707</v>
      </c>
      <c r="K83" s="2">
        <v>4465754</v>
      </c>
      <c r="L83" s="2">
        <v>4454034</v>
      </c>
      <c r="M83" s="2">
        <v>4439563</v>
      </c>
      <c r="N83" s="2">
        <v>4424554</v>
      </c>
      <c r="O83" s="2">
        <v>4407890</v>
      </c>
      <c r="P83" s="2">
        <v>4389357</v>
      </c>
    </row>
    <row r="84" spans="1:16">
      <c r="A84" s="84" t="s">
        <v>241</v>
      </c>
      <c r="B84" s="85" t="s">
        <v>240</v>
      </c>
      <c r="C84" s="85" t="s">
        <v>74</v>
      </c>
      <c r="D84" s="84" t="s">
        <v>80</v>
      </c>
      <c r="E84" s="84">
        <v>2</v>
      </c>
      <c r="F84" s="2">
        <v>1246067</v>
      </c>
      <c r="G84" s="2">
        <v>1247366</v>
      </c>
      <c r="H84" s="2">
        <v>1215196</v>
      </c>
      <c r="I84" s="2">
        <v>1200638</v>
      </c>
      <c r="J84" s="2">
        <v>1188743</v>
      </c>
      <c r="K84" s="2">
        <v>1180777</v>
      </c>
      <c r="L84" s="2">
        <v>1182555</v>
      </c>
      <c r="M84" s="2">
        <v>1179054</v>
      </c>
      <c r="N84" s="2">
        <v>1182697</v>
      </c>
      <c r="O84" s="2">
        <v>1187821</v>
      </c>
      <c r="P84" s="2">
        <v>1193442</v>
      </c>
    </row>
    <row r="85" spans="1:16">
      <c r="A85" s="84" t="s">
        <v>243</v>
      </c>
      <c r="B85" s="85" t="s">
        <v>242</v>
      </c>
      <c r="C85" s="85" t="s">
        <v>74</v>
      </c>
      <c r="D85" s="84" t="s">
        <v>80</v>
      </c>
      <c r="E85" s="84">
        <v>2</v>
      </c>
      <c r="F85" s="2">
        <v>1222744</v>
      </c>
      <c r="G85" s="2">
        <v>1230744</v>
      </c>
      <c r="H85" s="2">
        <v>1245298</v>
      </c>
      <c r="I85" s="2">
        <v>1257094</v>
      </c>
      <c r="J85" s="2">
        <v>1268776</v>
      </c>
      <c r="K85" s="2">
        <v>1279991</v>
      </c>
      <c r="L85" s="2">
        <v>1290644</v>
      </c>
      <c r="M85" s="2">
        <v>1302280</v>
      </c>
      <c r="N85" s="2">
        <v>1312676</v>
      </c>
      <c r="O85" s="2">
        <v>1322422</v>
      </c>
      <c r="P85" s="2">
        <v>1331433</v>
      </c>
    </row>
    <row r="86" spans="1:16">
      <c r="A86" s="84" t="s">
        <v>245</v>
      </c>
      <c r="B86" s="85" t="s">
        <v>244</v>
      </c>
      <c r="C86" s="85" t="s">
        <v>79</v>
      </c>
      <c r="D86" s="84" t="s">
        <v>87</v>
      </c>
      <c r="E86" s="84">
        <v>1</v>
      </c>
      <c r="F86" s="2">
        <v>53627</v>
      </c>
      <c r="G86" s="2">
        <v>53437</v>
      </c>
      <c r="H86" s="2">
        <v>54106</v>
      </c>
      <c r="I86" s="2">
        <v>54655</v>
      </c>
      <c r="J86" s="2">
        <v>55286</v>
      </c>
      <c r="K86" s="2">
        <v>55918</v>
      </c>
      <c r="L86" s="2">
        <v>56871</v>
      </c>
      <c r="M86" s="2">
        <v>57227</v>
      </c>
      <c r="N86" s="2">
        <v>57840</v>
      </c>
      <c r="O86" s="2">
        <v>58405</v>
      </c>
      <c r="P86" s="2">
        <v>58913</v>
      </c>
    </row>
    <row r="87" spans="1:16">
      <c r="A87" s="84" t="s">
        <v>247</v>
      </c>
      <c r="B87" s="85" t="s">
        <v>246</v>
      </c>
      <c r="C87" s="85" t="s">
        <v>79</v>
      </c>
      <c r="D87" s="84" t="s">
        <v>87</v>
      </c>
      <c r="E87" s="84">
        <v>1</v>
      </c>
      <c r="F87" s="2">
        <v>174844</v>
      </c>
      <c r="G87" s="2">
        <v>176721</v>
      </c>
      <c r="H87" s="2">
        <v>177855</v>
      </c>
      <c r="I87" s="2">
        <v>179513</v>
      </c>
      <c r="J87" s="2">
        <v>181214</v>
      </c>
      <c r="K87" s="2">
        <v>182922</v>
      </c>
      <c r="L87" s="2">
        <v>185082</v>
      </c>
      <c r="M87" s="2">
        <v>186650</v>
      </c>
      <c r="N87" s="2">
        <v>188483</v>
      </c>
      <c r="O87" s="2">
        <v>190285</v>
      </c>
      <c r="P87" s="2">
        <v>192047</v>
      </c>
    </row>
    <row r="88" spans="1:16">
      <c r="A88" s="84" t="s">
        <v>249</v>
      </c>
      <c r="B88" s="85" t="s">
        <v>248</v>
      </c>
      <c r="C88" s="85" t="s">
        <v>79</v>
      </c>
      <c r="D88" s="84" t="s">
        <v>87</v>
      </c>
      <c r="E88" s="84">
        <v>1</v>
      </c>
      <c r="F88" s="2">
        <v>417263</v>
      </c>
      <c r="G88" s="2">
        <v>420181</v>
      </c>
      <c r="H88" s="2">
        <v>419532</v>
      </c>
      <c r="I88" s="2">
        <v>420907</v>
      </c>
      <c r="J88" s="2">
        <v>422237</v>
      </c>
      <c r="K88" s="2">
        <v>423366</v>
      </c>
      <c r="L88" s="2">
        <v>424259</v>
      </c>
      <c r="M88" s="2">
        <v>426092</v>
      </c>
      <c r="N88" s="2">
        <v>426911</v>
      </c>
      <c r="O88" s="2">
        <v>427241</v>
      </c>
      <c r="P88" s="2">
        <v>427024</v>
      </c>
    </row>
    <row r="89" spans="1:16">
      <c r="A89" s="84" t="s">
        <v>251</v>
      </c>
      <c r="B89" s="85" t="s">
        <v>250</v>
      </c>
      <c r="C89" s="85" t="s">
        <v>92</v>
      </c>
      <c r="D89" s="84" t="s">
        <v>80</v>
      </c>
      <c r="E89" s="84">
        <v>1</v>
      </c>
      <c r="F89" s="2">
        <v>40369</v>
      </c>
      <c r="G89" s="2">
        <v>39823</v>
      </c>
      <c r="H89" s="2">
        <v>39201</v>
      </c>
      <c r="I89" s="2">
        <v>38650</v>
      </c>
      <c r="J89" s="2">
        <v>38114</v>
      </c>
      <c r="K89" s="2">
        <v>37584</v>
      </c>
      <c r="L89" s="2">
        <v>37225</v>
      </c>
      <c r="M89" s="2">
        <v>36599</v>
      </c>
      <c r="N89" s="2">
        <v>36128</v>
      </c>
      <c r="O89" s="2">
        <v>35672</v>
      </c>
      <c r="P89" s="2">
        <v>35233</v>
      </c>
    </row>
    <row r="90" spans="1:16">
      <c r="A90" s="84" t="s">
        <v>253</v>
      </c>
      <c r="B90" s="85" t="s">
        <v>252</v>
      </c>
      <c r="C90" s="85" t="s">
        <v>99</v>
      </c>
      <c r="D90" s="84" t="s">
        <v>87</v>
      </c>
      <c r="E90" s="84">
        <v>4</v>
      </c>
      <c r="F90" s="2">
        <v>844830</v>
      </c>
      <c r="G90" s="2">
        <v>844457</v>
      </c>
      <c r="H90" s="2">
        <v>842129</v>
      </c>
      <c r="I90" s="2">
        <v>841839</v>
      </c>
      <c r="J90" s="2">
        <v>841408</v>
      </c>
      <c r="K90" s="2">
        <v>840309</v>
      </c>
      <c r="L90" s="2">
        <v>840386</v>
      </c>
      <c r="M90" s="2">
        <v>838942</v>
      </c>
      <c r="N90" s="2">
        <v>837395</v>
      </c>
      <c r="O90" s="2">
        <v>835347</v>
      </c>
      <c r="P90" s="2">
        <v>832811</v>
      </c>
    </row>
    <row r="91" spans="1:16">
      <c r="A91" s="84" t="s">
        <v>255</v>
      </c>
      <c r="B91" s="85" t="s">
        <v>254</v>
      </c>
      <c r="C91" s="85" t="s">
        <v>74</v>
      </c>
      <c r="D91" s="84" t="s">
        <v>80</v>
      </c>
      <c r="E91" s="84">
        <v>2</v>
      </c>
      <c r="F91" s="2">
        <v>195528</v>
      </c>
      <c r="G91" s="2">
        <v>192519</v>
      </c>
      <c r="H91" s="2">
        <v>194048</v>
      </c>
      <c r="I91" s="2">
        <v>194294</v>
      </c>
      <c r="J91" s="2">
        <v>194733</v>
      </c>
      <c r="K91" s="2">
        <v>195058</v>
      </c>
      <c r="L91" s="2">
        <v>195051</v>
      </c>
      <c r="M91" s="2">
        <v>194327</v>
      </c>
      <c r="N91" s="2">
        <v>193695</v>
      </c>
      <c r="O91" s="2">
        <v>192824</v>
      </c>
      <c r="P91" s="2">
        <v>191696</v>
      </c>
    </row>
    <row r="92" spans="1:16">
      <c r="A92" s="84" t="s">
        <v>257</v>
      </c>
      <c r="B92" s="85" t="s">
        <v>256</v>
      </c>
      <c r="C92" s="85" t="s">
        <v>79</v>
      </c>
      <c r="D92" s="84" t="s">
        <v>80</v>
      </c>
      <c r="E92" s="84">
        <v>2</v>
      </c>
      <c r="F92" s="2">
        <v>323139</v>
      </c>
      <c r="G92" s="2">
        <v>329121</v>
      </c>
      <c r="H92" s="2">
        <v>327879</v>
      </c>
      <c r="I92" s="2">
        <v>331560</v>
      </c>
      <c r="J92" s="2">
        <v>335791</v>
      </c>
      <c r="K92" s="2">
        <v>340350</v>
      </c>
      <c r="L92" s="2">
        <v>347981</v>
      </c>
      <c r="M92" s="2">
        <v>350478</v>
      </c>
      <c r="N92" s="2">
        <v>355493</v>
      </c>
      <c r="O92" s="2">
        <v>360043</v>
      </c>
      <c r="P92" s="2">
        <v>363892</v>
      </c>
    </row>
    <row r="93" spans="1:16">
      <c r="A93" s="84" t="s">
        <v>259</v>
      </c>
      <c r="B93" s="85" t="s">
        <v>258</v>
      </c>
      <c r="C93" s="85" t="s">
        <v>83</v>
      </c>
      <c r="D93" s="84" t="s">
        <v>84</v>
      </c>
      <c r="E93" s="84">
        <v>3</v>
      </c>
      <c r="F93" s="2">
        <v>1606742</v>
      </c>
      <c r="G93" s="2">
        <v>1615877</v>
      </c>
      <c r="H93" s="2">
        <v>1635692</v>
      </c>
      <c r="I93" s="2">
        <v>1649313</v>
      </c>
      <c r="J93" s="2">
        <v>1660997</v>
      </c>
      <c r="K93" s="2">
        <v>1669924</v>
      </c>
      <c r="L93" s="2">
        <v>1678486</v>
      </c>
      <c r="M93" s="2">
        <v>1680471</v>
      </c>
      <c r="N93" s="2">
        <v>1682528</v>
      </c>
      <c r="O93" s="2">
        <v>1683640</v>
      </c>
      <c r="P93" s="2">
        <v>1684568</v>
      </c>
    </row>
    <row r="94" spans="1:16">
      <c r="A94" s="84" t="s">
        <v>261</v>
      </c>
      <c r="B94" s="85" t="s">
        <v>260</v>
      </c>
      <c r="C94" s="85" t="s">
        <v>99</v>
      </c>
      <c r="D94" s="84" t="s">
        <v>84</v>
      </c>
      <c r="E94" s="84">
        <v>4</v>
      </c>
      <c r="F94" s="2">
        <v>3029</v>
      </c>
      <c r="G94" s="2">
        <v>3028</v>
      </c>
      <c r="H94" s="2">
        <v>3028</v>
      </c>
      <c r="I94" s="2">
        <v>3030</v>
      </c>
      <c r="J94" s="2">
        <v>3039</v>
      </c>
      <c r="K94" s="2">
        <v>3053</v>
      </c>
      <c r="L94" s="2">
        <v>3077</v>
      </c>
      <c r="M94" s="2">
        <v>3103</v>
      </c>
      <c r="N94" s="2">
        <v>3136</v>
      </c>
      <c r="O94" s="2">
        <v>3172</v>
      </c>
      <c r="P94" s="2">
        <v>3209</v>
      </c>
    </row>
    <row r="95" spans="1:16">
      <c r="A95" s="84" t="s">
        <v>263</v>
      </c>
      <c r="B95" s="85" t="s">
        <v>262</v>
      </c>
      <c r="C95" s="85" t="s">
        <v>99</v>
      </c>
      <c r="D95" s="84" t="s">
        <v>87</v>
      </c>
      <c r="E95" s="84">
        <v>1</v>
      </c>
      <c r="F95" s="2">
        <v>341376</v>
      </c>
      <c r="G95" s="2">
        <v>342116</v>
      </c>
      <c r="H95" s="2">
        <v>343957</v>
      </c>
      <c r="I95" s="2">
        <v>345470</v>
      </c>
      <c r="J95" s="2">
        <v>345519</v>
      </c>
      <c r="K95" s="2">
        <v>343233</v>
      </c>
      <c r="L95" s="2">
        <v>342070</v>
      </c>
      <c r="M95" s="2">
        <v>331945</v>
      </c>
      <c r="N95" s="2">
        <v>324040</v>
      </c>
      <c r="O95" s="2">
        <v>316557</v>
      </c>
      <c r="P95" s="2">
        <v>310629</v>
      </c>
    </row>
    <row r="96" spans="1:16">
      <c r="A96" s="84" t="s">
        <v>265</v>
      </c>
      <c r="B96" s="85" t="s">
        <v>264</v>
      </c>
      <c r="C96" s="85" t="s">
        <v>74</v>
      </c>
      <c r="D96" s="84" t="s">
        <v>87</v>
      </c>
      <c r="E96" s="84">
        <v>1</v>
      </c>
      <c r="F96" s="2">
        <v>52706</v>
      </c>
      <c r="G96" s="2">
        <v>55483</v>
      </c>
      <c r="H96" s="2">
        <v>54938</v>
      </c>
      <c r="I96" s="2">
        <v>55921</v>
      </c>
      <c r="J96" s="2">
        <v>56876</v>
      </c>
      <c r="K96" s="2">
        <v>57844</v>
      </c>
      <c r="L96" s="2">
        <v>58954</v>
      </c>
      <c r="M96" s="2">
        <v>59977</v>
      </c>
      <c r="N96" s="2">
        <v>60939</v>
      </c>
      <c r="O96" s="2">
        <v>61764</v>
      </c>
      <c r="P96" s="2">
        <v>62413</v>
      </c>
    </row>
    <row r="97" spans="1:16">
      <c r="A97" s="84" t="s">
        <v>267</v>
      </c>
      <c r="B97" s="85" t="s">
        <v>266</v>
      </c>
      <c r="C97" s="85" t="s">
        <v>79</v>
      </c>
      <c r="D97" s="84" t="s">
        <v>84</v>
      </c>
      <c r="E97" s="84">
        <v>1</v>
      </c>
      <c r="F97" s="2">
        <v>138265</v>
      </c>
      <c r="G97" s="2">
        <v>138984</v>
      </c>
      <c r="H97" s="2">
        <v>140025</v>
      </c>
      <c r="I97" s="2">
        <v>141600</v>
      </c>
      <c r="J97" s="2">
        <v>143362</v>
      </c>
      <c r="K97" s="2">
        <v>145125</v>
      </c>
      <c r="L97" s="2">
        <v>148086</v>
      </c>
      <c r="M97" s="2">
        <v>148642</v>
      </c>
      <c r="N97" s="2">
        <v>150285</v>
      </c>
      <c r="O97" s="2">
        <v>151738</v>
      </c>
      <c r="P97" s="2">
        <v>152943</v>
      </c>
    </row>
    <row r="98" spans="1:16">
      <c r="A98" s="84" t="s">
        <v>269</v>
      </c>
      <c r="B98" s="85" t="s">
        <v>268</v>
      </c>
      <c r="C98" s="85" t="s">
        <v>99</v>
      </c>
      <c r="D98" s="84" t="s">
        <v>84</v>
      </c>
      <c r="E98" s="84">
        <v>4</v>
      </c>
      <c r="F98" s="2">
        <v>148833</v>
      </c>
      <c r="G98" s="2">
        <v>148290</v>
      </c>
      <c r="H98" s="2">
        <v>146579</v>
      </c>
      <c r="I98" s="2">
        <v>145385</v>
      </c>
      <c r="J98" s="2">
        <v>144219</v>
      </c>
      <c r="K98" s="2">
        <v>143120</v>
      </c>
      <c r="L98" s="2">
        <v>142388</v>
      </c>
      <c r="M98" s="2">
        <v>141296</v>
      </c>
      <c r="N98" s="2">
        <v>140441</v>
      </c>
      <c r="O98" s="2">
        <v>139562</v>
      </c>
      <c r="P98" s="2">
        <v>138619</v>
      </c>
    </row>
    <row r="99" spans="1:16">
      <c r="A99" s="84" t="s">
        <v>271</v>
      </c>
      <c r="B99" s="85" t="s">
        <v>270</v>
      </c>
      <c r="C99" s="85" t="s">
        <v>79</v>
      </c>
      <c r="D99" s="84" t="s">
        <v>87</v>
      </c>
      <c r="E99" s="84">
        <v>1</v>
      </c>
      <c r="F99" s="2">
        <v>15366</v>
      </c>
      <c r="G99" s="2">
        <v>16426</v>
      </c>
      <c r="H99" s="2">
        <v>14750</v>
      </c>
      <c r="I99" s="2">
        <v>14246</v>
      </c>
      <c r="J99" s="2">
        <v>13805</v>
      </c>
      <c r="K99" s="2">
        <v>13546</v>
      </c>
      <c r="L99" s="2">
        <v>13320</v>
      </c>
      <c r="M99" s="2">
        <v>13613</v>
      </c>
      <c r="N99" s="2">
        <v>13836</v>
      </c>
      <c r="O99" s="2">
        <v>14102</v>
      </c>
      <c r="P99" s="2">
        <v>14356</v>
      </c>
    </row>
    <row r="100" spans="1:16">
      <c r="A100" s="84" t="s">
        <v>273</v>
      </c>
      <c r="B100" s="85" t="s">
        <v>272</v>
      </c>
      <c r="C100" s="85" t="s">
        <v>74</v>
      </c>
      <c r="D100" s="84" t="s">
        <v>80</v>
      </c>
      <c r="E100" s="84">
        <v>2</v>
      </c>
      <c r="F100" s="2">
        <v>85568</v>
      </c>
      <c r="G100" s="2">
        <v>82092</v>
      </c>
      <c r="H100" s="2">
        <v>80798</v>
      </c>
      <c r="I100" s="2">
        <v>79102</v>
      </c>
      <c r="J100" s="2">
        <v>77697</v>
      </c>
      <c r="K100" s="2">
        <v>76473</v>
      </c>
      <c r="L100" s="2">
        <v>74902</v>
      </c>
      <c r="M100" s="2">
        <v>73947</v>
      </c>
      <c r="N100" s="2">
        <v>72929</v>
      </c>
      <c r="O100" s="2">
        <v>72046</v>
      </c>
      <c r="P100" s="2">
        <v>71285</v>
      </c>
    </row>
    <row r="101" spans="1:16">
      <c r="A101" s="84" t="s">
        <v>275</v>
      </c>
      <c r="B101" s="85" t="s">
        <v>274</v>
      </c>
      <c r="C101" s="85" t="s">
        <v>83</v>
      </c>
      <c r="D101" s="84" t="s">
        <v>84</v>
      </c>
      <c r="E101" s="84">
        <v>3</v>
      </c>
      <c r="F101" s="2">
        <v>49079</v>
      </c>
      <c r="G101" s="2">
        <v>49350</v>
      </c>
      <c r="H101" s="2">
        <v>48692</v>
      </c>
      <c r="I101" s="2">
        <v>48446</v>
      </c>
      <c r="J101" s="2">
        <v>48228</v>
      </c>
      <c r="K101" s="2">
        <v>48077</v>
      </c>
      <c r="L101" s="2">
        <v>48065</v>
      </c>
      <c r="M101" s="2">
        <v>47915</v>
      </c>
      <c r="N101" s="2">
        <v>47903</v>
      </c>
      <c r="O101" s="2">
        <v>47902</v>
      </c>
      <c r="P101" s="2">
        <v>47885</v>
      </c>
    </row>
    <row r="102" spans="1:16">
      <c r="A102" s="84" t="s">
        <v>277</v>
      </c>
      <c r="B102" s="85" t="s">
        <v>276</v>
      </c>
      <c r="C102" s="85" t="s">
        <v>83</v>
      </c>
      <c r="D102" s="84" t="s">
        <v>75</v>
      </c>
      <c r="E102" s="84">
        <v>3</v>
      </c>
      <c r="F102" s="2">
        <v>175146</v>
      </c>
      <c r="G102" s="2">
        <v>177342</v>
      </c>
      <c r="H102" s="2">
        <v>179404</v>
      </c>
      <c r="I102" s="2">
        <v>181468</v>
      </c>
      <c r="J102" s="2">
        <v>183479</v>
      </c>
      <c r="K102" s="2">
        <v>185425</v>
      </c>
      <c r="L102" s="2">
        <v>187443</v>
      </c>
      <c r="M102" s="2">
        <v>189184</v>
      </c>
      <c r="N102" s="2">
        <v>190974</v>
      </c>
      <c r="O102" s="2">
        <v>192711</v>
      </c>
      <c r="P102" s="2">
        <v>194399</v>
      </c>
    </row>
    <row r="103" spans="1:16">
      <c r="A103" s="84" t="s">
        <v>279</v>
      </c>
      <c r="B103" s="85" t="s">
        <v>278</v>
      </c>
      <c r="C103" s="85" t="s">
        <v>74</v>
      </c>
      <c r="D103" s="84" t="s">
        <v>80</v>
      </c>
      <c r="E103" s="84">
        <v>2</v>
      </c>
      <c r="F103" s="2">
        <v>108770</v>
      </c>
      <c r="G103" s="2">
        <v>107730</v>
      </c>
      <c r="H103" s="2">
        <v>107068</v>
      </c>
      <c r="I103" s="2">
        <v>106519</v>
      </c>
      <c r="J103" s="2">
        <v>106155</v>
      </c>
      <c r="K103" s="2">
        <v>105953</v>
      </c>
      <c r="L103" s="2">
        <v>106052</v>
      </c>
      <c r="M103" s="2">
        <v>106211</v>
      </c>
      <c r="N103" s="2">
        <v>106506</v>
      </c>
      <c r="O103" s="2">
        <v>106819</v>
      </c>
      <c r="P103" s="2">
        <v>107093</v>
      </c>
    </row>
    <row r="104" spans="1:16">
      <c r="A104" s="84" t="s">
        <v>281</v>
      </c>
      <c r="B104" s="85" t="s">
        <v>280</v>
      </c>
      <c r="C104" s="85" t="s">
        <v>79</v>
      </c>
      <c r="D104" s="84" t="s">
        <v>87</v>
      </c>
      <c r="E104" s="84">
        <v>1</v>
      </c>
      <c r="F104" s="2">
        <v>21881</v>
      </c>
      <c r="G104" s="2">
        <v>21651</v>
      </c>
      <c r="H104" s="2">
        <v>20536</v>
      </c>
      <c r="I104" s="2">
        <v>19893</v>
      </c>
      <c r="J104" s="2">
        <v>19351</v>
      </c>
      <c r="K104" s="2">
        <v>18959</v>
      </c>
      <c r="L104" s="2">
        <v>18464</v>
      </c>
      <c r="M104" s="2">
        <v>18674</v>
      </c>
      <c r="N104" s="2">
        <v>18742</v>
      </c>
      <c r="O104" s="2">
        <v>18916</v>
      </c>
      <c r="P104" s="2">
        <v>19171</v>
      </c>
    </row>
    <row r="105" spans="1:16">
      <c r="A105" s="84" t="s">
        <v>283</v>
      </c>
      <c r="B105" s="85" t="s">
        <v>282</v>
      </c>
      <c r="C105" s="85" t="s">
        <v>79</v>
      </c>
      <c r="D105" s="84" t="s">
        <v>87</v>
      </c>
      <c r="E105" s="84">
        <v>1</v>
      </c>
      <c r="F105" s="2">
        <v>6842</v>
      </c>
      <c r="G105" s="2">
        <v>6826</v>
      </c>
      <c r="H105" s="2">
        <v>6894</v>
      </c>
      <c r="I105" s="2">
        <v>6931</v>
      </c>
      <c r="J105" s="2">
        <v>6967</v>
      </c>
      <c r="K105" s="2">
        <v>6995</v>
      </c>
      <c r="L105" s="2">
        <v>7050</v>
      </c>
      <c r="M105" s="2">
        <v>7049</v>
      </c>
      <c r="N105" s="2">
        <v>7072</v>
      </c>
      <c r="O105" s="2">
        <v>7096</v>
      </c>
      <c r="P105" s="2">
        <v>7125</v>
      </c>
    </row>
    <row r="106" spans="1:16">
      <c r="A106" s="84" t="s">
        <v>285</v>
      </c>
      <c r="B106" s="85" t="s">
        <v>284</v>
      </c>
      <c r="C106" s="85" t="s">
        <v>79</v>
      </c>
      <c r="D106" s="84" t="s">
        <v>80</v>
      </c>
      <c r="E106" s="84">
        <v>1</v>
      </c>
      <c r="F106" s="2">
        <v>18792</v>
      </c>
      <c r="G106" s="2">
        <v>18615</v>
      </c>
      <c r="H106" s="2">
        <v>18224</v>
      </c>
      <c r="I106" s="2">
        <v>17944</v>
      </c>
      <c r="J106" s="2">
        <v>17679</v>
      </c>
      <c r="K106" s="2">
        <v>17435</v>
      </c>
      <c r="L106" s="2">
        <v>17222</v>
      </c>
      <c r="M106" s="2">
        <v>17037</v>
      </c>
      <c r="N106" s="2">
        <v>16871</v>
      </c>
      <c r="O106" s="2">
        <v>16728</v>
      </c>
      <c r="P106" s="2">
        <v>16605</v>
      </c>
    </row>
    <row r="107" spans="1:16">
      <c r="A107" s="84" t="s">
        <v>287</v>
      </c>
      <c r="B107" s="85" t="s">
        <v>286</v>
      </c>
      <c r="C107" s="85" t="s">
        <v>83</v>
      </c>
      <c r="D107" s="84" t="s">
        <v>75</v>
      </c>
      <c r="E107" s="84">
        <v>3</v>
      </c>
      <c r="F107" s="2">
        <v>990891</v>
      </c>
      <c r="G107" s="2">
        <v>1003177</v>
      </c>
      <c r="H107" s="2">
        <v>1014554</v>
      </c>
      <c r="I107" s="2">
        <v>1025661</v>
      </c>
      <c r="J107" s="2">
        <v>1036733.9999999999</v>
      </c>
      <c r="K107" s="2">
        <v>1048034.0000000001</v>
      </c>
      <c r="L107" s="2">
        <v>1058841</v>
      </c>
      <c r="M107" s="2">
        <v>1072517</v>
      </c>
      <c r="N107" s="2">
        <v>1084972</v>
      </c>
      <c r="O107" s="2">
        <v>1097333</v>
      </c>
      <c r="P107" s="2">
        <v>1109436</v>
      </c>
    </row>
    <row r="108" spans="1:16">
      <c r="A108" s="84" t="s">
        <v>289</v>
      </c>
      <c r="B108" s="85" t="s">
        <v>288</v>
      </c>
      <c r="C108" s="85" t="s">
        <v>83</v>
      </c>
      <c r="D108" s="84" t="s">
        <v>75</v>
      </c>
      <c r="E108" s="84">
        <v>3</v>
      </c>
      <c r="F108" s="2">
        <v>719261</v>
      </c>
      <c r="G108" s="2">
        <v>727194</v>
      </c>
      <c r="H108" s="2">
        <v>737389</v>
      </c>
      <c r="I108" s="2">
        <v>745838</v>
      </c>
      <c r="J108" s="2">
        <v>753922</v>
      </c>
      <c r="K108" s="2">
        <v>761650</v>
      </c>
      <c r="L108" s="2">
        <v>768179</v>
      </c>
      <c r="M108" s="2">
        <v>776524</v>
      </c>
      <c r="N108" s="2">
        <v>783523</v>
      </c>
      <c r="O108" s="2">
        <v>790373</v>
      </c>
      <c r="P108" s="2">
        <v>797140</v>
      </c>
    </row>
    <row r="109" spans="1:16">
      <c r="A109" s="84" t="s">
        <v>291</v>
      </c>
      <c r="B109" s="85" t="s">
        <v>290</v>
      </c>
      <c r="C109" s="85" t="s">
        <v>99</v>
      </c>
      <c r="D109" s="84" t="s">
        <v>80</v>
      </c>
      <c r="E109" s="84">
        <v>2</v>
      </c>
      <c r="F109" s="2">
        <v>506175</v>
      </c>
      <c r="G109" s="2">
        <v>499824</v>
      </c>
      <c r="H109" s="2">
        <v>495568</v>
      </c>
      <c r="I109" s="2">
        <v>489836</v>
      </c>
      <c r="J109" s="2">
        <v>483966</v>
      </c>
      <c r="K109" s="2">
        <v>478061</v>
      </c>
      <c r="L109" s="2">
        <v>472310</v>
      </c>
      <c r="M109" s="2">
        <v>467246</v>
      </c>
      <c r="N109" s="2">
        <v>462138</v>
      </c>
      <c r="O109" s="2">
        <v>457516</v>
      </c>
      <c r="P109" s="2">
        <v>453540</v>
      </c>
    </row>
    <row r="110" spans="1:16">
      <c r="A110" s="84" t="s">
        <v>293</v>
      </c>
      <c r="B110" s="85" t="s">
        <v>292</v>
      </c>
      <c r="C110" s="85" t="s">
        <v>110</v>
      </c>
      <c r="D110" s="84" t="s">
        <v>80</v>
      </c>
      <c r="E110" s="84">
        <v>2</v>
      </c>
      <c r="F110" s="2">
        <v>5369</v>
      </c>
      <c r="G110" s="2">
        <v>5204</v>
      </c>
      <c r="H110" s="2">
        <v>5216</v>
      </c>
      <c r="I110" s="2">
        <v>5202</v>
      </c>
      <c r="J110" s="2">
        <v>5214</v>
      </c>
      <c r="K110" s="2">
        <v>5241</v>
      </c>
      <c r="L110" s="2">
        <v>5314</v>
      </c>
      <c r="M110" s="2">
        <v>5337</v>
      </c>
      <c r="N110" s="2">
        <v>5397</v>
      </c>
      <c r="O110" s="2">
        <v>5459</v>
      </c>
      <c r="P110" s="2">
        <v>5518</v>
      </c>
    </row>
    <row r="111" spans="1:16">
      <c r="A111" s="84" t="s">
        <v>295</v>
      </c>
      <c r="B111" s="85" t="s">
        <v>294</v>
      </c>
      <c r="C111" s="85" t="s">
        <v>83</v>
      </c>
      <c r="D111" s="84" t="s">
        <v>75</v>
      </c>
      <c r="E111" s="84">
        <v>3</v>
      </c>
      <c r="F111" s="2">
        <v>905772</v>
      </c>
      <c r="G111" s="2">
        <v>924763</v>
      </c>
      <c r="H111" s="2">
        <v>935944</v>
      </c>
      <c r="I111" s="2">
        <v>950467</v>
      </c>
      <c r="J111" s="2">
        <v>964784</v>
      </c>
      <c r="K111" s="2">
        <v>978999</v>
      </c>
      <c r="L111" s="2">
        <v>993628</v>
      </c>
      <c r="M111" s="2">
        <v>1006773</v>
      </c>
      <c r="N111" s="2">
        <v>1020265</v>
      </c>
      <c r="O111" s="2">
        <v>1033067</v>
      </c>
      <c r="P111" s="2">
        <v>1044931</v>
      </c>
    </row>
    <row r="112" spans="1:16">
      <c r="A112" s="84" t="s">
        <v>297</v>
      </c>
      <c r="B112" s="85" t="s">
        <v>296</v>
      </c>
      <c r="C112" s="85" t="s">
        <v>79</v>
      </c>
      <c r="D112" s="84" t="s">
        <v>87</v>
      </c>
      <c r="E112" s="84">
        <v>1</v>
      </c>
      <c r="F112" s="2">
        <v>4067</v>
      </c>
      <c r="G112" s="2">
        <v>3979</v>
      </c>
      <c r="H112" s="2">
        <v>3942</v>
      </c>
      <c r="I112" s="2">
        <v>3880</v>
      </c>
      <c r="J112" s="2">
        <v>3820</v>
      </c>
      <c r="K112" s="2">
        <v>3765</v>
      </c>
      <c r="L112" s="2">
        <v>3705</v>
      </c>
      <c r="M112" s="2">
        <v>3678</v>
      </c>
      <c r="N112" s="2">
        <v>3644</v>
      </c>
      <c r="O112" s="2">
        <v>3616</v>
      </c>
      <c r="P112" s="2">
        <v>3594</v>
      </c>
    </row>
    <row r="113" spans="1:16">
      <c r="A113" s="84" t="s">
        <v>299</v>
      </c>
      <c r="B113" s="85" t="s">
        <v>298</v>
      </c>
      <c r="C113" s="85" t="s">
        <v>99</v>
      </c>
      <c r="D113" s="84" t="s">
        <v>80</v>
      </c>
      <c r="E113" s="84">
        <v>1</v>
      </c>
      <c r="F113" s="2">
        <v>0</v>
      </c>
      <c r="G113" s="2">
        <v>0</v>
      </c>
      <c r="H113" s="2">
        <v>0</v>
      </c>
      <c r="I113" s="2">
        <v>0</v>
      </c>
      <c r="J113" s="2">
        <v>0</v>
      </c>
      <c r="K113" s="2">
        <v>0</v>
      </c>
      <c r="L113" s="2">
        <v>0</v>
      </c>
      <c r="M113" s="2">
        <v>0</v>
      </c>
      <c r="N113" s="2">
        <v>0</v>
      </c>
      <c r="O113" s="2">
        <v>0</v>
      </c>
      <c r="P113" s="2">
        <v>0</v>
      </c>
    </row>
    <row r="114" spans="1:16">
      <c r="A114" s="84" t="s">
        <v>301</v>
      </c>
      <c r="B114" s="85" t="s">
        <v>300</v>
      </c>
      <c r="C114" s="85" t="s">
        <v>83</v>
      </c>
      <c r="D114" s="84" t="s">
        <v>84</v>
      </c>
      <c r="E114" s="84">
        <v>3</v>
      </c>
      <c r="F114" s="2">
        <v>163503</v>
      </c>
      <c r="G114" s="2">
        <v>166132</v>
      </c>
      <c r="H114" s="2">
        <v>168074</v>
      </c>
      <c r="I114" s="2">
        <v>170385</v>
      </c>
      <c r="J114" s="2">
        <v>172732</v>
      </c>
      <c r="K114" s="2">
        <v>175121</v>
      </c>
      <c r="L114" s="2">
        <v>177777</v>
      </c>
      <c r="M114" s="2">
        <v>180159</v>
      </c>
      <c r="N114" s="2">
        <v>182716</v>
      </c>
      <c r="O114" s="2">
        <v>185246</v>
      </c>
      <c r="P114" s="2">
        <v>187716</v>
      </c>
    </row>
    <row r="115" spans="1:16">
      <c r="A115" s="84" t="s">
        <v>303</v>
      </c>
      <c r="B115" s="85" t="s">
        <v>302</v>
      </c>
      <c r="C115" s="85" t="s">
        <v>83</v>
      </c>
      <c r="D115" s="84" t="s">
        <v>87</v>
      </c>
      <c r="E115" s="84">
        <v>1</v>
      </c>
      <c r="F115" s="2">
        <v>12055</v>
      </c>
      <c r="G115" s="2">
        <v>11943</v>
      </c>
      <c r="H115" s="2">
        <v>11946</v>
      </c>
      <c r="I115" s="2">
        <v>11885</v>
      </c>
      <c r="J115" s="2">
        <v>11804</v>
      </c>
      <c r="K115" s="2">
        <v>11697</v>
      </c>
      <c r="L115" s="2">
        <v>11607</v>
      </c>
      <c r="M115" s="2">
        <v>11423</v>
      </c>
      <c r="N115" s="2">
        <v>11254</v>
      </c>
      <c r="O115" s="2">
        <v>11077</v>
      </c>
      <c r="P115" s="2">
        <v>10897</v>
      </c>
    </row>
    <row r="116" spans="1:16">
      <c r="A116" s="84" t="s">
        <v>305</v>
      </c>
      <c r="B116" s="85" t="s">
        <v>304</v>
      </c>
      <c r="C116" s="85" t="s">
        <v>92</v>
      </c>
      <c r="D116" s="84" t="s">
        <v>80</v>
      </c>
      <c r="E116" s="84">
        <v>2</v>
      </c>
      <c r="F116" s="2">
        <v>2033272</v>
      </c>
      <c r="G116" s="2">
        <v>2017353</v>
      </c>
      <c r="H116" s="2">
        <v>2002896</v>
      </c>
      <c r="I116" s="2">
        <v>1988095</v>
      </c>
      <c r="J116" s="2">
        <v>1973216</v>
      </c>
      <c r="K116" s="2">
        <v>1958044</v>
      </c>
      <c r="L116" s="2">
        <v>1945310</v>
      </c>
      <c r="M116" s="2">
        <v>1930067</v>
      </c>
      <c r="N116" s="2">
        <v>1915861</v>
      </c>
      <c r="O116" s="2">
        <v>1901575</v>
      </c>
      <c r="P116" s="2">
        <v>1887234</v>
      </c>
    </row>
    <row r="117" spans="1:16">
      <c r="A117" s="84" t="s">
        <v>307</v>
      </c>
      <c r="B117" s="85" t="s">
        <v>306</v>
      </c>
      <c r="C117" s="85" t="s">
        <v>99</v>
      </c>
      <c r="D117" s="84" t="s">
        <v>84</v>
      </c>
      <c r="E117" s="84">
        <v>1</v>
      </c>
      <c r="F117" s="2">
        <v>2541</v>
      </c>
      <c r="G117" s="2">
        <v>2525</v>
      </c>
      <c r="H117" s="2">
        <v>2499</v>
      </c>
      <c r="I117" s="2">
        <v>2472</v>
      </c>
      <c r="J117" s="2">
        <v>2441</v>
      </c>
      <c r="K117" s="2">
        <v>2410</v>
      </c>
      <c r="L117" s="2">
        <v>2376</v>
      </c>
      <c r="M117" s="2">
        <v>2346</v>
      </c>
      <c r="N117" s="2">
        <v>2313</v>
      </c>
      <c r="O117" s="2">
        <v>2283</v>
      </c>
      <c r="P117" s="2">
        <v>2256</v>
      </c>
    </row>
    <row r="118" spans="1:16">
      <c r="A118" s="84" t="s">
        <v>309</v>
      </c>
      <c r="B118" s="85" t="s">
        <v>308</v>
      </c>
      <c r="C118" s="85" t="s">
        <v>79</v>
      </c>
      <c r="D118" s="84" t="s">
        <v>84</v>
      </c>
      <c r="E118" s="84">
        <v>1</v>
      </c>
      <c r="F118" s="2">
        <v>32159</v>
      </c>
      <c r="G118" s="2">
        <v>31298</v>
      </c>
      <c r="H118" s="2">
        <v>31013</v>
      </c>
      <c r="I118" s="2">
        <v>30597</v>
      </c>
      <c r="J118" s="2">
        <v>30256</v>
      </c>
      <c r="K118" s="2">
        <v>29962</v>
      </c>
      <c r="L118" s="2">
        <v>29825</v>
      </c>
      <c r="M118" s="2">
        <v>29547</v>
      </c>
      <c r="N118" s="2">
        <v>29405</v>
      </c>
      <c r="O118" s="2">
        <v>29290</v>
      </c>
      <c r="P118" s="2">
        <v>29192</v>
      </c>
    </row>
    <row r="119" spans="1:16">
      <c r="A119" s="84" t="s">
        <v>311</v>
      </c>
      <c r="B119" s="85" t="s">
        <v>310</v>
      </c>
      <c r="C119" s="85" t="s">
        <v>79</v>
      </c>
      <c r="D119" s="84" t="s">
        <v>87</v>
      </c>
      <c r="E119" s="84">
        <v>1</v>
      </c>
      <c r="F119" s="2">
        <v>0</v>
      </c>
      <c r="G119" s="2">
        <v>0</v>
      </c>
      <c r="H119" s="2">
        <v>0</v>
      </c>
      <c r="I119" s="2">
        <v>0</v>
      </c>
      <c r="J119" s="2">
        <v>0</v>
      </c>
      <c r="K119" s="2">
        <v>0</v>
      </c>
      <c r="L119" s="2">
        <v>0</v>
      </c>
      <c r="M119" s="2">
        <v>0</v>
      </c>
      <c r="N119" s="2">
        <v>0</v>
      </c>
      <c r="O119" s="2">
        <v>0</v>
      </c>
      <c r="P119" s="2">
        <v>0</v>
      </c>
    </row>
    <row r="120" spans="1:16">
      <c r="A120" s="84" t="s">
        <v>313</v>
      </c>
      <c r="B120" s="85" t="s">
        <v>312</v>
      </c>
      <c r="C120" s="85" t="s">
        <v>99</v>
      </c>
      <c r="D120" s="84" t="s">
        <v>84</v>
      </c>
      <c r="E120" s="84">
        <v>2</v>
      </c>
      <c r="F120" s="2">
        <v>64349.000000000007</v>
      </c>
      <c r="G120" s="2">
        <v>65075.999999999993</v>
      </c>
      <c r="H120" s="2">
        <v>64316.999999999993</v>
      </c>
      <c r="I120" s="2">
        <v>64471.999999999993</v>
      </c>
      <c r="J120" s="2">
        <v>64733.999999999993</v>
      </c>
      <c r="K120" s="2">
        <v>65096</v>
      </c>
      <c r="L120" s="2">
        <v>65947</v>
      </c>
      <c r="M120" s="2">
        <v>66185</v>
      </c>
      <c r="N120" s="2">
        <v>66825</v>
      </c>
      <c r="O120" s="2">
        <v>67479</v>
      </c>
      <c r="P120" s="2">
        <v>68117</v>
      </c>
    </row>
    <row r="121" spans="1:16">
      <c r="A121" s="84" t="s">
        <v>315</v>
      </c>
      <c r="B121" s="85" t="s">
        <v>314</v>
      </c>
      <c r="C121" s="85" t="s">
        <v>79</v>
      </c>
      <c r="D121" s="84" t="s">
        <v>80</v>
      </c>
      <c r="E121" s="84">
        <v>1</v>
      </c>
      <c r="F121" s="2">
        <v>6686</v>
      </c>
      <c r="G121" s="2">
        <v>6649</v>
      </c>
      <c r="H121" s="2">
        <v>6570</v>
      </c>
      <c r="I121" s="2">
        <v>6508</v>
      </c>
      <c r="J121" s="2">
        <v>6446</v>
      </c>
      <c r="K121" s="2">
        <v>6388</v>
      </c>
      <c r="L121" s="2">
        <v>6343</v>
      </c>
      <c r="M121" s="2">
        <v>6289</v>
      </c>
      <c r="N121" s="2">
        <v>6244</v>
      </c>
      <c r="O121" s="2">
        <v>6200</v>
      </c>
      <c r="P121" s="2">
        <v>6156</v>
      </c>
    </row>
    <row r="122" spans="1:16">
      <c r="A122" s="84" t="s">
        <v>317</v>
      </c>
      <c r="B122" s="85" t="s">
        <v>316</v>
      </c>
      <c r="C122" s="85" t="s">
        <v>74</v>
      </c>
      <c r="D122" s="84" t="s">
        <v>84</v>
      </c>
      <c r="E122" s="84">
        <v>3</v>
      </c>
      <c r="F122" s="2">
        <v>614725</v>
      </c>
      <c r="G122" s="2">
        <v>610730</v>
      </c>
      <c r="H122" s="2">
        <v>607674</v>
      </c>
      <c r="I122" s="2">
        <v>605064</v>
      </c>
      <c r="J122" s="2">
        <v>602808</v>
      </c>
      <c r="K122" s="2">
        <v>600722</v>
      </c>
      <c r="L122" s="2">
        <v>599824</v>
      </c>
      <c r="M122" s="2">
        <v>597886</v>
      </c>
      <c r="N122" s="2">
        <v>596646</v>
      </c>
      <c r="O122" s="2">
        <v>595400</v>
      </c>
      <c r="P122" s="2">
        <v>594061</v>
      </c>
    </row>
    <row r="123" spans="1:16">
      <c r="A123" s="84" t="s">
        <v>319</v>
      </c>
      <c r="B123" s="85" t="s">
        <v>318</v>
      </c>
      <c r="C123" s="85" t="s">
        <v>83</v>
      </c>
      <c r="D123" s="84" t="s">
        <v>75</v>
      </c>
      <c r="E123" s="84" t="s">
        <v>76</v>
      </c>
      <c r="F123" s="2">
        <v>1273927</v>
      </c>
      <c r="G123" s="2">
        <v>1293664</v>
      </c>
      <c r="H123" s="2">
        <v>1311956</v>
      </c>
      <c r="I123" s="2">
        <v>1330422</v>
      </c>
      <c r="J123" s="2">
        <v>1348635</v>
      </c>
      <c r="K123" s="2">
        <v>1366640</v>
      </c>
      <c r="L123" s="2">
        <v>1384906</v>
      </c>
      <c r="M123" s="2">
        <v>1402502</v>
      </c>
      <c r="N123" s="2">
        <v>1419965</v>
      </c>
      <c r="O123" s="2">
        <v>1436854</v>
      </c>
      <c r="P123" s="2">
        <v>1453012</v>
      </c>
    </row>
    <row r="124" spans="1:16">
      <c r="A124" s="84" t="s">
        <v>321</v>
      </c>
      <c r="B124" s="85" t="s">
        <v>320</v>
      </c>
      <c r="C124" s="85" t="s">
        <v>110</v>
      </c>
      <c r="D124" s="84" t="s">
        <v>84</v>
      </c>
      <c r="E124" s="84">
        <v>4</v>
      </c>
      <c r="F124" s="2">
        <v>888918</v>
      </c>
      <c r="G124" s="2">
        <v>887105</v>
      </c>
      <c r="H124" s="2">
        <v>882347</v>
      </c>
      <c r="I124" s="2">
        <v>877522</v>
      </c>
      <c r="J124" s="2">
        <v>871724</v>
      </c>
      <c r="K124" s="2">
        <v>865039</v>
      </c>
      <c r="L124" s="2">
        <v>858643</v>
      </c>
      <c r="M124" s="2">
        <v>850394</v>
      </c>
      <c r="N124" s="2">
        <v>842112</v>
      </c>
      <c r="O124" s="2">
        <v>833700</v>
      </c>
      <c r="P124" s="2">
        <v>825466</v>
      </c>
    </row>
    <row r="125" spans="1:16">
      <c r="A125" s="84" t="s">
        <v>323</v>
      </c>
      <c r="B125" s="85" t="s">
        <v>322</v>
      </c>
      <c r="C125" s="85" t="s">
        <v>83</v>
      </c>
      <c r="D125" s="84" t="s">
        <v>80</v>
      </c>
      <c r="E125" s="84">
        <v>3</v>
      </c>
      <c r="F125" s="2">
        <v>68929</v>
      </c>
      <c r="G125" s="2">
        <v>69329</v>
      </c>
      <c r="H125" s="2">
        <v>69590</v>
      </c>
      <c r="I125" s="2">
        <v>69991</v>
      </c>
      <c r="J125" s="2">
        <v>70407</v>
      </c>
      <c r="K125" s="2">
        <v>70821</v>
      </c>
      <c r="L125" s="2">
        <v>71439</v>
      </c>
      <c r="M125" s="2">
        <v>71633</v>
      </c>
      <c r="N125" s="2">
        <v>72029</v>
      </c>
      <c r="O125" s="2">
        <v>72418</v>
      </c>
      <c r="P125" s="2">
        <v>72801</v>
      </c>
    </row>
    <row r="126" spans="1:16">
      <c r="A126" s="84" t="s">
        <v>325</v>
      </c>
      <c r="B126" s="85" t="s">
        <v>324</v>
      </c>
      <c r="C126" s="85" t="s">
        <v>99</v>
      </c>
      <c r="D126" s="84" t="s">
        <v>87</v>
      </c>
      <c r="E126" s="84">
        <v>1</v>
      </c>
      <c r="F126" s="2">
        <v>0</v>
      </c>
      <c r="G126" s="2">
        <v>0</v>
      </c>
      <c r="H126" s="2">
        <v>0</v>
      </c>
      <c r="I126" s="2">
        <v>0</v>
      </c>
      <c r="J126" s="2">
        <v>0</v>
      </c>
      <c r="K126" s="2">
        <v>0</v>
      </c>
      <c r="L126" s="2">
        <v>0</v>
      </c>
      <c r="M126" s="2">
        <v>0</v>
      </c>
      <c r="N126" s="2">
        <v>0</v>
      </c>
      <c r="O126" s="2">
        <v>0</v>
      </c>
      <c r="P126" s="2">
        <v>0</v>
      </c>
    </row>
    <row r="127" spans="1:16">
      <c r="A127" s="84" t="s">
        <v>327</v>
      </c>
      <c r="B127" s="85" t="s">
        <v>326</v>
      </c>
      <c r="C127" s="85" t="s">
        <v>110</v>
      </c>
      <c r="D127" s="84" t="s">
        <v>84</v>
      </c>
      <c r="E127" s="84">
        <v>4</v>
      </c>
      <c r="F127" s="2">
        <v>489099</v>
      </c>
      <c r="G127" s="2">
        <v>470472</v>
      </c>
      <c r="H127" s="2">
        <v>469967</v>
      </c>
      <c r="I127" s="2">
        <v>461422</v>
      </c>
      <c r="J127" s="2">
        <v>452895</v>
      </c>
      <c r="K127" s="2">
        <v>443936</v>
      </c>
      <c r="L127" s="2">
        <v>436870</v>
      </c>
      <c r="M127" s="2">
        <v>424880</v>
      </c>
      <c r="N127" s="2">
        <v>415425</v>
      </c>
      <c r="O127" s="2">
        <v>406599</v>
      </c>
      <c r="P127" s="2">
        <v>398738</v>
      </c>
    </row>
    <row r="128" spans="1:16">
      <c r="A128" s="84" t="s">
        <v>329</v>
      </c>
      <c r="B128" s="85" t="s">
        <v>328</v>
      </c>
      <c r="C128" s="85" t="s">
        <v>79</v>
      </c>
      <c r="D128" s="84" t="s">
        <v>87</v>
      </c>
      <c r="E128" s="84">
        <v>1</v>
      </c>
      <c r="F128" s="2">
        <v>175128</v>
      </c>
      <c r="G128" s="2">
        <v>173421</v>
      </c>
      <c r="H128" s="2">
        <v>174355</v>
      </c>
      <c r="I128" s="2">
        <v>173941</v>
      </c>
      <c r="J128" s="2">
        <v>173381</v>
      </c>
      <c r="K128" s="2">
        <v>172597</v>
      </c>
      <c r="L128" s="2">
        <v>171638</v>
      </c>
      <c r="M128" s="2">
        <v>170876</v>
      </c>
      <c r="N128" s="2">
        <v>169778</v>
      </c>
      <c r="O128" s="2">
        <v>168576</v>
      </c>
      <c r="P128" s="2">
        <v>167307</v>
      </c>
    </row>
    <row r="129" spans="1:16">
      <c r="A129" s="84" t="s">
        <v>331</v>
      </c>
      <c r="B129" s="85" t="s">
        <v>330</v>
      </c>
      <c r="C129" s="85" t="s">
        <v>99</v>
      </c>
      <c r="D129" s="84" t="s">
        <v>87</v>
      </c>
      <c r="E129" s="84">
        <v>1</v>
      </c>
      <c r="F129" s="2">
        <v>59877</v>
      </c>
      <c r="G129" s="2">
        <v>59580</v>
      </c>
      <c r="H129" s="2">
        <v>59632</v>
      </c>
      <c r="I129" s="2">
        <v>59514</v>
      </c>
      <c r="J129" s="2">
        <v>59397</v>
      </c>
      <c r="K129" s="2">
        <v>59275</v>
      </c>
      <c r="L129" s="2">
        <v>59173</v>
      </c>
      <c r="M129" s="2">
        <v>59197</v>
      </c>
      <c r="N129" s="2">
        <v>59158</v>
      </c>
      <c r="O129" s="2">
        <v>59115</v>
      </c>
      <c r="P129" s="2">
        <v>59066</v>
      </c>
    </row>
    <row r="130" spans="1:16">
      <c r="A130" s="84" t="s">
        <v>333</v>
      </c>
      <c r="B130" s="85" t="s">
        <v>332</v>
      </c>
      <c r="C130" s="85" t="s">
        <v>92</v>
      </c>
      <c r="D130" s="84" t="s">
        <v>84</v>
      </c>
      <c r="E130" s="84">
        <v>2</v>
      </c>
      <c r="F130" s="2">
        <v>120833</v>
      </c>
      <c r="G130" s="2">
        <v>120525</v>
      </c>
      <c r="H130" s="2">
        <v>119683</v>
      </c>
      <c r="I130" s="2">
        <v>119118</v>
      </c>
      <c r="J130" s="2">
        <v>118546</v>
      </c>
      <c r="K130" s="2">
        <v>117960</v>
      </c>
      <c r="L130" s="2">
        <v>117600</v>
      </c>
      <c r="M130" s="2">
        <v>116864</v>
      </c>
      <c r="N130" s="2">
        <v>116282</v>
      </c>
      <c r="O130" s="2">
        <v>115676</v>
      </c>
      <c r="P130" s="2">
        <v>115048</v>
      </c>
    </row>
    <row r="131" spans="1:16">
      <c r="A131" s="84" t="s">
        <v>335</v>
      </c>
      <c r="B131" s="85" t="s">
        <v>334</v>
      </c>
      <c r="C131" s="85" t="s">
        <v>83</v>
      </c>
      <c r="D131" s="84" t="s">
        <v>75</v>
      </c>
      <c r="E131" s="84">
        <v>3</v>
      </c>
      <c r="F131" s="2">
        <v>1330388</v>
      </c>
      <c r="G131" s="2">
        <v>1369282</v>
      </c>
      <c r="H131" s="2">
        <v>1402483</v>
      </c>
      <c r="I131" s="2">
        <v>1438963</v>
      </c>
      <c r="J131" s="2">
        <v>1475432</v>
      </c>
      <c r="K131" s="2">
        <v>1511709</v>
      </c>
      <c r="L131" s="2">
        <v>1550048</v>
      </c>
      <c r="M131" s="2">
        <v>1582586</v>
      </c>
      <c r="N131" s="2">
        <v>1617749</v>
      </c>
      <c r="O131" s="2">
        <v>1652672</v>
      </c>
      <c r="P131" s="2">
        <v>1687329</v>
      </c>
    </row>
    <row r="132" spans="1:16">
      <c r="A132" s="84" t="s">
        <v>337</v>
      </c>
      <c r="B132" s="85" t="s">
        <v>336</v>
      </c>
      <c r="C132" s="85" t="s">
        <v>83</v>
      </c>
      <c r="D132" s="84" t="s">
        <v>84</v>
      </c>
      <c r="E132" s="84" t="s">
        <v>76</v>
      </c>
      <c r="F132" s="2">
        <v>8154313</v>
      </c>
      <c r="G132" s="2">
        <v>8298948</v>
      </c>
      <c r="H132" s="2">
        <v>8399229</v>
      </c>
      <c r="I132" s="2">
        <v>8522371</v>
      </c>
      <c r="J132" s="2">
        <v>8644894</v>
      </c>
      <c r="K132" s="2">
        <v>8766159</v>
      </c>
      <c r="L132" s="2">
        <v>8898816</v>
      </c>
      <c r="M132" s="2">
        <v>8997399</v>
      </c>
      <c r="N132" s="2">
        <v>9110738</v>
      </c>
      <c r="O132" s="2">
        <v>9221658</v>
      </c>
      <c r="P132" s="2">
        <v>9329602</v>
      </c>
    </row>
    <row r="133" spans="1:16">
      <c r="A133" s="84" t="s">
        <v>339</v>
      </c>
      <c r="B133" s="85" t="s">
        <v>338</v>
      </c>
      <c r="C133" s="85" t="s">
        <v>99</v>
      </c>
      <c r="D133" s="84" t="e">
        <v>#N/A</v>
      </c>
      <c r="E133" s="84">
        <v>1</v>
      </c>
      <c r="F133" s="2">
        <v>0</v>
      </c>
      <c r="G133" s="2">
        <v>0</v>
      </c>
      <c r="H133" s="2">
        <v>0</v>
      </c>
      <c r="I133" s="2">
        <v>0</v>
      </c>
      <c r="J133" s="2">
        <v>0</v>
      </c>
      <c r="K133" s="2">
        <v>0</v>
      </c>
      <c r="L133" s="2">
        <v>0</v>
      </c>
      <c r="M133" s="2">
        <v>0</v>
      </c>
      <c r="N133" s="2">
        <v>0</v>
      </c>
      <c r="O133" s="2">
        <v>0</v>
      </c>
      <c r="P133" s="2">
        <v>0</v>
      </c>
    </row>
    <row r="134" spans="1:16">
      <c r="A134" s="84" t="s">
        <v>341</v>
      </c>
      <c r="B134" s="85" t="s">
        <v>340</v>
      </c>
      <c r="C134" s="85" t="s">
        <v>79</v>
      </c>
      <c r="D134" s="84" t="s">
        <v>87</v>
      </c>
      <c r="E134" s="84">
        <v>1</v>
      </c>
      <c r="F134" s="2">
        <v>64971</v>
      </c>
      <c r="G134" s="2">
        <v>64470</v>
      </c>
      <c r="H134" s="2">
        <v>65459.999999999993</v>
      </c>
      <c r="I134" s="2">
        <v>65730</v>
      </c>
      <c r="J134" s="2">
        <v>65977</v>
      </c>
      <c r="K134" s="2">
        <v>66173</v>
      </c>
      <c r="L134" s="2">
        <v>66137</v>
      </c>
      <c r="M134" s="2">
        <v>66603</v>
      </c>
      <c r="N134" s="2">
        <v>66757</v>
      </c>
      <c r="O134" s="2">
        <v>66872</v>
      </c>
      <c r="P134" s="2">
        <v>66950</v>
      </c>
    </row>
    <row r="135" spans="1:16">
      <c r="A135" s="84" t="s">
        <v>343</v>
      </c>
      <c r="B135" s="85" t="s">
        <v>342</v>
      </c>
      <c r="C135" s="85" t="s">
        <v>74</v>
      </c>
      <c r="D135" s="84" t="s">
        <v>87</v>
      </c>
      <c r="E135" s="84">
        <v>1</v>
      </c>
      <c r="F135" s="2">
        <v>74486</v>
      </c>
      <c r="G135" s="2">
        <v>74426</v>
      </c>
      <c r="H135" s="2">
        <v>72181</v>
      </c>
      <c r="I135" s="2">
        <v>70967</v>
      </c>
      <c r="J135" s="2">
        <v>69939</v>
      </c>
      <c r="K135" s="2">
        <v>69233</v>
      </c>
      <c r="L135" s="2">
        <v>69024</v>
      </c>
      <c r="M135" s="2">
        <v>68947</v>
      </c>
      <c r="N135" s="2">
        <v>69203</v>
      </c>
      <c r="O135" s="2">
        <v>69621</v>
      </c>
      <c r="P135" s="2">
        <v>70128</v>
      </c>
    </row>
    <row r="136" spans="1:16">
      <c r="A136" s="84" t="s">
        <v>345</v>
      </c>
      <c r="B136" s="85" t="s">
        <v>344</v>
      </c>
      <c r="C136" s="85" t="s">
        <v>74</v>
      </c>
      <c r="D136" s="84" t="s">
        <v>84</v>
      </c>
      <c r="E136" s="84" t="s">
        <v>76</v>
      </c>
      <c r="F136" s="2">
        <v>5684635</v>
      </c>
      <c r="G136" s="2">
        <v>5707829</v>
      </c>
      <c r="H136" s="2">
        <v>5680517</v>
      </c>
      <c r="I136" s="2">
        <v>5676511</v>
      </c>
      <c r="J136" s="2">
        <v>5675257</v>
      </c>
      <c r="K136" s="2">
        <v>5679197</v>
      </c>
      <c r="L136" s="2">
        <v>5695334</v>
      </c>
      <c r="M136" s="2">
        <v>5709235</v>
      </c>
      <c r="N136" s="2">
        <v>5730025</v>
      </c>
      <c r="O136" s="2">
        <v>5752332</v>
      </c>
      <c r="P136" s="2">
        <v>5774406</v>
      </c>
    </row>
    <row r="137" spans="1:16">
      <c r="A137" s="84" t="s">
        <v>347</v>
      </c>
      <c r="B137" s="85" t="s">
        <v>346</v>
      </c>
      <c r="C137" s="85" t="s">
        <v>99</v>
      </c>
      <c r="D137" s="84" t="s">
        <v>87</v>
      </c>
      <c r="E137" s="84">
        <v>1</v>
      </c>
      <c r="F137" s="2">
        <v>0</v>
      </c>
      <c r="G137" s="2">
        <v>0</v>
      </c>
      <c r="H137" s="2">
        <v>0</v>
      </c>
      <c r="I137" s="2">
        <v>0</v>
      </c>
      <c r="J137" s="2">
        <v>0</v>
      </c>
      <c r="K137" s="2">
        <v>0</v>
      </c>
      <c r="L137" s="2">
        <v>0</v>
      </c>
      <c r="M137" s="2">
        <v>0</v>
      </c>
      <c r="N137" s="2">
        <v>0</v>
      </c>
      <c r="O137" s="2">
        <v>0</v>
      </c>
      <c r="P137" s="2">
        <v>0</v>
      </c>
    </row>
    <row r="138" spans="1:16">
      <c r="A138" s="84" t="s">
        <v>349</v>
      </c>
      <c r="B138" s="85" t="s">
        <v>348</v>
      </c>
      <c r="C138" s="85" t="s">
        <v>92</v>
      </c>
      <c r="D138" s="84" t="s">
        <v>87</v>
      </c>
      <c r="E138" s="84">
        <v>1</v>
      </c>
      <c r="F138" s="2">
        <v>79192</v>
      </c>
      <c r="G138" s="2">
        <v>79054</v>
      </c>
      <c r="H138" s="2">
        <v>79139</v>
      </c>
      <c r="I138" s="2">
        <v>79101</v>
      </c>
      <c r="J138" s="2">
        <v>79028</v>
      </c>
      <c r="K138" s="2">
        <v>78908</v>
      </c>
      <c r="L138" s="2">
        <v>78862</v>
      </c>
      <c r="M138" s="2">
        <v>78670</v>
      </c>
      <c r="N138" s="2">
        <v>78495</v>
      </c>
      <c r="O138" s="2">
        <v>78292</v>
      </c>
      <c r="P138" s="2">
        <v>78068</v>
      </c>
    </row>
    <row r="139" spans="1:16">
      <c r="A139" s="84" t="s">
        <v>351</v>
      </c>
      <c r="B139" s="85" t="s">
        <v>350</v>
      </c>
      <c r="C139" s="85" t="s">
        <v>99</v>
      </c>
      <c r="D139" s="84" t="s">
        <v>84</v>
      </c>
      <c r="E139" s="84">
        <v>4</v>
      </c>
      <c r="F139" s="2">
        <v>246435</v>
      </c>
      <c r="G139" s="2">
        <v>248541</v>
      </c>
      <c r="H139" s="2">
        <v>250382</v>
      </c>
      <c r="I139" s="2">
        <v>252192</v>
      </c>
      <c r="J139" s="2">
        <v>253838</v>
      </c>
      <c r="K139" s="2">
        <v>255296</v>
      </c>
      <c r="L139" s="2">
        <v>256966</v>
      </c>
      <c r="M139" s="2">
        <v>257904.99999999997</v>
      </c>
      <c r="N139" s="2">
        <v>259000.99999999997</v>
      </c>
      <c r="O139" s="2">
        <v>260060.99999999997</v>
      </c>
      <c r="P139" s="2">
        <v>261144.99999999997</v>
      </c>
    </row>
    <row r="140" spans="1:16">
      <c r="A140" s="84" t="s">
        <v>353</v>
      </c>
      <c r="B140" s="85" t="s">
        <v>352</v>
      </c>
      <c r="C140" s="85" t="s">
        <v>92</v>
      </c>
      <c r="D140" s="84" t="s">
        <v>80</v>
      </c>
      <c r="E140" s="84">
        <v>1</v>
      </c>
      <c r="F140" s="2">
        <v>136107</v>
      </c>
      <c r="G140" s="2">
        <v>135215</v>
      </c>
      <c r="H140" s="2">
        <v>134649</v>
      </c>
      <c r="I140" s="2">
        <v>133892</v>
      </c>
      <c r="J140" s="2">
        <v>133130</v>
      </c>
      <c r="K140" s="2">
        <v>132374</v>
      </c>
      <c r="L140" s="2">
        <v>131759</v>
      </c>
      <c r="M140" s="2">
        <v>131067</v>
      </c>
      <c r="N140" s="2">
        <v>130419.00000000001</v>
      </c>
      <c r="O140" s="2">
        <v>129758.99999999999</v>
      </c>
      <c r="P140" s="2">
        <v>129076</v>
      </c>
    </row>
    <row r="141" spans="1:16">
      <c r="A141" s="84" t="s">
        <v>355</v>
      </c>
      <c r="B141" s="85" t="s">
        <v>354</v>
      </c>
      <c r="C141" s="85" t="s">
        <v>92</v>
      </c>
      <c r="D141" s="84" t="s">
        <v>80</v>
      </c>
      <c r="E141" s="84">
        <v>2</v>
      </c>
      <c r="F141" s="2">
        <v>532559</v>
      </c>
      <c r="G141" s="2">
        <v>527363</v>
      </c>
      <c r="H141" s="2">
        <v>523979.00000000006</v>
      </c>
      <c r="I141" s="2">
        <v>519621</v>
      </c>
      <c r="J141" s="2">
        <v>515318.99999999994</v>
      </c>
      <c r="K141" s="2">
        <v>511138</v>
      </c>
      <c r="L141" s="2">
        <v>509073</v>
      </c>
      <c r="M141" s="2">
        <v>503736</v>
      </c>
      <c r="N141" s="2">
        <v>500274</v>
      </c>
      <c r="O141" s="2">
        <v>497022</v>
      </c>
      <c r="P141" s="2">
        <v>494005</v>
      </c>
    </row>
    <row r="142" spans="1:16">
      <c r="A142" s="84" t="s">
        <v>357</v>
      </c>
      <c r="B142" s="85" t="s">
        <v>356</v>
      </c>
      <c r="C142" s="85" t="s">
        <v>99</v>
      </c>
      <c r="D142" s="84" t="s">
        <v>84</v>
      </c>
      <c r="E142" s="84" t="s">
        <v>76</v>
      </c>
      <c r="F142" s="2">
        <v>2183846</v>
      </c>
      <c r="G142" s="2">
        <v>2165167</v>
      </c>
      <c r="H142" s="2">
        <v>2180710</v>
      </c>
      <c r="I142" s="2">
        <v>2181016</v>
      </c>
      <c r="J142" s="2">
        <v>2179509</v>
      </c>
      <c r="K142" s="2">
        <v>2174269</v>
      </c>
      <c r="L142" s="2">
        <v>2167703</v>
      </c>
      <c r="M142" s="2">
        <v>2154408</v>
      </c>
      <c r="N142" s="2">
        <v>2140773</v>
      </c>
      <c r="O142" s="2">
        <v>2126831</v>
      </c>
      <c r="P142" s="2">
        <v>2113875</v>
      </c>
    </row>
    <row r="143" spans="1:16">
      <c r="A143" s="84" t="s">
        <v>359</v>
      </c>
      <c r="B143" s="85" t="s">
        <v>358</v>
      </c>
      <c r="C143" s="85" t="s">
        <v>79</v>
      </c>
      <c r="D143" s="84" t="s">
        <v>87</v>
      </c>
      <c r="E143" s="84">
        <v>1</v>
      </c>
      <c r="F143" s="2">
        <v>306523</v>
      </c>
      <c r="G143" s="2">
        <v>303711</v>
      </c>
      <c r="H143" s="2">
        <v>297846</v>
      </c>
      <c r="I143" s="2">
        <v>293868</v>
      </c>
      <c r="J143" s="2">
        <v>290530</v>
      </c>
      <c r="K143" s="2">
        <v>288041</v>
      </c>
      <c r="L143" s="2">
        <v>287066</v>
      </c>
      <c r="M143" s="2">
        <v>286377</v>
      </c>
      <c r="N143" s="2">
        <v>286479</v>
      </c>
      <c r="O143" s="2">
        <v>286821</v>
      </c>
      <c r="P143" s="2">
        <v>287174</v>
      </c>
    </row>
    <row r="144" spans="1:16">
      <c r="A144" s="84" t="s">
        <v>361</v>
      </c>
      <c r="B144" s="85" t="s">
        <v>360</v>
      </c>
      <c r="C144" s="85" t="s">
        <v>79</v>
      </c>
      <c r="D144" s="84" t="s">
        <v>87</v>
      </c>
      <c r="E144" s="84">
        <v>1</v>
      </c>
      <c r="F144" s="2">
        <v>77003</v>
      </c>
      <c r="G144" s="2">
        <v>76706</v>
      </c>
      <c r="H144" s="2">
        <v>77188</v>
      </c>
      <c r="I144" s="2">
        <v>77317</v>
      </c>
      <c r="J144" s="2">
        <v>77384</v>
      </c>
      <c r="K144" s="2">
        <v>77335</v>
      </c>
      <c r="L144" s="2">
        <v>77292</v>
      </c>
      <c r="M144" s="2">
        <v>77058</v>
      </c>
      <c r="N144" s="2">
        <v>76753</v>
      </c>
      <c r="O144" s="2">
        <v>76347</v>
      </c>
      <c r="P144" s="2">
        <v>75850</v>
      </c>
    </row>
    <row r="145" spans="1:16">
      <c r="A145" s="84" t="s">
        <v>363</v>
      </c>
      <c r="B145" s="85" t="s">
        <v>362</v>
      </c>
      <c r="C145" s="85" t="s">
        <v>74</v>
      </c>
      <c r="D145" s="84" t="s">
        <v>87</v>
      </c>
      <c r="E145" s="84">
        <v>1</v>
      </c>
      <c r="F145" s="2">
        <v>26378</v>
      </c>
      <c r="G145" s="2">
        <v>26110</v>
      </c>
      <c r="H145" s="2">
        <v>26199</v>
      </c>
      <c r="I145" s="2">
        <v>26099</v>
      </c>
      <c r="J145" s="2">
        <v>25999</v>
      </c>
      <c r="K145" s="2">
        <v>25909</v>
      </c>
      <c r="L145" s="2">
        <v>25562</v>
      </c>
      <c r="M145" s="2">
        <v>25886</v>
      </c>
      <c r="N145" s="2">
        <v>25893</v>
      </c>
      <c r="O145" s="2">
        <v>25921</v>
      </c>
      <c r="P145" s="2">
        <v>25973</v>
      </c>
    </row>
    <row r="146" spans="1:16">
      <c r="A146" s="84" t="s">
        <v>365</v>
      </c>
      <c r="B146" s="85" t="s">
        <v>364</v>
      </c>
      <c r="C146" s="85" t="s">
        <v>79</v>
      </c>
      <c r="D146" s="84" t="s">
        <v>87</v>
      </c>
      <c r="E146" s="84">
        <v>2</v>
      </c>
      <c r="F146" s="2">
        <v>166353</v>
      </c>
      <c r="G146" s="2">
        <v>166585</v>
      </c>
      <c r="H146" s="2">
        <v>164863</v>
      </c>
      <c r="I146" s="2">
        <v>164039</v>
      </c>
      <c r="J146" s="2">
        <v>163292</v>
      </c>
      <c r="K146" s="2">
        <v>162689</v>
      </c>
      <c r="L146" s="2">
        <v>162526</v>
      </c>
      <c r="M146" s="2">
        <v>162059</v>
      </c>
      <c r="N146" s="2">
        <v>161808</v>
      </c>
      <c r="O146" s="2">
        <v>161465</v>
      </c>
      <c r="P146" s="2">
        <v>160962</v>
      </c>
    </row>
    <row r="147" spans="1:16">
      <c r="A147" s="84" t="s">
        <v>367</v>
      </c>
      <c r="B147" s="85" t="s">
        <v>366</v>
      </c>
      <c r="C147" s="85" t="s">
        <v>79</v>
      </c>
      <c r="D147" s="84" t="s">
        <v>80</v>
      </c>
      <c r="E147" s="84">
        <v>2</v>
      </c>
      <c r="F147" s="2">
        <v>1451191</v>
      </c>
      <c r="G147" s="2">
        <v>1446434</v>
      </c>
      <c r="H147" s="2">
        <v>1423392</v>
      </c>
      <c r="I147" s="2">
        <v>1416058</v>
      </c>
      <c r="J147" s="2">
        <v>1413840</v>
      </c>
      <c r="K147" s="2">
        <v>1416907</v>
      </c>
      <c r="L147" s="2">
        <v>1430770</v>
      </c>
      <c r="M147" s="2">
        <v>1440009</v>
      </c>
      <c r="N147" s="2">
        <v>1457313</v>
      </c>
      <c r="O147" s="2">
        <v>1476330</v>
      </c>
      <c r="P147" s="2">
        <v>1495780</v>
      </c>
    </row>
    <row r="148" spans="1:16">
      <c r="A148" s="84" t="s">
        <v>369</v>
      </c>
      <c r="B148" s="85" t="s">
        <v>368</v>
      </c>
      <c r="C148" s="85" t="s">
        <v>83</v>
      </c>
      <c r="D148" s="84" t="s">
        <v>75</v>
      </c>
      <c r="E148" s="84">
        <v>3</v>
      </c>
      <c r="F148" s="2">
        <v>408579</v>
      </c>
      <c r="G148" s="2">
        <v>413775</v>
      </c>
      <c r="H148" s="2">
        <v>414639</v>
      </c>
      <c r="I148" s="2">
        <v>417319</v>
      </c>
      <c r="J148" s="2">
        <v>419941</v>
      </c>
      <c r="K148" s="2">
        <v>422631</v>
      </c>
      <c r="L148" s="2">
        <v>426131</v>
      </c>
      <c r="M148" s="2">
        <v>428579</v>
      </c>
      <c r="N148" s="2">
        <v>431557</v>
      </c>
      <c r="O148" s="2">
        <v>434486</v>
      </c>
      <c r="P148" s="2">
        <v>437316</v>
      </c>
    </row>
    <row r="149" spans="1:16">
      <c r="A149" s="84" t="s">
        <v>371</v>
      </c>
      <c r="B149" s="85" t="s">
        <v>370</v>
      </c>
      <c r="C149" s="85" t="s">
        <v>92</v>
      </c>
      <c r="D149" s="84" t="s">
        <v>87</v>
      </c>
      <c r="E149" s="84">
        <v>1</v>
      </c>
      <c r="F149" s="2">
        <v>0</v>
      </c>
      <c r="G149" s="2">
        <v>0</v>
      </c>
      <c r="H149" s="2">
        <v>0</v>
      </c>
      <c r="I149" s="2">
        <v>0</v>
      </c>
      <c r="J149" s="2">
        <v>0</v>
      </c>
      <c r="K149" s="2">
        <v>0</v>
      </c>
      <c r="L149" s="2">
        <v>0</v>
      </c>
      <c r="M149" s="2">
        <v>0</v>
      </c>
      <c r="N149" s="2">
        <v>0</v>
      </c>
      <c r="O149" s="2">
        <v>0</v>
      </c>
      <c r="P149" s="2">
        <v>0</v>
      </c>
    </row>
    <row r="150" spans="1:16">
      <c r="A150" s="84" t="s">
        <v>373</v>
      </c>
      <c r="B150" s="85" t="s">
        <v>372</v>
      </c>
      <c r="C150" s="85" t="s">
        <v>92</v>
      </c>
      <c r="D150" s="84" t="s">
        <v>80</v>
      </c>
      <c r="E150" s="84">
        <v>1</v>
      </c>
      <c r="F150" s="2">
        <v>1808</v>
      </c>
      <c r="G150" s="2">
        <v>1768</v>
      </c>
      <c r="H150" s="2">
        <v>1743</v>
      </c>
      <c r="I150" s="2">
        <v>1713</v>
      </c>
      <c r="J150" s="2">
        <v>1685</v>
      </c>
      <c r="K150" s="2">
        <v>1658</v>
      </c>
      <c r="L150" s="2">
        <v>1638</v>
      </c>
      <c r="M150" s="2">
        <v>1608</v>
      </c>
      <c r="N150" s="2">
        <v>1586</v>
      </c>
      <c r="O150" s="2">
        <v>1565</v>
      </c>
      <c r="P150" s="2">
        <v>1545</v>
      </c>
    </row>
    <row r="151" spans="1:16">
      <c r="A151" s="84" t="s">
        <v>375</v>
      </c>
      <c r="B151" s="85" t="s">
        <v>374</v>
      </c>
      <c r="C151" s="85" t="s">
        <v>92</v>
      </c>
      <c r="D151" s="84" t="s">
        <v>80</v>
      </c>
      <c r="E151" s="84">
        <v>1</v>
      </c>
      <c r="F151" s="2">
        <v>1394</v>
      </c>
      <c r="G151" s="2">
        <v>1373</v>
      </c>
      <c r="H151" s="2">
        <v>1363</v>
      </c>
      <c r="I151" s="2">
        <v>1348</v>
      </c>
      <c r="J151" s="2">
        <v>1333</v>
      </c>
      <c r="K151" s="2">
        <v>1318</v>
      </c>
      <c r="L151" s="2">
        <v>1305</v>
      </c>
      <c r="M151" s="2">
        <v>1287</v>
      </c>
      <c r="N151" s="2">
        <v>1271</v>
      </c>
      <c r="O151" s="2">
        <v>1256</v>
      </c>
      <c r="P151" s="2">
        <v>1241</v>
      </c>
    </row>
    <row r="152" spans="1:16">
      <c r="A152" s="84" t="s">
        <v>377</v>
      </c>
      <c r="B152" s="85" t="s">
        <v>376</v>
      </c>
      <c r="C152" s="85" t="s">
        <v>99</v>
      </c>
      <c r="D152" s="84" t="s">
        <v>80</v>
      </c>
      <c r="E152" s="84">
        <v>2</v>
      </c>
      <c r="F152" s="2">
        <v>4945</v>
      </c>
      <c r="G152" s="2">
        <v>5295</v>
      </c>
      <c r="H152" s="2">
        <v>5006</v>
      </c>
      <c r="I152" s="2">
        <v>4992</v>
      </c>
      <c r="J152" s="2">
        <v>4977</v>
      </c>
      <c r="K152" s="2">
        <v>4982</v>
      </c>
      <c r="L152" s="2">
        <v>4974</v>
      </c>
      <c r="M152" s="2">
        <v>5078</v>
      </c>
      <c r="N152" s="2">
        <v>5143</v>
      </c>
      <c r="O152" s="2">
        <v>5208</v>
      </c>
      <c r="P152" s="2">
        <v>5265</v>
      </c>
    </row>
    <row r="153" spans="1:16">
      <c r="A153" s="84" t="s">
        <v>379</v>
      </c>
      <c r="B153" s="85" t="s">
        <v>378</v>
      </c>
      <c r="C153" s="85" t="s">
        <v>79</v>
      </c>
      <c r="D153" s="84" t="s">
        <v>87</v>
      </c>
      <c r="E153" s="84">
        <v>1</v>
      </c>
      <c r="F153" s="2">
        <v>0</v>
      </c>
      <c r="G153" s="2">
        <v>0</v>
      </c>
      <c r="H153" s="2">
        <v>0</v>
      </c>
      <c r="I153" s="2">
        <v>0</v>
      </c>
      <c r="J153" s="2">
        <v>0</v>
      </c>
      <c r="K153" s="2">
        <v>0</v>
      </c>
      <c r="L153" s="2">
        <v>0</v>
      </c>
      <c r="M153" s="2">
        <v>0</v>
      </c>
      <c r="N153" s="2">
        <v>0</v>
      </c>
      <c r="O153" s="2">
        <v>0</v>
      </c>
      <c r="P153" s="2">
        <v>0</v>
      </c>
    </row>
    <row r="154" spans="1:16">
      <c r="A154" s="84" t="s">
        <v>381</v>
      </c>
      <c r="B154" s="85" t="s">
        <v>380</v>
      </c>
      <c r="C154" s="85" t="s">
        <v>83</v>
      </c>
      <c r="D154" s="84" t="s">
        <v>84</v>
      </c>
      <c r="E154" s="84">
        <v>3</v>
      </c>
      <c r="F154" s="2">
        <v>7410</v>
      </c>
      <c r="G154" s="2">
        <v>7563</v>
      </c>
      <c r="H154" s="2">
        <v>7625</v>
      </c>
      <c r="I154" s="2">
        <v>7723</v>
      </c>
      <c r="J154" s="2">
        <v>7817</v>
      </c>
      <c r="K154" s="2">
        <v>7906</v>
      </c>
      <c r="L154" s="2">
        <v>7991</v>
      </c>
      <c r="M154" s="2">
        <v>8070</v>
      </c>
      <c r="N154" s="2">
        <v>8147</v>
      </c>
      <c r="O154" s="2">
        <v>8223</v>
      </c>
      <c r="P154" s="2">
        <v>8298</v>
      </c>
    </row>
    <row r="155" spans="1:16">
      <c r="A155" s="84" t="s">
        <v>383</v>
      </c>
      <c r="B155" s="85" t="s">
        <v>382</v>
      </c>
      <c r="C155" s="85" t="s">
        <v>74</v>
      </c>
      <c r="D155" s="84" t="s">
        <v>87</v>
      </c>
      <c r="E155" s="84">
        <v>1</v>
      </c>
      <c r="F155" s="2">
        <v>505865</v>
      </c>
      <c r="G155" s="2">
        <v>498039</v>
      </c>
      <c r="H155" s="2">
        <v>493342</v>
      </c>
      <c r="I155" s="2">
        <v>488796</v>
      </c>
      <c r="J155" s="2">
        <v>485158</v>
      </c>
      <c r="K155" s="2">
        <v>482248</v>
      </c>
      <c r="L155" s="2">
        <v>481755</v>
      </c>
      <c r="M155" s="2">
        <v>479907</v>
      </c>
      <c r="N155" s="2">
        <v>479700</v>
      </c>
      <c r="O155" s="2">
        <v>479959</v>
      </c>
      <c r="P155" s="2">
        <v>480554</v>
      </c>
    </row>
    <row r="156" spans="1:16">
      <c r="A156" s="84" t="s">
        <v>385</v>
      </c>
      <c r="B156" s="85" t="s">
        <v>384</v>
      </c>
      <c r="C156" s="85" t="s">
        <v>83</v>
      </c>
      <c r="D156" s="84" t="s">
        <v>84</v>
      </c>
      <c r="E156" s="84">
        <v>3</v>
      </c>
      <c r="F156" s="2">
        <v>610455</v>
      </c>
      <c r="G156" s="2">
        <v>620303</v>
      </c>
      <c r="H156" s="2">
        <v>629021</v>
      </c>
      <c r="I156" s="2">
        <v>638654</v>
      </c>
      <c r="J156" s="2">
        <v>648410</v>
      </c>
      <c r="K156" s="2">
        <v>658199</v>
      </c>
      <c r="L156" s="2">
        <v>668786</v>
      </c>
      <c r="M156" s="2">
        <v>678139</v>
      </c>
      <c r="N156" s="2">
        <v>687966</v>
      </c>
      <c r="O156" s="2">
        <v>697468</v>
      </c>
      <c r="P156" s="2">
        <v>706513</v>
      </c>
    </row>
    <row r="157" spans="1:16">
      <c r="A157" s="84" t="s">
        <v>387</v>
      </c>
      <c r="B157" s="85" t="s">
        <v>386</v>
      </c>
      <c r="C157" s="85" t="s">
        <v>79</v>
      </c>
      <c r="D157" s="84" t="s">
        <v>80</v>
      </c>
      <c r="E157" s="84">
        <v>1</v>
      </c>
      <c r="F157" s="2">
        <v>71536</v>
      </c>
      <c r="G157" s="2">
        <v>71097</v>
      </c>
      <c r="H157" s="2">
        <v>70144</v>
      </c>
      <c r="I157" s="2">
        <v>69455</v>
      </c>
      <c r="J157" s="2">
        <v>68779</v>
      </c>
      <c r="K157" s="2">
        <v>68122</v>
      </c>
      <c r="L157" s="2">
        <v>67717</v>
      </c>
      <c r="M157" s="2">
        <v>66866</v>
      </c>
      <c r="N157" s="2">
        <v>66242</v>
      </c>
      <c r="O157" s="2">
        <v>65605</v>
      </c>
      <c r="P157" s="2">
        <v>64949</v>
      </c>
    </row>
    <row r="158" spans="1:16">
      <c r="A158" s="84" t="s">
        <v>389</v>
      </c>
      <c r="B158" s="85" t="s">
        <v>388</v>
      </c>
      <c r="C158" s="85" t="s">
        <v>83</v>
      </c>
      <c r="D158" s="84" t="s">
        <v>87</v>
      </c>
      <c r="E158" s="84">
        <v>1</v>
      </c>
      <c r="F158" s="2">
        <v>1392</v>
      </c>
      <c r="G158" s="2">
        <v>1404</v>
      </c>
      <c r="H158" s="2">
        <v>1385</v>
      </c>
      <c r="I158" s="2">
        <v>1382</v>
      </c>
      <c r="J158" s="2">
        <v>1379</v>
      </c>
      <c r="K158" s="2">
        <v>1379</v>
      </c>
      <c r="L158" s="2">
        <v>1385</v>
      </c>
      <c r="M158" s="2">
        <v>1381</v>
      </c>
      <c r="N158" s="2">
        <v>1383</v>
      </c>
      <c r="O158" s="2">
        <v>1383</v>
      </c>
      <c r="P158" s="2">
        <v>1382</v>
      </c>
    </row>
    <row r="159" spans="1:16">
      <c r="A159" s="84" t="s">
        <v>391</v>
      </c>
      <c r="B159" s="85" t="s">
        <v>390</v>
      </c>
      <c r="C159" s="85" t="s">
        <v>83</v>
      </c>
      <c r="D159" s="84" t="s">
        <v>75</v>
      </c>
      <c r="E159" s="84">
        <v>3</v>
      </c>
      <c r="F159" s="2">
        <v>248344</v>
      </c>
      <c r="G159" s="2">
        <v>249900</v>
      </c>
      <c r="H159" s="2">
        <v>250442</v>
      </c>
      <c r="I159" s="2">
        <v>251433</v>
      </c>
      <c r="J159" s="2">
        <v>252348</v>
      </c>
      <c r="K159" s="2">
        <v>253168</v>
      </c>
      <c r="L159" s="2">
        <v>254430</v>
      </c>
      <c r="M159" s="2">
        <v>254406</v>
      </c>
      <c r="N159" s="2">
        <v>254924</v>
      </c>
      <c r="O159" s="2">
        <v>255421</v>
      </c>
      <c r="P159" s="2">
        <v>255923</v>
      </c>
    </row>
    <row r="160" spans="1:16">
      <c r="A160" s="84" t="s">
        <v>393</v>
      </c>
      <c r="B160" s="85" t="s">
        <v>392</v>
      </c>
      <c r="C160" s="85" t="s">
        <v>99</v>
      </c>
      <c r="D160" s="84" t="s">
        <v>87</v>
      </c>
      <c r="E160" s="84">
        <v>1</v>
      </c>
      <c r="F160" s="2">
        <v>49004</v>
      </c>
      <c r="G160" s="2">
        <v>48865</v>
      </c>
      <c r="H160" s="2">
        <v>47743</v>
      </c>
      <c r="I160" s="2">
        <v>46834</v>
      </c>
      <c r="J160" s="2">
        <v>45893</v>
      </c>
      <c r="K160" s="2">
        <v>45020</v>
      </c>
      <c r="L160" s="2">
        <v>43988</v>
      </c>
      <c r="M160" s="2">
        <v>43719</v>
      </c>
      <c r="N160" s="2">
        <v>43174</v>
      </c>
      <c r="O160" s="2">
        <v>42701</v>
      </c>
      <c r="P160" s="2">
        <v>42296</v>
      </c>
    </row>
    <row r="161" spans="1:16">
      <c r="A161" s="84" t="s">
        <v>395</v>
      </c>
      <c r="B161" s="85" t="s">
        <v>394</v>
      </c>
      <c r="C161" s="85" t="s">
        <v>79</v>
      </c>
      <c r="D161" s="84" t="s">
        <v>87</v>
      </c>
      <c r="E161" s="84">
        <v>1</v>
      </c>
      <c r="F161" s="2">
        <v>48672</v>
      </c>
      <c r="G161" s="2">
        <v>48143</v>
      </c>
      <c r="H161" s="2">
        <v>47345</v>
      </c>
      <c r="I161" s="2">
        <v>46711</v>
      </c>
      <c r="J161" s="2">
        <v>46154</v>
      </c>
      <c r="K161" s="2">
        <v>45705</v>
      </c>
      <c r="L161" s="2">
        <v>45378</v>
      </c>
      <c r="M161" s="2">
        <v>45237</v>
      </c>
      <c r="N161" s="2">
        <v>45144</v>
      </c>
      <c r="O161" s="2">
        <v>45113</v>
      </c>
      <c r="P161" s="2">
        <v>45121</v>
      </c>
    </row>
    <row r="162" spans="1:16">
      <c r="A162" s="84" t="s">
        <v>397</v>
      </c>
      <c r="B162" s="85" t="s">
        <v>396</v>
      </c>
      <c r="C162" s="85" t="s">
        <v>79</v>
      </c>
      <c r="D162" s="84" t="s">
        <v>87</v>
      </c>
      <c r="E162" s="84">
        <v>1</v>
      </c>
      <c r="F162" s="2">
        <v>17055</v>
      </c>
      <c r="G162" s="2">
        <v>16892</v>
      </c>
      <c r="H162" s="2">
        <v>16910</v>
      </c>
      <c r="I162" s="2">
        <v>16920</v>
      </c>
      <c r="J162" s="2">
        <v>16968</v>
      </c>
      <c r="K162" s="2">
        <v>17044</v>
      </c>
      <c r="L162" s="2">
        <v>17211</v>
      </c>
      <c r="M162" s="2">
        <v>17309</v>
      </c>
      <c r="N162" s="2">
        <v>17466</v>
      </c>
      <c r="O162" s="2">
        <v>17623</v>
      </c>
      <c r="P162" s="2">
        <v>17769</v>
      </c>
    </row>
    <row r="163" spans="1:16">
      <c r="A163" s="84" t="s">
        <v>399</v>
      </c>
      <c r="B163" s="85" t="s">
        <v>398</v>
      </c>
      <c r="C163" s="85" t="s">
        <v>74</v>
      </c>
      <c r="D163" s="84" t="s">
        <v>75</v>
      </c>
      <c r="E163" s="84">
        <v>3</v>
      </c>
      <c r="F163" s="2">
        <v>741346</v>
      </c>
      <c r="G163" s="2">
        <v>757147</v>
      </c>
      <c r="H163" s="2">
        <v>767735</v>
      </c>
      <c r="I163" s="2">
        <v>780293</v>
      </c>
      <c r="J163" s="2">
        <v>792533</v>
      </c>
      <c r="K163" s="2">
        <v>804554</v>
      </c>
      <c r="L163" s="2">
        <v>816902</v>
      </c>
      <c r="M163" s="2">
        <v>827325</v>
      </c>
      <c r="N163" s="2">
        <v>838654</v>
      </c>
      <c r="O163" s="2">
        <v>850070</v>
      </c>
      <c r="P163" s="2">
        <v>861642</v>
      </c>
    </row>
    <row r="164" spans="1:16">
      <c r="A164" s="84" t="s">
        <v>401</v>
      </c>
      <c r="B164" s="85" t="s">
        <v>400</v>
      </c>
      <c r="C164" s="85" t="s">
        <v>99</v>
      </c>
      <c r="D164" s="84" t="s">
        <v>84</v>
      </c>
      <c r="E164" s="84">
        <v>4</v>
      </c>
      <c r="F164" s="2">
        <v>23293</v>
      </c>
      <c r="G164" s="2">
        <v>23781</v>
      </c>
      <c r="H164" s="2">
        <v>24027</v>
      </c>
      <c r="I164" s="2">
        <v>24407</v>
      </c>
      <c r="J164" s="2">
        <v>24793</v>
      </c>
      <c r="K164" s="2">
        <v>25182</v>
      </c>
      <c r="L164" s="2">
        <v>25643</v>
      </c>
      <c r="M164" s="2">
        <v>25987</v>
      </c>
      <c r="N164" s="2">
        <v>26382</v>
      </c>
      <c r="O164" s="2">
        <v>26758</v>
      </c>
      <c r="P164" s="2">
        <v>27104</v>
      </c>
    </row>
    <row r="165" spans="1:16">
      <c r="A165" s="84" t="s">
        <v>403</v>
      </c>
      <c r="B165" s="85" t="s">
        <v>402</v>
      </c>
      <c r="C165" s="85" t="s">
        <v>83</v>
      </c>
      <c r="D165" s="84" t="s">
        <v>80</v>
      </c>
      <c r="E165" s="84" t="s">
        <v>76</v>
      </c>
      <c r="F165" s="2">
        <v>1117392</v>
      </c>
      <c r="G165" s="2">
        <v>1117516</v>
      </c>
      <c r="H165" s="2">
        <v>1116539</v>
      </c>
      <c r="I165" s="2">
        <v>1116624</v>
      </c>
      <c r="J165" s="2">
        <v>1116746</v>
      </c>
      <c r="K165" s="2">
        <v>1116694</v>
      </c>
      <c r="L165" s="2">
        <v>1118183</v>
      </c>
      <c r="M165" s="2">
        <v>1117809</v>
      </c>
      <c r="N165" s="2">
        <v>1117793</v>
      </c>
      <c r="O165" s="2">
        <v>1117015</v>
      </c>
      <c r="P165" s="2">
        <v>1115279</v>
      </c>
    </row>
    <row r="166" spans="1:16">
      <c r="A166" s="84" t="s">
        <v>405</v>
      </c>
      <c r="B166" s="85" t="s">
        <v>404</v>
      </c>
      <c r="C166" s="85" t="s">
        <v>79</v>
      </c>
      <c r="D166" s="84" t="s">
        <v>87</v>
      </c>
      <c r="E166" s="84">
        <v>1</v>
      </c>
      <c r="F166" s="2">
        <v>345950</v>
      </c>
      <c r="G166" s="2">
        <v>343144</v>
      </c>
      <c r="H166" s="2">
        <v>344943</v>
      </c>
      <c r="I166" s="2">
        <v>345499</v>
      </c>
      <c r="J166" s="2">
        <v>346394</v>
      </c>
      <c r="K166" s="2">
        <v>347399</v>
      </c>
      <c r="L166" s="2">
        <v>349616</v>
      </c>
      <c r="M166" s="2">
        <v>350535</v>
      </c>
      <c r="N166" s="2">
        <v>352088</v>
      </c>
      <c r="O166" s="2">
        <v>353527</v>
      </c>
      <c r="P166" s="2">
        <v>354750</v>
      </c>
    </row>
    <row r="167" spans="1:16">
      <c r="A167" s="84" t="s">
        <v>407</v>
      </c>
      <c r="B167" s="85" t="s">
        <v>406</v>
      </c>
      <c r="C167" s="85" t="s">
        <v>110</v>
      </c>
      <c r="D167" s="84" t="s">
        <v>84</v>
      </c>
      <c r="E167" s="84">
        <v>2</v>
      </c>
      <c r="F167" s="2">
        <v>297453</v>
      </c>
      <c r="G167" s="2">
        <v>299405</v>
      </c>
      <c r="H167" s="2">
        <v>295342</v>
      </c>
      <c r="I167" s="2">
        <v>294058</v>
      </c>
      <c r="J167" s="2">
        <v>292669</v>
      </c>
      <c r="K167" s="2">
        <v>291218</v>
      </c>
      <c r="L167" s="2">
        <v>290624</v>
      </c>
      <c r="M167" s="2">
        <v>288375</v>
      </c>
      <c r="N167" s="2">
        <v>286698</v>
      </c>
      <c r="O167" s="2">
        <v>284730</v>
      </c>
      <c r="P167" s="2">
        <v>282406</v>
      </c>
    </row>
    <row r="168" spans="1:16">
      <c r="A168" s="84" t="s">
        <v>409</v>
      </c>
      <c r="B168" s="85" t="s">
        <v>408</v>
      </c>
      <c r="C168" s="85" t="s">
        <v>74</v>
      </c>
      <c r="D168" s="84" t="s">
        <v>75</v>
      </c>
      <c r="E168" s="84">
        <v>3</v>
      </c>
      <c r="F168" s="2">
        <v>1499734</v>
      </c>
      <c r="G168" s="2">
        <v>1523687</v>
      </c>
      <c r="H168" s="2">
        <v>1538541</v>
      </c>
      <c r="I168" s="2">
        <v>1556658</v>
      </c>
      <c r="J168" s="2">
        <v>1574111</v>
      </c>
      <c r="K168" s="2">
        <v>1591057</v>
      </c>
      <c r="L168" s="2">
        <v>1608153</v>
      </c>
      <c r="M168" s="2">
        <v>1624549</v>
      </c>
      <c r="N168" s="2">
        <v>1640478</v>
      </c>
      <c r="O168" s="2">
        <v>1655773</v>
      </c>
      <c r="P168" s="2">
        <v>1670383</v>
      </c>
    </row>
    <row r="169" spans="1:16">
      <c r="A169" s="84" t="s">
        <v>411</v>
      </c>
      <c r="B169" s="85" t="s">
        <v>410</v>
      </c>
      <c r="C169" s="85" t="s">
        <v>74</v>
      </c>
      <c r="D169" s="84" t="s">
        <v>75</v>
      </c>
      <c r="E169" s="84">
        <v>3</v>
      </c>
      <c r="F169" s="2">
        <v>391770</v>
      </c>
      <c r="G169" s="2">
        <v>395643</v>
      </c>
      <c r="H169" s="2">
        <v>399717</v>
      </c>
      <c r="I169" s="2">
        <v>403878</v>
      </c>
      <c r="J169" s="2">
        <v>407945</v>
      </c>
      <c r="K169" s="2">
        <v>411783</v>
      </c>
      <c r="L169" s="2">
        <v>416256</v>
      </c>
      <c r="M169" s="2">
        <v>418476</v>
      </c>
      <c r="N169" s="2">
        <v>421579</v>
      </c>
      <c r="O169" s="2">
        <v>424627</v>
      </c>
      <c r="P169" s="2">
        <v>427687</v>
      </c>
    </row>
    <row r="170" spans="1:16">
      <c r="A170" s="84" t="s">
        <v>413</v>
      </c>
      <c r="B170" s="85" t="s">
        <v>412</v>
      </c>
      <c r="C170" s="85" t="s">
        <v>92</v>
      </c>
      <c r="D170" s="84" t="s">
        <v>80</v>
      </c>
      <c r="E170" s="84">
        <v>1</v>
      </c>
      <c r="F170" s="2">
        <v>9951</v>
      </c>
      <c r="G170" s="2">
        <v>9910</v>
      </c>
      <c r="H170" s="2">
        <v>9852</v>
      </c>
      <c r="I170" s="2">
        <v>9801</v>
      </c>
      <c r="J170" s="2">
        <v>9748</v>
      </c>
      <c r="K170" s="2">
        <v>9689</v>
      </c>
      <c r="L170" s="2">
        <v>9648</v>
      </c>
      <c r="M170" s="2">
        <v>9578</v>
      </c>
      <c r="N170" s="2">
        <v>9518</v>
      </c>
      <c r="O170" s="2">
        <v>9457</v>
      </c>
      <c r="P170" s="2">
        <v>9395</v>
      </c>
    </row>
    <row r="171" spans="1:16">
      <c r="A171" s="84" t="s">
        <v>415</v>
      </c>
      <c r="B171" s="85" t="s">
        <v>414</v>
      </c>
      <c r="C171" s="85" t="s">
        <v>83</v>
      </c>
      <c r="D171" s="84" t="s">
        <v>84</v>
      </c>
      <c r="E171" s="84">
        <v>3</v>
      </c>
      <c r="F171" s="2">
        <v>28083</v>
      </c>
      <c r="G171" s="2">
        <v>28560</v>
      </c>
      <c r="H171" s="2">
        <v>28493</v>
      </c>
      <c r="I171" s="2">
        <v>28738</v>
      </c>
      <c r="J171" s="2">
        <v>28987</v>
      </c>
      <c r="K171" s="2">
        <v>29226</v>
      </c>
      <c r="L171" s="2">
        <v>29523</v>
      </c>
      <c r="M171" s="2">
        <v>29676</v>
      </c>
      <c r="N171" s="2">
        <v>29862</v>
      </c>
      <c r="O171" s="2">
        <v>30008</v>
      </c>
      <c r="P171" s="2">
        <v>30107</v>
      </c>
    </row>
    <row r="172" spans="1:16">
      <c r="A172" s="84" t="s">
        <v>417</v>
      </c>
      <c r="B172" s="85" t="s">
        <v>416</v>
      </c>
      <c r="C172" s="85" t="s">
        <v>79</v>
      </c>
      <c r="D172" s="84" t="s">
        <v>87</v>
      </c>
      <c r="E172" s="84">
        <v>1</v>
      </c>
      <c r="F172" s="2">
        <v>116953</v>
      </c>
      <c r="G172" s="2">
        <v>115179</v>
      </c>
      <c r="H172" s="2">
        <v>115817</v>
      </c>
      <c r="I172" s="2">
        <v>115487</v>
      </c>
      <c r="J172" s="2">
        <v>115347</v>
      </c>
      <c r="K172" s="2">
        <v>115401</v>
      </c>
      <c r="L172" s="2">
        <v>115494</v>
      </c>
      <c r="M172" s="2">
        <v>116395</v>
      </c>
      <c r="N172" s="2">
        <v>117140</v>
      </c>
      <c r="O172" s="2">
        <v>117944</v>
      </c>
      <c r="P172" s="2">
        <v>118736</v>
      </c>
    </row>
    <row r="173" spans="1:16">
      <c r="A173" s="84" t="s">
        <v>419</v>
      </c>
      <c r="B173" s="85" t="s">
        <v>418</v>
      </c>
      <c r="C173" s="85" t="s">
        <v>79</v>
      </c>
      <c r="D173" s="84" t="s">
        <v>87</v>
      </c>
      <c r="E173" s="84">
        <v>1</v>
      </c>
      <c r="F173" s="2">
        <v>88925</v>
      </c>
      <c r="G173" s="2">
        <v>88401</v>
      </c>
      <c r="H173" s="2">
        <v>88298</v>
      </c>
      <c r="I173" s="2">
        <v>87936</v>
      </c>
      <c r="J173" s="2">
        <v>87594</v>
      </c>
      <c r="K173" s="2">
        <v>87299</v>
      </c>
      <c r="L173" s="2">
        <v>86856</v>
      </c>
      <c r="M173" s="2">
        <v>87168</v>
      </c>
      <c r="N173" s="2">
        <v>87201</v>
      </c>
      <c r="O173" s="2">
        <v>87301</v>
      </c>
      <c r="P173" s="2">
        <v>87461</v>
      </c>
    </row>
    <row r="174" spans="1:16">
      <c r="A174" s="84" t="s">
        <v>421</v>
      </c>
      <c r="B174" s="85" t="s">
        <v>420</v>
      </c>
      <c r="C174" s="85" t="s">
        <v>74</v>
      </c>
      <c r="D174" s="84" t="s">
        <v>75</v>
      </c>
      <c r="E174" s="84">
        <v>2</v>
      </c>
      <c r="F174" s="2">
        <v>462490</v>
      </c>
      <c r="G174" s="2">
        <v>454902</v>
      </c>
      <c r="H174" s="2">
        <v>454991</v>
      </c>
      <c r="I174" s="2">
        <v>450311</v>
      </c>
      <c r="J174" s="2">
        <v>446458</v>
      </c>
      <c r="K174" s="2">
        <v>444140</v>
      </c>
      <c r="L174" s="2">
        <v>449197</v>
      </c>
      <c r="M174" s="2">
        <v>447101</v>
      </c>
      <c r="N174" s="2">
        <v>450804</v>
      </c>
      <c r="O174" s="2">
        <v>454880</v>
      </c>
      <c r="P174" s="2">
        <v>458661</v>
      </c>
    </row>
    <row r="175" spans="1:16">
      <c r="A175" s="84" t="s">
        <v>423</v>
      </c>
      <c r="B175" s="85" t="s">
        <v>422</v>
      </c>
      <c r="C175" s="85" t="s">
        <v>83</v>
      </c>
      <c r="D175" s="84" t="s">
        <v>84</v>
      </c>
      <c r="E175" s="84" t="s">
        <v>76</v>
      </c>
      <c r="F175" s="2">
        <v>2459142</v>
      </c>
      <c r="G175" s="2">
        <v>2511218</v>
      </c>
      <c r="H175" s="2">
        <v>2557680</v>
      </c>
      <c r="I175" s="2">
        <v>2606646</v>
      </c>
      <c r="J175" s="2">
        <v>2654890</v>
      </c>
      <c r="K175" s="2">
        <v>2702153</v>
      </c>
      <c r="L175" s="2">
        <v>2751520</v>
      </c>
      <c r="M175" s="2">
        <v>2794416</v>
      </c>
      <c r="N175" s="2">
        <v>2839322</v>
      </c>
      <c r="O175" s="2">
        <v>2883793</v>
      </c>
      <c r="P175" s="2">
        <v>2928081</v>
      </c>
    </row>
    <row r="176" spans="1:16">
      <c r="A176" s="84" t="s">
        <v>425</v>
      </c>
      <c r="B176" s="85" t="s">
        <v>424</v>
      </c>
      <c r="C176" s="85" t="s">
        <v>79</v>
      </c>
      <c r="D176" s="84" t="s">
        <v>75</v>
      </c>
      <c r="E176" s="84">
        <v>2</v>
      </c>
      <c r="F176" s="2">
        <v>265659</v>
      </c>
      <c r="G176" s="2">
        <v>271526</v>
      </c>
      <c r="H176" s="2">
        <v>276512</v>
      </c>
      <c r="I176" s="2">
        <v>283312</v>
      </c>
      <c r="J176" s="2">
        <v>290502</v>
      </c>
      <c r="K176" s="2">
        <v>297718</v>
      </c>
      <c r="L176" s="2">
        <v>308455</v>
      </c>
      <c r="M176" s="2">
        <v>311879</v>
      </c>
      <c r="N176" s="2">
        <v>318469</v>
      </c>
      <c r="O176" s="2">
        <v>324164</v>
      </c>
      <c r="P176" s="2">
        <v>328681</v>
      </c>
    </row>
    <row r="177" spans="1:16">
      <c r="A177" s="84" t="s">
        <v>427</v>
      </c>
      <c r="B177" s="85" t="s">
        <v>426</v>
      </c>
      <c r="C177" s="85" t="s">
        <v>110</v>
      </c>
      <c r="D177" s="84" t="s">
        <v>80</v>
      </c>
      <c r="E177" s="84">
        <v>1</v>
      </c>
      <c r="F177" s="2">
        <v>613186</v>
      </c>
      <c r="G177" s="2">
        <v>608305</v>
      </c>
      <c r="H177" s="2">
        <v>601119</v>
      </c>
      <c r="I177" s="2">
        <v>595349</v>
      </c>
      <c r="J177" s="2">
        <v>589769</v>
      </c>
      <c r="K177" s="2">
        <v>584367</v>
      </c>
      <c r="L177" s="2">
        <v>580359</v>
      </c>
      <c r="M177" s="2">
        <v>575533</v>
      </c>
      <c r="N177" s="2">
        <v>571158</v>
      </c>
      <c r="O177" s="2">
        <v>566538</v>
      </c>
      <c r="P177" s="2">
        <v>561529</v>
      </c>
    </row>
    <row r="178" spans="1:16">
      <c r="A178" s="84" t="s">
        <v>429</v>
      </c>
      <c r="B178" s="85" t="s">
        <v>428</v>
      </c>
      <c r="C178" s="85" t="s">
        <v>110</v>
      </c>
      <c r="D178" s="84" t="s">
        <v>84</v>
      </c>
      <c r="E178" s="84">
        <v>4</v>
      </c>
      <c r="F178" s="2">
        <v>37813</v>
      </c>
      <c r="G178" s="2">
        <v>37965</v>
      </c>
      <c r="H178" s="2">
        <v>37640</v>
      </c>
      <c r="I178" s="2">
        <v>37453</v>
      </c>
      <c r="J178" s="2">
        <v>37239</v>
      </c>
      <c r="K178" s="2">
        <v>37026</v>
      </c>
      <c r="L178" s="2">
        <v>36842</v>
      </c>
      <c r="M178" s="2">
        <v>36647</v>
      </c>
      <c r="N178" s="2">
        <v>36473</v>
      </c>
      <c r="O178" s="2">
        <v>36314</v>
      </c>
      <c r="P178" s="2">
        <v>36174</v>
      </c>
    </row>
    <row r="179" spans="1:16">
      <c r="A179" s="84" t="s">
        <v>431</v>
      </c>
      <c r="B179" s="85" t="s">
        <v>430</v>
      </c>
      <c r="C179" s="85" t="s">
        <v>83</v>
      </c>
      <c r="D179" s="84" t="s">
        <v>75</v>
      </c>
      <c r="E179" s="84">
        <v>3</v>
      </c>
      <c r="F179" s="2">
        <v>289747</v>
      </c>
      <c r="G179" s="2">
        <v>294650</v>
      </c>
      <c r="H179" s="2">
        <v>298064</v>
      </c>
      <c r="I179" s="2">
        <v>302092</v>
      </c>
      <c r="J179" s="2">
        <v>306014</v>
      </c>
      <c r="K179" s="2">
        <v>309824</v>
      </c>
      <c r="L179" s="2">
        <v>313809</v>
      </c>
      <c r="M179" s="2">
        <v>317207</v>
      </c>
      <c r="N179" s="2">
        <v>320719</v>
      </c>
      <c r="O179" s="2">
        <v>324096</v>
      </c>
      <c r="P179" s="2">
        <v>327334</v>
      </c>
    </row>
    <row r="180" spans="1:16">
      <c r="A180" s="84" t="s">
        <v>433</v>
      </c>
      <c r="B180" s="85" t="s">
        <v>432</v>
      </c>
      <c r="C180" s="85" t="s">
        <v>99</v>
      </c>
      <c r="D180" s="84" t="s">
        <v>80</v>
      </c>
      <c r="E180" s="84">
        <v>1</v>
      </c>
      <c r="F180" s="2">
        <v>2528</v>
      </c>
      <c r="G180" s="2">
        <v>2555</v>
      </c>
      <c r="H180" s="2">
        <v>2556</v>
      </c>
      <c r="I180" s="2">
        <v>2569</v>
      </c>
      <c r="J180" s="2">
        <v>2580</v>
      </c>
      <c r="K180" s="2">
        <v>2588</v>
      </c>
      <c r="L180" s="2">
        <v>2601</v>
      </c>
      <c r="M180" s="2">
        <v>2595</v>
      </c>
      <c r="N180" s="2">
        <v>2594</v>
      </c>
      <c r="O180" s="2">
        <v>2592</v>
      </c>
      <c r="P180" s="2">
        <v>2586</v>
      </c>
    </row>
    <row r="181" spans="1:16">
      <c r="A181" s="84" t="s">
        <v>435</v>
      </c>
      <c r="B181" s="85" t="s">
        <v>434</v>
      </c>
      <c r="C181" s="85" t="s">
        <v>92</v>
      </c>
      <c r="D181" s="84" t="s">
        <v>87</v>
      </c>
      <c r="E181" s="84">
        <v>1</v>
      </c>
      <c r="F181" s="2">
        <v>14478</v>
      </c>
      <c r="G181" s="2">
        <v>14486</v>
      </c>
      <c r="H181" s="2">
        <v>14350</v>
      </c>
      <c r="I181" s="2">
        <v>14321</v>
      </c>
      <c r="J181" s="2">
        <v>14301</v>
      </c>
      <c r="K181" s="2">
        <v>14286</v>
      </c>
      <c r="L181" s="2">
        <v>14357</v>
      </c>
      <c r="M181" s="2">
        <v>14279</v>
      </c>
      <c r="N181" s="2">
        <v>14268</v>
      </c>
      <c r="O181" s="2">
        <v>14241</v>
      </c>
      <c r="P181" s="2">
        <v>14194</v>
      </c>
    </row>
    <row r="182" spans="1:16">
      <c r="A182" s="84" t="s">
        <v>437</v>
      </c>
      <c r="B182" s="85" t="s">
        <v>436</v>
      </c>
      <c r="C182" s="85" t="s">
        <v>74</v>
      </c>
      <c r="D182" s="84" t="s">
        <v>84</v>
      </c>
      <c r="E182" s="84">
        <v>3</v>
      </c>
      <c r="F182" s="2">
        <v>163542</v>
      </c>
      <c r="G182" s="2">
        <v>161902</v>
      </c>
      <c r="H182" s="2">
        <v>159748</v>
      </c>
      <c r="I182" s="2">
        <v>158528</v>
      </c>
      <c r="J182" s="2">
        <v>157736</v>
      </c>
      <c r="K182" s="2">
        <v>157340</v>
      </c>
      <c r="L182" s="2">
        <v>158023</v>
      </c>
      <c r="M182" s="2">
        <v>157961</v>
      </c>
      <c r="N182" s="2">
        <v>158738</v>
      </c>
      <c r="O182" s="2">
        <v>159678</v>
      </c>
      <c r="P182" s="2">
        <v>160680</v>
      </c>
    </row>
    <row r="183" spans="1:16">
      <c r="A183" s="84" t="s">
        <v>439</v>
      </c>
      <c r="B183" s="85" t="s">
        <v>438</v>
      </c>
      <c r="C183" s="85" t="s">
        <v>79</v>
      </c>
      <c r="D183" s="84" t="s">
        <v>80</v>
      </c>
      <c r="E183" s="84">
        <v>1</v>
      </c>
      <c r="F183" s="2">
        <v>1195782</v>
      </c>
      <c r="G183" s="2">
        <v>1187774</v>
      </c>
      <c r="H183" s="2">
        <v>1179575</v>
      </c>
      <c r="I183" s="2">
        <v>1172961</v>
      </c>
      <c r="J183" s="2">
        <v>1166369</v>
      </c>
      <c r="K183" s="2">
        <v>1159234</v>
      </c>
      <c r="L183" s="2">
        <v>1155818</v>
      </c>
      <c r="M183" s="2">
        <v>1144249</v>
      </c>
      <c r="N183" s="2">
        <v>1136216</v>
      </c>
      <c r="O183" s="2">
        <v>1128187</v>
      </c>
      <c r="P183" s="2">
        <v>1120384</v>
      </c>
    </row>
    <row r="184" spans="1:16">
      <c r="A184" s="84" t="s">
        <v>441</v>
      </c>
      <c r="B184" s="85" t="s">
        <v>440</v>
      </c>
      <c r="C184" s="85" t="s">
        <v>79</v>
      </c>
      <c r="D184" s="84" t="s">
        <v>80</v>
      </c>
      <c r="E184" s="84">
        <v>1</v>
      </c>
      <c r="F184" s="2">
        <v>115830</v>
      </c>
      <c r="G184" s="2">
        <v>115582</v>
      </c>
      <c r="H184" s="2">
        <v>115865</v>
      </c>
      <c r="I184" s="2">
        <v>116529</v>
      </c>
      <c r="J184" s="2">
        <v>117436</v>
      </c>
      <c r="K184" s="2">
        <v>118456</v>
      </c>
      <c r="L184" s="2">
        <v>120446</v>
      </c>
      <c r="M184" s="2">
        <v>120866</v>
      </c>
      <c r="N184" s="2">
        <v>122123</v>
      </c>
      <c r="O184" s="2">
        <v>123298</v>
      </c>
      <c r="P184" s="2">
        <v>124320</v>
      </c>
    </row>
    <row r="185" spans="1:16">
      <c r="A185" s="84" t="s">
        <v>443</v>
      </c>
      <c r="B185" s="85" t="s">
        <v>442</v>
      </c>
      <c r="C185" s="85" t="s">
        <v>99</v>
      </c>
      <c r="D185" s="84" t="s">
        <v>80</v>
      </c>
      <c r="E185" s="84">
        <v>4</v>
      </c>
      <c r="F185" s="2">
        <v>0</v>
      </c>
      <c r="G185" s="2">
        <v>0</v>
      </c>
      <c r="H185" s="2">
        <v>0</v>
      </c>
      <c r="I185" s="2">
        <v>0</v>
      </c>
      <c r="J185" s="2">
        <v>0</v>
      </c>
      <c r="K185" s="2">
        <v>0</v>
      </c>
      <c r="L185" s="2">
        <v>0</v>
      </c>
      <c r="M185" s="2">
        <v>0</v>
      </c>
      <c r="N185" s="2">
        <v>0</v>
      </c>
      <c r="O185" s="2">
        <v>0</v>
      </c>
      <c r="P185" s="2">
        <v>0</v>
      </c>
    </row>
    <row r="186" spans="1:16">
      <c r="A186" s="84" t="s">
        <v>445</v>
      </c>
      <c r="B186" s="85" t="s">
        <v>444</v>
      </c>
      <c r="C186" s="85" t="s">
        <v>83</v>
      </c>
      <c r="D186" s="84" t="s">
        <v>75</v>
      </c>
      <c r="E186" s="84" t="s">
        <v>76</v>
      </c>
      <c r="F186" s="2">
        <v>1747633</v>
      </c>
      <c r="G186" s="2">
        <v>1775574</v>
      </c>
      <c r="H186" s="2">
        <v>1776497</v>
      </c>
      <c r="I186" s="2">
        <v>1788071</v>
      </c>
      <c r="J186" s="2">
        <v>1798497</v>
      </c>
      <c r="K186" s="2">
        <v>1808431</v>
      </c>
      <c r="L186" s="2">
        <v>1817212</v>
      </c>
      <c r="M186" s="2">
        <v>1827874</v>
      </c>
      <c r="N186" s="2">
        <v>1836857</v>
      </c>
      <c r="O186" s="2">
        <v>1845580</v>
      </c>
      <c r="P186" s="2">
        <v>1854116</v>
      </c>
    </row>
    <row r="187" spans="1:16">
      <c r="A187" s="84" t="s">
        <v>447</v>
      </c>
      <c r="B187" s="85" t="s">
        <v>446</v>
      </c>
      <c r="C187" s="85" t="s">
        <v>79</v>
      </c>
      <c r="D187" s="84" t="s">
        <v>84</v>
      </c>
      <c r="E187" s="84">
        <v>1</v>
      </c>
      <c r="F187" s="2">
        <v>337577</v>
      </c>
      <c r="G187" s="2">
        <v>336685</v>
      </c>
      <c r="H187" s="2">
        <v>334767</v>
      </c>
      <c r="I187" s="2">
        <v>334832</v>
      </c>
      <c r="J187" s="2">
        <v>335367</v>
      </c>
      <c r="K187" s="2">
        <v>336030</v>
      </c>
      <c r="L187" s="2">
        <v>337810</v>
      </c>
      <c r="M187" s="2">
        <v>337447</v>
      </c>
      <c r="N187" s="2">
        <v>338092</v>
      </c>
      <c r="O187" s="2">
        <v>338575</v>
      </c>
      <c r="P187" s="2">
        <v>338847</v>
      </c>
    </row>
    <row r="188" spans="1:16">
      <c r="A188" s="84" t="s">
        <v>449</v>
      </c>
      <c r="B188" s="85" t="s">
        <v>448</v>
      </c>
      <c r="C188" s="85" t="s">
        <v>74</v>
      </c>
      <c r="D188" s="84" t="s">
        <v>87</v>
      </c>
      <c r="E188" s="84">
        <v>1</v>
      </c>
      <c r="F188" s="2">
        <v>97072</v>
      </c>
      <c r="G188" s="2">
        <v>95508</v>
      </c>
      <c r="H188" s="2">
        <v>96527</v>
      </c>
      <c r="I188" s="2">
        <v>96469</v>
      </c>
      <c r="J188" s="2">
        <v>96483</v>
      </c>
      <c r="K188" s="2">
        <v>96520</v>
      </c>
      <c r="L188" s="2">
        <v>96629</v>
      </c>
      <c r="M188" s="2">
        <v>97012</v>
      </c>
      <c r="N188" s="2">
        <v>97370</v>
      </c>
      <c r="O188" s="2">
        <v>97876</v>
      </c>
      <c r="P188" s="2">
        <v>98563</v>
      </c>
    </row>
    <row r="189" spans="1:16">
      <c r="A189" s="84" t="s">
        <v>451</v>
      </c>
      <c r="B189" s="85" t="s">
        <v>450</v>
      </c>
      <c r="C189" s="85" t="s">
        <v>79</v>
      </c>
      <c r="D189" s="84" t="s">
        <v>87</v>
      </c>
      <c r="E189" s="84">
        <v>1</v>
      </c>
      <c r="F189" s="2">
        <v>753181</v>
      </c>
      <c r="G189" s="2">
        <v>743274</v>
      </c>
      <c r="H189" s="2">
        <v>746688</v>
      </c>
      <c r="I189" s="2">
        <v>745180</v>
      </c>
      <c r="J189" s="2">
        <v>744578</v>
      </c>
      <c r="K189" s="2">
        <v>744646</v>
      </c>
      <c r="L189" s="2">
        <v>744076</v>
      </c>
      <c r="M189" s="2">
        <v>748532</v>
      </c>
      <c r="N189" s="2">
        <v>751361</v>
      </c>
      <c r="O189" s="2">
        <v>754443</v>
      </c>
      <c r="P189" s="2">
        <v>757526</v>
      </c>
    </row>
    <row r="190" spans="1:16">
      <c r="A190" s="84" t="s">
        <v>453</v>
      </c>
      <c r="B190" s="85" t="s">
        <v>452</v>
      </c>
      <c r="C190" s="85" t="s">
        <v>92</v>
      </c>
      <c r="D190" s="84" t="s">
        <v>87</v>
      </c>
      <c r="E190" s="84" t="s">
        <v>76</v>
      </c>
      <c r="F190" s="2">
        <v>4159764</v>
      </c>
      <c r="G190" s="2">
        <v>4144116</v>
      </c>
      <c r="H190" s="2">
        <v>4168384</v>
      </c>
      <c r="I190" s="2">
        <v>4169506.0000000005</v>
      </c>
      <c r="J190" s="2">
        <v>4169050</v>
      </c>
      <c r="K190" s="2">
        <v>4167197</v>
      </c>
      <c r="L190" s="2">
        <v>4151303</v>
      </c>
      <c r="M190" s="2">
        <v>4171139</v>
      </c>
      <c r="N190" s="2">
        <v>4171295</v>
      </c>
      <c r="O190" s="2">
        <v>4169524.0000000005</v>
      </c>
      <c r="P190" s="2">
        <v>4165380</v>
      </c>
    </row>
    <row r="191" spans="1:16">
      <c r="A191" s="84" t="s">
        <v>455</v>
      </c>
      <c r="B191" s="85" t="s">
        <v>454</v>
      </c>
      <c r="C191" s="85" t="s">
        <v>92</v>
      </c>
      <c r="D191" s="84" t="s">
        <v>87</v>
      </c>
      <c r="E191" s="84">
        <v>1</v>
      </c>
      <c r="F191" s="2">
        <v>44363</v>
      </c>
      <c r="G191" s="2">
        <v>44201</v>
      </c>
      <c r="H191" s="2">
        <v>43694</v>
      </c>
      <c r="I191" s="2">
        <v>43317</v>
      </c>
      <c r="J191" s="2">
        <v>42935</v>
      </c>
      <c r="K191" s="2">
        <v>42565</v>
      </c>
      <c r="L191" s="2">
        <v>42191</v>
      </c>
      <c r="M191" s="2">
        <v>41929</v>
      </c>
      <c r="N191" s="2">
        <v>41630</v>
      </c>
      <c r="O191" s="2">
        <v>41342</v>
      </c>
      <c r="P191" s="2">
        <v>41059</v>
      </c>
    </row>
    <row r="192" spans="1:16">
      <c r="A192" s="84" t="s">
        <v>457</v>
      </c>
      <c r="B192" s="85" t="s">
        <v>456</v>
      </c>
      <c r="C192" s="85" t="s">
        <v>79</v>
      </c>
      <c r="D192" s="84" t="s">
        <v>84</v>
      </c>
      <c r="E192" s="84">
        <v>2</v>
      </c>
      <c r="F192" s="2">
        <v>584481</v>
      </c>
      <c r="G192" s="2">
        <v>589763</v>
      </c>
      <c r="H192" s="2">
        <v>587054</v>
      </c>
      <c r="I192" s="2">
        <v>590119</v>
      </c>
      <c r="J192" s="2">
        <v>593812</v>
      </c>
      <c r="K192" s="2">
        <v>597760</v>
      </c>
      <c r="L192" s="2">
        <v>608105</v>
      </c>
      <c r="M192" s="2">
        <v>606715</v>
      </c>
      <c r="N192" s="2">
        <v>610732</v>
      </c>
      <c r="O192" s="2">
        <v>613697</v>
      </c>
      <c r="P192" s="2">
        <v>615225</v>
      </c>
    </row>
    <row r="193" spans="1:16">
      <c r="A193" s="84" t="s">
        <v>459</v>
      </c>
      <c r="B193" s="85" t="s">
        <v>458</v>
      </c>
      <c r="C193" s="85" t="s">
        <v>99</v>
      </c>
      <c r="D193" s="84" t="s">
        <v>84</v>
      </c>
      <c r="E193" s="84">
        <v>4</v>
      </c>
      <c r="F193" s="2">
        <v>9536</v>
      </c>
      <c r="G193" s="2">
        <v>9686</v>
      </c>
      <c r="H193" s="2">
        <v>9800</v>
      </c>
      <c r="I193" s="2">
        <v>9931</v>
      </c>
      <c r="J193" s="2">
        <v>10061</v>
      </c>
      <c r="K193" s="2">
        <v>10190</v>
      </c>
      <c r="L193" s="2">
        <v>10337</v>
      </c>
      <c r="M193" s="2">
        <v>10453</v>
      </c>
      <c r="N193" s="2">
        <v>10580</v>
      </c>
      <c r="O193" s="2">
        <v>10703</v>
      </c>
      <c r="P193" s="2">
        <v>10820</v>
      </c>
    </row>
    <row r="194" spans="1:16">
      <c r="A194" s="84" t="s">
        <v>461</v>
      </c>
      <c r="B194" s="85" t="s">
        <v>460</v>
      </c>
      <c r="C194" s="85" t="s">
        <v>92</v>
      </c>
      <c r="D194" s="84" t="s">
        <v>80</v>
      </c>
      <c r="E194" s="84">
        <v>1</v>
      </c>
      <c r="F194" s="2">
        <v>530963</v>
      </c>
      <c r="G194" s="2">
        <v>529464</v>
      </c>
      <c r="H194" s="2">
        <v>528012</v>
      </c>
      <c r="I194" s="2">
        <v>524380</v>
      </c>
      <c r="J194" s="2">
        <v>519815.00000000006</v>
      </c>
      <c r="K194" s="2">
        <v>514635</v>
      </c>
      <c r="L194" s="2">
        <v>504648</v>
      </c>
      <c r="M194" s="2">
        <v>504502</v>
      </c>
      <c r="N194" s="2">
        <v>499009</v>
      </c>
      <c r="O194" s="2">
        <v>493452</v>
      </c>
      <c r="P194" s="2">
        <v>487937</v>
      </c>
    </row>
    <row r="195" spans="1:16">
      <c r="A195" s="84" t="s">
        <v>463</v>
      </c>
      <c r="B195" s="85" t="s">
        <v>462</v>
      </c>
      <c r="C195" s="85" t="s">
        <v>99</v>
      </c>
      <c r="D195" s="84" t="s">
        <v>84</v>
      </c>
      <c r="E195" s="84">
        <v>4</v>
      </c>
      <c r="F195" s="2">
        <v>1389685</v>
      </c>
      <c r="G195" s="2">
        <v>1391487</v>
      </c>
      <c r="H195" s="2">
        <v>1334922</v>
      </c>
      <c r="I195" s="2">
        <v>1302056</v>
      </c>
      <c r="J195" s="2">
        <v>1272683</v>
      </c>
      <c r="K195" s="2">
        <v>1251142</v>
      </c>
      <c r="L195" s="2">
        <v>1221004</v>
      </c>
      <c r="M195" s="2">
        <v>1238217</v>
      </c>
      <c r="N195" s="2">
        <v>1240969</v>
      </c>
      <c r="O195" s="2">
        <v>1246181</v>
      </c>
      <c r="P195" s="2">
        <v>1251401</v>
      </c>
    </row>
    <row r="196" spans="1:16">
      <c r="A196" s="84" t="s">
        <v>465</v>
      </c>
      <c r="B196" s="85" t="s">
        <v>464</v>
      </c>
      <c r="C196" s="85" t="s">
        <v>74</v>
      </c>
      <c r="D196" s="84" t="s">
        <v>75</v>
      </c>
      <c r="E196" s="84">
        <v>3</v>
      </c>
      <c r="F196" s="2">
        <v>847393</v>
      </c>
      <c r="G196" s="2">
        <v>848778</v>
      </c>
      <c r="H196" s="2">
        <v>849926</v>
      </c>
      <c r="I196" s="2">
        <v>851196</v>
      </c>
      <c r="J196" s="2">
        <v>851957</v>
      </c>
      <c r="K196" s="2">
        <v>851914</v>
      </c>
      <c r="L196" s="2">
        <v>853515</v>
      </c>
      <c r="M196" s="2">
        <v>849459</v>
      </c>
      <c r="N196" s="2">
        <v>847311</v>
      </c>
      <c r="O196" s="2">
        <v>844943</v>
      </c>
      <c r="P196" s="2">
        <v>842594</v>
      </c>
    </row>
    <row r="197" spans="1:16">
      <c r="A197" s="84" t="s">
        <v>467</v>
      </c>
      <c r="B197" s="85" t="s">
        <v>466</v>
      </c>
      <c r="C197" s="85" t="s">
        <v>83</v>
      </c>
      <c r="D197" s="84" t="s">
        <v>84</v>
      </c>
      <c r="E197" s="84">
        <v>3</v>
      </c>
      <c r="F197" s="2">
        <v>745735</v>
      </c>
      <c r="G197" s="2">
        <v>757884</v>
      </c>
      <c r="H197" s="2">
        <v>772784</v>
      </c>
      <c r="I197" s="2">
        <v>786296</v>
      </c>
      <c r="J197" s="2">
        <v>799510</v>
      </c>
      <c r="K197" s="2">
        <v>812232</v>
      </c>
      <c r="L197" s="2">
        <v>825060</v>
      </c>
      <c r="M197" s="2">
        <v>836436</v>
      </c>
      <c r="N197" s="2">
        <v>847979</v>
      </c>
      <c r="O197" s="2">
        <v>859389</v>
      </c>
      <c r="P197" s="2">
        <v>870805</v>
      </c>
    </row>
    <row r="198" spans="1:16">
      <c r="A198" s="84" t="s">
        <v>469</v>
      </c>
      <c r="B198" s="85" t="s">
        <v>468</v>
      </c>
      <c r="C198" s="85" t="s">
        <v>83</v>
      </c>
      <c r="D198" s="84" t="s">
        <v>84</v>
      </c>
      <c r="E198" s="84">
        <v>3</v>
      </c>
      <c r="F198" s="2">
        <v>430112</v>
      </c>
      <c r="G198" s="2">
        <v>436515</v>
      </c>
      <c r="H198" s="2">
        <v>439941</v>
      </c>
      <c r="I198" s="2">
        <v>445459</v>
      </c>
      <c r="J198" s="2">
        <v>450812</v>
      </c>
      <c r="K198" s="2">
        <v>455654</v>
      </c>
      <c r="L198" s="2">
        <v>461154</v>
      </c>
      <c r="M198" s="2">
        <v>463651</v>
      </c>
      <c r="N198" s="2">
        <v>466705</v>
      </c>
      <c r="O198" s="2">
        <v>469068</v>
      </c>
      <c r="P198" s="2">
        <v>470730</v>
      </c>
    </row>
    <row r="199" spans="1:16">
      <c r="E199" s="2"/>
      <c r="F199" s="2"/>
      <c r="G199" s="2"/>
      <c r="H199" s="2"/>
      <c r="I199" s="2"/>
      <c r="J199" s="2"/>
      <c r="K199" s="2"/>
      <c r="L199" s="2"/>
      <c r="M199" s="2"/>
      <c r="N199" s="2"/>
      <c r="O199" s="2"/>
      <c r="P199" s="2"/>
    </row>
    <row r="200" spans="1:16">
      <c r="E200" s="2"/>
      <c r="F200" s="2"/>
      <c r="G200" s="2"/>
      <c r="H200" s="2"/>
      <c r="I200" s="2"/>
      <c r="J200" s="2"/>
      <c r="K200" s="2"/>
      <c r="L200" s="2"/>
      <c r="M200" s="2"/>
      <c r="N200" s="2"/>
      <c r="O200" s="2"/>
      <c r="P200" s="2"/>
    </row>
    <row r="201" spans="1:16">
      <c r="E201" s="2"/>
      <c r="F201" s="2"/>
      <c r="G201" s="2"/>
      <c r="H201" s="2"/>
      <c r="I201" s="2"/>
      <c r="J201" s="2"/>
      <c r="K201" s="2"/>
      <c r="L201" s="2"/>
      <c r="M201" s="2"/>
      <c r="N201" s="2"/>
      <c r="O201" s="2"/>
      <c r="P201" s="2"/>
    </row>
    <row r="202" spans="1:16">
      <c r="E202" s="2"/>
      <c r="F202" s="2"/>
      <c r="G202" s="2"/>
      <c r="H202" s="2"/>
      <c r="I202" s="2"/>
      <c r="J202" s="2"/>
      <c r="K202" s="2"/>
      <c r="L202" s="2"/>
      <c r="M202" s="2"/>
      <c r="N202" s="2"/>
      <c r="O202" s="2"/>
      <c r="P202" s="2"/>
    </row>
    <row r="203" spans="1:16">
      <c r="E203" s="2"/>
      <c r="F203" s="2"/>
      <c r="G203" s="2"/>
      <c r="H203" s="2"/>
      <c r="I203" s="2"/>
      <c r="J203" s="2"/>
      <c r="K203" s="2"/>
      <c r="L203" s="2"/>
      <c r="M203" s="2"/>
      <c r="N203" s="2"/>
      <c r="O203" s="2"/>
      <c r="P203" s="2"/>
    </row>
    <row r="204" spans="1:16">
      <c r="E204" s="94"/>
      <c r="F204" s="2"/>
      <c r="G204" s="2"/>
      <c r="H204" s="2"/>
      <c r="I204" s="2"/>
      <c r="J204" s="2"/>
      <c r="K204" s="2"/>
      <c r="L204" s="2"/>
      <c r="M204" s="2"/>
      <c r="N204" s="2"/>
      <c r="O204" s="2"/>
      <c r="P204" s="2"/>
    </row>
  </sheetData>
  <autoFilter ref="A4:P204" xr:uid="{1BE26F4C-1587-7C4D-887A-C69327E2A75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C577-C2A3-0F4C-AC0D-D66F03BCD849}">
  <sheetPr>
    <tabColor theme="7" tint="0.79998168889431442"/>
  </sheetPr>
  <dimension ref="A1:P204"/>
  <sheetViews>
    <sheetView zoomScale="117" zoomScaleNormal="117" workbookViewId="0">
      <selection activeCell="D333" sqref="D333"/>
    </sheetView>
  </sheetViews>
  <sheetFormatPr defaultColWidth="10.85546875" defaultRowHeight="15"/>
  <cols>
    <col min="6" max="16" width="13.7109375" bestFit="1" customWidth="1"/>
  </cols>
  <sheetData>
    <row r="1" spans="1:16">
      <c r="A1" t="s">
        <v>470</v>
      </c>
      <c r="B1" t="s">
        <v>475</v>
      </c>
    </row>
    <row r="2" spans="1:16">
      <c r="A2" t="s">
        <v>471</v>
      </c>
      <c r="B2" t="s">
        <v>472</v>
      </c>
    </row>
    <row r="4" spans="1:16" s="88" customFormat="1">
      <c r="A4" s="86" t="s">
        <v>473</v>
      </c>
      <c r="B4" s="87" t="s">
        <v>64</v>
      </c>
      <c r="C4" s="86" t="s">
        <v>66</v>
      </c>
      <c r="D4" s="86" t="s">
        <v>67</v>
      </c>
      <c r="E4" s="86" t="s">
        <v>68</v>
      </c>
      <c r="F4" s="88">
        <v>2030</v>
      </c>
      <c r="G4" s="88">
        <v>2031</v>
      </c>
      <c r="H4" s="88">
        <v>2032</v>
      </c>
      <c r="I4" s="88">
        <v>2033</v>
      </c>
      <c r="J4" s="88">
        <v>2034</v>
      </c>
      <c r="K4" s="88">
        <v>2035</v>
      </c>
      <c r="L4" s="88">
        <v>2036</v>
      </c>
      <c r="M4" s="88">
        <v>2037</v>
      </c>
      <c r="N4" s="88">
        <v>2038</v>
      </c>
      <c r="O4" s="88">
        <v>2039</v>
      </c>
      <c r="P4" s="88">
        <v>2040</v>
      </c>
    </row>
    <row r="5" spans="1:16">
      <c r="A5" s="84" t="s">
        <v>73</v>
      </c>
      <c r="B5" s="85" t="s">
        <v>72</v>
      </c>
      <c r="C5" s="85" t="s">
        <v>74</v>
      </c>
      <c r="D5" s="84" t="s">
        <v>75</v>
      </c>
      <c r="E5" s="84" t="s">
        <v>76</v>
      </c>
      <c r="F5" s="2">
        <v>2372167</v>
      </c>
      <c r="G5" s="2">
        <v>2375658.9999999995</v>
      </c>
      <c r="H5" s="2">
        <v>2376767</v>
      </c>
      <c r="I5" s="2">
        <v>2378019</v>
      </c>
      <c r="J5" s="2">
        <v>2378182</v>
      </c>
      <c r="K5" s="2">
        <v>2377009</v>
      </c>
      <c r="L5" s="2">
        <v>2376818</v>
      </c>
      <c r="M5" s="2">
        <v>2371607</v>
      </c>
      <c r="N5" s="2">
        <v>2366996</v>
      </c>
      <c r="O5" s="2">
        <v>2361181</v>
      </c>
      <c r="P5" s="2">
        <v>2354218</v>
      </c>
    </row>
    <row r="6" spans="1:16">
      <c r="A6" s="84" t="s">
        <v>78</v>
      </c>
      <c r="B6" s="85" t="s">
        <v>77</v>
      </c>
      <c r="C6" s="85" t="s">
        <v>79</v>
      </c>
      <c r="D6" s="84" t="s">
        <v>80</v>
      </c>
      <c r="E6" s="84">
        <v>1</v>
      </c>
      <c r="F6" s="2">
        <v>50325</v>
      </c>
      <c r="G6" s="2">
        <v>48564</v>
      </c>
      <c r="H6" s="2">
        <v>47355.000000000007</v>
      </c>
      <c r="I6" s="2">
        <v>46205</v>
      </c>
      <c r="J6" s="2">
        <v>45209</v>
      </c>
      <c r="K6" s="2">
        <v>44316</v>
      </c>
      <c r="L6" s="2">
        <v>43632.000000000007</v>
      </c>
      <c r="M6" s="2">
        <v>42911</v>
      </c>
      <c r="N6" s="2">
        <v>42364.000000000007</v>
      </c>
      <c r="O6" s="2">
        <v>41882</v>
      </c>
      <c r="P6" s="2">
        <v>41443</v>
      </c>
    </row>
    <row r="7" spans="1:16">
      <c r="A7" s="84" t="s">
        <v>82</v>
      </c>
      <c r="B7" s="85" t="s">
        <v>81</v>
      </c>
      <c r="C7" s="85" t="s">
        <v>83</v>
      </c>
      <c r="D7" s="84" t="s">
        <v>84</v>
      </c>
      <c r="E7" s="84">
        <v>2</v>
      </c>
      <c r="F7" s="2">
        <v>1646831.0000000002</v>
      </c>
      <c r="G7" s="2">
        <v>1646538</v>
      </c>
      <c r="H7" s="2">
        <v>1622902</v>
      </c>
      <c r="I7" s="2">
        <v>1609964</v>
      </c>
      <c r="J7" s="2">
        <v>1601793.0000000002</v>
      </c>
      <c r="K7" s="2">
        <v>1601569</v>
      </c>
      <c r="L7" s="2">
        <v>1614045</v>
      </c>
      <c r="M7" s="2">
        <v>1627675.0000000002</v>
      </c>
      <c r="N7" s="2">
        <v>1649151</v>
      </c>
      <c r="O7" s="2">
        <v>1672619.0000000002</v>
      </c>
      <c r="P7" s="2">
        <v>1695726.9999999998</v>
      </c>
    </row>
    <row r="8" spans="1:16">
      <c r="A8" s="84" t="s">
        <v>86</v>
      </c>
      <c r="B8" s="85" t="s">
        <v>85</v>
      </c>
      <c r="C8" s="85" t="s">
        <v>79</v>
      </c>
      <c r="D8" s="84" t="s">
        <v>87</v>
      </c>
      <c r="E8" s="84">
        <v>1</v>
      </c>
      <c r="F8" s="2">
        <v>0</v>
      </c>
      <c r="G8" s="2">
        <v>0</v>
      </c>
      <c r="H8" s="2">
        <v>0</v>
      </c>
      <c r="I8" s="2">
        <v>0</v>
      </c>
      <c r="J8" s="2">
        <v>0</v>
      </c>
      <c r="K8" s="2">
        <v>0</v>
      </c>
      <c r="L8" s="2">
        <v>0</v>
      </c>
      <c r="M8" s="2">
        <v>0</v>
      </c>
      <c r="N8" s="2">
        <v>0</v>
      </c>
      <c r="O8" s="2">
        <v>0</v>
      </c>
      <c r="P8" s="2">
        <v>0</v>
      </c>
    </row>
    <row r="9" spans="1:16">
      <c r="A9" s="84" t="s">
        <v>89</v>
      </c>
      <c r="B9" s="85" t="s">
        <v>88</v>
      </c>
      <c r="C9" s="85" t="s">
        <v>83</v>
      </c>
      <c r="D9" s="84" t="s">
        <v>84</v>
      </c>
      <c r="E9" s="84">
        <v>3</v>
      </c>
      <c r="F9" s="2">
        <v>3067685.0000000005</v>
      </c>
      <c r="G9" s="2">
        <v>3139639</v>
      </c>
      <c r="H9" s="2">
        <v>3207045</v>
      </c>
      <c r="I9" s="2">
        <v>3277511</v>
      </c>
      <c r="J9" s="2">
        <v>3347423</v>
      </c>
      <c r="K9" s="2">
        <v>3416216</v>
      </c>
      <c r="L9" s="2">
        <v>3485850.0000000005</v>
      </c>
      <c r="M9" s="2">
        <v>3550396</v>
      </c>
      <c r="N9" s="2">
        <v>3616528.0000000005</v>
      </c>
      <c r="O9" s="2">
        <v>3683125</v>
      </c>
      <c r="P9" s="2">
        <v>3750777</v>
      </c>
    </row>
    <row r="10" spans="1:16">
      <c r="A10" s="84" t="s">
        <v>91</v>
      </c>
      <c r="B10" s="85" t="s">
        <v>90</v>
      </c>
      <c r="C10" s="85" t="s">
        <v>92</v>
      </c>
      <c r="D10" s="84" t="s">
        <v>87</v>
      </c>
      <c r="E10" s="84">
        <v>1</v>
      </c>
      <c r="F10" s="2">
        <v>0</v>
      </c>
      <c r="G10" s="2">
        <v>2694</v>
      </c>
      <c r="H10" s="2">
        <v>2660</v>
      </c>
      <c r="I10" s="2">
        <v>2633</v>
      </c>
      <c r="J10" s="2">
        <v>2609</v>
      </c>
      <c r="K10" s="2">
        <v>2590</v>
      </c>
      <c r="L10" s="2">
        <v>2577</v>
      </c>
      <c r="M10" s="2">
        <v>2575</v>
      </c>
      <c r="N10" s="2">
        <v>2574</v>
      </c>
      <c r="O10" s="2">
        <v>2574</v>
      </c>
      <c r="P10" s="2">
        <v>2569</v>
      </c>
    </row>
    <row r="11" spans="1:16">
      <c r="A11" s="84" t="s">
        <v>94</v>
      </c>
      <c r="B11" s="85" t="s">
        <v>93</v>
      </c>
      <c r="C11" s="85" t="s">
        <v>92</v>
      </c>
      <c r="D11" s="84" t="s">
        <v>80</v>
      </c>
      <c r="E11" s="84">
        <v>1</v>
      </c>
      <c r="F11" s="2">
        <v>1464473</v>
      </c>
      <c r="G11" s="2">
        <v>1461793.9999999998</v>
      </c>
      <c r="H11" s="2">
        <v>1454463.0000000002</v>
      </c>
      <c r="I11" s="2">
        <v>1448146</v>
      </c>
      <c r="J11" s="2">
        <v>1441934.0000000002</v>
      </c>
      <c r="K11" s="2">
        <v>1436401</v>
      </c>
      <c r="L11" s="2">
        <v>1432032.0000000002</v>
      </c>
      <c r="M11" s="2">
        <v>1430063</v>
      </c>
      <c r="N11" s="2">
        <v>1427507</v>
      </c>
      <c r="O11" s="2">
        <v>1424503</v>
      </c>
      <c r="P11" s="2">
        <v>1420546</v>
      </c>
    </row>
    <row r="12" spans="1:16">
      <c r="A12" s="84" t="s">
        <v>96</v>
      </c>
      <c r="B12" s="85" t="s">
        <v>95</v>
      </c>
      <c r="C12" s="85" t="s">
        <v>79</v>
      </c>
      <c r="D12" s="84" t="s">
        <v>80</v>
      </c>
      <c r="E12" s="84">
        <v>1</v>
      </c>
      <c r="F12" s="2">
        <v>61809</v>
      </c>
      <c r="G12" s="2">
        <v>61221</v>
      </c>
      <c r="H12" s="2">
        <v>60570</v>
      </c>
      <c r="I12" s="2">
        <v>60257.999999999993</v>
      </c>
      <c r="J12" s="2">
        <v>60128</v>
      </c>
      <c r="K12" s="2">
        <v>60156.000000000007</v>
      </c>
      <c r="L12" s="2">
        <v>60593.999999999993</v>
      </c>
      <c r="M12" s="2">
        <v>60724.999999999993</v>
      </c>
      <c r="N12" s="2">
        <v>61150</v>
      </c>
      <c r="O12" s="2">
        <v>61586</v>
      </c>
      <c r="P12" s="2">
        <v>61983.999999999993</v>
      </c>
    </row>
    <row r="13" spans="1:16">
      <c r="A13" s="84" t="s">
        <v>98</v>
      </c>
      <c r="B13" s="85" t="s">
        <v>97</v>
      </c>
      <c r="C13" s="85" t="s">
        <v>99</v>
      </c>
      <c r="D13" s="84" t="s">
        <v>87</v>
      </c>
      <c r="E13" s="84">
        <v>1</v>
      </c>
      <c r="F13" s="2">
        <v>647853.00000000012</v>
      </c>
      <c r="G13" s="2">
        <v>651066</v>
      </c>
      <c r="H13" s="2">
        <v>650439.00000000012</v>
      </c>
      <c r="I13" s="2">
        <v>650765.00000000012</v>
      </c>
      <c r="J13" s="2">
        <v>651351</v>
      </c>
      <c r="K13" s="2">
        <v>652746</v>
      </c>
      <c r="L13" s="2">
        <v>656379</v>
      </c>
      <c r="M13" s="2">
        <v>660321</v>
      </c>
      <c r="N13" s="2">
        <v>665053</v>
      </c>
      <c r="O13" s="2">
        <v>670170.00000000012</v>
      </c>
      <c r="P13" s="2">
        <v>675476</v>
      </c>
    </row>
    <row r="14" spans="1:16">
      <c r="A14" s="84" t="s">
        <v>101</v>
      </c>
      <c r="B14" s="85" t="s">
        <v>100</v>
      </c>
      <c r="C14" s="85" t="s">
        <v>79</v>
      </c>
      <c r="D14" s="84" t="s">
        <v>87</v>
      </c>
      <c r="E14" s="84">
        <v>1</v>
      </c>
      <c r="F14" s="2">
        <v>172309</v>
      </c>
      <c r="G14" s="2">
        <v>170673.99999999997</v>
      </c>
      <c r="H14" s="2">
        <v>169326.00000000003</v>
      </c>
      <c r="I14" s="2">
        <v>167612</v>
      </c>
      <c r="J14" s="2">
        <v>165911</v>
      </c>
      <c r="K14" s="2">
        <v>164322</v>
      </c>
      <c r="L14" s="2">
        <v>162882</v>
      </c>
      <c r="M14" s="2">
        <v>161925</v>
      </c>
      <c r="N14" s="2">
        <v>160966</v>
      </c>
      <c r="O14" s="2">
        <v>160196</v>
      </c>
      <c r="P14" s="2">
        <v>159618</v>
      </c>
    </row>
    <row r="15" spans="1:16">
      <c r="A15" s="84" t="s">
        <v>103</v>
      </c>
      <c r="B15" s="85" t="s">
        <v>102</v>
      </c>
      <c r="C15" s="85" t="s">
        <v>79</v>
      </c>
      <c r="D15" s="84" t="s">
        <v>80</v>
      </c>
      <c r="E15" s="84">
        <v>1</v>
      </c>
      <c r="F15" s="2">
        <v>256255.99999999997</v>
      </c>
      <c r="G15" s="2">
        <v>258507</v>
      </c>
      <c r="H15" s="2">
        <v>257890</v>
      </c>
      <c r="I15" s="2">
        <v>259442</v>
      </c>
      <c r="J15" s="2">
        <v>260916</v>
      </c>
      <c r="K15" s="2">
        <v>261975.00000000003</v>
      </c>
      <c r="L15" s="2">
        <v>264416</v>
      </c>
      <c r="M15" s="2">
        <v>263055</v>
      </c>
      <c r="N15" s="2">
        <v>262784</v>
      </c>
      <c r="O15" s="2">
        <v>261873.00000000006</v>
      </c>
      <c r="P15" s="2">
        <v>260313.99999999997</v>
      </c>
    </row>
    <row r="16" spans="1:16">
      <c r="A16" s="84" t="s">
        <v>105</v>
      </c>
      <c r="B16" s="85" t="s">
        <v>104</v>
      </c>
      <c r="C16" s="85" t="s">
        <v>92</v>
      </c>
      <c r="D16" s="84" t="s">
        <v>87</v>
      </c>
      <c r="E16" s="84">
        <v>1</v>
      </c>
      <c r="F16" s="2">
        <v>10934.000000000002</v>
      </c>
      <c r="G16" s="2">
        <v>10917.000000000002</v>
      </c>
      <c r="H16" s="2">
        <v>10860</v>
      </c>
      <c r="I16" s="2">
        <v>10771.999999999998</v>
      </c>
      <c r="J16" s="2">
        <v>10675</v>
      </c>
      <c r="K16" s="2">
        <v>10588.999999999998</v>
      </c>
      <c r="L16" s="2">
        <v>10507</v>
      </c>
      <c r="M16" s="2">
        <v>10476</v>
      </c>
      <c r="N16" s="2">
        <v>10429</v>
      </c>
      <c r="O16" s="2">
        <v>10384</v>
      </c>
      <c r="P16" s="2">
        <v>10346</v>
      </c>
    </row>
    <row r="17" spans="1:16">
      <c r="A17" s="84" t="s">
        <v>107</v>
      </c>
      <c r="B17" s="85" t="s">
        <v>106</v>
      </c>
      <c r="C17" s="85" t="s">
        <v>74</v>
      </c>
      <c r="D17" s="84" t="s">
        <v>87</v>
      </c>
      <c r="E17" s="84">
        <v>1</v>
      </c>
      <c r="F17" s="2">
        <v>44310</v>
      </c>
      <c r="G17" s="2">
        <v>44194</v>
      </c>
      <c r="H17" s="2">
        <v>44554</v>
      </c>
      <c r="I17" s="2">
        <v>44791</v>
      </c>
      <c r="J17" s="2">
        <v>44881</v>
      </c>
      <c r="K17" s="2">
        <v>44699</v>
      </c>
      <c r="L17" s="2">
        <v>44436</v>
      </c>
      <c r="M17" s="2">
        <v>43608</v>
      </c>
      <c r="N17" s="2">
        <v>42796</v>
      </c>
      <c r="O17" s="2">
        <v>41995.000000000007</v>
      </c>
      <c r="P17" s="2">
        <v>41310</v>
      </c>
    </row>
    <row r="18" spans="1:16">
      <c r="A18" s="84" t="s">
        <v>109</v>
      </c>
      <c r="B18" s="85" t="s">
        <v>108</v>
      </c>
      <c r="C18" s="85" t="s">
        <v>110</v>
      </c>
      <c r="D18" s="84" t="s">
        <v>84</v>
      </c>
      <c r="E18" s="84" t="s">
        <v>76</v>
      </c>
      <c r="F18" s="2">
        <v>5078629.0000000009</v>
      </c>
      <c r="G18" s="2">
        <v>5009590</v>
      </c>
      <c r="H18" s="2">
        <v>4955554</v>
      </c>
      <c r="I18" s="2">
        <v>4898253.0000000009</v>
      </c>
      <c r="J18" s="2">
        <v>4840927</v>
      </c>
      <c r="K18" s="2">
        <v>4781844</v>
      </c>
      <c r="L18" s="2">
        <v>4728626</v>
      </c>
      <c r="M18" s="2">
        <v>4663376</v>
      </c>
      <c r="N18" s="2">
        <v>4603308.9999999991</v>
      </c>
      <c r="O18" s="2">
        <v>4544627</v>
      </c>
      <c r="P18" s="2">
        <v>4488479</v>
      </c>
    </row>
    <row r="19" spans="1:16">
      <c r="A19" s="84" t="s">
        <v>112</v>
      </c>
      <c r="B19" s="85" t="s">
        <v>111</v>
      </c>
      <c r="C19" s="85" t="s">
        <v>92</v>
      </c>
      <c r="D19" s="84" t="s">
        <v>87</v>
      </c>
      <c r="E19" s="84">
        <v>1</v>
      </c>
      <c r="F19" s="2">
        <v>5978</v>
      </c>
      <c r="G19" s="2">
        <v>5964</v>
      </c>
      <c r="H19" s="2">
        <v>5939.9999999999991</v>
      </c>
      <c r="I19" s="2">
        <v>5906.0000000000009</v>
      </c>
      <c r="J19" s="2">
        <v>5861</v>
      </c>
      <c r="K19" s="2">
        <v>5811</v>
      </c>
      <c r="L19" s="2">
        <v>5761</v>
      </c>
      <c r="M19" s="2">
        <v>5706</v>
      </c>
      <c r="N19" s="2">
        <v>5643</v>
      </c>
      <c r="O19" s="2">
        <v>5576.0000000000009</v>
      </c>
      <c r="P19" s="2">
        <v>5507</v>
      </c>
    </row>
    <row r="20" spans="1:16">
      <c r="A20" s="84" t="s">
        <v>114</v>
      </c>
      <c r="B20" s="85" t="s">
        <v>113</v>
      </c>
      <c r="C20" s="85" t="s">
        <v>79</v>
      </c>
      <c r="D20" s="84" t="s">
        <v>80</v>
      </c>
      <c r="E20" s="84">
        <v>2</v>
      </c>
      <c r="F20" s="2">
        <v>172101.99999999997</v>
      </c>
      <c r="G20" s="2">
        <v>167024.99999999997</v>
      </c>
      <c r="H20" s="2">
        <v>167218.00000000003</v>
      </c>
      <c r="I20" s="2">
        <v>167547</v>
      </c>
      <c r="J20" s="2">
        <v>168666</v>
      </c>
      <c r="K20" s="2">
        <v>169890</v>
      </c>
      <c r="L20" s="2">
        <v>171531.99999999997</v>
      </c>
      <c r="M20" s="2">
        <v>172608.99999999997</v>
      </c>
      <c r="N20" s="2">
        <v>174238</v>
      </c>
      <c r="O20" s="2">
        <v>176091</v>
      </c>
      <c r="P20" s="2">
        <v>178175</v>
      </c>
    </row>
    <row r="21" spans="1:16">
      <c r="A21" s="84" t="s">
        <v>116</v>
      </c>
      <c r="B21" s="85" t="s">
        <v>115</v>
      </c>
      <c r="C21" s="85" t="s">
        <v>79</v>
      </c>
      <c r="D21" s="84" t="s">
        <v>87</v>
      </c>
      <c r="E21" s="84">
        <v>1</v>
      </c>
      <c r="F21" s="2">
        <v>239642</v>
      </c>
      <c r="G21" s="2">
        <v>238437</v>
      </c>
      <c r="H21" s="2">
        <v>238998</v>
      </c>
      <c r="I21" s="2">
        <v>239390</v>
      </c>
      <c r="J21" s="2">
        <v>239957</v>
      </c>
      <c r="K21" s="2">
        <v>240498</v>
      </c>
      <c r="L21" s="2">
        <v>241309</v>
      </c>
      <c r="M21" s="2">
        <v>242142</v>
      </c>
      <c r="N21" s="2">
        <v>242918.99999999997</v>
      </c>
      <c r="O21" s="2">
        <v>243644</v>
      </c>
      <c r="P21" s="2">
        <v>244304</v>
      </c>
    </row>
    <row r="22" spans="1:16">
      <c r="A22" s="84" t="s">
        <v>118</v>
      </c>
      <c r="B22" s="85" t="s">
        <v>117</v>
      </c>
      <c r="C22" s="85" t="s">
        <v>92</v>
      </c>
      <c r="D22" s="84" t="s">
        <v>80</v>
      </c>
      <c r="E22" s="84">
        <v>1</v>
      </c>
      <c r="F22" s="2">
        <v>15904</v>
      </c>
      <c r="G22" s="2">
        <v>15772</v>
      </c>
      <c r="H22" s="2">
        <v>15763</v>
      </c>
      <c r="I22" s="2">
        <v>15708</v>
      </c>
      <c r="J22" s="2">
        <v>15651</v>
      </c>
      <c r="K22" s="2">
        <v>15580</v>
      </c>
      <c r="L22" s="2">
        <v>15501.999999999998</v>
      </c>
      <c r="M22" s="2">
        <v>15431.000000000002</v>
      </c>
      <c r="N22" s="2">
        <v>15344.999999999998</v>
      </c>
      <c r="O22" s="2">
        <v>15254.999999999998</v>
      </c>
      <c r="P22" s="2">
        <v>15167</v>
      </c>
    </row>
    <row r="23" spans="1:16">
      <c r="A23" s="84" t="s">
        <v>120</v>
      </c>
      <c r="B23" s="85" t="s">
        <v>119</v>
      </c>
      <c r="C23" s="85" t="s">
        <v>83</v>
      </c>
      <c r="D23" s="84" t="s">
        <v>84</v>
      </c>
      <c r="E23" s="84">
        <v>3</v>
      </c>
      <c r="F23" s="2">
        <v>942131</v>
      </c>
      <c r="G23" s="2">
        <v>957668</v>
      </c>
      <c r="H23" s="2">
        <v>971280</v>
      </c>
      <c r="I23" s="2">
        <v>985847</v>
      </c>
      <c r="J23" s="2">
        <v>1000308</v>
      </c>
      <c r="K23" s="2">
        <v>1014598.9999999999</v>
      </c>
      <c r="L23" s="2">
        <v>1029427.9999999999</v>
      </c>
      <c r="M23" s="2">
        <v>1042559.0000000002</v>
      </c>
      <c r="N23" s="2">
        <v>1056306</v>
      </c>
      <c r="O23" s="2">
        <v>1069804.9999999998</v>
      </c>
      <c r="P23" s="2">
        <v>1083008</v>
      </c>
    </row>
    <row r="24" spans="1:16">
      <c r="A24" s="84" t="s">
        <v>122</v>
      </c>
      <c r="B24" s="85" t="s">
        <v>121</v>
      </c>
      <c r="C24" s="85" t="s">
        <v>110</v>
      </c>
      <c r="D24" s="84" t="s">
        <v>84</v>
      </c>
      <c r="E24" s="84">
        <v>2</v>
      </c>
      <c r="F24" s="2">
        <v>22038</v>
      </c>
      <c r="G24" s="2">
        <v>21704</v>
      </c>
      <c r="H24" s="2">
        <v>21291</v>
      </c>
      <c r="I24" s="2">
        <v>20859</v>
      </c>
      <c r="J24" s="2">
        <v>20429.000000000004</v>
      </c>
      <c r="K24" s="2">
        <v>20021</v>
      </c>
      <c r="L24" s="2">
        <v>19671.999999999996</v>
      </c>
      <c r="M24" s="2">
        <v>19314</v>
      </c>
      <c r="N24" s="2">
        <v>18997.999999999996</v>
      </c>
      <c r="O24" s="2">
        <v>18713</v>
      </c>
      <c r="P24" s="2">
        <v>18462</v>
      </c>
    </row>
    <row r="25" spans="1:16">
      <c r="A25" s="84" t="s">
        <v>124</v>
      </c>
      <c r="B25" s="85" t="s">
        <v>123</v>
      </c>
      <c r="C25" s="85" t="s">
        <v>92</v>
      </c>
      <c r="D25" s="84" t="s">
        <v>84</v>
      </c>
      <c r="E25" s="84">
        <v>2</v>
      </c>
      <c r="F25" s="2">
        <v>484249</v>
      </c>
      <c r="G25" s="2">
        <v>482905</v>
      </c>
      <c r="H25" s="2">
        <v>482100</v>
      </c>
      <c r="I25" s="2">
        <v>481147</v>
      </c>
      <c r="J25" s="2">
        <v>480190</v>
      </c>
      <c r="K25" s="2">
        <v>479156</v>
      </c>
      <c r="L25" s="2">
        <v>478099.00000000006</v>
      </c>
      <c r="M25" s="2">
        <v>477467</v>
      </c>
      <c r="N25" s="2">
        <v>476483</v>
      </c>
      <c r="O25" s="2">
        <v>475212</v>
      </c>
      <c r="P25" s="2">
        <v>473548</v>
      </c>
    </row>
    <row r="26" spans="1:16">
      <c r="A26" s="84" t="s">
        <v>126</v>
      </c>
      <c r="B26" s="85" t="s">
        <v>125</v>
      </c>
      <c r="C26" s="85" t="s">
        <v>79</v>
      </c>
      <c r="D26" s="84" t="s">
        <v>80</v>
      </c>
      <c r="E26" s="84">
        <v>1</v>
      </c>
      <c r="F26" s="2">
        <v>44851</v>
      </c>
      <c r="G26" s="2">
        <v>44460</v>
      </c>
      <c r="H26" s="2">
        <v>44512</v>
      </c>
      <c r="I26" s="2">
        <v>44584</v>
      </c>
      <c r="J26" s="2">
        <v>44668</v>
      </c>
      <c r="K26" s="2">
        <v>44668</v>
      </c>
      <c r="L26" s="2">
        <v>44626.999999999993</v>
      </c>
      <c r="M26" s="2">
        <v>44425</v>
      </c>
      <c r="N26" s="2">
        <v>44187</v>
      </c>
      <c r="O26" s="2">
        <v>43903</v>
      </c>
      <c r="P26" s="2">
        <v>43600</v>
      </c>
    </row>
    <row r="27" spans="1:16">
      <c r="A27" s="84" t="s">
        <v>128</v>
      </c>
      <c r="B27" s="85" t="s">
        <v>127</v>
      </c>
      <c r="C27" s="85" t="s">
        <v>83</v>
      </c>
      <c r="D27" s="84" t="s">
        <v>80</v>
      </c>
      <c r="E27" s="84">
        <v>2</v>
      </c>
      <c r="F27" s="2">
        <v>107951</v>
      </c>
      <c r="G27" s="2">
        <v>108684</v>
      </c>
      <c r="H27" s="2">
        <v>108721</v>
      </c>
      <c r="I27" s="2">
        <v>109008.00000000001</v>
      </c>
      <c r="J27" s="2">
        <v>109274</v>
      </c>
      <c r="K27" s="2">
        <v>109548</v>
      </c>
      <c r="L27" s="2">
        <v>109985.00000000001</v>
      </c>
      <c r="M27" s="2">
        <v>110283</v>
      </c>
      <c r="N27" s="2">
        <v>110598</v>
      </c>
      <c r="O27" s="2">
        <v>110812.00000000001</v>
      </c>
      <c r="P27" s="2">
        <v>110888</v>
      </c>
    </row>
    <row r="28" spans="1:16">
      <c r="A28" s="84" t="s">
        <v>130</v>
      </c>
      <c r="B28" s="85" t="s">
        <v>129</v>
      </c>
      <c r="C28" s="85" t="s">
        <v>92</v>
      </c>
      <c r="D28" s="84" t="s">
        <v>80</v>
      </c>
      <c r="E28" s="84" t="s">
        <v>76</v>
      </c>
      <c r="F28" s="2">
        <v>5042181.0000000009</v>
      </c>
      <c r="G28" s="2">
        <v>5001131</v>
      </c>
      <c r="H28" s="2">
        <v>4948000</v>
      </c>
      <c r="I28" s="2">
        <v>4896991</v>
      </c>
      <c r="J28" s="2">
        <v>4843889</v>
      </c>
      <c r="K28" s="2">
        <v>4789192</v>
      </c>
      <c r="L28" s="2">
        <v>4744936</v>
      </c>
      <c r="M28" s="2">
        <v>4682459.0000000009</v>
      </c>
      <c r="N28" s="2">
        <v>4628231</v>
      </c>
      <c r="O28" s="2">
        <v>4576192</v>
      </c>
      <c r="P28" s="2">
        <v>4528001</v>
      </c>
    </row>
    <row r="29" spans="1:16">
      <c r="A29" s="84" t="s">
        <v>132</v>
      </c>
      <c r="B29" s="85" t="s">
        <v>131</v>
      </c>
      <c r="C29" s="85" t="s">
        <v>99</v>
      </c>
      <c r="D29" s="84" t="s">
        <v>87</v>
      </c>
      <c r="E29" s="84">
        <v>1</v>
      </c>
      <c r="F29" s="2">
        <v>10867</v>
      </c>
      <c r="G29" s="2">
        <v>10702</v>
      </c>
      <c r="H29" s="2">
        <v>10581</v>
      </c>
      <c r="I29" s="2">
        <v>10488</v>
      </c>
      <c r="J29" s="2">
        <v>10410</v>
      </c>
      <c r="K29" s="2">
        <v>10334</v>
      </c>
      <c r="L29" s="2">
        <v>10267</v>
      </c>
      <c r="M29" s="2">
        <v>10218</v>
      </c>
      <c r="N29" s="2">
        <v>10168</v>
      </c>
      <c r="O29" s="2">
        <v>10122</v>
      </c>
      <c r="P29" s="2">
        <v>10082</v>
      </c>
    </row>
    <row r="30" spans="1:16">
      <c r="A30" s="84" t="s">
        <v>134</v>
      </c>
      <c r="B30" s="85" t="s">
        <v>133</v>
      </c>
      <c r="C30" s="85" t="s">
        <v>79</v>
      </c>
      <c r="D30" s="84" t="s">
        <v>80</v>
      </c>
      <c r="E30" s="84">
        <v>1</v>
      </c>
      <c r="F30" s="2">
        <v>108218</v>
      </c>
      <c r="G30" s="2">
        <v>107363</v>
      </c>
      <c r="H30" s="2">
        <v>106542</v>
      </c>
      <c r="I30" s="2">
        <v>105803</v>
      </c>
      <c r="J30" s="2">
        <v>105188</v>
      </c>
      <c r="K30" s="2">
        <v>104729.99999999999</v>
      </c>
      <c r="L30" s="2">
        <v>104441</v>
      </c>
      <c r="M30" s="2">
        <v>104221</v>
      </c>
      <c r="N30" s="2">
        <v>104102</v>
      </c>
      <c r="O30" s="2">
        <v>103987</v>
      </c>
      <c r="P30" s="2">
        <v>103827</v>
      </c>
    </row>
    <row r="31" spans="1:16">
      <c r="A31" s="84" t="s">
        <v>136</v>
      </c>
      <c r="B31" s="85" t="s">
        <v>135</v>
      </c>
      <c r="C31" s="85" t="s">
        <v>83</v>
      </c>
      <c r="D31" s="84" t="s">
        <v>75</v>
      </c>
      <c r="E31" s="84">
        <v>3</v>
      </c>
      <c r="F31" s="2">
        <v>1720260</v>
      </c>
      <c r="G31" s="2">
        <v>1750277</v>
      </c>
      <c r="H31" s="2">
        <v>1775256</v>
      </c>
      <c r="I31" s="2">
        <v>1802005.9999999998</v>
      </c>
      <c r="J31" s="2">
        <v>1828268</v>
      </c>
      <c r="K31" s="2">
        <v>1854074.9999999998</v>
      </c>
      <c r="L31" s="2">
        <v>1880550</v>
      </c>
      <c r="M31" s="2">
        <v>1904329.0000000002</v>
      </c>
      <c r="N31" s="2">
        <v>1928648.0000000002</v>
      </c>
      <c r="O31" s="2">
        <v>1952182</v>
      </c>
      <c r="P31" s="2">
        <v>1974802.0000000002</v>
      </c>
    </row>
    <row r="32" spans="1:16">
      <c r="A32" s="84" t="s">
        <v>138</v>
      </c>
      <c r="B32" s="85" t="s">
        <v>137</v>
      </c>
      <c r="C32" s="85" t="s">
        <v>83</v>
      </c>
      <c r="D32" s="84" t="s">
        <v>75</v>
      </c>
      <c r="E32" s="84">
        <v>3</v>
      </c>
      <c r="F32" s="2">
        <v>983542</v>
      </c>
      <c r="G32" s="2">
        <v>998327</v>
      </c>
      <c r="H32" s="2">
        <v>1013699.0000000001</v>
      </c>
      <c r="I32" s="2">
        <v>1029766.0000000001</v>
      </c>
      <c r="J32" s="2">
        <v>1046161.9999999998</v>
      </c>
      <c r="K32" s="2">
        <v>1062648</v>
      </c>
      <c r="L32" s="2">
        <v>1079835</v>
      </c>
      <c r="M32" s="2">
        <v>1095771</v>
      </c>
      <c r="N32" s="2">
        <v>1112397</v>
      </c>
      <c r="O32" s="2">
        <v>1128970</v>
      </c>
      <c r="P32" s="2">
        <v>1145425.0000000002</v>
      </c>
    </row>
    <row r="33" spans="1:16">
      <c r="A33" s="84" t="s">
        <v>140</v>
      </c>
      <c r="B33" s="85" t="s">
        <v>139</v>
      </c>
      <c r="C33" s="85" t="s">
        <v>99</v>
      </c>
      <c r="D33" s="84" t="s">
        <v>84</v>
      </c>
      <c r="E33" s="84">
        <v>4</v>
      </c>
      <c r="F33" s="2">
        <v>664684</v>
      </c>
      <c r="G33" s="2">
        <v>665131.00000000012</v>
      </c>
      <c r="H33" s="2">
        <v>665329</v>
      </c>
      <c r="I33" s="2">
        <v>666336</v>
      </c>
      <c r="J33" s="2">
        <v>667347</v>
      </c>
      <c r="K33" s="2">
        <v>668065</v>
      </c>
      <c r="L33" s="2">
        <v>670190</v>
      </c>
      <c r="M33" s="2">
        <v>668931</v>
      </c>
      <c r="N33" s="2">
        <v>668593.00000000012</v>
      </c>
      <c r="O33" s="2">
        <v>667414</v>
      </c>
      <c r="P33" s="2">
        <v>665245</v>
      </c>
    </row>
    <row r="34" spans="1:16">
      <c r="A34" s="84" t="s">
        <v>142</v>
      </c>
      <c r="B34" s="85" t="s">
        <v>141</v>
      </c>
      <c r="C34" s="85" t="s">
        <v>83</v>
      </c>
      <c r="D34" s="84" t="s">
        <v>84</v>
      </c>
      <c r="E34" s="84">
        <v>3</v>
      </c>
      <c r="F34" s="2">
        <v>1948178</v>
      </c>
      <c r="G34" s="2">
        <v>1974801</v>
      </c>
      <c r="H34" s="2">
        <v>1995884</v>
      </c>
      <c r="I34" s="2">
        <v>2019327</v>
      </c>
      <c r="J34" s="2">
        <v>2042809.0000000002</v>
      </c>
      <c r="K34" s="2">
        <v>2066516.9999999998</v>
      </c>
      <c r="L34" s="2">
        <v>2091514.0000000002</v>
      </c>
      <c r="M34" s="2">
        <v>2115154.9999999995</v>
      </c>
      <c r="N34" s="2">
        <v>2139561</v>
      </c>
      <c r="O34" s="2">
        <v>2163502.9999999995</v>
      </c>
      <c r="P34" s="2">
        <v>2186665</v>
      </c>
    </row>
    <row r="35" spans="1:16">
      <c r="A35" s="84" t="s">
        <v>144</v>
      </c>
      <c r="B35" s="85" t="s">
        <v>143</v>
      </c>
      <c r="C35" s="85" t="s">
        <v>92</v>
      </c>
      <c r="D35" s="84" t="s">
        <v>87</v>
      </c>
      <c r="E35" s="84">
        <v>1</v>
      </c>
      <c r="F35" s="2">
        <v>802373</v>
      </c>
      <c r="G35" s="2">
        <v>803250</v>
      </c>
      <c r="H35" s="2">
        <v>805645</v>
      </c>
      <c r="I35" s="2">
        <v>806419</v>
      </c>
      <c r="J35" s="2">
        <v>807385</v>
      </c>
      <c r="K35" s="2">
        <v>808993.99999999988</v>
      </c>
      <c r="L35" s="2">
        <v>810391.00000000012</v>
      </c>
      <c r="M35" s="2">
        <v>817310</v>
      </c>
      <c r="N35" s="2">
        <v>822154</v>
      </c>
      <c r="O35" s="2">
        <v>827081</v>
      </c>
      <c r="P35" s="2">
        <v>831831</v>
      </c>
    </row>
    <row r="36" spans="1:16">
      <c r="A36" s="84" t="s">
        <v>146</v>
      </c>
      <c r="B36" s="85" t="s">
        <v>145</v>
      </c>
      <c r="C36" s="85" t="s">
        <v>83</v>
      </c>
      <c r="D36" s="84" t="s">
        <v>84</v>
      </c>
      <c r="E36" s="84">
        <v>2</v>
      </c>
      <c r="F36" s="2">
        <v>18240.000000000004</v>
      </c>
      <c r="G36" s="2">
        <v>18083</v>
      </c>
      <c r="H36" s="2">
        <v>17920</v>
      </c>
      <c r="I36" s="2">
        <v>17808.999999999996</v>
      </c>
      <c r="J36" s="2">
        <v>17705</v>
      </c>
      <c r="K36" s="2">
        <v>17595</v>
      </c>
      <c r="L36" s="2">
        <v>17537</v>
      </c>
      <c r="M36" s="2">
        <v>17363</v>
      </c>
      <c r="N36" s="2">
        <v>17241</v>
      </c>
      <c r="O36" s="2">
        <v>17119.999999999996</v>
      </c>
      <c r="P36" s="2">
        <v>17000.999999999996</v>
      </c>
    </row>
    <row r="37" spans="1:16">
      <c r="A37" s="84" t="s">
        <v>148</v>
      </c>
      <c r="B37" s="85" t="s">
        <v>147</v>
      </c>
      <c r="C37" s="85" t="s">
        <v>83</v>
      </c>
      <c r="D37" s="84" t="s">
        <v>75</v>
      </c>
      <c r="E37" s="84">
        <v>3</v>
      </c>
      <c r="F37" s="2">
        <v>355310</v>
      </c>
      <c r="G37" s="2">
        <v>358334</v>
      </c>
      <c r="H37" s="2">
        <v>360400</v>
      </c>
      <c r="I37" s="2">
        <v>362573</v>
      </c>
      <c r="J37" s="2">
        <v>364374</v>
      </c>
      <c r="K37" s="2">
        <v>365742</v>
      </c>
      <c r="L37" s="2">
        <v>366601</v>
      </c>
      <c r="M37" s="2">
        <v>367067</v>
      </c>
      <c r="N37" s="2">
        <v>367270.99999999994</v>
      </c>
      <c r="O37" s="2">
        <v>367323</v>
      </c>
      <c r="P37" s="2">
        <v>367320</v>
      </c>
    </row>
    <row r="38" spans="1:16">
      <c r="A38" s="84" t="s">
        <v>150</v>
      </c>
      <c r="B38" s="85" t="s">
        <v>149</v>
      </c>
      <c r="C38" s="85" t="s">
        <v>83</v>
      </c>
      <c r="D38" s="84" t="s">
        <v>75</v>
      </c>
      <c r="E38" s="84" t="s">
        <v>76</v>
      </c>
      <c r="F38" s="2">
        <v>1449725</v>
      </c>
      <c r="G38" s="2">
        <v>1470955</v>
      </c>
      <c r="H38" s="2">
        <v>1489101</v>
      </c>
      <c r="I38" s="2">
        <v>1508666.0000000002</v>
      </c>
      <c r="J38" s="2">
        <v>1527802.0000000002</v>
      </c>
      <c r="K38" s="2">
        <v>1546312</v>
      </c>
      <c r="L38" s="2">
        <v>1565137.0000000002</v>
      </c>
      <c r="M38" s="2">
        <v>1579488</v>
      </c>
      <c r="N38" s="2">
        <v>1595566</v>
      </c>
      <c r="O38" s="2">
        <v>1611632</v>
      </c>
      <c r="P38" s="2">
        <v>1627860.0000000002</v>
      </c>
    </row>
    <row r="39" spans="1:16">
      <c r="A39" s="84" t="s">
        <v>152</v>
      </c>
      <c r="B39" s="85" t="s">
        <v>151</v>
      </c>
      <c r="C39" s="85" t="s">
        <v>92</v>
      </c>
      <c r="D39" s="84" t="s">
        <v>87</v>
      </c>
      <c r="E39" s="84">
        <v>2</v>
      </c>
      <c r="F39" s="2">
        <v>405231</v>
      </c>
      <c r="G39" s="2">
        <v>399748.00000000006</v>
      </c>
      <c r="H39" s="2">
        <v>400597.99999999994</v>
      </c>
      <c r="I39" s="2">
        <v>401265.99999999994</v>
      </c>
      <c r="J39" s="2">
        <v>401890.99999999994</v>
      </c>
      <c r="K39" s="2">
        <v>401257</v>
      </c>
      <c r="L39" s="2">
        <v>400336</v>
      </c>
      <c r="M39" s="2">
        <v>396646</v>
      </c>
      <c r="N39" s="2">
        <v>393119</v>
      </c>
      <c r="O39" s="2">
        <v>389772</v>
      </c>
      <c r="P39" s="2">
        <v>387183</v>
      </c>
    </row>
    <row r="40" spans="1:16">
      <c r="A40" s="84" t="s">
        <v>154</v>
      </c>
      <c r="B40" s="85" t="s">
        <v>153</v>
      </c>
      <c r="C40" s="85" t="s">
        <v>99</v>
      </c>
      <c r="D40" s="84" t="s">
        <v>80</v>
      </c>
      <c r="E40" s="84">
        <v>1</v>
      </c>
      <c r="F40" s="2">
        <v>28232092</v>
      </c>
      <c r="G40" s="2">
        <v>28172183</v>
      </c>
      <c r="H40" s="2">
        <v>27906458</v>
      </c>
      <c r="I40" s="2">
        <v>27737458</v>
      </c>
      <c r="J40" s="2">
        <v>27572345</v>
      </c>
      <c r="K40" s="2">
        <v>27416756</v>
      </c>
      <c r="L40" s="2">
        <v>27356064</v>
      </c>
      <c r="M40" s="2">
        <v>27181201</v>
      </c>
      <c r="N40" s="2">
        <v>27069343.999999996</v>
      </c>
      <c r="O40" s="2">
        <v>26965617</v>
      </c>
      <c r="P40" s="2">
        <v>26871447.999999996</v>
      </c>
    </row>
    <row r="41" spans="1:16">
      <c r="A41" s="84" t="s">
        <v>156</v>
      </c>
      <c r="B41" s="85" t="s">
        <v>155</v>
      </c>
      <c r="C41" s="85" t="s">
        <v>92</v>
      </c>
      <c r="D41" s="84" t="s">
        <v>80</v>
      </c>
      <c r="E41" s="84">
        <v>2</v>
      </c>
      <c r="F41" s="2">
        <v>1284980</v>
      </c>
      <c r="G41" s="2">
        <v>1276064</v>
      </c>
      <c r="H41" s="2">
        <v>1261682</v>
      </c>
      <c r="I41" s="2">
        <v>1247691</v>
      </c>
      <c r="J41" s="2">
        <v>1233290</v>
      </c>
      <c r="K41" s="2">
        <v>1219228</v>
      </c>
      <c r="L41" s="2">
        <v>1208327</v>
      </c>
      <c r="M41" s="2">
        <v>1194058</v>
      </c>
      <c r="N41" s="2">
        <v>1181801</v>
      </c>
      <c r="O41" s="2">
        <v>1169984</v>
      </c>
      <c r="P41" s="2">
        <v>1158723</v>
      </c>
    </row>
    <row r="42" spans="1:16">
      <c r="A42" s="84" t="s">
        <v>158</v>
      </c>
      <c r="B42" s="85" t="s">
        <v>157</v>
      </c>
      <c r="C42" s="85" t="s">
        <v>83</v>
      </c>
      <c r="D42" s="84" t="s">
        <v>84</v>
      </c>
      <c r="E42" s="84">
        <v>3</v>
      </c>
      <c r="F42" s="2">
        <v>54855.000000000007</v>
      </c>
      <c r="G42" s="2">
        <v>55355.000000000007</v>
      </c>
      <c r="H42" s="2">
        <v>55807</v>
      </c>
      <c r="I42" s="2">
        <v>56306</v>
      </c>
      <c r="J42" s="2">
        <v>56800</v>
      </c>
      <c r="K42" s="2">
        <v>57274</v>
      </c>
      <c r="L42" s="2">
        <v>57785</v>
      </c>
      <c r="M42" s="2">
        <v>58174</v>
      </c>
      <c r="N42" s="2">
        <v>58601</v>
      </c>
      <c r="O42" s="2">
        <v>59016.999999999993</v>
      </c>
      <c r="P42" s="2">
        <v>59425</v>
      </c>
    </row>
    <row r="43" spans="1:16">
      <c r="A43" s="84" t="s">
        <v>160</v>
      </c>
      <c r="B43" s="85" t="s">
        <v>159</v>
      </c>
      <c r="C43" s="85" t="s">
        <v>83</v>
      </c>
      <c r="D43" s="84" t="s">
        <v>84</v>
      </c>
      <c r="E43" s="84">
        <v>3</v>
      </c>
      <c r="F43" s="2">
        <v>400167.00000000006</v>
      </c>
      <c r="G43" s="2">
        <v>407827</v>
      </c>
      <c r="H43" s="2">
        <v>414659</v>
      </c>
      <c r="I43" s="2">
        <v>421936.00000000006</v>
      </c>
      <c r="J43" s="2">
        <v>429034</v>
      </c>
      <c r="K43" s="2">
        <v>435848</v>
      </c>
      <c r="L43" s="2">
        <v>442764</v>
      </c>
      <c r="M43" s="2">
        <v>448913</v>
      </c>
      <c r="N43" s="2">
        <v>455072</v>
      </c>
      <c r="O43" s="2">
        <v>461089</v>
      </c>
      <c r="P43" s="2">
        <v>467029</v>
      </c>
    </row>
    <row r="44" spans="1:16">
      <c r="A44" s="84" t="s">
        <v>162</v>
      </c>
      <c r="B44" s="85" t="s">
        <v>161</v>
      </c>
      <c r="C44" s="85" t="s">
        <v>99</v>
      </c>
      <c r="D44" s="84" t="e">
        <v>#N/A</v>
      </c>
      <c r="E44" s="84">
        <v>1</v>
      </c>
      <c r="F44" s="2">
        <v>0</v>
      </c>
      <c r="G44" s="2">
        <v>0</v>
      </c>
      <c r="H44" s="2">
        <v>0</v>
      </c>
      <c r="I44" s="2">
        <v>0</v>
      </c>
      <c r="J44" s="2">
        <v>0</v>
      </c>
      <c r="K44" s="2">
        <v>0</v>
      </c>
      <c r="L44" s="2">
        <v>0</v>
      </c>
      <c r="M44" s="2">
        <v>0</v>
      </c>
      <c r="N44" s="2">
        <v>0</v>
      </c>
      <c r="O44" s="2">
        <v>0</v>
      </c>
      <c r="P44" s="2">
        <v>0</v>
      </c>
    </row>
    <row r="45" spans="1:16">
      <c r="A45" s="84" t="s">
        <v>164</v>
      </c>
      <c r="B45" s="85" t="s">
        <v>163</v>
      </c>
      <c r="C45" s="85" t="s">
        <v>92</v>
      </c>
      <c r="D45" s="84" t="s">
        <v>80</v>
      </c>
      <c r="E45" s="84">
        <v>2</v>
      </c>
      <c r="F45" s="2">
        <v>120619</v>
      </c>
      <c r="G45" s="2">
        <v>119664</v>
      </c>
      <c r="H45" s="2">
        <v>119005</v>
      </c>
      <c r="I45" s="2">
        <v>118396</v>
      </c>
      <c r="J45" s="2">
        <v>117753.99999999999</v>
      </c>
      <c r="K45" s="2">
        <v>116984</v>
      </c>
      <c r="L45" s="2">
        <v>116472.00000000001</v>
      </c>
      <c r="M45" s="2">
        <v>115220</v>
      </c>
      <c r="N45" s="2">
        <v>114211</v>
      </c>
      <c r="O45" s="2">
        <v>113224</v>
      </c>
      <c r="P45" s="2">
        <v>112324</v>
      </c>
    </row>
    <row r="46" spans="1:16">
      <c r="A46" s="84" t="s">
        <v>166</v>
      </c>
      <c r="B46" s="85" t="s">
        <v>165</v>
      </c>
      <c r="C46" s="85" t="s">
        <v>83</v>
      </c>
      <c r="D46" s="84" t="s">
        <v>84</v>
      </c>
      <c r="E46" s="84">
        <v>3</v>
      </c>
      <c r="F46" s="2">
        <v>2017810</v>
      </c>
      <c r="G46" s="2">
        <v>2047681</v>
      </c>
      <c r="H46" s="2">
        <v>2073069.9999999998</v>
      </c>
      <c r="I46" s="2">
        <v>2099904</v>
      </c>
      <c r="J46" s="2">
        <v>2126884</v>
      </c>
      <c r="K46" s="2">
        <v>2154399.0000000005</v>
      </c>
      <c r="L46" s="2">
        <v>2183564.0000000005</v>
      </c>
      <c r="M46" s="2">
        <v>2211808</v>
      </c>
      <c r="N46" s="2">
        <v>2241058</v>
      </c>
      <c r="O46" s="2">
        <v>2270115</v>
      </c>
      <c r="P46" s="2">
        <v>2298626</v>
      </c>
    </row>
    <row r="47" spans="1:16">
      <c r="A47" s="84" t="s">
        <v>168</v>
      </c>
      <c r="B47" s="85" t="s">
        <v>167</v>
      </c>
      <c r="C47" s="85" t="s">
        <v>79</v>
      </c>
      <c r="D47" s="84" t="s">
        <v>87</v>
      </c>
      <c r="E47" s="84">
        <v>1</v>
      </c>
      <c r="F47" s="2">
        <v>61956</v>
      </c>
      <c r="G47" s="2">
        <v>61492.000000000007</v>
      </c>
      <c r="H47" s="2">
        <v>60779</v>
      </c>
      <c r="I47" s="2">
        <v>60227</v>
      </c>
      <c r="J47" s="2">
        <v>59707</v>
      </c>
      <c r="K47" s="2">
        <v>59225</v>
      </c>
      <c r="L47" s="2">
        <v>58829</v>
      </c>
      <c r="M47" s="2">
        <v>58412</v>
      </c>
      <c r="N47" s="2">
        <v>58055</v>
      </c>
      <c r="O47" s="2">
        <v>57744</v>
      </c>
      <c r="P47" s="2">
        <v>57485</v>
      </c>
    </row>
    <row r="48" spans="1:16">
      <c r="A48" s="84" t="s">
        <v>170</v>
      </c>
      <c r="B48" s="85" t="s">
        <v>169</v>
      </c>
      <c r="C48" s="85" t="s">
        <v>92</v>
      </c>
      <c r="D48" s="84" t="s">
        <v>80</v>
      </c>
      <c r="E48" s="84">
        <v>1</v>
      </c>
      <c r="F48" s="2">
        <v>192994</v>
      </c>
      <c r="G48" s="2">
        <v>190732</v>
      </c>
      <c r="H48" s="2">
        <v>188978</v>
      </c>
      <c r="I48" s="2">
        <v>187700</v>
      </c>
      <c r="J48" s="2">
        <v>186529</v>
      </c>
      <c r="K48" s="2">
        <v>185224</v>
      </c>
      <c r="L48" s="2">
        <v>184105.00000000003</v>
      </c>
      <c r="M48" s="2">
        <v>182588</v>
      </c>
      <c r="N48" s="2">
        <v>181142</v>
      </c>
      <c r="O48" s="2">
        <v>179605.00000000003</v>
      </c>
      <c r="P48" s="2">
        <v>177977</v>
      </c>
    </row>
    <row r="49" spans="1:16">
      <c r="A49" s="84" t="s">
        <v>172</v>
      </c>
      <c r="B49" s="85" t="s">
        <v>171</v>
      </c>
      <c r="C49" s="85" t="s">
        <v>79</v>
      </c>
      <c r="D49" s="84" t="s">
        <v>87</v>
      </c>
      <c r="E49" s="84">
        <v>1</v>
      </c>
      <c r="F49" s="2">
        <v>22250</v>
      </c>
      <c r="G49" s="2">
        <v>22337</v>
      </c>
      <c r="H49" s="2">
        <v>22310</v>
      </c>
      <c r="I49" s="2">
        <v>22328</v>
      </c>
      <c r="J49" s="2">
        <v>22353</v>
      </c>
      <c r="K49" s="2">
        <v>22396</v>
      </c>
      <c r="L49" s="2">
        <v>22496.000000000004</v>
      </c>
      <c r="M49" s="2">
        <v>22567</v>
      </c>
      <c r="N49" s="2">
        <v>22653</v>
      </c>
      <c r="O49" s="2">
        <v>22722</v>
      </c>
      <c r="P49" s="2">
        <v>22762.999999999996</v>
      </c>
    </row>
    <row r="50" spans="1:16">
      <c r="A50" s="84" t="s">
        <v>174</v>
      </c>
      <c r="B50" s="85" t="s">
        <v>173</v>
      </c>
      <c r="C50" s="85" t="s">
        <v>79</v>
      </c>
      <c r="D50" s="84" t="s">
        <v>87</v>
      </c>
      <c r="E50" s="84">
        <v>1</v>
      </c>
      <c r="F50" s="2">
        <v>194802.00000000003</v>
      </c>
      <c r="G50" s="2">
        <v>194728.99999999997</v>
      </c>
      <c r="H50" s="2">
        <v>193627</v>
      </c>
      <c r="I50" s="2">
        <v>192834</v>
      </c>
      <c r="J50" s="2">
        <v>192451.00000000003</v>
      </c>
      <c r="K50" s="2">
        <v>192789</v>
      </c>
      <c r="L50" s="2">
        <v>194006</v>
      </c>
      <c r="M50" s="2">
        <v>196025</v>
      </c>
      <c r="N50" s="2">
        <v>198322</v>
      </c>
      <c r="O50" s="2">
        <v>200651</v>
      </c>
      <c r="P50" s="2">
        <v>202747</v>
      </c>
    </row>
    <row r="51" spans="1:16">
      <c r="A51" s="84" t="s">
        <v>176</v>
      </c>
      <c r="B51" s="85" t="s">
        <v>175</v>
      </c>
      <c r="C51" s="85" t="s">
        <v>110</v>
      </c>
      <c r="D51" s="84" t="s">
        <v>75</v>
      </c>
      <c r="E51" s="84">
        <v>4</v>
      </c>
      <c r="F51" s="2">
        <v>665210</v>
      </c>
      <c r="G51" s="2">
        <v>657703</v>
      </c>
      <c r="H51" s="2">
        <v>646703</v>
      </c>
      <c r="I51" s="2">
        <v>635541.99999999988</v>
      </c>
      <c r="J51" s="2">
        <v>624454</v>
      </c>
      <c r="K51" s="2">
        <v>614271.99999999988</v>
      </c>
      <c r="L51" s="2">
        <v>604550.99999999988</v>
      </c>
      <c r="M51" s="2">
        <v>598223</v>
      </c>
      <c r="N51" s="2">
        <v>591762.99999999988</v>
      </c>
      <c r="O51" s="2">
        <v>586290</v>
      </c>
      <c r="P51" s="2">
        <v>581728.00000000012</v>
      </c>
    </row>
    <row r="52" spans="1:16">
      <c r="A52" s="84" t="s">
        <v>178</v>
      </c>
      <c r="B52" s="85" t="s">
        <v>177</v>
      </c>
      <c r="C52" s="85" t="s">
        <v>83</v>
      </c>
      <c r="D52" s="84" t="s">
        <v>75</v>
      </c>
      <c r="E52" s="84" t="s">
        <v>76</v>
      </c>
      <c r="F52" s="2">
        <v>7963122</v>
      </c>
      <c r="G52" s="2">
        <v>8111683.0000000009</v>
      </c>
      <c r="H52" s="2">
        <v>8235916.9999999991</v>
      </c>
      <c r="I52" s="2">
        <v>8371369.9999999991</v>
      </c>
      <c r="J52" s="2">
        <v>8503091</v>
      </c>
      <c r="K52" s="2">
        <v>8629364.0000000019</v>
      </c>
      <c r="L52" s="2">
        <v>8758974</v>
      </c>
      <c r="M52" s="2">
        <v>8857610</v>
      </c>
      <c r="N52" s="2">
        <v>8965030</v>
      </c>
      <c r="O52" s="2">
        <v>9069150.0000000019</v>
      </c>
      <c r="P52" s="2">
        <v>9170730</v>
      </c>
    </row>
    <row r="53" spans="1:16">
      <c r="A53" s="84" t="s">
        <v>180</v>
      </c>
      <c r="B53" s="85" t="s">
        <v>179</v>
      </c>
      <c r="C53" s="85" t="s">
        <v>79</v>
      </c>
      <c r="D53" s="84" t="s">
        <v>87</v>
      </c>
      <c r="E53" s="84">
        <v>1</v>
      </c>
      <c r="F53" s="2">
        <v>135511</v>
      </c>
      <c r="G53" s="2">
        <v>135374.00000000003</v>
      </c>
      <c r="H53" s="2">
        <v>135202</v>
      </c>
      <c r="I53" s="2">
        <v>134589.99999999997</v>
      </c>
      <c r="J53" s="2">
        <v>133872</v>
      </c>
      <c r="K53" s="2">
        <v>133173</v>
      </c>
      <c r="L53" s="2">
        <v>132396.00000000003</v>
      </c>
      <c r="M53" s="2">
        <v>132197</v>
      </c>
      <c r="N53" s="2">
        <v>131736</v>
      </c>
      <c r="O53" s="2">
        <v>131249</v>
      </c>
      <c r="P53" s="2">
        <v>130704.99999999999</v>
      </c>
    </row>
    <row r="54" spans="1:16">
      <c r="A54" s="84" t="s">
        <v>182</v>
      </c>
      <c r="B54" s="85" t="s">
        <v>181</v>
      </c>
      <c r="C54" s="85" t="s">
        <v>74</v>
      </c>
      <c r="D54" s="84" t="s">
        <v>84</v>
      </c>
      <c r="E54" s="84">
        <v>3</v>
      </c>
      <c r="F54" s="2">
        <v>36570</v>
      </c>
      <c r="G54" s="2">
        <v>36274</v>
      </c>
      <c r="H54" s="2">
        <v>35977.999999999993</v>
      </c>
      <c r="I54" s="2">
        <v>35734</v>
      </c>
      <c r="J54" s="2">
        <v>35519.000000000007</v>
      </c>
      <c r="K54" s="2">
        <v>35325</v>
      </c>
      <c r="L54" s="2">
        <v>35188</v>
      </c>
      <c r="M54" s="2">
        <v>35066</v>
      </c>
      <c r="N54" s="2">
        <v>34976</v>
      </c>
      <c r="O54" s="2">
        <v>34911</v>
      </c>
      <c r="P54" s="2">
        <v>34867.000000000007</v>
      </c>
    </row>
    <row r="55" spans="1:16">
      <c r="A55" s="84" t="s">
        <v>184</v>
      </c>
      <c r="B55" s="85" t="s">
        <v>183</v>
      </c>
      <c r="C55" s="85" t="s">
        <v>92</v>
      </c>
      <c r="D55" s="84" t="s">
        <v>80</v>
      </c>
      <c r="E55" s="84">
        <v>2</v>
      </c>
      <c r="F55" s="2">
        <v>366043</v>
      </c>
      <c r="G55" s="2">
        <v>363776</v>
      </c>
      <c r="H55" s="2">
        <v>360318</v>
      </c>
      <c r="I55" s="2">
        <v>357322</v>
      </c>
      <c r="J55" s="2">
        <v>354329</v>
      </c>
      <c r="K55" s="2">
        <v>351398</v>
      </c>
      <c r="L55" s="2">
        <v>349192</v>
      </c>
      <c r="M55" s="2">
        <v>346086</v>
      </c>
      <c r="N55" s="2">
        <v>343486.99999999994</v>
      </c>
      <c r="O55" s="2">
        <v>340889</v>
      </c>
      <c r="P55" s="2">
        <v>338267</v>
      </c>
    </row>
    <row r="56" spans="1:16">
      <c r="A56" s="84" t="s">
        <v>184</v>
      </c>
      <c r="B56" s="85" t="s">
        <v>185</v>
      </c>
      <c r="C56" s="85" t="s">
        <v>92</v>
      </c>
      <c r="D56" s="84" t="s">
        <v>80</v>
      </c>
      <c r="E56" s="84">
        <v>2</v>
      </c>
      <c r="F56" s="2">
        <v>366043</v>
      </c>
      <c r="G56" s="2">
        <v>363776</v>
      </c>
      <c r="H56" s="2">
        <v>360318</v>
      </c>
      <c r="I56" s="2">
        <v>357322</v>
      </c>
      <c r="J56" s="2">
        <v>354329</v>
      </c>
      <c r="K56" s="2">
        <v>351398</v>
      </c>
      <c r="L56" s="2">
        <v>349192</v>
      </c>
      <c r="M56" s="2">
        <v>346086</v>
      </c>
      <c r="N56" s="2">
        <v>343486.99999999994</v>
      </c>
      <c r="O56" s="2">
        <v>340889</v>
      </c>
      <c r="P56" s="2">
        <v>338267</v>
      </c>
    </row>
    <row r="57" spans="1:16">
      <c r="A57" s="84" t="s">
        <v>187</v>
      </c>
      <c r="B57" s="85" t="s">
        <v>186</v>
      </c>
      <c r="C57" s="85" t="s">
        <v>92</v>
      </c>
      <c r="D57" s="84" t="s">
        <v>80</v>
      </c>
      <c r="E57" s="84">
        <v>2</v>
      </c>
      <c r="F57" s="2">
        <v>645557</v>
      </c>
      <c r="G57" s="2">
        <v>643742.99999999988</v>
      </c>
      <c r="H57" s="2">
        <v>641867</v>
      </c>
      <c r="I57" s="2">
        <v>639848.99999999988</v>
      </c>
      <c r="J57" s="2">
        <v>637697</v>
      </c>
      <c r="K57" s="2">
        <v>635405</v>
      </c>
      <c r="L57" s="2">
        <v>633857</v>
      </c>
      <c r="M57" s="2">
        <v>631090</v>
      </c>
      <c r="N57" s="2">
        <v>628714</v>
      </c>
      <c r="O57" s="2">
        <v>626202</v>
      </c>
      <c r="P57" s="2">
        <v>623560</v>
      </c>
    </row>
    <row r="58" spans="1:16">
      <c r="A58" s="84" t="s">
        <v>189</v>
      </c>
      <c r="B58" s="85" t="s">
        <v>188</v>
      </c>
      <c r="C58" s="85" t="s">
        <v>74</v>
      </c>
      <c r="D58" s="84" t="s">
        <v>84</v>
      </c>
      <c r="E58" s="84">
        <v>2</v>
      </c>
      <c r="F58" s="2">
        <v>5044102.0000000009</v>
      </c>
      <c r="G58" s="2">
        <v>5101333.0000000009</v>
      </c>
      <c r="H58" s="2">
        <v>5170288</v>
      </c>
      <c r="I58" s="2">
        <v>5254818.9999999991</v>
      </c>
      <c r="J58" s="2">
        <v>5341866</v>
      </c>
      <c r="K58" s="2">
        <v>5423861.9999999991</v>
      </c>
      <c r="L58" s="2">
        <v>5517465</v>
      </c>
      <c r="M58" s="2">
        <v>5571715</v>
      </c>
      <c r="N58" s="2">
        <v>5635290.0000000009</v>
      </c>
      <c r="O58" s="2">
        <v>5688172.0000000009</v>
      </c>
      <c r="P58" s="2">
        <v>5728843</v>
      </c>
    </row>
    <row r="59" spans="1:16">
      <c r="A59" s="84" t="s">
        <v>191</v>
      </c>
      <c r="B59" s="85" t="s">
        <v>190</v>
      </c>
      <c r="C59" s="85" t="s">
        <v>92</v>
      </c>
      <c r="D59" s="84" t="s">
        <v>84</v>
      </c>
      <c r="E59" s="84">
        <v>1</v>
      </c>
      <c r="F59" s="2">
        <v>202204.99999999997</v>
      </c>
      <c r="G59" s="2">
        <v>199057.00000000003</v>
      </c>
      <c r="H59" s="2">
        <v>196091.99999999997</v>
      </c>
      <c r="I59" s="2">
        <v>193048</v>
      </c>
      <c r="J59" s="2">
        <v>190089</v>
      </c>
      <c r="K59" s="2">
        <v>187260</v>
      </c>
      <c r="L59" s="2">
        <v>184685</v>
      </c>
      <c r="M59" s="2">
        <v>181914</v>
      </c>
      <c r="N59" s="2">
        <v>179440</v>
      </c>
      <c r="O59" s="2">
        <v>177081.00000000003</v>
      </c>
      <c r="P59" s="2">
        <v>174822</v>
      </c>
    </row>
    <row r="60" spans="1:16">
      <c r="A60" s="84" t="s">
        <v>193</v>
      </c>
      <c r="B60" s="85" t="s">
        <v>192</v>
      </c>
      <c r="C60" s="85" t="s">
        <v>83</v>
      </c>
      <c r="D60" s="84" t="s">
        <v>80</v>
      </c>
      <c r="E60" s="84">
        <v>3</v>
      </c>
      <c r="F60" s="2">
        <v>99636</v>
      </c>
      <c r="G60" s="2">
        <v>100816</v>
      </c>
      <c r="H60" s="2">
        <v>102088</v>
      </c>
      <c r="I60" s="2">
        <v>103180</v>
      </c>
      <c r="J60" s="2">
        <v>104235.99999999999</v>
      </c>
      <c r="K60" s="2">
        <v>105281</v>
      </c>
      <c r="L60" s="2">
        <v>106267</v>
      </c>
      <c r="M60" s="2">
        <v>107419</v>
      </c>
      <c r="N60" s="2">
        <v>108466.00000000001</v>
      </c>
      <c r="O60" s="2">
        <v>109494</v>
      </c>
      <c r="P60" s="2">
        <v>110494</v>
      </c>
    </row>
    <row r="61" spans="1:16">
      <c r="A61" s="84" t="s">
        <v>195</v>
      </c>
      <c r="B61" s="85" t="s">
        <v>194</v>
      </c>
      <c r="C61" s="85" t="s">
        <v>83</v>
      </c>
      <c r="D61" s="84" t="s">
        <v>75</v>
      </c>
      <c r="E61" s="84">
        <v>3</v>
      </c>
      <c r="F61" s="2">
        <v>219308</v>
      </c>
      <c r="G61" s="2">
        <v>223690</v>
      </c>
      <c r="H61" s="2">
        <v>226050</v>
      </c>
      <c r="I61" s="2">
        <v>228910</v>
      </c>
      <c r="J61" s="2">
        <v>231584</v>
      </c>
      <c r="K61" s="2">
        <v>234178</v>
      </c>
      <c r="L61" s="2">
        <v>237011</v>
      </c>
      <c r="M61" s="2">
        <v>239110</v>
      </c>
      <c r="N61" s="2">
        <v>241277</v>
      </c>
      <c r="O61" s="2">
        <v>243150</v>
      </c>
      <c r="P61" s="2">
        <v>244679</v>
      </c>
    </row>
    <row r="62" spans="1:16">
      <c r="A62" s="84" t="s">
        <v>197</v>
      </c>
      <c r="B62" s="85" t="s">
        <v>196</v>
      </c>
      <c r="C62" s="85" t="s">
        <v>79</v>
      </c>
      <c r="D62" s="84" t="s">
        <v>87</v>
      </c>
      <c r="E62" s="84">
        <v>1</v>
      </c>
      <c r="F62" s="2">
        <v>22547</v>
      </c>
      <c r="G62" s="2">
        <v>22052</v>
      </c>
      <c r="H62" s="2">
        <v>21891</v>
      </c>
      <c r="I62" s="2">
        <v>21732</v>
      </c>
      <c r="J62" s="2">
        <v>21653</v>
      </c>
      <c r="K62" s="2">
        <v>21630</v>
      </c>
      <c r="L62" s="2">
        <v>21675</v>
      </c>
      <c r="M62" s="2">
        <v>21767</v>
      </c>
      <c r="N62" s="2">
        <v>21901</v>
      </c>
      <c r="O62" s="2">
        <v>22050</v>
      </c>
      <c r="P62" s="2">
        <v>22192.999999999996</v>
      </c>
    </row>
    <row r="63" spans="1:16">
      <c r="A63" s="84" t="s">
        <v>199</v>
      </c>
      <c r="B63" s="85" t="s">
        <v>198</v>
      </c>
      <c r="C63" s="85" t="s">
        <v>83</v>
      </c>
      <c r="D63" s="84" t="s">
        <v>75</v>
      </c>
      <c r="E63" s="84" t="s">
        <v>76</v>
      </c>
      <c r="F63" s="2">
        <v>7471228</v>
      </c>
      <c r="G63" s="2">
        <v>7500389.9999999991</v>
      </c>
      <c r="H63" s="2">
        <v>7532549</v>
      </c>
      <c r="I63" s="2">
        <v>7560371</v>
      </c>
      <c r="J63" s="2">
        <v>7586621</v>
      </c>
      <c r="K63" s="2">
        <v>7611429</v>
      </c>
      <c r="L63" s="2">
        <v>7637558</v>
      </c>
      <c r="M63" s="2">
        <v>7660289.0000000009</v>
      </c>
      <c r="N63" s="2">
        <v>7683956</v>
      </c>
      <c r="O63" s="2">
        <v>7708842.0000000009</v>
      </c>
      <c r="P63" s="2">
        <v>7735648</v>
      </c>
    </row>
    <row r="64" spans="1:16">
      <c r="A64" s="84" t="s">
        <v>201</v>
      </c>
      <c r="B64" s="85" t="s">
        <v>200</v>
      </c>
      <c r="C64" s="85" t="s">
        <v>99</v>
      </c>
      <c r="D64" s="84" t="s">
        <v>80</v>
      </c>
      <c r="E64" s="84">
        <v>4</v>
      </c>
      <c r="F64" s="2">
        <v>34040</v>
      </c>
      <c r="G64" s="2">
        <v>34099.000000000007</v>
      </c>
      <c r="H64" s="2">
        <v>34119</v>
      </c>
      <c r="I64" s="2">
        <v>34175</v>
      </c>
      <c r="J64" s="2">
        <v>34212.999999999993</v>
      </c>
      <c r="K64" s="2">
        <v>34216</v>
      </c>
      <c r="L64" s="2">
        <v>34281.000000000007</v>
      </c>
      <c r="M64" s="2">
        <v>34133</v>
      </c>
      <c r="N64" s="2">
        <v>34043.000000000007</v>
      </c>
      <c r="O64" s="2">
        <v>33934</v>
      </c>
      <c r="P64" s="2">
        <v>33819</v>
      </c>
    </row>
    <row r="65" spans="1:16">
      <c r="A65" s="84" t="s">
        <v>203</v>
      </c>
      <c r="B65" s="85" t="s">
        <v>202</v>
      </c>
      <c r="C65" s="85" t="s">
        <v>79</v>
      </c>
      <c r="D65" s="84" t="s">
        <v>87</v>
      </c>
      <c r="E65" s="84">
        <v>1</v>
      </c>
      <c r="F65" s="2">
        <v>97476</v>
      </c>
      <c r="G65" s="2">
        <v>97918</v>
      </c>
      <c r="H65" s="2">
        <v>98031</v>
      </c>
      <c r="I65" s="2">
        <v>98441</v>
      </c>
      <c r="J65" s="2">
        <v>98858</v>
      </c>
      <c r="K65" s="2">
        <v>99229</v>
      </c>
      <c r="L65" s="2">
        <v>99624</v>
      </c>
      <c r="M65" s="2">
        <v>100131</v>
      </c>
      <c r="N65" s="2">
        <v>100493</v>
      </c>
      <c r="O65" s="2">
        <v>100780</v>
      </c>
      <c r="P65" s="2">
        <v>100982</v>
      </c>
    </row>
    <row r="66" spans="1:16">
      <c r="A66" s="84" t="s">
        <v>205</v>
      </c>
      <c r="B66" s="85" t="s">
        <v>204</v>
      </c>
      <c r="C66" s="85" t="s">
        <v>79</v>
      </c>
      <c r="D66" s="84" t="s">
        <v>87</v>
      </c>
      <c r="E66" s="84">
        <v>1</v>
      </c>
      <c r="F66" s="2">
        <v>1395722.0000000002</v>
      </c>
      <c r="G66" s="2">
        <v>1393110.9999999998</v>
      </c>
      <c r="H66" s="2">
        <v>1398197.9999999998</v>
      </c>
      <c r="I66" s="2">
        <v>1404893</v>
      </c>
      <c r="J66" s="2">
        <v>1411917</v>
      </c>
      <c r="K66" s="2">
        <v>1417164</v>
      </c>
      <c r="L66" s="2">
        <v>1425679.9999999998</v>
      </c>
      <c r="M66" s="2">
        <v>1425963</v>
      </c>
      <c r="N66" s="2">
        <v>1427954</v>
      </c>
      <c r="O66" s="2">
        <v>1428229</v>
      </c>
      <c r="P66" s="2">
        <v>1426824.9999999998</v>
      </c>
    </row>
    <row r="67" spans="1:16">
      <c r="A67" s="84" t="s">
        <v>207</v>
      </c>
      <c r="B67" s="85" t="s">
        <v>206</v>
      </c>
      <c r="C67" s="85" t="s">
        <v>83</v>
      </c>
      <c r="D67" s="84" t="s">
        <v>80</v>
      </c>
      <c r="E67" s="84">
        <v>3</v>
      </c>
      <c r="F67" s="2">
        <v>131339</v>
      </c>
      <c r="G67" s="2">
        <v>132725.00000000003</v>
      </c>
      <c r="H67" s="2">
        <v>132930</v>
      </c>
      <c r="I67" s="2">
        <v>133549</v>
      </c>
      <c r="J67" s="2">
        <v>134262</v>
      </c>
      <c r="K67" s="2">
        <v>135203</v>
      </c>
      <c r="L67" s="2">
        <v>136630</v>
      </c>
      <c r="M67" s="2">
        <v>137930.99999999997</v>
      </c>
      <c r="N67" s="2">
        <v>139541</v>
      </c>
      <c r="O67" s="2">
        <v>141223</v>
      </c>
      <c r="P67" s="2">
        <v>142914</v>
      </c>
    </row>
    <row r="68" spans="1:16">
      <c r="A68" s="84" t="s">
        <v>209</v>
      </c>
      <c r="B68" s="85" t="s">
        <v>208</v>
      </c>
      <c r="C68" s="85" t="s">
        <v>83</v>
      </c>
      <c r="D68" s="84" t="s">
        <v>75</v>
      </c>
      <c r="E68" s="84">
        <v>3</v>
      </c>
      <c r="F68" s="2">
        <v>197023</v>
      </c>
      <c r="G68" s="2">
        <v>199382.99999999997</v>
      </c>
      <c r="H68" s="2">
        <v>201281.99999999997</v>
      </c>
      <c r="I68" s="2">
        <v>203316</v>
      </c>
      <c r="J68" s="2">
        <v>205337</v>
      </c>
      <c r="K68" s="2">
        <v>207370.99999999997</v>
      </c>
      <c r="L68" s="2">
        <v>209474</v>
      </c>
      <c r="M68" s="2">
        <v>211427</v>
      </c>
      <c r="N68" s="2">
        <v>213445</v>
      </c>
      <c r="O68" s="2">
        <v>215391.00000000003</v>
      </c>
      <c r="P68" s="2">
        <v>217226</v>
      </c>
    </row>
    <row r="69" spans="1:16">
      <c r="A69" s="84" t="s">
        <v>211</v>
      </c>
      <c r="B69" s="85" t="s">
        <v>210</v>
      </c>
      <c r="C69" s="85" t="s">
        <v>79</v>
      </c>
      <c r="D69" s="84" t="s">
        <v>80</v>
      </c>
      <c r="E69" s="84">
        <v>1</v>
      </c>
      <c r="F69" s="2">
        <v>86580</v>
      </c>
      <c r="G69" s="2">
        <v>86303</v>
      </c>
      <c r="H69" s="2">
        <v>85586.999999999985</v>
      </c>
      <c r="I69" s="2">
        <v>85417</v>
      </c>
      <c r="J69" s="2">
        <v>85377.000000000015</v>
      </c>
      <c r="K69" s="2">
        <v>85402.999999999985</v>
      </c>
      <c r="L69" s="2">
        <v>85751</v>
      </c>
      <c r="M69" s="2">
        <v>85614</v>
      </c>
      <c r="N69" s="2">
        <v>85756</v>
      </c>
      <c r="O69" s="2">
        <v>85868</v>
      </c>
      <c r="P69" s="2">
        <v>85924</v>
      </c>
    </row>
    <row r="70" spans="1:16">
      <c r="A70" s="84" t="s">
        <v>213</v>
      </c>
      <c r="B70" s="85" t="s">
        <v>212</v>
      </c>
      <c r="C70" s="85" t="s">
        <v>79</v>
      </c>
      <c r="D70" s="84" t="s">
        <v>87</v>
      </c>
      <c r="E70" s="84">
        <v>1</v>
      </c>
      <c r="F70" s="2">
        <v>1521101</v>
      </c>
      <c r="G70" s="2">
        <v>1520956.9999999998</v>
      </c>
      <c r="H70" s="2">
        <v>1502471</v>
      </c>
      <c r="I70" s="2">
        <v>1485849</v>
      </c>
      <c r="J70" s="2">
        <v>1469052.0000000002</v>
      </c>
      <c r="K70" s="2">
        <v>1454843</v>
      </c>
      <c r="L70" s="2">
        <v>1444292</v>
      </c>
      <c r="M70" s="2">
        <v>1438909.9999999998</v>
      </c>
      <c r="N70" s="2">
        <v>1433981</v>
      </c>
      <c r="O70" s="2">
        <v>1429700</v>
      </c>
      <c r="P70" s="2">
        <v>1425308</v>
      </c>
    </row>
    <row r="71" spans="1:16">
      <c r="A71" s="84" t="s">
        <v>215</v>
      </c>
      <c r="B71" s="85" t="s">
        <v>214</v>
      </c>
      <c r="C71" s="85" t="s">
        <v>83</v>
      </c>
      <c r="D71" s="84" t="s">
        <v>84</v>
      </c>
      <c r="E71" s="84">
        <v>3</v>
      </c>
      <c r="F71" s="2">
        <v>1854438</v>
      </c>
      <c r="G71" s="2">
        <v>1870856</v>
      </c>
      <c r="H71" s="2">
        <v>1886583</v>
      </c>
      <c r="I71" s="2">
        <v>1903397</v>
      </c>
      <c r="J71" s="2">
        <v>1920152.9999999998</v>
      </c>
      <c r="K71" s="2">
        <v>1936495</v>
      </c>
      <c r="L71" s="2">
        <v>1954178</v>
      </c>
      <c r="M71" s="2">
        <v>1969347.0000000002</v>
      </c>
      <c r="N71" s="2">
        <v>1985198</v>
      </c>
      <c r="O71" s="2">
        <v>2000719</v>
      </c>
      <c r="P71" s="2">
        <v>2015923</v>
      </c>
    </row>
    <row r="72" spans="1:16">
      <c r="A72" s="84" t="s">
        <v>217</v>
      </c>
      <c r="B72" s="85" t="s">
        <v>216</v>
      </c>
      <c r="C72" s="85" t="s">
        <v>79</v>
      </c>
      <c r="D72" s="84" t="s">
        <v>87</v>
      </c>
      <c r="E72" s="84">
        <v>1</v>
      </c>
      <c r="F72" s="2">
        <v>133063</v>
      </c>
      <c r="G72" s="2">
        <v>134148</v>
      </c>
      <c r="H72" s="2">
        <v>134964</v>
      </c>
      <c r="I72" s="2">
        <v>136180.99999999997</v>
      </c>
      <c r="J72" s="2">
        <v>137379</v>
      </c>
      <c r="K72" s="2">
        <v>138432.00000000003</v>
      </c>
      <c r="L72" s="2">
        <v>139848</v>
      </c>
      <c r="M72" s="2">
        <v>140237</v>
      </c>
      <c r="N72" s="2">
        <v>140783.00000000003</v>
      </c>
      <c r="O72" s="2">
        <v>141115</v>
      </c>
      <c r="P72" s="2">
        <v>141261.00000000003</v>
      </c>
    </row>
    <row r="73" spans="1:16">
      <c r="A73" s="84" t="s">
        <v>219</v>
      </c>
      <c r="B73" s="85" t="s">
        <v>218</v>
      </c>
      <c r="C73" s="85" t="s">
        <v>92</v>
      </c>
      <c r="D73" s="84" t="s">
        <v>80</v>
      </c>
      <c r="E73" s="84">
        <v>1</v>
      </c>
      <c r="F73" s="2">
        <v>2920</v>
      </c>
      <c r="G73" s="2">
        <v>2873</v>
      </c>
      <c r="H73" s="2">
        <v>2848</v>
      </c>
      <c r="I73" s="2">
        <v>2825.9999999999995</v>
      </c>
      <c r="J73" s="2">
        <v>2812.0000000000005</v>
      </c>
      <c r="K73" s="2">
        <v>2803</v>
      </c>
      <c r="L73" s="2">
        <v>2806</v>
      </c>
      <c r="M73" s="2">
        <v>2800</v>
      </c>
      <c r="N73" s="2">
        <v>2804</v>
      </c>
      <c r="O73" s="2">
        <v>2806</v>
      </c>
      <c r="P73" s="2">
        <v>2808</v>
      </c>
    </row>
    <row r="74" spans="1:16">
      <c r="A74" s="84" t="s">
        <v>221</v>
      </c>
      <c r="B74" s="85" t="s">
        <v>220</v>
      </c>
      <c r="C74" s="85" t="s">
        <v>92</v>
      </c>
      <c r="D74" s="84" t="s">
        <v>80</v>
      </c>
      <c r="E74" s="84">
        <v>1</v>
      </c>
      <c r="F74" s="2">
        <v>846089</v>
      </c>
      <c r="G74" s="2">
        <v>845281.99999999988</v>
      </c>
      <c r="H74" s="2">
        <v>845171</v>
      </c>
      <c r="I74" s="2">
        <v>844252.99999999988</v>
      </c>
      <c r="J74" s="2">
        <v>842731</v>
      </c>
      <c r="K74" s="2">
        <v>840444</v>
      </c>
      <c r="L74" s="2">
        <v>838233.99999999988</v>
      </c>
      <c r="M74" s="2">
        <v>834156.99999999988</v>
      </c>
      <c r="N74" s="2">
        <v>830286</v>
      </c>
      <c r="O74" s="2">
        <v>826489</v>
      </c>
      <c r="P74" s="2">
        <v>823093.00000000012</v>
      </c>
    </row>
    <row r="75" spans="1:16">
      <c r="A75" s="84" t="s">
        <v>223</v>
      </c>
      <c r="B75" s="85" t="s">
        <v>222</v>
      </c>
      <c r="C75" s="85" t="s">
        <v>83</v>
      </c>
      <c r="D75" s="84" t="s">
        <v>75</v>
      </c>
      <c r="E75" s="84">
        <v>3</v>
      </c>
      <c r="F75" s="2">
        <v>1014531.9999999999</v>
      </c>
      <c r="G75" s="2">
        <v>1026929.0000000001</v>
      </c>
      <c r="H75" s="2">
        <v>1037900.9999999999</v>
      </c>
      <c r="I75" s="2">
        <v>1049109</v>
      </c>
      <c r="J75" s="2">
        <v>1060062</v>
      </c>
      <c r="K75" s="2">
        <v>1070791.0000000002</v>
      </c>
      <c r="L75" s="2">
        <v>1081732</v>
      </c>
      <c r="M75" s="2">
        <v>1091632.9999999998</v>
      </c>
      <c r="N75" s="2">
        <v>1101801</v>
      </c>
      <c r="O75" s="2">
        <v>1111770</v>
      </c>
      <c r="P75" s="2">
        <v>1121522</v>
      </c>
    </row>
    <row r="76" spans="1:16">
      <c r="A76" s="84" t="s">
        <v>225</v>
      </c>
      <c r="B76" s="85" t="s">
        <v>224</v>
      </c>
      <c r="C76" s="85" t="s">
        <v>83</v>
      </c>
      <c r="D76" s="84" t="s">
        <v>75</v>
      </c>
      <c r="E76" s="84">
        <v>3</v>
      </c>
      <c r="F76" s="2">
        <v>137689</v>
      </c>
      <c r="G76" s="2">
        <v>139199</v>
      </c>
      <c r="H76" s="2">
        <v>140413</v>
      </c>
      <c r="I76" s="2">
        <v>141793.99999999997</v>
      </c>
      <c r="J76" s="2">
        <v>143152</v>
      </c>
      <c r="K76" s="2">
        <v>144471.99999999997</v>
      </c>
      <c r="L76" s="2">
        <v>145887</v>
      </c>
      <c r="M76" s="2">
        <v>146930</v>
      </c>
      <c r="N76" s="2">
        <v>148131</v>
      </c>
      <c r="O76" s="2">
        <v>149362.00000000003</v>
      </c>
      <c r="P76" s="2">
        <v>150647</v>
      </c>
    </row>
    <row r="77" spans="1:16">
      <c r="A77" s="84" t="s">
        <v>227</v>
      </c>
      <c r="B77" s="85" t="s">
        <v>226</v>
      </c>
      <c r="C77" s="85" t="s">
        <v>92</v>
      </c>
      <c r="D77" s="84" t="s">
        <v>80</v>
      </c>
      <c r="E77" s="84">
        <v>2</v>
      </c>
      <c r="F77" s="2">
        <v>26897</v>
      </c>
      <c r="G77" s="2">
        <v>26633.000000000004</v>
      </c>
      <c r="H77" s="2">
        <v>26336</v>
      </c>
      <c r="I77" s="2">
        <v>26073.999999999996</v>
      </c>
      <c r="J77" s="2">
        <v>25802</v>
      </c>
      <c r="K77" s="2">
        <v>25506</v>
      </c>
      <c r="L77" s="2">
        <v>25251</v>
      </c>
      <c r="M77" s="2">
        <v>24860</v>
      </c>
      <c r="N77" s="2">
        <v>24521</v>
      </c>
      <c r="O77" s="2">
        <v>24191</v>
      </c>
      <c r="P77" s="2">
        <v>23886</v>
      </c>
    </row>
    <row r="78" spans="1:16">
      <c r="A78" s="84" t="s">
        <v>229</v>
      </c>
      <c r="B78" s="85" t="s">
        <v>228</v>
      </c>
      <c r="C78" s="85" t="s">
        <v>92</v>
      </c>
      <c r="D78" s="84" t="s">
        <v>75</v>
      </c>
      <c r="E78" s="84">
        <v>2</v>
      </c>
      <c r="F78" s="2">
        <v>490502</v>
      </c>
      <c r="G78" s="2">
        <v>489039.99999999994</v>
      </c>
      <c r="H78" s="2">
        <v>486363</v>
      </c>
      <c r="I78" s="2">
        <v>484417.00000000006</v>
      </c>
      <c r="J78" s="2">
        <v>482539</v>
      </c>
      <c r="K78" s="2">
        <v>480705.00000000006</v>
      </c>
      <c r="L78" s="2">
        <v>479383</v>
      </c>
      <c r="M78" s="2">
        <v>476995</v>
      </c>
      <c r="N78" s="2">
        <v>475193.99999999994</v>
      </c>
      <c r="O78" s="2">
        <v>473336</v>
      </c>
      <c r="P78" s="2">
        <v>471373.00000000006</v>
      </c>
    </row>
    <row r="79" spans="1:16">
      <c r="A79" s="84" t="s">
        <v>231</v>
      </c>
      <c r="B79" s="85" t="s">
        <v>230</v>
      </c>
      <c r="C79" s="85" t="s">
        <v>92</v>
      </c>
      <c r="D79" s="84" t="s">
        <v>84</v>
      </c>
      <c r="E79" s="84">
        <v>1</v>
      </c>
      <c r="F79" s="2">
        <v>404313</v>
      </c>
      <c r="G79" s="2">
        <v>402068</v>
      </c>
      <c r="H79" s="2">
        <v>399784.99999999994</v>
      </c>
      <c r="I79" s="2">
        <v>396957</v>
      </c>
      <c r="J79" s="2">
        <v>394015.99999999994</v>
      </c>
      <c r="K79" s="2">
        <v>391119</v>
      </c>
      <c r="L79" s="2">
        <v>388393</v>
      </c>
      <c r="M79" s="2">
        <v>386068.99999999994</v>
      </c>
      <c r="N79" s="2">
        <v>383575.00000000006</v>
      </c>
      <c r="O79" s="2">
        <v>380986</v>
      </c>
      <c r="P79" s="2">
        <v>378246</v>
      </c>
    </row>
    <row r="80" spans="1:16">
      <c r="A80" s="84" t="s">
        <v>233</v>
      </c>
      <c r="B80" s="85" t="s">
        <v>232</v>
      </c>
      <c r="C80" s="85" t="s">
        <v>79</v>
      </c>
      <c r="D80" s="84" t="s">
        <v>87</v>
      </c>
      <c r="E80" s="84">
        <v>1</v>
      </c>
      <c r="F80" s="2">
        <v>170491</v>
      </c>
      <c r="G80" s="2">
        <v>169938</v>
      </c>
      <c r="H80" s="2">
        <v>167692</v>
      </c>
      <c r="I80" s="2">
        <v>165501</v>
      </c>
      <c r="J80" s="2">
        <v>163341.99999999997</v>
      </c>
      <c r="K80" s="2">
        <v>161555.99999999997</v>
      </c>
      <c r="L80" s="2">
        <v>160129.00000000003</v>
      </c>
      <c r="M80" s="2">
        <v>159419</v>
      </c>
      <c r="N80" s="2">
        <v>158764</v>
      </c>
      <c r="O80" s="2">
        <v>158220</v>
      </c>
      <c r="P80" s="2">
        <v>157678</v>
      </c>
    </row>
    <row r="81" spans="1:16">
      <c r="A81" s="84" t="s">
        <v>235</v>
      </c>
      <c r="B81" s="85" t="s">
        <v>234</v>
      </c>
      <c r="C81" s="85" t="s">
        <v>79</v>
      </c>
      <c r="D81" s="84" t="s">
        <v>87</v>
      </c>
      <c r="E81" s="84">
        <v>1</v>
      </c>
      <c r="F81" s="2">
        <v>7680</v>
      </c>
      <c r="G81" s="2">
        <v>7604</v>
      </c>
      <c r="H81" s="2">
        <v>7641.9999999999991</v>
      </c>
      <c r="I81" s="2">
        <v>7664</v>
      </c>
      <c r="J81" s="2">
        <v>7689.9999999999991</v>
      </c>
      <c r="K81" s="2">
        <v>7703</v>
      </c>
      <c r="L81" s="2">
        <v>7711</v>
      </c>
      <c r="M81" s="2">
        <v>7713</v>
      </c>
      <c r="N81" s="2">
        <v>7704.0000000000009</v>
      </c>
      <c r="O81" s="2">
        <v>7688.0000000000009</v>
      </c>
      <c r="P81" s="2">
        <v>7669.0000000000009</v>
      </c>
    </row>
    <row r="82" spans="1:16">
      <c r="A82" s="84" t="s">
        <v>237</v>
      </c>
      <c r="B82" s="85" t="s">
        <v>236</v>
      </c>
      <c r="C82" s="85" t="s">
        <v>110</v>
      </c>
      <c r="D82" s="84" t="s">
        <v>84</v>
      </c>
      <c r="E82" s="84" t="s">
        <v>76</v>
      </c>
      <c r="F82" s="2">
        <v>45640060</v>
      </c>
      <c r="G82" s="2">
        <v>45421234</v>
      </c>
      <c r="H82" s="2">
        <v>45187611.000000007</v>
      </c>
      <c r="I82" s="2">
        <v>44886875</v>
      </c>
      <c r="J82" s="2">
        <v>44533240.000000007</v>
      </c>
      <c r="K82" s="2">
        <v>44127616</v>
      </c>
      <c r="L82" s="2">
        <v>43710432</v>
      </c>
      <c r="M82" s="2">
        <v>43217153.000000007</v>
      </c>
      <c r="N82" s="2">
        <v>42708884.000000007</v>
      </c>
      <c r="O82" s="2">
        <v>42200675</v>
      </c>
      <c r="P82" s="2">
        <v>41714204</v>
      </c>
    </row>
    <row r="83" spans="1:16">
      <c r="A83" s="84" t="s">
        <v>239</v>
      </c>
      <c r="B83" s="85" t="s">
        <v>238</v>
      </c>
      <c r="C83" s="85" t="s">
        <v>110</v>
      </c>
      <c r="D83" s="84" t="s">
        <v>80</v>
      </c>
      <c r="E83" s="84" t="s">
        <v>76</v>
      </c>
      <c r="F83" s="2">
        <v>9068093</v>
      </c>
      <c r="G83" s="2">
        <v>9037220.0000000019</v>
      </c>
      <c r="H83" s="2">
        <v>9001070</v>
      </c>
      <c r="I83" s="2">
        <v>8975956</v>
      </c>
      <c r="J83" s="2">
        <v>8950879</v>
      </c>
      <c r="K83" s="2">
        <v>8922320</v>
      </c>
      <c r="L83" s="2">
        <v>8898178</v>
      </c>
      <c r="M83" s="2">
        <v>8869899.0000000019</v>
      </c>
      <c r="N83" s="2">
        <v>8839389</v>
      </c>
      <c r="O83" s="2">
        <v>8805290</v>
      </c>
      <c r="P83" s="2">
        <v>8767222</v>
      </c>
    </row>
    <row r="84" spans="1:16">
      <c r="A84" s="84" t="s">
        <v>241</v>
      </c>
      <c r="B84" s="85" t="s">
        <v>240</v>
      </c>
      <c r="C84" s="85" t="s">
        <v>74</v>
      </c>
      <c r="D84" s="84" t="s">
        <v>80</v>
      </c>
      <c r="E84" s="84">
        <v>2</v>
      </c>
      <c r="F84" s="2">
        <v>2501435.9999999995</v>
      </c>
      <c r="G84" s="2">
        <v>2496775</v>
      </c>
      <c r="H84" s="2">
        <v>2449413.9999999995</v>
      </c>
      <c r="I84" s="2">
        <v>2414759</v>
      </c>
      <c r="J84" s="2">
        <v>2384600.9999999995</v>
      </c>
      <c r="K84" s="2">
        <v>2365142</v>
      </c>
      <c r="L84" s="2">
        <v>2364292.0000000005</v>
      </c>
      <c r="M84" s="2">
        <v>2363948.0000000005</v>
      </c>
      <c r="N84" s="2">
        <v>2374689.9999999995</v>
      </c>
      <c r="O84" s="2">
        <v>2388069.9999999995</v>
      </c>
      <c r="P84" s="2">
        <v>2401001</v>
      </c>
    </row>
    <row r="85" spans="1:16">
      <c r="A85" s="84" t="s">
        <v>243</v>
      </c>
      <c r="B85" s="85" t="s">
        <v>242</v>
      </c>
      <c r="C85" s="85" t="s">
        <v>74</v>
      </c>
      <c r="D85" s="84" t="s">
        <v>80</v>
      </c>
      <c r="E85" s="84">
        <v>2</v>
      </c>
      <c r="F85" s="2">
        <v>2452417.9999999995</v>
      </c>
      <c r="G85" s="2">
        <v>2468465</v>
      </c>
      <c r="H85" s="2">
        <v>2494770</v>
      </c>
      <c r="I85" s="2">
        <v>2520702</v>
      </c>
      <c r="J85" s="2">
        <v>2546808</v>
      </c>
      <c r="K85" s="2">
        <v>2571115</v>
      </c>
      <c r="L85" s="2">
        <v>2593988.0000000005</v>
      </c>
      <c r="M85" s="2">
        <v>2616835</v>
      </c>
      <c r="N85" s="2">
        <v>2637439</v>
      </c>
      <c r="O85" s="2">
        <v>2656482</v>
      </c>
      <c r="P85" s="2">
        <v>2673960</v>
      </c>
    </row>
    <row r="86" spans="1:16">
      <c r="A86" s="84" t="s">
        <v>245</v>
      </c>
      <c r="B86" s="85" t="s">
        <v>244</v>
      </c>
      <c r="C86" s="85" t="s">
        <v>79</v>
      </c>
      <c r="D86" s="84" t="s">
        <v>87</v>
      </c>
      <c r="E86" s="84">
        <v>1</v>
      </c>
      <c r="F86" s="2">
        <v>106836.00000000001</v>
      </c>
      <c r="G86" s="2">
        <v>106848.99999999999</v>
      </c>
      <c r="H86" s="2">
        <v>108176</v>
      </c>
      <c r="I86" s="2">
        <v>109670.99999999999</v>
      </c>
      <c r="J86" s="2">
        <v>111293</v>
      </c>
      <c r="K86" s="2">
        <v>112774</v>
      </c>
      <c r="L86" s="2">
        <v>114442</v>
      </c>
      <c r="M86" s="2">
        <v>115368</v>
      </c>
      <c r="N86" s="2">
        <v>116427</v>
      </c>
      <c r="O86" s="2">
        <v>117362</v>
      </c>
      <c r="P86" s="2">
        <v>118199.99999999999</v>
      </c>
    </row>
    <row r="87" spans="1:16">
      <c r="A87" s="84" t="s">
        <v>247</v>
      </c>
      <c r="B87" s="85" t="s">
        <v>246</v>
      </c>
      <c r="C87" s="85" t="s">
        <v>79</v>
      </c>
      <c r="D87" s="84" t="s">
        <v>87</v>
      </c>
      <c r="E87" s="84">
        <v>1</v>
      </c>
      <c r="F87" s="2">
        <v>351605</v>
      </c>
      <c r="G87" s="2">
        <v>355067</v>
      </c>
      <c r="H87" s="2">
        <v>357847</v>
      </c>
      <c r="I87" s="2">
        <v>361183</v>
      </c>
      <c r="J87" s="2">
        <v>364566.00000000006</v>
      </c>
      <c r="K87" s="2">
        <v>367935</v>
      </c>
      <c r="L87" s="2">
        <v>371894</v>
      </c>
      <c r="M87" s="2">
        <v>375226</v>
      </c>
      <c r="N87" s="2">
        <v>378786</v>
      </c>
      <c r="O87" s="2">
        <v>382284</v>
      </c>
      <c r="P87" s="2">
        <v>385712</v>
      </c>
    </row>
    <row r="88" spans="1:16">
      <c r="A88" s="84" t="s">
        <v>249</v>
      </c>
      <c r="B88" s="85" t="s">
        <v>248</v>
      </c>
      <c r="C88" s="85" t="s">
        <v>79</v>
      </c>
      <c r="D88" s="84" t="s">
        <v>87</v>
      </c>
      <c r="E88" s="84">
        <v>1</v>
      </c>
      <c r="F88" s="2">
        <v>836842</v>
      </c>
      <c r="G88" s="2">
        <v>840227</v>
      </c>
      <c r="H88" s="2">
        <v>840228.00000000012</v>
      </c>
      <c r="I88" s="2">
        <v>842338</v>
      </c>
      <c r="J88" s="2">
        <v>844354</v>
      </c>
      <c r="K88" s="2">
        <v>845987</v>
      </c>
      <c r="L88" s="2">
        <v>847814.00000000012</v>
      </c>
      <c r="M88" s="2">
        <v>850383</v>
      </c>
      <c r="N88" s="2">
        <v>851602</v>
      </c>
      <c r="O88" s="2">
        <v>851885</v>
      </c>
      <c r="P88" s="2">
        <v>851096</v>
      </c>
    </row>
    <row r="89" spans="1:16">
      <c r="A89" s="84" t="s">
        <v>251</v>
      </c>
      <c r="B89" s="85" t="s">
        <v>250</v>
      </c>
      <c r="C89" s="85" t="s">
        <v>92</v>
      </c>
      <c r="D89" s="84" t="s">
        <v>80</v>
      </c>
      <c r="E89" s="84">
        <v>1</v>
      </c>
      <c r="F89" s="2">
        <v>80307</v>
      </c>
      <c r="G89" s="2">
        <v>79174</v>
      </c>
      <c r="H89" s="2">
        <v>78021</v>
      </c>
      <c r="I89" s="2">
        <v>76981</v>
      </c>
      <c r="J89" s="2">
        <v>75969</v>
      </c>
      <c r="K89" s="2">
        <v>74957</v>
      </c>
      <c r="L89" s="2">
        <v>74126</v>
      </c>
      <c r="M89" s="2">
        <v>73030</v>
      </c>
      <c r="N89" s="2">
        <v>72095</v>
      </c>
      <c r="O89" s="2">
        <v>71191</v>
      </c>
      <c r="P89" s="2">
        <v>70322</v>
      </c>
    </row>
    <row r="90" spans="1:16">
      <c r="A90" s="84" t="s">
        <v>253</v>
      </c>
      <c r="B90" s="85" t="s">
        <v>252</v>
      </c>
      <c r="C90" s="85" t="s">
        <v>99</v>
      </c>
      <c r="D90" s="84" t="s">
        <v>87</v>
      </c>
      <c r="E90" s="84">
        <v>4</v>
      </c>
      <c r="F90" s="2">
        <v>1688860.0000000002</v>
      </c>
      <c r="G90" s="2">
        <v>1685188</v>
      </c>
      <c r="H90" s="2">
        <v>1681938.9999999998</v>
      </c>
      <c r="I90" s="2">
        <v>1682099.0000000002</v>
      </c>
      <c r="J90" s="2">
        <v>1681990</v>
      </c>
      <c r="K90" s="2">
        <v>1679969.9999999998</v>
      </c>
      <c r="L90" s="2">
        <v>1679170</v>
      </c>
      <c r="M90" s="2">
        <v>1675924</v>
      </c>
      <c r="N90" s="2">
        <v>1671801</v>
      </c>
      <c r="O90" s="2">
        <v>1666760</v>
      </c>
      <c r="P90" s="2">
        <v>1661018</v>
      </c>
    </row>
    <row r="91" spans="1:16">
      <c r="A91" s="84" t="s">
        <v>255</v>
      </c>
      <c r="B91" s="85" t="s">
        <v>254</v>
      </c>
      <c r="C91" s="85" t="s">
        <v>74</v>
      </c>
      <c r="D91" s="84" t="s">
        <v>80</v>
      </c>
      <c r="E91" s="84">
        <v>2</v>
      </c>
      <c r="F91" s="2">
        <v>388179.99999999994</v>
      </c>
      <c r="G91" s="2">
        <v>383159</v>
      </c>
      <c r="H91" s="2">
        <v>384846</v>
      </c>
      <c r="I91" s="2">
        <v>386649</v>
      </c>
      <c r="J91" s="2">
        <v>388888.00000000006</v>
      </c>
      <c r="K91" s="2">
        <v>390378</v>
      </c>
      <c r="L91" s="2">
        <v>390280</v>
      </c>
      <c r="M91" s="2">
        <v>388895.99999999994</v>
      </c>
      <c r="N91" s="2">
        <v>387116</v>
      </c>
      <c r="O91" s="2">
        <v>384801.00000000006</v>
      </c>
      <c r="P91" s="2">
        <v>382089</v>
      </c>
    </row>
    <row r="92" spans="1:16">
      <c r="A92" s="84" t="s">
        <v>257</v>
      </c>
      <c r="B92" s="85" t="s">
        <v>256</v>
      </c>
      <c r="C92" s="85" t="s">
        <v>79</v>
      </c>
      <c r="D92" s="84" t="s">
        <v>80</v>
      </c>
      <c r="E92" s="84">
        <v>2</v>
      </c>
      <c r="F92" s="2">
        <v>654173</v>
      </c>
      <c r="G92" s="2">
        <v>663508</v>
      </c>
      <c r="H92" s="2">
        <v>665693</v>
      </c>
      <c r="I92" s="2">
        <v>672882.00000000012</v>
      </c>
      <c r="J92" s="2">
        <v>680806</v>
      </c>
      <c r="K92" s="2">
        <v>689290</v>
      </c>
      <c r="L92" s="2">
        <v>701237</v>
      </c>
      <c r="M92" s="2">
        <v>708139</v>
      </c>
      <c r="N92" s="2">
        <v>717322</v>
      </c>
      <c r="O92" s="2">
        <v>725438</v>
      </c>
      <c r="P92" s="2">
        <v>731998</v>
      </c>
    </row>
    <row r="93" spans="1:16">
      <c r="A93" s="84" t="s">
        <v>259</v>
      </c>
      <c r="B93" s="85" t="s">
        <v>258</v>
      </c>
      <c r="C93" s="85" t="s">
        <v>83</v>
      </c>
      <c r="D93" s="84" t="s">
        <v>84</v>
      </c>
      <c r="E93" s="84">
        <v>3</v>
      </c>
      <c r="F93" s="2">
        <v>3221933</v>
      </c>
      <c r="G93" s="2">
        <v>3242099</v>
      </c>
      <c r="H93" s="2">
        <v>3276587</v>
      </c>
      <c r="I93" s="2">
        <v>3306242</v>
      </c>
      <c r="J93" s="2">
        <v>3331983</v>
      </c>
      <c r="K93" s="2">
        <v>3350564.0000000005</v>
      </c>
      <c r="L93" s="2">
        <v>3364371</v>
      </c>
      <c r="M93" s="2">
        <v>3367581</v>
      </c>
      <c r="N93" s="2">
        <v>3368304</v>
      </c>
      <c r="O93" s="2">
        <v>3367646</v>
      </c>
      <c r="P93" s="2">
        <v>3367944.9999999995</v>
      </c>
    </row>
    <row r="94" spans="1:16">
      <c r="A94" s="84" t="s">
        <v>261</v>
      </c>
      <c r="B94" s="85" t="s">
        <v>260</v>
      </c>
      <c r="C94" s="85" t="s">
        <v>99</v>
      </c>
      <c r="D94" s="84" t="s">
        <v>84</v>
      </c>
      <c r="E94" s="84">
        <v>4</v>
      </c>
      <c r="F94" s="2">
        <v>6064.9999999999991</v>
      </c>
      <c r="G94" s="2">
        <v>6068</v>
      </c>
      <c r="H94" s="2">
        <v>6072</v>
      </c>
      <c r="I94" s="2">
        <v>6082</v>
      </c>
      <c r="J94" s="2">
        <v>6104</v>
      </c>
      <c r="K94" s="2">
        <v>6138</v>
      </c>
      <c r="L94" s="2">
        <v>6192</v>
      </c>
      <c r="M94" s="2">
        <v>6255.0000000000009</v>
      </c>
      <c r="N94" s="2">
        <v>6329.0000000000009</v>
      </c>
      <c r="O94" s="2">
        <v>6407</v>
      </c>
      <c r="P94" s="2">
        <v>6486.0000000000009</v>
      </c>
    </row>
    <row r="95" spans="1:16">
      <c r="A95" s="84" t="s">
        <v>263</v>
      </c>
      <c r="B95" s="85" t="s">
        <v>262</v>
      </c>
      <c r="C95" s="85" t="s">
        <v>99</v>
      </c>
      <c r="D95" s="84" t="s">
        <v>87</v>
      </c>
      <c r="E95" s="84">
        <v>1</v>
      </c>
      <c r="F95" s="2">
        <v>683060.99999999988</v>
      </c>
      <c r="G95" s="2">
        <v>683208</v>
      </c>
      <c r="H95" s="2">
        <v>686724.99999999988</v>
      </c>
      <c r="I95" s="2">
        <v>690484</v>
      </c>
      <c r="J95" s="2">
        <v>690885</v>
      </c>
      <c r="K95" s="2">
        <v>685399</v>
      </c>
      <c r="L95" s="2">
        <v>677275</v>
      </c>
      <c r="M95" s="2">
        <v>656911</v>
      </c>
      <c r="N95" s="2">
        <v>637463</v>
      </c>
      <c r="O95" s="2">
        <v>619948.00000000012</v>
      </c>
      <c r="P95" s="2">
        <v>607481</v>
      </c>
    </row>
    <row r="96" spans="1:16">
      <c r="A96" s="84" t="s">
        <v>265</v>
      </c>
      <c r="B96" s="85" t="s">
        <v>264</v>
      </c>
      <c r="C96" s="85" t="s">
        <v>74</v>
      </c>
      <c r="D96" s="84" t="s">
        <v>87</v>
      </c>
      <c r="E96" s="84">
        <v>1</v>
      </c>
      <c r="F96" s="2">
        <v>108742</v>
      </c>
      <c r="G96" s="2">
        <v>112733</v>
      </c>
      <c r="H96" s="2">
        <v>112843</v>
      </c>
      <c r="I96" s="2">
        <v>114110.99999999999</v>
      </c>
      <c r="J96" s="2">
        <v>115298</v>
      </c>
      <c r="K96" s="2">
        <v>116676</v>
      </c>
      <c r="L96" s="2">
        <v>118533.99999999999</v>
      </c>
      <c r="M96" s="2">
        <v>120426.99999999999</v>
      </c>
      <c r="N96" s="2">
        <v>122283</v>
      </c>
      <c r="O96" s="2">
        <v>123886</v>
      </c>
      <c r="P96" s="2">
        <v>125089</v>
      </c>
    </row>
    <row r="97" spans="1:16">
      <c r="A97" s="84" t="s">
        <v>267</v>
      </c>
      <c r="B97" s="85" t="s">
        <v>266</v>
      </c>
      <c r="C97" s="85" t="s">
        <v>79</v>
      </c>
      <c r="D97" s="84" t="s">
        <v>84</v>
      </c>
      <c r="E97" s="84">
        <v>1</v>
      </c>
      <c r="F97" s="2">
        <v>277443</v>
      </c>
      <c r="G97" s="2">
        <v>279010</v>
      </c>
      <c r="H97" s="2">
        <v>281819</v>
      </c>
      <c r="I97" s="2">
        <v>285736.99999999994</v>
      </c>
      <c r="J97" s="2">
        <v>289916</v>
      </c>
      <c r="K97" s="2">
        <v>293781</v>
      </c>
      <c r="L97" s="2">
        <v>298494</v>
      </c>
      <c r="M97" s="2">
        <v>300522</v>
      </c>
      <c r="N97" s="2">
        <v>303336</v>
      </c>
      <c r="O97" s="2">
        <v>305686.00000000006</v>
      </c>
      <c r="P97" s="2">
        <v>307546.00000000006</v>
      </c>
    </row>
    <row r="98" spans="1:16">
      <c r="A98" s="84" t="s">
        <v>269</v>
      </c>
      <c r="B98" s="85" t="s">
        <v>268</v>
      </c>
      <c r="C98" s="85" t="s">
        <v>99</v>
      </c>
      <c r="D98" s="84" t="s">
        <v>84</v>
      </c>
      <c r="E98" s="84">
        <v>4</v>
      </c>
      <c r="F98" s="2">
        <v>297715.00000000006</v>
      </c>
      <c r="G98" s="2">
        <v>296288</v>
      </c>
      <c r="H98" s="2">
        <v>293371</v>
      </c>
      <c r="I98" s="2">
        <v>290779</v>
      </c>
      <c r="J98" s="2">
        <v>288229</v>
      </c>
      <c r="K98" s="2">
        <v>285907.00000000006</v>
      </c>
      <c r="L98" s="2">
        <v>284216</v>
      </c>
      <c r="M98" s="2">
        <v>282299</v>
      </c>
      <c r="N98" s="2">
        <v>280680</v>
      </c>
      <c r="O98" s="2">
        <v>278990</v>
      </c>
      <c r="P98" s="2">
        <v>277111</v>
      </c>
    </row>
    <row r="99" spans="1:16">
      <c r="A99" s="84" t="s">
        <v>271</v>
      </c>
      <c r="B99" s="85" t="s">
        <v>270</v>
      </c>
      <c r="C99" s="85" t="s">
        <v>79</v>
      </c>
      <c r="D99" s="84" t="s">
        <v>87</v>
      </c>
      <c r="E99" s="84">
        <v>1</v>
      </c>
      <c r="F99" s="2">
        <v>32317</v>
      </c>
      <c r="G99" s="2">
        <v>33404</v>
      </c>
      <c r="H99" s="2">
        <v>30986</v>
      </c>
      <c r="I99" s="2">
        <v>29297</v>
      </c>
      <c r="J99" s="2">
        <v>27735.999999999996</v>
      </c>
      <c r="K99" s="2">
        <v>26796.999999999996</v>
      </c>
      <c r="L99" s="2">
        <v>26427</v>
      </c>
      <c r="M99" s="2">
        <v>26957</v>
      </c>
      <c r="N99" s="2">
        <v>27668</v>
      </c>
      <c r="O99" s="2">
        <v>28467</v>
      </c>
      <c r="P99" s="2">
        <v>29142</v>
      </c>
    </row>
    <row r="100" spans="1:16">
      <c r="A100" s="84" t="s">
        <v>273</v>
      </c>
      <c r="B100" s="85" t="s">
        <v>272</v>
      </c>
      <c r="C100" s="85" t="s">
        <v>74</v>
      </c>
      <c r="D100" s="84" t="s">
        <v>80</v>
      </c>
      <c r="E100" s="84">
        <v>2</v>
      </c>
      <c r="F100" s="2">
        <v>168011</v>
      </c>
      <c r="G100" s="2">
        <v>161420.00000000003</v>
      </c>
      <c r="H100" s="2">
        <v>158177.00000000003</v>
      </c>
      <c r="I100" s="2">
        <v>155391.00000000003</v>
      </c>
      <c r="J100" s="2">
        <v>153286</v>
      </c>
      <c r="K100" s="2">
        <v>151396.00000000003</v>
      </c>
      <c r="L100" s="2">
        <v>148848</v>
      </c>
      <c r="M100" s="2">
        <v>146982</v>
      </c>
      <c r="N100" s="2">
        <v>145125</v>
      </c>
      <c r="O100" s="2">
        <v>143517</v>
      </c>
      <c r="P100" s="2">
        <v>142173</v>
      </c>
    </row>
    <row r="101" spans="1:16">
      <c r="A101" s="84" t="s">
        <v>275</v>
      </c>
      <c r="B101" s="85" t="s">
        <v>274</v>
      </c>
      <c r="C101" s="85" t="s">
        <v>83</v>
      </c>
      <c r="D101" s="84" t="s">
        <v>84</v>
      </c>
      <c r="E101" s="84">
        <v>3</v>
      </c>
      <c r="F101" s="2">
        <v>99102</v>
      </c>
      <c r="G101" s="2">
        <v>99236</v>
      </c>
      <c r="H101" s="2">
        <v>98265.999999999985</v>
      </c>
      <c r="I101" s="2">
        <v>97618</v>
      </c>
      <c r="J101" s="2">
        <v>97039</v>
      </c>
      <c r="K101" s="2">
        <v>96658.999999999985</v>
      </c>
      <c r="L101" s="2">
        <v>96541</v>
      </c>
      <c r="M101" s="2">
        <v>96406</v>
      </c>
      <c r="N101" s="2">
        <v>96479</v>
      </c>
      <c r="O101" s="2">
        <v>96563</v>
      </c>
      <c r="P101" s="2">
        <v>96570</v>
      </c>
    </row>
    <row r="102" spans="1:16">
      <c r="A102" s="84" t="s">
        <v>277</v>
      </c>
      <c r="B102" s="85" t="s">
        <v>276</v>
      </c>
      <c r="C102" s="85" t="s">
        <v>83</v>
      </c>
      <c r="D102" s="84" t="s">
        <v>75</v>
      </c>
      <c r="E102" s="84">
        <v>3</v>
      </c>
      <c r="F102" s="2">
        <v>353046</v>
      </c>
      <c r="G102" s="2">
        <v>357243.00000000006</v>
      </c>
      <c r="H102" s="2">
        <v>361360</v>
      </c>
      <c r="I102" s="2">
        <v>365494</v>
      </c>
      <c r="J102" s="2">
        <v>369536</v>
      </c>
      <c r="K102" s="2">
        <v>373427</v>
      </c>
      <c r="L102" s="2">
        <v>377332</v>
      </c>
      <c r="M102" s="2">
        <v>380880</v>
      </c>
      <c r="N102" s="2">
        <v>384411</v>
      </c>
      <c r="O102" s="2">
        <v>387835.00000000006</v>
      </c>
      <c r="P102" s="2">
        <v>391164.99999999994</v>
      </c>
    </row>
    <row r="103" spans="1:16">
      <c r="A103" s="84" t="s">
        <v>279</v>
      </c>
      <c r="B103" s="85" t="s">
        <v>278</v>
      </c>
      <c r="C103" s="85" t="s">
        <v>74</v>
      </c>
      <c r="D103" s="84" t="s">
        <v>80</v>
      </c>
      <c r="E103" s="84">
        <v>2</v>
      </c>
      <c r="F103" s="2">
        <v>216462</v>
      </c>
      <c r="G103" s="2">
        <v>214450</v>
      </c>
      <c r="H103" s="2">
        <v>213243</v>
      </c>
      <c r="I103" s="2">
        <v>212499.00000000003</v>
      </c>
      <c r="J103" s="2">
        <v>212154</v>
      </c>
      <c r="K103" s="2">
        <v>212076.00000000003</v>
      </c>
      <c r="L103" s="2">
        <v>212487.00000000003</v>
      </c>
      <c r="M103" s="2">
        <v>213066</v>
      </c>
      <c r="N103" s="2">
        <v>213814.00000000003</v>
      </c>
      <c r="O103" s="2">
        <v>214527</v>
      </c>
      <c r="P103" s="2">
        <v>215079</v>
      </c>
    </row>
    <row r="104" spans="1:16">
      <c r="A104" s="84" t="s">
        <v>281</v>
      </c>
      <c r="B104" s="85" t="s">
        <v>280</v>
      </c>
      <c r="C104" s="85" t="s">
        <v>79</v>
      </c>
      <c r="D104" s="84" t="s">
        <v>87</v>
      </c>
      <c r="E104" s="84">
        <v>1</v>
      </c>
      <c r="F104" s="2">
        <v>43675</v>
      </c>
      <c r="G104" s="2">
        <v>42592</v>
      </c>
      <c r="H104" s="2">
        <v>40635.000000000007</v>
      </c>
      <c r="I104" s="2">
        <v>39229</v>
      </c>
      <c r="J104" s="2">
        <v>38096</v>
      </c>
      <c r="K104" s="2">
        <v>37348</v>
      </c>
      <c r="L104" s="2">
        <v>36775</v>
      </c>
      <c r="M104" s="2">
        <v>37150</v>
      </c>
      <c r="N104" s="2">
        <v>37568</v>
      </c>
      <c r="O104" s="2">
        <v>38188</v>
      </c>
      <c r="P104" s="2">
        <v>38908</v>
      </c>
    </row>
    <row r="105" spans="1:16">
      <c r="A105" s="84" t="s">
        <v>283</v>
      </c>
      <c r="B105" s="85" t="s">
        <v>282</v>
      </c>
      <c r="C105" s="85" t="s">
        <v>79</v>
      </c>
      <c r="D105" s="84" t="s">
        <v>87</v>
      </c>
      <c r="E105" s="84">
        <v>1</v>
      </c>
      <c r="F105" s="2">
        <v>13611.999999999998</v>
      </c>
      <c r="G105" s="2">
        <v>13628</v>
      </c>
      <c r="H105" s="2">
        <v>13747</v>
      </c>
      <c r="I105" s="2">
        <v>13846</v>
      </c>
      <c r="J105" s="2">
        <v>13939</v>
      </c>
      <c r="K105" s="2">
        <v>14007</v>
      </c>
      <c r="L105" s="2">
        <v>14091.999999999998</v>
      </c>
      <c r="M105" s="2">
        <v>14106.000000000002</v>
      </c>
      <c r="N105" s="2">
        <v>14138</v>
      </c>
      <c r="O105" s="2">
        <v>14173</v>
      </c>
      <c r="P105" s="2">
        <v>14226</v>
      </c>
    </row>
    <row r="106" spans="1:16">
      <c r="A106" s="84" t="s">
        <v>285</v>
      </c>
      <c r="B106" s="85" t="s">
        <v>284</v>
      </c>
      <c r="C106" s="85" t="s">
        <v>79</v>
      </c>
      <c r="D106" s="84" t="s">
        <v>80</v>
      </c>
      <c r="E106" s="84">
        <v>1</v>
      </c>
      <c r="F106" s="2">
        <v>37455</v>
      </c>
      <c r="G106" s="2">
        <v>36994</v>
      </c>
      <c r="H106" s="2">
        <v>36301</v>
      </c>
      <c r="I106" s="2">
        <v>35714</v>
      </c>
      <c r="J106" s="2">
        <v>35161</v>
      </c>
      <c r="K106" s="2">
        <v>34664</v>
      </c>
      <c r="L106" s="2">
        <v>34251.000000000007</v>
      </c>
      <c r="M106" s="2">
        <v>33900.999999999993</v>
      </c>
      <c r="N106" s="2">
        <v>33604</v>
      </c>
      <c r="O106" s="2">
        <v>33354</v>
      </c>
      <c r="P106" s="2">
        <v>33141.999999999993</v>
      </c>
    </row>
    <row r="107" spans="1:16">
      <c r="A107" s="84" t="s">
        <v>287</v>
      </c>
      <c r="B107" s="85" t="s">
        <v>286</v>
      </c>
      <c r="C107" s="85" t="s">
        <v>83</v>
      </c>
      <c r="D107" s="84" t="s">
        <v>75</v>
      </c>
      <c r="E107" s="84">
        <v>3</v>
      </c>
      <c r="F107" s="2">
        <v>1995203</v>
      </c>
      <c r="G107" s="2">
        <v>2019155</v>
      </c>
      <c r="H107" s="2">
        <v>2041411</v>
      </c>
      <c r="I107" s="2">
        <v>2063038</v>
      </c>
      <c r="J107" s="2">
        <v>2084844</v>
      </c>
      <c r="K107" s="2">
        <v>2107492</v>
      </c>
      <c r="L107" s="2">
        <v>2130939.9999999995</v>
      </c>
      <c r="M107" s="2">
        <v>2157837.9999999995</v>
      </c>
      <c r="N107" s="2">
        <v>2183764</v>
      </c>
      <c r="O107" s="2">
        <v>2209344</v>
      </c>
      <c r="P107" s="2">
        <v>2234038</v>
      </c>
    </row>
    <row r="108" spans="1:16">
      <c r="A108" s="84" t="s">
        <v>289</v>
      </c>
      <c r="B108" s="85" t="s">
        <v>288</v>
      </c>
      <c r="C108" s="85" t="s">
        <v>83</v>
      </c>
      <c r="D108" s="84" t="s">
        <v>75</v>
      </c>
      <c r="E108" s="84">
        <v>3</v>
      </c>
      <c r="F108" s="2">
        <v>1446541</v>
      </c>
      <c r="G108" s="2">
        <v>1462110.9999999998</v>
      </c>
      <c r="H108" s="2">
        <v>1480601.9999999998</v>
      </c>
      <c r="I108" s="2">
        <v>1497717.9999999998</v>
      </c>
      <c r="J108" s="2">
        <v>1514374</v>
      </c>
      <c r="K108" s="2">
        <v>1530217</v>
      </c>
      <c r="L108" s="2">
        <v>1544592</v>
      </c>
      <c r="M108" s="2">
        <v>1560371</v>
      </c>
      <c r="N108" s="2">
        <v>1574513</v>
      </c>
      <c r="O108" s="2">
        <v>1588360.0000000002</v>
      </c>
      <c r="P108" s="2">
        <v>1602067</v>
      </c>
    </row>
    <row r="109" spans="1:16">
      <c r="A109" s="84" t="s">
        <v>291</v>
      </c>
      <c r="B109" s="85" t="s">
        <v>290</v>
      </c>
      <c r="C109" s="85" t="s">
        <v>99</v>
      </c>
      <c r="D109" s="84" t="s">
        <v>80</v>
      </c>
      <c r="E109" s="84">
        <v>2</v>
      </c>
      <c r="F109" s="2">
        <v>1005154</v>
      </c>
      <c r="G109" s="2">
        <v>994008</v>
      </c>
      <c r="H109" s="2">
        <v>984442</v>
      </c>
      <c r="I109" s="2">
        <v>973055.00000000012</v>
      </c>
      <c r="J109" s="2">
        <v>961404</v>
      </c>
      <c r="K109" s="2">
        <v>949772.99999999988</v>
      </c>
      <c r="L109" s="2">
        <v>938825</v>
      </c>
      <c r="M109" s="2">
        <v>928679</v>
      </c>
      <c r="N109" s="2">
        <v>918836</v>
      </c>
      <c r="O109" s="2">
        <v>910109</v>
      </c>
      <c r="P109" s="2">
        <v>902847</v>
      </c>
    </row>
    <row r="110" spans="1:16">
      <c r="A110" s="84" t="s">
        <v>293</v>
      </c>
      <c r="B110" s="85" t="s">
        <v>292</v>
      </c>
      <c r="C110" s="85" t="s">
        <v>110</v>
      </c>
      <c r="D110" s="84" t="s">
        <v>80</v>
      </c>
      <c r="E110" s="84">
        <v>2</v>
      </c>
      <c r="F110" s="2">
        <v>10568</v>
      </c>
      <c r="G110" s="2">
        <v>10337</v>
      </c>
      <c r="H110" s="2">
        <v>10350.000000000002</v>
      </c>
      <c r="I110" s="2">
        <v>10387</v>
      </c>
      <c r="J110" s="2">
        <v>10472.000000000002</v>
      </c>
      <c r="K110" s="2">
        <v>10572</v>
      </c>
      <c r="L110" s="2">
        <v>10713.000000000002</v>
      </c>
      <c r="M110" s="2">
        <v>10801</v>
      </c>
      <c r="N110" s="2">
        <v>10921</v>
      </c>
      <c r="O110" s="2">
        <v>11036</v>
      </c>
      <c r="P110" s="2">
        <v>11139</v>
      </c>
    </row>
    <row r="111" spans="1:16">
      <c r="A111" s="84" t="s">
        <v>295</v>
      </c>
      <c r="B111" s="85" t="s">
        <v>294</v>
      </c>
      <c r="C111" s="85" t="s">
        <v>83</v>
      </c>
      <c r="D111" s="84" t="s">
        <v>75</v>
      </c>
      <c r="E111" s="84">
        <v>3</v>
      </c>
      <c r="F111" s="2">
        <v>1837049</v>
      </c>
      <c r="G111" s="2">
        <v>1870317</v>
      </c>
      <c r="H111" s="2">
        <v>1895103.9999999998</v>
      </c>
      <c r="I111" s="2">
        <v>1922800</v>
      </c>
      <c r="J111" s="2">
        <v>1950255.9999999998</v>
      </c>
      <c r="K111" s="2">
        <v>1977853</v>
      </c>
      <c r="L111" s="2">
        <v>2006023.0000000002</v>
      </c>
      <c r="M111" s="2">
        <v>2033005</v>
      </c>
      <c r="N111" s="2">
        <v>2060139.0000000002</v>
      </c>
      <c r="O111" s="2">
        <v>2085721.9999999998</v>
      </c>
      <c r="P111" s="2">
        <v>2109038.9999999995</v>
      </c>
    </row>
    <row r="112" spans="1:16">
      <c r="A112" s="84" t="s">
        <v>297</v>
      </c>
      <c r="B112" s="85" t="s">
        <v>296</v>
      </c>
      <c r="C112" s="85" t="s">
        <v>79</v>
      </c>
      <c r="D112" s="84" t="s">
        <v>87</v>
      </c>
      <c r="E112" s="84">
        <v>1</v>
      </c>
      <c r="F112" s="2">
        <v>8029</v>
      </c>
      <c r="G112" s="2">
        <v>7875.9999999999991</v>
      </c>
      <c r="H112" s="2">
        <v>7780</v>
      </c>
      <c r="I112" s="2">
        <v>7666</v>
      </c>
      <c r="J112" s="2">
        <v>7560.0000000000009</v>
      </c>
      <c r="K112" s="2">
        <v>7462</v>
      </c>
      <c r="L112" s="2">
        <v>7368</v>
      </c>
      <c r="M112" s="2">
        <v>7314</v>
      </c>
      <c r="N112" s="2">
        <v>7257</v>
      </c>
      <c r="O112" s="2">
        <v>7213</v>
      </c>
      <c r="P112" s="2">
        <v>7180</v>
      </c>
    </row>
    <row r="113" spans="1:16">
      <c r="A113" s="84" t="s">
        <v>299</v>
      </c>
      <c r="B113" s="85" t="s">
        <v>298</v>
      </c>
      <c r="C113" s="85" t="s">
        <v>99</v>
      </c>
      <c r="D113" s="84" t="s">
        <v>80</v>
      </c>
      <c r="E113" s="84">
        <v>1</v>
      </c>
      <c r="F113" s="2">
        <v>0</v>
      </c>
      <c r="G113" s="2">
        <v>0</v>
      </c>
      <c r="H113" s="2">
        <v>0</v>
      </c>
      <c r="I113" s="2">
        <v>0</v>
      </c>
      <c r="J113" s="2">
        <v>0</v>
      </c>
      <c r="K113" s="2">
        <v>0</v>
      </c>
      <c r="L113" s="2">
        <v>0</v>
      </c>
      <c r="M113" s="2">
        <v>0</v>
      </c>
      <c r="N113" s="2">
        <v>0</v>
      </c>
      <c r="O113" s="2">
        <v>0</v>
      </c>
      <c r="P113" s="2">
        <v>0</v>
      </c>
    </row>
    <row r="114" spans="1:16">
      <c r="A114" s="84" t="s">
        <v>301</v>
      </c>
      <c r="B114" s="85" t="s">
        <v>300</v>
      </c>
      <c r="C114" s="85" t="s">
        <v>83</v>
      </c>
      <c r="D114" s="84" t="s">
        <v>84</v>
      </c>
      <c r="E114" s="84">
        <v>3</v>
      </c>
      <c r="F114" s="2">
        <v>330251.99999999994</v>
      </c>
      <c r="G114" s="2">
        <v>335128.00000000006</v>
      </c>
      <c r="H114" s="2">
        <v>339334</v>
      </c>
      <c r="I114" s="2">
        <v>343941.00000000006</v>
      </c>
      <c r="J114" s="2">
        <v>348638.00000000006</v>
      </c>
      <c r="K114" s="2">
        <v>353438</v>
      </c>
      <c r="L114" s="2">
        <v>358640.99999999994</v>
      </c>
      <c r="M114" s="2">
        <v>363639</v>
      </c>
      <c r="N114" s="2">
        <v>368830.00000000006</v>
      </c>
      <c r="O114" s="2">
        <v>373940</v>
      </c>
      <c r="P114" s="2">
        <v>378883.00000000006</v>
      </c>
    </row>
    <row r="115" spans="1:16">
      <c r="A115" s="84" t="s">
        <v>303</v>
      </c>
      <c r="B115" s="85" t="s">
        <v>302</v>
      </c>
      <c r="C115" s="85" t="s">
        <v>83</v>
      </c>
      <c r="D115" s="84" t="s">
        <v>87</v>
      </c>
      <c r="E115" s="84">
        <v>1</v>
      </c>
      <c r="F115" s="2">
        <v>23979</v>
      </c>
      <c r="G115" s="2">
        <v>23820.999999999996</v>
      </c>
      <c r="H115" s="2">
        <v>23786</v>
      </c>
      <c r="I115" s="2">
        <v>23680</v>
      </c>
      <c r="J115" s="2">
        <v>23528</v>
      </c>
      <c r="K115" s="2">
        <v>23311</v>
      </c>
      <c r="L115" s="2">
        <v>23076</v>
      </c>
      <c r="M115" s="2">
        <v>22710</v>
      </c>
      <c r="N115" s="2">
        <v>22333</v>
      </c>
      <c r="O115" s="2">
        <v>21945</v>
      </c>
      <c r="P115" s="2">
        <v>21567</v>
      </c>
    </row>
    <row r="116" spans="1:16">
      <c r="A116" s="84" t="s">
        <v>305</v>
      </c>
      <c r="B116" s="85" t="s">
        <v>304</v>
      </c>
      <c r="C116" s="85" t="s">
        <v>92</v>
      </c>
      <c r="D116" s="84" t="s">
        <v>80</v>
      </c>
      <c r="E116" s="84">
        <v>2</v>
      </c>
      <c r="F116" s="2">
        <v>4050727</v>
      </c>
      <c r="G116" s="2">
        <v>4018867</v>
      </c>
      <c r="H116" s="2">
        <v>3989997.0000000005</v>
      </c>
      <c r="I116" s="2">
        <v>3961723</v>
      </c>
      <c r="J116" s="2">
        <v>3933368.9999999995</v>
      </c>
      <c r="K116" s="2">
        <v>3904021</v>
      </c>
      <c r="L116" s="2">
        <v>3877876</v>
      </c>
      <c r="M116" s="2">
        <v>3848739</v>
      </c>
      <c r="N116" s="2">
        <v>3820301.0000000005</v>
      </c>
      <c r="O116" s="2">
        <v>3791673</v>
      </c>
      <c r="P116" s="2">
        <v>3763029.9999999995</v>
      </c>
    </row>
    <row r="117" spans="1:16">
      <c r="A117" s="84" t="s">
        <v>307</v>
      </c>
      <c r="B117" s="85" t="s">
        <v>306</v>
      </c>
      <c r="C117" s="85" t="s">
        <v>99</v>
      </c>
      <c r="D117" s="84" t="s">
        <v>84</v>
      </c>
      <c r="E117" s="84">
        <v>1</v>
      </c>
      <c r="F117" s="2">
        <v>5074</v>
      </c>
      <c r="G117" s="2">
        <v>5034</v>
      </c>
      <c r="H117" s="2">
        <v>4979</v>
      </c>
      <c r="I117" s="2">
        <v>4920</v>
      </c>
      <c r="J117" s="2">
        <v>4855</v>
      </c>
      <c r="K117" s="2">
        <v>4791</v>
      </c>
      <c r="L117" s="2">
        <v>4725</v>
      </c>
      <c r="M117" s="2">
        <v>4664</v>
      </c>
      <c r="N117" s="2">
        <v>4602</v>
      </c>
      <c r="O117" s="2">
        <v>4545.9999999999991</v>
      </c>
      <c r="P117" s="2">
        <v>4497</v>
      </c>
    </row>
    <row r="118" spans="1:16">
      <c r="A118" s="84" t="s">
        <v>309</v>
      </c>
      <c r="B118" s="85" t="s">
        <v>308</v>
      </c>
      <c r="C118" s="85" t="s">
        <v>79</v>
      </c>
      <c r="D118" s="84" t="s">
        <v>84</v>
      </c>
      <c r="E118" s="84">
        <v>1</v>
      </c>
      <c r="F118" s="2">
        <v>63381</v>
      </c>
      <c r="G118" s="2">
        <v>61916</v>
      </c>
      <c r="H118" s="2">
        <v>61275.000000000007</v>
      </c>
      <c r="I118" s="2">
        <v>60689</v>
      </c>
      <c r="J118" s="2">
        <v>60251.000000000007</v>
      </c>
      <c r="K118" s="2">
        <v>59852.000000000007</v>
      </c>
      <c r="L118" s="2">
        <v>59601</v>
      </c>
      <c r="M118" s="2">
        <v>59207</v>
      </c>
      <c r="N118" s="2">
        <v>58945</v>
      </c>
      <c r="O118" s="2">
        <v>58717</v>
      </c>
      <c r="P118" s="2">
        <v>58513.000000000007</v>
      </c>
    </row>
    <row r="119" spans="1:16">
      <c r="A119" s="84" t="s">
        <v>311</v>
      </c>
      <c r="B119" s="85" t="s">
        <v>310</v>
      </c>
      <c r="C119" s="85" t="s">
        <v>79</v>
      </c>
      <c r="D119" s="84" t="s">
        <v>87</v>
      </c>
      <c r="E119" s="84">
        <v>1</v>
      </c>
      <c r="F119" s="2">
        <v>0</v>
      </c>
      <c r="G119" s="2">
        <v>0</v>
      </c>
      <c r="H119" s="2">
        <v>0</v>
      </c>
      <c r="I119" s="2">
        <v>0</v>
      </c>
      <c r="J119" s="2">
        <v>0</v>
      </c>
      <c r="K119" s="2">
        <v>0</v>
      </c>
      <c r="L119" s="2">
        <v>0</v>
      </c>
      <c r="M119" s="2">
        <v>0</v>
      </c>
      <c r="N119" s="2">
        <v>0</v>
      </c>
      <c r="O119" s="2">
        <v>0</v>
      </c>
      <c r="P119" s="2">
        <v>0</v>
      </c>
    </row>
    <row r="120" spans="1:16">
      <c r="A120" s="84" t="s">
        <v>313</v>
      </c>
      <c r="B120" s="85" t="s">
        <v>312</v>
      </c>
      <c r="C120" s="85" t="s">
        <v>99</v>
      </c>
      <c r="D120" s="84" t="s">
        <v>84</v>
      </c>
      <c r="E120" s="84">
        <v>2</v>
      </c>
      <c r="F120" s="2">
        <v>129800.99999999999</v>
      </c>
      <c r="G120" s="2">
        <v>130675.00000000001</v>
      </c>
      <c r="H120" s="2">
        <v>129988</v>
      </c>
      <c r="I120" s="2">
        <v>130192.99999999999</v>
      </c>
      <c r="J120" s="2">
        <v>130572.99999999999</v>
      </c>
      <c r="K120" s="2">
        <v>131185</v>
      </c>
      <c r="L120" s="2">
        <v>132477</v>
      </c>
      <c r="M120" s="2">
        <v>133272</v>
      </c>
      <c r="N120" s="2">
        <v>134540.00000000003</v>
      </c>
      <c r="O120" s="2">
        <v>135827</v>
      </c>
      <c r="P120" s="2">
        <v>137058</v>
      </c>
    </row>
    <row r="121" spans="1:16">
      <c r="A121" s="84" t="s">
        <v>315</v>
      </c>
      <c r="B121" s="85" t="s">
        <v>314</v>
      </c>
      <c r="C121" s="85" t="s">
        <v>79</v>
      </c>
      <c r="D121" s="84" t="s">
        <v>80</v>
      </c>
      <c r="E121" s="84">
        <v>1</v>
      </c>
      <c r="F121" s="2">
        <v>13349</v>
      </c>
      <c r="G121" s="2">
        <v>13270</v>
      </c>
      <c r="H121" s="2">
        <v>13129.999999999998</v>
      </c>
      <c r="I121" s="2">
        <v>12995.000000000002</v>
      </c>
      <c r="J121" s="2">
        <v>12859</v>
      </c>
      <c r="K121" s="2">
        <v>12736</v>
      </c>
      <c r="L121" s="2">
        <v>12638</v>
      </c>
      <c r="M121" s="2">
        <v>12539</v>
      </c>
      <c r="N121" s="2">
        <v>12452</v>
      </c>
      <c r="O121" s="2">
        <v>12369</v>
      </c>
      <c r="P121" s="2">
        <v>12285</v>
      </c>
    </row>
    <row r="122" spans="1:16">
      <c r="A122" s="84" t="s">
        <v>317</v>
      </c>
      <c r="B122" s="85" t="s">
        <v>316</v>
      </c>
      <c r="C122" s="85" t="s">
        <v>74</v>
      </c>
      <c r="D122" s="84" t="s">
        <v>84</v>
      </c>
      <c r="E122" s="84">
        <v>3</v>
      </c>
      <c r="F122" s="2">
        <v>1225784</v>
      </c>
      <c r="G122" s="2">
        <v>1217086</v>
      </c>
      <c r="H122" s="2">
        <v>1211331.9999999998</v>
      </c>
      <c r="I122" s="2">
        <v>1207458</v>
      </c>
      <c r="J122" s="2">
        <v>1204429.9999999998</v>
      </c>
      <c r="K122" s="2">
        <v>1201344</v>
      </c>
      <c r="L122" s="2">
        <v>1199563</v>
      </c>
      <c r="M122" s="2">
        <v>1196655</v>
      </c>
      <c r="N122" s="2">
        <v>1194306</v>
      </c>
      <c r="O122" s="2">
        <v>1191797</v>
      </c>
      <c r="P122" s="2">
        <v>1189019</v>
      </c>
    </row>
    <row r="123" spans="1:16">
      <c r="A123" s="84" t="s">
        <v>319</v>
      </c>
      <c r="B123" s="85" t="s">
        <v>318</v>
      </c>
      <c r="C123" s="85" t="s">
        <v>83</v>
      </c>
      <c r="D123" s="84" t="s">
        <v>75</v>
      </c>
      <c r="E123" s="84" t="s">
        <v>76</v>
      </c>
      <c r="F123" s="2">
        <v>2570281</v>
      </c>
      <c r="G123" s="2">
        <v>2608440</v>
      </c>
      <c r="H123" s="2">
        <v>2645048</v>
      </c>
      <c r="I123" s="2">
        <v>2681721.9999999995</v>
      </c>
      <c r="J123" s="2">
        <v>2718023</v>
      </c>
      <c r="K123" s="2">
        <v>2753953.0000000005</v>
      </c>
      <c r="L123" s="2">
        <v>2790236</v>
      </c>
      <c r="M123" s="2">
        <v>2825707.9999999995</v>
      </c>
      <c r="N123" s="2">
        <v>2860649</v>
      </c>
      <c r="O123" s="2">
        <v>2894272</v>
      </c>
      <c r="P123" s="2">
        <v>2926181</v>
      </c>
    </row>
    <row r="124" spans="1:16">
      <c r="A124" s="84" t="s">
        <v>321</v>
      </c>
      <c r="B124" s="85" t="s">
        <v>320</v>
      </c>
      <c r="C124" s="85" t="s">
        <v>110</v>
      </c>
      <c r="D124" s="84" t="s">
        <v>84</v>
      </c>
      <c r="E124" s="84">
        <v>4</v>
      </c>
      <c r="F124" s="2">
        <v>1777450</v>
      </c>
      <c r="G124" s="2">
        <v>1772833</v>
      </c>
      <c r="H124" s="2">
        <v>1763405</v>
      </c>
      <c r="I124" s="2">
        <v>1752320.0000000002</v>
      </c>
      <c r="J124" s="2">
        <v>1739175.0000000002</v>
      </c>
      <c r="K124" s="2">
        <v>1724487</v>
      </c>
      <c r="L124" s="2">
        <v>1710107</v>
      </c>
      <c r="M124" s="2">
        <v>1693166.0000000002</v>
      </c>
      <c r="N124" s="2">
        <v>1675896</v>
      </c>
      <c r="O124" s="2">
        <v>1658724.0000000002</v>
      </c>
      <c r="P124" s="2">
        <v>1642329.0000000002</v>
      </c>
    </row>
    <row r="125" spans="1:16">
      <c r="A125" s="84" t="s">
        <v>323</v>
      </c>
      <c r="B125" s="85" t="s">
        <v>322</v>
      </c>
      <c r="C125" s="85" t="s">
        <v>83</v>
      </c>
      <c r="D125" s="84" t="s">
        <v>80</v>
      </c>
      <c r="E125" s="84">
        <v>3</v>
      </c>
      <c r="F125" s="2">
        <v>138420.00000000003</v>
      </c>
      <c r="G125" s="2">
        <v>139175</v>
      </c>
      <c r="H125" s="2">
        <v>139857</v>
      </c>
      <c r="I125" s="2">
        <v>140718.00000000003</v>
      </c>
      <c r="J125" s="2">
        <v>141591</v>
      </c>
      <c r="K125" s="2">
        <v>142428</v>
      </c>
      <c r="L125" s="2">
        <v>143432</v>
      </c>
      <c r="M125" s="2">
        <v>143980</v>
      </c>
      <c r="N125" s="2">
        <v>144706.00000000003</v>
      </c>
      <c r="O125" s="2">
        <v>145418</v>
      </c>
      <c r="P125" s="2">
        <v>146128</v>
      </c>
    </row>
    <row r="126" spans="1:16">
      <c r="A126" s="84" t="s">
        <v>325</v>
      </c>
      <c r="B126" s="85" t="s">
        <v>324</v>
      </c>
      <c r="C126" s="85" t="s">
        <v>99</v>
      </c>
      <c r="D126" s="84" t="s">
        <v>87</v>
      </c>
      <c r="E126" s="84">
        <v>1</v>
      </c>
      <c r="F126" s="2">
        <v>0</v>
      </c>
      <c r="G126" s="2">
        <v>0</v>
      </c>
      <c r="H126" s="2">
        <v>0</v>
      </c>
      <c r="I126" s="2">
        <v>0</v>
      </c>
      <c r="J126" s="2">
        <v>0</v>
      </c>
      <c r="K126" s="2">
        <v>0</v>
      </c>
      <c r="L126" s="2">
        <v>0</v>
      </c>
      <c r="M126" s="2">
        <v>0</v>
      </c>
      <c r="N126" s="2">
        <v>0</v>
      </c>
      <c r="O126" s="2">
        <v>0</v>
      </c>
      <c r="P126" s="2">
        <v>0</v>
      </c>
    </row>
    <row r="127" spans="1:16">
      <c r="A127" s="84" t="s">
        <v>327</v>
      </c>
      <c r="B127" s="85" t="s">
        <v>326</v>
      </c>
      <c r="C127" s="85" t="s">
        <v>110</v>
      </c>
      <c r="D127" s="84" t="s">
        <v>84</v>
      </c>
      <c r="E127" s="84">
        <v>4</v>
      </c>
      <c r="F127" s="2">
        <v>956646.99999999988</v>
      </c>
      <c r="G127" s="2">
        <v>928185.99999999988</v>
      </c>
      <c r="H127" s="2">
        <v>921654</v>
      </c>
      <c r="I127" s="2">
        <v>909397</v>
      </c>
      <c r="J127" s="2">
        <v>897074</v>
      </c>
      <c r="K127" s="2">
        <v>882477</v>
      </c>
      <c r="L127" s="2">
        <v>867491</v>
      </c>
      <c r="M127" s="2">
        <v>846020</v>
      </c>
      <c r="N127" s="2">
        <v>826404</v>
      </c>
      <c r="O127" s="2">
        <v>808055.00000000012</v>
      </c>
      <c r="P127" s="2">
        <v>792256</v>
      </c>
    </row>
    <row r="128" spans="1:16">
      <c r="A128" s="84" t="s">
        <v>329</v>
      </c>
      <c r="B128" s="85" t="s">
        <v>328</v>
      </c>
      <c r="C128" s="85" t="s">
        <v>79</v>
      </c>
      <c r="D128" s="84" t="s">
        <v>87</v>
      </c>
      <c r="E128" s="84">
        <v>1</v>
      </c>
      <c r="F128" s="2">
        <v>347714</v>
      </c>
      <c r="G128" s="2">
        <v>345308.99999999994</v>
      </c>
      <c r="H128" s="2">
        <v>346056</v>
      </c>
      <c r="I128" s="2">
        <v>345719</v>
      </c>
      <c r="J128" s="2">
        <v>345114.00000000006</v>
      </c>
      <c r="K128" s="2">
        <v>343879</v>
      </c>
      <c r="L128" s="2">
        <v>342251</v>
      </c>
      <c r="M128" s="2">
        <v>340488</v>
      </c>
      <c r="N128" s="2">
        <v>338140.99999999994</v>
      </c>
      <c r="O128" s="2">
        <v>335582</v>
      </c>
      <c r="P128" s="2">
        <v>332952</v>
      </c>
    </row>
    <row r="129" spans="1:16">
      <c r="A129" s="84" t="s">
        <v>331</v>
      </c>
      <c r="B129" s="85" t="s">
        <v>330</v>
      </c>
      <c r="C129" s="85" t="s">
        <v>99</v>
      </c>
      <c r="D129" s="84" t="s">
        <v>87</v>
      </c>
      <c r="E129" s="84">
        <v>1</v>
      </c>
      <c r="F129" s="2">
        <v>119174</v>
      </c>
      <c r="G129" s="2">
        <v>118684</v>
      </c>
      <c r="H129" s="2">
        <v>118642</v>
      </c>
      <c r="I129" s="2">
        <v>118502.00000000001</v>
      </c>
      <c r="J129" s="2">
        <v>118381</v>
      </c>
      <c r="K129" s="2">
        <v>118235</v>
      </c>
      <c r="L129" s="2">
        <v>118164.99999999999</v>
      </c>
      <c r="M129" s="2">
        <v>118210.00000000001</v>
      </c>
      <c r="N129" s="2">
        <v>118176.99999999999</v>
      </c>
      <c r="O129" s="2">
        <v>118126</v>
      </c>
      <c r="P129" s="2">
        <v>118053</v>
      </c>
    </row>
    <row r="130" spans="1:16">
      <c r="A130" s="84" t="s">
        <v>333</v>
      </c>
      <c r="B130" s="85" t="s">
        <v>332</v>
      </c>
      <c r="C130" s="85" t="s">
        <v>92</v>
      </c>
      <c r="D130" s="84" t="s">
        <v>84</v>
      </c>
      <c r="E130" s="84">
        <v>2</v>
      </c>
      <c r="F130" s="2">
        <v>241617.00000000003</v>
      </c>
      <c r="G130" s="2">
        <v>240818</v>
      </c>
      <c r="H130" s="2">
        <v>239413</v>
      </c>
      <c r="I130" s="2">
        <v>238223</v>
      </c>
      <c r="J130" s="2">
        <v>236994</v>
      </c>
      <c r="K130" s="2">
        <v>235738</v>
      </c>
      <c r="L130" s="2">
        <v>234762</v>
      </c>
      <c r="M130" s="2">
        <v>233385</v>
      </c>
      <c r="N130" s="2">
        <v>232143</v>
      </c>
      <c r="O130" s="2">
        <v>230864</v>
      </c>
      <c r="P130" s="2">
        <v>229554</v>
      </c>
    </row>
    <row r="131" spans="1:16">
      <c r="A131" s="84" t="s">
        <v>335</v>
      </c>
      <c r="B131" s="85" t="s">
        <v>334</v>
      </c>
      <c r="C131" s="85" t="s">
        <v>83</v>
      </c>
      <c r="D131" s="84" t="s">
        <v>75</v>
      </c>
      <c r="E131" s="84">
        <v>3</v>
      </c>
      <c r="F131" s="2">
        <v>2706295</v>
      </c>
      <c r="G131" s="2">
        <v>2780935</v>
      </c>
      <c r="H131" s="2">
        <v>2850294</v>
      </c>
      <c r="I131" s="2">
        <v>2923087.9999999995</v>
      </c>
      <c r="J131" s="2">
        <v>2995754</v>
      </c>
      <c r="K131" s="2">
        <v>3067904</v>
      </c>
      <c r="L131" s="2">
        <v>3141188</v>
      </c>
      <c r="M131" s="2">
        <v>3208429</v>
      </c>
      <c r="N131" s="2">
        <v>3278037.0000000005</v>
      </c>
      <c r="O131" s="2">
        <v>3347198.0000000005</v>
      </c>
      <c r="P131" s="2">
        <v>3415915</v>
      </c>
    </row>
    <row r="132" spans="1:16">
      <c r="A132" s="84" t="s">
        <v>337</v>
      </c>
      <c r="B132" s="85" t="s">
        <v>336</v>
      </c>
      <c r="C132" s="85" t="s">
        <v>83</v>
      </c>
      <c r="D132" s="84" t="s">
        <v>84</v>
      </c>
      <c r="E132" s="84" t="s">
        <v>76</v>
      </c>
      <c r="F132" s="2">
        <v>16514844.000000002</v>
      </c>
      <c r="G132" s="2">
        <v>16778658</v>
      </c>
      <c r="H132" s="2">
        <v>16998760.000000004</v>
      </c>
      <c r="I132" s="2">
        <v>17241601</v>
      </c>
      <c r="J132" s="2">
        <v>17483018</v>
      </c>
      <c r="K132" s="2">
        <v>17721802</v>
      </c>
      <c r="L132" s="2">
        <v>17966801</v>
      </c>
      <c r="M132" s="2">
        <v>18176792</v>
      </c>
      <c r="N132" s="2">
        <v>18399790</v>
      </c>
      <c r="O132" s="2">
        <v>18617804</v>
      </c>
      <c r="P132" s="2">
        <v>18829619</v>
      </c>
    </row>
    <row r="133" spans="1:16">
      <c r="A133" s="84" t="s">
        <v>339</v>
      </c>
      <c r="B133" s="85" t="s">
        <v>338</v>
      </c>
      <c r="C133" s="85" t="s">
        <v>99</v>
      </c>
      <c r="D133" s="84" t="e">
        <v>#N/A</v>
      </c>
      <c r="E133" s="84">
        <v>1</v>
      </c>
      <c r="F133" s="2">
        <v>0</v>
      </c>
      <c r="G133" s="2">
        <v>0</v>
      </c>
      <c r="H133" s="2">
        <v>0</v>
      </c>
      <c r="I133" s="2">
        <v>0</v>
      </c>
      <c r="J133" s="2">
        <v>0</v>
      </c>
      <c r="K133" s="2">
        <v>0</v>
      </c>
      <c r="L133" s="2">
        <v>0</v>
      </c>
      <c r="M133" s="2">
        <v>0</v>
      </c>
      <c r="N133" s="2">
        <v>0</v>
      </c>
      <c r="O133" s="2">
        <v>0</v>
      </c>
      <c r="P133" s="2">
        <v>0</v>
      </c>
    </row>
    <row r="134" spans="1:16">
      <c r="A134" s="84" t="s">
        <v>341</v>
      </c>
      <c r="B134" s="85" t="s">
        <v>340</v>
      </c>
      <c r="C134" s="85" t="s">
        <v>79</v>
      </c>
      <c r="D134" s="84" t="s">
        <v>87</v>
      </c>
      <c r="E134" s="84">
        <v>1</v>
      </c>
      <c r="F134" s="2">
        <v>128903.00000000001</v>
      </c>
      <c r="G134" s="2">
        <v>128519</v>
      </c>
      <c r="H134" s="2">
        <v>129874</v>
      </c>
      <c r="I134" s="2">
        <v>130656</v>
      </c>
      <c r="J134" s="2">
        <v>131409</v>
      </c>
      <c r="K134" s="2">
        <v>131986</v>
      </c>
      <c r="L134" s="2">
        <v>132277</v>
      </c>
      <c r="M134" s="2">
        <v>132964</v>
      </c>
      <c r="N134" s="2">
        <v>133251</v>
      </c>
      <c r="O134" s="2">
        <v>133442.99999999997</v>
      </c>
      <c r="P134" s="2">
        <v>133566</v>
      </c>
    </row>
    <row r="135" spans="1:16">
      <c r="A135" s="84" t="s">
        <v>343</v>
      </c>
      <c r="B135" s="85" t="s">
        <v>342</v>
      </c>
      <c r="C135" s="85" t="s">
        <v>74</v>
      </c>
      <c r="D135" s="84" t="s">
        <v>87</v>
      </c>
      <c r="E135" s="84">
        <v>1</v>
      </c>
      <c r="F135" s="2">
        <v>149317</v>
      </c>
      <c r="G135" s="2">
        <v>148881</v>
      </c>
      <c r="H135" s="2">
        <v>145406.99999999997</v>
      </c>
      <c r="I135" s="2">
        <v>142503</v>
      </c>
      <c r="J135" s="2">
        <v>139928</v>
      </c>
      <c r="K135" s="2">
        <v>138257</v>
      </c>
      <c r="L135" s="2">
        <v>137809</v>
      </c>
      <c r="M135" s="2">
        <v>137995</v>
      </c>
      <c r="N135" s="2">
        <v>138879.00000000003</v>
      </c>
      <c r="O135" s="2">
        <v>140065</v>
      </c>
      <c r="P135" s="2">
        <v>141314.00000000003</v>
      </c>
    </row>
    <row r="136" spans="1:16">
      <c r="A136" s="84" t="s">
        <v>345</v>
      </c>
      <c r="B136" s="85" t="s">
        <v>344</v>
      </c>
      <c r="C136" s="85" t="s">
        <v>74</v>
      </c>
      <c r="D136" s="84" t="s">
        <v>84</v>
      </c>
      <c r="E136" s="84" t="s">
        <v>76</v>
      </c>
      <c r="F136" s="2">
        <v>11416564</v>
      </c>
      <c r="G136" s="2">
        <v>11446369.999999998</v>
      </c>
      <c r="H136" s="2">
        <v>11412632</v>
      </c>
      <c r="I136" s="2">
        <v>11395654</v>
      </c>
      <c r="J136" s="2">
        <v>11384472</v>
      </c>
      <c r="K136" s="2">
        <v>11388499</v>
      </c>
      <c r="L136" s="2">
        <v>11419289</v>
      </c>
      <c r="M136" s="2">
        <v>11456501</v>
      </c>
      <c r="N136" s="2">
        <v>11506000</v>
      </c>
      <c r="O136" s="2">
        <v>11557570</v>
      </c>
      <c r="P136" s="2">
        <v>11605553</v>
      </c>
    </row>
    <row r="137" spans="1:16">
      <c r="A137" s="84" t="s">
        <v>347</v>
      </c>
      <c r="B137" s="85" t="s">
        <v>346</v>
      </c>
      <c r="C137" s="85" t="s">
        <v>99</v>
      </c>
      <c r="D137" s="84" t="s">
        <v>87</v>
      </c>
      <c r="E137" s="84">
        <v>1</v>
      </c>
      <c r="F137" s="2">
        <v>0</v>
      </c>
      <c r="G137" s="2">
        <v>0</v>
      </c>
      <c r="H137" s="2">
        <v>0</v>
      </c>
      <c r="I137" s="2">
        <v>0</v>
      </c>
      <c r="J137" s="2">
        <v>0</v>
      </c>
      <c r="K137" s="2">
        <v>0</v>
      </c>
      <c r="L137" s="2">
        <v>0</v>
      </c>
      <c r="M137" s="2">
        <v>0</v>
      </c>
      <c r="N137" s="2">
        <v>0</v>
      </c>
      <c r="O137" s="2">
        <v>0</v>
      </c>
      <c r="P137" s="2">
        <v>0</v>
      </c>
    </row>
    <row r="138" spans="1:16">
      <c r="A138" s="84" t="s">
        <v>349</v>
      </c>
      <c r="B138" s="85" t="s">
        <v>348</v>
      </c>
      <c r="C138" s="85" t="s">
        <v>92</v>
      </c>
      <c r="D138" s="84" t="s">
        <v>87</v>
      </c>
      <c r="E138" s="84">
        <v>1</v>
      </c>
      <c r="F138" s="2">
        <v>158214</v>
      </c>
      <c r="G138" s="2">
        <v>157988</v>
      </c>
      <c r="H138" s="2">
        <v>158069.00000000003</v>
      </c>
      <c r="I138" s="2">
        <v>158067.99999999997</v>
      </c>
      <c r="J138" s="2">
        <v>158001</v>
      </c>
      <c r="K138" s="2">
        <v>157802.00000000003</v>
      </c>
      <c r="L138" s="2">
        <v>157660</v>
      </c>
      <c r="M138" s="2">
        <v>157303</v>
      </c>
      <c r="N138" s="2">
        <v>156910.00000000003</v>
      </c>
      <c r="O138" s="2">
        <v>156462</v>
      </c>
      <c r="P138" s="2">
        <v>155986</v>
      </c>
    </row>
    <row r="139" spans="1:16">
      <c r="A139" s="84" t="s">
        <v>351</v>
      </c>
      <c r="B139" s="85" t="s">
        <v>350</v>
      </c>
      <c r="C139" s="85" t="s">
        <v>99</v>
      </c>
      <c r="D139" s="84" t="s">
        <v>84</v>
      </c>
      <c r="E139" s="84">
        <v>4</v>
      </c>
      <c r="F139" s="2">
        <v>495340.00000000006</v>
      </c>
      <c r="G139" s="2">
        <v>499390</v>
      </c>
      <c r="H139" s="2">
        <v>503093</v>
      </c>
      <c r="I139" s="2">
        <v>506637</v>
      </c>
      <c r="J139" s="2">
        <v>509831</v>
      </c>
      <c r="K139" s="2">
        <v>512616.99999999994</v>
      </c>
      <c r="L139" s="2">
        <v>515504</v>
      </c>
      <c r="M139" s="2">
        <v>517444.99999999994</v>
      </c>
      <c r="N139" s="2">
        <v>519426.99999999988</v>
      </c>
      <c r="O139" s="2">
        <v>521397.99999999988</v>
      </c>
      <c r="P139" s="2">
        <v>523517.00000000006</v>
      </c>
    </row>
    <row r="140" spans="1:16">
      <c r="A140" s="84" t="s">
        <v>353</v>
      </c>
      <c r="B140" s="85" t="s">
        <v>352</v>
      </c>
      <c r="C140" s="85" t="s">
        <v>92</v>
      </c>
      <c r="D140" s="84" t="s">
        <v>80</v>
      </c>
      <c r="E140" s="84">
        <v>1</v>
      </c>
      <c r="F140" s="2">
        <v>271357</v>
      </c>
      <c r="G140" s="2">
        <v>269863</v>
      </c>
      <c r="H140" s="2">
        <v>268634</v>
      </c>
      <c r="I140" s="2">
        <v>267172</v>
      </c>
      <c r="J140" s="2">
        <v>265695</v>
      </c>
      <c r="K140" s="2">
        <v>264232</v>
      </c>
      <c r="L140" s="2">
        <v>263008</v>
      </c>
      <c r="M140" s="2">
        <v>261709</v>
      </c>
      <c r="N140" s="2">
        <v>260444.00000000003</v>
      </c>
      <c r="O140" s="2">
        <v>259139</v>
      </c>
      <c r="P140" s="2">
        <v>257770.99999999997</v>
      </c>
    </row>
    <row r="141" spans="1:16">
      <c r="A141" s="84" t="s">
        <v>355</v>
      </c>
      <c r="B141" s="85" t="s">
        <v>354</v>
      </c>
      <c r="C141" s="85" t="s">
        <v>92</v>
      </c>
      <c r="D141" s="84" t="s">
        <v>80</v>
      </c>
      <c r="E141" s="84">
        <v>2</v>
      </c>
      <c r="F141" s="2">
        <v>1060226</v>
      </c>
      <c r="G141" s="2">
        <v>1053298</v>
      </c>
      <c r="H141" s="2">
        <v>1046759</v>
      </c>
      <c r="I141" s="2">
        <v>1038230</v>
      </c>
      <c r="J141" s="2">
        <v>1029449.0000000001</v>
      </c>
      <c r="K141" s="2">
        <v>1021011</v>
      </c>
      <c r="L141" s="2">
        <v>1015183</v>
      </c>
      <c r="M141" s="2">
        <v>1006104</v>
      </c>
      <c r="N141" s="2">
        <v>999015</v>
      </c>
      <c r="O141" s="2">
        <v>992368.99999999988</v>
      </c>
      <c r="P141" s="2">
        <v>986268</v>
      </c>
    </row>
    <row r="142" spans="1:16">
      <c r="A142" s="84" t="s">
        <v>357</v>
      </c>
      <c r="B142" s="85" t="s">
        <v>356</v>
      </c>
      <c r="C142" s="85" t="s">
        <v>99</v>
      </c>
      <c r="D142" s="84" t="s">
        <v>84</v>
      </c>
      <c r="E142" s="84" t="s">
        <v>76</v>
      </c>
      <c r="F142" s="2">
        <v>4343585.9999999991</v>
      </c>
      <c r="G142" s="2">
        <v>4312392</v>
      </c>
      <c r="H142" s="2">
        <v>4329925</v>
      </c>
      <c r="I142" s="2">
        <v>4340648.9999999991</v>
      </c>
      <c r="J142" s="2">
        <v>4348520</v>
      </c>
      <c r="K142" s="2">
        <v>4344657.9999999991</v>
      </c>
      <c r="L142" s="2">
        <v>4331132</v>
      </c>
      <c r="M142" s="2">
        <v>4304182</v>
      </c>
      <c r="N142" s="2">
        <v>4272936</v>
      </c>
      <c r="O142" s="2">
        <v>4241552</v>
      </c>
      <c r="P142" s="2">
        <v>4214291.9999999991</v>
      </c>
    </row>
    <row r="143" spans="1:16">
      <c r="A143" s="84" t="s">
        <v>359</v>
      </c>
      <c r="B143" s="85" t="s">
        <v>358</v>
      </c>
      <c r="C143" s="85" t="s">
        <v>79</v>
      </c>
      <c r="D143" s="84" t="s">
        <v>87</v>
      </c>
      <c r="E143" s="84">
        <v>1</v>
      </c>
      <c r="F143" s="2">
        <v>611027</v>
      </c>
      <c r="G143" s="2">
        <v>605406</v>
      </c>
      <c r="H143" s="2">
        <v>595652</v>
      </c>
      <c r="I143" s="2">
        <v>587350</v>
      </c>
      <c r="J143" s="2">
        <v>580261</v>
      </c>
      <c r="K143" s="2">
        <v>575295.00000000012</v>
      </c>
      <c r="L143" s="2">
        <v>573625</v>
      </c>
      <c r="M143" s="2">
        <v>573317</v>
      </c>
      <c r="N143" s="2">
        <v>574454</v>
      </c>
      <c r="O143" s="2">
        <v>575894</v>
      </c>
      <c r="P143" s="2">
        <v>576977</v>
      </c>
    </row>
    <row r="144" spans="1:16">
      <c r="A144" s="84" t="s">
        <v>361</v>
      </c>
      <c r="B144" s="85" t="s">
        <v>360</v>
      </c>
      <c r="C144" s="85" t="s">
        <v>79</v>
      </c>
      <c r="D144" s="84" t="s">
        <v>87</v>
      </c>
      <c r="E144" s="84">
        <v>1</v>
      </c>
      <c r="F144" s="2">
        <v>153483.99999999997</v>
      </c>
      <c r="G144" s="2">
        <v>153211</v>
      </c>
      <c r="H144" s="2">
        <v>153904</v>
      </c>
      <c r="I144" s="2">
        <v>154319</v>
      </c>
      <c r="J144" s="2">
        <v>154589</v>
      </c>
      <c r="K144" s="2">
        <v>154541.99999999997</v>
      </c>
      <c r="L144" s="2">
        <v>154363</v>
      </c>
      <c r="M144" s="2">
        <v>153804</v>
      </c>
      <c r="N144" s="2">
        <v>153017</v>
      </c>
      <c r="O144" s="2">
        <v>152027</v>
      </c>
      <c r="P144" s="2">
        <v>150887.99999999997</v>
      </c>
    </row>
    <row r="145" spans="1:16">
      <c r="A145" s="84" t="s">
        <v>363</v>
      </c>
      <c r="B145" s="85" t="s">
        <v>362</v>
      </c>
      <c r="C145" s="85" t="s">
        <v>74</v>
      </c>
      <c r="D145" s="84" t="s">
        <v>87</v>
      </c>
      <c r="E145" s="84">
        <v>1</v>
      </c>
      <c r="F145" s="2">
        <v>52048</v>
      </c>
      <c r="G145" s="2">
        <v>51682</v>
      </c>
      <c r="H145" s="2">
        <v>51662.000000000007</v>
      </c>
      <c r="I145" s="2">
        <v>51459</v>
      </c>
      <c r="J145" s="2">
        <v>51283</v>
      </c>
      <c r="K145" s="2">
        <v>51155</v>
      </c>
      <c r="L145" s="2">
        <v>50883</v>
      </c>
      <c r="M145" s="2">
        <v>51318</v>
      </c>
      <c r="N145" s="2">
        <v>51463</v>
      </c>
      <c r="O145" s="2">
        <v>51635.999999999993</v>
      </c>
      <c r="P145" s="2">
        <v>51826</v>
      </c>
    </row>
    <row r="146" spans="1:16">
      <c r="A146" s="84" t="s">
        <v>365</v>
      </c>
      <c r="B146" s="85" t="s">
        <v>364</v>
      </c>
      <c r="C146" s="85" t="s">
        <v>79</v>
      </c>
      <c r="D146" s="84" t="s">
        <v>87</v>
      </c>
      <c r="E146" s="84">
        <v>2</v>
      </c>
      <c r="F146" s="2">
        <v>333473</v>
      </c>
      <c r="G146" s="2">
        <v>333649</v>
      </c>
      <c r="H146" s="2">
        <v>331109.00000000006</v>
      </c>
      <c r="I146" s="2">
        <v>328986.99999999994</v>
      </c>
      <c r="J146" s="2">
        <v>326938.99999999994</v>
      </c>
      <c r="K146" s="2">
        <v>325371</v>
      </c>
      <c r="L146" s="2">
        <v>324713</v>
      </c>
      <c r="M146" s="2">
        <v>323980</v>
      </c>
      <c r="N146" s="2">
        <v>323543</v>
      </c>
      <c r="O146" s="2">
        <v>322888.00000000006</v>
      </c>
      <c r="P146" s="2">
        <v>321806</v>
      </c>
    </row>
    <row r="147" spans="1:16">
      <c r="A147" s="84" t="s">
        <v>367</v>
      </c>
      <c r="B147" s="85" t="s">
        <v>366</v>
      </c>
      <c r="C147" s="85" t="s">
        <v>79</v>
      </c>
      <c r="D147" s="84" t="s">
        <v>80</v>
      </c>
      <c r="E147" s="84">
        <v>2</v>
      </c>
      <c r="F147" s="2">
        <v>2902107</v>
      </c>
      <c r="G147" s="2">
        <v>2888636</v>
      </c>
      <c r="H147" s="2">
        <v>2857522</v>
      </c>
      <c r="I147" s="2">
        <v>2844424</v>
      </c>
      <c r="J147" s="2">
        <v>2841098</v>
      </c>
      <c r="K147" s="2">
        <v>2849140.9999999995</v>
      </c>
      <c r="L147" s="2">
        <v>2875228</v>
      </c>
      <c r="M147" s="2">
        <v>2902098</v>
      </c>
      <c r="N147" s="2">
        <v>2940333</v>
      </c>
      <c r="O147" s="2">
        <v>2980915</v>
      </c>
      <c r="P147" s="2">
        <v>3020574</v>
      </c>
    </row>
    <row r="148" spans="1:16">
      <c r="A148" s="84" t="s">
        <v>369</v>
      </c>
      <c r="B148" s="85" t="s">
        <v>368</v>
      </c>
      <c r="C148" s="85" t="s">
        <v>83</v>
      </c>
      <c r="D148" s="84" t="s">
        <v>75</v>
      </c>
      <c r="E148" s="84">
        <v>3</v>
      </c>
      <c r="F148" s="2">
        <v>823710</v>
      </c>
      <c r="G148" s="2">
        <v>832916.99999999988</v>
      </c>
      <c r="H148" s="2">
        <v>836344</v>
      </c>
      <c r="I148" s="2">
        <v>840635</v>
      </c>
      <c r="J148" s="2">
        <v>844693</v>
      </c>
      <c r="K148" s="2">
        <v>849237</v>
      </c>
      <c r="L148" s="2">
        <v>855288</v>
      </c>
      <c r="M148" s="2">
        <v>860573.00000000012</v>
      </c>
      <c r="N148" s="2">
        <v>866554.00000000012</v>
      </c>
      <c r="O148" s="2">
        <v>872470</v>
      </c>
      <c r="P148" s="2">
        <v>878117.99999999988</v>
      </c>
    </row>
    <row r="149" spans="1:16">
      <c r="A149" s="84" t="s">
        <v>371</v>
      </c>
      <c r="B149" s="85" t="s">
        <v>370</v>
      </c>
      <c r="C149" s="85" t="s">
        <v>92</v>
      </c>
      <c r="D149" s="84" t="s">
        <v>87</v>
      </c>
      <c r="E149" s="84">
        <v>1</v>
      </c>
      <c r="F149" s="2">
        <v>0</v>
      </c>
      <c r="G149" s="2">
        <v>0</v>
      </c>
      <c r="H149" s="2">
        <v>0</v>
      </c>
      <c r="I149" s="2">
        <v>0</v>
      </c>
      <c r="J149" s="2">
        <v>0</v>
      </c>
      <c r="K149" s="2">
        <v>0</v>
      </c>
      <c r="L149" s="2">
        <v>0</v>
      </c>
      <c r="M149" s="2">
        <v>0</v>
      </c>
      <c r="N149" s="2">
        <v>0</v>
      </c>
      <c r="O149" s="2">
        <v>0</v>
      </c>
      <c r="P149" s="2">
        <v>0</v>
      </c>
    </row>
    <row r="150" spans="1:16">
      <c r="A150" s="84" t="s">
        <v>373</v>
      </c>
      <c r="B150" s="85" t="s">
        <v>372</v>
      </c>
      <c r="C150" s="85" t="s">
        <v>92</v>
      </c>
      <c r="D150" s="84" t="s">
        <v>80</v>
      </c>
      <c r="E150" s="84">
        <v>1</v>
      </c>
      <c r="F150" s="2">
        <v>3576</v>
      </c>
      <c r="G150" s="2">
        <v>3506</v>
      </c>
      <c r="H150" s="2">
        <v>3455</v>
      </c>
      <c r="I150" s="2">
        <v>3401</v>
      </c>
      <c r="J150" s="2">
        <v>3350</v>
      </c>
      <c r="K150" s="2">
        <v>3299</v>
      </c>
      <c r="L150" s="2">
        <v>3255</v>
      </c>
      <c r="M150" s="2">
        <v>3202</v>
      </c>
      <c r="N150" s="2">
        <v>3157</v>
      </c>
      <c r="O150" s="2">
        <v>3115.9999999999995</v>
      </c>
      <c r="P150" s="2">
        <v>3078</v>
      </c>
    </row>
    <row r="151" spans="1:16">
      <c r="A151" s="84" t="s">
        <v>375</v>
      </c>
      <c r="B151" s="85" t="s">
        <v>374</v>
      </c>
      <c r="C151" s="85" t="s">
        <v>92</v>
      </c>
      <c r="D151" s="84" t="s">
        <v>80</v>
      </c>
      <c r="E151" s="84">
        <v>1</v>
      </c>
      <c r="F151" s="2">
        <v>2766</v>
      </c>
      <c r="G151" s="2">
        <v>2726</v>
      </c>
      <c r="H151" s="2">
        <v>2702</v>
      </c>
      <c r="I151" s="2">
        <v>2677</v>
      </c>
      <c r="J151" s="2">
        <v>2652</v>
      </c>
      <c r="K151" s="2">
        <v>2625</v>
      </c>
      <c r="L151" s="2">
        <v>2598</v>
      </c>
      <c r="M151" s="2">
        <v>2565</v>
      </c>
      <c r="N151" s="2">
        <v>2532</v>
      </c>
      <c r="O151" s="2">
        <v>2501.0000000000005</v>
      </c>
      <c r="P151" s="2">
        <v>2471</v>
      </c>
    </row>
    <row r="152" spans="1:16">
      <c r="A152" s="84" t="s">
        <v>377</v>
      </c>
      <c r="B152" s="85" t="s">
        <v>376</v>
      </c>
      <c r="C152" s="85" t="s">
        <v>99</v>
      </c>
      <c r="D152" s="84" t="s">
        <v>80</v>
      </c>
      <c r="E152" s="84">
        <v>2</v>
      </c>
      <c r="F152" s="2">
        <v>10375</v>
      </c>
      <c r="G152" s="2">
        <v>10783.000000000002</v>
      </c>
      <c r="H152" s="2">
        <v>10407</v>
      </c>
      <c r="I152" s="2">
        <v>10219.000000000002</v>
      </c>
      <c r="J152" s="2">
        <v>10034</v>
      </c>
      <c r="K152" s="2">
        <v>9943.9999999999982</v>
      </c>
      <c r="L152" s="2">
        <v>9940.0000000000018</v>
      </c>
      <c r="M152" s="2">
        <v>10113</v>
      </c>
      <c r="N152" s="2">
        <v>10289</v>
      </c>
      <c r="O152" s="2">
        <v>10467</v>
      </c>
      <c r="P152" s="2">
        <v>10610</v>
      </c>
    </row>
    <row r="153" spans="1:16">
      <c r="A153" s="84" t="s">
        <v>379</v>
      </c>
      <c r="B153" s="85" t="s">
        <v>378</v>
      </c>
      <c r="C153" s="85" t="s">
        <v>79</v>
      </c>
      <c r="D153" s="84" t="s">
        <v>87</v>
      </c>
      <c r="E153" s="84">
        <v>1</v>
      </c>
      <c r="F153" s="2">
        <v>0</v>
      </c>
      <c r="G153" s="2">
        <v>0</v>
      </c>
      <c r="H153" s="2">
        <v>0</v>
      </c>
      <c r="I153" s="2">
        <v>0</v>
      </c>
      <c r="J153" s="2">
        <v>0</v>
      </c>
      <c r="K153" s="2">
        <v>0</v>
      </c>
      <c r="L153" s="2">
        <v>0</v>
      </c>
      <c r="M153" s="2">
        <v>0</v>
      </c>
      <c r="N153" s="2">
        <v>0</v>
      </c>
      <c r="O153" s="2">
        <v>0</v>
      </c>
      <c r="P153" s="2">
        <v>0</v>
      </c>
    </row>
    <row r="154" spans="1:16">
      <c r="A154" s="84" t="s">
        <v>381</v>
      </c>
      <c r="B154" s="85" t="s">
        <v>380</v>
      </c>
      <c r="C154" s="85" t="s">
        <v>83</v>
      </c>
      <c r="D154" s="84" t="s">
        <v>84</v>
      </c>
      <c r="E154" s="84">
        <v>3</v>
      </c>
      <c r="F154" s="2">
        <v>15001.000000000002</v>
      </c>
      <c r="G154" s="2">
        <v>15250</v>
      </c>
      <c r="H154" s="2">
        <v>15399</v>
      </c>
      <c r="I154" s="2">
        <v>15575</v>
      </c>
      <c r="J154" s="2">
        <v>15742</v>
      </c>
      <c r="K154" s="2">
        <v>15905</v>
      </c>
      <c r="L154" s="2">
        <v>16064.999999999998</v>
      </c>
      <c r="M154" s="2">
        <v>16216.999999999998</v>
      </c>
      <c r="N154" s="2">
        <v>16369</v>
      </c>
      <c r="O154" s="2">
        <v>16521</v>
      </c>
      <c r="P154" s="2">
        <v>16673</v>
      </c>
    </row>
    <row r="155" spans="1:16">
      <c r="A155" s="84" t="s">
        <v>383</v>
      </c>
      <c r="B155" s="85" t="s">
        <v>382</v>
      </c>
      <c r="C155" s="85" t="s">
        <v>74</v>
      </c>
      <c r="D155" s="84" t="s">
        <v>87</v>
      </c>
      <c r="E155" s="84">
        <v>1</v>
      </c>
      <c r="F155" s="2">
        <v>1003216</v>
      </c>
      <c r="G155" s="2">
        <v>989451</v>
      </c>
      <c r="H155" s="2">
        <v>980701</v>
      </c>
      <c r="I155" s="2">
        <v>973618.99999999988</v>
      </c>
      <c r="J155" s="2">
        <v>968337</v>
      </c>
      <c r="K155" s="2">
        <v>964184</v>
      </c>
      <c r="L155" s="2">
        <v>963431</v>
      </c>
      <c r="M155" s="2">
        <v>961721</v>
      </c>
      <c r="N155" s="2">
        <v>961962</v>
      </c>
      <c r="O155" s="2">
        <v>962899</v>
      </c>
      <c r="P155" s="2">
        <v>964319</v>
      </c>
    </row>
    <row r="156" spans="1:16">
      <c r="A156" s="84" t="s">
        <v>385</v>
      </c>
      <c r="B156" s="85" t="s">
        <v>384</v>
      </c>
      <c r="C156" s="85" t="s">
        <v>83</v>
      </c>
      <c r="D156" s="84" t="s">
        <v>84</v>
      </c>
      <c r="E156" s="84">
        <v>3</v>
      </c>
      <c r="F156" s="2">
        <v>1231895</v>
      </c>
      <c r="G156" s="2">
        <v>1250726.9999999998</v>
      </c>
      <c r="H156" s="2">
        <v>1268990</v>
      </c>
      <c r="I156" s="2">
        <v>1288545</v>
      </c>
      <c r="J156" s="2">
        <v>1308342</v>
      </c>
      <c r="K156" s="2">
        <v>1328079</v>
      </c>
      <c r="L156" s="2">
        <v>1348665</v>
      </c>
      <c r="M156" s="2">
        <v>1367942</v>
      </c>
      <c r="N156" s="2">
        <v>1387443</v>
      </c>
      <c r="O156" s="2">
        <v>1406159.9999999998</v>
      </c>
      <c r="P156" s="2">
        <v>1423826</v>
      </c>
    </row>
    <row r="157" spans="1:16">
      <c r="A157" s="84" t="s">
        <v>387</v>
      </c>
      <c r="B157" s="85" t="s">
        <v>386</v>
      </c>
      <c r="C157" s="85" t="s">
        <v>79</v>
      </c>
      <c r="D157" s="84" t="s">
        <v>80</v>
      </c>
      <c r="E157" s="84">
        <v>1</v>
      </c>
      <c r="F157" s="2">
        <v>142882</v>
      </c>
      <c r="G157" s="2">
        <v>141988.99999999997</v>
      </c>
      <c r="H157" s="2">
        <v>140392</v>
      </c>
      <c r="I157" s="2">
        <v>138927</v>
      </c>
      <c r="J157" s="2">
        <v>137446</v>
      </c>
      <c r="K157" s="2">
        <v>136030</v>
      </c>
      <c r="L157" s="2">
        <v>134927</v>
      </c>
      <c r="M157" s="2">
        <v>133398</v>
      </c>
      <c r="N157" s="2">
        <v>132103</v>
      </c>
      <c r="O157" s="2">
        <v>130785.00000000003</v>
      </c>
      <c r="P157" s="2">
        <v>129425.00000000001</v>
      </c>
    </row>
    <row r="158" spans="1:16">
      <c r="A158" s="84" t="s">
        <v>389</v>
      </c>
      <c r="B158" s="85" t="s">
        <v>388</v>
      </c>
      <c r="C158" s="85" t="s">
        <v>83</v>
      </c>
      <c r="D158" s="84" t="s">
        <v>87</v>
      </c>
      <c r="E158" s="84">
        <v>1</v>
      </c>
      <c r="F158" s="2">
        <v>2804</v>
      </c>
      <c r="G158" s="2">
        <v>2816</v>
      </c>
      <c r="H158" s="2">
        <v>2793</v>
      </c>
      <c r="I158" s="2">
        <v>2783</v>
      </c>
      <c r="J158" s="2">
        <v>2772.0000000000005</v>
      </c>
      <c r="K158" s="2">
        <v>2768</v>
      </c>
      <c r="L158" s="2">
        <v>2772.0000000000005</v>
      </c>
      <c r="M158" s="2">
        <v>2769</v>
      </c>
      <c r="N158" s="2">
        <v>2772.0000000000005</v>
      </c>
      <c r="O158" s="2">
        <v>2772.0000000000005</v>
      </c>
      <c r="P158" s="2">
        <v>2768</v>
      </c>
    </row>
    <row r="159" spans="1:16">
      <c r="A159" s="84" t="s">
        <v>391</v>
      </c>
      <c r="B159" s="85" t="s">
        <v>390</v>
      </c>
      <c r="C159" s="85" t="s">
        <v>83</v>
      </c>
      <c r="D159" s="84" t="s">
        <v>75</v>
      </c>
      <c r="E159" s="84">
        <v>3</v>
      </c>
      <c r="F159" s="2">
        <v>499712</v>
      </c>
      <c r="G159" s="2">
        <v>502361.99999999994</v>
      </c>
      <c r="H159" s="2">
        <v>503894</v>
      </c>
      <c r="I159" s="2">
        <v>505762</v>
      </c>
      <c r="J159" s="2">
        <v>507444</v>
      </c>
      <c r="K159" s="2">
        <v>508927</v>
      </c>
      <c r="L159" s="2">
        <v>510677</v>
      </c>
      <c r="M159" s="2">
        <v>511037</v>
      </c>
      <c r="N159" s="2">
        <v>511881</v>
      </c>
      <c r="O159" s="2">
        <v>512720</v>
      </c>
      <c r="P159" s="2">
        <v>513623.00000000006</v>
      </c>
    </row>
    <row r="160" spans="1:16">
      <c r="A160" s="84" t="s">
        <v>393</v>
      </c>
      <c r="B160" s="85" t="s">
        <v>392</v>
      </c>
      <c r="C160" s="85" t="s">
        <v>99</v>
      </c>
      <c r="D160" s="84" t="s">
        <v>87</v>
      </c>
      <c r="E160" s="84">
        <v>1</v>
      </c>
      <c r="F160" s="2">
        <v>97808</v>
      </c>
      <c r="G160" s="2">
        <v>97402.999999999985</v>
      </c>
      <c r="H160" s="2">
        <v>95328</v>
      </c>
      <c r="I160" s="2">
        <v>93033</v>
      </c>
      <c r="J160" s="2">
        <v>90667</v>
      </c>
      <c r="K160" s="2">
        <v>88628</v>
      </c>
      <c r="L160" s="2">
        <v>86842.999999999985</v>
      </c>
      <c r="M160" s="2">
        <v>86042</v>
      </c>
      <c r="N160" s="2">
        <v>85144</v>
      </c>
      <c r="O160" s="2">
        <v>84420.999999999985</v>
      </c>
      <c r="P160" s="2">
        <v>83808</v>
      </c>
    </row>
    <row r="161" spans="1:16">
      <c r="A161" s="84" t="s">
        <v>395</v>
      </c>
      <c r="B161" s="85" t="s">
        <v>394</v>
      </c>
      <c r="C161" s="85" t="s">
        <v>79</v>
      </c>
      <c r="D161" s="84" t="s">
        <v>87</v>
      </c>
      <c r="E161" s="84">
        <v>1</v>
      </c>
      <c r="F161" s="2">
        <v>96854</v>
      </c>
      <c r="G161" s="2">
        <v>95794.000000000015</v>
      </c>
      <c r="H161" s="2">
        <v>94360.999999999985</v>
      </c>
      <c r="I161" s="2">
        <v>93064</v>
      </c>
      <c r="J161" s="2">
        <v>91927</v>
      </c>
      <c r="K161" s="2">
        <v>91059</v>
      </c>
      <c r="L161" s="2">
        <v>90539.999999999985</v>
      </c>
      <c r="M161" s="2">
        <v>90351</v>
      </c>
      <c r="N161" s="2">
        <v>90317</v>
      </c>
      <c r="O161" s="2">
        <v>90392</v>
      </c>
      <c r="P161" s="2">
        <v>90504</v>
      </c>
    </row>
    <row r="162" spans="1:16">
      <c r="A162" s="84" t="s">
        <v>397</v>
      </c>
      <c r="B162" s="85" t="s">
        <v>396</v>
      </c>
      <c r="C162" s="85" t="s">
        <v>79</v>
      </c>
      <c r="D162" s="84" t="s">
        <v>87</v>
      </c>
      <c r="E162" s="84">
        <v>1</v>
      </c>
      <c r="F162" s="2">
        <v>33908</v>
      </c>
      <c r="G162" s="2">
        <v>33682</v>
      </c>
      <c r="H162" s="2">
        <v>33734</v>
      </c>
      <c r="I162" s="2">
        <v>33850</v>
      </c>
      <c r="J162" s="2">
        <v>34038</v>
      </c>
      <c r="K162" s="2">
        <v>34257.999999999993</v>
      </c>
      <c r="L162" s="2">
        <v>34587.999999999993</v>
      </c>
      <c r="M162" s="2">
        <v>34853</v>
      </c>
      <c r="N162" s="2">
        <v>35170</v>
      </c>
      <c r="O162" s="2">
        <v>35474.000000000007</v>
      </c>
      <c r="P162" s="2">
        <v>35745</v>
      </c>
    </row>
    <row r="163" spans="1:16">
      <c r="A163" s="84" t="s">
        <v>399</v>
      </c>
      <c r="B163" s="85" t="s">
        <v>398</v>
      </c>
      <c r="C163" s="85" t="s">
        <v>74</v>
      </c>
      <c r="D163" s="84" t="s">
        <v>75</v>
      </c>
      <c r="E163" s="84">
        <v>3</v>
      </c>
      <c r="F163" s="2">
        <v>1504514.9999999998</v>
      </c>
      <c r="G163" s="2">
        <v>1533008</v>
      </c>
      <c r="H163" s="2">
        <v>1555628.0000000002</v>
      </c>
      <c r="I163" s="2">
        <v>1579732</v>
      </c>
      <c r="J163" s="2">
        <v>1603317</v>
      </c>
      <c r="K163" s="2">
        <v>1626721</v>
      </c>
      <c r="L163" s="2">
        <v>1650151</v>
      </c>
      <c r="M163" s="2">
        <v>1671818.0000000002</v>
      </c>
      <c r="N163" s="2">
        <v>1694587</v>
      </c>
      <c r="O163" s="2">
        <v>1717659</v>
      </c>
      <c r="P163" s="2">
        <v>1741110.0000000002</v>
      </c>
    </row>
    <row r="164" spans="1:16">
      <c r="A164" s="84" t="s">
        <v>401</v>
      </c>
      <c r="B164" s="85" t="s">
        <v>400</v>
      </c>
      <c r="C164" s="85" t="s">
        <v>99</v>
      </c>
      <c r="D164" s="84" t="s">
        <v>84</v>
      </c>
      <c r="E164" s="84">
        <v>4</v>
      </c>
      <c r="F164" s="2">
        <v>47155</v>
      </c>
      <c r="G164" s="2">
        <v>48039</v>
      </c>
      <c r="H164" s="2">
        <v>48655</v>
      </c>
      <c r="I164" s="2">
        <v>49387</v>
      </c>
      <c r="J164" s="2">
        <v>50123</v>
      </c>
      <c r="K164" s="2">
        <v>50870</v>
      </c>
      <c r="L164" s="2">
        <v>51712</v>
      </c>
      <c r="M164" s="2">
        <v>52444.999999999993</v>
      </c>
      <c r="N164" s="2">
        <v>53222</v>
      </c>
      <c r="O164" s="2">
        <v>53953</v>
      </c>
      <c r="P164" s="2">
        <v>54617.000000000007</v>
      </c>
    </row>
    <row r="165" spans="1:16">
      <c r="A165" s="84" t="s">
        <v>403</v>
      </c>
      <c r="B165" s="85" t="s">
        <v>402</v>
      </c>
      <c r="C165" s="85" t="s">
        <v>83</v>
      </c>
      <c r="D165" s="84" t="s">
        <v>80</v>
      </c>
      <c r="E165" s="84" t="s">
        <v>76</v>
      </c>
      <c r="F165" s="2">
        <v>2235321</v>
      </c>
      <c r="G165" s="2">
        <v>2234567</v>
      </c>
      <c r="H165" s="2">
        <v>2233699</v>
      </c>
      <c r="I165" s="2">
        <v>2234479.0000000005</v>
      </c>
      <c r="J165" s="2">
        <v>2235290</v>
      </c>
      <c r="K165" s="2">
        <v>2235451</v>
      </c>
      <c r="L165" s="2">
        <v>2237562</v>
      </c>
      <c r="M165" s="2">
        <v>2237390</v>
      </c>
      <c r="N165" s="2">
        <v>2236883</v>
      </c>
      <c r="O165" s="2">
        <v>2234609.0000000005</v>
      </c>
      <c r="P165" s="2">
        <v>2230188</v>
      </c>
    </row>
    <row r="166" spans="1:16">
      <c r="A166" s="84" t="s">
        <v>405</v>
      </c>
      <c r="B166" s="85" t="s">
        <v>404</v>
      </c>
      <c r="C166" s="85" t="s">
        <v>79</v>
      </c>
      <c r="D166" s="84" t="s">
        <v>87</v>
      </c>
      <c r="E166" s="84">
        <v>1</v>
      </c>
      <c r="F166" s="2">
        <v>687875</v>
      </c>
      <c r="G166" s="2">
        <v>684887</v>
      </c>
      <c r="H166" s="2">
        <v>687900</v>
      </c>
      <c r="I166" s="2">
        <v>690555.00000000012</v>
      </c>
      <c r="J166" s="2">
        <v>693748</v>
      </c>
      <c r="K166" s="2">
        <v>696741</v>
      </c>
      <c r="L166" s="2">
        <v>700971</v>
      </c>
      <c r="M166" s="2">
        <v>703498</v>
      </c>
      <c r="N166" s="2">
        <v>706293</v>
      </c>
      <c r="O166" s="2">
        <v>708712</v>
      </c>
      <c r="P166" s="2">
        <v>710687</v>
      </c>
    </row>
    <row r="167" spans="1:16">
      <c r="A167" s="84" t="s">
        <v>407</v>
      </c>
      <c r="B167" s="85" t="s">
        <v>406</v>
      </c>
      <c r="C167" s="85" t="s">
        <v>110</v>
      </c>
      <c r="D167" s="84" t="s">
        <v>84</v>
      </c>
      <c r="E167" s="84">
        <v>2</v>
      </c>
      <c r="F167" s="2">
        <v>599375</v>
      </c>
      <c r="G167" s="2">
        <v>600733</v>
      </c>
      <c r="H167" s="2">
        <v>594999</v>
      </c>
      <c r="I167" s="2">
        <v>591285</v>
      </c>
      <c r="J167" s="2">
        <v>587256</v>
      </c>
      <c r="K167" s="2">
        <v>583361</v>
      </c>
      <c r="L167" s="2">
        <v>580755</v>
      </c>
      <c r="M167" s="2">
        <v>576610</v>
      </c>
      <c r="N167" s="2">
        <v>572997</v>
      </c>
      <c r="O167" s="2">
        <v>568829</v>
      </c>
      <c r="P167" s="2">
        <v>563883</v>
      </c>
    </row>
    <row r="168" spans="1:16">
      <c r="A168" s="84" t="s">
        <v>409</v>
      </c>
      <c r="B168" s="85" t="s">
        <v>408</v>
      </c>
      <c r="C168" s="85" t="s">
        <v>74</v>
      </c>
      <c r="D168" s="84" t="s">
        <v>75</v>
      </c>
      <c r="E168" s="84">
        <v>3</v>
      </c>
      <c r="F168" s="2">
        <v>3028977</v>
      </c>
      <c r="G168" s="2">
        <v>3071564.9999999995</v>
      </c>
      <c r="H168" s="2">
        <v>3103518</v>
      </c>
      <c r="I168" s="2">
        <v>3137584</v>
      </c>
      <c r="J168" s="2">
        <v>3170471</v>
      </c>
      <c r="K168" s="2">
        <v>3202828</v>
      </c>
      <c r="L168" s="2">
        <v>3236002</v>
      </c>
      <c r="M168" s="2">
        <v>3268468</v>
      </c>
      <c r="N168" s="2">
        <v>3300230</v>
      </c>
      <c r="O168" s="2">
        <v>3330785</v>
      </c>
      <c r="P168" s="2">
        <v>3359833</v>
      </c>
    </row>
    <row r="169" spans="1:16">
      <c r="A169" s="84" t="s">
        <v>411</v>
      </c>
      <c r="B169" s="85" t="s">
        <v>410</v>
      </c>
      <c r="C169" s="85" t="s">
        <v>74</v>
      </c>
      <c r="D169" s="84" t="s">
        <v>75</v>
      </c>
      <c r="E169" s="84">
        <v>3</v>
      </c>
      <c r="F169" s="2">
        <v>789656</v>
      </c>
      <c r="G169" s="2">
        <v>797247</v>
      </c>
      <c r="H169" s="2">
        <v>805575</v>
      </c>
      <c r="I169" s="2">
        <v>814248</v>
      </c>
      <c r="J169" s="2">
        <v>822699.00000000012</v>
      </c>
      <c r="K169" s="2">
        <v>830503</v>
      </c>
      <c r="L169" s="2">
        <v>838310.99999999988</v>
      </c>
      <c r="M169" s="2">
        <v>843488</v>
      </c>
      <c r="N169" s="2">
        <v>849311</v>
      </c>
      <c r="O169" s="2">
        <v>855057</v>
      </c>
      <c r="P169" s="2">
        <v>860950</v>
      </c>
    </row>
    <row r="170" spans="1:16">
      <c r="A170" s="84" t="s">
        <v>413</v>
      </c>
      <c r="B170" s="85" t="s">
        <v>412</v>
      </c>
      <c r="C170" s="85" t="s">
        <v>92</v>
      </c>
      <c r="D170" s="84" t="s">
        <v>80</v>
      </c>
      <c r="E170" s="84">
        <v>1</v>
      </c>
      <c r="F170" s="2">
        <v>19873</v>
      </c>
      <c r="G170" s="2">
        <v>19779</v>
      </c>
      <c r="H170" s="2">
        <v>19671</v>
      </c>
      <c r="I170" s="2">
        <v>19570.999999999996</v>
      </c>
      <c r="J170" s="2">
        <v>19466</v>
      </c>
      <c r="K170" s="2">
        <v>19350</v>
      </c>
      <c r="L170" s="2">
        <v>19253</v>
      </c>
      <c r="M170" s="2">
        <v>19122</v>
      </c>
      <c r="N170" s="2">
        <v>18999.000000000004</v>
      </c>
      <c r="O170" s="2">
        <v>18874.000000000004</v>
      </c>
      <c r="P170" s="2">
        <v>18749</v>
      </c>
    </row>
    <row r="171" spans="1:16">
      <c r="A171" s="84" t="s">
        <v>415</v>
      </c>
      <c r="B171" s="85" t="s">
        <v>414</v>
      </c>
      <c r="C171" s="85" t="s">
        <v>83</v>
      </c>
      <c r="D171" s="84" t="s">
        <v>84</v>
      </c>
      <c r="E171" s="84">
        <v>3</v>
      </c>
      <c r="F171" s="2">
        <v>56833</v>
      </c>
      <c r="G171" s="2">
        <v>57544</v>
      </c>
      <c r="H171" s="2">
        <v>57656</v>
      </c>
      <c r="I171" s="2">
        <v>58036</v>
      </c>
      <c r="J171" s="2">
        <v>58408</v>
      </c>
      <c r="K171" s="2">
        <v>58783</v>
      </c>
      <c r="L171" s="2">
        <v>59239.999999999993</v>
      </c>
      <c r="M171" s="2">
        <v>59553</v>
      </c>
      <c r="N171" s="2">
        <v>59879.999999999993</v>
      </c>
      <c r="O171" s="2">
        <v>60126.999999999993</v>
      </c>
      <c r="P171" s="2">
        <v>60269.999999999993</v>
      </c>
    </row>
    <row r="172" spans="1:16">
      <c r="A172" s="84" t="s">
        <v>417</v>
      </c>
      <c r="B172" s="85" t="s">
        <v>416</v>
      </c>
      <c r="C172" s="85" t="s">
        <v>79</v>
      </c>
      <c r="D172" s="84" t="s">
        <v>87</v>
      </c>
      <c r="E172" s="84">
        <v>1</v>
      </c>
      <c r="F172" s="2">
        <v>231434</v>
      </c>
      <c r="G172" s="2">
        <v>229214</v>
      </c>
      <c r="H172" s="2">
        <v>229769</v>
      </c>
      <c r="I172" s="2">
        <v>229668</v>
      </c>
      <c r="J172" s="2">
        <v>229975</v>
      </c>
      <c r="K172" s="2">
        <v>230606</v>
      </c>
      <c r="L172" s="2">
        <v>231535</v>
      </c>
      <c r="M172" s="2">
        <v>233403</v>
      </c>
      <c r="N172" s="2">
        <v>235171</v>
      </c>
      <c r="O172" s="2">
        <v>236957</v>
      </c>
      <c r="P172" s="2">
        <v>238612.00000000003</v>
      </c>
    </row>
    <row r="173" spans="1:16">
      <c r="A173" s="84" t="s">
        <v>419</v>
      </c>
      <c r="B173" s="85" t="s">
        <v>418</v>
      </c>
      <c r="C173" s="85" t="s">
        <v>79</v>
      </c>
      <c r="D173" s="84" t="s">
        <v>87</v>
      </c>
      <c r="E173" s="84">
        <v>1</v>
      </c>
      <c r="F173" s="2">
        <v>176906.99999999997</v>
      </c>
      <c r="G173" s="2">
        <v>176167</v>
      </c>
      <c r="H173" s="2">
        <v>175728</v>
      </c>
      <c r="I173" s="2">
        <v>174972</v>
      </c>
      <c r="J173" s="2">
        <v>174265</v>
      </c>
      <c r="K173" s="2">
        <v>173697</v>
      </c>
      <c r="L173" s="2">
        <v>173230</v>
      </c>
      <c r="M173" s="2">
        <v>173618</v>
      </c>
      <c r="N173" s="2">
        <v>173817</v>
      </c>
      <c r="O173" s="2">
        <v>174154</v>
      </c>
      <c r="P173" s="2">
        <v>174603</v>
      </c>
    </row>
    <row r="174" spans="1:16">
      <c r="A174" s="84" t="s">
        <v>421</v>
      </c>
      <c r="B174" s="85" t="s">
        <v>420</v>
      </c>
      <c r="C174" s="85" t="s">
        <v>74</v>
      </c>
      <c r="D174" s="84" t="s">
        <v>75</v>
      </c>
      <c r="E174" s="84">
        <v>2</v>
      </c>
      <c r="F174" s="2">
        <v>915444.99999999988</v>
      </c>
      <c r="G174" s="2">
        <v>910243.99999999988</v>
      </c>
      <c r="H174" s="2">
        <v>909987</v>
      </c>
      <c r="I174" s="2">
        <v>903519</v>
      </c>
      <c r="J174" s="2">
        <v>898046</v>
      </c>
      <c r="K174" s="2">
        <v>895371</v>
      </c>
      <c r="L174" s="2">
        <v>902634</v>
      </c>
      <c r="M174" s="2">
        <v>904083.00000000012</v>
      </c>
      <c r="N174" s="2">
        <v>912040</v>
      </c>
      <c r="O174" s="2">
        <v>920147.99999999988</v>
      </c>
      <c r="P174" s="2">
        <v>927079</v>
      </c>
    </row>
    <row r="175" spans="1:16">
      <c r="A175" s="84" t="s">
        <v>423</v>
      </c>
      <c r="B175" s="85" t="s">
        <v>422</v>
      </c>
      <c r="C175" s="85" t="s">
        <v>83</v>
      </c>
      <c r="D175" s="84" t="s">
        <v>84</v>
      </c>
      <c r="E175" s="84" t="s">
        <v>76</v>
      </c>
      <c r="F175" s="2">
        <v>4976748</v>
      </c>
      <c r="G175" s="2">
        <v>5077916.9999999991</v>
      </c>
      <c r="H175" s="2">
        <v>5173206</v>
      </c>
      <c r="I175" s="2">
        <v>5270383</v>
      </c>
      <c r="J175" s="2">
        <v>5365867</v>
      </c>
      <c r="K175" s="2">
        <v>5459187</v>
      </c>
      <c r="L175" s="2">
        <v>5553719</v>
      </c>
      <c r="M175" s="2">
        <v>5640632</v>
      </c>
      <c r="N175" s="2">
        <v>5728827.9999999991</v>
      </c>
      <c r="O175" s="2">
        <v>5816484</v>
      </c>
      <c r="P175" s="2">
        <v>5904313</v>
      </c>
    </row>
    <row r="176" spans="1:16">
      <c r="A176" s="84" t="s">
        <v>425</v>
      </c>
      <c r="B176" s="85" t="s">
        <v>424</v>
      </c>
      <c r="C176" s="85" t="s">
        <v>79</v>
      </c>
      <c r="D176" s="84" t="s">
        <v>75</v>
      </c>
      <c r="E176" s="84">
        <v>2</v>
      </c>
      <c r="F176" s="2">
        <v>538239</v>
      </c>
      <c r="G176" s="2">
        <v>551257.00000000012</v>
      </c>
      <c r="H176" s="2">
        <v>563898</v>
      </c>
      <c r="I176" s="2">
        <v>578548</v>
      </c>
      <c r="J176" s="2">
        <v>593418</v>
      </c>
      <c r="K176" s="2">
        <v>607833.00000000012</v>
      </c>
      <c r="L176" s="2">
        <v>625131</v>
      </c>
      <c r="M176" s="2">
        <v>634535.00000000012</v>
      </c>
      <c r="N176" s="2">
        <v>646218.00000000012</v>
      </c>
      <c r="O176" s="2">
        <v>655832</v>
      </c>
      <c r="P176" s="2">
        <v>662942</v>
      </c>
    </row>
    <row r="177" spans="1:16">
      <c r="A177" s="84" t="s">
        <v>427</v>
      </c>
      <c r="B177" s="85" t="s">
        <v>426</v>
      </c>
      <c r="C177" s="85" t="s">
        <v>110</v>
      </c>
      <c r="D177" s="84" t="s">
        <v>80</v>
      </c>
      <c r="E177" s="84">
        <v>1</v>
      </c>
      <c r="F177" s="2">
        <v>1221728</v>
      </c>
      <c r="G177" s="2">
        <v>1211568</v>
      </c>
      <c r="H177" s="2">
        <v>1198687</v>
      </c>
      <c r="I177" s="2">
        <v>1186981</v>
      </c>
      <c r="J177" s="2">
        <v>1175531</v>
      </c>
      <c r="K177" s="2">
        <v>1164532</v>
      </c>
      <c r="L177" s="2">
        <v>1155981</v>
      </c>
      <c r="M177" s="2">
        <v>1146831.9999999998</v>
      </c>
      <c r="N177" s="2">
        <v>1138112</v>
      </c>
      <c r="O177" s="2">
        <v>1128808</v>
      </c>
      <c r="P177" s="2">
        <v>1118567</v>
      </c>
    </row>
    <row r="178" spans="1:16">
      <c r="A178" s="84" t="s">
        <v>429</v>
      </c>
      <c r="B178" s="85" t="s">
        <v>428</v>
      </c>
      <c r="C178" s="85" t="s">
        <v>110</v>
      </c>
      <c r="D178" s="84" t="s">
        <v>84</v>
      </c>
      <c r="E178" s="84">
        <v>4</v>
      </c>
      <c r="F178" s="2">
        <v>75967.000000000015</v>
      </c>
      <c r="G178" s="2">
        <v>76143</v>
      </c>
      <c r="H178" s="2">
        <v>75616.999999999985</v>
      </c>
      <c r="I178" s="2">
        <v>75080.000000000015</v>
      </c>
      <c r="J178" s="2">
        <v>74485</v>
      </c>
      <c r="K178" s="2">
        <v>73950</v>
      </c>
      <c r="L178" s="2">
        <v>73533.999999999985</v>
      </c>
      <c r="M178" s="2">
        <v>73158</v>
      </c>
      <c r="N178" s="2">
        <v>72848</v>
      </c>
      <c r="O178" s="2">
        <v>72583</v>
      </c>
      <c r="P178" s="2">
        <v>72353.000000000015</v>
      </c>
    </row>
    <row r="179" spans="1:16">
      <c r="A179" s="84" t="s">
        <v>431</v>
      </c>
      <c r="B179" s="85" t="s">
        <v>430</v>
      </c>
      <c r="C179" s="85" t="s">
        <v>83</v>
      </c>
      <c r="D179" s="84" t="s">
        <v>75</v>
      </c>
      <c r="E179" s="84">
        <v>3</v>
      </c>
      <c r="F179" s="2">
        <v>585683</v>
      </c>
      <c r="G179" s="2">
        <v>594560</v>
      </c>
      <c r="H179" s="2">
        <v>601851</v>
      </c>
      <c r="I179" s="2">
        <v>609655</v>
      </c>
      <c r="J179" s="2">
        <v>617260</v>
      </c>
      <c r="K179" s="2">
        <v>624667</v>
      </c>
      <c r="L179" s="2">
        <v>632227.00000000012</v>
      </c>
      <c r="M179" s="2">
        <v>639123</v>
      </c>
      <c r="N179" s="2">
        <v>646035</v>
      </c>
      <c r="O179" s="2">
        <v>652688</v>
      </c>
      <c r="P179" s="2">
        <v>659059</v>
      </c>
    </row>
    <row r="180" spans="1:16">
      <c r="A180" s="84" t="s">
        <v>433</v>
      </c>
      <c r="B180" s="85" t="s">
        <v>432</v>
      </c>
      <c r="C180" s="85" t="s">
        <v>99</v>
      </c>
      <c r="D180" s="84" t="s">
        <v>80</v>
      </c>
      <c r="E180" s="84">
        <v>1</v>
      </c>
      <c r="F180" s="2">
        <v>5095.0000000000009</v>
      </c>
      <c r="G180" s="2">
        <v>5133</v>
      </c>
      <c r="H180" s="2">
        <v>5144</v>
      </c>
      <c r="I180" s="2">
        <v>5167</v>
      </c>
      <c r="J180" s="2">
        <v>5186</v>
      </c>
      <c r="K180" s="2">
        <v>5198</v>
      </c>
      <c r="L180" s="2">
        <v>5212</v>
      </c>
      <c r="M180" s="2">
        <v>5203</v>
      </c>
      <c r="N180" s="2">
        <v>5198</v>
      </c>
      <c r="O180" s="2">
        <v>5189.9999999999991</v>
      </c>
      <c r="P180" s="2">
        <v>5176</v>
      </c>
    </row>
    <row r="181" spans="1:16">
      <c r="A181" s="84" t="s">
        <v>435</v>
      </c>
      <c r="B181" s="85" t="s">
        <v>434</v>
      </c>
      <c r="C181" s="85" t="s">
        <v>92</v>
      </c>
      <c r="D181" s="84" t="s">
        <v>87</v>
      </c>
      <c r="E181" s="84">
        <v>1</v>
      </c>
      <c r="F181" s="2">
        <v>29011</v>
      </c>
      <c r="G181" s="2">
        <v>28972</v>
      </c>
      <c r="H181" s="2">
        <v>28805.999999999996</v>
      </c>
      <c r="I181" s="2">
        <v>28756</v>
      </c>
      <c r="J181" s="2">
        <v>28716</v>
      </c>
      <c r="K181" s="2">
        <v>28677.999999999996</v>
      </c>
      <c r="L181" s="2">
        <v>28729.999999999996</v>
      </c>
      <c r="M181" s="2">
        <v>28627.000000000004</v>
      </c>
      <c r="N181" s="2">
        <v>28578.000000000004</v>
      </c>
      <c r="O181" s="2">
        <v>28493.000000000004</v>
      </c>
      <c r="P181" s="2">
        <v>28366</v>
      </c>
    </row>
    <row r="182" spans="1:16">
      <c r="A182" s="84" t="s">
        <v>437</v>
      </c>
      <c r="B182" s="85" t="s">
        <v>436</v>
      </c>
      <c r="C182" s="85" t="s">
        <v>74</v>
      </c>
      <c r="D182" s="84" t="s">
        <v>84</v>
      </c>
      <c r="E182" s="84">
        <v>3</v>
      </c>
      <c r="F182" s="2">
        <v>325673</v>
      </c>
      <c r="G182" s="2">
        <v>322289</v>
      </c>
      <c r="H182" s="2">
        <v>318941.00000000006</v>
      </c>
      <c r="I182" s="2">
        <v>317034</v>
      </c>
      <c r="J182" s="2">
        <v>315969</v>
      </c>
      <c r="K182" s="2">
        <v>315631</v>
      </c>
      <c r="L182" s="2">
        <v>316826</v>
      </c>
      <c r="M182" s="2">
        <v>317600</v>
      </c>
      <c r="N182" s="2">
        <v>319419</v>
      </c>
      <c r="O182" s="2">
        <v>321462.99999999994</v>
      </c>
      <c r="P182" s="2">
        <v>323513.00000000006</v>
      </c>
    </row>
    <row r="183" spans="1:16">
      <c r="A183" s="84" t="s">
        <v>439</v>
      </c>
      <c r="B183" s="85" t="s">
        <v>438</v>
      </c>
      <c r="C183" s="85" t="s">
        <v>79</v>
      </c>
      <c r="D183" s="84" t="s">
        <v>80</v>
      </c>
      <c r="E183" s="84">
        <v>1</v>
      </c>
      <c r="F183" s="2">
        <v>2385408</v>
      </c>
      <c r="G183" s="2">
        <v>2369687</v>
      </c>
      <c r="H183" s="2">
        <v>2355335</v>
      </c>
      <c r="I183" s="2">
        <v>2343326</v>
      </c>
      <c r="J183" s="2">
        <v>2330957.9999999995</v>
      </c>
      <c r="K183" s="2">
        <v>2316866</v>
      </c>
      <c r="L183" s="2">
        <v>2305638</v>
      </c>
      <c r="M183" s="2">
        <v>2285205</v>
      </c>
      <c r="N183" s="2">
        <v>2267750</v>
      </c>
      <c r="O183" s="2">
        <v>2250495</v>
      </c>
      <c r="P183" s="2">
        <v>2234203.9999999995</v>
      </c>
    </row>
    <row r="184" spans="1:16">
      <c r="A184" s="84" t="s">
        <v>441</v>
      </c>
      <c r="B184" s="85" t="s">
        <v>440</v>
      </c>
      <c r="C184" s="85" t="s">
        <v>79</v>
      </c>
      <c r="D184" s="84" t="s">
        <v>80</v>
      </c>
      <c r="E184" s="84">
        <v>1</v>
      </c>
      <c r="F184" s="2">
        <v>231574</v>
      </c>
      <c r="G184" s="2">
        <v>231237</v>
      </c>
      <c r="H184" s="2">
        <v>232317</v>
      </c>
      <c r="I184" s="2">
        <v>234394</v>
      </c>
      <c r="J184" s="2">
        <v>236907</v>
      </c>
      <c r="K184" s="2">
        <v>239398</v>
      </c>
      <c r="L184" s="2">
        <v>242720</v>
      </c>
      <c r="M184" s="2">
        <v>244360</v>
      </c>
      <c r="N184" s="2">
        <v>246681</v>
      </c>
      <c r="O184" s="2">
        <v>248742.00000000003</v>
      </c>
      <c r="P184" s="2">
        <v>250454.99999999997</v>
      </c>
    </row>
    <row r="185" spans="1:16">
      <c r="A185" s="84" t="s">
        <v>443</v>
      </c>
      <c r="B185" s="85" t="s">
        <v>442</v>
      </c>
      <c r="C185" s="85" t="s">
        <v>99</v>
      </c>
      <c r="D185" s="84" t="s">
        <v>80</v>
      </c>
      <c r="E185" s="84">
        <v>4</v>
      </c>
      <c r="F185" s="2">
        <v>0</v>
      </c>
      <c r="G185" s="2">
        <v>0</v>
      </c>
      <c r="H185" s="2">
        <v>0</v>
      </c>
      <c r="I185" s="2">
        <v>0</v>
      </c>
      <c r="J185" s="2">
        <v>0</v>
      </c>
      <c r="K185" s="2">
        <v>0</v>
      </c>
      <c r="L185" s="2">
        <v>0</v>
      </c>
      <c r="M185" s="2">
        <v>0</v>
      </c>
      <c r="N185" s="2">
        <v>0</v>
      </c>
      <c r="O185" s="2">
        <v>0</v>
      </c>
      <c r="P185" s="2">
        <v>0</v>
      </c>
    </row>
    <row r="186" spans="1:16">
      <c r="A186" s="84" t="s">
        <v>445</v>
      </c>
      <c r="B186" s="85" t="s">
        <v>444</v>
      </c>
      <c r="C186" s="85" t="s">
        <v>83</v>
      </c>
      <c r="D186" s="84" t="s">
        <v>75</v>
      </c>
      <c r="E186" s="84" t="s">
        <v>76</v>
      </c>
      <c r="F186" s="2">
        <v>3532676</v>
      </c>
      <c r="G186" s="2">
        <v>3573912.0000000005</v>
      </c>
      <c r="H186" s="2">
        <v>3582936</v>
      </c>
      <c r="I186" s="2">
        <v>3599103</v>
      </c>
      <c r="J186" s="2">
        <v>3613321</v>
      </c>
      <c r="K186" s="2">
        <v>3628386</v>
      </c>
      <c r="L186" s="2">
        <v>3644627.9999999995</v>
      </c>
      <c r="M186" s="2">
        <v>3663944</v>
      </c>
      <c r="N186" s="2">
        <v>3682443</v>
      </c>
      <c r="O186" s="2">
        <v>3700939</v>
      </c>
      <c r="P186" s="2">
        <v>3718974</v>
      </c>
    </row>
    <row r="187" spans="1:16">
      <c r="A187" s="84" t="s">
        <v>447</v>
      </c>
      <c r="B187" s="85" t="s">
        <v>446</v>
      </c>
      <c r="C187" s="85" t="s">
        <v>79</v>
      </c>
      <c r="D187" s="84" t="s">
        <v>84</v>
      </c>
      <c r="E187" s="84">
        <v>1</v>
      </c>
      <c r="F187" s="2">
        <v>674665.99999999988</v>
      </c>
      <c r="G187" s="2">
        <v>671332</v>
      </c>
      <c r="H187" s="2">
        <v>669088</v>
      </c>
      <c r="I187" s="2">
        <v>670283</v>
      </c>
      <c r="J187" s="2">
        <v>672385</v>
      </c>
      <c r="K187" s="2">
        <v>674270</v>
      </c>
      <c r="L187" s="2">
        <v>676769</v>
      </c>
      <c r="M187" s="2">
        <v>676815</v>
      </c>
      <c r="N187" s="2">
        <v>677540</v>
      </c>
      <c r="O187" s="2">
        <v>677857</v>
      </c>
      <c r="P187" s="2">
        <v>677784</v>
      </c>
    </row>
    <row r="188" spans="1:16">
      <c r="A188" s="84" t="s">
        <v>449</v>
      </c>
      <c r="B188" s="85" t="s">
        <v>448</v>
      </c>
      <c r="C188" s="85" t="s">
        <v>74</v>
      </c>
      <c r="D188" s="84" t="s">
        <v>87</v>
      </c>
      <c r="E188" s="84">
        <v>1</v>
      </c>
      <c r="F188" s="2">
        <v>191684</v>
      </c>
      <c r="G188" s="2">
        <v>189639</v>
      </c>
      <c r="H188" s="2">
        <v>190857</v>
      </c>
      <c r="I188" s="2">
        <v>191458</v>
      </c>
      <c r="J188" s="2">
        <v>192228.99999999997</v>
      </c>
      <c r="K188" s="2">
        <v>192857</v>
      </c>
      <c r="L188" s="2">
        <v>193502</v>
      </c>
      <c r="M188" s="2">
        <v>194301</v>
      </c>
      <c r="N188" s="2">
        <v>195058</v>
      </c>
      <c r="O188" s="2">
        <v>196105.00000000003</v>
      </c>
      <c r="P188" s="2">
        <v>197577</v>
      </c>
    </row>
    <row r="189" spans="1:16">
      <c r="A189" s="84" t="s">
        <v>451</v>
      </c>
      <c r="B189" s="85" t="s">
        <v>450</v>
      </c>
      <c r="C189" s="85" t="s">
        <v>79</v>
      </c>
      <c r="D189" s="84" t="s">
        <v>87</v>
      </c>
      <c r="E189" s="84">
        <v>1</v>
      </c>
      <c r="F189" s="2">
        <v>1492491</v>
      </c>
      <c r="G189" s="2">
        <v>1477616</v>
      </c>
      <c r="H189" s="2">
        <v>1480101</v>
      </c>
      <c r="I189" s="2">
        <v>1480687</v>
      </c>
      <c r="J189" s="2">
        <v>1483476</v>
      </c>
      <c r="K189" s="2">
        <v>1486882</v>
      </c>
      <c r="L189" s="2">
        <v>1490252</v>
      </c>
      <c r="M189" s="2">
        <v>1498797</v>
      </c>
      <c r="N189" s="2">
        <v>1505670</v>
      </c>
      <c r="O189" s="2">
        <v>1512583.9999999998</v>
      </c>
      <c r="P189" s="2">
        <v>1519129</v>
      </c>
    </row>
    <row r="190" spans="1:16">
      <c r="A190" s="84" t="s">
        <v>453</v>
      </c>
      <c r="B190" s="85" t="s">
        <v>452</v>
      </c>
      <c r="C190" s="85" t="s">
        <v>92</v>
      </c>
      <c r="D190" s="84" t="s">
        <v>87</v>
      </c>
      <c r="E190" s="84" t="s">
        <v>76</v>
      </c>
      <c r="F190" s="2">
        <v>8286252</v>
      </c>
      <c r="G190" s="2">
        <v>8269499</v>
      </c>
      <c r="H190" s="2">
        <v>8295421.9999999991</v>
      </c>
      <c r="I190" s="2">
        <v>8300031.9999999991</v>
      </c>
      <c r="J190" s="2">
        <v>8303110.0000000009</v>
      </c>
      <c r="K190" s="2">
        <v>8303340</v>
      </c>
      <c r="L190" s="2">
        <v>8293566.9999999991</v>
      </c>
      <c r="M190" s="2">
        <v>8318667.0000000009</v>
      </c>
      <c r="N190" s="2">
        <v>8322417.0000000009</v>
      </c>
      <c r="O190" s="2">
        <v>8321488.0000000009</v>
      </c>
      <c r="P190" s="2">
        <v>8314685.0000000009</v>
      </c>
    </row>
    <row r="191" spans="1:16">
      <c r="A191" s="84" t="s">
        <v>455</v>
      </c>
      <c r="B191" s="85" t="s">
        <v>454</v>
      </c>
      <c r="C191" s="85" t="s">
        <v>92</v>
      </c>
      <c r="D191" s="84" t="s">
        <v>87</v>
      </c>
      <c r="E191" s="84">
        <v>1</v>
      </c>
      <c r="F191" s="2">
        <v>88649</v>
      </c>
      <c r="G191" s="2">
        <v>88152</v>
      </c>
      <c r="H191" s="2">
        <v>87229</v>
      </c>
      <c r="I191" s="2">
        <v>86389.000000000015</v>
      </c>
      <c r="J191" s="2">
        <v>85547</v>
      </c>
      <c r="K191" s="2">
        <v>84759.999999999985</v>
      </c>
      <c r="L191" s="2">
        <v>84054</v>
      </c>
      <c r="M191" s="2">
        <v>83505</v>
      </c>
      <c r="N191" s="2">
        <v>82952</v>
      </c>
      <c r="O191" s="2">
        <v>82424</v>
      </c>
      <c r="P191" s="2">
        <v>81900</v>
      </c>
    </row>
    <row r="192" spans="1:16">
      <c r="A192" s="84" t="s">
        <v>457</v>
      </c>
      <c r="B192" s="85" t="s">
        <v>456</v>
      </c>
      <c r="C192" s="85" t="s">
        <v>79</v>
      </c>
      <c r="D192" s="84" t="s">
        <v>84</v>
      </c>
      <c r="E192" s="84">
        <v>2</v>
      </c>
      <c r="F192" s="2">
        <v>1177145</v>
      </c>
      <c r="G192" s="2">
        <v>1187316</v>
      </c>
      <c r="H192" s="2">
        <v>1188583</v>
      </c>
      <c r="I192" s="2">
        <v>1194864</v>
      </c>
      <c r="J192" s="2">
        <v>1201450</v>
      </c>
      <c r="K192" s="2">
        <v>1208259</v>
      </c>
      <c r="L192" s="2">
        <v>1221769</v>
      </c>
      <c r="M192" s="2">
        <v>1223181</v>
      </c>
      <c r="N192" s="2">
        <v>1229184</v>
      </c>
      <c r="O192" s="2">
        <v>1232818</v>
      </c>
      <c r="P192" s="2">
        <v>1233384</v>
      </c>
    </row>
    <row r="193" spans="1:16">
      <c r="A193" s="84" t="s">
        <v>459</v>
      </c>
      <c r="B193" s="85" t="s">
        <v>458</v>
      </c>
      <c r="C193" s="85" t="s">
        <v>99</v>
      </c>
      <c r="D193" s="84" t="s">
        <v>84</v>
      </c>
      <c r="E193" s="84">
        <v>4</v>
      </c>
      <c r="F193" s="2">
        <v>19237.000000000004</v>
      </c>
      <c r="G193" s="2">
        <v>19535</v>
      </c>
      <c r="H193" s="2">
        <v>19783</v>
      </c>
      <c r="I193" s="2">
        <v>20037.999999999996</v>
      </c>
      <c r="J193" s="2">
        <v>20287</v>
      </c>
      <c r="K193" s="2">
        <v>20536</v>
      </c>
      <c r="L193" s="2">
        <v>20808</v>
      </c>
      <c r="M193" s="2">
        <v>21048</v>
      </c>
      <c r="N193" s="2">
        <v>21296</v>
      </c>
      <c r="O193" s="2">
        <v>21535</v>
      </c>
      <c r="P193" s="2">
        <v>21762.999999999996</v>
      </c>
    </row>
    <row r="194" spans="1:16">
      <c r="A194" s="84" t="s">
        <v>461</v>
      </c>
      <c r="B194" s="85" t="s">
        <v>460</v>
      </c>
      <c r="C194" s="85" t="s">
        <v>92</v>
      </c>
      <c r="D194" s="84" t="s">
        <v>80</v>
      </c>
      <c r="E194" s="84">
        <v>1</v>
      </c>
      <c r="F194" s="2">
        <v>1058681</v>
      </c>
      <c r="G194" s="2">
        <v>1050534</v>
      </c>
      <c r="H194" s="2">
        <v>1043869.9999999999</v>
      </c>
      <c r="I194" s="2">
        <v>1036061.9999999999</v>
      </c>
      <c r="J194" s="2">
        <v>1027466.0000000001</v>
      </c>
      <c r="K194" s="2">
        <v>1017737</v>
      </c>
      <c r="L194" s="2">
        <v>1003591</v>
      </c>
      <c r="M194" s="2">
        <v>999311</v>
      </c>
      <c r="N194" s="2">
        <v>989730</v>
      </c>
      <c r="O194" s="2">
        <v>980087</v>
      </c>
      <c r="P194" s="2">
        <v>970444.99999999988</v>
      </c>
    </row>
    <row r="195" spans="1:16">
      <c r="A195" s="84" t="s">
        <v>463</v>
      </c>
      <c r="B195" s="85" t="s">
        <v>462</v>
      </c>
      <c r="C195" s="85" t="s">
        <v>99</v>
      </c>
      <c r="D195" s="84" t="s">
        <v>84</v>
      </c>
      <c r="E195" s="84">
        <v>4</v>
      </c>
      <c r="F195" s="2">
        <v>2791072</v>
      </c>
      <c r="G195" s="2">
        <v>2765871</v>
      </c>
      <c r="H195" s="2">
        <v>2667152</v>
      </c>
      <c r="I195" s="2">
        <v>2585796.0000000005</v>
      </c>
      <c r="J195" s="2">
        <v>2514440</v>
      </c>
      <c r="K195" s="2">
        <v>2466683</v>
      </c>
      <c r="L195" s="2">
        <v>2431296.9999999995</v>
      </c>
      <c r="M195" s="2">
        <v>2458256.0000000005</v>
      </c>
      <c r="N195" s="2">
        <v>2480230</v>
      </c>
      <c r="O195" s="2">
        <v>2505769</v>
      </c>
      <c r="P195" s="2">
        <v>2526148</v>
      </c>
    </row>
    <row r="196" spans="1:16">
      <c r="A196" s="84" t="s">
        <v>465</v>
      </c>
      <c r="B196" s="85" t="s">
        <v>464</v>
      </c>
      <c r="C196" s="85" t="s">
        <v>74</v>
      </c>
      <c r="D196" s="84" t="s">
        <v>75</v>
      </c>
      <c r="E196" s="84">
        <v>3</v>
      </c>
      <c r="F196" s="2">
        <v>1697799</v>
      </c>
      <c r="G196" s="2">
        <v>1700211</v>
      </c>
      <c r="H196" s="2">
        <v>1703026</v>
      </c>
      <c r="I196" s="2">
        <v>1706038</v>
      </c>
      <c r="J196" s="2">
        <v>1707813.9999999998</v>
      </c>
      <c r="K196" s="2">
        <v>1707494.0000000002</v>
      </c>
      <c r="L196" s="2">
        <v>1707415</v>
      </c>
      <c r="M196" s="2">
        <v>1700465</v>
      </c>
      <c r="N196" s="2">
        <v>1694702</v>
      </c>
      <c r="O196" s="2">
        <v>1688725</v>
      </c>
      <c r="P196" s="2">
        <v>1683293.0000000002</v>
      </c>
    </row>
    <row r="197" spans="1:16">
      <c r="A197" s="84" t="s">
        <v>467</v>
      </c>
      <c r="B197" s="85" t="s">
        <v>466</v>
      </c>
      <c r="C197" s="85" t="s">
        <v>83</v>
      </c>
      <c r="D197" s="84" t="s">
        <v>84</v>
      </c>
      <c r="E197" s="84">
        <v>3</v>
      </c>
      <c r="F197" s="2">
        <v>1504253.0000000002</v>
      </c>
      <c r="G197" s="2">
        <v>1528711</v>
      </c>
      <c r="H197" s="2">
        <v>1557320</v>
      </c>
      <c r="I197" s="2">
        <v>1585290</v>
      </c>
      <c r="J197" s="2">
        <v>1612748</v>
      </c>
      <c r="K197" s="2">
        <v>1638774</v>
      </c>
      <c r="L197" s="2">
        <v>1663960.9999999998</v>
      </c>
      <c r="M197" s="2">
        <v>1686866</v>
      </c>
      <c r="N197" s="2">
        <v>1709418.0000000002</v>
      </c>
      <c r="O197" s="2">
        <v>1731770</v>
      </c>
      <c r="P197" s="2">
        <v>1754384</v>
      </c>
    </row>
    <row r="198" spans="1:16">
      <c r="A198" s="84" t="s">
        <v>469</v>
      </c>
      <c r="B198" s="85" t="s">
        <v>468</v>
      </c>
      <c r="C198" s="85" t="s">
        <v>83</v>
      </c>
      <c r="D198" s="84" t="s">
        <v>84</v>
      </c>
      <c r="E198" s="84">
        <v>3</v>
      </c>
      <c r="F198" s="2">
        <v>868013</v>
      </c>
      <c r="G198" s="2">
        <v>877671</v>
      </c>
      <c r="H198" s="2">
        <v>886041.99999999988</v>
      </c>
      <c r="I198" s="2">
        <v>897415.99999999988</v>
      </c>
      <c r="J198" s="2">
        <v>908450</v>
      </c>
      <c r="K198" s="2">
        <v>917986</v>
      </c>
      <c r="L198" s="2">
        <v>927107</v>
      </c>
      <c r="M198" s="2">
        <v>932350</v>
      </c>
      <c r="N198" s="2">
        <v>937306</v>
      </c>
      <c r="O198" s="2">
        <v>940863</v>
      </c>
      <c r="P198" s="2">
        <v>943133</v>
      </c>
    </row>
    <row r="199" spans="1:16">
      <c r="E199" s="2"/>
      <c r="F199" s="2"/>
      <c r="G199" s="2"/>
      <c r="H199" s="2"/>
      <c r="I199" s="2"/>
      <c r="J199" s="2"/>
      <c r="K199" s="2"/>
      <c r="L199" s="2"/>
      <c r="M199" s="2"/>
      <c r="N199" s="2"/>
      <c r="O199" s="2"/>
      <c r="P199" s="2"/>
    </row>
    <row r="200" spans="1:16">
      <c r="E200" s="2"/>
      <c r="F200" s="2"/>
      <c r="G200" s="2"/>
      <c r="H200" s="2"/>
      <c r="I200" s="2"/>
      <c r="J200" s="2"/>
      <c r="K200" s="2"/>
      <c r="L200" s="2"/>
      <c r="M200" s="2"/>
      <c r="N200" s="2"/>
      <c r="O200" s="2"/>
      <c r="P200" s="2"/>
    </row>
    <row r="201" spans="1:16">
      <c r="E201" s="2"/>
      <c r="F201" s="2"/>
      <c r="G201" s="2"/>
      <c r="H201" s="2"/>
      <c r="I201" s="2"/>
      <c r="J201" s="2"/>
      <c r="K201" s="2"/>
      <c r="L201" s="2"/>
      <c r="M201" s="2"/>
      <c r="N201" s="2"/>
      <c r="O201" s="2"/>
      <c r="P201" s="2"/>
    </row>
    <row r="202" spans="1:16">
      <c r="E202" s="2"/>
      <c r="F202" s="2"/>
      <c r="G202" s="2"/>
      <c r="H202" s="2"/>
      <c r="I202" s="2"/>
      <c r="J202" s="2"/>
      <c r="K202" s="2"/>
      <c r="L202" s="2"/>
      <c r="M202" s="2"/>
      <c r="N202" s="2"/>
      <c r="O202" s="2"/>
      <c r="P202" s="2"/>
    </row>
    <row r="203" spans="1:16">
      <c r="E203" s="2"/>
      <c r="F203" s="2"/>
      <c r="G203" s="2"/>
      <c r="H203" s="2"/>
      <c r="I203" s="2"/>
      <c r="J203" s="2"/>
      <c r="K203" s="2"/>
      <c r="L203" s="2"/>
      <c r="M203" s="2"/>
      <c r="N203" s="2"/>
      <c r="O203" s="2"/>
      <c r="P203" s="2"/>
    </row>
    <row r="204" spans="1:16">
      <c r="E204" s="94"/>
      <c r="F204" s="2"/>
      <c r="G204" s="2"/>
      <c r="H204" s="2"/>
      <c r="I204" s="2"/>
      <c r="J204" s="2"/>
      <c r="K204" s="2"/>
      <c r="L204" s="2"/>
      <c r="M204" s="2"/>
      <c r="N204" s="2"/>
      <c r="O204" s="2"/>
      <c r="P204" s="2"/>
    </row>
  </sheetData>
  <autoFilter ref="A4:P198" xr:uid="{1BE26F4C-1587-7C4D-887A-C69327E2A7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A89C9-E52D-3848-B3A3-0FAEFF02A2E6}">
  <sheetPr>
    <tabColor theme="7" tint="0.79998168889431442"/>
  </sheetPr>
  <dimension ref="A1:P198"/>
  <sheetViews>
    <sheetView zoomScale="117" zoomScaleNormal="117" workbookViewId="0">
      <selection activeCell="B2" sqref="B2"/>
    </sheetView>
  </sheetViews>
  <sheetFormatPr defaultColWidth="10.85546875" defaultRowHeight="15"/>
  <cols>
    <col min="6" max="16" width="13.7109375" bestFit="1" customWidth="1"/>
  </cols>
  <sheetData>
    <row r="1" spans="1:16">
      <c r="A1" t="s">
        <v>470</v>
      </c>
      <c r="B1" t="s">
        <v>476</v>
      </c>
    </row>
    <row r="2" spans="1:16">
      <c r="A2" t="s">
        <v>471</v>
      </c>
      <c r="B2" t="s">
        <v>472</v>
      </c>
    </row>
    <row r="4" spans="1:16" s="88" customFormat="1">
      <c r="A4" s="86" t="s">
        <v>473</v>
      </c>
      <c r="B4" s="87" t="s">
        <v>64</v>
      </c>
      <c r="C4" s="86" t="s">
        <v>66</v>
      </c>
      <c r="D4" s="86" t="s">
        <v>67</v>
      </c>
      <c r="E4" s="86" t="s">
        <v>68</v>
      </c>
      <c r="F4" s="88">
        <v>2030</v>
      </c>
      <c r="G4" s="88">
        <v>2031</v>
      </c>
      <c r="H4" s="88">
        <v>2032</v>
      </c>
      <c r="I4" s="88">
        <v>2033</v>
      </c>
      <c r="J4" s="88">
        <v>2034</v>
      </c>
      <c r="K4" s="88">
        <v>2035</v>
      </c>
      <c r="L4" s="88">
        <v>2036</v>
      </c>
      <c r="M4" s="88">
        <v>2037</v>
      </c>
      <c r="N4" s="88">
        <v>2038</v>
      </c>
      <c r="O4" s="88">
        <v>2039</v>
      </c>
      <c r="P4" s="88">
        <v>2040</v>
      </c>
    </row>
    <row r="5" spans="1:16">
      <c r="A5" s="84" t="s">
        <v>73</v>
      </c>
      <c r="B5" s="85" t="s">
        <v>72</v>
      </c>
      <c r="C5" s="85" t="s">
        <v>74</v>
      </c>
      <c r="D5" s="84" t="s">
        <v>75</v>
      </c>
      <c r="E5" s="84" t="s">
        <v>76</v>
      </c>
      <c r="F5" s="3">
        <v>5.0760172075996222E-2</v>
      </c>
      <c r="G5" s="3">
        <v>4.9926452990565633E-2</v>
      </c>
      <c r="H5" s="3">
        <v>4.9076451489552315E-2</v>
      </c>
      <c r="I5" s="3">
        <v>4.8263872271677097E-2</v>
      </c>
      <c r="J5" s="3">
        <v>4.7463704221487567E-2</v>
      </c>
      <c r="K5" s="3">
        <v>4.6671664200591337E-2</v>
      </c>
      <c r="L5" s="3">
        <v>4.5936263067301933E-2</v>
      </c>
      <c r="M5" s="3">
        <v>4.5135734911737023E-2</v>
      </c>
      <c r="N5" s="3">
        <v>4.4379232299106113E-2</v>
      </c>
      <c r="O5" s="3">
        <v>4.3632605112746907E-2</v>
      </c>
      <c r="P5" s="3">
        <v>4.289766930519389E-2</v>
      </c>
    </row>
    <row r="6" spans="1:16">
      <c r="A6" s="84" t="s">
        <v>78</v>
      </c>
      <c r="B6" s="85" t="s">
        <v>77</v>
      </c>
      <c r="C6" s="85" t="s">
        <v>79</v>
      </c>
      <c r="D6" s="84" t="s">
        <v>80</v>
      </c>
      <c r="E6" s="84">
        <v>1</v>
      </c>
      <c r="F6" s="3">
        <v>2.2405802134394741E-2</v>
      </c>
      <c r="G6" s="3">
        <v>2.1859753503866784E-2</v>
      </c>
      <c r="H6" s="3">
        <v>2.154236118471841E-2</v>
      </c>
      <c r="I6" s="3">
        <v>2.1236325998401476E-2</v>
      </c>
      <c r="J6" s="3">
        <v>2.0991239295206222E-2</v>
      </c>
      <c r="K6" s="3">
        <v>2.0790953242405364E-2</v>
      </c>
      <c r="L6" s="3">
        <v>2.0678320180319201E-2</v>
      </c>
      <c r="M6" s="3">
        <v>2.0546256249081282E-2</v>
      </c>
      <c r="N6" s="3">
        <v>2.0496782318694874E-2</v>
      </c>
      <c r="O6" s="3">
        <v>2.0476450761572208E-2</v>
      </c>
      <c r="P6" s="3">
        <v>2.0471400895262577E-2</v>
      </c>
    </row>
    <row r="7" spans="1:16">
      <c r="A7" s="84" t="s">
        <v>82</v>
      </c>
      <c r="B7" s="85" t="s">
        <v>81</v>
      </c>
      <c r="C7" s="85" t="s">
        <v>83</v>
      </c>
      <c r="D7" s="84" t="s">
        <v>84</v>
      </c>
      <c r="E7" s="84">
        <v>2</v>
      </c>
      <c r="F7" s="3">
        <v>3.5643758465314451E-2</v>
      </c>
      <c r="G7" s="3">
        <v>3.5347998975887002E-2</v>
      </c>
      <c r="H7" s="3">
        <v>3.4573496112824523E-2</v>
      </c>
      <c r="I7" s="3">
        <v>3.4048777593000873E-2</v>
      </c>
      <c r="J7" s="3">
        <v>3.3640302611154568E-2</v>
      </c>
      <c r="K7" s="3">
        <v>3.3409491453932405E-2</v>
      </c>
      <c r="L7" s="3">
        <v>3.3438638628742468E-2</v>
      </c>
      <c r="M7" s="3">
        <v>3.349508640299001E-2</v>
      </c>
      <c r="N7" s="3">
        <v>3.3714685311940447E-2</v>
      </c>
      <c r="O7" s="3">
        <v>3.3977686587049236E-2</v>
      </c>
      <c r="P7" s="3">
        <v>3.4239357831149626E-2</v>
      </c>
    </row>
    <row r="8" spans="1:16">
      <c r="A8" s="84" t="s">
        <v>86</v>
      </c>
      <c r="B8" s="85" t="s">
        <v>85</v>
      </c>
      <c r="C8" s="85" t="s">
        <v>79</v>
      </c>
      <c r="D8" s="84" t="s">
        <v>87</v>
      </c>
      <c r="E8" s="84">
        <v>1</v>
      </c>
      <c r="F8" s="3">
        <v>0</v>
      </c>
      <c r="G8" s="3">
        <v>0</v>
      </c>
      <c r="H8" s="3">
        <v>0</v>
      </c>
      <c r="I8" s="3">
        <v>0</v>
      </c>
      <c r="J8" s="3">
        <v>0</v>
      </c>
      <c r="K8" s="3">
        <v>0</v>
      </c>
      <c r="L8" s="3">
        <v>0</v>
      </c>
      <c r="M8" s="3">
        <v>0</v>
      </c>
      <c r="N8" s="3">
        <v>0</v>
      </c>
      <c r="O8" s="3">
        <v>0</v>
      </c>
      <c r="P8" s="3">
        <v>0</v>
      </c>
    </row>
    <row r="9" spans="1:16">
      <c r="A9" s="84" t="s">
        <v>89</v>
      </c>
      <c r="B9" s="85" t="s">
        <v>88</v>
      </c>
      <c r="C9" s="85" t="s">
        <v>83</v>
      </c>
      <c r="D9" s="84" t="s">
        <v>84</v>
      </c>
      <c r="E9" s="84">
        <v>3</v>
      </c>
      <c r="F9" s="3">
        <v>6.9983617862985487E-2</v>
      </c>
      <c r="G9" s="3">
        <v>6.9532670780580216E-2</v>
      </c>
      <c r="H9" s="3">
        <v>6.8957937409519512E-2</v>
      </c>
      <c r="I9" s="3">
        <v>6.8431553841212536E-2</v>
      </c>
      <c r="J9" s="3">
        <v>6.7883038373141469E-2</v>
      </c>
      <c r="K9" s="3">
        <v>6.7310921763606479E-2</v>
      </c>
      <c r="L9" s="3">
        <v>6.6765331404729469E-2</v>
      </c>
      <c r="M9" s="3">
        <v>6.6125702039269887E-2</v>
      </c>
      <c r="N9" s="3">
        <v>6.5521749465177123E-2</v>
      </c>
      <c r="O9" s="3">
        <v>6.4929933054803976E-2</v>
      </c>
      <c r="P9" s="3">
        <v>6.4358023747000379E-2</v>
      </c>
    </row>
    <row r="10" spans="1:16">
      <c r="A10" s="84" t="s">
        <v>91</v>
      </c>
      <c r="B10" s="85" t="s">
        <v>90</v>
      </c>
      <c r="C10" s="85" t="s">
        <v>92</v>
      </c>
      <c r="D10" s="84" t="s">
        <v>87</v>
      </c>
      <c r="E10" s="84">
        <v>1</v>
      </c>
      <c r="F10" s="3">
        <v>0</v>
      </c>
      <c r="G10" s="3">
        <v>2.93883428421822E-2</v>
      </c>
      <c r="H10" s="3">
        <v>2.9040886511272443E-2</v>
      </c>
      <c r="I10" s="3">
        <v>2.8779730675061212E-2</v>
      </c>
      <c r="J10" s="3">
        <v>2.8558605893427905E-2</v>
      </c>
      <c r="K10" s="3">
        <v>2.8396320538543331E-2</v>
      </c>
      <c r="L10" s="3">
        <v>2.8295982343834063E-2</v>
      </c>
      <c r="M10" s="3">
        <v>2.8311948191883537E-2</v>
      </c>
      <c r="N10" s="3">
        <v>2.834333535208941E-2</v>
      </c>
      <c r="O10" s="3">
        <v>2.8388035997882467E-2</v>
      </c>
      <c r="P10" s="3">
        <v>2.8381722568385701E-2</v>
      </c>
    </row>
    <row r="11" spans="1:16">
      <c r="A11" s="84" t="s">
        <v>94</v>
      </c>
      <c r="B11" s="85" t="s">
        <v>93</v>
      </c>
      <c r="C11" s="85" t="s">
        <v>92</v>
      </c>
      <c r="D11" s="84" t="s">
        <v>80</v>
      </c>
      <c r="E11" s="84">
        <v>1</v>
      </c>
      <c r="F11" s="3">
        <v>3.3897200729359936E-2</v>
      </c>
      <c r="G11" s="3">
        <v>3.3645787625848821E-2</v>
      </c>
      <c r="H11" s="3">
        <v>3.3293888590481269E-2</v>
      </c>
      <c r="I11" s="3">
        <v>3.2973100578856357E-2</v>
      </c>
      <c r="J11" s="3">
        <v>3.2664360620354965E-2</v>
      </c>
      <c r="K11" s="3">
        <v>3.2383114431462669E-2</v>
      </c>
      <c r="L11" s="3">
        <v>3.2139859488212907E-2</v>
      </c>
      <c r="M11" s="3">
        <v>3.1960039642112491E-2</v>
      </c>
      <c r="N11" s="3">
        <v>3.1776543367456542E-2</v>
      </c>
      <c r="O11" s="3">
        <v>3.1595765098435424E-2</v>
      </c>
      <c r="P11" s="3">
        <v>3.1410666270189402E-2</v>
      </c>
    </row>
    <row r="12" spans="1:16">
      <c r="A12" s="84" t="s">
        <v>96</v>
      </c>
      <c r="B12" s="85" t="s">
        <v>95</v>
      </c>
      <c r="C12" s="85" t="s">
        <v>79</v>
      </c>
      <c r="D12" s="84" t="s">
        <v>80</v>
      </c>
      <c r="E12" s="84">
        <v>1</v>
      </c>
      <c r="F12" s="3">
        <v>2.4735156265007018E-2</v>
      </c>
      <c r="G12" s="3">
        <v>2.4639142272422671E-2</v>
      </c>
      <c r="H12" s="3">
        <v>2.4497888336222497E-2</v>
      </c>
      <c r="I12" s="3">
        <v>2.4473841647445579E-2</v>
      </c>
      <c r="J12" s="3">
        <v>2.4509807917913656E-2</v>
      </c>
      <c r="K12" s="3">
        <v>2.4605603137095786E-2</v>
      </c>
      <c r="L12" s="3">
        <v>2.4865983290538532E-2</v>
      </c>
      <c r="M12" s="3">
        <v>2.4999289851379263E-2</v>
      </c>
      <c r="N12" s="3">
        <v>2.5254840545521077E-2</v>
      </c>
      <c r="O12" s="3">
        <v>2.5519275783953438E-2</v>
      </c>
      <c r="P12" s="3">
        <v>2.5774859199675315E-2</v>
      </c>
    </row>
    <row r="13" spans="1:16">
      <c r="A13" s="84" t="s">
        <v>98</v>
      </c>
      <c r="B13" s="85" t="s">
        <v>97</v>
      </c>
      <c r="C13" s="85" t="s">
        <v>99</v>
      </c>
      <c r="D13" s="84" t="s">
        <v>87</v>
      </c>
      <c r="E13" s="84">
        <v>1</v>
      </c>
      <c r="F13" s="3">
        <v>2.8128765192654125E-2</v>
      </c>
      <c r="G13" s="3">
        <v>2.8098409558187609E-2</v>
      </c>
      <c r="H13" s="3">
        <v>2.7902137319702272E-2</v>
      </c>
      <c r="I13" s="3">
        <v>2.7747493946324992E-2</v>
      </c>
      <c r="J13" s="3">
        <v>2.7608626543406102E-2</v>
      </c>
      <c r="K13" s="3">
        <v>2.7514814673994553E-2</v>
      </c>
      <c r="L13" s="3">
        <v>2.7504885164687617E-2</v>
      </c>
      <c r="M13" s="3">
        <v>2.7516671267912289E-2</v>
      </c>
      <c r="N13" s="3">
        <v>2.7571439160860269E-2</v>
      </c>
      <c r="O13" s="3">
        <v>2.7647845240384897E-2</v>
      </c>
      <c r="P13" s="3">
        <v>2.7731068459992462E-2</v>
      </c>
    </row>
    <row r="14" spans="1:16">
      <c r="A14" s="84" t="s">
        <v>101</v>
      </c>
      <c r="B14" s="85" t="s">
        <v>100</v>
      </c>
      <c r="C14" s="85" t="s">
        <v>79</v>
      </c>
      <c r="D14" s="84" t="s">
        <v>87</v>
      </c>
      <c r="E14" s="84">
        <v>1</v>
      </c>
      <c r="F14" s="3">
        <v>2.4141758380941816E-2</v>
      </c>
      <c r="G14" s="3">
        <v>2.405477600915432E-2</v>
      </c>
      <c r="H14" s="3">
        <v>2.4011659962018334E-2</v>
      </c>
      <c r="I14" s="3">
        <v>2.392070539907042E-2</v>
      </c>
      <c r="J14" s="3">
        <v>2.3830299301067323E-2</v>
      </c>
      <c r="K14" s="3">
        <v>2.374773483733823E-2</v>
      </c>
      <c r="L14" s="3">
        <v>2.3663304140039476E-2</v>
      </c>
      <c r="M14" s="3">
        <v>2.3633124584404374E-2</v>
      </c>
      <c r="N14" s="3">
        <v>2.3587696110475866E-2</v>
      </c>
      <c r="O14" s="3">
        <v>2.3559021749696648E-2</v>
      </c>
      <c r="P14" s="3">
        <v>2.355419939067022E-2</v>
      </c>
    </row>
    <row r="15" spans="1:16">
      <c r="A15" s="84" t="s">
        <v>103</v>
      </c>
      <c r="B15" s="85" t="s">
        <v>102</v>
      </c>
      <c r="C15" s="85" t="s">
        <v>79</v>
      </c>
      <c r="D15" s="84" t="s">
        <v>80</v>
      </c>
      <c r="E15" s="84">
        <v>1</v>
      </c>
      <c r="F15" s="3">
        <v>2.671938194746315E-2</v>
      </c>
      <c r="G15" s="3">
        <v>2.6996081653573312E-2</v>
      </c>
      <c r="H15" s="3">
        <v>2.6963570897284999E-2</v>
      </c>
      <c r="I15" s="3">
        <v>2.7148857238022722E-2</v>
      </c>
      <c r="J15" s="3">
        <v>2.7319839898174138E-2</v>
      </c>
      <c r="K15" s="3">
        <v>2.7445027445027442E-2</v>
      </c>
      <c r="L15" s="3">
        <v>2.7704309802614537E-2</v>
      </c>
      <c r="M15" s="3">
        <v>2.7562518997659147E-2</v>
      </c>
      <c r="N15" s="3">
        <v>2.7534637550123052E-2</v>
      </c>
      <c r="O15" s="3">
        <v>2.7442400123571666E-2</v>
      </c>
      <c r="P15" s="3">
        <v>2.7287446625668857E-2</v>
      </c>
    </row>
    <row r="16" spans="1:16">
      <c r="A16" s="84" t="s">
        <v>105</v>
      </c>
      <c r="B16" s="85" t="s">
        <v>104</v>
      </c>
      <c r="C16" s="85" t="s">
        <v>92</v>
      </c>
      <c r="D16" s="84" t="s">
        <v>87</v>
      </c>
      <c r="E16" s="84">
        <v>1</v>
      </c>
      <c r="F16" s="3">
        <v>2.8708108846109415E-2</v>
      </c>
      <c r="G16" s="3">
        <v>2.8606091732349497E-2</v>
      </c>
      <c r="H16" s="3">
        <v>2.8400398547029356E-2</v>
      </c>
      <c r="I16" s="3">
        <v>2.8115122710034735E-2</v>
      </c>
      <c r="J16" s="3">
        <v>2.7813168460518331E-2</v>
      </c>
      <c r="K16" s="3">
        <v>2.7551771780054166E-2</v>
      </c>
      <c r="L16" s="3">
        <v>2.7314605397929632E-2</v>
      </c>
      <c r="M16" s="3">
        <v>2.7220783000262431E-2</v>
      </c>
      <c r="N16" s="3">
        <v>2.7097672702518012E-2</v>
      </c>
      <c r="O16" s="3">
        <v>2.6986779492750416E-2</v>
      </c>
      <c r="P16" s="3">
        <v>2.6893753298033018E-2</v>
      </c>
    </row>
    <row r="17" spans="1:16">
      <c r="A17" s="84" t="s">
        <v>107</v>
      </c>
      <c r="B17" s="85" t="s">
        <v>106</v>
      </c>
      <c r="C17" s="85" t="s">
        <v>74</v>
      </c>
      <c r="D17" s="84" t="s">
        <v>87</v>
      </c>
      <c r="E17" s="84">
        <v>1</v>
      </c>
      <c r="F17" s="3">
        <v>2.3163153074410654E-2</v>
      </c>
      <c r="G17" s="3">
        <v>2.2897864251114869E-2</v>
      </c>
      <c r="H17" s="3">
        <v>2.2909237687068887E-2</v>
      </c>
      <c r="I17" s="3">
        <v>2.2881912249646866E-2</v>
      </c>
      <c r="J17" s="3">
        <v>2.2799477777608448E-2</v>
      </c>
      <c r="K17" s="3">
        <v>2.2595360113393834E-2</v>
      </c>
      <c r="L17" s="3">
        <v>2.2359895899377445E-2</v>
      </c>
      <c r="M17" s="3">
        <v>2.1857331889811142E-2</v>
      </c>
      <c r="N17" s="3">
        <v>2.1380393246161786E-2</v>
      </c>
      <c r="O17" s="3">
        <v>2.0924629976108212E-2</v>
      </c>
      <c r="P17" s="3">
        <v>2.0540537852815188E-2</v>
      </c>
    </row>
    <row r="18" spans="1:16">
      <c r="A18" s="84" t="s">
        <v>109</v>
      </c>
      <c r="B18" s="85" t="s">
        <v>108</v>
      </c>
      <c r="C18" s="85" t="s">
        <v>110</v>
      </c>
      <c r="D18" s="84" t="s">
        <v>84</v>
      </c>
      <c r="E18" s="84" t="s">
        <v>76</v>
      </c>
      <c r="F18" s="3">
        <v>3.042167874330013E-2</v>
      </c>
      <c r="G18" s="3">
        <v>2.9917565226092863E-2</v>
      </c>
      <c r="H18" s="3">
        <v>2.951729313021155E-2</v>
      </c>
      <c r="I18" s="3">
        <v>2.9112160161910868E-2</v>
      </c>
      <c r="J18" s="3">
        <v>2.8720313865733507E-2</v>
      </c>
      <c r="K18" s="3">
        <v>2.8329592563683677E-2</v>
      </c>
      <c r="L18" s="3">
        <v>2.7985016339091499E-2</v>
      </c>
      <c r="M18" s="3">
        <v>2.757770669733264E-2</v>
      </c>
      <c r="N18" s="3">
        <v>2.720941311805131E-2</v>
      </c>
      <c r="O18" s="3">
        <v>2.6859558276307698E-2</v>
      </c>
      <c r="P18" s="3">
        <v>2.6537770169702813E-2</v>
      </c>
    </row>
    <row r="19" spans="1:16">
      <c r="A19" s="84" t="s">
        <v>112</v>
      </c>
      <c r="B19" s="85" t="s">
        <v>111</v>
      </c>
      <c r="C19" s="85" t="s">
        <v>92</v>
      </c>
      <c r="D19" s="84" t="s">
        <v>87</v>
      </c>
      <c r="E19" s="84">
        <v>1</v>
      </c>
      <c r="F19" s="3">
        <v>2.6070081332722796E-2</v>
      </c>
      <c r="G19" s="3">
        <v>2.6158238924196376E-2</v>
      </c>
      <c r="H19" s="3">
        <v>2.6196944571851948E-2</v>
      </c>
      <c r="I19" s="3">
        <v>2.6184765308067799E-2</v>
      </c>
      <c r="J19" s="3">
        <v>2.6122496278402258E-2</v>
      </c>
      <c r="K19" s="3">
        <v>2.6047316377849697E-2</v>
      </c>
      <c r="L19" s="3">
        <v>2.5963432166533719E-2</v>
      </c>
      <c r="M19" s="3">
        <v>2.5866289506609387E-2</v>
      </c>
      <c r="N19" s="3">
        <v>2.5744905081915608E-2</v>
      </c>
      <c r="O19" s="3">
        <v>2.5609935332157566E-2</v>
      </c>
      <c r="P19" s="3">
        <v>2.5466720310021597E-2</v>
      </c>
    </row>
    <row r="20" spans="1:16">
      <c r="A20" s="84" t="s">
        <v>114</v>
      </c>
      <c r="B20" s="85" t="s">
        <v>113</v>
      </c>
      <c r="C20" s="85" t="s">
        <v>79</v>
      </c>
      <c r="D20" s="84" t="s">
        <v>80</v>
      </c>
      <c r="E20" s="84">
        <v>2</v>
      </c>
      <c r="F20" s="3">
        <v>2.2984296605895866E-2</v>
      </c>
      <c r="G20" s="3">
        <v>2.2493537779312428E-2</v>
      </c>
      <c r="H20" s="3">
        <v>2.267657891739128E-2</v>
      </c>
      <c r="I20" s="3">
        <v>2.2846362788465215E-2</v>
      </c>
      <c r="J20" s="3">
        <v>2.3105342971861152E-2</v>
      </c>
      <c r="K20" s="3">
        <v>2.3379881164312305E-2</v>
      </c>
      <c r="L20" s="3">
        <v>2.3730676768100187E-2</v>
      </c>
      <c r="M20" s="3">
        <v>2.4010708829832479E-2</v>
      </c>
      <c r="N20" s="3">
        <v>2.43761002352718E-2</v>
      </c>
      <c r="O20" s="3">
        <v>2.4778627320529413E-2</v>
      </c>
      <c r="P20" s="3">
        <v>2.5213492158168798E-2</v>
      </c>
    </row>
    <row r="21" spans="1:16">
      <c r="A21" s="84" t="s">
        <v>116</v>
      </c>
      <c r="B21" s="85" t="s">
        <v>115</v>
      </c>
      <c r="C21" s="85" t="s">
        <v>79</v>
      </c>
      <c r="D21" s="84" t="s">
        <v>87</v>
      </c>
      <c r="E21" s="84">
        <v>1</v>
      </c>
      <c r="F21" s="3">
        <v>2.5706193023321923E-2</v>
      </c>
      <c r="G21" s="3">
        <v>2.5639806935545361E-2</v>
      </c>
      <c r="H21" s="3">
        <v>2.5759624264173941E-2</v>
      </c>
      <c r="I21" s="3">
        <v>2.5859016456484068E-2</v>
      </c>
      <c r="J21" s="3">
        <v>2.597690390969417E-2</v>
      </c>
      <c r="K21" s="3">
        <v>2.6093358799795331E-2</v>
      </c>
      <c r="L21" s="3">
        <v>2.6220084900793326E-2</v>
      </c>
      <c r="M21" s="3">
        <v>2.6346940003484032E-2</v>
      </c>
      <c r="N21" s="3">
        <v>2.6466977374193082E-2</v>
      </c>
      <c r="O21" s="3">
        <v>2.6581922451100162E-2</v>
      </c>
      <c r="P21" s="3">
        <v>2.6691679008042878E-2</v>
      </c>
    </row>
    <row r="22" spans="1:16">
      <c r="A22" s="84" t="s">
        <v>118</v>
      </c>
      <c r="B22" s="85" t="s">
        <v>117</v>
      </c>
      <c r="C22" s="85" t="s">
        <v>92</v>
      </c>
      <c r="D22" s="84" t="s">
        <v>80</v>
      </c>
      <c r="E22" s="84">
        <v>1</v>
      </c>
      <c r="F22" s="3">
        <v>3.6357734134069133E-2</v>
      </c>
      <c r="G22" s="3">
        <v>3.5657039507149713E-2</v>
      </c>
      <c r="H22" s="3">
        <v>3.5258618375728086E-2</v>
      </c>
      <c r="I22" s="3">
        <v>3.477945116307906E-2</v>
      </c>
      <c r="J22" s="3">
        <v>3.4318605416072796E-2</v>
      </c>
      <c r="K22" s="3">
        <v>3.3852491786751031E-2</v>
      </c>
      <c r="L22" s="3">
        <v>3.3388686787755036E-2</v>
      </c>
      <c r="M22" s="3">
        <v>3.2962502509943654E-2</v>
      </c>
      <c r="N22" s="3">
        <v>3.252644297009135E-2</v>
      </c>
      <c r="O22" s="3">
        <v>3.2101326981107445E-2</v>
      </c>
      <c r="P22" s="3">
        <v>3.1697433400279633E-2</v>
      </c>
    </row>
    <row r="23" spans="1:16">
      <c r="A23" s="84" t="s">
        <v>120</v>
      </c>
      <c r="B23" s="85" t="s">
        <v>119</v>
      </c>
      <c r="C23" s="85" t="s">
        <v>83</v>
      </c>
      <c r="D23" s="84" t="s">
        <v>84</v>
      </c>
      <c r="E23" s="84">
        <v>3</v>
      </c>
      <c r="F23" s="3">
        <v>6.2140913224366177E-2</v>
      </c>
      <c r="G23" s="3">
        <v>6.1672517712524209E-2</v>
      </c>
      <c r="H23" s="3">
        <v>6.1084963745739441E-2</v>
      </c>
      <c r="I23" s="3">
        <v>6.056528095224873E-2</v>
      </c>
      <c r="J23" s="3">
        <v>6.0046540949516537E-2</v>
      </c>
      <c r="K23" s="3">
        <v>5.9526108114561736E-2</v>
      </c>
      <c r="L23" s="3">
        <v>5.9047731800497265E-2</v>
      </c>
      <c r="M23" s="3">
        <v>5.8479915627652819E-2</v>
      </c>
      <c r="N23" s="3">
        <v>5.7957364296425312E-2</v>
      </c>
      <c r="O23" s="3">
        <v>5.7432780661273775E-2</v>
      </c>
      <c r="P23" s="3">
        <v>5.6905795699508911E-2</v>
      </c>
    </row>
    <row r="24" spans="1:16">
      <c r="A24" s="84" t="s">
        <v>122</v>
      </c>
      <c r="B24" s="85" t="s">
        <v>121</v>
      </c>
      <c r="C24" s="85" t="s">
        <v>110</v>
      </c>
      <c r="D24" s="84" t="s">
        <v>84</v>
      </c>
      <c r="E24" s="84">
        <v>2</v>
      </c>
      <c r="F24" s="3">
        <v>2.8191247128171809E-2</v>
      </c>
      <c r="G24" s="3">
        <v>2.7643195932486611E-2</v>
      </c>
      <c r="H24" s="3">
        <v>2.7016155638231461E-2</v>
      </c>
      <c r="I24" s="3">
        <v>2.6386329050514669E-2</v>
      </c>
      <c r="J24" s="3">
        <v>2.5778080618805179E-2</v>
      </c>
      <c r="K24" s="3">
        <v>2.5211269201855117E-2</v>
      </c>
      <c r="L24" s="3">
        <v>2.4729909462785707E-2</v>
      </c>
      <c r="M24" s="3">
        <v>2.4247400315615425E-2</v>
      </c>
      <c r="N24" s="3">
        <v>2.3827739914160938E-2</v>
      </c>
      <c r="O24" s="3">
        <v>2.3458105600962745E-2</v>
      </c>
      <c r="P24" s="3">
        <v>2.3144445308053541E-2</v>
      </c>
    </row>
    <row r="25" spans="1:16">
      <c r="A25" s="84" t="s">
        <v>124</v>
      </c>
      <c r="B25" s="85" t="s">
        <v>123</v>
      </c>
      <c r="C25" s="85" t="s">
        <v>92</v>
      </c>
      <c r="D25" s="84" t="s">
        <v>84</v>
      </c>
      <c r="E25" s="84">
        <v>2</v>
      </c>
      <c r="F25" s="3">
        <v>3.9840270011045884E-2</v>
      </c>
      <c r="G25" s="3">
        <v>3.9338116366466468E-2</v>
      </c>
      <c r="H25" s="3">
        <v>3.8897700017161467E-2</v>
      </c>
      <c r="I25" s="3">
        <v>3.8462851320947185E-2</v>
      </c>
      <c r="J25" s="3">
        <v>3.8045368581096889E-2</v>
      </c>
      <c r="K25" s="3">
        <v>3.7639707630761098E-2</v>
      </c>
      <c r="L25" s="3">
        <v>3.7242576026309308E-2</v>
      </c>
      <c r="M25" s="3">
        <v>3.689373892000581E-2</v>
      </c>
      <c r="N25" s="3">
        <v>3.6533265779521977E-2</v>
      </c>
      <c r="O25" s="3">
        <v>3.6167391429594971E-2</v>
      </c>
      <c r="P25" s="3">
        <v>3.5789314733946073E-2</v>
      </c>
    </row>
    <row r="26" spans="1:16">
      <c r="A26" s="84" t="s">
        <v>126</v>
      </c>
      <c r="B26" s="85" t="s">
        <v>125</v>
      </c>
      <c r="C26" s="85" t="s">
        <v>79</v>
      </c>
      <c r="D26" s="84" t="s">
        <v>80</v>
      </c>
      <c r="E26" s="84">
        <v>1</v>
      </c>
      <c r="F26" s="3">
        <v>1.8528586265273865E-2</v>
      </c>
      <c r="G26" s="3">
        <v>1.8608209711091426E-2</v>
      </c>
      <c r="H26" s="3">
        <v>1.8855679832996422E-2</v>
      </c>
      <c r="I26" s="3">
        <v>1.9095114950159291E-2</v>
      </c>
      <c r="J26" s="3">
        <v>1.9330177415439135E-2</v>
      </c>
      <c r="K26" s="3">
        <v>1.9531033083562195E-2</v>
      </c>
      <c r="L26" s="3">
        <v>1.9721807917094776E-2</v>
      </c>
      <c r="M26" s="3">
        <v>1.9843689349444131E-2</v>
      </c>
      <c r="N26" s="3">
        <v>1.9953956922899061E-2</v>
      </c>
      <c r="O26" s="3">
        <v>2.0046693275045126E-2</v>
      </c>
      <c r="P26" s="3">
        <v>2.0129921096249646E-2</v>
      </c>
    </row>
    <row r="27" spans="1:16">
      <c r="A27" s="84" t="s">
        <v>128</v>
      </c>
      <c r="B27" s="85" t="s">
        <v>127</v>
      </c>
      <c r="C27" s="85" t="s">
        <v>83</v>
      </c>
      <c r="D27" s="84" t="s">
        <v>80</v>
      </c>
      <c r="E27" s="84">
        <v>2</v>
      </c>
      <c r="F27" s="3">
        <v>4.1048005378208505E-2</v>
      </c>
      <c r="G27" s="3">
        <v>4.0762532854862532E-2</v>
      </c>
      <c r="H27" s="3">
        <v>4.0231022821422456E-2</v>
      </c>
      <c r="I27" s="3">
        <v>3.9808829388592232E-2</v>
      </c>
      <c r="J27" s="3">
        <v>3.9397439891088661E-2</v>
      </c>
      <c r="K27" s="3">
        <v>3.9010542119334905E-2</v>
      </c>
      <c r="L27" s="3">
        <v>3.8703222975395815E-2</v>
      </c>
      <c r="M27" s="3">
        <v>3.836688430966536E-2</v>
      </c>
      <c r="N27" s="3">
        <v>3.8056993615187287E-2</v>
      </c>
      <c r="O27" s="3">
        <v>3.7734204258872195E-2</v>
      </c>
      <c r="P27" s="3">
        <v>3.7388042893345227E-2</v>
      </c>
    </row>
    <row r="28" spans="1:16">
      <c r="A28" s="84" t="s">
        <v>130</v>
      </c>
      <c r="B28" s="85" t="s">
        <v>129</v>
      </c>
      <c r="C28" s="85" t="s">
        <v>92</v>
      </c>
      <c r="D28" s="84" t="s">
        <v>80</v>
      </c>
      <c r="E28" s="84" t="s">
        <v>76</v>
      </c>
      <c r="F28" s="3">
        <v>2.5772601452143482E-2</v>
      </c>
      <c r="G28" s="3">
        <v>2.5594821426573659E-2</v>
      </c>
      <c r="H28" s="3">
        <v>2.536132949378796E-2</v>
      </c>
      <c r="I28" s="3">
        <v>2.5145397481864295E-2</v>
      </c>
      <c r="J28" s="3">
        <v>2.4925448610981095E-2</v>
      </c>
      <c r="K28" s="3">
        <v>2.4704173196000555E-2</v>
      </c>
      <c r="L28" s="3">
        <v>2.4534883306668892E-2</v>
      </c>
      <c r="M28" s="3">
        <v>2.4275792966842256E-2</v>
      </c>
      <c r="N28" s="3">
        <v>2.4064315818210842E-2</v>
      </c>
      <c r="O28" s="3">
        <v>2.3871448337949987E-2</v>
      </c>
      <c r="P28" s="3">
        <v>2.3708963199833018E-2</v>
      </c>
    </row>
    <row r="29" spans="1:16">
      <c r="A29" s="84" t="s">
        <v>132</v>
      </c>
      <c r="B29" s="85" t="s">
        <v>131</v>
      </c>
      <c r="C29" s="85" t="s">
        <v>99</v>
      </c>
      <c r="D29" s="84" t="s">
        <v>87</v>
      </c>
      <c r="E29" s="84">
        <v>1</v>
      </c>
      <c r="F29" s="3">
        <v>2.5429162454603329E-2</v>
      </c>
      <c r="G29" s="3">
        <v>2.5050794453339326E-2</v>
      </c>
      <c r="H29" s="3">
        <v>2.4790542060278895E-2</v>
      </c>
      <c r="I29" s="3">
        <v>2.461145671758071E-2</v>
      </c>
      <c r="J29" s="3">
        <v>2.4481905496552308E-2</v>
      </c>
      <c r="K29" s="3">
        <v>2.4369882654793795E-2</v>
      </c>
      <c r="L29" s="3">
        <v>2.4279386760438806E-2</v>
      </c>
      <c r="M29" s="3">
        <v>2.4241877855858338E-2</v>
      </c>
      <c r="N29" s="3">
        <v>2.4212521550287178E-2</v>
      </c>
      <c r="O29" s="3">
        <v>2.4204077533393587E-2</v>
      </c>
      <c r="P29" s="3">
        <v>2.4219450029667754E-2</v>
      </c>
    </row>
    <row r="30" spans="1:16">
      <c r="A30" s="84" t="s">
        <v>134</v>
      </c>
      <c r="B30" s="85" t="s">
        <v>133</v>
      </c>
      <c r="C30" s="85" t="s">
        <v>79</v>
      </c>
      <c r="D30" s="84" t="s">
        <v>80</v>
      </c>
      <c r="E30" s="84">
        <v>1</v>
      </c>
      <c r="F30" s="3">
        <v>2.1665204541969248E-2</v>
      </c>
      <c r="G30" s="3">
        <v>2.1729011021659993E-2</v>
      </c>
      <c r="H30" s="3">
        <v>2.1793390103360184E-2</v>
      </c>
      <c r="I30" s="3">
        <v>2.1868428547865911E-2</v>
      </c>
      <c r="J30" s="3">
        <v>2.1966965182773676E-2</v>
      </c>
      <c r="K30" s="3">
        <v>2.2102355453064521E-2</v>
      </c>
      <c r="L30" s="3">
        <v>2.2308168462224921E-2</v>
      </c>
      <c r="M30" s="3">
        <v>2.2535040115965042E-2</v>
      </c>
      <c r="N30" s="3">
        <v>2.2790656842133841E-2</v>
      </c>
      <c r="O30" s="3">
        <v>2.3053033260596347E-2</v>
      </c>
      <c r="P30" s="3">
        <v>2.330896780247757E-2</v>
      </c>
    </row>
    <row r="31" spans="1:16">
      <c r="A31" s="84" t="s">
        <v>136</v>
      </c>
      <c r="B31" s="85" t="s">
        <v>135</v>
      </c>
      <c r="C31" s="85" t="s">
        <v>83</v>
      </c>
      <c r="D31" s="84" t="s">
        <v>75</v>
      </c>
      <c r="E31" s="84">
        <v>3</v>
      </c>
      <c r="F31" s="3">
        <v>6.4324172350612024E-2</v>
      </c>
      <c r="G31" s="3">
        <v>6.3804697535403174E-2</v>
      </c>
      <c r="H31" s="3">
        <v>6.3107425805523004E-2</v>
      </c>
      <c r="I31" s="3">
        <v>6.2483971631677848E-2</v>
      </c>
      <c r="J31" s="3">
        <v>6.1854264498715061E-2</v>
      </c>
      <c r="K31" s="3">
        <v>6.1221065177687911E-2</v>
      </c>
      <c r="L31" s="3">
        <v>6.0626220451064486E-2</v>
      </c>
      <c r="M31" s="3">
        <v>5.9956511332876897E-2</v>
      </c>
      <c r="N31" s="3">
        <v>5.9319059610541895E-2</v>
      </c>
      <c r="O31" s="3">
        <v>5.8675207281202915E-2</v>
      </c>
      <c r="P31" s="3">
        <v>5.8024967047328999E-2</v>
      </c>
    </row>
    <row r="32" spans="1:16">
      <c r="A32" s="84" t="s">
        <v>138</v>
      </c>
      <c r="B32" s="85" t="s">
        <v>137</v>
      </c>
      <c r="C32" s="85" t="s">
        <v>83</v>
      </c>
      <c r="D32" s="84" t="s">
        <v>75</v>
      </c>
      <c r="E32" s="84">
        <v>3</v>
      </c>
      <c r="F32" s="3">
        <v>6.4039107048435004E-2</v>
      </c>
      <c r="G32" s="3">
        <v>6.3330323696553767E-2</v>
      </c>
      <c r="H32" s="3">
        <v>6.266692573390141E-2</v>
      </c>
      <c r="I32" s="3">
        <v>6.2054006002166699E-2</v>
      </c>
      <c r="J32" s="3">
        <v>6.1465948554739802E-2</v>
      </c>
      <c r="K32" s="3">
        <v>6.0886422958175243E-2</v>
      </c>
      <c r="L32" s="3">
        <v>6.0350910334185541E-2</v>
      </c>
      <c r="M32" s="3">
        <v>5.9748884463493912E-2</v>
      </c>
      <c r="N32" s="3">
        <v>5.9190382569162155E-2</v>
      </c>
      <c r="O32" s="3">
        <v>5.8638038493545146E-2</v>
      </c>
      <c r="P32" s="3">
        <v>5.8093178430363102E-2</v>
      </c>
    </row>
    <row r="33" spans="1:16">
      <c r="A33" s="84" t="s">
        <v>140</v>
      </c>
      <c r="B33" s="85" t="s">
        <v>139</v>
      </c>
      <c r="C33" s="85" t="s">
        <v>99</v>
      </c>
      <c r="D33" s="84" t="s">
        <v>84</v>
      </c>
      <c r="E33" s="84">
        <v>4</v>
      </c>
      <c r="F33" s="3">
        <v>3.7670139577829248E-2</v>
      </c>
      <c r="G33" s="3">
        <v>3.7414479049177628E-2</v>
      </c>
      <c r="H33" s="3">
        <v>3.7148335946575697E-2</v>
      </c>
      <c r="I33" s="3">
        <v>3.6929655937619238E-2</v>
      </c>
      <c r="J33" s="3">
        <v>3.6716221914315998E-2</v>
      </c>
      <c r="K33" s="3">
        <v>3.6496792992467157E-2</v>
      </c>
      <c r="L33" s="3">
        <v>3.6366882309977221E-2</v>
      </c>
      <c r="M33" s="3">
        <v>3.6064594307481906E-2</v>
      </c>
      <c r="N33" s="3">
        <v>3.5831590191645286E-2</v>
      </c>
      <c r="O33" s="3">
        <v>3.555767668222401E-2</v>
      </c>
      <c r="P33" s="3">
        <v>3.5212203220163635E-2</v>
      </c>
    </row>
    <row r="34" spans="1:16">
      <c r="A34" s="84" t="s">
        <v>142</v>
      </c>
      <c r="B34" s="85" t="s">
        <v>141</v>
      </c>
      <c r="C34" s="85" t="s">
        <v>83</v>
      </c>
      <c r="D34" s="84" t="s">
        <v>84</v>
      </c>
      <c r="E34" s="84">
        <v>3</v>
      </c>
      <c r="F34" s="3">
        <v>5.9233828741945244E-2</v>
      </c>
      <c r="G34" s="3">
        <v>5.872287621813925E-2</v>
      </c>
      <c r="H34" s="3">
        <v>5.8058789861159282E-2</v>
      </c>
      <c r="I34" s="3">
        <v>5.7477655301662864E-2</v>
      </c>
      <c r="J34" s="3">
        <v>5.6910701379515677E-2</v>
      </c>
      <c r="K34" s="3">
        <v>5.6363364708908861E-2</v>
      </c>
      <c r="L34" s="3">
        <v>5.5871811608190769E-2</v>
      </c>
      <c r="M34" s="3">
        <v>5.5354491139507633E-2</v>
      </c>
      <c r="N34" s="3">
        <v>5.4869106483550895E-2</v>
      </c>
      <c r="O34" s="3">
        <v>5.4384586904073898E-2</v>
      </c>
      <c r="P34" s="3">
        <v>5.3894684694288146E-2</v>
      </c>
    </row>
    <row r="35" spans="1:16">
      <c r="A35" s="84" t="s">
        <v>144</v>
      </c>
      <c r="B35" s="85" t="s">
        <v>143</v>
      </c>
      <c r="C35" s="85" t="s">
        <v>92</v>
      </c>
      <c r="D35" s="84" t="s">
        <v>87</v>
      </c>
      <c r="E35" s="84">
        <v>1</v>
      </c>
      <c r="F35" s="3">
        <v>2.5053228974672097E-2</v>
      </c>
      <c r="G35" s="3">
        <v>2.5004144789142448E-2</v>
      </c>
      <c r="H35" s="3">
        <v>2.4987837874092957E-2</v>
      </c>
      <c r="I35" s="3">
        <v>2.4908209511036252E-2</v>
      </c>
      <c r="J35" s="3">
        <v>2.4828127217456027E-2</v>
      </c>
      <c r="K35" s="3">
        <v>2.4770504472976962E-2</v>
      </c>
      <c r="L35" s="3">
        <v>2.468858946770152E-2</v>
      </c>
      <c r="M35" s="3">
        <v>2.4777260519171989E-2</v>
      </c>
      <c r="N35" s="3">
        <v>2.4806333373231258E-2</v>
      </c>
      <c r="O35" s="3">
        <v>2.4843124425521463E-2</v>
      </c>
      <c r="P35" s="3">
        <v>2.4881195820246498E-2</v>
      </c>
    </row>
    <row r="36" spans="1:16">
      <c r="A36" s="84" t="s">
        <v>146</v>
      </c>
      <c r="B36" s="85" t="s">
        <v>145</v>
      </c>
      <c r="C36" s="85" t="s">
        <v>83</v>
      </c>
      <c r="D36" s="84" t="s">
        <v>84</v>
      </c>
      <c r="E36" s="84">
        <v>2</v>
      </c>
      <c r="F36" s="3">
        <v>3.1964446562945781E-2</v>
      </c>
      <c r="G36" s="3">
        <v>3.1547287784606845E-2</v>
      </c>
      <c r="H36" s="3">
        <v>3.1126187858355012E-2</v>
      </c>
      <c r="I36" s="3">
        <v>3.0802465719306494E-2</v>
      </c>
      <c r="J36" s="3">
        <v>3.0499096482569609E-2</v>
      </c>
      <c r="K36" s="3">
        <v>3.0197299319681171E-2</v>
      </c>
      <c r="L36" s="3">
        <v>2.9989568548318135E-2</v>
      </c>
      <c r="M36" s="3">
        <v>2.9594089022592272E-2</v>
      </c>
      <c r="N36" s="3">
        <v>2.9298707125086667E-2</v>
      </c>
      <c r="O36" s="3">
        <v>2.9017391790722224E-2</v>
      </c>
      <c r="P36" s="3">
        <v>2.8753166890477157E-2</v>
      </c>
    </row>
    <row r="37" spans="1:16">
      <c r="A37" s="84" t="s">
        <v>148</v>
      </c>
      <c r="B37" s="85" t="s">
        <v>147</v>
      </c>
      <c r="C37" s="85" t="s">
        <v>83</v>
      </c>
      <c r="D37" s="84" t="s">
        <v>75</v>
      </c>
      <c r="E37" s="84">
        <v>3</v>
      </c>
      <c r="F37" s="3">
        <v>6.1398332286440302E-2</v>
      </c>
      <c r="G37" s="3">
        <v>6.0651175764579991E-2</v>
      </c>
      <c r="H37" s="3">
        <v>5.9764973082545969E-2</v>
      </c>
      <c r="I37" s="3">
        <v>5.8925036928402043E-2</v>
      </c>
      <c r="J37" s="3">
        <v>5.8056023280150824E-2</v>
      </c>
      <c r="K37" s="3">
        <v>5.7153134998110762E-2</v>
      </c>
      <c r="L37" s="3">
        <v>5.6223146082855446E-2</v>
      </c>
      <c r="M37" s="3">
        <v>5.5270778132245901E-2</v>
      </c>
      <c r="N37" s="3">
        <v>5.431778397887814E-2</v>
      </c>
      <c r="O37" s="3">
        <v>5.3379760499299843E-2</v>
      </c>
      <c r="P37" s="3">
        <v>5.2469038810404683E-2</v>
      </c>
    </row>
    <row r="38" spans="1:16">
      <c r="A38" s="84" t="s">
        <v>150</v>
      </c>
      <c r="B38" s="85" t="s">
        <v>149</v>
      </c>
      <c r="C38" s="85" t="s">
        <v>83</v>
      </c>
      <c r="D38" s="84" t="s">
        <v>75</v>
      </c>
      <c r="E38" s="84" t="s">
        <v>76</v>
      </c>
      <c r="F38" s="3">
        <v>6.8422420097541709E-2</v>
      </c>
      <c r="G38" s="3">
        <v>6.7659527394552443E-2</v>
      </c>
      <c r="H38" s="3">
        <v>6.6774185693814075E-2</v>
      </c>
      <c r="I38" s="3">
        <v>6.5974978621167552E-2</v>
      </c>
      <c r="J38" s="3">
        <v>6.5180267273729428E-2</v>
      </c>
      <c r="K38" s="3">
        <v>6.438469931958353E-2</v>
      </c>
      <c r="L38" s="3">
        <v>6.3634793142209045E-2</v>
      </c>
      <c r="M38" s="3">
        <v>6.2730495115959947E-2</v>
      </c>
      <c r="N38" s="3">
        <v>6.1924233720761314E-2</v>
      </c>
      <c r="O38" s="3">
        <v>6.1144337798078929E-2</v>
      </c>
      <c r="P38" s="3">
        <v>6.0396359596866366E-2</v>
      </c>
    </row>
    <row r="39" spans="1:16">
      <c r="A39" s="84" t="s">
        <v>152</v>
      </c>
      <c r="B39" s="85" t="s">
        <v>151</v>
      </c>
      <c r="C39" s="85" t="s">
        <v>92</v>
      </c>
      <c r="D39" s="84" t="s">
        <v>87</v>
      </c>
      <c r="E39" s="84">
        <v>2</v>
      </c>
      <c r="F39" s="3">
        <v>2.4803196307177179E-2</v>
      </c>
      <c r="G39" s="3">
        <v>2.4504319126233211E-2</v>
      </c>
      <c r="H39" s="3">
        <v>2.4578195926870727E-2</v>
      </c>
      <c r="I39" s="3">
        <v>2.4634037215588735E-2</v>
      </c>
      <c r="J39" s="3">
        <v>2.4691258662485303E-2</v>
      </c>
      <c r="K39" s="3">
        <v>2.4683126472349732E-2</v>
      </c>
      <c r="L39" s="3">
        <v>2.4656422432776947E-2</v>
      </c>
      <c r="M39" s="3">
        <v>2.4469252761385955E-2</v>
      </c>
      <c r="N39" s="3">
        <v>2.4301135051095137E-2</v>
      </c>
      <c r="O39" s="3">
        <v>2.4151549280135465E-2</v>
      </c>
      <c r="P39" s="3">
        <v>2.4056527368576906E-2</v>
      </c>
    </row>
    <row r="40" spans="1:16">
      <c r="A40" s="84" t="s">
        <v>154</v>
      </c>
      <c r="B40" s="85" t="s">
        <v>153</v>
      </c>
      <c r="C40" s="85" t="s">
        <v>99</v>
      </c>
      <c r="D40" s="84" t="s">
        <v>80</v>
      </c>
      <c r="E40" s="84">
        <v>1</v>
      </c>
      <c r="F40" s="3">
        <v>2.2810438021131203E-2</v>
      </c>
      <c r="G40" s="3">
        <v>2.2935075146376774E-2</v>
      </c>
      <c r="H40" s="3">
        <v>2.2912124061902017E-2</v>
      </c>
      <c r="I40" s="3">
        <v>2.2988689930331721E-2</v>
      </c>
      <c r="J40" s="3">
        <v>2.3084225427252691E-2</v>
      </c>
      <c r="K40" s="3">
        <v>2.3195375243148991E-2</v>
      </c>
      <c r="L40" s="3">
        <v>2.3379525433459288E-2</v>
      </c>
      <c r="M40" s="3">
        <v>2.3464637429509549E-2</v>
      </c>
      <c r="N40" s="3">
        <v>2.3604147613452756E-2</v>
      </c>
      <c r="O40" s="3">
        <v>2.3745236038853309E-2</v>
      </c>
      <c r="P40" s="3">
        <v>2.3879893590209752E-2</v>
      </c>
    </row>
    <row r="41" spans="1:16">
      <c r="A41" s="84" t="s">
        <v>156</v>
      </c>
      <c r="B41" s="85" t="s">
        <v>155</v>
      </c>
      <c r="C41" s="85" t="s">
        <v>92</v>
      </c>
      <c r="D41" s="84" t="s">
        <v>80</v>
      </c>
      <c r="E41" s="84">
        <v>2</v>
      </c>
      <c r="F41" s="3">
        <v>2.736058971697234E-2</v>
      </c>
      <c r="G41" s="3">
        <v>2.716727452878533E-2</v>
      </c>
      <c r="H41" s="3">
        <v>2.6866669805450553E-2</v>
      </c>
      <c r="I41" s="3">
        <v>2.6584220684245322E-2</v>
      </c>
      <c r="J41" s="3">
        <v>2.6300869285645699E-2</v>
      </c>
      <c r="K41" s="3">
        <v>2.6030566980851717E-2</v>
      </c>
      <c r="L41" s="3">
        <v>2.5819272973895826E-2</v>
      </c>
      <c r="M41" s="3">
        <v>2.5539645861029803E-2</v>
      </c>
      <c r="N41" s="3">
        <v>2.530689292754314E-2</v>
      </c>
      <c r="O41" s="3">
        <v>2.5090453931763273E-2</v>
      </c>
      <c r="P41" s="3">
        <v>2.4897217486597237E-2</v>
      </c>
    </row>
    <row r="42" spans="1:16">
      <c r="A42" s="84" t="s">
        <v>158</v>
      </c>
      <c r="B42" s="85" t="s">
        <v>157</v>
      </c>
      <c r="C42" s="85" t="s">
        <v>83</v>
      </c>
      <c r="D42" s="84" t="s">
        <v>84</v>
      </c>
      <c r="E42" s="84">
        <v>3</v>
      </c>
      <c r="F42" s="3">
        <v>5.3439130244180434E-2</v>
      </c>
      <c r="G42" s="3">
        <v>5.2974282758548083E-2</v>
      </c>
      <c r="H42" s="3">
        <v>5.2473959067923605E-2</v>
      </c>
      <c r="I42" s="3">
        <v>5.2029103623907537E-2</v>
      </c>
      <c r="J42" s="3">
        <v>5.1590869869297049E-2</v>
      </c>
      <c r="K42" s="3">
        <v>5.1146770352126301E-2</v>
      </c>
      <c r="L42" s="3">
        <v>5.0753641289406827E-2</v>
      </c>
      <c r="M42" s="3">
        <v>5.0264047390285546E-2</v>
      </c>
      <c r="N42" s="3">
        <v>4.9819725384077161E-2</v>
      </c>
      <c r="O42" s="3">
        <v>4.9379999330633556E-2</v>
      </c>
      <c r="P42" s="3">
        <v>4.8947736913636193E-2</v>
      </c>
    </row>
    <row r="43" spans="1:16">
      <c r="A43" s="84" t="s">
        <v>160</v>
      </c>
      <c r="B43" s="85" t="s">
        <v>159</v>
      </c>
      <c r="C43" s="85" t="s">
        <v>83</v>
      </c>
      <c r="D43" s="84" t="s">
        <v>84</v>
      </c>
      <c r="E43" s="84">
        <v>3</v>
      </c>
      <c r="F43" s="3">
        <v>5.8813915620497557E-2</v>
      </c>
      <c r="G43" s="3">
        <v>5.8616028913410133E-2</v>
      </c>
      <c r="H43" s="3">
        <v>5.8292240995263749E-2</v>
      </c>
      <c r="I43" s="3">
        <v>5.8027308602890661E-2</v>
      </c>
      <c r="J43" s="3">
        <v>5.7735492012073175E-2</v>
      </c>
      <c r="K43" s="3">
        <v>5.7406651035899446E-2</v>
      </c>
      <c r="L43" s="3">
        <v>5.7095925472153211E-2</v>
      </c>
      <c r="M43" s="3">
        <v>5.6688313844895713E-2</v>
      </c>
      <c r="N43" s="3">
        <v>5.6286998981180981E-2</v>
      </c>
      <c r="O43" s="3">
        <v>5.587491282590689E-2</v>
      </c>
      <c r="P43" s="3">
        <v>5.546201622192929E-2</v>
      </c>
    </row>
    <row r="44" spans="1:16">
      <c r="A44" s="84" t="s">
        <v>162</v>
      </c>
      <c r="B44" s="85" t="s">
        <v>161</v>
      </c>
      <c r="C44" s="85" t="s">
        <v>99</v>
      </c>
      <c r="D44" s="84" t="e">
        <v>#N/A</v>
      </c>
      <c r="E44" s="84">
        <v>1</v>
      </c>
      <c r="F44" s="3">
        <v>0</v>
      </c>
      <c r="G44" s="3">
        <v>0</v>
      </c>
      <c r="H44" s="3">
        <v>0</v>
      </c>
      <c r="I44" s="3">
        <v>0</v>
      </c>
      <c r="J44" s="3">
        <v>0</v>
      </c>
      <c r="K44" s="3">
        <v>0</v>
      </c>
      <c r="L44" s="3">
        <v>0</v>
      </c>
      <c r="M44" s="3">
        <v>0</v>
      </c>
      <c r="N44" s="3">
        <v>0</v>
      </c>
      <c r="O44" s="3">
        <v>0</v>
      </c>
      <c r="P44" s="3">
        <v>0</v>
      </c>
    </row>
    <row r="45" spans="1:16">
      <c r="A45" s="84" t="s">
        <v>164</v>
      </c>
      <c r="B45" s="85" t="s">
        <v>163</v>
      </c>
      <c r="C45" s="85" t="s">
        <v>92</v>
      </c>
      <c r="D45" s="84" t="s">
        <v>80</v>
      </c>
      <c r="E45" s="84">
        <v>2</v>
      </c>
      <c r="F45" s="3">
        <v>2.5668575971698363E-2</v>
      </c>
      <c r="G45" s="3">
        <v>2.5474040593610886E-2</v>
      </c>
      <c r="H45" s="3">
        <v>2.5345704073011302E-2</v>
      </c>
      <c r="I45" s="3">
        <v>2.5232384472693551E-2</v>
      </c>
      <c r="J45" s="3">
        <v>2.5116556058035509E-2</v>
      </c>
      <c r="K45" s="3">
        <v>2.4977549158056063E-2</v>
      </c>
      <c r="L45" s="3">
        <v>2.4880071654743079E-2</v>
      </c>
      <c r="M45" s="3">
        <v>2.4626114581750385E-2</v>
      </c>
      <c r="N45" s="3">
        <v>2.4426184315237666E-2</v>
      </c>
      <c r="O45" s="3">
        <v>2.4237826285017521E-2</v>
      </c>
      <c r="P45" s="3">
        <v>2.4081734337675121E-2</v>
      </c>
    </row>
    <row r="46" spans="1:16">
      <c r="A46" s="84" t="s">
        <v>166</v>
      </c>
      <c r="B46" s="85" t="s">
        <v>165</v>
      </c>
      <c r="C46" s="85" t="s">
        <v>83</v>
      </c>
      <c r="D46" s="84" t="s">
        <v>84</v>
      </c>
      <c r="E46" s="84">
        <v>3</v>
      </c>
      <c r="F46" s="3">
        <v>6.154235516161758E-2</v>
      </c>
      <c r="G46" s="3">
        <v>6.1029721663797033E-2</v>
      </c>
      <c r="H46" s="3">
        <v>6.0390664005993751E-2</v>
      </c>
      <c r="I46" s="3">
        <v>5.9803674357637886E-2</v>
      </c>
      <c r="J46" s="3">
        <v>5.9230307654318207E-2</v>
      </c>
      <c r="K46" s="3">
        <v>5.8681617593423926E-2</v>
      </c>
      <c r="L46" s="3">
        <v>5.8199552914729981E-2</v>
      </c>
      <c r="M46" s="3">
        <v>5.7699438975550903E-2</v>
      </c>
      <c r="N46" s="3">
        <v>5.7232778174429934E-2</v>
      </c>
      <c r="O46" s="3">
        <v>5.6769396313562162E-2</v>
      </c>
      <c r="P46" s="3">
        <v>5.6302420871389314E-2</v>
      </c>
    </row>
    <row r="47" spans="1:16">
      <c r="A47" s="84" t="s">
        <v>168</v>
      </c>
      <c r="B47" s="85" t="s">
        <v>167</v>
      </c>
      <c r="C47" s="85" t="s">
        <v>79</v>
      </c>
      <c r="D47" s="84" t="s">
        <v>87</v>
      </c>
      <c r="E47" s="84">
        <v>1</v>
      </c>
      <c r="F47" s="3">
        <v>2.0937532104486248E-2</v>
      </c>
      <c r="G47" s="3">
        <v>2.1013573800900045E-2</v>
      </c>
      <c r="H47" s="3">
        <v>2.0994393458263198E-2</v>
      </c>
      <c r="I47" s="3">
        <v>2.1021075524322728E-2</v>
      </c>
      <c r="J47" s="3">
        <v>2.1051462499647421E-2</v>
      </c>
      <c r="K47" s="3">
        <v>2.1090390082299713E-2</v>
      </c>
      <c r="L47" s="3">
        <v>2.1160384267312381E-2</v>
      </c>
      <c r="M47" s="3">
        <v>2.1217334197350418E-2</v>
      </c>
      <c r="N47" s="3">
        <v>2.1291085872885016E-2</v>
      </c>
      <c r="O47" s="3">
        <v>2.1382073480511597E-2</v>
      </c>
      <c r="P47" s="3">
        <v>2.1500280885638785E-2</v>
      </c>
    </row>
    <row r="48" spans="1:16">
      <c r="A48" s="84" t="s">
        <v>170</v>
      </c>
      <c r="B48" s="85" t="s">
        <v>169</v>
      </c>
      <c r="C48" s="85" t="s">
        <v>92</v>
      </c>
      <c r="D48" s="84" t="s">
        <v>80</v>
      </c>
      <c r="E48" s="84">
        <v>1</v>
      </c>
      <c r="F48" s="3">
        <v>2.1646106338849929E-2</v>
      </c>
      <c r="G48" s="3">
        <v>2.1683360545724204E-2</v>
      </c>
      <c r="H48" s="3">
        <v>2.17725770464515E-2</v>
      </c>
      <c r="I48" s="3">
        <v>2.1910676347675854E-2</v>
      </c>
      <c r="J48" s="3">
        <v>2.2060721061720915E-2</v>
      </c>
      <c r="K48" s="3">
        <v>2.220278997287943E-2</v>
      </c>
      <c r="L48" s="3">
        <v>2.2368759334238274E-2</v>
      </c>
      <c r="M48" s="3">
        <v>2.2490073416562756E-2</v>
      </c>
      <c r="N48" s="3">
        <v>2.2626769843797814E-2</v>
      </c>
      <c r="O48" s="3">
        <v>2.2744734316352974E-2</v>
      </c>
      <c r="P48" s="3">
        <v>2.2820928726671238E-2</v>
      </c>
    </row>
    <row r="49" spans="1:16">
      <c r="A49" s="84" t="s">
        <v>172</v>
      </c>
      <c r="B49" s="85" t="s">
        <v>171</v>
      </c>
      <c r="C49" s="85" t="s">
        <v>79</v>
      </c>
      <c r="D49" s="84" t="s">
        <v>87</v>
      </c>
      <c r="E49" s="84">
        <v>1</v>
      </c>
      <c r="F49" s="3">
        <v>2.1046239297159659E-2</v>
      </c>
      <c r="G49" s="3">
        <v>2.1127413331920867E-2</v>
      </c>
      <c r="H49" s="3">
        <v>2.1104410547475461E-2</v>
      </c>
      <c r="I49" s="3">
        <v>2.1128573158914726E-2</v>
      </c>
      <c r="J49" s="3">
        <v>2.1163966058880004E-2</v>
      </c>
      <c r="K49" s="3">
        <v>2.1221536505193102E-2</v>
      </c>
      <c r="L49" s="3">
        <v>2.1325041946706359E-2</v>
      </c>
      <c r="M49" s="3">
        <v>2.1403322745642182E-2</v>
      </c>
      <c r="N49" s="3">
        <v>2.1499243118068834E-2</v>
      </c>
      <c r="O49" s="3">
        <v>2.1585686301705612E-2</v>
      </c>
      <c r="P49" s="3">
        <v>2.1656442418199664E-2</v>
      </c>
    </row>
    <row r="50" spans="1:16">
      <c r="A50" s="84" t="s">
        <v>174</v>
      </c>
      <c r="B50" s="85" t="s">
        <v>173</v>
      </c>
      <c r="C50" s="85" t="s">
        <v>79</v>
      </c>
      <c r="D50" s="84" t="s">
        <v>87</v>
      </c>
      <c r="E50" s="84">
        <v>1</v>
      </c>
      <c r="F50" s="3">
        <v>2.2972586838847665E-2</v>
      </c>
      <c r="G50" s="3">
        <v>2.3024073185548759E-2</v>
      </c>
      <c r="H50" s="3">
        <v>2.2954359439802056E-2</v>
      </c>
      <c r="I50" s="3">
        <v>2.2921298952058477E-2</v>
      </c>
      <c r="J50" s="3">
        <v>2.2943125782872734E-2</v>
      </c>
      <c r="K50" s="3">
        <v>2.3067104456153606E-2</v>
      </c>
      <c r="L50" s="3">
        <v>2.3319407830366894E-2</v>
      </c>
      <c r="M50" s="3">
        <v>2.3687725389870178E-2</v>
      </c>
      <c r="N50" s="3">
        <v>2.4109676037397342E-2</v>
      </c>
      <c r="O50" s="3">
        <v>2.4554776336044241E-2</v>
      </c>
      <c r="P50" s="3">
        <v>2.4988479247053625E-2</v>
      </c>
    </row>
    <row r="51" spans="1:16">
      <c r="A51" s="84" t="s">
        <v>176</v>
      </c>
      <c r="B51" s="85" t="s">
        <v>175</v>
      </c>
      <c r="C51" s="85" t="s">
        <v>110</v>
      </c>
      <c r="D51" s="84" t="s">
        <v>75</v>
      </c>
      <c r="E51" s="84">
        <v>4</v>
      </c>
      <c r="F51" s="3">
        <v>2.822779710476777E-2</v>
      </c>
      <c r="G51" s="3">
        <v>2.7986523297344613E-2</v>
      </c>
      <c r="H51" s="3">
        <v>2.7630245540611428E-2</v>
      </c>
      <c r="I51" s="3">
        <v>2.7296293343906958E-2</v>
      </c>
      <c r="J51" s="3">
        <v>2.6983988911075431E-2</v>
      </c>
      <c r="K51" s="3">
        <v>2.6716063409767895E-2</v>
      </c>
      <c r="L51" s="3">
        <v>2.6479227364097684E-2</v>
      </c>
      <c r="M51" s="3">
        <v>2.6387280425973665E-2</v>
      </c>
      <c r="N51" s="3">
        <v>2.6289881885387601E-2</v>
      </c>
      <c r="O51" s="3">
        <v>2.6224480010191176E-2</v>
      </c>
      <c r="P51" s="3">
        <v>2.6170749510474878E-2</v>
      </c>
    </row>
    <row r="52" spans="1:16">
      <c r="A52" s="84" t="s">
        <v>178</v>
      </c>
      <c r="B52" s="85" t="s">
        <v>177</v>
      </c>
      <c r="C52" s="85" t="s">
        <v>83</v>
      </c>
      <c r="D52" s="84" t="s">
        <v>75</v>
      </c>
      <c r="E52" s="84" t="s">
        <v>76</v>
      </c>
      <c r="F52" s="3">
        <v>6.8300980681728532E-2</v>
      </c>
      <c r="G52" s="3">
        <v>6.7704500705700096E-2</v>
      </c>
      <c r="H52" s="3">
        <v>6.6912657928280522E-2</v>
      </c>
      <c r="I52" s="3">
        <v>6.6225009964560447E-2</v>
      </c>
      <c r="J52" s="3">
        <v>6.5521540952751769E-2</v>
      </c>
      <c r="K52" s="3">
        <v>6.479336859248376E-2</v>
      </c>
      <c r="L52" s="3">
        <v>6.4110822594067737E-2</v>
      </c>
      <c r="M52" s="3">
        <v>6.3223065800600525E-2</v>
      </c>
      <c r="N52" s="3">
        <v>6.2424320773787699E-2</v>
      </c>
      <c r="O52" s="3">
        <v>6.1628326789041968E-2</v>
      </c>
      <c r="P52" s="3">
        <v>6.0842073112272313E-2</v>
      </c>
    </row>
    <row r="53" spans="1:16">
      <c r="A53" s="84" t="s">
        <v>180</v>
      </c>
      <c r="B53" s="85" t="s">
        <v>179</v>
      </c>
      <c r="C53" s="85" t="s">
        <v>79</v>
      </c>
      <c r="D53" s="84" t="s">
        <v>87</v>
      </c>
      <c r="E53" s="84">
        <v>1</v>
      </c>
      <c r="F53" s="3">
        <v>2.8696503101406052E-2</v>
      </c>
      <c r="G53" s="3">
        <v>2.8678750917038309E-2</v>
      </c>
      <c r="H53" s="3">
        <v>2.8663657309845304E-2</v>
      </c>
      <c r="I53" s="3">
        <v>2.8566813636084827E-2</v>
      </c>
      <c r="J53" s="3">
        <v>2.8452221830925297E-2</v>
      </c>
      <c r="K53" s="3">
        <v>2.833670662413313E-2</v>
      </c>
      <c r="L53" s="3">
        <v>2.8182625525034342E-2</v>
      </c>
      <c r="M53" s="3">
        <v>2.8136312246086367E-2</v>
      </c>
      <c r="N53" s="3">
        <v>2.8019892302846076E-2</v>
      </c>
      <c r="O53" s="3">
        <v>2.7890325691361285E-2</v>
      </c>
      <c r="P53" s="3">
        <v>2.7750854840130835E-2</v>
      </c>
    </row>
    <row r="54" spans="1:16">
      <c r="A54" s="84" t="s">
        <v>182</v>
      </c>
      <c r="B54" s="85" t="s">
        <v>181</v>
      </c>
      <c r="C54" s="85" t="s">
        <v>74</v>
      </c>
      <c r="D54" s="84" t="s">
        <v>84</v>
      </c>
      <c r="E54" s="84">
        <v>3</v>
      </c>
      <c r="F54" s="3">
        <v>3.4767546107166189E-2</v>
      </c>
      <c r="G54" s="3">
        <v>3.4213331069673551E-2</v>
      </c>
      <c r="H54" s="3">
        <v>3.3675189515370407E-2</v>
      </c>
      <c r="I54" s="3">
        <v>3.3201736740536072E-2</v>
      </c>
      <c r="J54" s="3">
        <v>3.2771835357487865E-2</v>
      </c>
      <c r="K54" s="3">
        <v>3.2380124790663531E-2</v>
      </c>
      <c r="L54" s="3">
        <v>3.2060352328584903E-2</v>
      </c>
      <c r="M54" s="3">
        <v>3.1769645157724798E-2</v>
      </c>
      <c r="N54" s="3">
        <v>3.1522405277767784E-2</v>
      </c>
      <c r="O54" s="3">
        <v>3.1311661847326158E-2</v>
      </c>
      <c r="P54" s="3">
        <v>3.1134029824091452E-2</v>
      </c>
    </row>
    <row r="55" spans="1:16">
      <c r="A55" s="84" t="s">
        <v>184</v>
      </c>
      <c r="B55" s="85" t="s">
        <v>183</v>
      </c>
      <c r="C55" s="85" t="s">
        <v>92</v>
      </c>
      <c r="D55" s="84" t="s">
        <v>80</v>
      </c>
      <c r="E55" s="84">
        <v>2</v>
      </c>
      <c r="F55" s="3">
        <v>3.4354902455270439E-2</v>
      </c>
      <c r="G55" s="3">
        <v>3.4024257772362114E-2</v>
      </c>
      <c r="H55" s="3">
        <v>3.3593856854804309E-2</v>
      </c>
      <c r="I55" s="3">
        <v>3.3218369956973089E-2</v>
      </c>
      <c r="J55" s="3">
        <v>3.2854958666689284E-2</v>
      </c>
      <c r="K55" s="3">
        <v>3.2509378416961887E-2</v>
      </c>
      <c r="L55" s="3">
        <v>3.223513801007713E-2</v>
      </c>
      <c r="M55" s="3">
        <v>3.1887499373464995E-2</v>
      </c>
      <c r="N55" s="3">
        <v>3.1596868673200475E-2</v>
      </c>
      <c r="O55" s="3">
        <v>3.1316422654345838E-2</v>
      </c>
      <c r="P55" s="3">
        <v>3.1043578037430481E-2</v>
      </c>
    </row>
    <row r="56" spans="1:16">
      <c r="A56" s="84" t="s">
        <v>184</v>
      </c>
      <c r="B56" s="85" t="s">
        <v>185</v>
      </c>
      <c r="C56" s="85" t="s">
        <v>92</v>
      </c>
      <c r="D56" s="84" t="s">
        <v>80</v>
      </c>
      <c r="E56" s="84">
        <v>2</v>
      </c>
      <c r="F56" s="3">
        <v>3.4354902455270439E-2</v>
      </c>
      <c r="G56" s="3">
        <v>3.4024257772362114E-2</v>
      </c>
      <c r="H56" s="3">
        <v>3.3593856854804309E-2</v>
      </c>
      <c r="I56" s="3">
        <v>3.3218369956973089E-2</v>
      </c>
      <c r="J56" s="3">
        <v>3.2854958666689284E-2</v>
      </c>
      <c r="K56" s="3">
        <v>3.2509378416961887E-2</v>
      </c>
      <c r="L56" s="3">
        <v>3.223513801007713E-2</v>
      </c>
      <c r="M56" s="3">
        <v>3.1887499373464995E-2</v>
      </c>
      <c r="N56" s="3">
        <v>3.1596868673200475E-2</v>
      </c>
      <c r="O56" s="3">
        <v>3.1316422654345838E-2</v>
      </c>
      <c r="P56" s="3">
        <v>3.1043578037430481E-2</v>
      </c>
    </row>
    <row r="57" spans="1:16">
      <c r="A57" s="84" t="s">
        <v>187</v>
      </c>
      <c r="B57" s="85" t="s">
        <v>186</v>
      </c>
      <c r="C57" s="85" t="s">
        <v>92</v>
      </c>
      <c r="D57" s="84" t="s">
        <v>80</v>
      </c>
      <c r="E57" s="84">
        <v>2</v>
      </c>
      <c r="F57" s="3">
        <v>3.5941906305079034E-2</v>
      </c>
      <c r="G57" s="3">
        <v>3.5567137784197657E-2</v>
      </c>
      <c r="H57" s="3">
        <v>3.5205681904506465E-2</v>
      </c>
      <c r="I57" s="3">
        <v>3.4853415245115191E-2</v>
      </c>
      <c r="J57" s="3">
        <v>3.4510575021835049E-2</v>
      </c>
      <c r="K57" s="3">
        <v>3.4176517797386473E-2</v>
      </c>
      <c r="L57" s="3">
        <v>3.3884365380669794E-2</v>
      </c>
      <c r="M57" s="3">
        <v>3.3540986741400859E-2</v>
      </c>
      <c r="N57" s="3">
        <v>3.3232879277052173E-2</v>
      </c>
      <c r="O57" s="3">
        <v>3.293203742165584E-2</v>
      </c>
      <c r="P57" s="3">
        <v>3.2638841089786381E-2</v>
      </c>
    </row>
    <row r="58" spans="1:16">
      <c r="A58" s="84" t="s">
        <v>189</v>
      </c>
      <c r="B58" s="85" t="s">
        <v>188</v>
      </c>
      <c r="C58" s="85" t="s">
        <v>74</v>
      </c>
      <c r="D58" s="84" t="s">
        <v>84</v>
      </c>
      <c r="E58" s="84">
        <v>2</v>
      </c>
      <c r="F58" s="3">
        <v>4.432990693693737E-2</v>
      </c>
      <c r="G58" s="3">
        <v>4.4206467243087966E-2</v>
      </c>
      <c r="H58" s="3">
        <v>4.4177217640721765E-2</v>
      </c>
      <c r="I58" s="3">
        <v>4.4271371913193386E-2</v>
      </c>
      <c r="J58" s="3">
        <v>4.4375947706111335E-2</v>
      </c>
      <c r="K58" s="3">
        <v>4.4429139592585203E-2</v>
      </c>
      <c r="L58" s="3">
        <v>4.4571532933353232E-2</v>
      </c>
      <c r="M58" s="3">
        <v>4.43887124628808E-2</v>
      </c>
      <c r="N58" s="3">
        <v>4.4279225560604499E-2</v>
      </c>
      <c r="O58" s="3">
        <v>4.4090339925001568E-2</v>
      </c>
      <c r="P58" s="3">
        <v>4.3819391847579901E-2</v>
      </c>
    </row>
    <row r="59" spans="1:16">
      <c r="A59" s="84" t="s">
        <v>191</v>
      </c>
      <c r="B59" s="85" t="s">
        <v>190</v>
      </c>
      <c r="C59" s="85" t="s">
        <v>92</v>
      </c>
      <c r="D59" s="84" t="s">
        <v>84</v>
      </c>
      <c r="E59" s="84">
        <v>1</v>
      </c>
      <c r="F59" s="3">
        <v>3.3114540395628715E-2</v>
      </c>
      <c r="G59" s="3">
        <v>3.257718090050931E-2</v>
      </c>
      <c r="H59" s="3">
        <v>3.2082086372884629E-2</v>
      </c>
      <c r="I59" s="3">
        <v>3.1584448085296722E-2</v>
      </c>
      <c r="J59" s="3">
        <v>3.1109062147425232E-2</v>
      </c>
      <c r="K59" s="3">
        <v>3.0662189325510424E-2</v>
      </c>
      <c r="L59" s="3">
        <v>3.0259353717811809E-2</v>
      </c>
      <c r="M59" s="3">
        <v>2.9830011535897791E-2</v>
      </c>
      <c r="N59" s="3">
        <v>2.9456236624325793E-2</v>
      </c>
      <c r="O59" s="3">
        <v>2.9110183262593976E-2</v>
      </c>
      <c r="P59" s="3">
        <v>2.8791027815747439E-2</v>
      </c>
    </row>
    <row r="60" spans="1:16">
      <c r="A60" s="84" t="s">
        <v>193</v>
      </c>
      <c r="B60" s="85" t="s">
        <v>192</v>
      </c>
      <c r="C60" s="85" t="s">
        <v>83</v>
      </c>
      <c r="D60" s="84" t="s">
        <v>80</v>
      </c>
      <c r="E60" s="84">
        <v>3</v>
      </c>
      <c r="F60" s="3">
        <v>5.4249004433090386E-2</v>
      </c>
      <c r="G60" s="3">
        <v>5.3578707544417306E-2</v>
      </c>
      <c r="H60" s="3">
        <v>5.2999771051455292E-2</v>
      </c>
      <c r="I60" s="3">
        <v>5.2362743182515992E-2</v>
      </c>
      <c r="J60" s="3">
        <v>5.1731308469192785E-2</v>
      </c>
      <c r="K60" s="3">
        <v>5.1107504838613378E-2</v>
      </c>
      <c r="L60" s="3">
        <v>5.047361613985394E-2</v>
      </c>
      <c r="M60" s="3">
        <v>4.9929024083471774E-2</v>
      </c>
      <c r="N60" s="3">
        <v>4.934907053623995E-2</v>
      </c>
      <c r="O60" s="3">
        <v>4.8779422954582319E-2</v>
      </c>
      <c r="P60" s="3">
        <v>4.8219112563048276E-2</v>
      </c>
    </row>
    <row r="61" spans="1:16">
      <c r="A61" s="84" t="s">
        <v>195</v>
      </c>
      <c r="B61" s="85" t="s">
        <v>194</v>
      </c>
      <c r="C61" s="85" t="s">
        <v>83</v>
      </c>
      <c r="D61" s="84" t="s">
        <v>75</v>
      </c>
      <c r="E61" s="84">
        <v>3</v>
      </c>
      <c r="F61" s="3">
        <v>5.3825773333775126E-2</v>
      </c>
      <c r="G61" s="3">
        <v>5.3852879969877615E-2</v>
      </c>
      <c r="H61" s="3">
        <v>5.336519427834463E-2</v>
      </c>
      <c r="I61" s="3">
        <v>5.297898291276789E-2</v>
      </c>
      <c r="J61" s="3">
        <v>5.2548446729869837E-2</v>
      </c>
      <c r="K61" s="3">
        <v>5.2118555704101718E-2</v>
      </c>
      <c r="L61" s="3">
        <v>5.1785466919362186E-2</v>
      </c>
      <c r="M61" s="3">
        <v>5.1315497490560386E-2</v>
      </c>
      <c r="N61" s="3">
        <v>5.0888074161516382E-2</v>
      </c>
      <c r="O61" s="3">
        <v>5.0417063050046756E-2</v>
      </c>
      <c r="P61" s="3">
        <v>4.9881401732645755E-2</v>
      </c>
    </row>
    <row r="62" spans="1:16">
      <c r="A62" s="84" t="s">
        <v>197</v>
      </c>
      <c r="B62" s="85" t="s">
        <v>196</v>
      </c>
      <c r="C62" s="85" t="s">
        <v>79</v>
      </c>
      <c r="D62" s="84" t="s">
        <v>87</v>
      </c>
      <c r="E62" s="84">
        <v>1</v>
      </c>
      <c r="F62" s="3">
        <v>2.2690357679821114E-2</v>
      </c>
      <c r="G62" s="3">
        <v>2.2363501208330836E-2</v>
      </c>
      <c r="H62" s="3">
        <v>2.2350732210844864E-2</v>
      </c>
      <c r="I62" s="3">
        <v>2.2315437103059499E-2</v>
      </c>
      <c r="J62" s="3">
        <v>2.2354622171473871E-2</v>
      </c>
      <c r="K62" s="3">
        <v>2.2469599037640474E-2</v>
      </c>
      <c r="L62" s="3">
        <v>2.2689112575682714E-2</v>
      </c>
      <c r="M62" s="3">
        <v>2.2985022301817933E-2</v>
      </c>
      <c r="N62" s="3">
        <v>2.3357628423762686E-2</v>
      </c>
      <c r="O62" s="3">
        <v>2.3769023303344482E-2</v>
      </c>
      <c r="P62" s="3">
        <v>2.4177382877013785E-2</v>
      </c>
    </row>
    <row r="63" spans="1:16">
      <c r="A63" s="84" t="s">
        <v>199</v>
      </c>
      <c r="B63" s="85" t="s">
        <v>198</v>
      </c>
      <c r="C63" s="85" t="s">
        <v>83</v>
      </c>
      <c r="D63" s="84" t="s">
        <v>75</v>
      </c>
      <c r="E63" s="84" t="s">
        <v>76</v>
      </c>
      <c r="F63" s="3">
        <v>5.3414432522432713E-2</v>
      </c>
      <c r="G63" s="3">
        <v>5.2539940414539722E-2</v>
      </c>
      <c r="H63" s="3">
        <v>5.1724042980618209E-2</v>
      </c>
      <c r="I63" s="3">
        <v>5.0914737367801402E-2</v>
      </c>
      <c r="J63" s="3">
        <v>5.0130628296540893E-2</v>
      </c>
      <c r="K63" s="3">
        <v>4.937173932425503E-2</v>
      </c>
      <c r="L63" s="3">
        <v>4.8656788197924551E-2</v>
      </c>
      <c r="M63" s="3">
        <v>4.7950556603584153E-2</v>
      </c>
      <c r="N63" s="3">
        <v>4.7279813803594195E-2</v>
      </c>
      <c r="O63" s="3">
        <v>4.6643290289610617E-2</v>
      </c>
      <c r="P63" s="3">
        <v>4.6042064351319627E-2</v>
      </c>
    </row>
    <row r="64" spans="1:16">
      <c r="A64" s="84" t="s">
        <v>201</v>
      </c>
      <c r="B64" s="85" t="s">
        <v>200</v>
      </c>
      <c r="C64" s="85" t="s">
        <v>99</v>
      </c>
      <c r="D64" s="84" t="s">
        <v>80</v>
      </c>
      <c r="E64" s="84">
        <v>4</v>
      </c>
      <c r="F64" s="3">
        <v>3.8034199494069172E-2</v>
      </c>
      <c r="G64" s="3">
        <v>3.792254010620847E-2</v>
      </c>
      <c r="H64" s="3">
        <v>3.7765985707834127E-2</v>
      </c>
      <c r="I64" s="3">
        <v>3.7649109200594014E-2</v>
      </c>
      <c r="J64" s="3">
        <v>3.751084057043054E-2</v>
      </c>
      <c r="K64" s="3">
        <v>3.7332111332962374E-2</v>
      </c>
      <c r="L64" s="3">
        <v>3.7233303066770362E-2</v>
      </c>
      <c r="M64" s="3">
        <v>3.6900221403490585E-2</v>
      </c>
      <c r="N64" s="3">
        <v>3.6628692673185526E-2</v>
      </c>
      <c r="O64" s="3">
        <v>3.6340348881913682E-2</v>
      </c>
      <c r="P64" s="3">
        <v>3.6052564530348698E-2</v>
      </c>
    </row>
    <row r="65" spans="1:16">
      <c r="A65" s="84" t="s">
        <v>203</v>
      </c>
      <c r="B65" s="85" t="s">
        <v>202</v>
      </c>
      <c r="C65" s="85" t="s">
        <v>79</v>
      </c>
      <c r="D65" s="84" t="s">
        <v>87</v>
      </c>
      <c r="E65" s="84">
        <v>1</v>
      </c>
      <c r="F65" s="3">
        <v>2.3210284568622924E-2</v>
      </c>
      <c r="G65" s="3">
        <v>2.3387413053748678E-2</v>
      </c>
      <c r="H65" s="3">
        <v>2.3482762635120922E-2</v>
      </c>
      <c r="I65" s="3">
        <v>2.3647307972069365E-2</v>
      </c>
      <c r="J65" s="3">
        <v>2.3810309451169215E-2</v>
      </c>
      <c r="K65" s="3">
        <v>2.3956818865502945E-2</v>
      </c>
      <c r="L65" s="3">
        <v>2.4079029800530574E-2</v>
      </c>
      <c r="M65" s="3">
        <v>2.4217703198842935E-2</v>
      </c>
      <c r="N65" s="3">
        <v>2.431142467372641E-2</v>
      </c>
      <c r="O65" s="3">
        <v>2.4384844037895953E-2</v>
      </c>
      <c r="P65" s="3">
        <v>2.4446840070041779E-2</v>
      </c>
    </row>
    <row r="66" spans="1:16">
      <c r="A66" s="84" t="s">
        <v>205</v>
      </c>
      <c r="B66" s="85" t="s">
        <v>204</v>
      </c>
      <c r="C66" s="85" t="s">
        <v>79</v>
      </c>
      <c r="D66" s="84" t="s">
        <v>87</v>
      </c>
      <c r="E66" s="84">
        <v>1</v>
      </c>
      <c r="F66" s="3">
        <v>2.7141851010835712E-2</v>
      </c>
      <c r="G66" s="3">
        <v>2.7153458260215205E-2</v>
      </c>
      <c r="H66" s="3">
        <v>2.7314944890818406E-2</v>
      </c>
      <c r="I66" s="3">
        <v>2.750937450881992E-2</v>
      </c>
      <c r="J66" s="3">
        <v>2.7716050430865637E-2</v>
      </c>
      <c r="K66" s="3">
        <v>2.7898205421838591E-2</v>
      </c>
      <c r="L66" s="3">
        <v>2.8120805772883787E-2</v>
      </c>
      <c r="M66" s="3">
        <v>2.8187794091716678E-2</v>
      </c>
      <c r="N66" s="3">
        <v>2.8298672783181867E-2</v>
      </c>
      <c r="O66" s="3">
        <v>2.8381474645804625E-2</v>
      </c>
      <c r="P66" s="3">
        <v>2.8429143593630232E-2</v>
      </c>
    </row>
    <row r="67" spans="1:16">
      <c r="A67" s="84" t="s">
        <v>207</v>
      </c>
      <c r="B67" s="85" t="s">
        <v>206</v>
      </c>
      <c r="C67" s="85" t="s">
        <v>83</v>
      </c>
      <c r="D67" s="84" t="s">
        <v>80</v>
      </c>
      <c r="E67" s="84">
        <v>3</v>
      </c>
      <c r="F67" s="3">
        <v>4.959724120325771E-2</v>
      </c>
      <c r="G67" s="3">
        <v>4.9250216704664181E-2</v>
      </c>
      <c r="H67" s="3">
        <v>4.8490547936260807E-2</v>
      </c>
      <c r="I67" s="3">
        <v>4.7910144219403178E-2</v>
      </c>
      <c r="J67" s="3">
        <v>4.7385272597137297E-2</v>
      </c>
      <c r="K67" s="3">
        <v>4.695879110192331E-2</v>
      </c>
      <c r="L67" s="3">
        <v>4.671660530332454E-2</v>
      </c>
      <c r="M67" s="3">
        <v>4.6439131275028224E-2</v>
      </c>
      <c r="N67" s="3">
        <v>4.6272402360757699E-2</v>
      </c>
      <c r="O67" s="3">
        <v>4.6134285748820128E-2</v>
      </c>
      <c r="P67" s="3">
        <v>4.6002562886810996E-2</v>
      </c>
    </row>
    <row r="68" spans="1:16">
      <c r="A68" s="84" t="s">
        <v>209</v>
      </c>
      <c r="B68" s="85" t="s">
        <v>208</v>
      </c>
      <c r="C68" s="85" t="s">
        <v>83</v>
      </c>
      <c r="D68" s="84" t="s">
        <v>75</v>
      </c>
      <c r="E68" s="84">
        <v>3</v>
      </c>
      <c r="F68" s="3">
        <v>6.3657062249662277E-2</v>
      </c>
      <c r="G68" s="3">
        <v>6.2857009548207457E-2</v>
      </c>
      <c r="H68" s="3">
        <v>6.1940241554694464E-2</v>
      </c>
      <c r="I68" s="3">
        <v>6.1096164646765427E-2</v>
      </c>
      <c r="J68" s="3">
        <v>6.0275485360657195E-2</v>
      </c>
      <c r="K68" s="3">
        <v>5.9483084534587304E-2</v>
      </c>
      <c r="L68" s="3">
        <v>5.8737395829828273E-2</v>
      </c>
      <c r="M68" s="3">
        <v>5.7970247567699203E-2</v>
      </c>
      <c r="N68" s="3">
        <v>5.7243243489685659E-2</v>
      </c>
      <c r="O68" s="3">
        <v>5.6521781344985943E-2</v>
      </c>
      <c r="P68" s="3">
        <v>5.5799642637332371E-2</v>
      </c>
    </row>
    <row r="69" spans="1:16">
      <c r="A69" s="84" t="s">
        <v>211</v>
      </c>
      <c r="B69" s="85" t="s">
        <v>210</v>
      </c>
      <c r="C69" s="85" t="s">
        <v>79</v>
      </c>
      <c r="D69" s="84" t="s">
        <v>80</v>
      </c>
      <c r="E69" s="84">
        <v>1</v>
      </c>
      <c r="F69" s="3">
        <v>2.717567008523078E-2</v>
      </c>
      <c r="G69" s="3">
        <v>2.7306038158149921E-2</v>
      </c>
      <c r="H69" s="3">
        <v>2.7273787566107554E-2</v>
      </c>
      <c r="I69" s="3">
        <v>2.7391053245754988E-2</v>
      </c>
      <c r="J69" s="3">
        <v>2.7534066461406288E-2</v>
      </c>
      <c r="K69" s="3">
        <v>2.7694931908207824E-2</v>
      </c>
      <c r="L69" s="3">
        <v>2.7977652071039891E-2</v>
      </c>
      <c r="M69" s="3">
        <v>2.8101813025489364E-2</v>
      </c>
      <c r="N69" s="3">
        <v>2.831856303006907E-2</v>
      </c>
      <c r="O69" s="3">
        <v>2.8527195651885023E-2</v>
      </c>
      <c r="P69" s="3">
        <v>2.8717309762528401E-2</v>
      </c>
    </row>
    <row r="70" spans="1:16">
      <c r="A70" s="84" t="s">
        <v>213</v>
      </c>
      <c r="B70" s="85" t="s">
        <v>212</v>
      </c>
      <c r="C70" s="85" t="s">
        <v>79</v>
      </c>
      <c r="D70" s="84" t="s">
        <v>87</v>
      </c>
      <c r="E70" s="84">
        <v>1</v>
      </c>
      <c r="F70" s="3">
        <v>2.4267686235344227E-2</v>
      </c>
      <c r="G70" s="3">
        <v>2.4469887375647505E-2</v>
      </c>
      <c r="H70" s="3">
        <v>2.4375695166873958E-2</v>
      </c>
      <c r="I70" s="3">
        <v>2.4308893050941954E-2</v>
      </c>
      <c r="J70" s="3">
        <v>2.4228337449970831E-2</v>
      </c>
      <c r="K70" s="3">
        <v>2.4169911917496043E-2</v>
      </c>
      <c r="L70" s="3">
        <v>2.4134672048880413E-2</v>
      </c>
      <c r="M70" s="3">
        <v>2.4155013913335688E-2</v>
      </c>
      <c r="N70" s="3">
        <v>2.4154888181178343E-2</v>
      </c>
      <c r="O70" s="3">
        <v>2.414964639103661E-2</v>
      </c>
      <c r="P70" s="3">
        <v>2.4142650231214598E-2</v>
      </c>
    </row>
    <row r="71" spans="1:16">
      <c r="A71" s="84" t="s">
        <v>215</v>
      </c>
      <c r="B71" s="85" t="s">
        <v>214</v>
      </c>
      <c r="C71" s="85" t="s">
        <v>83</v>
      </c>
      <c r="D71" s="84" t="s">
        <v>84</v>
      </c>
      <c r="E71" s="84">
        <v>3</v>
      </c>
      <c r="F71" s="3">
        <v>5.0915441930198257E-2</v>
      </c>
      <c r="G71" s="3">
        <v>5.0507796306977666E-2</v>
      </c>
      <c r="H71" s="3">
        <v>5.009131937438762E-2</v>
      </c>
      <c r="I71" s="3">
        <v>4.9714023767331736E-2</v>
      </c>
      <c r="J71" s="3">
        <v>4.934521546824569E-2</v>
      </c>
      <c r="K71" s="3">
        <v>4.8975895324799242E-2</v>
      </c>
      <c r="L71" s="3">
        <v>4.8652638854033474E-2</v>
      </c>
      <c r="M71" s="3">
        <v>4.8273616554996721E-2</v>
      </c>
      <c r="N71" s="3">
        <v>4.7919857987914288E-2</v>
      </c>
      <c r="O71" s="3">
        <v>4.7566914901298343E-2</v>
      </c>
      <c r="P71" s="3">
        <v>4.7215525488703461E-2</v>
      </c>
    </row>
    <row r="72" spans="1:16">
      <c r="A72" s="84" t="s">
        <v>217</v>
      </c>
      <c r="B72" s="85" t="s">
        <v>216</v>
      </c>
      <c r="C72" s="85" t="s">
        <v>79</v>
      </c>
      <c r="D72" s="84" t="s">
        <v>87</v>
      </c>
      <c r="E72" s="84">
        <v>1</v>
      </c>
      <c r="F72" s="3">
        <v>1.791383271851563E-2</v>
      </c>
      <c r="G72" s="3">
        <v>1.8250365829037444E-2</v>
      </c>
      <c r="H72" s="3">
        <v>1.856272946558913E-2</v>
      </c>
      <c r="I72" s="3">
        <v>1.8945487812818056E-2</v>
      </c>
      <c r="J72" s="3">
        <v>1.9341118830908288E-2</v>
      </c>
      <c r="K72" s="3">
        <v>1.9729269815209123E-2</v>
      </c>
      <c r="L72" s="3">
        <v>2.0161083377111224E-2</v>
      </c>
      <c r="M72" s="3">
        <v>2.0450268430097715E-2</v>
      </c>
      <c r="N72" s="3">
        <v>2.0768886811093751E-2</v>
      </c>
      <c r="O72" s="3">
        <v>2.1064317108019943E-2</v>
      </c>
      <c r="P72" s="3">
        <v>2.1341556457127285E-2</v>
      </c>
    </row>
    <row r="73" spans="1:16">
      <c r="A73" s="84" t="s">
        <v>219</v>
      </c>
      <c r="B73" s="85" t="s">
        <v>218</v>
      </c>
      <c r="C73" s="85" t="s">
        <v>92</v>
      </c>
      <c r="D73" s="84" t="s">
        <v>80</v>
      </c>
      <c r="E73" s="84">
        <v>1</v>
      </c>
      <c r="F73" s="3">
        <v>2.8508108213654602E-2</v>
      </c>
      <c r="G73" s="3">
        <v>2.8089283444628028E-2</v>
      </c>
      <c r="H73" s="3">
        <v>2.7875382943945811E-2</v>
      </c>
      <c r="I73" s="3">
        <v>2.768227100414352E-2</v>
      </c>
      <c r="J73" s="3">
        <v>2.7564844041013975E-2</v>
      </c>
      <c r="K73" s="3">
        <v>2.7492790866469198E-2</v>
      </c>
      <c r="L73" s="3">
        <v>2.7558977783888914E-2</v>
      </c>
      <c r="M73" s="3">
        <v>2.7533851887543884E-2</v>
      </c>
      <c r="N73" s="3">
        <v>2.7613373381259534E-2</v>
      </c>
      <c r="O73" s="3">
        <v>2.7674767240018931E-2</v>
      </c>
      <c r="P73" s="3">
        <v>2.7733607245503656E-2</v>
      </c>
    </row>
    <row r="74" spans="1:16">
      <c r="A74" s="84" t="s">
        <v>221</v>
      </c>
      <c r="B74" s="85" t="s">
        <v>220</v>
      </c>
      <c r="C74" s="85" t="s">
        <v>92</v>
      </c>
      <c r="D74" s="84" t="s">
        <v>80</v>
      </c>
      <c r="E74" s="84">
        <v>1</v>
      </c>
      <c r="F74" s="3">
        <v>4.2290534299688681E-2</v>
      </c>
      <c r="G74" s="3">
        <v>4.1672502568166403E-2</v>
      </c>
      <c r="H74" s="3">
        <v>4.1114835993995236E-2</v>
      </c>
      <c r="I74" s="3">
        <v>4.0544141019056845E-2</v>
      </c>
      <c r="J74" s="3">
        <v>3.9971850455473551E-2</v>
      </c>
      <c r="K74" s="3">
        <v>3.9391686220868367E-2</v>
      </c>
      <c r="L74" s="3">
        <v>3.8834776034772492E-2</v>
      </c>
      <c r="M74" s="3">
        <v>3.8218761779323054E-2</v>
      </c>
      <c r="N74" s="3">
        <v>3.7639365011437526E-2</v>
      </c>
      <c r="O74" s="3">
        <v>3.7089701773737049E-2</v>
      </c>
      <c r="P74" s="3">
        <v>3.6584081766629258E-2</v>
      </c>
    </row>
    <row r="75" spans="1:16">
      <c r="A75" s="84" t="s">
        <v>223</v>
      </c>
      <c r="B75" s="85" t="s">
        <v>222</v>
      </c>
      <c r="C75" s="85" t="s">
        <v>83</v>
      </c>
      <c r="D75" s="84" t="s">
        <v>75</v>
      </c>
      <c r="E75" s="84">
        <v>3</v>
      </c>
      <c r="F75" s="3">
        <v>6.1310988836796518E-2</v>
      </c>
      <c r="G75" s="3">
        <v>6.0584584316475155E-2</v>
      </c>
      <c r="H75" s="3">
        <v>5.9793106487681172E-2</v>
      </c>
      <c r="I75" s="3">
        <v>5.9036931388937279E-2</v>
      </c>
      <c r="J75" s="3">
        <v>5.8288522528461E-2</v>
      </c>
      <c r="K75" s="3">
        <v>5.7550602550413894E-2</v>
      </c>
      <c r="L75" s="3">
        <v>5.6853984764612966E-2</v>
      </c>
      <c r="M75" s="3">
        <v>5.6123583726956014E-2</v>
      </c>
      <c r="N75" s="3">
        <v>5.5429268810731361E-2</v>
      </c>
      <c r="O75" s="3">
        <v>5.4747747060553145E-2</v>
      </c>
      <c r="P75" s="3">
        <v>5.4079308076179972E-2</v>
      </c>
    </row>
    <row r="76" spans="1:16">
      <c r="A76" s="84" t="s">
        <v>225</v>
      </c>
      <c r="B76" s="85" t="s">
        <v>224</v>
      </c>
      <c r="C76" s="85" t="s">
        <v>83</v>
      </c>
      <c r="D76" s="84" t="s">
        <v>75</v>
      </c>
      <c r="E76" s="84">
        <v>3</v>
      </c>
      <c r="F76" s="3">
        <v>5.749431691962846E-2</v>
      </c>
      <c r="G76" s="3">
        <v>5.6939325640469787E-2</v>
      </c>
      <c r="H76" s="3">
        <v>5.6275612752219845E-2</v>
      </c>
      <c r="I76" s="3">
        <v>5.5692873406470299E-2</v>
      </c>
      <c r="J76" s="3">
        <v>5.5116291247123909E-2</v>
      </c>
      <c r="K76" s="3">
        <v>5.4543113833719618E-2</v>
      </c>
      <c r="L76" s="3">
        <v>5.4036124831237813E-2</v>
      </c>
      <c r="M76" s="3">
        <v>5.3408950879250294E-2</v>
      </c>
      <c r="N76" s="3">
        <v>5.2858036469051323E-2</v>
      </c>
      <c r="O76" s="3">
        <v>5.2333570891487789E-2</v>
      </c>
      <c r="P76" s="3">
        <v>5.1841431230533253E-2</v>
      </c>
    </row>
    <row r="77" spans="1:16">
      <c r="A77" s="84" t="s">
        <v>227</v>
      </c>
      <c r="B77" s="85" t="s">
        <v>226</v>
      </c>
      <c r="C77" s="85" t="s">
        <v>92</v>
      </c>
      <c r="D77" s="84" t="s">
        <v>80</v>
      </c>
      <c r="E77" s="84">
        <v>2</v>
      </c>
      <c r="F77" s="3">
        <v>3.6174977304058373E-2</v>
      </c>
      <c r="G77" s="3">
        <v>3.5831670660221367E-2</v>
      </c>
      <c r="H77" s="3">
        <v>3.5457421743520706E-2</v>
      </c>
      <c r="I77" s="3">
        <v>3.5140351160922706E-2</v>
      </c>
      <c r="J77" s="3">
        <v>3.4819244103116355E-2</v>
      </c>
      <c r="K77" s="3">
        <v>3.4474089692644545E-2</v>
      </c>
      <c r="L77" s="3">
        <v>3.4188254058086599E-2</v>
      </c>
      <c r="M77" s="3">
        <v>3.3722512286470434E-2</v>
      </c>
      <c r="N77" s="3">
        <v>3.3334692767808594E-2</v>
      </c>
      <c r="O77" s="3">
        <v>3.2963828497066895E-2</v>
      </c>
      <c r="P77" s="3">
        <v>3.2627269709747601E-2</v>
      </c>
    </row>
    <row r="78" spans="1:16">
      <c r="A78" s="84" t="s">
        <v>229</v>
      </c>
      <c r="B78" s="85" t="s">
        <v>228</v>
      </c>
      <c r="C78" s="85" t="s">
        <v>92</v>
      </c>
      <c r="D78" s="84" t="s">
        <v>75</v>
      </c>
      <c r="E78" s="84">
        <v>2</v>
      </c>
      <c r="F78" s="3">
        <v>4.0888557669303369E-2</v>
      </c>
      <c r="G78" s="3">
        <v>4.0424500236162252E-2</v>
      </c>
      <c r="H78" s="3">
        <v>3.9872463993385128E-2</v>
      </c>
      <c r="I78" s="3">
        <v>3.9393655014122342E-2</v>
      </c>
      <c r="J78" s="3">
        <v>3.893129838739022E-2</v>
      </c>
      <c r="K78" s="3">
        <v>3.8481268134719387E-2</v>
      </c>
      <c r="L78" s="3">
        <v>3.8080832730405134E-2</v>
      </c>
      <c r="M78" s="3">
        <v>3.7602745454888009E-2</v>
      </c>
      <c r="N78" s="3">
        <v>3.7180316247932936E-2</v>
      </c>
      <c r="O78" s="3">
        <v>3.6767216670058549E-2</v>
      </c>
      <c r="P78" s="3">
        <v>3.6364902973282695E-2</v>
      </c>
    </row>
    <row r="79" spans="1:16">
      <c r="A79" s="84" t="s">
        <v>231</v>
      </c>
      <c r="B79" s="85" t="s">
        <v>230</v>
      </c>
      <c r="C79" s="85" t="s">
        <v>92</v>
      </c>
      <c r="D79" s="84" t="s">
        <v>84</v>
      </c>
      <c r="E79" s="84">
        <v>1</v>
      </c>
      <c r="F79" s="3">
        <v>3.7622088732048913E-2</v>
      </c>
      <c r="G79" s="3">
        <v>3.7019931769625425E-2</v>
      </c>
      <c r="H79" s="3">
        <v>3.6441465818618783E-2</v>
      </c>
      <c r="I79" s="3">
        <v>3.5840754467307161E-2</v>
      </c>
      <c r="J79" s="3">
        <v>3.5256307871349056E-2</v>
      </c>
      <c r="K79" s="3">
        <v>3.4700640116303146E-2</v>
      </c>
      <c r="L79" s="3">
        <v>3.4174293622481464E-2</v>
      </c>
      <c r="M79" s="3">
        <v>3.3704302493209937E-2</v>
      </c>
      <c r="N79" s="3">
        <v>3.3240079992838525E-2</v>
      </c>
      <c r="O79" s="3">
        <v>3.278909186455526E-2</v>
      </c>
      <c r="P79" s="3">
        <v>3.2347664833085564E-2</v>
      </c>
    </row>
    <row r="80" spans="1:16">
      <c r="A80" s="84" t="s">
        <v>233</v>
      </c>
      <c r="B80" s="85" t="s">
        <v>232</v>
      </c>
      <c r="C80" s="85" t="s">
        <v>79</v>
      </c>
      <c r="D80" s="84" t="s">
        <v>87</v>
      </c>
      <c r="E80" s="84">
        <v>1</v>
      </c>
      <c r="F80" s="3">
        <v>2.3083438647209305E-2</v>
      </c>
      <c r="G80" s="3">
        <v>2.3125825348837458E-2</v>
      </c>
      <c r="H80" s="3">
        <v>2.2947744930968055E-2</v>
      </c>
      <c r="I80" s="3">
        <v>2.2786513549563875E-2</v>
      </c>
      <c r="J80" s="3">
        <v>2.2639766691564461E-2</v>
      </c>
      <c r="K80" s="3">
        <v>2.2555871352398706E-2</v>
      </c>
      <c r="L80" s="3">
        <v>2.2545127494878987E-2</v>
      </c>
      <c r="M80" s="3">
        <v>2.2645892696547258E-2</v>
      </c>
      <c r="N80" s="3">
        <v>2.2765137409723583E-2</v>
      </c>
      <c r="O80" s="3">
        <v>2.2911551015851142E-2</v>
      </c>
      <c r="P80" s="3">
        <v>2.3070444758401042E-2</v>
      </c>
    </row>
    <row r="81" spans="1:16">
      <c r="A81" s="84" t="s">
        <v>235</v>
      </c>
      <c r="B81" s="85" t="s">
        <v>234</v>
      </c>
      <c r="C81" s="85" t="s">
        <v>79</v>
      </c>
      <c r="D81" s="84" t="s">
        <v>87</v>
      </c>
      <c r="E81" s="84">
        <v>1</v>
      </c>
      <c r="F81" s="3">
        <v>2.6350551543119868E-2</v>
      </c>
      <c r="G81" s="3">
        <v>2.6093282455321602E-2</v>
      </c>
      <c r="H81" s="3">
        <v>2.622395020126074E-2</v>
      </c>
      <c r="I81" s="3">
        <v>2.6299985930331109E-2</v>
      </c>
      <c r="J81" s="3">
        <v>2.6392740451937062E-2</v>
      </c>
      <c r="K81" s="3">
        <v>2.6448068669527883E-2</v>
      </c>
      <c r="L81" s="3">
        <v>2.6468538789744849E-2</v>
      </c>
      <c r="M81" s="3">
        <v>2.6473768212943422E-2</v>
      </c>
      <c r="N81" s="3">
        <v>2.6449322630924831E-2</v>
      </c>
      <c r="O81" s="3">
        <v>2.6408716800175872E-2</v>
      </c>
      <c r="P81" s="3">
        <v>2.6365277180919636E-2</v>
      </c>
    </row>
    <row r="82" spans="1:16">
      <c r="A82" s="84" t="s">
        <v>237</v>
      </c>
      <c r="B82" s="85" t="s">
        <v>236</v>
      </c>
      <c r="C82" s="85" t="s">
        <v>110</v>
      </c>
      <c r="D82" s="84" t="s">
        <v>84</v>
      </c>
      <c r="E82" s="84" t="s">
        <v>76</v>
      </c>
      <c r="F82" s="3">
        <v>3.2940230974950357E-2</v>
      </c>
      <c r="G82" s="3">
        <v>3.262022477543803E-2</v>
      </c>
      <c r="H82" s="3">
        <v>3.2298885480365858E-2</v>
      </c>
      <c r="I82" s="3">
        <v>3.1940507960946669E-2</v>
      </c>
      <c r="J82" s="3">
        <v>3.1557407587471865E-2</v>
      </c>
      <c r="K82" s="3">
        <v>3.1151977949674583E-2</v>
      </c>
      <c r="L82" s="3">
        <v>3.0757607655460376E-2</v>
      </c>
      <c r="M82" s="3">
        <v>3.0321807458070098E-2</v>
      </c>
      <c r="N82" s="3">
        <v>2.9888299112076827E-2</v>
      </c>
      <c r="O82" s="3">
        <v>2.9467486280747884E-2</v>
      </c>
      <c r="P82" s="3">
        <v>2.9073995189023798E-2</v>
      </c>
    </row>
    <row r="83" spans="1:16">
      <c r="A83" s="84" t="s">
        <v>239</v>
      </c>
      <c r="B83" s="85" t="s">
        <v>238</v>
      </c>
      <c r="C83" s="85" t="s">
        <v>110</v>
      </c>
      <c r="D83" s="84" t="s">
        <v>80</v>
      </c>
      <c r="E83" s="84" t="s">
        <v>76</v>
      </c>
      <c r="F83" s="3">
        <v>3.3064389781140201E-2</v>
      </c>
      <c r="G83" s="3">
        <v>3.2821218809260935E-2</v>
      </c>
      <c r="H83" s="3">
        <v>3.2570216784967777E-2</v>
      </c>
      <c r="I83" s="3">
        <v>3.237054578060778E-2</v>
      </c>
      <c r="J83" s="3">
        <v>3.2182479361083684E-2</v>
      </c>
      <c r="K83" s="3">
        <v>3.1993439579250216E-2</v>
      </c>
      <c r="L83" s="3">
        <v>3.1830730750955445E-2</v>
      </c>
      <c r="M83" s="3">
        <v>3.1661507346854453E-2</v>
      </c>
      <c r="N83" s="3">
        <v>3.1493406705976945E-2</v>
      </c>
      <c r="O83" s="3">
        <v>3.1321491818457288E-2</v>
      </c>
      <c r="P83" s="3">
        <v>3.1143944822497525E-2</v>
      </c>
    </row>
    <row r="84" spans="1:16">
      <c r="A84" s="84" t="s">
        <v>241</v>
      </c>
      <c r="B84" s="85" t="s">
        <v>240</v>
      </c>
      <c r="C84" s="85" t="s">
        <v>74</v>
      </c>
      <c r="D84" s="84" t="s">
        <v>80</v>
      </c>
      <c r="E84" s="84">
        <v>2</v>
      </c>
      <c r="F84" s="3">
        <v>2.9577735831721731E-2</v>
      </c>
      <c r="G84" s="3">
        <v>2.9413501997565282E-2</v>
      </c>
      <c r="H84" s="3">
        <v>2.8769336812084659E-2</v>
      </c>
      <c r="I84" s="3">
        <v>2.8297817200239224E-2</v>
      </c>
      <c r="J84" s="3">
        <v>2.789564538933817E-2</v>
      </c>
      <c r="K84" s="3">
        <v>2.7627697069380789E-2</v>
      </c>
      <c r="L84" s="3">
        <v>2.7570374747881463E-2</v>
      </c>
      <c r="M84" s="3">
        <v>2.7523285922305001E-2</v>
      </c>
      <c r="N84" s="3">
        <v>2.7609890956341955E-2</v>
      </c>
      <c r="O84" s="3">
        <v>2.7735562358570044E-2</v>
      </c>
      <c r="P84" s="3">
        <v>2.7870242935439018E-2</v>
      </c>
    </row>
    <row r="85" spans="1:16">
      <c r="A85" s="84" t="s">
        <v>243</v>
      </c>
      <c r="B85" s="85" t="s">
        <v>242</v>
      </c>
      <c r="C85" s="85" t="s">
        <v>74</v>
      </c>
      <c r="D85" s="84" t="s">
        <v>80</v>
      </c>
      <c r="E85" s="84">
        <v>2</v>
      </c>
      <c r="F85" s="3">
        <v>5.058059284086918E-2</v>
      </c>
      <c r="G85" s="3">
        <v>4.9950629421254923E-2</v>
      </c>
      <c r="H85" s="3">
        <v>4.9552521328666312E-2</v>
      </c>
      <c r="I85" s="3">
        <v>4.9167416862376197E-2</v>
      </c>
      <c r="J85" s="3">
        <v>4.880418621632153E-2</v>
      </c>
      <c r="K85" s="3">
        <v>4.8422376864728986E-2</v>
      </c>
      <c r="L85" s="3">
        <v>4.8028353819816877E-2</v>
      </c>
      <c r="M85" s="3">
        <v>4.7646372941970688E-2</v>
      </c>
      <c r="N85" s="3">
        <v>4.7237826239585057E-2</v>
      </c>
      <c r="O85" s="3">
        <v>4.6818003783110691E-2</v>
      </c>
      <c r="P85" s="3">
        <v>4.6389319041276994E-2</v>
      </c>
    </row>
    <row r="86" spans="1:16">
      <c r="A86" s="84" t="s">
        <v>245</v>
      </c>
      <c r="B86" s="85" t="s">
        <v>244</v>
      </c>
      <c r="C86" s="85" t="s">
        <v>79</v>
      </c>
      <c r="D86" s="84" t="s">
        <v>87</v>
      </c>
      <c r="E86" s="84">
        <v>1</v>
      </c>
      <c r="F86" s="3">
        <v>2.4542808749825118E-2</v>
      </c>
      <c r="G86" s="3">
        <v>2.4529526847743791E-2</v>
      </c>
      <c r="H86" s="3">
        <v>2.4818631226424807E-2</v>
      </c>
      <c r="I86" s="3">
        <v>2.5146776085214394E-2</v>
      </c>
      <c r="J86" s="3">
        <v>2.5509862600235085E-2</v>
      </c>
      <c r="K86" s="3">
        <v>2.5854157644473352E-2</v>
      </c>
      <c r="L86" s="3">
        <v>2.6238121232950055E-2</v>
      </c>
      <c r="M86" s="3">
        <v>2.6465983269501413E-2</v>
      </c>
      <c r="N86" s="3">
        <v>2.6739532603066291E-2</v>
      </c>
      <c r="O86" s="3">
        <v>2.6999023211494718E-2</v>
      </c>
      <c r="P86" s="3">
        <v>2.7248854660556956E-2</v>
      </c>
    </row>
    <row r="87" spans="1:16">
      <c r="A87" s="84" t="s">
        <v>247</v>
      </c>
      <c r="B87" s="85" t="s">
        <v>246</v>
      </c>
      <c r="C87" s="85" t="s">
        <v>79</v>
      </c>
      <c r="D87" s="84" t="s">
        <v>87</v>
      </c>
      <c r="E87" s="84">
        <v>1</v>
      </c>
      <c r="F87" s="3">
        <v>4.0445813273676204E-2</v>
      </c>
      <c r="G87" s="3">
        <v>4.0345134652896776E-2</v>
      </c>
      <c r="H87" s="3">
        <v>4.0171306209850106E-2</v>
      </c>
      <c r="I87" s="3">
        <v>4.0065052201274452E-2</v>
      </c>
      <c r="J87" s="3">
        <v>3.997236101894952E-2</v>
      </c>
      <c r="K87" s="3">
        <v>3.9891787421176765E-2</v>
      </c>
      <c r="L87" s="3">
        <v>3.9862619128877862E-2</v>
      </c>
      <c r="M87" s="3">
        <v>3.9778409749869244E-2</v>
      </c>
      <c r="N87" s="3">
        <v>3.9731735837546134E-2</v>
      </c>
      <c r="O87" s="3">
        <v>3.9689860025872679E-2</v>
      </c>
      <c r="P87" s="3">
        <v>3.9649198262027292E-2</v>
      </c>
    </row>
    <row r="88" spans="1:16">
      <c r="A88" s="84" t="s">
        <v>249</v>
      </c>
      <c r="B88" s="85" t="s">
        <v>248</v>
      </c>
      <c r="C88" s="85" t="s">
        <v>79</v>
      </c>
      <c r="D88" s="84" t="s">
        <v>87</v>
      </c>
      <c r="E88" s="84">
        <v>1</v>
      </c>
      <c r="F88" s="3">
        <v>1.9239590588817797E-2</v>
      </c>
      <c r="G88" s="3">
        <v>1.9527061040974576E-2</v>
      </c>
      <c r="H88" s="3">
        <v>1.9742688640425651E-2</v>
      </c>
      <c r="I88" s="3">
        <v>2.0014088351168937E-2</v>
      </c>
      <c r="J88" s="3">
        <v>2.0291777726984157E-2</v>
      </c>
      <c r="K88" s="3">
        <v>2.0572181965350565E-2</v>
      </c>
      <c r="L88" s="3">
        <v>2.0849570814073279E-2</v>
      </c>
      <c r="M88" s="3">
        <v>2.1151287283277982E-2</v>
      </c>
      <c r="N88" s="3">
        <v>2.1428769676218245E-2</v>
      </c>
      <c r="O88" s="3">
        <v>2.1690009149734634E-2</v>
      </c>
      <c r="P88" s="3">
        <v>2.1926040241055156E-2</v>
      </c>
    </row>
    <row r="89" spans="1:16">
      <c r="A89" s="84" t="s">
        <v>251</v>
      </c>
      <c r="B89" s="85" t="s">
        <v>250</v>
      </c>
      <c r="C89" s="85" t="s">
        <v>92</v>
      </c>
      <c r="D89" s="84" t="s">
        <v>80</v>
      </c>
      <c r="E89" s="84">
        <v>1</v>
      </c>
      <c r="F89" s="3">
        <v>2.9617688516935935E-2</v>
      </c>
      <c r="G89" s="3">
        <v>2.9274544154371883E-2</v>
      </c>
      <c r="H89" s="3">
        <v>2.8933465748659588E-2</v>
      </c>
      <c r="I89" s="3">
        <v>2.8643645383030297E-2</v>
      </c>
      <c r="J89" s="3">
        <v>2.8372484042368432E-2</v>
      </c>
      <c r="K89" s="3">
        <v>2.8107690963518148E-2</v>
      </c>
      <c r="L89" s="3">
        <v>2.7912721439505052E-2</v>
      </c>
      <c r="M89" s="3">
        <v>2.7621373489154728E-2</v>
      </c>
      <c r="N89" s="3">
        <v>2.739518335716486E-2</v>
      </c>
      <c r="O89" s="3">
        <v>2.7183207817840314E-2</v>
      </c>
      <c r="P89" s="3">
        <v>2.6984288392135954E-2</v>
      </c>
    </row>
    <row r="90" spans="1:16">
      <c r="A90" s="84" t="s">
        <v>253</v>
      </c>
      <c r="B90" s="85" t="s">
        <v>252</v>
      </c>
      <c r="C90" s="85" t="s">
        <v>99</v>
      </c>
      <c r="D90" s="84" t="s">
        <v>87</v>
      </c>
      <c r="E90" s="84">
        <v>4</v>
      </c>
      <c r="F90" s="3">
        <v>1.9860353559591426E-2</v>
      </c>
      <c r="G90" s="3">
        <v>1.9995446293008062E-2</v>
      </c>
      <c r="H90" s="3">
        <v>2.0143782721135952E-2</v>
      </c>
      <c r="I90" s="3">
        <v>2.0342730896119297E-2</v>
      </c>
      <c r="J90" s="3">
        <v>2.0557030142175199E-2</v>
      </c>
      <c r="K90" s="3">
        <v>2.0778146579974725E-2</v>
      </c>
      <c r="L90" s="3">
        <v>2.1020350446247279E-2</v>
      </c>
      <c r="M90" s="3">
        <v>2.1259373877719603E-2</v>
      </c>
      <c r="N90" s="3">
        <v>2.1519587002326538E-2</v>
      </c>
      <c r="O90" s="3">
        <v>2.1790207895573503E-2</v>
      </c>
      <c r="P90" s="3">
        <v>2.2055378317009627E-2</v>
      </c>
    </row>
    <row r="91" spans="1:16">
      <c r="A91" s="84" t="s">
        <v>255</v>
      </c>
      <c r="B91" s="85" t="s">
        <v>254</v>
      </c>
      <c r="C91" s="85" t="s">
        <v>74</v>
      </c>
      <c r="D91" s="84" t="s">
        <v>80</v>
      </c>
      <c r="E91" s="84">
        <v>2</v>
      </c>
      <c r="F91" s="3">
        <v>3.8340658797965339E-2</v>
      </c>
      <c r="G91" s="3">
        <v>3.7604929913574968E-2</v>
      </c>
      <c r="H91" s="3">
        <v>3.7500120584335619E-2</v>
      </c>
      <c r="I91" s="3">
        <v>3.7382670658158111E-2</v>
      </c>
      <c r="J91" s="3">
        <v>3.7293699970453724E-2</v>
      </c>
      <c r="K91" s="3">
        <v>3.7128186008999142E-2</v>
      </c>
      <c r="L91" s="3">
        <v>3.6805229156591783E-2</v>
      </c>
      <c r="M91" s="3">
        <v>3.6363422153939194E-2</v>
      </c>
      <c r="N91" s="3">
        <v>3.5896569483186785E-2</v>
      </c>
      <c r="O91" s="3">
        <v>3.5398992897589528E-2</v>
      </c>
      <c r="P91" s="3">
        <v>3.4887348785559345E-2</v>
      </c>
    </row>
    <row r="92" spans="1:16">
      <c r="A92" s="84" t="s">
        <v>257</v>
      </c>
      <c r="B92" s="85" t="s">
        <v>256</v>
      </c>
      <c r="C92" s="85" t="s">
        <v>79</v>
      </c>
      <c r="D92" s="84" t="s">
        <v>80</v>
      </c>
      <c r="E92" s="84">
        <v>2</v>
      </c>
      <c r="F92" s="3">
        <v>3.528973218993911E-2</v>
      </c>
      <c r="G92" s="3">
        <v>3.5619295042793382E-2</v>
      </c>
      <c r="H92" s="3">
        <v>3.5539928571306528E-2</v>
      </c>
      <c r="I92" s="3">
        <v>3.5701900416994933E-2</v>
      </c>
      <c r="J92" s="3">
        <v>3.5883370375945627E-2</v>
      </c>
      <c r="K92" s="3">
        <v>3.6088031992062085E-2</v>
      </c>
      <c r="L92" s="3">
        <v>3.64729748060564E-2</v>
      </c>
      <c r="M92" s="3">
        <v>3.6591915135822113E-2</v>
      </c>
      <c r="N92" s="3">
        <v>3.6828409774626605E-2</v>
      </c>
      <c r="O92" s="3">
        <v>3.7008932898677155E-2</v>
      </c>
      <c r="P92" s="3">
        <v>3.7107021250569854E-2</v>
      </c>
    </row>
    <row r="93" spans="1:16">
      <c r="A93" s="84" t="s">
        <v>259</v>
      </c>
      <c r="B93" s="85" t="s">
        <v>258</v>
      </c>
      <c r="C93" s="85" t="s">
        <v>83</v>
      </c>
      <c r="D93" s="84" t="s">
        <v>84</v>
      </c>
      <c r="E93" s="84">
        <v>3</v>
      </c>
      <c r="F93" s="3">
        <v>5.0029321021537357E-2</v>
      </c>
      <c r="G93" s="3">
        <v>4.9415851444330028E-2</v>
      </c>
      <c r="H93" s="3">
        <v>4.9038715535558434E-2</v>
      </c>
      <c r="I93" s="3">
        <v>4.8606384509076533E-2</v>
      </c>
      <c r="J93" s="3">
        <v>4.81386354698978E-2</v>
      </c>
      <c r="K93" s="3">
        <v>4.7594258803075773E-2</v>
      </c>
      <c r="L93" s="3">
        <v>4.7010539064510158E-2</v>
      </c>
      <c r="M93" s="3">
        <v>4.6309142193521183E-2</v>
      </c>
      <c r="N93" s="3">
        <v>4.5606086335740606E-2</v>
      </c>
      <c r="O93" s="3">
        <v>4.491638099486317E-2</v>
      </c>
      <c r="P93" s="3">
        <v>4.4270320145890406E-2</v>
      </c>
    </row>
    <row r="94" spans="1:16">
      <c r="A94" s="84" t="s">
        <v>261</v>
      </c>
      <c r="B94" s="85" t="s">
        <v>260</v>
      </c>
      <c r="C94" s="85" t="s">
        <v>99</v>
      </c>
      <c r="D94" s="84" t="s">
        <v>84</v>
      </c>
      <c r="E94" s="84">
        <v>4</v>
      </c>
      <c r="F94" s="3">
        <v>4.6142375666648909E-2</v>
      </c>
      <c r="G94" s="3">
        <v>4.5677636927524003E-2</v>
      </c>
      <c r="H94" s="3">
        <v>4.5235452317273966E-2</v>
      </c>
      <c r="I94" s="3">
        <v>4.4852507374631291E-2</v>
      </c>
      <c r="J94" s="3">
        <v>4.4562876437306082E-2</v>
      </c>
      <c r="K94" s="3">
        <v>4.4353236167614475E-2</v>
      </c>
      <c r="L94" s="3">
        <v>4.4262084149427422E-2</v>
      </c>
      <c r="M94" s="3">
        <v>4.4214008524715319E-2</v>
      </c>
      <c r="N94" s="3">
        <v>4.4223795182827569E-2</v>
      </c>
      <c r="O94" s="3">
        <v>4.4241126916171811E-2</v>
      </c>
      <c r="P94" s="3">
        <v>4.4269411379272712E-2</v>
      </c>
    </row>
    <row r="95" spans="1:16">
      <c r="A95" s="84" t="s">
        <v>263</v>
      </c>
      <c r="B95" s="85" t="s">
        <v>262</v>
      </c>
      <c r="C95" s="85" t="s">
        <v>99</v>
      </c>
      <c r="D95" s="84" t="s">
        <v>87</v>
      </c>
      <c r="E95" s="84">
        <v>1</v>
      </c>
      <c r="F95" s="3">
        <v>1.7376427808420393E-2</v>
      </c>
      <c r="G95" s="3">
        <v>1.7597970116462063E-2</v>
      </c>
      <c r="H95" s="3">
        <v>1.791545195436977E-2</v>
      </c>
      <c r="I95" s="3">
        <v>1.8250687740439551E-2</v>
      </c>
      <c r="J95" s="3">
        <v>1.8511273339608031E-2</v>
      </c>
      <c r="K95" s="3">
        <v>1.8628761855502402E-2</v>
      </c>
      <c r="L95" s="3">
        <v>1.8661647867524247E-2</v>
      </c>
      <c r="M95" s="3">
        <v>1.8360065287958506E-2</v>
      </c>
      <c r="N95" s="3">
        <v>1.8082688609063251E-2</v>
      </c>
      <c r="O95" s="3">
        <v>1.7856220654116128E-2</v>
      </c>
      <c r="P95" s="3">
        <v>1.7769983637062808E-2</v>
      </c>
    </row>
    <row r="96" spans="1:16">
      <c r="A96" s="84" t="s">
        <v>265</v>
      </c>
      <c r="B96" s="85" t="s">
        <v>264</v>
      </c>
      <c r="C96" s="85" t="s">
        <v>74</v>
      </c>
      <c r="D96" s="84" t="s">
        <v>87</v>
      </c>
      <c r="E96" s="84">
        <v>1</v>
      </c>
      <c r="F96" s="3">
        <v>2.4533264025993859E-2</v>
      </c>
      <c r="G96" s="3">
        <v>2.5349054590647156E-2</v>
      </c>
      <c r="H96" s="3">
        <v>2.5315004596691369E-2</v>
      </c>
      <c r="I96" s="3">
        <v>2.5565054214645996E-2</v>
      </c>
      <c r="J96" s="3">
        <v>2.5816589764137948E-2</v>
      </c>
      <c r="K96" s="3">
        <v>2.6125555646116901E-2</v>
      </c>
      <c r="L96" s="3">
        <v>2.6537151766206923E-2</v>
      </c>
      <c r="M96" s="3">
        <v>2.6966186967234913E-2</v>
      </c>
      <c r="N96" s="3">
        <v>2.7398184119435939E-2</v>
      </c>
      <c r="O96" s="3">
        <v>2.778732288346129E-2</v>
      </c>
      <c r="P96" s="3">
        <v>2.8103180768994006E-2</v>
      </c>
    </row>
    <row r="97" spans="1:16">
      <c r="A97" s="84" t="s">
        <v>267</v>
      </c>
      <c r="B97" s="85" t="s">
        <v>266</v>
      </c>
      <c r="C97" s="85" t="s">
        <v>79</v>
      </c>
      <c r="D97" s="84" t="s">
        <v>84</v>
      </c>
      <c r="E97" s="84">
        <v>1</v>
      </c>
      <c r="F97" s="3">
        <v>3.9869517264173662E-2</v>
      </c>
      <c r="G97" s="3">
        <v>3.973305470874651E-2</v>
      </c>
      <c r="H97" s="3">
        <v>3.9764078610738461E-2</v>
      </c>
      <c r="I97" s="3">
        <v>3.9939437456607996E-2</v>
      </c>
      <c r="J97" s="3">
        <v>4.0140660397186459E-2</v>
      </c>
      <c r="K97" s="3">
        <v>4.0292074716596578E-2</v>
      </c>
      <c r="L97" s="3">
        <v>4.0546278700482649E-2</v>
      </c>
      <c r="M97" s="3">
        <v>4.0430248598901833E-2</v>
      </c>
      <c r="N97" s="3">
        <v>4.0419949814853827E-2</v>
      </c>
      <c r="O97" s="3">
        <v>4.0348632373466219E-2</v>
      </c>
      <c r="P97" s="3">
        <v>4.0214818310474451E-2</v>
      </c>
    </row>
    <row r="98" spans="1:16">
      <c r="A98" s="84" t="s">
        <v>269</v>
      </c>
      <c r="B98" s="85" t="s">
        <v>268</v>
      </c>
      <c r="C98" s="85" t="s">
        <v>99</v>
      </c>
      <c r="D98" s="84" t="s">
        <v>84</v>
      </c>
      <c r="E98" s="84">
        <v>4</v>
      </c>
      <c r="F98" s="3">
        <v>3.8138347989446826E-2</v>
      </c>
      <c r="G98" s="3">
        <v>3.7634295923734552E-2</v>
      </c>
      <c r="H98" s="3">
        <v>3.6961010720256614E-2</v>
      </c>
      <c r="I98" s="3">
        <v>3.6349510533743863E-2</v>
      </c>
      <c r="J98" s="3">
        <v>3.5764047050426809E-2</v>
      </c>
      <c r="K98" s="3">
        <v>3.5228382513448432E-2</v>
      </c>
      <c r="L98" s="3">
        <v>3.4793338956429977E-2</v>
      </c>
      <c r="M98" s="3">
        <v>3.4348129687219189E-2</v>
      </c>
      <c r="N98" s="3">
        <v>3.3957028172065883E-2</v>
      </c>
      <c r="O98" s="3">
        <v>3.3574298735322743E-2</v>
      </c>
      <c r="P98" s="3">
        <v>3.318469670199601E-2</v>
      </c>
    </row>
    <row r="99" spans="1:16">
      <c r="A99" s="84" t="s">
        <v>271</v>
      </c>
      <c r="B99" s="85" t="s">
        <v>270</v>
      </c>
      <c r="C99" s="85" t="s">
        <v>79</v>
      </c>
      <c r="D99" s="84" t="s">
        <v>87</v>
      </c>
      <c r="E99" s="84">
        <v>1</v>
      </c>
      <c r="F99" s="3">
        <v>2.4588137100719519E-2</v>
      </c>
      <c r="G99" s="3">
        <v>2.5742136295225395E-2</v>
      </c>
      <c r="H99" s="3">
        <v>2.4162319383036611E-2</v>
      </c>
      <c r="I99" s="3">
        <v>2.3089939400435515E-2</v>
      </c>
      <c r="J99" s="3">
        <v>2.2073523232271776E-2</v>
      </c>
      <c r="K99" s="3">
        <v>2.1531252335156993E-2</v>
      </c>
      <c r="L99" s="3">
        <v>2.1463727624183745E-2</v>
      </c>
      <c r="M99" s="3">
        <v>2.2136073168849042E-2</v>
      </c>
      <c r="N99" s="3">
        <v>2.2975066887438115E-2</v>
      </c>
      <c r="O99" s="3">
        <v>2.3902565997178746E-2</v>
      </c>
      <c r="P99" s="3">
        <v>2.4732325324027239E-2</v>
      </c>
    </row>
    <row r="100" spans="1:16">
      <c r="A100" s="84" t="s">
        <v>273</v>
      </c>
      <c r="B100" s="85" t="s">
        <v>272</v>
      </c>
      <c r="C100" s="85" t="s">
        <v>74</v>
      </c>
      <c r="D100" s="84" t="s">
        <v>80</v>
      </c>
      <c r="E100" s="84">
        <v>2</v>
      </c>
      <c r="F100" s="3">
        <v>3.0471298460248257E-2</v>
      </c>
      <c r="G100" s="3">
        <v>2.947588544979212E-2</v>
      </c>
      <c r="H100" s="3">
        <v>2.903470886452825E-2</v>
      </c>
      <c r="I100" s="3">
        <v>2.8637151982703182E-2</v>
      </c>
      <c r="J100" s="3">
        <v>2.8338084817552057E-2</v>
      </c>
      <c r="K100" s="3">
        <v>2.806019942914335E-2</v>
      </c>
      <c r="L100" s="3">
        <v>2.7618853586008883E-2</v>
      </c>
      <c r="M100" s="3">
        <v>2.7288003337341632E-2</v>
      </c>
      <c r="N100" s="3">
        <v>2.695140223433392E-2</v>
      </c>
      <c r="O100" s="3">
        <v>2.6664479261672782E-2</v>
      </c>
      <c r="P100" s="3">
        <v>2.6439722906690218E-2</v>
      </c>
    </row>
    <row r="101" spans="1:16">
      <c r="A101" s="84" t="s">
        <v>275</v>
      </c>
      <c r="B101" s="85" t="s">
        <v>274</v>
      </c>
      <c r="C101" s="85" t="s">
        <v>83</v>
      </c>
      <c r="D101" s="84" t="s">
        <v>84</v>
      </c>
      <c r="E101" s="84">
        <v>3</v>
      </c>
      <c r="F101" s="3">
        <v>4.4904546912750094E-2</v>
      </c>
      <c r="G101" s="3">
        <v>4.4628269397597516E-2</v>
      </c>
      <c r="H101" s="3">
        <v>4.3865655904628174E-2</v>
      </c>
      <c r="I101" s="3">
        <v>4.3258578331448493E-2</v>
      </c>
      <c r="J101" s="3">
        <v>4.2690947613303332E-2</v>
      </c>
      <c r="K101" s="3">
        <v>4.2217927299330639E-2</v>
      </c>
      <c r="L101" s="3">
        <v>4.1883188156560107E-2</v>
      </c>
      <c r="M101" s="3">
        <v>4.1546520372257784E-2</v>
      </c>
      <c r="N101" s="3">
        <v>4.13050616778129E-2</v>
      </c>
      <c r="O101" s="3">
        <v>4.1075746155011021E-2</v>
      </c>
      <c r="P101" s="3">
        <v>4.0823728744774954E-2</v>
      </c>
    </row>
    <row r="102" spans="1:16">
      <c r="A102" s="84" t="s">
        <v>277</v>
      </c>
      <c r="B102" s="85" t="s">
        <v>276</v>
      </c>
      <c r="C102" s="85" t="s">
        <v>83</v>
      </c>
      <c r="D102" s="84" t="s">
        <v>75</v>
      </c>
      <c r="E102" s="84">
        <v>3</v>
      </c>
      <c r="F102" s="3">
        <v>5.7369967111629512E-2</v>
      </c>
      <c r="G102" s="3">
        <v>5.6834667774374445E-2</v>
      </c>
      <c r="H102" s="3">
        <v>5.6297644662715009E-2</v>
      </c>
      <c r="I102" s="3">
        <v>5.5775558520127298E-2</v>
      </c>
      <c r="J102" s="3">
        <v>5.5253588516746416E-2</v>
      </c>
      <c r="K102" s="3">
        <v>5.4725122862500225E-2</v>
      </c>
      <c r="L102" s="3">
        <v>5.4219595021301623E-2</v>
      </c>
      <c r="M102" s="3">
        <v>5.3677942492106417E-2</v>
      </c>
      <c r="N102" s="3">
        <v>5.3150604093806772E-2</v>
      </c>
      <c r="O102" s="3">
        <v>5.262590847147746E-2</v>
      </c>
      <c r="P102" s="3">
        <v>5.2106679589711088E-2</v>
      </c>
    </row>
    <row r="103" spans="1:16">
      <c r="A103" s="84" t="s">
        <v>279</v>
      </c>
      <c r="B103" s="85" t="s">
        <v>278</v>
      </c>
      <c r="C103" s="85" t="s">
        <v>74</v>
      </c>
      <c r="D103" s="84" t="s">
        <v>80</v>
      </c>
      <c r="E103" s="84">
        <v>2</v>
      </c>
      <c r="F103" s="3">
        <v>3.0162849455802897E-2</v>
      </c>
      <c r="G103" s="3">
        <v>2.9742982902881854E-2</v>
      </c>
      <c r="H103" s="3">
        <v>2.9458262384825813E-2</v>
      </c>
      <c r="I103" s="3">
        <v>2.9259025797907717E-2</v>
      </c>
      <c r="J103" s="3">
        <v>2.9133909088537125E-2</v>
      </c>
      <c r="K103" s="3">
        <v>2.9062642220587808E-2</v>
      </c>
      <c r="L103" s="3">
        <v>2.9071930271258383E-2</v>
      </c>
      <c r="M103" s="3">
        <v>2.9116951434713569E-2</v>
      </c>
      <c r="N103" s="3">
        <v>2.9197835841888644E-2</v>
      </c>
      <c r="O103" s="3">
        <v>2.92870184325267E-2</v>
      </c>
      <c r="P103" s="3">
        <v>2.9367801472302075E-2</v>
      </c>
    </row>
    <row r="104" spans="1:16">
      <c r="A104" s="84" t="s">
        <v>281</v>
      </c>
      <c r="B104" s="85" t="s">
        <v>280</v>
      </c>
      <c r="C104" s="85" t="s">
        <v>79</v>
      </c>
      <c r="D104" s="84" t="s">
        <v>87</v>
      </c>
      <c r="E104" s="84">
        <v>1</v>
      </c>
      <c r="F104" s="3">
        <v>2.3379744870374235E-2</v>
      </c>
      <c r="G104" s="3">
        <v>2.3161118554996772E-2</v>
      </c>
      <c r="H104" s="3">
        <v>2.2409209200597587E-2</v>
      </c>
      <c r="I104" s="3">
        <v>2.1899957683938095E-2</v>
      </c>
      <c r="J104" s="3">
        <v>2.1505303504998675E-2</v>
      </c>
      <c r="K104" s="3">
        <v>2.1319967918437474E-2</v>
      </c>
      <c r="L104" s="3">
        <v>2.1252262477433021E-2</v>
      </c>
      <c r="M104" s="3">
        <v>2.1743252860861914E-2</v>
      </c>
      <c r="N104" s="3">
        <v>2.2277488991120552E-2</v>
      </c>
      <c r="O104" s="3">
        <v>2.2941922476391527E-2</v>
      </c>
      <c r="P104" s="3">
        <v>2.3662463844621267E-2</v>
      </c>
    </row>
    <row r="105" spans="1:16">
      <c r="A105" s="84" t="s">
        <v>283</v>
      </c>
      <c r="B105" s="85" t="s">
        <v>282</v>
      </c>
      <c r="C105" s="85" t="s">
        <v>79</v>
      </c>
      <c r="D105" s="84" t="s">
        <v>87</v>
      </c>
      <c r="E105" s="84">
        <v>1</v>
      </c>
      <c r="F105" s="3">
        <v>2.3704580877167016E-2</v>
      </c>
      <c r="G105" s="3">
        <v>2.366781694433686E-2</v>
      </c>
      <c r="H105" s="3">
        <v>2.381443209673368E-2</v>
      </c>
      <c r="I105" s="3">
        <v>2.3932285770090343E-2</v>
      </c>
      <c r="J105" s="3">
        <v>2.4045444665633939E-2</v>
      </c>
      <c r="K105" s="3">
        <v>2.4118894942384651E-2</v>
      </c>
      <c r="L105" s="3">
        <v>2.4208067065209921E-2</v>
      </c>
      <c r="M105" s="3">
        <v>2.4174517186597601E-2</v>
      </c>
      <c r="N105" s="3">
        <v>2.4171653274063939E-2</v>
      </c>
      <c r="O105" s="3">
        <v>2.4173177716263195E-2</v>
      </c>
      <c r="P105" s="3">
        <v>2.4203715455771997E-2</v>
      </c>
    </row>
    <row r="106" spans="1:16">
      <c r="A106" s="84" t="s">
        <v>285</v>
      </c>
      <c r="B106" s="85" t="s">
        <v>284</v>
      </c>
      <c r="C106" s="85" t="s">
        <v>79</v>
      </c>
      <c r="D106" s="84" t="s">
        <v>80</v>
      </c>
      <c r="E106" s="84">
        <v>1</v>
      </c>
      <c r="F106" s="3">
        <v>2.2004097091793309E-2</v>
      </c>
      <c r="G106" s="3">
        <v>2.1896069136509811E-2</v>
      </c>
      <c r="H106" s="3">
        <v>2.1651492152295861E-2</v>
      </c>
      <c r="I106" s="3">
        <v>2.1470998460946522E-2</v>
      </c>
      <c r="J106" s="3">
        <v>2.1310872296593328E-2</v>
      </c>
      <c r="K106" s="3">
        <v>2.1182877703469036E-2</v>
      </c>
      <c r="L106" s="3">
        <v>2.1109000615070588E-2</v>
      </c>
      <c r="M106" s="3">
        <v>2.1070577515684377E-2</v>
      </c>
      <c r="N106" s="3">
        <v>2.1062396189162925E-2</v>
      </c>
      <c r="O106" s="3">
        <v>2.1083558629600301E-2</v>
      </c>
      <c r="P106" s="3">
        <v>2.113243639609769E-2</v>
      </c>
    </row>
    <row r="107" spans="1:16">
      <c r="A107" s="84" t="s">
        <v>287</v>
      </c>
      <c r="B107" s="85" t="s">
        <v>286</v>
      </c>
      <c r="C107" s="85" t="s">
        <v>83</v>
      </c>
      <c r="D107" s="84" t="s">
        <v>75</v>
      </c>
      <c r="E107" s="84">
        <v>3</v>
      </c>
      <c r="F107" s="3">
        <v>5.7965360229390445E-2</v>
      </c>
      <c r="G107" s="3">
        <v>5.73358271036402E-2</v>
      </c>
      <c r="H107" s="3">
        <v>5.667617224288455E-2</v>
      </c>
      <c r="I107" s="3">
        <v>5.6018563824524109E-2</v>
      </c>
      <c r="J107" s="3">
        <v>5.5385344674444108E-2</v>
      </c>
      <c r="K107" s="3">
        <v>5.4793375152905298E-2</v>
      </c>
      <c r="L107" s="3">
        <v>5.4241964511418217E-2</v>
      </c>
      <c r="M107" s="3">
        <v>5.3791066692120026E-2</v>
      </c>
      <c r="N107" s="3">
        <v>5.3327788988242961E-2</v>
      </c>
      <c r="O107" s="3">
        <v>5.2869218497095381E-2</v>
      </c>
      <c r="P107" s="3">
        <v>5.240368002688351E-2</v>
      </c>
    </row>
    <row r="108" spans="1:16">
      <c r="A108" s="84" t="s">
        <v>289</v>
      </c>
      <c r="B108" s="85" t="s">
        <v>288</v>
      </c>
      <c r="C108" s="85" t="s">
        <v>83</v>
      </c>
      <c r="D108" s="84" t="s">
        <v>75</v>
      </c>
      <c r="E108" s="84">
        <v>3</v>
      </c>
      <c r="F108" s="3">
        <v>5.9738536400675342E-2</v>
      </c>
      <c r="G108" s="3">
        <v>5.8930715234787219E-2</v>
      </c>
      <c r="H108" s="3">
        <v>5.8262561298380568E-2</v>
      </c>
      <c r="I108" s="3">
        <v>5.7561593085281963E-2</v>
      </c>
      <c r="J108" s="3">
        <v>5.6866647262680453E-2</v>
      </c>
      <c r="K108" s="3">
        <v>5.6166416357804387E-2</v>
      </c>
      <c r="L108" s="3">
        <v>5.544460912712159E-2</v>
      </c>
      <c r="M108" s="3">
        <v>5.4797685530873518E-2</v>
      </c>
      <c r="N108" s="3">
        <v>5.4117418189111061E-2</v>
      </c>
      <c r="O108" s="3">
        <v>5.3452044460944578E-2</v>
      </c>
      <c r="P108" s="3">
        <v>5.2806895435117206E-2</v>
      </c>
    </row>
    <row r="109" spans="1:16">
      <c r="A109" s="84" t="s">
        <v>291</v>
      </c>
      <c r="B109" s="85" t="s">
        <v>290</v>
      </c>
      <c r="C109" s="85" t="s">
        <v>99</v>
      </c>
      <c r="D109" s="84" t="s">
        <v>80</v>
      </c>
      <c r="E109" s="84">
        <v>2</v>
      </c>
      <c r="F109" s="3">
        <v>3.0685382920397308E-2</v>
      </c>
      <c r="G109" s="3">
        <v>3.0172054910148263E-2</v>
      </c>
      <c r="H109" s="3">
        <v>2.9721717983302635E-2</v>
      </c>
      <c r="I109" s="3">
        <v>2.9232035225946064E-2</v>
      </c>
      <c r="J109" s="3">
        <v>2.8751243357508036E-2</v>
      </c>
      <c r="K109" s="3">
        <v>2.8288472828488967E-2</v>
      </c>
      <c r="L109" s="3">
        <v>2.7856308241366642E-2</v>
      </c>
      <c r="M109" s="3">
        <v>2.7461985566266698E-2</v>
      </c>
      <c r="N109" s="3">
        <v>2.7091459519078799E-2</v>
      </c>
      <c r="O109" s="3">
        <v>2.6766101116689159E-2</v>
      </c>
      <c r="P109" s="3">
        <v>2.6492335360599632E-2</v>
      </c>
    </row>
    <row r="110" spans="1:16">
      <c r="A110" s="84" t="s">
        <v>293</v>
      </c>
      <c r="B110" s="85" t="s">
        <v>292</v>
      </c>
      <c r="C110" s="85" t="s">
        <v>110</v>
      </c>
      <c r="D110" s="84" t="s">
        <v>80</v>
      </c>
      <c r="E110" s="84">
        <v>2</v>
      </c>
      <c r="F110" s="3">
        <v>2.16735028712059E-2</v>
      </c>
      <c r="G110" s="3">
        <v>2.117426314096852E-2</v>
      </c>
      <c r="H110" s="3">
        <v>2.113741772234623E-2</v>
      </c>
      <c r="I110" s="3">
        <v>2.1127290552620932E-2</v>
      </c>
      <c r="J110" s="3">
        <v>2.1213754097098709E-2</v>
      </c>
      <c r="K110" s="3">
        <v>2.1346622137327513E-2</v>
      </c>
      <c r="L110" s="3">
        <v>2.1577821552442991E-2</v>
      </c>
      <c r="M110" s="3">
        <v>2.1723084472851675E-2</v>
      </c>
      <c r="N110" s="3">
        <v>2.1952508929953388E-2</v>
      </c>
      <c r="O110" s="3">
        <v>2.2185188833428154E-2</v>
      </c>
      <c r="P110" s="3">
        <v>2.2401927462723785E-2</v>
      </c>
    </row>
    <row r="111" spans="1:16">
      <c r="A111" s="84" t="s">
        <v>295</v>
      </c>
      <c r="B111" s="85" t="s">
        <v>294</v>
      </c>
      <c r="C111" s="85" t="s">
        <v>83</v>
      </c>
      <c r="D111" s="84" t="s">
        <v>75</v>
      </c>
      <c r="E111" s="84">
        <v>3</v>
      </c>
      <c r="F111" s="3">
        <v>6.9659270973175855E-2</v>
      </c>
      <c r="G111" s="3">
        <v>6.9017969897471429E-2</v>
      </c>
      <c r="H111" s="3">
        <v>6.8078194454133725E-2</v>
      </c>
      <c r="I111" s="3">
        <v>6.7263848462539369E-2</v>
      </c>
      <c r="J111" s="3">
        <v>6.6460726798163908E-2</v>
      </c>
      <c r="K111" s="3">
        <v>6.5683778773077947E-2</v>
      </c>
      <c r="L111" s="3">
        <v>6.4953702399535782E-2</v>
      </c>
      <c r="M111" s="3">
        <v>6.4204826599391029E-2</v>
      </c>
      <c r="N111" s="3">
        <v>6.3483136442063312E-2</v>
      </c>
      <c r="O111" s="3">
        <v>6.2738634483974667E-2</v>
      </c>
      <c r="P111" s="3">
        <v>6.1954311288189921E-2</v>
      </c>
    </row>
    <row r="112" spans="1:16">
      <c r="A112" s="84" t="s">
        <v>297</v>
      </c>
      <c r="B112" s="85" t="s">
        <v>296</v>
      </c>
      <c r="C112" s="85" t="s">
        <v>79</v>
      </c>
      <c r="D112" s="84" t="s">
        <v>87</v>
      </c>
      <c r="E112" s="84">
        <v>1</v>
      </c>
      <c r="F112" s="3">
        <v>2.3590421624798005E-2</v>
      </c>
      <c r="G112" s="3">
        <v>2.3211128138630192E-2</v>
      </c>
      <c r="H112" s="3">
        <v>2.2993941185163295E-2</v>
      </c>
      <c r="I112" s="3">
        <v>2.2717506941789735E-2</v>
      </c>
      <c r="J112" s="3">
        <v>2.2466367313218601E-2</v>
      </c>
      <c r="K112" s="3">
        <v>2.2252042702928364E-2</v>
      </c>
      <c r="L112" s="3">
        <v>2.2046150900038298E-2</v>
      </c>
      <c r="M112" s="3">
        <v>2.197518252561368E-2</v>
      </c>
      <c r="N112" s="3">
        <v>2.191109957065477E-2</v>
      </c>
      <c r="O112" s="3">
        <v>2.1903041161198244E-2</v>
      </c>
      <c r="P112" s="3">
        <v>2.1941887613529408E-2</v>
      </c>
    </row>
    <row r="113" spans="1:16">
      <c r="A113" s="84" t="s">
        <v>299</v>
      </c>
      <c r="B113" s="85" t="s">
        <v>298</v>
      </c>
      <c r="C113" s="85" t="s">
        <v>99</v>
      </c>
      <c r="D113" s="84" t="s">
        <v>80</v>
      </c>
      <c r="E113" s="84">
        <v>1</v>
      </c>
      <c r="F113" s="3">
        <v>0</v>
      </c>
      <c r="G113" s="3">
        <v>0</v>
      </c>
      <c r="H113" s="3">
        <v>0</v>
      </c>
      <c r="I113" s="3">
        <v>0</v>
      </c>
      <c r="J113" s="3">
        <v>0</v>
      </c>
      <c r="K113" s="3">
        <v>0</v>
      </c>
      <c r="L113" s="3">
        <v>0</v>
      </c>
      <c r="M113" s="3">
        <v>0</v>
      </c>
      <c r="N113" s="3">
        <v>0</v>
      </c>
      <c r="O113" s="3">
        <v>0</v>
      </c>
      <c r="P113" s="3">
        <v>0</v>
      </c>
    </row>
    <row r="114" spans="1:16">
      <c r="A114" s="84" t="s">
        <v>301</v>
      </c>
      <c r="B114" s="85" t="s">
        <v>300</v>
      </c>
      <c r="C114" s="85" t="s">
        <v>83</v>
      </c>
      <c r="D114" s="84" t="s">
        <v>84</v>
      </c>
      <c r="E114" s="84">
        <v>3</v>
      </c>
      <c r="F114" s="3">
        <v>5.7244163903998842E-2</v>
      </c>
      <c r="G114" s="3">
        <v>5.6798631523267633E-2</v>
      </c>
      <c r="H114" s="3">
        <v>5.6248605529083395E-2</v>
      </c>
      <c r="I114" s="3">
        <v>5.5775470410577899E-2</v>
      </c>
      <c r="J114" s="3">
        <v>5.5326095598341417E-2</v>
      </c>
      <c r="K114" s="3">
        <v>5.4901847479990287E-2</v>
      </c>
      <c r="L114" s="3">
        <v>5.4550648197821287E-2</v>
      </c>
      <c r="M114" s="3">
        <v>5.4172463586109519E-2</v>
      </c>
      <c r="N114" s="3">
        <v>5.3828566458131992E-2</v>
      </c>
      <c r="O114" s="3">
        <v>5.3479629787212768E-2</v>
      </c>
      <c r="P114" s="3">
        <v>5.3115789485489735E-2</v>
      </c>
    </row>
    <row r="115" spans="1:16">
      <c r="A115" s="84" t="s">
        <v>303</v>
      </c>
      <c r="B115" s="85" t="s">
        <v>302</v>
      </c>
      <c r="C115" s="85" t="s">
        <v>83</v>
      </c>
      <c r="D115" s="84" t="s">
        <v>87</v>
      </c>
      <c r="E115" s="84">
        <v>1</v>
      </c>
      <c r="F115" s="3">
        <v>2.2604360994821892E-2</v>
      </c>
      <c r="G115" s="3">
        <v>2.2614086218517699E-2</v>
      </c>
      <c r="H115" s="3">
        <v>2.2731725311765622E-2</v>
      </c>
      <c r="I115" s="3">
        <v>2.2775209261661954E-2</v>
      </c>
      <c r="J115" s="3">
        <v>2.2769612515931851E-2</v>
      </c>
      <c r="K115" s="3">
        <v>2.2698194154224246E-2</v>
      </c>
      <c r="L115" s="3">
        <v>2.2602455945486117E-2</v>
      </c>
      <c r="M115" s="3">
        <v>2.2372488636430807E-2</v>
      </c>
      <c r="N115" s="3">
        <v>2.2124564478052271E-2</v>
      </c>
      <c r="O115" s="3">
        <v>2.1867283673823224E-2</v>
      </c>
      <c r="P115" s="3">
        <v>2.1634760068534646E-2</v>
      </c>
    </row>
    <row r="116" spans="1:16">
      <c r="A116" s="84" t="s">
        <v>305</v>
      </c>
      <c r="B116" s="85" t="s">
        <v>304</v>
      </c>
      <c r="C116" s="85" t="s">
        <v>92</v>
      </c>
      <c r="D116" s="84" t="s">
        <v>80</v>
      </c>
      <c r="E116" s="84">
        <v>2</v>
      </c>
      <c r="F116" s="3">
        <v>3.1738449837905178E-2</v>
      </c>
      <c r="G116" s="3">
        <v>3.1362581561603591E-2</v>
      </c>
      <c r="H116" s="3">
        <v>3.1022211321332063E-2</v>
      </c>
      <c r="I116" s="3">
        <v>3.0699066463058162E-2</v>
      </c>
      <c r="J116" s="3">
        <v>3.0389611816430861E-2</v>
      </c>
      <c r="K116" s="3">
        <v>3.008858466355788E-2</v>
      </c>
      <c r="L116" s="3">
        <v>2.9821799972978028E-2</v>
      </c>
      <c r="M116" s="3">
        <v>2.9545062238525932E-2</v>
      </c>
      <c r="N116" s="3">
        <v>2.9286955915380924E-2</v>
      </c>
      <c r="O116" s="3">
        <v>2.9039004745644512E-2</v>
      </c>
      <c r="P116" s="3">
        <v>2.8800342950188403E-2</v>
      </c>
    </row>
    <row r="117" spans="1:16">
      <c r="A117" s="84" t="s">
        <v>307</v>
      </c>
      <c r="B117" s="85" t="s">
        <v>306</v>
      </c>
      <c r="C117" s="85" t="s">
        <v>99</v>
      </c>
      <c r="D117" s="84" t="s">
        <v>84</v>
      </c>
      <c r="E117" s="84">
        <v>1</v>
      </c>
      <c r="F117" s="3">
        <v>4.2437168067578294E-2</v>
      </c>
      <c r="G117" s="3">
        <v>4.1836344597177666E-2</v>
      </c>
      <c r="H117" s="3">
        <v>4.1125308708257272E-2</v>
      </c>
      <c r="I117" s="3">
        <v>4.0396410302726768E-2</v>
      </c>
      <c r="J117" s="3">
        <v>3.9639772040693022E-2</v>
      </c>
      <c r="K117" s="3">
        <v>3.8909147019889054E-2</v>
      </c>
      <c r="L117" s="3">
        <v>3.8195090011074552E-2</v>
      </c>
      <c r="M117" s="3">
        <v>3.7532994270263319E-2</v>
      </c>
      <c r="N117" s="3">
        <v>3.6877954964340084E-2</v>
      </c>
      <c r="O117" s="3">
        <v>3.6278319992977363E-2</v>
      </c>
      <c r="P117" s="3">
        <v>3.5746649496828355E-2</v>
      </c>
    </row>
    <row r="118" spans="1:16">
      <c r="A118" s="84" t="s">
        <v>309</v>
      </c>
      <c r="B118" s="85" t="s">
        <v>308</v>
      </c>
      <c r="C118" s="85" t="s">
        <v>79</v>
      </c>
      <c r="D118" s="84" t="s">
        <v>84</v>
      </c>
      <c r="E118" s="84">
        <v>1</v>
      </c>
      <c r="F118" s="3">
        <v>1.9369478120291793E-2</v>
      </c>
      <c r="G118" s="3">
        <v>1.9098228981337305E-2</v>
      </c>
      <c r="H118" s="3">
        <v>1.9058250286223658E-2</v>
      </c>
      <c r="I118" s="3">
        <v>1.901530492510466E-2</v>
      </c>
      <c r="J118" s="3">
        <v>1.9007416081679114E-2</v>
      </c>
      <c r="K118" s="3">
        <v>1.9012718559541654E-2</v>
      </c>
      <c r="L118" s="3">
        <v>1.9086679290563884E-2</v>
      </c>
      <c r="M118" s="3">
        <v>1.9120595355278078E-2</v>
      </c>
      <c r="N118" s="3">
        <v>1.9203102989487731E-2</v>
      </c>
      <c r="O118" s="3">
        <v>1.9302700346427532E-2</v>
      </c>
      <c r="P118" s="3">
        <v>1.9415378540652908E-2</v>
      </c>
    </row>
    <row r="119" spans="1:16">
      <c r="A119" s="84" t="s">
        <v>311</v>
      </c>
      <c r="B119" s="85" t="s">
        <v>310</v>
      </c>
      <c r="C119" s="85" t="s">
        <v>79</v>
      </c>
      <c r="D119" s="84" t="s">
        <v>87</v>
      </c>
      <c r="E119" s="84">
        <v>1</v>
      </c>
      <c r="F119" s="3">
        <v>0</v>
      </c>
      <c r="G119" s="3">
        <v>0</v>
      </c>
      <c r="H119" s="3">
        <v>0</v>
      </c>
      <c r="I119" s="3">
        <v>0</v>
      </c>
      <c r="J119" s="3">
        <v>0</v>
      </c>
      <c r="K119" s="3">
        <v>0</v>
      </c>
      <c r="L119" s="3">
        <v>0</v>
      </c>
      <c r="M119" s="3">
        <v>0</v>
      </c>
      <c r="N119" s="3">
        <v>0</v>
      </c>
      <c r="O119" s="3">
        <v>0</v>
      </c>
      <c r="P119" s="3">
        <v>0</v>
      </c>
    </row>
    <row r="120" spans="1:16">
      <c r="A120" s="84" t="s">
        <v>313</v>
      </c>
      <c r="B120" s="85" t="s">
        <v>312</v>
      </c>
      <c r="C120" s="85" t="s">
        <v>99</v>
      </c>
      <c r="D120" s="84" t="s">
        <v>84</v>
      </c>
      <c r="E120" s="84">
        <v>2</v>
      </c>
      <c r="F120" s="3">
        <v>3.7220173407968085E-2</v>
      </c>
      <c r="G120" s="3">
        <v>3.7203906161029483E-2</v>
      </c>
      <c r="H120" s="3">
        <v>3.6746233375388092E-2</v>
      </c>
      <c r="I120" s="3">
        <v>3.6544182804841056E-2</v>
      </c>
      <c r="J120" s="3">
        <v>3.6394230461022928E-2</v>
      </c>
      <c r="K120" s="3">
        <v>3.6314186851211072E-2</v>
      </c>
      <c r="L120" s="3">
        <v>3.6427605094700721E-2</v>
      </c>
      <c r="M120" s="3">
        <v>3.6405863422285578E-2</v>
      </c>
      <c r="N120" s="3">
        <v>3.6515507555784268E-2</v>
      </c>
      <c r="O120" s="3">
        <v>3.663054142554556E-2</v>
      </c>
      <c r="P120" s="3">
        <v>3.6729154841935834E-2</v>
      </c>
    </row>
    <row r="121" spans="1:16">
      <c r="A121" s="84" t="s">
        <v>315</v>
      </c>
      <c r="B121" s="85" t="s">
        <v>314</v>
      </c>
      <c r="C121" s="85" t="s">
        <v>79</v>
      </c>
      <c r="D121" s="84" t="s">
        <v>80</v>
      </c>
      <c r="E121" s="84">
        <v>1</v>
      </c>
      <c r="F121" s="3">
        <v>2.6099078350023664E-2</v>
      </c>
      <c r="G121" s="3">
        <v>2.6069548920186321E-2</v>
      </c>
      <c r="H121" s="3">
        <v>2.5904537930517436E-2</v>
      </c>
      <c r="I121" s="3">
        <v>2.5733386668145255E-2</v>
      </c>
      <c r="J121" s="3">
        <v>2.5552420316350053E-2</v>
      </c>
      <c r="K121" s="3">
        <v>2.5401029523511323E-2</v>
      </c>
      <c r="L121" s="3">
        <v>2.5314021660534116E-2</v>
      </c>
      <c r="M121" s="3">
        <v>2.5232320874468243E-2</v>
      </c>
      <c r="N121" s="3">
        <v>2.5182518656339106E-2</v>
      </c>
      <c r="O121" s="3">
        <v>2.5147859819335528E-2</v>
      </c>
      <c r="P121" s="3">
        <v>2.5115252123603427E-2</v>
      </c>
    </row>
    <row r="122" spans="1:16">
      <c r="A122" s="84" t="s">
        <v>317</v>
      </c>
      <c r="B122" s="85" t="s">
        <v>316</v>
      </c>
      <c r="C122" s="85" t="s">
        <v>74</v>
      </c>
      <c r="D122" s="84" t="s">
        <v>84</v>
      </c>
      <c r="E122" s="84">
        <v>3</v>
      </c>
      <c r="F122" s="3">
        <v>3.3421182550010628E-2</v>
      </c>
      <c r="G122" s="3">
        <v>3.3022897522754953E-2</v>
      </c>
      <c r="H122" s="3">
        <v>3.2712874562038349E-2</v>
      </c>
      <c r="I122" s="3">
        <v>3.2461789330257326E-2</v>
      </c>
      <c r="J122" s="3">
        <v>3.224281500926153E-2</v>
      </c>
      <c r="K122" s="3">
        <v>3.2033243171753545E-2</v>
      </c>
      <c r="L122" s="3">
        <v>3.1853136472966226E-2</v>
      </c>
      <c r="M122" s="3">
        <v>3.1652821904798636E-2</v>
      </c>
      <c r="N122" s="3">
        <v>3.1477798103371389E-2</v>
      </c>
      <c r="O122" s="3">
        <v>3.1310054546045893E-2</v>
      </c>
      <c r="P122" s="3">
        <v>3.1147834639233686E-2</v>
      </c>
    </row>
    <row r="123" spans="1:16">
      <c r="A123" s="84" t="s">
        <v>319</v>
      </c>
      <c r="B123" s="85" t="s">
        <v>318</v>
      </c>
      <c r="C123" s="85" t="s">
        <v>83</v>
      </c>
      <c r="D123" s="84" t="s">
        <v>75</v>
      </c>
      <c r="E123" s="84" t="s">
        <v>76</v>
      </c>
      <c r="F123" s="3">
        <v>6.4057969663618042E-2</v>
      </c>
      <c r="G123" s="3">
        <v>6.334474965462536E-2</v>
      </c>
      <c r="H123" s="3">
        <v>6.2607532995760579E-2</v>
      </c>
      <c r="I123" s="3">
        <v>6.1887493765607898E-2</v>
      </c>
      <c r="J123" s="3">
        <v>6.1175327906435942E-2</v>
      </c>
      <c r="K123" s="3">
        <v>6.0472346714038235E-2</v>
      </c>
      <c r="L123" s="3">
        <v>5.9802882366577541E-2</v>
      </c>
      <c r="M123" s="3">
        <v>5.9132324068074761E-2</v>
      </c>
      <c r="N123" s="3">
        <v>5.8468646812071368E-2</v>
      </c>
      <c r="O123" s="3">
        <v>5.7797982404944145E-2</v>
      </c>
      <c r="P123" s="3">
        <v>5.7115251565409586E-2</v>
      </c>
    </row>
    <row r="124" spans="1:16">
      <c r="A124" s="84" t="s">
        <v>321</v>
      </c>
      <c r="B124" s="85" t="s">
        <v>320</v>
      </c>
      <c r="C124" s="85" t="s">
        <v>110</v>
      </c>
      <c r="D124" s="84" t="s">
        <v>84</v>
      </c>
      <c r="E124" s="84">
        <v>4</v>
      </c>
      <c r="F124" s="3">
        <v>3.2943361308949308E-2</v>
      </c>
      <c r="G124" s="3">
        <v>3.2746048225120741E-2</v>
      </c>
      <c r="H124" s="3">
        <v>3.247043857045552E-2</v>
      </c>
      <c r="I124" s="3">
        <v>3.2176146776053176E-2</v>
      </c>
      <c r="J124" s="3">
        <v>3.1856016793666717E-2</v>
      </c>
      <c r="K124" s="3">
        <v>3.1519305203632525E-2</v>
      </c>
      <c r="L124" s="3">
        <v>3.1206150460547494E-2</v>
      </c>
      <c r="M124" s="3">
        <v>3.0853968888289972E-2</v>
      </c>
      <c r="N124" s="3">
        <v>3.0503964778621016E-2</v>
      </c>
      <c r="O124" s="3">
        <v>3.0163907834382969E-2</v>
      </c>
      <c r="P124" s="3">
        <v>2.9846033496206355E-2</v>
      </c>
    </row>
    <row r="125" spans="1:16">
      <c r="A125" s="84" t="s">
        <v>323</v>
      </c>
      <c r="B125" s="85" t="s">
        <v>322</v>
      </c>
      <c r="C125" s="85" t="s">
        <v>83</v>
      </c>
      <c r="D125" s="84" t="s">
        <v>80</v>
      </c>
      <c r="E125" s="84">
        <v>3</v>
      </c>
      <c r="F125" s="3">
        <v>4.775532382849898E-2</v>
      </c>
      <c r="G125" s="3">
        <v>4.73033761711983E-2</v>
      </c>
      <c r="H125" s="3">
        <v>4.6834610937217955E-2</v>
      </c>
      <c r="I125" s="3">
        <v>4.6433569387198198E-2</v>
      </c>
      <c r="J125" s="3">
        <v>4.604571889057886E-2</v>
      </c>
      <c r="K125" s="3">
        <v>4.5658692712651057E-2</v>
      </c>
      <c r="L125" s="3">
        <v>4.5345876437608304E-2</v>
      </c>
      <c r="M125" s="3">
        <v>4.4900511282040895E-2</v>
      </c>
      <c r="N125" s="3">
        <v>4.4523936700479258E-2</v>
      </c>
      <c r="O125" s="3">
        <v>4.4155160367541663E-2</v>
      </c>
      <c r="P125" s="3">
        <v>4.3796543643240142E-2</v>
      </c>
    </row>
    <row r="126" spans="1:16">
      <c r="A126" s="84" t="s">
        <v>325</v>
      </c>
      <c r="B126" s="85" t="s">
        <v>324</v>
      </c>
      <c r="C126" s="85" t="s">
        <v>99</v>
      </c>
      <c r="D126" s="84" t="s">
        <v>87</v>
      </c>
      <c r="E126" s="84">
        <v>1</v>
      </c>
      <c r="F126" s="3">
        <v>0</v>
      </c>
      <c r="G126" s="3">
        <v>0</v>
      </c>
      <c r="H126" s="3">
        <v>0</v>
      </c>
      <c r="I126" s="3">
        <v>0</v>
      </c>
      <c r="J126" s="3">
        <v>0</v>
      </c>
      <c r="K126" s="3">
        <v>0</v>
      </c>
      <c r="L126" s="3">
        <v>0</v>
      </c>
      <c r="M126" s="3">
        <v>0</v>
      </c>
      <c r="N126" s="3">
        <v>0</v>
      </c>
      <c r="O126" s="3">
        <v>0</v>
      </c>
      <c r="P126" s="3">
        <v>0</v>
      </c>
    </row>
    <row r="127" spans="1:16">
      <c r="A127" s="84" t="s">
        <v>327</v>
      </c>
      <c r="B127" s="85" t="s">
        <v>326</v>
      </c>
      <c r="C127" s="85" t="s">
        <v>110</v>
      </c>
      <c r="D127" s="84" t="s">
        <v>84</v>
      </c>
      <c r="E127" s="84">
        <v>4</v>
      </c>
      <c r="F127" s="3">
        <v>3.0626578575132419E-2</v>
      </c>
      <c r="G127" s="3">
        <v>2.9576128052991844E-2</v>
      </c>
      <c r="H127" s="3">
        <v>2.9256704220940181E-2</v>
      </c>
      <c r="I127" s="3">
        <v>2.8780587426576274E-2</v>
      </c>
      <c r="J127" s="3">
        <v>2.8322824390589359E-2</v>
      </c>
      <c r="K127" s="3">
        <v>2.7809469319100562E-2</v>
      </c>
      <c r="L127" s="3">
        <v>2.7300575722401969E-2</v>
      </c>
      <c r="M127" s="3">
        <v>2.659805745711101E-2</v>
      </c>
      <c r="N127" s="3">
        <v>2.5964635420297835E-2</v>
      </c>
      <c r="O127" s="3">
        <v>2.5382146496154653E-2</v>
      </c>
      <c r="P127" s="3">
        <v>2.4890955818346064E-2</v>
      </c>
    </row>
    <row r="128" spans="1:16">
      <c r="A128" s="84" t="s">
        <v>329</v>
      </c>
      <c r="B128" s="85" t="s">
        <v>328</v>
      </c>
      <c r="C128" s="85" t="s">
        <v>79</v>
      </c>
      <c r="D128" s="84" t="s">
        <v>87</v>
      </c>
      <c r="E128" s="84">
        <v>1</v>
      </c>
      <c r="F128" s="3">
        <v>2.5950953702063847E-2</v>
      </c>
      <c r="G128" s="3">
        <v>2.5894963377167141E-2</v>
      </c>
      <c r="H128" s="3">
        <v>2.6078591622213997E-2</v>
      </c>
      <c r="I128" s="3">
        <v>2.6186171401303554E-2</v>
      </c>
      <c r="J128" s="3">
        <v>2.6277572343196609E-2</v>
      </c>
      <c r="K128" s="3">
        <v>2.632185054445316E-2</v>
      </c>
      <c r="L128" s="3">
        <v>2.6308189644404244E-2</v>
      </c>
      <c r="M128" s="3">
        <v>2.6276972758269491E-2</v>
      </c>
      <c r="N128" s="3">
        <v>2.6194927987788646E-2</v>
      </c>
      <c r="O128" s="3">
        <v>2.6090541679115922E-2</v>
      </c>
      <c r="P128" s="3">
        <v>2.5974816242638817E-2</v>
      </c>
    </row>
    <row r="129" spans="1:16">
      <c r="A129" s="84" t="s">
        <v>331</v>
      </c>
      <c r="B129" s="85" t="s">
        <v>330</v>
      </c>
      <c r="C129" s="85" t="s">
        <v>99</v>
      </c>
      <c r="D129" s="84" t="s">
        <v>87</v>
      </c>
      <c r="E129" s="84">
        <v>1</v>
      </c>
      <c r="F129" s="3">
        <v>2.8565799086845558E-2</v>
      </c>
      <c r="G129" s="3">
        <v>2.8407192416578825E-2</v>
      </c>
      <c r="H129" s="3">
        <v>2.835509521525395E-2</v>
      </c>
      <c r="I129" s="3">
        <v>2.8278158843731568E-2</v>
      </c>
      <c r="J129" s="3">
        <v>2.8208774622897281E-2</v>
      </c>
      <c r="K129" s="3">
        <v>2.8142479708661603E-2</v>
      </c>
      <c r="L129" s="3">
        <v>2.8078220292546703E-2</v>
      </c>
      <c r="M129" s="3">
        <v>2.8048198008271855E-2</v>
      </c>
      <c r="N129" s="3">
        <v>2.80086014043525E-2</v>
      </c>
      <c r="O129" s="3">
        <v>2.79695476063124E-2</v>
      </c>
      <c r="P129" s="3">
        <v>2.792283511872521E-2</v>
      </c>
    </row>
    <row r="130" spans="1:16">
      <c r="A130" s="84" t="s">
        <v>333</v>
      </c>
      <c r="B130" s="85" t="s">
        <v>332</v>
      </c>
      <c r="C130" s="85" t="s">
        <v>92</v>
      </c>
      <c r="D130" s="84" t="s">
        <v>84</v>
      </c>
      <c r="E130" s="84">
        <v>2</v>
      </c>
      <c r="F130" s="3">
        <v>3.5293334016947522E-2</v>
      </c>
      <c r="G130" s="3">
        <v>3.4913703053604341E-2</v>
      </c>
      <c r="H130" s="3">
        <v>3.4463042696873121E-2</v>
      </c>
      <c r="I130" s="3">
        <v>3.4060107569220982E-2</v>
      </c>
      <c r="J130" s="3">
        <v>3.3668564229526549E-2</v>
      </c>
      <c r="K130" s="3">
        <v>3.3291564356681742E-2</v>
      </c>
      <c r="L130" s="3">
        <v>3.2965537713806913E-2</v>
      </c>
      <c r="M130" s="3">
        <v>3.2601011310931252E-2</v>
      </c>
      <c r="N130" s="3">
        <v>3.2273415440823801E-2</v>
      </c>
      <c r="O130" s="3">
        <v>3.1958833814867069E-2</v>
      </c>
      <c r="P130" s="3">
        <v>3.1658380649984677E-2</v>
      </c>
    </row>
    <row r="131" spans="1:16">
      <c r="A131" s="84" t="s">
        <v>335</v>
      </c>
      <c r="B131" s="85" t="s">
        <v>334</v>
      </c>
      <c r="C131" s="85" t="s">
        <v>83</v>
      </c>
      <c r="D131" s="84" t="s">
        <v>75</v>
      </c>
      <c r="E131" s="84">
        <v>3</v>
      </c>
      <c r="F131" s="3">
        <v>7.9532385269186767E-2</v>
      </c>
      <c r="G131" s="3">
        <v>7.8910122731234836E-2</v>
      </c>
      <c r="H131" s="3">
        <v>7.8109375882493531E-2</v>
      </c>
      <c r="I131" s="3">
        <v>7.7382386483019788E-2</v>
      </c>
      <c r="J131" s="3">
        <v>7.663563623571068E-2</v>
      </c>
      <c r="K131" s="3">
        <v>7.5866599001170598E-2</v>
      </c>
      <c r="L131" s="3">
        <v>7.5123369775752569E-2</v>
      </c>
      <c r="M131" s="3">
        <v>7.4234531567889062E-2</v>
      </c>
      <c r="N131" s="3">
        <v>7.3405310032717608E-2</v>
      </c>
      <c r="O131" s="3">
        <v>7.2572095852029173E-2</v>
      </c>
      <c r="P131" s="3">
        <v>7.1738078597699026E-2</v>
      </c>
    </row>
    <row r="132" spans="1:16">
      <c r="A132" s="84" t="s">
        <v>337</v>
      </c>
      <c r="B132" s="85" t="s">
        <v>336</v>
      </c>
      <c r="C132" s="85" t="s">
        <v>83</v>
      </c>
      <c r="D132" s="84" t="s">
        <v>84</v>
      </c>
      <c r="E132" s="84" t="s">
        <v>76</v>
      </c>
      <c r="F132" s="3">
        <v>6.4470342712237394E-2</v>
      </c>
      <c r="G132" s="3">
        <v>6.4009274533607136E-2</v>
      </c>
      <c r="H132" s="3">
        <v>6.3380863450226546E-2</v>
      </c>
      <c r="I132" s="3">
        <v>6.2840498544214876E-2</v>
      </c>
      <c r="J132" s="3">
        <v>6.2298971061019261E-2</v>
      </c>
      <c r="K132" s="3">
        <v>6.1755018838749377E-2</v>
      </c>
      <c r="L132" s="3">
        <v>6.125452066062826E-2</v>
      </c>
      <c r="M132" s="3">
        <v>6.0642062431018773E-2</v>
      </c>
      <c r="N132" s="3">
        <v>6.0083419334695375E-2</v>
      </c>
      <c r="O132" s="3">
        <v>5.9519856783576311E-2</v>
      </c>
      <c r="P132" s="3">
        <v>5.8949985407157124E-2</v>
      </c>
    </row>
    <row r="133" spans="1:16">
      <c r="A133" s="84" t="s">
        <v>339</v>
      </c>
      <c r="B133" s="85" t="s">
        <v>338</v>
      </c>
      <c r="C133" s="85" t="s">
        <v>99</v>
      </c>
      <c r="D133" s="84" t="e">
        <v>#N/A</v>
      </c>
      <c r="E133" s="84">
        <v>1</v>
      </c>
      <c r="F133" s="3">
        <v>0</v>
      </c>
      <c r="G133" s="3">
        <v>0</v>
      </c>
      <c r="H133" s="3">
        <v>0</v>
      </c>
      <c r="I133" s="3">
        <v>0</v>
      </c>
      <c r="J133" s="3">
        <v>0</v>
      </c>
      <c r="K133" s="3">
        <v>0</v>
      </c>
      <c r="L133" s="3">
        <v>0</v>
      </c>
      <c r="M133" s="3">
        <v>0</v>
      </c>
      <c r="N133" s="3">
        <v>0</v>
      </c>
      <c r="O133" s="3">
        <v>0</v>
      </c>
      <c r="P133" s="3">
        <v>0</v>
      </c>
    </row>
    <row r="134" spans="1:16">
      <c r="A134" s="84" t="s">
        <v>341</v>
      </c>
      <c r="B134" s="85" t="s">
        <v>340</v>
      </c>
      <c r="C134" s="85" t="s">
        <v>79</v>
      </c>
      <c r="D134" s="84" t="s">
        <v>87</v>
      </c>
      <c r="E134" s="84">
        <v>1</v>
      </c>
      <c r="F134" s="3">
        <v>2.7124356916244936E-2</v>
      </c>
      <c r="G134" s="3">
        <v>2.6933378767522189E-2</v>
      </c>
      <c r="H134" s="3">
        <v>2.7117917862404656E-2</v>
      </c>
      <c r="I134" s="3">
        <v>2.7194199503221324E-2</v>
      </c>
      <c r="J134" s="3">
        <v>2.7274838692001601E-2</v>
      </c>
      <c r="K134" s="3">
        <v>2.7326197816695038E-2</v>
      </c>
      <c r="L134" s="3">
        <v>2.730112327640723E-2</v>
      </c>
      <c r="M134" s="3">
        <v>2.73588533660192E-2</v>
      </c>
      <c r="N134" s="3">
        <v>2.7336886178676641E-2</v>
      </c>
      <c r="O134" s="3">
        <v>2.7296437060462374E-2</v>
      </c>
      <c r="P134" s="3">
        <v>2.7240388690403117E-2</v>
      </c>
    </row>
    <row r="135" spans="1:16">
      <c r="A135" s="84" t="s">
        <v>343</v>
      </c>
      <c r="B135" s="85" t="s">
        <v>342</v>
      </c>
      <c r="C135" s="85" t="s">
        <v>74</v>
      </c>
      <c r="D135" s="84" t="s">
        <v>87</v>
      </c>
      <c r="E135" s="84">
        <v>1</v>
      </c>
      <c r="F135" s="3">
        <v>2.6200887921221695E-2</v>
      </c>
      <c r="G135" s="3">
        <v>2.5935924690162013E-2</v>
      </c>
      <c r="H135" s="3">
        <v>2.5171095487164469E-2</v>
      </c>
      <c r="I135" s="3">
        <v>2.4530149932005575E-2</v>
      </c>
      <c r="J135" s="3">
        <v>2.3964361045137151E-2</v>
      </c>
      <c r="K135" s="3">
        <v>2.3568424921363004E-2</v>
      </c>
      <c r="L135" s="3">
        <v>2.3390549307639133E-2</v>
      </c>
      <c r="M135" s="3">
        <v>2.3329666385517093E-2</v>
      </c>
      <c r="N135" s="3">
        <v>2.3394970179957942E-2</v>
      </c>
      <c r="O135" s="3">
        <v>2.3519733638365858E-2</v>
      </c>
      <c r="P135" s="3">
        <v>2.3664681408319333E-2</v>
      </c>
    </row>
    <row r="136" spans="1:16">
      <c r="A136" s="84" t="s">
        <v>345</v>
      </c>
      <c r="B136" s="85" t="s">
        <v>344</v>
      </c>
      <c r="C136" s="85" t="s">
        <v>74</v>
      </c>
      <c r="D136" s="84" t="s">
        <v>84</v>
      </c>
      <c r="E136" s="84" t="s">
        <v>76</v>
      </c>
      <c r="F136" s="3">
        <v>4.5569163242093293E-2</v>
      </c>
      <c r="G136" s="3">
        <v>4.5047321791682103E-2</v>
      </c>
      <c r="H136" s="3">
        <v>4.4298850293455476E-2</v>
      </c>
      <c r="I136" s="3">
        <v>4.3640458157230229E-2</v>
      </c>
      <c r="J136" s="3">
        <v>4.302622359254072E-2</v>
      </c>
      <c r="K136" s="3">
        <v>4.2488944656190672E-2</v>
      </c>
      <c r="L136" s="3">
        <v>4.2072122850731794E-2</v>
      </c>
      <c r="M136" s="3">
        <v>4.1691522579038923E-2</v>
      </c>
      <c r="N136" s="3">
        <v>4.1367445083386405E-2</v>
      </c>
      <c r="O136" s="3">
        <v>4.1062788707716583E-2</v>
      </c>
      <c r="P136" s="3">
        <v>4.0758611382875891E-2</v>
      </c>
    </row>
    <row r="137" spans="1:16">
      <c r="A137" s="84" t="s">
        <v>347</v>
      </c>
      <c r="B137" s="85" t="s">
        <v>346</v>
      </c>
      <c r="C137" s="85" t="s">
        <v>99</v>
      </c>
      <c r="D137" s="84" t="s">
        <v>87</v>
      </c>
      <c r="E137" s="84">
        <v>1</v>
      </c>
      <c r="F137" s="3">
        <v>0</v>
      </c>
      <c r="G137" s="3">
        <v>0</v>
      </c>
      <c r="H137" s="3">
        <v>0</v>
      </c>
      <c r="I137" s="3">
        <v>0</v>
      </c>
      <c r="J137" s="3">
        <v>0</v>
      </c>
      <c r="K137" s="3">
        <v>0</v>
      </c>
      <c r="L137" s="3">
        <v>0</v>
      </c>
      <c r="M137" s="3">
        <v>0</v>
      </c>
      <c r="N137" s="3">
        <v>0</v>
      </c>
      <c r="O137" s="3">
        <v>0</v>
      </c>
      <c r="P137" s="3">
        <v>0</v>
      </c>
    </row>
    <row r="138" spans="1:16">
      <c r="A138" s="84" t="s">
        <v>349</v>
      </c>
      <c r="B138" s="85" t="s">
        <v>348</v>
      </c>
      <c r="C138" s="85" t="s">
        <v>92</v>
      </c>
      <c r="D138" s="84" t="s">
        <v>87</v>
      </c>
      <c r="E138" s="84">
        <v>1</v>
      </c>
      <c r="F138" s="3">
        <v>3.5874083585567193E-2</v>
      </c>
      <c r="G138" s="3">
        <v>3.5539475096070736E-2</v>
      </c>
      <c r="H138" s="3">
        <v>3.5290112142313361E-2</v>
      </c>
      <c r="I138" s="3">
        <v>3.5038330516695006E-2</v>
      </c>
      <c r="J138" s="3">
        <v>3.478957614013857E-2</v>
      </c>
      <c r="K138" s="3">
        <v>3.4530824387818695E-2</v>
      </c>
      <c r="L138" s="3">
        <v>3.4288247021526622E-2</v>
      </c>
      <c r="M138" s="3">
        <v>3.4014438021059148E-2</v>
      </c>
      <c r="N138" s="3">
        <v>3.3749144764279711E-2</v>
      </c>
      <c r="O138" s="3">
        <v>3.3487649366576548E-2</v>
      </c>
      <c r="P138" s="3">
        <v>3.3235259212479523E-2</v>
      </c>
    </row>
    <row r="139" spans="1:16">
      <c r="A139" s="84" t="s">
        <v>351</v>
      </c>
      <c r="B139" s="85" t="s">
        <v>350</v>
      </c>
      <c r="C139" s="85" t="s">
        <v>99</v>
      </c>
      <c r="D139" s="84" t="s">
        <v>84</v>
      </c>
      <c r="E139" s="84">
        <v>4</v>
      </c>
      <c r="F139" s="3">
        <v>4.8135149241410304E-2</v>
      </c>
      <c r="G139" s="3">
        <v>4.7774737506330704E-2</v>
      </c>
      <c r="H139" s="3">
        <v>4.7389352893197463E-2</v>
      </c>
      <c r="I139" s="3">
        <v>4.6999636535476196E-2</v>
      </c>
      <c r="J139" s="3">
        <v>4.6590688314088018E-2</v>
      </c>
      <c r="K139" s="3">
        <v>4.6160324094881078E-2</v>
      </c>
      <c r="L139" s="3">
        <v>4.5768331117589177E-2</v>
      </c>
      <c r="M139" s="3">
        <v>4.5305203472629896E-2</v>
      </c>
      <c r="N139" s="3">
        <v>4.4859946908412988E-2</v>
      </c>
      <c r="O139" s="3">
        <v>4.442815235523366E-2</v>
      </c>
      <c r="P139" s="3">
        <v>4.4023608669989472E-2</v>
      </c>
    </row>
    <row r="140" spans="1:16">
      <c r="A140" s="84" t="s">
        <v>353</v>
      </c>
      <c r="B140" s="85" t="s">
        <v>352</v>
      </c>
      <c r="C140" s="85" t="s">
        <v>92</v>
      </c>
      <c r="D140" s="84" t="s">
        <v>80</v>
      </c>
      <c r="E140" s="84">
        <v>1</v>
      </c>
      <c r="F140" s="3">
        <v>3.706801542404934E-2</v>
      </c>
      <c r="G140" s="3">
        <v>3.6582942284563498E-2</v>
      </c>
      <c r="H140" s="3">
        <v>3.6148222865553435E-2</v>
      </c>
      <c r="I140" s="3">
        <v>3.569754119442968E-2</v>
      </c>
      <c r="J140" s="3">
        <v>3.5259359565445771E-2</v>
      </c>
      <c r="K140" s="3">
        <v>3.4835439620236858E-2</v>
      </c>
      <c r="L140" s="3">
        <v>3.4449096459120455E-2</v>
      </c>
      <c r="M140" s="3">
        <v>3.4062788171755419E-2</v>
      </c>
      <c r="N140" s="3">
        <v>3.369139266958273E-2</v>
      </c>
      <c r="O140" s="3">
        <v>3.3328428922613292E-2</v>
      </c>
      <c r="P140" s="3">
        <v>3.2975263723052359E-2</v>
      </c>
    </row>
    <row r="141" spans="1:16">
      <c r="A141" s="84" t="s">
        <v>355</v>
      </c>
      <c r="B141" s="85" t="s">
        <v>354</v>
      </c>
      <c r="C141" s="85" t="s">
        <v>92</v>
      </c>
      <c r="D141" s="84" t="s">
        <v>80</v>
      </c>
      <c r="E141" s="84">
        <v>2</v>
      </c>
      <c r="F141" s="3">
        <v>3.2920048131271071E-2</v>
      </c>
      <c r="G141" s="3">
        <v>3.2553700650089341E-2</v>
      </c>
      <c r="H141" s="3">
        <v>3.2213983829350035E-2</v>
      </c>
      <c r="I141" s="3">
        <v>3.182885876206424E-2</v>
      </c>
      <c r="J141" s="3">
        <v>3.1452104870270531E-2</v>
      </c>
      <c r="K141" s="3">
        <v>3.1101643370588603E-2</v>
      </c>
      <c r="L141" s="3">
        <v>3.0834595805197658E-2</v>
      </c>
      <c r="M141" s="3">
        <v>3.0481852826346689E-2</v>
      </c>
      <c r="N141" s="3">
        <v>3.0202312549395458E-2</v>
      </c>
      <c r="O141" s="3">
        <v>2.9948681554418922E-2</v>
      </c>
      <c r="P141" s="3">
        <v>2.9724059973604607E-2</v>
      </c>
    </row>
    <row r="142" spans="1:16">
      <c r="A142" s="84" t="s">
        <v>357</v>
      </c>
      <c r="B142" s="85" t="s">
        <v>356</v>
      </c>
      <c r="C142" s="85" t="s">
        <v>99</v>
      </c>
      <c r="D142" s="84" t="s">
        <v>84</v>
      </c>
      <c r="E142" s="84" t="s">
        <v>76</v>
      </c>
      <c r="F142" s="3">
        <v>3.7743998256102772E-2</v>
      </c>
      <c r="G142" s="3">
        <v>3.716092745105655E-2</v>
      </c>
      <c r="H142" s="3">
        <v>3.7011107285519054E-2</v>
      </c>
      <c r="I142" s="3">
        <v>3.6814637686174469E-2</v>
      </c>
      <c r="J142" s="3">
        <v>3.6607130846037617E-2</v>
      </c>
      <c r="K142" s="3">
        <v>3.6314654262710598E-2</v>
      </c>
      <c r="L142" s="3">
        <v>3.5953595093870958E-2</v>
      </c>
      <c r="M142" s="3">
        <v>3.5494518633657039E-2</v>
      </c>
      <c r="N142" s="3">
        <v>3.5014199605527541E-2</v>
      </c>
      <c r="O142" s="3">
        <v>3.4547351392559655E-2</v>
      </c>
      <c r="P142" s="3">
        <v>3.4129280336398414E-2</v>
      </c>
    </row>
    <row r="143" spans="1:16">
      <c r="A143" s="84" t="s">
        <v>359</v>
      </c>
      <c r="B143" s="85" t="s">
        <v>358</v>
      </c>
      <c r="C143" s="85" t="s">
        <v>79</v>
      </c>
      <c r="D143" s="84" t="s">
        <v>87</v>
      </c>
      <c r="E143" s="84">
        <v>1</v>
      </c>
      <c r="F143" s="3">
        <v>2.1239526395480372E-2</v>
      </c>
      <c r="G143" s="3">
        <v>2.1182516430720475E-2</v>
      </c>
      <c r="H143" s="3">
        <v>2.0977898177677781E-2</v>
      </c>
      <c r="I143" s="3">
        <v>2.0821073826455008E-2</v>
      </c>
      <c r="J143" s="3">
        <v>2.0708406432949415E-2</v>
      </c>
      <c r="K143" s="3">
        <v>2.067933332671934E-2</v>
      </c>
      <c r="L143" s="3">
        <v>2.0771754368342041E-2</v>
      </c>
      <c r="M143" s="3">
        <v>2.0925445938215083E-2</v>
      </c>
      <c r="N143" s="3">
        <v>2.1147487169957284E-2</v>
      </c>
      <c r="O143" s="3">
        <v>2.1398039638247119E-2</v>
      </c>
      <c r="P143" s="3">
        <v>2.1652445409082035E-2</v>
      </c>
    </row>
    <row r="144" spans="1:16">
      <c r="A144" s="84" t="s">
        <v>361</v>
      </c>
      <c r="B144" s="85" t="s">
        <v>360</v>
      </c>
      <c r="C144" s="85" t="s">
        <v>79</v>
      </c>
      <c r="D144" s="84" t="s">
        <v>87</v>
      </c>
      <c r="E144" s="84">
        <v>1</v>
      </c>
      <c r="F144" s="3">
        <v>2.0818585298159314E-2</v>
      </c>
      <c r="G144" s="3">
        <v>2.0967288998273471E-2</v>
      </c>
      <c r="H144" s="3">
        <v>2.1247351398036626E-2</v>
      </c>
      <c r="I144" s="3">
        <v>2.1489565753943708E-2</v>
      </c>
      <c r="J144" s="3">
        <v>2.1718740560596934E-2</v>
      </c>
      <c r="K144" s="3">
        <v>2.1920257195868865E-2</v>
      </c>
      <c r="L144" s="3">
        <v>2.2106517085387706E-2</v>
      </c>
      <c r="M144" s="3">
        <v>2.2254646730417289E-2</v>
      </c>
      <c r="N144" s="3">
        <v>2.2386924211563068E-2</v>
      </c>
      <c r="O144" s="3">
        <v>2.2503072530064019E-2</v>
      </c>
      <c r="P144" s="3">
        <v>2.2604158177573452E-2</v>
      </c>
    </row>
    <row r="145" spans="1:16">
      <c r="A145" s="84" t="s">
        <v>363</v>
      </c>
      <c r="B145" s="85" t="s">
        <v>362</v>
      </c>
      <c r="C145" s="85" t="s">
        <v>74</v>
      </c>
      <c r="D145" s="84" t="s">
        <v>87</v>
      </c>
      <c r="E145" s="84">
        <v>1</v>
      </c>
      <c r="F145" s="3">
        <v>1.6307516753836654E-2</v>
      </c>
      <c r="G145" s="3">
        <v>1.6088969053903748E-2</v>
      </c>
      <c r="H145" s="3">
        <v>1.5994714456172902E-2</v>
      </c>
      <c r="I145" s="3">
        <v>1.5860740852156902E-2</v>
      </c>
      <c r="J145" s="3">
        <v>1.5750810222439536E-2</v>
      </c>
      <c r="K145" s="3">
        <v>1.5667985119472403E-2</v>
      </c>
      <c r="L145" s="3">
        <v>1.5545271406024781E-2</v>
      </c>
      <c r="M145" s="3">
        <v>1.5645383502135471E-2</v>
      </c>
      <c r="N145" s="3">
        <v>1.5662767942197835E-2</v>
      </c>
      <c r="O145" s="3">
        <v>1.5691303475813951E-2</v>
      </c>
      <c r="P145" s="3">
        <v>1.5724332362129924E-2</v>
      </c>
    </row>
    <row r="146" spans="1:16">
      <c r="A146" s="84" t="s">
        <v>365</v>
      </c>
      <c r="B146" s="85" t="s">
        <v>364</v>
      </c>
      <c r="C146" s="85" t="s">
        <v>79</v>
      </c>
      <c r="D146" s="84" t="s">
        <v>87</v>
      </c>
      <c r="E146" s="84">
        <v>2</v>
      </c>
      <c r="F146" s="3">
        <v>2.2737881705166916E-2</v>
      </c>
      <c r="G146" s="3">
        <v>2.2919618496603161E-2</v>
      </c>
      <c r="H146" s="3">
        <v>2.2952285152937024E-2</v>
      </c>
      <c r="I146" s="3">
        <v>2.305230297752928E-2</v>
      </c>
      <c r="J146" s="3">
        <v>2.3181752400911249E-2</v>
      </c>
      <c r="K146" s="3">
        <v>2.3346543890499401E-2</v>
      </c>
      <c r="L146" s="3">
        <v>2.3574570598075328E-2</v>
      </c>
      <c r="M146" s="3">
        <v>2.3785752321144518E-2</v>
      </c>
      <c r="N146" s="3">
        <v>2.4006723066682407E-2</v>
      </c>
      <c r="O146" s="3">
        <v>2.4206769630852928E-2</v>
      </c>
      <c r="P146" s="3">
        <v>2.4381558672316301E-2</v>
      </c>
    </row>
    <row r="147" spans="1:16">
      <c r="A147" s="84" t="s">
        <v>367</v>
      </c>
      <c r="B147" s="85" t="s">
        <v>366</v>
      </c>
      <c r="C147" s="85" t="s">
        <v>79</v>
      </c>
      <c r="D147" s="84" t="s">
        <v>80</v>
      </c>
      <c r="E147" s="84">
        <v>2</v>
      </c>
      <c r="F147" s="3">
        <v>2.4824372967541974E-2</v>
      </c>
      <c r="G147" s="3">
        <v>2.4857358523714009E-2</v>
      </c>
      <c r="H147" s="3">
        <v>2.4709644456679315E-2</v>
      </c>
      <c r="I147" s="3">
        <v>2.4686464197998845E-2</v>
      </c>
      <c r="J147" s="3">
        <v>2.4729196782484742E-2</v>
      </c>
      <c r="K147" s="3">
        <v>2.4871804371368621E-2</v>
      </c>
      <c r="L147" s="3">
        <v>2.5194705455012453E-2</v>
      </c>
      <c r="M147" s="3">
        <v>2.5532330902650134E-2</v>
      </c>
      <c r="N147" s="3">
        <v>2.5981737790540565E-2</v>
      </c>
      <c r="O147" s="3">
        <v>2.6461111318829219E-2</v>
      </c>
      <c r="P147" s="3">
        <v>2.6933382505651814E-2</v>
      </c>
    </row>
    <row r="148" spans="1:16">
      <c r="A148" s="84" t="s">
        <v>369</v>
      </c>
      <c r="B148" s="85" t="s">
        <v>368</v>
      </c>
      <c r="C148" s="85" t="s">
        <v>83</v>
      </c>
      <c r="D148" s="84" t="s">
        <v>75</v>
      </c>
      <c r="E148" s="84">
        <v>3</v>
      </c>
      <c r="F148" s="3">
        <v>5.2837090224859287E-2</v>
      </c>
      <c r="G148" s="3">
        <v>5.2399500890628628E-2</v>
      </c>
      <c r="H148" s="3">
        <v>5.1604056360289557E-2</v>
      </c>
      <c r="I148" s="3">
        <v>5.0874954073134283E-2</v>
      </c>
      <c r="J148" s="3">
        <v>5.0150285865529144E-2</v>
      </c>
      <c r="K148" s="3">
        <v>4.9481178190378748E-2</v>
      </c>
      <c r="L148" s="3">
        <v>4.8926961141734351E-2</v>
      </c>
      <c r="M148" s="3">
        <v>4.8353814488922738E-2</v>
      </c>
      <c r="N148" s="3">
        <v>4.7844368682238424E-2</v>
      </c>
      <c r="O148" s="3">
        <v>4.7353872323057343E-2</v>
      </c>
      <c r="P148" s="3">
        <v>4.6869903482857266E-2</v>
      </c>
    </row>
    <row r="149" spans="1:16">
      <c r="A149" s="84" t="s">
        <v>371</v>
      </c>
      <c r="B149" s="85" t="s">
        <v>370</v>
      </c>
      <c r="C149" s="85" t="s">
        <v>92</v>
      </c>
      <c r="D149" s="84" t="s">
        <v>87</v>
      </c>
      <c r="E149" s="84">
        <v>1</v>
      </c>
      <c r="F149" s="3">
        <v>0</v>
      </c>
      <c r="G149" s="3">
        <v>0</v>
      </c>
      <c r="H149" s="3">
        <v>0</v>
      </c>
      <c r="I149" s="3">
        <v>0</v>
      </c>
      <c r="J149" s="3">
        <v>0</v>
      </c>
      <c r="K149" s="3">
        <v>0</v>
      </c>
      <c r="L149" s="3">
        <v>0</v>
      </c>
      <c r="M149" s="3">
        <v>0</v>
      </c>
      <c r="N149" s="3">
        <v>0</v>
      </c>
      <c r="O149" s="3">
        <v>0</v>
      </c>
      <c r="P149" s="3">
        <v>0</v>
      </c>
    </row>
    <row r="150" spans="1:16">
      <c r="A150" s="84" t="s">
        <v>373</v>
      </c>
      <c r="B150" s="85" t="s">
        <v>372</v>
      </c>
      <c r="C150" s="85" t="s">
        <v>92</v>
      </c>
      <c r="D150" s="84" t="s">
        <v>80</v>
      </c>
      <c r="E150" s="84">
        <v>1</v>
      </c>
      <c r="F150" s="3">
        <v>2.1907737548244811E-2</v>
      </c>
      <c r="G150" s="3">
        <v>2.1589201704475477E-2</v>
      </c>
      <c r="H150" s="3">
        <v>2.1393453788901409E-2</v>
      </c>
      <c r="I150" s="3">
        <v>2.1182376462088467E-2</v>
      </c>
      <c r="J150" s="3">
        <v>2.0995763242999323E-2</v>
      </c>
      <c r="K150" s="3">
        <v>2.0813880126182963E-2</v>
      </c>
      <c r="L150" s="3">
        <v>2.0668241389820173E-2</v>
      </c>
      <c r="M150" s="3">
        <v>2.0467649352475685E-2</v>
      </c>
      <c r="N150" s="3">
        <v>2.0319107169291563E-2</v>
      </c>
      <c r="O150" s="3">
        <v>2.0197437077464561E-2</v>
      </c>
      <c r="P150" s="3">
        <v>2.0098336892005724E-2</v>
      </c>
    </row>
    <row r="151" spans="1:16">
      <c r="A151" s="84" t="s">
        <v>375</v>
      </c>
      <c r="B151" s="85" t="s">
        <v>374</v>
      </c>
      <c r="C151" s="85" t="s">
        <v>92</v>
      </c>
      <c r="D151" s="84" t="s">
        <v>80</v>
      </c>
      <c r="E151" s="84">
        <v>1</v>
      </c>
      <c r="F151" s="3">
        <v>2.7909511028595655E-2</v>
      </c>
      <c r="G151" s="3">
        <v>2.7614011629084875E-2</v>
      </c>
      <c r="H151" s="3">
        <v>2.7469957910575223E-2</v>
      </c>
      <c r="I151" s="3">
        <v>2.7310474286122367E-2</v>
      </c>
      <c r="J151" s="3">
        <v>2.7149043334049931E-2</v>
      </c>
      <c r="K151" s="3">
        <v>2.6967608050216255E-2</v>
      </c>
      <c r="L151" s="3">
        <v>2.6793172794307235E-2</v>
      </c>
      <c r="M151" s="3">
        <v>2.655746870567284E-2</v>
      </c>
      <c r="N151" s="3">
        <v>2.6323723580109575E-2</v>
      </c>
      <c r="O151" s="3">
        <v>2.6109469772103273E-2</v>
      </c>
      <c r="P151" s="3">
        <v>2.591314743542688E-2</v>
      </c>
    </row>
    <row r="152" spans="1:16">
      <c r="A152" s="84" t="s">
        <v>377</v>
      </c>
      <c r="B152" s="85" t="s">
        <v>376</v>
      </c>
      <c r="C152" s="85" t="s">
        <v>99</v>
      </c>
      <c r="D152" s="84" t="s">
        <v>80</v>
      </c>
      <c r="E152" s="84">
        <v>2</v>
      </c>
      <c r="F152" s="3">
        <v>5.0190360548199697E-2</v>
      </c>
      <c r="G152" s="3">
        <v>5.1739608174311093E-2</v>
      </c>
      <c r="H152" s="3">
        <v>4.9536620542917964E-2</v>
      </c>
      <c r="I152" s="3">
        <v>4.8259968169861514E-2</v>
      </c>
      <c r="J152" s="3">
        <v>4.7013072201658616E-2</v>
      </c>
      <c r="K152" s="3">
        <v>4.6213547112815133E-2</v>
      </c>
      <c r="L152" s="3">
        <v>4.5823767506615397E-2</v>
      </c>
      <c r="M152" s="3">
        <v>4.6235507113858307E-2</v>
      </c>
      <c r="N152" s="3">
        <v>4.6642670631754535E-2</v>
      </c>
      <c r="O152" s="3">
        <v>4.7044176670726731E-2</v>
      </c>
      <c r="P152" s="3">
        <v>4.7274266491411754E-2</v>
      </c>
    </row>
    <row r="153" spans="1:16">
      <c r="A153" s="84" t="s">
        <v>379</v>
      </c>
      <c r="B153" s="85" t="s">
        <v>378</v>
      </c>
      <c r="C153" s="85" t="s">
        <v>79</v>
      </c>
      <c r="D153" s="84" t="s">
        <v>87</v>
      </c>
      <c r="E153" s="84">
        <v>1</v>
      </c>
      <c r="F153" s="3">
        <v>0</v>
      </c>
      <c r="G153" s="3">
        <v>0</v>
      </c>
      <c r="H153" s="3">
        <v>0</v>
      </c>
      <c r="I153" s="3">
        <v>0</v>
      </c>
      <c r="J153" s="3">
        <v>0</v>
      </c>
      <c r="K153" s="3">
        <v>0</v>
      </c>
      <c r="L153" s="3">
        <v>0</v>
      </c>
      <c r="M153" s="3">
        <v>0</v>
      </c>
      <c r="N153" s="3">
        <v>0</v>
      </c>
      <c r="O153" s="3">
        <v>0</v>
      </c>
      <c r="P153" s="3">
        <v>0</v>
      </c>
    </row>
    <row r="154" spans="1:16">
      <c r="A154" s="84" t="s">
        <v>381</v>
      </c>
      <c r="B154" s="85" t="s">
        <v>380</v>
      </c>
      <c r="C154" s="85" t="s">
        <v>83</v>
      </c>
      <c r="D154" s="84" t="s">
        <v>84</v>
      </c>
      <c r="E154" s="84">
        <v>3</v>
      </c>
      <c r="F154" s="3">
        <v>5.7959647319738204E-2</v>
      </c>
      <c r="G154" s="3">
        <v>5.7765807944787251E-2</v>
      </c>
      <c r="H154" s="3">
        <v>5.7201123294998671E-2</v>
      </c>
      <c r="I154" s="3">
        <v>5.6752551587431734E-2</v>
      </c>
      <c r="J154" s="3">
        <v>5.6275895598954719E-2</v>
      </c>
      <c r="K154" s="3">
        <v>5.5782551512494498E-2</v>
      </c>
      <c r="L154" s="3">
        <v>5.5267720761259978E-2</v>
      </c>
      <c r="M154" s="3">
        <v>5.4723564506114521E-2</v>
      </c>
      <c r="N154" s="3">
        <v>5.4175975111287612E-2</v>
      </c>
      <c r="O154" s="3">
        <v>5.3637346475635762E-2</v>
      </c>
      <c r="P154" s="3">
        <v>5.3121226506768794E-2</v>
      </c>
    </row>
    <row r="155" spans="1:16">
      <c r="A155" s="84" t="s">
        <v>383</v>
      </c>
      <c r="B155" s="85" t="s">
        <v>382</v>
      </c>
      <c r="C155" s="85" t="s">
        <v>74</v>
      </c>
      <c r="D155" s="84" t="s">
        <v>87</v>
      </c>
      <c r="E155" s="84">
        <v>1</v>
      </c>
      <c r="F155" s="3">
        <v>2.6960194144700422E-2</v>
      </c>
      <c r="G155" s="3">
        <v>2.6437041243185477E-2</v>
      </c>
      <c r="H155" s="3">
        <v>2.6066791040422199E-2</v>
      </c>
      <c r="I155" s="3">
        <v>2.5759092628799558E-2</v>
      </c>
      <c r="J155" s="3">
        <v>2.5519862670803663E-2</v>
      </c>
      <c r="K155" s="3">
        <v>2.5334405513396243E-2</v>
      </c>
      <c r="L155" s="3">
        <v>2.5259828461551597E-2</v>
      </c>
      <c r="M155" s="3">
        <v>2.5181415081361395E-2</v>
      </c>
      <c r="N155" s="3">
        <v>2.5173344426092589E-2</v>
      </c>
      <c r="O155" s="3">
        <v>2.5201360492763138E-2</v>
      </c>
      <c r="P155" s="3">
        <v>2.5258952862452493E-2</v>
      </c>
    </row>
    <row r="156" spans="1:16">
      <c r="A156" s="84" t="s">
        <v>385</v>
      </c>
      <c r="B156" s="85" t="s">
        <v>384</v>
      </c>
      <c r="C156" s="85" t="s">
        <v>83</v>
      </c>
      <c r="D156" s="84" t="s">
        <v>84</v>
      </c>
      <c r="E156" s="84">
        <v>3</v>
      </c>
      <c r="F156" s="3">
        <v>5.8966252632766045E-2</v>
      </c>
      <c r="G156" s="3">
        <v>5.8485421606396699E-2</v>
      </c>
      <c r="H156" s="3">
        <v>5.7982413598897636E-2</v>
      </c>
      <c r="I156" s="3">
        <v>5.7542895647627039E-2</v>
      </c>
      <c r="J156" s="3">
        <v>5.7117858084905798E-2</v>
      </c>
      <c r="K156" s="3">
        <v>5.6694512916593949E-2</v>
      </c>
      <c r="L156" s="3">
        <v>5.63141387481602E-2</v>
      </c>
      <c r="M156" s="3">
        <v>5.5882531246114017E-2</v>
      </c>
      <c r="N156" s="3">
        <v>5.5466587713648083E-2</v>
      </c>
      <c r="O156" s="3">
        <v>5.5028267849318933E-2</v>
      </c>
      <c r="P156" s="3">
        <v>5.4560703729024565E-2</v>
      </c>
    </row>
    <row r="157" spans="1:16">
      <c r="A157" s="84" t="s">
        <v>387</v>
      </c>
      <c r="B157" s="85" t="s">
        <v>386</v>
      </c>
      <c r="C157" s="85" t="s">
        <v>79</v>
      </c>
      <c r="D157" s="84" t="s">
        <v>80</v>
      </c>
      <c r="E157" s="84">
        <v>1</v>
      </c>
      <c r="F157" s="3">
        <v>2.1641488794839799E-2</v>
      </c>
      <c r="G157" s="3">
        <v>2.1700868560494326E-2</v>
      </c>
      <c r="H157" s="3">
        <v>2.1650527314452196E-2</v>
      </c>
      <c r="I157" s="3">
        <v>2.1618330275092308E-2</v>
      </c>
      <c r="J157" s="3">
        <v>2.1583155195803155E-2</v>
      </c>
      <c r="K157" s="3">
        <v>2.1560229641884317E-2</v>
      </c>
      <c r="L157" s="3">
        <v>2.1605462638275716E-2</v>
      </c>
      <c r="M157" s="3">
        <v>2.1584329735837175E-2</v>
      </c>
      <c r="N157" s="3">
        <v>2.1602930474812147E-2</v>
      </c>
      <c r="O157" s="3">
        <v>2.1619431552021773E-2</v>
      </c>
      <c r="P157" s="3">
        <v>2.1629680484036896E-2</v>
      </c>
    </row>
    <row r="158" spans="1:16">
      <c r="A158" s="84" t="s">
        <v>389</v>
      </c>
      <c r="B158" s="85" t="s">
        <v>388</v>
      </c>
      <c r="C158" s="85" t="s">
        <v>83</v>
      </c>
      <c r="D158" s="84" t="s">
        <v>87</v>
      </c>
      <c r="E158" s="84">
        <v>1</v>
      </c>
      <c r="F158" s="3">
        <v>3.0898412103714631E-2</v>
      </c>
      <c r="G158" s="3">
        <v>3.1116022099447513E-2</v>
      </c>
      <c r="H158" s="3">
        <v>3.0950111921278344E-2</v>
      </c>
      <c r="I158" s="3">
        <v>3.0923252997322133E-2</v>
      </c>
      <c r="J158" s="3">
        <v>3.0892333753106526E-2</v>
      </c>
      <c r="K158" s="3">
        <v>3.0942240406005114E-2</v>
      </c>
      <c r="L158" s="3">
        <v>3.1085642515111089E-2</v>
      </c>
      <c r="M158" s="3">
        <v>3.1159273512929585E-2</v>
      </c>
      <c r="N158" s="3">
        <v>3.1305054885485836E-2</v>
      </c>
      <c r="O158" s="3">
        <v>3.1422514934763147E-2</v>
      </c>
      <c r="P158" s="3">
        <v>3.1497138175487292E-2</v>
      </c>
    </row>
    <row r="159" spans="1:16">
      <c r="A159" s="84" t="s">
        <v>391</v>
      </c>
      <c r="B159" s="85" t="s">
        <v>390</v>
      </c>
      <c r="C159" s="85" t="s">
        <v>83</v>
      </c>
      <c r="D159" s="84" t="s">
        <v>75</v>
      </c>
      <c r="E159" s="84">
        <v>3</v>
      </c>
      <c r="F159" s="3">
        <v>5.3285022171347167E-2</v>
      </c>
      <c r="G159" s="3">
        <v>5.267140996848281E-2</v>
      </c>
      <c r="H159" s="3">
        <v>5.1960653798406156E-2</v>
      </c>
      <c r="I159" s="3">
        <v>5.130633012271027E-2</v>
      </c>
      <c r="J159" s="3">
        <v>5.0655034388332104E-2</v>
      </c>
      <c r="K159" s="3">
        <v>5.0006607911118939E-2</v>
      </c>
      <c r="L159" s="3">
        <v>4.9420318172022019E-2</v>
      </c>
      <c r="M159" s="3">
        <v>4.8720604701912959E-2</v>
      </c>
      <c r="N159" s="3">
        <v>4.8089347480650364E-2</v>
      </c>
      <c r="O159" s="3">
        <v>4.747865928163246E-2</v>
      </c>
      <c r="P159" s="3">
        <v>4.689451425402489E-2</v>
      </c>
    </row>
    <row r="160" spans="1:16">
      <c r="A160" s="84" t="s">
        <v>393</v>
      </c>
      <c r="B160" s="85" t="s">
        <v>392</v>
      </c>
      <c r="C160" s="85" t="s">
        <v>99</v>
      </c>
      <c r="D160" s="84" t="s">
        <v>87</v>
      </c>
      <c r="E160" s="84">
        <v>1</v>
      </c>
      <c r="F160" s="3">
        <v>1.9777247147446324E-2</v>
      </c>
      <c r="G160" s="3">
        <v>1.9788456939998325E-2</v>
      </c>
      <c r="H160" s="3">
        <v>1.9460198333651112E-2</v>
      </c>
      <c r="I160" s="3">
        <v>1.9084502665036238E-2</v>
      </c>
      <c r="J160" s="3">
        <v>1.8695225167694521E-2</v>
      </c>
      <c r="K160" s="3">
        <v>1.8381229029516406E-2</v>
      </c>
      <c r="L160" s="3">
        <v>1.8107622787293238E-2</v>
      </c>
      <c r="M160" s="3">
        <v>1.8049041319051346E-2</v>
      </c>
      <c r="N160" s="3">
        <v>1.7982388056234033E-2</v>
      </c>
      <c r="O160" s="3">
        <v>1.7962755703458459E-2</v>
      </c>
      <c r="P160" s="3">
        <v>1.7972238758344073E-2</v>
      </c>
    </row>
    <row r="161" spans="1:16">
      <c r="A161" s="84" t="s">
        <v>395</v>
      </c>
      <c r="B161" s="85" t="s">
        <v>394</v>
      </c>
      <c r="C161" s="85" t="s">
        <v>79</v>
      </c>
      <c r="D161" s="84" t="s">
        <v>87</v>
      </c>
      <c r="E161" s="84">
        <v>1</v>
      </c>
      <c r="F161" s="3">
        <v>2.2353792960034639E-2</v>
      </c>
      <c r="G161" s="3">
        <v>2.2247175093679721E-2</v>
      </c>
      <c r="H161" s="3">
        <v>2.2046689608750177E-2</v>
      </c>
      <c r="I161" s="3">
        <v>2.1870698636089422E-2</v>
      </c>
      <c r="J161" s="3">
        <v>2.1730923477373258E-2</v>
      </c>
      <c r="K161" s="3">
        <v>2.1662636299944929E-2</v>
      </c>
      <c r="L161" s="3">
        <v>2.1690285056917242E-2</v>
      </c>
      <c r="M161" s="3">
        <v>2.1809215528665476E-2</v>
      </c>
      <c r="N161" s="3">
        <v>2.1978345548933013E-2</v>
      </c>
      <c r="O161" s="3">
        <v>2.2188619961706516E-2</v>
      </c>
      <c r="P161" s="3">
        <v>2.2424554619712468E-2</v>
      </c>
    </row>
    <row r="162" spans="1:16">
      <c r="A162" s="84" t="s">
        <v>397</v>
      </c>
      <c r="B162" s="85" t="s">
        <v>396</v>
      </c>
      <c r="C162" s="85" t="s">
        <v>79</v>
      </c>
      <c r="D162" s="84" t="s">
        <v>87</v>
      </c>
      <c r="E162" s="84">
        <v>1</v>
      </c>
      <c r="F162" s="3">
        <v>2.1721458235775329E-2</v>
      </c>
      <c r="G162" s="3">
        <v>2.1744070444539122E-2</v>
      </c>
      <c r="H162" s="3">
        <v>2.1947393657545455E-2</v>
      </c>
      <c r="I162" s="3">
        <v>2.2196954197552236E-2</v>
      </c>
      <c r="J162" s="3">
        <v>2.2498527661132698E-2</v>
      </c>
      <c r="K162" s="3">
        <v>2.2824211332822544E-2</v>
      </c>
      <c r="L162" s="3">
        <v>2.3207986854085847E-2</v>
      </c>
      <c r="M162" s="3">
        <v>2.3546142413187404E-2</v>
      </c>
      <c r="N162" s="3">
        <v>2.3916677207141409E-2</v>
      </c>
      <c r="O162" s="3">
        <v>2.4282707281594929E-2</v>
      </c>
      <c r="P162" s="3">
        <v>2.4641595592432355E-2</v>
      </c>
    </row>
    <row r="163" spans="1:16">
      <c r="A163" s="84" t="s">
        <v>399</v>
      </c>
      <c r="B163" s="85" t="s">
        <v>398</v>
      </c>
      <c r="C163" s="85" t="s">
        <v>74</v>
      </c>
      <c r="D163" s="84" t="s">
        <v>75</v>
      </c>
      <c r="E163" s="84">
        <v>3</v>
      </c>
      <c r="F163" s="3">
        <v>7.2946609771625814E-2</v>
      </c>
      <c r="G163" s="3">
        <v>7.2296682910620011E-2</v>
      </c>
      <c r="H163" s="3">
        <v>7.1377057800335958E-2</v>
      </c>
      <c r="I163" s="3">
        <v>7.0540774260073658E-2</v>
      </c>
      <c r="J163" s="3">
        <v>6.969751650728595E-2</v>
      </c>
      <c r="K163" s="3">
        <v>6.8864919523234175E-2</v>
      </c>
      <c r="L163" s="3">
        <v>6.8059745544185604E-2</v>
      </c>
      <c r="M163" s="3">
        <v>6.719990018602974E-2</v>
      </c>
      <c r="N163" s="3">
        <v>6.6403407360286007E-2</v>
      </c>
      <c r="O163" s="3">
        <v>6.5635066813752044E-2</v>
      </c>
      <c r="P163" s="3">
        <v>6.489495378380955E-2</v>
      </c>
    </row>
    <row r="164" spans="1:16">
      <c r="A164" s="84" t="s">
        <v>401</v>
      </c>
      <c r="B164" s="85" t="s">
        <v>400</v>
      </c>
      <c r="C164" s="85" t="s">
        <v>99</v>
      </c>
      <c r="D164" s="84" t="s">
        <v>84</v>
      </c>
      <c r="E164" s="84">
        <v>4</v>
      </c>
      <c r="F164" s="3">
        <v>5.6824617935635341E-2</v>
      </c>
      <c r="G164" s="3">
        <v>5.6693286945520706E-2</v>
      </c>
      <c r="H164" s="3">
        <v>5.6242378004727825E-2</v>
      </c>
      <c r="I164" s="3">
        <v>5.5923760605947385E-2</v>
      </c>
      <c r="J164" s="3">
        <v>5.561121521872029E-2</v>
      </c>
      <c r="K164" s="3">
        <v>5.5317709822889818E-2</v>
      </c>
      <c r="L164" s="3">
        <v>5.5133237947600396E-2</v>
      </c>
      <c r="M164" s="3">
        <v>5.4837562867927687E-2</v>
      </c>
      <c r="N164" s="3">
        <v>5.4595569944226818E-2</v>
      </c>
      <c r="O164" s="3">
        <v>5.4314298715052556E-2</v>
      </c>
      <c r="P164" s="3">
        <v>5.3974594377716442E-2</v>
      </c>
    </row>
    <row r="165" spans="1:16">
      <c r="A165" s="84" t="s">
        <v>403</v>
      </c>
      <c r="B165" s="85" t="s">
        <v>402</v>
      </c>
      <c r="C165" s="85" t="s">
        <v>83</v>
      </c>
      <c r="D165" s="84" t="s">
        <v>80</v>
      </c>
      <c r="E165" s="84" t="s">
        <v>76</v>
      </c>
      <c r="F165" s="3">
        <v>3.6085884664119328E-2</v>
      </c>
      <c r="G165" s="3">
        <v>3.5801797960610011E-2</v>
      </c>
      <c r="H165" s="3">
        <v>3.5524410236397512E-2</v>
      </c>
      <c r="I165" s="3">
        <v>3.528212273645568E-2</v>
      </c>
      <c r="J165" s="3">
        <v>3.5049873811736069E-2</v>
      </c>
      <c r="K165" s="3">
        <v>3.4817749887663375E-2</v>
      </c>
      <c r="L165" s="3">
        <v>3.4637361211165375E-2</v>
      </c>
      <c r="M165" s="3">
        <v>3.4429525344231E-2</v>
      </c>
      <c r="N165" s="3">
        <v>3.4225609668865578E-2</v>
      </c>
      <c r="O165" s="3">
        <v>3.4003397617492291E-2</v>
      </c>
      <c r="P165" s="3">
        <v>3.3756605482149447E-2</v>
      </c>
    </row>
    <row r="166" spans="1:16">
      <c r="A166" s="84" t="s">
        <v>405</v>
      </c>
      <c r="B166" s="85" t="s">
        <v>404</v>
      </c>
      <c r="C166" s="85" t="s">
        <v>79</v>
      </c>
      <c r="D166" s="84" t="s">
        <v>87</v>
      </c>
      <c r="E166" s="84">
        <v>1</v>
      </c>
      <c r="F166" s="3">
        <v>1.9471793887576385E-2</v>
      </c>
      <c r="G166" s="3">
        <v>1.9570480240526308E-2</v>
      </c>
      <c r="H166" s="3">
        <v>1.9846332435848657E-2</v>
      </c>
      <c r="I166" s="3">
        <v>2.0121290394316167E-2</v>
      </c>
      <c r="J166" s="3">
        <v>2.0425377863955371E-2</v>
      </c>
      <c r="K166" s="3">
        <v>2.0741519109727675E-2</v>
      </c>
      <c r="L166" s="3">
        <v>2.1093157012522092E-2</v>
      </c>
      <c r="M166" s="3">
        <v>2.1410315979119666E-2</v>
      </c>
      <c r="N166" s="3">
        <v>2.1751017031033434E-2</v>
      </c>
      <c r="O166" s="3">
        <v>2.2097278386009937E-2</v>
      </c>
      <c r="P166" s="3">
        <v>2.2450183341779287E-2</v>
      </c>
    </row>
    <row r="167" spans="1:16">
      <c r="A167" s="84" t="s">
        <v>407</v>
      </c>
      <c r="B167" s="85" t="s">
        <v>406</v>
      </c>
      <c r="C167" s="85" t="s">
        <v>110</v>
      </c>
      <c r="D167" s="84" t="s">
        <v>84</v>
      </c>
      <c r="E167" s="84">
        <v>2</v>
      </c>
      <c r="F167" s="3">
        <v>3.1779112278102276E-2</v>
      </c>
      <c r="G167" s="3">
        <v>3.1935523450135686E-2</v>
      </c>
      <c r="H167" s="3">
        <v>3.1719215277023302E-2</v>
      </c>
      <c r="I167" s="3">
        <v>3.1616379057972703E-2</v>
      </c>
      <c r="J167" s="3">
        <v>3.1502451211663916E-2</v>
      </c>
      <c r="K167" s="3">
        <v>3.1400292051927736E-2</v>
      </c>
      <c r="L167" s="3">
        <v>3.1361715869350618E-2</v>
      </c>
      <c r="M167" s="3">
        <v>3.1240755529886262E-2</v>
      </c>
      <c r="N167" s="3">
        <v>3.1149489028826149E-2</v>
      </c>
      <c r="O167" s="3">
        <v>3.1035941421665009E-2</v>
      </c>
      <c r="P167" s="3">
        <v>3.0897123012502782E-2</v>
      </c>
    </row>
    <row r="168" spans="1:16">
      <c r="A168" s="84" t="s">
        <v>409</v>
      </c>
      <c r="B168" s="85" t="s">
        <v>408</v>
      </c>
      <c r="C168" s="85" t="s">
        <v>74</v>
      </c>
      <c r="D168" s="84" t="s">
        <v>75</v>
      </c>
      <c r="E168" s="84">
        <v>3</v>
      </c>
      <c r="F168" s="3">
        <v>5.6990972346938597E-2</v>
      </c>
      <c r="G168" s="3">
        <v>5.6578950058744908E-2</v>
      </c>
      <c r="H168" s="3">
        <v>5.5982027843984171E-2</v>
      </c>
      <c r="I168" s="3">
        <v>5.5438640335675443E-2</v>
      </c>
      <c r="J168" s="3">
        <v>5.4889452790864643E-2</v>
      </c>
      <c r="K168" s="3">
        <v>5.4346315730227766E-2</v>
      </c>
      <c r="L168" s="3">
        <v>5.3832648473006124E-2</v>
      </c>
      <c r="M168" s="3">
        <v>5.3319439637464043E-2</v>
      </c>
      <c r="N168" s="3">
        <v>5.2808572186127306E-2</v>
      </c>
      <c r="O168" s="3">
        <v>5.2293940684732504E-2</v>
      </c>
      <c r="P168" s="3">
        <v>5.1772924009811351E-2</v>
      </c>
    </row>
    <row r="169" spans="1:16">
      <c r="A169" s="84" t="s">
        <v>411</v>
      </c>
      <c r="B169" s="85" t="s">
        <v>410</v>
      </c>
      <c r="C169" s="85" t="s">
        <v>74</v>
      </c>
      <c r="D169" s="84" t="s">
        <v>75</v>
      </c>
      <c r="E169" s="84">
        <v>3</v>
      </c>
      <c r="F169" s="3">
        <v>5.8967863747894741E-2</v>
      </c>
      <c r="G169" s="3">
        <v>5.8336135210096868E-2</v>
      </c>
      <c r="H169" s="3">
        <v>5.776379624895104E-2</v>
      </c>
      <c r="I169" s="3">
        <v>5.7224625884963382E-2</v>
      </c>
      <c r="J169" s="3">
        <v>5.6683090566763419E-2</v>
      </c>
      <c r="K169" s="3">
        <v>5.6114548128845018E-2</v>
      </c>
      <c r="L169" s="3">
        <v>5.5572238719772425E-2</v>
      </c>
      <c r="M169" s="3">
        <v>5.4874841943894276E-2</v>
      </c>
      <c r="N169" s="3">
        <v>5.4240712348297387E-2</v>
      </c>
      <c r="O169" s="3">
        <v>5.3621226469611254E-2</v>
      </c>
      <c r="P169" s="3">
        <v>5.3029872334716899E-2</v>
      </c>
    </row>
    <row r="170" spans="1:16">
      <c r="A170" s="84" t="s">
        <v>413</v>
      </c>
      <c r="B170" s="85" t="s">
        <v>412</v>
      </c>
      <c r="C170" s="85" t="s">
        <v>92</v>
      </c>
      <c r="D170" s="84" t="s">
        <v>80</v>
      </c>
      <c r="E170" s="84">
        <v>1</v>
      </c>
      <c r="F170" s="3">
        <v>3.4561859345597724E-2</v>
      </c>
      <c r="G170" s="3">
        <v>3.4319951692833063E-2</v>
      </c>
      <c r="H170" s="3">
        <v>3.4047775237257834E-2</v>
      </c>
      <c r="I170" s="3">
        <v>3.3783060654498251E-2</v>
      </c>
      <c r="J170" s="3">
        <v>3.3512493587072915E-2</v>
      </c>
      <c r="K170" s="3">
        <v>3.3236115548318637E-2</v>
      </c>
      <c r="L170" s="3">
        <v>3.3014839787228925E-2</v>
      </c>
      <c r="M170" s="3">
        <v>3.2748590091162398E-2</v>
      </c>
      <c r="N170" s="3">
        <v>3.2511268314219133E-2</v>
      </c>
      <c r="O170" s="3">
        <v>3.2278421480183006E-2</v>
      </c>
      <c r="P170" s="3">
        <v>3.2042287821743093E-2</v>
      </c>
    </row>
    <row r="171" spans="1:16">
      <c r="A171" s="84" t="s">
        <v>415</v>
      </c>
      <c r="B171" s="85" t="s">
        <v>414</v>
      </c>
      <c r="C171" s="85" t="s">
        <v>83</v>
      </c>
      <c r="D171" s="84" t="s">
        <v>84</v>
      </c>
      <c r="E171" s="84">
        <v>3</v>
      </c>
      <c r="F171" s="3">
        <v>4.5395437851550466E-2</v>
      </c>
      <c r="G171" s="3">
        <v>4.5298751025330562E-2</v>
      </c>
      <c r="H171" s="3">
        <v>4.4689896793746381E-2</v>
      </c>
      <c r="I171" s="3">
        <v>4.4269510362555969E-2</v>
      </c>
      <c r="J171" s="3">
        <v>4.3843990818043826E-2</v>
      </c>
      <c r="K171" s="3">
        <v>4.3439127360006879E-2</v>
      </c>
      <c r="L171" s="3">
        <v>4.3135273207053668E-2</v>
      </c>
      <c r="M171" s="3">
        <v>4.27462450876595E-2</v>
      </c>
      <c r="N171" s="3">
        <v>4.2387758800344316E-2</v>
      </c>
      <c r="O171" s="3">
        <v>4.1990386354573535E-2</v>
      </c>
      <c r="P171" s="3">
        <v>4.1537300523437543E-2</v>
      </c>
    </row>
    <row r="172" spans="1:16">
      <c r="A172" s="84" t="s">
        <v>417</v>
      </c>
      <c r="B172" s="85" t="s">
        <v>416</v>
      </c>
      <c r="C172" s="85" t="s">
        <v>79</v>
      </c>
      <c r="D172" s="84" t="s">
        <v>87</v>
      </c>
      <c r="E172" s="84">
        <v>1</v>
      </c>
      <c r="F172" s="3">
        <v>2.7554159662064662E-2</v>
      </c>
      <c r="G172" s="3">
        <v>2.7248791473408602E-2</v>
      </c>
      <c r="H172" s="3">
        <v>2.7285835481977029E-2</v>
      </c>
      <c r="I172" s="3">
        <v>2.7257621121345117E-2</v>
      </c>
      <c r="J172" s="3">
        <v>2.7286656845566352E-2</v>
      </c>
      <c r="K172" s="3">
        <v>2.7357175768958641E-2</v>
      </c>
      <c r="L172" s="3">
        <v>2.7443286324499626E-2</v>
      </c>
      <c r="M172" s="3">
        <v>2.763470561839259E-2</v>
      </c>
      <c r="N172" s="3">
        <v>2.7808887288577031E-2</v>
      </c>
      <c r="O172" s="3">
        <v>2.7979861707168666E-2</v>
      </c>
      <c r="P172" s="3">
        <v>2.8130693865376758E-2</v>
      </c>
    </row>
    <row r="173" spans="1:16">
      <c r="A173" s="84" t="s">
        <v>419</v>
      </c>
      <c r="B173" s="85" t="s">
        <v>418</v>
      </c>
      <c r="C173" s="85" t="s">
        <v>79</v>
      </c>
      <c r="D173" s="84" t="s">
        <v>87</v>
      </c>
      <c r="E173" s="84">
        <v>1</v>
      </c>
      <c r="F173" s="3">
        <v>2.4686508401104583E-2</v>
      </c>
      <c r="G173" s="3">
        <v>2.4619868321919942E-2</v>
      </c>
      <c r="H173" s="3">
        <v>2.4604159470595022E-2</v>
      </c>
      <c r="I173" s="3">
        <v>2.4553758743589386E-2</v>
      </c>
      <c r="J173" s="3">
        <v>2.4514130951444817E-2</v>
      </c>
      <c r="K173" s="3">
        <v>2.4490263788806539E-2</v>
      </c>
      <c r="L173" s="3">
        <v>2.4448711407681525E-2</v>
      </c>
      <c r="M173" s="3">
        <v>2.4515439595616261E-2</v>
      </c>
      <c r="N173" s="3">
        <v>2.4543608370895888E-2</v>
      </c>
      <c r="O173" s="3">
        <v>2.4583730701191228E-2</v>
      </c>
      <c r="P173" s="3">
        <v>2.4639088013797644E-2</v>
      </c>
    </row>
    <row r="174" spans="1:16">
      <c r="A174" s="84" t="s">
        <v>421</v>
      </c>
      <c r="B174" s="85" t="s">
        <v>420</v>
      </c>
      <c r="C174" s="85" t="s">
        <v>74</v>
      </c>
      <c r="D174" s="84" t="s">
        <v>75</v>
      </c>
      <c r="E174" s="84">
        <v>2</v>
      </c>
      <c r="F174" s="3">
        <v>3.6317866718632179E-2</v>
      </c>
      <c r="G174" s="3">
        <v>3.5540322865609444E-2</v>
      </c>
      <c r="H174" s="3">
        <v>3.5072277674041134E-2</v>
      </c>
      <c r="I174" s="3">
        <v>3.4450672040883916E-2</v>
      </c>
      <c r="J174" s="3">
        <v>3.3920355835768169E-2</v>
      </c>
      <c r="K174" s="3">
        <v>3.3523040048900138E-2</v>
      </c>
      <c r="L174" s="3">
        <v>3.3503850347879803E-2</v>
      </c>
      <c r="M174" s="3">
        <v>3.3279235001240498E-2</v>
      </c>
      <c r="N174" s="3">
        <v>3.3303620649544743E-2</v>
      </c>
      <c r="O174" s="3">
        <v>3.3345653536910123E-2</v>
      </c>
      <c r="P174" s="3">
        <v>3.3362169178134532E-2</v>
      </c>
    </row>
    <row r="175" spans="1:16">
      <c r="A175" s="84" t="s">
        <v>423</v>
      </c>
      <c r="B175" s="85" t="s">
        <v>422</v>
      </c>
      <c r="C175" s="85" t="s">
        <v>83</v>
      </c>
      <c r="D175" s="84" t="s">
        <v>84</v>
      </c>
      <c r="E175" s="84" t="s">
        <v>76</v>
      </c>
      <c r="F175" s="3">
        <v>6.4612111272648889E-2</v>
      </c>
      <c r="G175" s="3">
        <v>6.4197429818059523E-2</v>
      </c>
      <c r="H175" s="3">
        <v>6.370172888325909E-2</v>
      </c>
      <c r="I175" s="3">
        <v>6.3226716243366926E-2</v>
      </c>
      <c r="J175" s="3">
        <v>6.2731541651467576E-2</v>
      </c>
      <c r="K175" s="3">
        <v>6.2214635464867732E-2</v>
      </c>
      <c r="L175" s="3">
        <v>6.1718985840632665E-2</v>
      </c>
      <c r="M175" s="3">
        <v>6.1143821558439462E-2</v>
      </c>
      <c r="N175" s="3">
        <v>6.0590667062775889E-2</v>
      </c>
      <c r="O175" s="3">
        <v>6.0040833866406046E-2</v>
      </c>
      <c r="P175" s="3">
        <v>5.9502957550387453E-2</v>
      </c>
    </row>
    <row r="176" spans="1:16">
      <c r="A176" s="84" t="s">
        <v>425</v>
      </c>
      <c r="B176" s="85" t="s">
        <v>424</v>
      </c>
      <c r="C176" s="85" t="s">
        <v>79</v>
      </c>
      <c r="D176" s="84" t="s">
        <v>75</v>
      </c>
      <c r="E176" s="84">
        <v>2</v>
      </c>
      <c r="F176" s="3">
        <v>4.8786653620369977E-2</v>
      </c>
      <c r="G176" s="3">
        <v>4.9174788394986527E-2</v>
      </c>
      <c r="H176" s="3">
        <v>4.9495563026095195E-2</v>
      </c>
      <c r="I176" s="3">
        <v>4.9956601374733053E-2</v>
      </c>
      <c r="J176" s="3">
        <v>5.0397370447908985E-2</v>
      </c>
      <c r="K176" s="3">
        <v>5.0761489570909146E-2</v>
      </c>
      <c r="L176" s="3">
        <v>5.1319505091387871E-2</v>
      </c>
      <c r="M176" s="3">
        <v>5.1198044818611989E-2</v>
      </c>
      <c r="N176" s="3">
        <v>5.1244138450795347E-2</v>
      </c>
      <c r="O176" s="3">
        <v>5.1117551459370733E-2</v>
      </c>
      <c r="P176" s="3">
        <v>5.0799732845122812E-2</v>
      </c>
    </row>
    <row r="177" spans="1:16">
      <c r="A177" s="84" t="s">
        <v>427</v>
      </c>
      <c r="B177" s="85" t="s">
        <v>426</v>
      </c>
      <c r="C177" s="85" t="s">
        <v>110</v>
      </c>
      <c r="D177" s="84" t="s">
        <v>80</v>
      </c>
      <c r="E177" s="84">
        <v>1</v>
      </c>
      <c r="F177" s="3">
        <v>2.1237587021786731E-2</v>
      </c>
      <c r="G177" s="3">
        <v>2.1253132972766643E-2</v>
      </c>
      <c r="H177" s="3">
        <v>2.1228480538955298E-2</v>
      </c>
      <c r="I177" s="3">
        <v>2.123208031585971E-2</v>
      </c>
      <c r="J177" s="3">
        <v>2.1246868180350879E-2</v>
      </c>
      <c r="K177" s="3">
        <v>2.1274891281350669E-2</v>
      </c>
      <c r="L177" s="3">
        <v>2.1337216081385755E-2</v>
      </c>
      <c r="M177" s="3">
        <v>2.138946392762342E-2</v>
      </c>
      <c r="N177" s="3">
        <v>2.1451175473759979E-2</v>
      </c>
      <c r="O177" s="3">
        <v>2.1503891666264718E-2</v>
      </c>
      <c r="P177" s="3">
        <v>2.1541019848904146E-2</v>
      </c>
    </row>
    <row r="178" spans="1:16">
      <c r="A178" s="84" t="s">
        <v>429</v>
      </c>
      <c r="B178" s="85" t="s">
        <v>428</v>
      </c>
      <c r="C178" s="85" t="s">
        <v>110</v>
      </c>
      <c r="D178" s="84" t="s">
        <v>84</v>
      </c>
      <c r="E178" s="84">
        <v>4</v>
      </c>
      <c r="F178" s="3">
        <v>5.0536081472941807E-2</v>
      </c>
      <c r="G178" s="3">
        <v>4.991942663759294E-2</v>
      </c>
      <c r="H178" s="3">
        <v>4.8874838736365299E-2</v>
      </c>
      <c r="I178" s="3">
        <v>4.7859516891706706E-2</v>
      </c>
      <c r="J178" s="3">
        <v>4.6844792388609578E-2</v>
      </c>
      <c r="K178" s="3">
        <v>4.5906442731790301E-2</v>
      </c>
      <c r="L178" s="3">
        <v>4.5083979902455183E-2</v>
      </c>
      <c r="M178" s="3">
        <v>4.4316319100758755E-2</v>
      </c>
      <c r="N178" s="3">
        <v>4.3618579330512761E-2</v>
      </c>
      <c r="O178" s="3">
        <v>4.2967512859234246E-2</v>
      </c>
      <c r="P178" s="3">
        <v>4.234334198307272E-2</v>
      </c>
    </row>
    <row r="179" spans="1:16">
      <c r="A179" s="84" t="s">
        <v>431</v>
      </c>
      <c r="B179" s="85" t="s">
        <v>430</v>
      </c>
      <c r="C179" s="85" t="s">
        <v>83</v>
      </c>
      <c r="D179" s="84" t="s">
        <v>75</v>
      </c>
      <c r="E179" s="84">
        <v>3</v>
      </c>
      <c r="F179" s="3">
        <v>5.7891439083381027E-2</v>
      </c>
      <c r="G179" s="3">
        <v>5.75220232938266E-2</v>
      </c>
      <c r="H179" s="3">
        <v>5.7003020392622637E-2</v>
      </c>
      <c r="I179" s="3">
        <v>5.6540567350471298E-2</v>
      </c>
      <c r="J179" s="3">
        <v>5.6069012319359179E-2</v>
      </c>
      <c r="K179" s="3">
        <v>5.5591583272661713E-2</v>
      </c>
      <c r="L179" s="3">
        <v>5.5147693469028203E-2</v>
      </c>
      <c r="M179" s="3">
        <v>5.4656687369782408E-2</v>
      </c>
      <c r="N179" s="3">
        <v>5.4180263065311263E-2</v>
      </c>
      <c r="O179" s="3">
        <v>5.3696889430995841E-2</v>
      </c>
      <c r="P179" s="3">
        <v>5.320707834601994E-2</v>
      </c>
    </row>
    <row r="180" spans="1:16">
      <c r="A180" s="84" t="s">
        <v>433</v>
      </c>
      <c r="B180" s="85" t="s">
        <v>432</v>
      </c>
      <c r="C180" s="85" t="s">
        <v>99</v>
      </c>
      <c r="D180" s="84" t="s">
        <v>80</v>
      </c>
      <c r="E180" s="84">
        <v>1</v>
      </c>
      <c r="F180" s="3">
        <v>4.6911397766299323E-2</v>
      </c>
      <c r="G180" s="3">
        <v>4.6922134669177454E-2</v>
      </c>
      <c r="H180" s="3">
        <v>4.669062919798133E-2</v>
      </c>
      <c r="I180" s="3">
        <v>4.6574725076617973E-2</v>
      </c>
      <c r="J180" s="3">
        <v>4.6430010295895073E-2</v>
      </c>
      <c r="K180" s="3">
        <v>4.6218823634019454E-2</v>
      </c>
      <c r="L180" s="3">
        <v>4.6031423600378006E-2</v>
      </c>
      <c r="M180" s="3">
        <v>4.5637548571578951E-2</v>
      </c>
      <c r="N180" s="3">
        <v>4.5275984913811892E-2</v>
      </c>
      <c r="O180" s="3">
        <v>4.4891533750821715E-2</v>
      </c>
      <c r="P180" s="3">
        <v>4.4464297986392683E-2</v>
      </c>
    </row>
    <row r="181" spans="1:16">
      <c r="A181" s="84" t="s">
        <v>435</v>
      </c>
      <c r="B181" s="85" t="s">
        <v>434</v>
      </c>
      <c r="C181" s="85" t="s">
        <v>92</v>
      </c>
      <c r="D181" s="84" t="s">
        <v>87</v>
      </c>
      <c r="E181" s="84">
        <v>1</v>
      </c>
      <c r="F181" s="3">
        <v>2.4152244641067227E-2</v>
      </c>
      <c r="G181" s="3">
        <v>2.4245223886717265E-2</v>
      </c>
      <c r="H181" s="3">
        <v>2.4217142165368629E-2</v>
      </c>
      <c r="I181" s="3">
        <v>2.4271336594720326E-2</v>
      </c>
      <c r="J181" s="3">
        <v>2.4326213197453522E-2</v>
      </c>
      <c r="K181" s="3">
        <v>2.4385598228604567E-2</v>
      </c>
      <c r="L181" s="3">
        <v>2.4528888251405305E-2</v>
      </c>
      <c r="M181" s="3">
        <v>2.4546868595751392E-2</v>
      </c>
      <c r="N181" s="3">
        <v>2.4619461418052723E-2</v>
      </c>
      <c r="O181" s="3">
        <v>2.4669328145441066E-2</v>
      </c>
      <c r="P181" s="3">
        <v>2.4689380850628634E-2</v>
      </c>
    </row>
    <row r="182" spans="1:16">
      <c r="A182" s="84" t="s">
        <v>437</v>
      </c>
      <c r="B182" s="85" t="s">
        <v>436</v>
      </c>
      <c r="C182" s="85" t="s">
        <v>74</v>
      </c>
      <c r="D182" s="84" t="s">
        <v>84</v>
      </c>
      <c r="E182" s="84">
        <v>3</v>
      </c>
      <c r="F182" s="3">
        <v>2.8854877613988424E-2</v>
      </c>
      <c r="G182" s="3">
        <v>2.8524161887179766E-2</v>
      </c>
      <c r="H182" s="3">
        <v>2.8205355640261946E-2</v>
      </c>
      <c r="I182" s="3">
        <v>2.8022739295820775E-2</v>
      </c>
      <c r="J182" s="3">
        <v>2.7920121531600735E-2</v>
      </c>
      <c r="K182" s="3">
        <v>2.7883077491175856E-2</v>
      </c>
      <c r="L182" s="3">
        <v>2.7969779579498987E-2</v>
      </c>
      <c r="M182" s="3">
        <v>2.8016694986228951E-2</v>
      </c>
      <c r="N182" s="3">
        <v>2.8153252110949639E-2</v>
      </c>
      <c r="O182" s="3">
        <v>2.8311506451186748E-2</v>
      </c>
      <c r="P182" s="3">
        <v>2.8478911355269695E-2</v>
      </c>
    </row>
    <row r="183" spans="1:16">
      <c r="A183" s="84" t="s">
        <v>439</v>
      </c>
      <c r="B183" s="85" t="s">
        <v>438</v>
      </c>
      <c r="C183" s="85" t="s">
        <v>79</v>
      </c>
      <c r="D183" s="84" t="s">
        <v>80</v>
      </c>
      <c r="E183" s="84">
        <v>1</v>
      </c>
      <c r="F183" s="3">
        <v>3.0214860835724746E-2</v>
      </c>
      <c r="G183" s="3">
        <v>2.9950312188564872E-2</v>
      </c>
      <c r="H183" s="3">
        <v>2.9702966301487332E-2</v>
      </c>
      <c r="I183" s="3">
        <v>2.9489328594471485E-2</v>
      </c>
      <c r="J183" s="3">
        <v>2.9281426499223794E-2</v>
      </c>
      <c r="K183" s="3">
        <v>2.9067032302654852E-2</v>
      </c>
      <c r="L183" s="3">
        <v>2.8895404757654748E-2</v>
      </c>
      <c r="M183" s="3">
        <v>2.8623074315869683E-2</v>
      </c>
      <c r="N183" s="3">
        <v>2.840246501458818E-2</v>
      </c>
      <c r="O183" s="3">
        <v>2.8197692815919839E-2</v>
      </c>
      <c r="P183" s="3">
        <v>2.8017549724321321E-2</v>
      </c>
    </row>
    <row r="184" spans="1:16">
      <c r="A184" s="84" t="s">
        <v>441</v>
      </c>
      <c r="B184" s="85" t="s">
        <v>440</v>
      </c>
      <c r="C184" s="85" t="s">
        <v>79</v>
      </c>
      <c r="D184" s="84" t="s">
        <v>80</v>
      </c>
      <c r="E184" s="84">
        <v>1</v>
      </c>
      <c r="F184" s="3">
        <v>3.6485181351395224E-2</v>
      </c>
      <c r="G184" s="3">
        <v>3.6169414706082939E-2</v>
      </c>
      <c r="H184" s="3">
        <v>3.6077384753381049E-2</v>
      </c>
      <c r="I184" s="3">
        <v>3.6139443851527224E-2</v>
      </c>
      <c r="J184" s="3">
        <v>3.6266634090424799E-2</v>
      </c>
      <c r="K184" s="3">
        <v>3.6387972595402204E-2</v>
      </c>
      <c r="L184" s="3">
        <v>3.663271238430782E-2</v>
      </c>
      <c r="M184" s="3">
        <v>3.6618421541630142E-2</v>
      </c>
      <c r="N184" s="3">
        <v>3.6704079838043226E-2</v>
      </c>
      <c r="O184" s="3">
        <v>3.6751866759375459E-2</v>
      </c>
      <c r="P184" s="3">
        <v>3.6753230573088012E-2</v>
      </c>
    </row>
    <row r="185" spans="1:16">
      <c r="A185" s="84" t="s">
        <v>443</v>
      </c>
      <c r="B185" s="85" t="s">
        <v>442</v>
      </c>
      <c r="C185" s="85" t="s">
        <v>99</v>
      </c>
      <c r="D185" s="84" t="s">
        <v>80</v>
      </c>
      <c r="E185" s="84">
        <v>4</v>
      </c>
      <c r="F185" s="3">
        <v>0</v>
      </c>
      <c r="G185" s="3">
        <v>0</v>
      </c>
      <c r="H185" s="3">
        <v>0</v>
      </c>
      <c r="I185" s="3">
        <v>0</v>
      </c>
      <c r="J185" s="3">
        <v>0</v>
      </c>
      <c r="K185" s="3">
        <v>0</v>
      </c>
      <c r="L185" s="3">
        <v>0</v>
      </c>
      <c r="M185" s="3">
        <v>0</v>
      </c>
      <c r="N185" s="3">
        <v>0</v>
      </c>
      <c r="O185" s="3">
        <v>0</v>
      </c>
      <c r="P185" s="3">
        <v>0</v>
      </c>
    </row>
    <row r="186" spans="1:16">
      <c r="A186" s="84" t="s">
        <v>445</v>
      </c>
      <c r="B186" s="85" t="s">
        <v>444</v>
      </c>
      <c r="C186" s="85" t="s">
        <v>83</v>
      </c>
      <c r="D186" s="84" t="s">
        <v>75</v>
      </c>
      <c r="E186" s="84" t="s">
        <v>76</v>
      </c>
      <c r="F186" s="3">
        <v>6.0704542111138814E-2</v>
      </c>
      <c r="G186" s="3">
        <v>5.9958799539577542E-2</v>
      </c>
      <c r="H186" s="3">
        <v>5.8712845272682695E-2</v>
      </c>
      <c r="I186" s="3">
        <v>5.7633278908087025E-2</v>
      </c>
      <c r="J186" s="3">
        <v>5.6567853092199624E-2</v>
      </c>
      <c r="K186" s="3">
        <v>5.5559389616714833E-2</v>
      </c>
      <c r="L186" s="3">
        <v>5.4612951846179612E-2</v>
      </c>
      <c r="M186" s="3">
        <v>5.3750013404701279E-2</v>
      </c>
      <c r="N186" s="3">
        <v>5.2910832681115481E-2</v>
      </c>
      <c r="O186" s="3">
        <v>5.2106818570472245E-2</v>
      </c>
      <c r="P186" s="3">
        <v>5.1330975680582903E-2</v>
      </c>
    </row>
    <row r="187" spans="1:16">
      <c r="A187" s="84" t="s">
        <v>447</v>
      </c>
      <c r="B187" s="85" t="s">
        <v>446</v>
      </c>
      <c r="C187" s="85" t="s">
        <v>79</v>
      </c>
      <c r="D187" s="84" t="s">
        <v>84</v>
      </c>
      <c r="E187" s="84">
        <v>1</v>
      </c>
      <c r="F187" s="3">
        <v>2.031161398462026E-2</v>
      </c>
      <c r="G187" s="3">
        <v>2.0426501326487868E-2</v>
      </c>
      <c r="H187" s="3">
        <v>2.0556500975614102E-2</v>
      </c>
      <c r="I187" s="3">
        <v>2.0774392158504792E-2</v>
      </c>
      <c r="J187" s="3">
        <v>2.1010423952567629E-2</v>
      </c>
      <c r="K187" s="3">
        <v>2.1240689773814544E-2</v>
      </c>
      <c r="L187" s="3">
        <v>2.1520272083646975E-2</v>
      </c>
      <c r="M187" s="3">
        <v>2.1725647110122839E-2</v>
      </c>
      <c r="N187" s="3">
        <v>2.1958413447102417E-2</v>
      </c>
      <c r="O187" s="3">
        <v>2.218382977341932E-2</v>
      </c>
      <c r="P187" s="3">
        <v>2.2400320023457106E-2</v>
      </c>
    </row>
    <row r="188" spans="1:16">
      <c r="A188" s="84" t="s">
        <v>449</v>
      </c>
      <c r="B188" s="85" t="s">
        <v>448</v>
      </c>
      <c r="C188" s="85" t="s">
        <v>74</v>
      </c>
      <c r="D188" s="84" t="s">
        <v>87</v>
      </c>
      <c r="E188" s="84">
        <v>1</v>
      </c>
      <c r="F188" s="3">
        <v>1.8814386619920909E-2</v>
      </c>
      <c r="G188" s="3">
        <v>1.8671029958280412E-2</v>
      </c>
      <c r="H188" s="3">
        <v>1.8879455167909207E-2</v>
      </c>
      <c r="I188" s="3">
        <v>1.9051933031148837E-2</v>
      </c>
      <c r="J188" s="3">
        <v>1.9259255696979186E-2</v>
      </c>
      <c r="K188" s="3">
        <v>1.946695290510889E-2</v>
      </c>
      <c r="L188" s="3">
        <v>1.9683504722161307E-2</v>
      </c>
      <c r="M188" s="3">
        <v>1.992922137045668E-2</v>
      </c>
      <c r="N188" s="3">
        <v>2.0184002673843824E-2</v>
      </c>
      <c r="O188" s="3">
        <v>2.0479859808960471E-2</v>
      </c>
      <c r="P188" s="3">
        <v>2.0827768249346679E-2</v>
      </c>
    </row>
    <row r="189" spans="1:16">
      <c r="A189" s="84" t="s">
        <v>451</v>
      </c>
      <c r="B189" s="85" t="s">
        <v>450</v>
      </c>
      <c r="C189" s="85" t="s">
        <v>79</v>
      </c>
      <c r="D189" s="84" t="s">
        <v>87</v>
      </c>
      <c r="E189" s="84">
        <v>1</v>
      </c>
      <c r="F189" s="3">
        <v>2.6555371735722415E-2</v>
      </c>
      <c r="G189" s="3">
        <v>2.6318676824682464E-2</v>
      </c>
      <c r="H189" s="3">
        <v>2.6390539423259848E-2</v>
      </c>
      <c r="I189" s="3">
        <v>2.6429671805459638E-2</v>
      </c>
      <c r="J189" s="3">
        <v>2.6508265173140453E-2</v>
      </c>
      <c r="K189" s="3">
        <v>2.6595628701783301E-2</v>
      </c>
      <c r="L189" s="3">
        <v>2.6661361058463832E-2</v>
      </c>
      <c r="M189" s="3">
        <v>2.6810738720510204E-2</v>
      </c>
      <c r="N189" s="3">
        <v>2.6922404265629463E-2</v>
      </c>
      <c r="O189" s="3">
        <v>2.7030688072138636E-2</v>
      </c>
      <c r="P189" s="3">
        <v>2.7133745413308395E-2</v>
      </c>
    </row>
    <row r="190" spans="1:16">
      <c r="A190" s="84" t="s">
        <v>453</v>
      </c>
      <c r="B190" s="85" t="s">
        <v>452</v>
      </c>
      <c r="C190" s="85" t="s">
        <v>92</v>
      </c>
      <c r="D190" s="84" t="s">
        <v>87</v>
      </c>
      <c r="E190" s="84" t="s">
        <v>76</v>
      </c>
      <c r="F190" s="3">
        <v>2.9308457936649268E-2</v>
      </c>
      <c r="G190" s="3">
        <v>2.9189054136201736E-2</v>
      </c>
      <c r="H190" s="3">
        <v>2.9210279541746511E-2</v>
      </c>
      <c r="I190" s="3">
        <v>2.9148493061027812E-2</v>
      </c>
      <c r="J190" s="3">
        <v>2.9077881501522684E-2</v>
      </c>
      <c r="K190" s="3">
        <v>2.8998628972465273E-2</v>
      </c>
      <c r="L190" s="3">
        <v>2.8871725812258293E-2</v>
      </c>
      <c r="M190" s="3">
        <v>2.8865329972000729E-2</v>
      </c>
      <c r="N190" s="3">
        <v>2.8785751654817632E-2</v>
      </c>
      <c r="O190" s="3">
        <v>2.8693075901689537E-2</v>
      </c>
      <c r="P190" s="3">
        <v>2.8585338255936853E-2</v>
      </c>
    </row>
    <row r="191" spans="1:16">
      <c r="A191" s="84" t="s">
        <v>455</v>
      </c>
      <c r="B191" s="85" t="s">
        <v>454</v>
      </c>
      <c r="C191" s="85" t="s">
        <v>92</v>
      </c>
      <c r="D191" s="84" t="s">
        <v>87</v>
      </c>
      <c r="E191" s="84">
        <v>1</v>
      </c>
      <c r="F191" s="3">
        <v>2.9621726453218526E-2</v>
      </c>
      <c r="G191" s="3">
        <v>2.946092246856542E-2</v>
      </c>
      <c r="H191" s="3">
        <v>2.9154896059916127E-2</v>
      </c>
      <c r="I191" s="3">
        <v>2.8874921243985725E-2</v>
      </c>
      <c r="J191" s="3">
        <v>2.859784734732709E-2</v>
      </c>
      <c r="K191" s="3">
        <v>2.8349665496691094E-2</v>
      </c>
      <c r="L191" s="3">
        <v>2.8138441910859117E-2</v>
      </c>
      <c r="M191" s="3">
        <v>2.7989849175589075E-2</v>
      </c>
      <c r="N191" s="3">
        <v>2.7849867485501292E-2</v>
      </c>
      <c r="O191" s="3">
        <v>2.772823210653692E-2</v>
      </c>
      <c r="P191" s="3">
        <v>2.7617360292912625E-2</v>
      </c>
    </row>
    <row r="192" spans="1:16">
      <c r="A192" s="84" t="s">
        <v>457</v>
      </c>
      <c r="B192" s="85" t="s">
        <v>456</v>
      </c>
      <c r="C192" s="85" t="s">
        <v>79</v>
      </c>
      <c r="D192" s="84" t="s">
        <v>84</v>
      </c>
      <c r="E192" s="84">
        <v>2</v>
      </c>
      <c r="F192" s="3">
        <v>3.3773784488627473E-2</v>
      </c>
      <c r="G192" s="3">
        <v>3.3849982650442749E-2</v>
      </c>
      <c r="H192" s="3">
        <v>3.3668322734099532E-2</v>
      </c>
      <c r="I192" s="3">
        <v>3.3625556260256088E-2</v>
      </c>
      <c r="J192" s="3">
        <v>3.3590561350017083E-2</v>
      </c>
      <c r="K192" s="3">
        <v>3.3566065581366884E-2</v>
      </c>
      <c r="L192" s="3">
        <v>3.3731555055308948E-2</v>
      </c>
      <c r="M192" s="3">
        <v>3.3567474127162836E-2</v>
      </c>
      <c r="N192" s="3">
        <v>3.3536990715463934E-2</v>
      </c>
      <c r="O192" s="3">
        <v>3.3450280985855035E-2</v>
      </c>
      <c r="P192" s="3">
        <v>3.3289891809147161E-2</v>
      </c>
    </row>
    <row r="193" spans="1:16">
      <c r="A193" s="84" t="s">
        <v>459</v>
      </c>
      <c r="B193" s="85" t="s">
        <v>458</v>
      </c>
      <c r="C193" s="85" t="s">
        <v>99</v>
      </c>
      <c r="D193" s="84" t="s">
        <v>84</v>
      </c>
      <c r="E193" s="84">
        <v>4</v>
      </c>
      <c r="F193" s="3">
        <v>5.2155406138162899E-2</v>
      </c>
      <c r="G193" s="3">
        <v>5.1929651073150764E-2</v>
      </c>
      <c r="H193" s="3">
        <v>5.1575580137288052E-2</v>
      </c>
      <c r="I193" s="3">
        <v>5.1248475052238222E-2</v>
      </c>
      <c r="J193" s="3">
        <v>5.0910833891703748E-2</v>
      </c>
      <c r="K193" s="3">
        <v>5.0575301442194041E-2</v>
      </c>
      <c r="L193" s="3">
        <v>5.029865430311177E-2</v>
      </c>
      <c r="M193" s="3">
        <v>4.9944118966094103E-2</v>
      </c>
      <c r="N193" s="3">
        <v>4.9608647036898976E-2</v>
      </c>
      <c r="O193" s="3">
        <v>4.9258999174251271E-2</v>
      </c>
      <c r="P193" s="3">
        <v>4.8897376846598853E-2</v>
      </c>
    </row>
    <row r="194" spans="1:16">
      <c r="A194" s="84" t="s">
        <v>461</v>
      </c>
      <c r="B194" s="85" t="s">
        <v>460</v>
      </c>
      <c r="C194" s="85" t="s">
        <v>92</v>
      </c>
      <c r="D194" s="84" t="s">
        <v>80</v>
      </c>
      <c r="E194" s="84">
        <v>1</v>
      </c>
      <c r="F194" s="3">
        <v>3.4717110645059883E-2</v>
      </c>
      <c r="G194" s="3">
        <v>3.4234248795843976E-2</v>
      </c>
      <c r="H194" s="3">
        <v>3.3842744111707151E-2</v>
      </c>
      <c r="I194" s="3">
        <v>3.3448110089867679E-2</v>
      </c>
      <c r="J194" s="3">
        <v>3.305054426960511E-2</v>
      </c>
      <c r="K194" s="3">
        <v>3.2629764323046442E-2</v>
      </c>
      <c r="L194" s="3">
        <v>3.2077163593882713E-2</v>
      </c>
      <c r="M194" s="3">
        <v>3.1844949149660323E-2</v>
      </c>
      <c r="N194" s="3">
        <v>3.1450178193208514E-2</v>
      </c>
      <c r="O194" s="3">
        <v>3.1065042713494737E-2</v>
      </c>
      <c r="P194" s="3">
        <v>3.0695937373575701E-2</v>
      </c>
    </row>
    <row r="195" spans="1:16">
      <c r="A195" s="84" t="s">
        <v>463</v>
      </c>
      <c r="B195" s="85" t="s">
        <v>462</v>
      </c>
      <c r="C195" s="85" t="s">
        <v>99</v>
      </c>
      <c r="D195" s="84" t="s">
        <v>84</v>
      </c>
      <c r="E195" s="84">
        <v>4</v>
      </c>
      <c r="F195" s="3">
        <v>3.0108681770306418E-2</v>
      </c>
      <c r="G195" s="3">
        <v>2.9832983158743644E-2</v>
      </c>
      <c r="H195" s="3">
        <v>2.8777334239107742E-2</v>
      </c>
      <c r="I195" s="3">
        <v>2.7919961688112723E-2</v>
      </c>
      <c r="J195" s="3">
        <v>2.717925834449085E-2</v>
      </c>
      <c r="K195" s="3">
        <v>2.6701712793479875E-2</v>
      </c>
      <c r="L195" s="3">
        <v>2.6359973513143262E-2</v>
      </c>
      <c r="M195" s="3">
        <v>2.6700982871832424E-2</v>
      </c>
      <c r="N195" s="3">
        <v>2.6996535185414165E-2</v>
      </c>
      <c r="O195" s="3">
        <v>2.7339779089495322E-2</v>
      </c>
      <c r="P195" s="3">
        <v>2.7634525516030038E-2</v>
      </c>
    </row>
    <row r="196" spans="1:16">
      <c r="A196" s="84" t="s">
        <v>465</v>
      </c>
      <c r="B196" s="85" t="s">
        <v>464</v>
      </c>
      <c r="C196" s="85" t="s">
        <v>74</v>
      </c>
      <c r="D196" s="84" t="s">
        <v>75</v>
      </c>
      <c r="E196" s="84">
        <v>3</v>
      </c>
      <c r="F196" s="3">
        <v>4.8108197434254402E-2</v>
      </c>
      <c r="G196" s="3">
        <v>4.7361604906766455E-2</v>
      </c>
      <c r="H196" s="3">
        <v>4.6652537071695928E-2</v>
      </c>
      <c r="I196" s="3">
        <v>4.5975163508670876E-2</v>
      </c>
      <c r="J196" s="3">
        <v>4.529198958404166E-2</v>
      </c>
      <c r="K196" s="3">
        <v>4.4582898947719787E-2</v>
      </c>
      <c r="L196" s="3">
        <v>4.3914855927796329E-2</v>
      </c>
      <c r="M196" s="3">
        <v>4.3100077906166497E-2</v>
      </c>
      <c r="N196" s="3">
        <v>4.2347316452199128E-2</v>
      </c>
      <c r="O196" s="3">
        <v>4.1621274877721597E-2</v>
      </c>
      <c r="P196" s="3">
        <v>4.0941308142134675E-2</v>
      </c>
    </row>
    <row r="197" spans="1:16">
      <c r="A197" s="84" t="s">
        <v>467</v>
      </c>
      <c r="B197" s="85" t="s">
        <v>466</v>
      </c>
      <c r="C197" s="85" t="s">
        <v>83</v>
      </c>
      <c r="D197" s="84" t="s">
        <v>84</v>
      </c>
      <c r="E197" s="84">
        <v>3</v>
      </c>
      <c r="F197" s="3">
        <v>6.3236846520433362E-2</v>
      </c>
      <c r="G197" s="3">
        <v>6.2596340939141445E-2</v>
      </c>
      <c r="H197" s="3">
        <v>6.2128968395499813E-2</v>
      </c>
      <c r="I197" s="3">
        <v>6.1637840468302799E-2</v>
      </c>
      <c r="J197" s="3">
        <v>6.1133305037545965E-2</v>
      </c>
      <c r="K197" s="3">
        <v>6.0586096601161439E-2</v>
      </c>
      <c r="L197" s="3">
        <v>6.0025480403584124E-2</v>
      </c>
      <c r="M197" s="3">
        <v>5.9398476278124709E-2</v>
      </c>
      <c r="N197" s="3">
        <v>5.8776991391740536E-2</v>
      </c>
      <c r="O197" s="3">
        <v>5.8166991262775629E-2</v>
      </c>
      <c r="P197" s="3">
        <v>5.758419369052141E-2</v>
      </c>
    </row>
    <row r="198" spans="1:16">
      <c r="A198" s="84" t="s">
        <v>469</v>
      </c>
      <c r="B198" s="85" t="s">
        <v>468</v>
      </c>
      <c r="C198" s="85" t="s">
        <v>83</v>
      </c>
      <c r="D198" s="84" t="s">
        <v>84</v>
      </c>
      <c r="E198" s="84">
        <v>3</v>
      </c>
      <c r="F198" s="3">
        <v>5.086533650725155E-2</v>
      </c>
      <c r="G198" s="3">
        <v>5.0546475152335527E-2</v>
      </c>
      <c r="H198" s="3">
        <v>5.0152456807678013E-2</v>
      </c>
      <c r="I198" s="3">
        <v>4.9928971823681868E-2</v>
      </c>
      <c r="J198" s="3">
        <v>4.9687626208594307E-2</v>
      </c>
      <c r="K198" s="3">
        <v>4.9369796764895252E-2</v>
      </c>
      <c r="L198" s="3">
        <v>4.9047553018544347E-2</v>
      </c>
      <c r="M198" s="3">
        <v>4.8533038357679664E-2</v>
      </c>
      <c r="N198" s="3">
        <v>4.8021142488059228E-2</v>
      </c>
      <c r="O198" s="3">
        <v>4.7460436394915019E-2</v>
      </c>
      <c r="P198" s="3">
        <v>4.6864266186475899E-2</v>
      </c>
    </row>
  </sheetData>
  <autoFilter ref="A4:P198" xr:uid="{1BE26F4C-1587-7C4D-887A-C69327E2A75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AB52E-0B7F-1A48-A9E9-B182CE56926F}">
  <sheetPr>
    <tabColor theme="7" tint="0.79998168889431442"/>
  </sheetPr>
  <dimension ref="A1:P198"/>
  <sheetViews>
    <sheetView zoomScale="117" zoomScaleNormal="117" workbookViewId="0">
      <selection activeCell="D333" sqref="D333"/>
    </sheetView>
  </sheetViews>
  <sheetFormatPr defaultColWidth="10.85546875" defaultRowHeight="15"/>
  <cols>
    <col min="6" max="16" width="13.7109375" bestFit="1" customWidth="1"/>
  </cols>
  <sheetData>
    <row r="1" spans="1:16">
      <c r="A1" t="s">
        <v>470</v>
      </c>
      <c r="B1" t="s">
        <v>477</v>
      </c>
    </row>
    <row r="2" spans="1:16">
      <c r="A2" t="s">
        <v>471</v>
      </c>
      <c r="B2" t="s">
        <v>472</v>
      </c>
    </row>
    <row r="4" spans="1:16" s="88" customFormat="1">
      <c r="A4" s="86" t="s">
        <v>473</v>
      </c>
      <c r="B4" s="87" t="s">
        <v>64</v>
      </c>
      <c r="C4" s="86" t="s">
        <v>66</v>
      </c>
      <c r="D4" s="86" t="s">
        <v>67</v>
      </c>
      <c r="E4" s="86" t="s">
        <v>68</v>
      </c>
      <c r="F4" s="88">
        <v>2030</v>
      </c>
      <c r="G4" s="88">
        <v>2031</v>
      </c>
      <c r="H4" s="88">
        <v>2032</v>
      </c>
      <c r="I4" s="88">
        <v>2033</v>
      </c>
      <c r="J4" s="88">
        <v>2034</v>
      </c>
      <c r="K4" s="88">
        <v>2035</v>
      </c>
      <c r="L4" s="88">
        <v>2036</v>
      </c>
      <c r="M4" s="88">
        <v>2037</v>
      </c>
      <c r="N4" s="88">
        <v>2038</v>
      </c>
      <c r="O4" s="88">
        <v>2039</v>
      </c>
      <c r="P4" s="88">
        <v>2040</v>
      </c>
    </row>
    <row r="5" spans="1:16">
      <c r="A5" s="84" t="s">
        <v>73</v>
      </c>
      <c r="B5" s="85" t="s">
        <v>72</v>
      </c>
      <c r="C5" s="85" t="s">
        <v>74</v>
      </c>
      <c r="D5" s="84" t="s">
        <v>75</v>
      </c>
      <c r="E5" s="84" t="s">
        <v>76</v>
      </c>
      <c r="F5" s="2">
        <v>15935890.999999996</v>
      </c>
      <c r="G5" s="2">
        <v>16008429</v>
      </c>
      <c r="H5" s="2">
        <v>16077202.999999996</v>
      </c>
      <c r="I5" s="2">
        <v>16138363.000000004</v>
      </c>
      <c r="J5" s="2">
        <v>16191875</v>
      </c>
      <c r="K5" s="2">
        <v>16237399.000000002</v>
      </c>
      <c r="L5" s="2">
        <v>16278500</v>
      </c>
      <c r="M5" s="2">
        <v>16316155.999999998</v>
      </c>
      <c r="N5" s="2">
        <v>16343788.999999998</v>
      </c>
      <c r="O5" s="2">
        <v>16363325.000000002</v>
      </c>
      <c r="P5" s="2">
        <v>16375046.999999998</v>
      </c>
    </row>
    <row r="6" spans="1:16">
      <c r="A6" s="84" t="s">
        <v>78</v>
      </c>
      <c r="B6" s="85" t="s">
        <v>77</v>
      </c>
      <c r="C6" s="85" t="s">
        <v>79</v>
      </c>
      <c r="D6" s="84" t="s">
        <v>80</v>
      </c>
      <c r="E6" s="84">
        <v>1</v>
      </c>
      <c r="F6" s="2">
        <v>427080</v>
      </c>
      <c r="G6" s="2">
        <v>418790</v>
      </c>
      <c r="H6" s="2">
        <v>409948.99999999994</v>
      </c>
      <c r="I6" s="2">
        <v>400851</v>
      </c>
      <c r="J6" s="2">
        <v>391234.99999999994</v>
      </c>
      <c r="K6" s="2">
        <v>381136.99999999994</v>
      </c>
      <c r="L6" s="2">
        <v>371145.99999999994</v>
      </c>
      <c r="M6" s="2">
        <v>361243.00000000006</v>
      </c>
      <c r="N6" s="2">
        <v>351217.99999999994</v>
      </c>
      <c r="O6" s="2">
        <v>341335.00000000006</v>
      </c>
      <c r="P6" s="2">
        <v>331826.00000000006</v>
      </c>
    </row>
    <row r="7" spans="1:16">
      <c r="A7" s="84" t="s">
        <v>82</v>
      </c>
      <c r="B7" s="85" t="s">
        <v>81</v>
      </c>
      <c r="C7" s="85" t="s">
        <v>83</v>
      </c>
      <c r="D7" s="84" t="s">
        <v>84</v>
      </c>
      <c r="E7" s="84">
        <v>2</v>
      </c>
      <c r="F7" s="2">
        <v>13046543.000000002</v>
      </c>
      <c r="G7" s="2">
        <v>12887832</v>
      </c>
      <c r="H7" s="2">
        <v>12711745</v>
      </c>
      <c r="I7" s="2">
        <v>12492627.999999998</v>
      </c>
      <c r="J7" s="2">
        <v>12263228</v>
      </c>
      <c r="K7" s="2">
        <v>12045726.000000002</v>
      </c>
      <c r="L7" s="2">
        <v>11860512.999999998</v>
      </c>
      <c r="M7" s="2">
        <v>11704062.999999998</v>
      </c>
      <c r="N7" s="2">
        <v>11575251</v>
      </c>
      <c r="O7" s="2">
        <v>11476724.999999998</v>
      </c>
      <c r="P7" s="2">
        <v>11405030.999999998</v>
      </c>
    </row>
    <row r="8" spans="1:16">
      <c r="A8" s="84" t="s">
        <v>86</v>
      </c>
      <c r="B8" s="85" t="s">
        <v>85</v>
      </c>
      <c r="C8" s="85" t="s">
        <v>79</v>
      </c>
      <c r="D8" s="84" t="s">
        <v>87</v>
      </c>
      <c r="E8" s="84">
        <v>1</v>
      </c>
      <c r="F8" s="2">
        <v>0</v>
      </c>
      <c r="G8" s="2">
        <v>0</v>
      </c>
      <c r="H8" s="2">
        <v>0</v>
      </c>
      <c r="I8" s="2">
        <v>0</v>
      </c>
      <c r="J8" s="2">
        <v>0</v>
      </c>
      <c r="K8" s="2">
        <v>0</v>
      </c>
      <c r="L8" s="2">
        <v>0</v>
      </c>
      <c r="M8" s="2">
        <v>0</v>
      </c>
      <c r="N8" s="2">
        <v>0</v>
      </c>
      <c r="O8" s="2">
        <v>0</v>
      </c>
      <c r="P8" s="2">
        <v>0</v>
      </c>
    </row>
    <row r="9" spans="1:16">
      <c r="A9" s="84" t="s">
        <v>89</v>
      </c>
      <c r="B9" s="85" t="s">
        <v>88</v>
      </c>
      <c r="C9" s="85" t="s">
        <v>83</v>
      </c>
      <c r="D9" s="84" t="s">
        <v>84</v>
      </c>
      <c r="E9" s="84">
        <v>3</v>
      </c>
      <c r="F9" s="2">
        <v>17462579</v>
      </c>
      <c r="G9" s="2">
        <v>17890038</v>
      </c>
      <c r="H9" s="2">
        <v>18330644</v>
      </c>
      <c r="I9" s="2">
        <v>18777284.000000004</v>
      </c>
      <c r="J9" s="2">
        <v>19231097</v>
      </c>
      <c r="K9" s="2">
        <v>19689174</v>
      </c>
      <c r="L9" s="2">
        <v>20166715.000000004</v>
      </c>
      <c r="M9" s="2">
        <v>20648519</v>
      </c>
      <c r="N9" s="2">
        <v>21128180</v>
      </c>
      <c r="O9" s="2">
        <v>21607086.999999996</v>
      </c>
      <c r="P9" s="2">
        <v>22084332.000000004</v>
      </c>
    </row>
    <row r="10" spans="1:16">
      <c r="A10" s="84" t="s">
        <v>91</v>
      </c>
      <c r="B10" s="85" t="s">
        <v>90</v>
      </c>
      <c r="C10" s="85" t="s">
        <v>92</v>
      </c>
      <c r="D10" s="84" t="s">
        <v>87</v>
      </c>
      <c r="E10" s="84">
        <v>1</v>
      </c>
      <c r="F10" s="2">
        <v>0</v>
      </c>
      <c r="G10" s="2">
        <v>19867</v>
      </c>
      <c r="H10" s="2">
        <v>19748</v>
      </c>
      <c r="I10" s="2">
        <v>19596</v>
      </c>
      <c r="J10" s="2">
        <v>19439.000000000004</v>
      </c>
      <c r="K10" s="2">
        <v>19274</v>
      </c>
      <c r="L10" s="2">
        <v>19124.000000000004</v>
      </c>
      <c r="M10" s="2">
        <v>18980</v>
      </c>
      <c r="N10" s="2">
        <v>18841</v>
      </c>
      <c r="O10" s="2">
        <v>18710.000000000004</v>
      </c>
      <c r="P10" s="2">
        <v>18581.000000000004</v>
      </c>
    </row>
    <row r="11" spans="1:16">
      <c r="A11" s="84" t="s">
        <v>94</v>
      </c>
      <c r="B11" s="85" t="s">
        <v>93</v>
      </c>
      <c r="C11" s="85" t="s">
        <v>92</v>
      </c>
      <c r="D11" s="84" t="s">
        <v>80</v>
      </c>
      <c r="E11" s="84">
        <v>1</v>
      </c>
      <c r="F11" s="2">
        <v>10371771.999999998</v>
      </c>
      <c r="G11" s="2">
        <v>10359037.000000002</v>
      </c>
      <c r="H11" s="2">
        <v>10344432</v>
      </c>
      <c r="I11" s="2">
        <v>10323518.000000002</v>
      </c>
      <c r="J11" s="2">
        <v>10299476.999999998</v>
      </c>
      <c r="K11" s="2">
        <v>10273134</v>
      </c>
      <c r="L11" s="2">
        <v>10249941</v>
      </c>
      <c r="M11" s="2">
        <v>10224526</v>
      </c>
      <c r="N11" s="2">
        <v>10199325</v>
      </c>
      <c r="O11" s="2">
        <v>10172327.000000002</v>
      </c>
      <c r="P11" s="2">
        <v>10142628</v>
      </c>
    </row>
    <row r="12" spans="1:16">
      <c r="A12" s="84" t="s">
        <v>96</v>
      </c>
      <c r="B12" s="85" t="s">
        <v>95</v>
      </c>
      <c r="C12" s="85" t="s">
        <v>79</v>
      </c>
      <c r="D12" s="84" t="s">
        <v>80</v>
      </c>
      <c r="E12" s="84">
        <v>1</v>
      </c>
      <c r="F12" s="2">
        <v>521394</v>
      </c>
      <c r="G12" s="2">
        <v>509451.00000000006</v>
      </c>
      <c r="H12" s="2">
        <v>497712.99999999994</v>
      </c>
      <c r="I12" s="2">
        <v>485949.99999999988</v>
      </c>
      <c r="J12" s="2">
        <v>474625.00000000006</v>
      </c>
      <c r="K12" s="2">
        <v>464049</v>
      </c>
      <c r="L12" s="2">
        <v>454654.00000000006</v>
      </c>
      <c r="M12" s="2">
        <v>446682</v>
      </c>
      <c r="N12" s="2">
        <v>439644</v>
      </c>
      <c r="O12" s="2">
        <v>433827</v>
      </c>
      <c r="P12" s="2">
        <v>429212</v>
      </c>
    </row>
    <row r="13" spans="1:16">
      <c r="A13" s="84" t="s">
        <v>98</v>
      </c>
      <c r="B13" s="85" t="s">
        <v>97</v>
      </c>
      <c r="C13" s="85" t="s">
        <v>99</v>
      </c>
      <c r="D13" s="84" t="s">
        <v>87</v>
      </c>
      <c r="E13" s="84">
        <v>1</v>
      </c>
      <c r="F13" s="2">
        <v>4864993</v>
      </c>
      <c r="G13" s="2">
        <v>4874862</v>
      </c>
      <c r="H13" s="2">
        <v>4879073</v>
      </c>
      <c r="I13" s="2">
        <v>4873961</v>
      </c>
      <c r="J13" s="2">
        <v>4864335.0000000009</v>
      </c>
      <c r="K13" s="2">
        <v>4853478</v>
      </c>
      <c r="L13" s="2">
        <v>4854809</v>
      </c>
      <c r="M13" s="2">
        <v>4856587.9999999991</v>
      </c>
      <c r="N13" s="2">
        <v>4859279</v>
      </c>
      <c r="O13" s="2">
        <v>4863106.0000000009</v>
      </c>
      <c r="P13" s="2">
        <v>4867707</v>
      </c>
    </row>
    <row r="14" spans="1:16">
      <c r="A14" s="84" t="s">
        <v>101</v>
      </c>
      <c r="B14" s="85" t="s">
        <v>100</v>
      </c>
      <c r="C14" s="85" t="s">
        <v>79</v>
      </c>
      <c r="D14" s="84" t="s">
        <v>87</v>
      </c>
      <c r="E14" s="84">
        <v>1</v>
      </c>
      <c r="F14" s="2">
        <v>1266063.9999999998</v>
      </c>
      <c r="G14" s="2">
        <v>1267452.0000000002</v>
      </c>
      <c r="H14" s="2">
        <v>1266001</v>
      </c>
      <c r="I14" s="2">
        <v>1262319.0000000002</v>
      </c>
      <c r="J14" s="2">
        <v>1256590.0000000005</v>
      </c>
      <c r="K14" s="2">
        <v>1249367</v>
      </c>
      <c r="L14" s="2">
        <v>1242427.0000000002</v>
      </c>
      <c r="M14" s="2">
        <v>1234039</v>
      </c>
      <c r="N14" s="2">
        <v>1224910</v>
      </c>
      <c r="O14" s="2">
        <v>1215136</v>
      </c>
      <c r="P14" s="2">
        <v>1204934</v>
      </c>
    </row>
    <row r="15" spans="1:16">
      <c r="A15" s="84" t="s">
        <v>103</v>
      </c>
      <c r="B15" s="85" t="s">
        <v>102</v>
      </c>
      <c r="C15" s="85" t="s">
        <v>79</v>
      </c>
      <c r="D15" s="84" t="s">
        <v>80</v>
      </c>
      <c r="E15" s="84">
        <v>1</v>
      </c>
      <c r="F15" s="2">
        <v>2079064.9999999995</v>
      </c>
      <c r="G15" s="2">
        <v>2032360</v>
      </c>
      <c r="H15" s="2">
        <v>1989105</v>
      </c>
      <c r="I15" s="2">
        <v>1945631</v>
      </c>
      <c r="J15" s="2">
        <v>1905770</v>
      </c>
      <c r="K15" s="2">
        <v>1870854.9999999998</v>
      </c>
      <c r="L15" s="2">
        <v>1845566</v>
      </c>
      <c r="M15" s="2">
        <v>1827450.9999999998</v>
      </c>
      <c r="N15" s="2">
        <v>1812990</v>
      </c>
      <c r="O15" s="2">
        <v>1803588</v>
      </c>
      <c r="P15" s="2">
        <v>1797725.0000000002</v>
      </c>
    </row>
    <row r="16" spans="1:16">
      <c r="A16" s="84" t="s">
        <v>105</v>
      </c>
      <c r="B16" s="85" t="s">
        <v>104</v>
      </c>
      <c r="C16" s="85" t="s">
        <v>92</v>
      </c>
      <c r="D16" s="84" t="s">
        <v>87</v>
      </c>
      <c r="E16" s="84">
        <v>1</v>
      </c>
      <c r="F16" s="2">
        <v>76523</v>
      </c>
      <c r="G16" s="2">
        <v>76842</v>
      </c>
      <c r="H16" s="2">
        <v>77036.999999999985</v>
      </c>
      <c r="I16" s="2">
        <v>77085.000000000015</v>
      </c>
      <c r="J16" s="2">
        <v>77024</v>
      </c>
      <c r="K16" s="2">
        <v>76901.000000000015</v>
      </c>
      <c r="L16" s="2">
        <v>76858</v>
      </c>
      <c r="M16" s="2">
        <v>76712.000000000015</v>
      </c>
      <c r="N16" s="2">
        <v>76530</v>
      </c>
      <c r="O16" s="2">
        <v>76275.999999999985</v>
      </c>
      <c r="P16" s="2">
        <v>75961.000000000015</v>
      </c>
    </row>
    <row r="17" spans="1:16">
      <c r="A17" s="84" t="s">
        <v>107</v>
      </c>
      <c r="B17" s="85" t="s">
        <v>106</v>
      </c>
      <c r="C17" s="85" t="s">
        <v>74</v>
      </c>
      <c r="D17" s="84" t="s">
        <v>87</v>
      </c>
      <c r="E17" s="84">
        <v>1</v>
      </c>
      <c r="F17" s="2">
        <v>309280.99999999994</v>
      </c>
      <c r="G17" s="2">
        <v>310619</v>
      </c>
      <c r="H17" s="2">
        <v>310769.00000000006</v>
      </c>
      <c r="I17" s="2">
        <v>310967</v>
      </c>
      <c r="J17" s="2">
        <v>311420.99999999994</v>
      </c>
      <c r="K17" s="2">
        <v>312025.00000000006</v>
      </c>
      <c r="L17" s="2">
        <v>313305</v>
      </c>
      <c r="M17" s="2">
        <v>313433</v>
      </c>
      <c r="N17" s="2">
        <v>312663</v>
      </c>
      <c r="O17" s="2">
        <v>311904</v>
      </c>
      <c r="P17" s="2">
        <v>311336</v>
      </c>
    </row>
    <row r="18" spans="1:16">
      <c r="A18" s="84" t="s">
        <v>109</v>
      </c>
      <c r="B18" s="85" t="s">
        <v>108</v>
      </c>
      <c r="C18" s="85" t="s">
        <v>110</v>
      </c>
      <c r="D18" s="84" t="s">
        <v>84</v>
      </c>
      <c r="E18" s="84" t="s">
        <v>76</v>
      </c>
      <c r="F18" s="2">
        <v>38688644</v>
      </c>
      <c r="G18" s="2">
        <v>38333914.000000007</v>
      </c>
      <c r="H18" s="2">
        <v>37959476</v>
      </c>
      <c r="I18" s="2">
        <v>37576295</v>
      </c>
      <c r="J18" s="2">
        <v>37175707</v>
      </c>
      <c r="K18" s="2">
        <v>36759102</v>
      </c>
      <c r="L18" s="2">
        <v>36330736</v>
      </c>
      <c r="M18" s="2">
        <v>35902941.999999993</v>
      </c>
      <c r="N18" s="2">
        <v>35460160</v>
      </c>
      <c r="O18" s="2">
        <v>35014366</v>
      </c>
      <c r="P18" s="2">
        <v>34571254</v>
      </c>
    </row>
    <row r="19" spans="1:16">
      <c r="A19" s="84" t="s">
        <v>112</v>
      </c>
      <c r="B19" s="85" t="s">
        <v>111</v>
      </c>
      <c r="C19" s="85" t="s">
        <v>92</v>
      </c>
      <c r="D19" s="84" t="s">
        <v>87</v>
      </c>
      <c r="E19" s="84">
        <v>1</v>
      </c>
      <c r="F19" s="2">
        <v>42073</v>
      </c>
      <c r="G19" s="2">
        <v>42043</v>
      </c>
      <c r="H19" s="2">
        <v>42010.000000000007</v>
      </c>
      <c r="I19" s="2">
        <v>41952.000000000007</v>
      </c>
      <c r="J19" s="2">
        <v>41875.999999999993</v>
      </c>
      <c r="K19" s="2">
        <v>41775.999999999993</v>
      </c>
      <c r="L19" s="2">
        <v>41699</v>
      </c>
      <c r="M19" s="2">
        <v>41597</v>
      </c>
      <c r="N19" s="2">
        <v>41456</v>
      </c>
      <c r="O19" s="2">
        <v>41281.000000000007</v>
      </c>
      <c r="P19" s="2">
        <v>41065.999999999993</v>
      </c>
    </row>
    <row r="20" spans="1:16">
      <c r="A20" s="84" t="s">
        <v>114</v>
      </c>
      <c r="B20" s="85" t="s">
        <v>113</v>
      </c>
      <c r="C20" s="85" t="s">
        <v>79</v>
      </c>
      <c r="D20" s="84" t="s">
        <v>80</v>
      </c>
      <c r="E20" s="84">
        <v>2</v>
      </c>
      <c r="F20" s="2">
        <v>1461982</v>
      </c>
      <c r="G20" s="2">
        <v>1431907.0000000002</v>
      </c>
      <c r="H20" s="2">
        <v>1401672.9999999998</v>
      </c>
      <c r="I20" s="2">
        <v>1376366</v>
      </c>
      <c r="J20" s="2">
        <v>1352589</v>
      </c>
      <c r="K20" s="2">
        <v>1328756</v>
      </c>
      <c r="L20" s="2">
        <v>1307310</v>
      </c>
      <c r="M20" s="2">
        <v>1287034</v>
      </c>
      <c r="N20" s="2">
        <v>1267160</v>
      </c>
      <c r="O20" s="2">
        <v>1249222</v>
      </c>
      <c r="P20" s="2">
        <v>1234420.9999999998</v>
      </c>
    </row>
    <row r="21" spans="1:16">
      <c r="A21" s="84" t="s">
        <v>116</v>
      </c>
      <c r="B21" s="85" t="s">
        <v>115</v>
      </c>
      <c r="C21" s="85" t="s">
        <v>79</v>
      </c>
      <c r="D21" s="84" t="s">
        <v>87</v>
      </c>
      <c r="E21" s="84">
        <v>1</v>
      </c>
      <c r="F21" s="2">
        <v>1795260.9999999998</v>
      </c>
      <c r="G21" s="2">
        <v>1787120</v>
      </c>
      <c r="H21" s="2">
        <v>1778966</v>
      </c>
      <c r="I21" s="2">
        <v>1772661</v>
      </c>
      <c r="J21" s="2">
        <v>1766892.9999999998</v>
      </c>
      <c r="K21" s="2">
        <v>1761014.0000000002</v>
      </c>
      <c r="L21" s="2">
        <v>1757197.9999999998</v>
      </c>
      <c r="M21" s="2">
        <v>1753328.0000000002</v>
      </c>
      <c r="N21" s="2">
        <v>1749446.0000000005</v>
      </c>
      <c r="O21" s="2">
        <v>1745836</v>
      </c>
      <c r="P21" s="2">
        <v>1742814</v>
      </c>
    </row>
    <row r="22" spans="1:16">
      <c r="A22" s="84" t="s">
        <v>118</v>
      </c>
      <c r="B22" s="85" t="s">
        <v>117</v>
      </c>
      <c r="C22" s="85" t="s">
        <v>92</v>
      </c>
      <c r="D22" s="84" t="s">
        <v>80</v>
      </c>
      <c r="E22" s="84">
        <v>1</v>
      </c>
      <c r="F22" s="2">
        <v>112536.99999999999</v>
      </c>
      <c r="G22" s="2">
        <v>112842</v>
      </c>
      <c r="H22" s="2">
        <v>112982.00000000001</v>
      </c>
      <c r="I22" s="2">
        <v>113093.99999999997</v>
      </c>
      <c r="J22" s="2">
        <v>113089.00000000001</v>
      </c>
      <c r="K22" s="2">
        <v>112938.99999999999</v>
      </c>
      <c r="L22" s="2">
        <v>112827.00000000001</v>
      </c>
      <c r="M22" s="2">
        <v>112565.00000000003</v>
      </c>
      <c r="N22" s="2">
        <v>112170</v>
      </c>
      <c r="O22" s="2">
        <v>111664</v>
      </c>
      <c r="P22" s="2">
        <v>111077</v>
      </c>
    </row>
    <row r="23" spans="1:16">
      <c r="A23" s="84" t="s">
        <v>120</v>
      </c>
      <c r="B23" s="85" t="s">
        <v>119</v>
      </c>
      <c r="C23" s="85" t="s">
        <v>83</v>
      </c>
      <c r="D23" s="84" t="s">
        <v>84</v>
      </c>
      <c r="E23" s="84">
        <v>3</v>
      </c>
      <c r="F23" s="2">
        <v>5566594.9999999991</v>
      </c>
      <c r="G23" s="2">
        <v>5672422.0000000009</v>
      </c>
      <c r="H23" s="2">
        <v>5778722.9999999991</v>
      </c>
      <c r="I23" s="2">
        <v>5882718.9999999991</v>
      </c>
      <c r="J23" s="2">
        <v>5985405</v>
      </c>
      <c r="K23" s="2">
        <v>6086677.0000000009</v>
      </c>
      <c r="L23" s="2">
        <v>6194790.9999999991</v>
      </c>
      <c r="M23" s="2">
        <v>6302083</v>
      </c>
      <c r="N23" s="2">
        <v>6406153.9999999991</v>
      </c>
      <c r="O23" s="2">
        <v>6507813.0000000009</v>
      </c>
      <c r="P23" s="2">
        <v>6607098</v>
      </c>
    </row>
    <row r="24" spans="1:16">
      <c r="A24" s="84" t="s">
        <v>122</v>
      </c>
      <c r="B24" s="85" t="s">
        <v>121</v>
      </c>
      <c r="C24" s="85" t="s">
        <v>110</v>
      </c>
      <c r="D24" s="84" t="s">
        <v>84</v>
      </c>
      <c r="E24" s="84">
        <v>2</v>
      </c>
      <c r="F24" s="2">
        <v>170956</v>
      </c>
      <c r="G24" s="2">
        <v>169566.00000000003</v>
      </c>
      <c r="H24" s="2">
        <v>167852</v>
      </c>
      <c r="I24" s="2">
        <v>165730.99999999997</v>
      </c>
      <c r="J24" s="2">
        <v>163320</v>
      </c>
      <c r="K24" s="2">
        <v>160776</v>
      </c>
      <c r="L24" s="2">
        <v>158233.99999999997</v>
      </c>
      <c r="M24" s="2">
        <v>155652.00000000003</v>
      </c>
      <c r="N24" s="2">
        <v>153007.99999999997</v>
      </c>
      <c r="O24" s="2">
        <v>150348</v>
      </c>
      <c r="P24" s="2">
        <v>147704</v>
      </c>
    </row>
    <row r="25" spans="1:16">
      <c r="A25" s="84" t="s">
        <v>124</v>
      </c>
      <c r="B25" s="85" t="s">
        <v>123</v>
      </c>
      <c r="C25" s="85" t="s">
        <v>92</v>
      </c>
      <c r="D25" s="84" t="s">
        <v>84</v>
      </c>
      <c r="E25" s="84">
        <v>2</v>
      </c>
      <c r="F25" s="2">
        <v>3309194</v>
      </c>
      <c r="G25" s="2">
        <v>3314863</v>
      </c>
      <c r="H25" s="2">
        <v>3320244.0000000005</v>
      </c>
      <c r="I25" s="2">
        <v>3325904.9999999995</v>
      </c>
      <c r="J25" s="2">
        <v>3330686</v>
      </c>
      <c r="K25" s="2">
        <v>3333654</v>
      </c>
      <c r="L25" s="2">
        <v>3336952</v>
      </c>
      <c r="M25" s="2">
        <v>3338056</v>
      </c>
      <c r="N25" s="2">
        <v>3337238</v>
      </c>
      <c r="O25" s="2">
        <v>3334205</v>
      </c>
      <c r="P25" s="2">
        <v>3329192.9999999995</v>
      </c>
    </row>
    <row r="26" spans="1:16">
      <c r="A26" s="84" t="s">
        <v>126</v>
      </c>
      <c r="B26" s="85" t="s">
        <v>125</v>
      </c>
      <c r="C26" s="85" t="s">
        <v>79</v>
      </c>
      <c r="D26" s="84" t="s">
        <v>80</v>
      </c>
      <c r="E26" s="84">
        <v>1</v>
      </c>
      <c r="F26" s="2">
        <v>352146</v>
      </c>
      <c r="G26" s="2">
        <v>344717.99999999994</v>
      </c>
      <c r="H26" s="2">
        <v>338331</v>
      </c>
      <c r="I26" s="2">
        <v>333419.00000000006</v>
      </c>
      <c r="J26" s="2">
        <v>329470.99999999994</v>
      </c>
      <c r="K26" s="2">
        <v>326028</v>
      </c>
      <c r="L26" s="2">
        <v>323268</v>
      </c>
      <c r="M26" s="2">
        <v>320876.99999999994</v>
      </c>
      <c r="N26" s="2">
        <v>318666</v>
      </c>
      <c r="O26" s="2">
        <v>316661</v>
      </c>
      <c r="P26" s="2">
        <v>314861.00000000006</v>
      </c>
    </row>
    <row r="27" spans="1:16">
      <c r="A27" s="84" t="s">
        <v>128</v>
      </c>
      <c r="B27" s="85" t="s">
        <v>127</v>
      </c>
      <c r="C27" s="85" t="s">
        <v>83</v>
      </c>
      <c r="D27" s="84" t="s">
        <v>80</v>
      </c>
      <c r="E27" s="84">
        <v>2</v>
      </c>
      <c r="F27" s="2">
        <v>748781.00000000012</v>
      </c>
      <c r="G27" s="2">
        <v>748402</v>
      </c>
      <c r="H27" s="2">
        <v>748262</v>
      </c>
      <c r="I27" s="2">
        <v>747661.99999999977</v>
      </c>
      <c r="J27" s="2">
        <v>747209.00000000012</v>
      </c>
      <c r="K27" s="2">
        <v>747098</v>
      </c>
      <c r="L27" s="2">
        <v>748145.00000000012</v>
      </c>
      <c r="M27" s="2">
        <v>749560.99999999988</v>
      </c>
      <c r="N27" s="2">
        <v>751274</v>
      </c>
      <c r="O27" s="2">
        <v>753228</v>
      </c>
      <c r="P27" s="2">
        <v>755213</v>
      </c>
    </row>
    <row r="28" spans="1:16">
      <c r="A28" s="84" t="s">
        <v>130</v>
      </c>
      <c r="B28" s="85" t="s">
        <v>129</v>
      </c>
      <c r="C28" s="85" t="s">
        <v>92</v>
      </c>
      <c r="D28" s="84" t="s">
        <v>80</v>
      </c>
      <c r="E28" s="84" t="s">
        <v>76</v>
      </c>
      <c r="F28" s="2">
        <v>38735617.000000007</v>
      </c>
      <c r="G28" s="2">
        <v>38359704.999999993</v>
      </c>
      <c r="H28" s="2">
        <v>37957109.000000007</v>
      </c>
      <c r="I28" s="2">
        <v>37511101</v>
      </c>
      <c r="J28" s="2">
        <v>37041695</v>
      </c>
      <c r="K28" s="2">
        <v>36567060</v>
      </c>
      <c r="L28" s="2">
        <v>36139315</v>
      </c>
      <c r="M28" s="2">
        <v>35726683</v>
      </c>
      <c r="N28" s="2">
        <v>35310193.000000007</v>
      </c>
      <c r="O28" s="2">
        <v>34901568.000000007</v>
      </c>
      <c r="P28" s="2">
        <v>34499649.000000007</v>
      </c>
    </row>
    <row r="29" spans="1:16">
      <c r="A29" s="84" t="s">
        <v>132</v>
      </c>
      <c r="B29" s="85" t="s">
        <v>131</v>
      </c>
      <c r="C29" s="85" t="s">
        <v>99</v>
      </c>
      <c r="D29" s="84" t="s">
        <v>87</v>
      </c>
      <c r="E29" s="84">
        <v>1</v>
      </c>
      <c r="F29" s="2">
        <v>84729.999999999985</v>
      </c>
      <c r="G29" s="2">
        <v>83417</v>
      </c>
      <c r="H29" s="2">
        <v>82197</v>
      </c>
      <c r="I29" s="2">
        <v>81111</v>
      </c>
      <c r="J29" s="2">
        <v>80109</v>
      </c>
      <c r="K29" s="2">
        <v>79125</v>
      </c>
      <c r="L29" s="2">
        <v>78226</v>
      </c>
      <c r="M29" s="2">
        <v>77330.999999999985</v>
      </c>
      <c r="N29" s="2">
        <v>76468</v>
      </c>
      <c r="O29" s="2">
        <v>75618.999999999985</v>
      </c>
      <c r="P29" s="2">
        <v>74809</v>
      </c>
    </row>
    <row r="30" spans="1:16">
      <c r="A30" s="84" t="s">
        <v>134</v>
      </c>
      <c r="B30" s="85" t="s">
        <v>133</v>
      </c>
      <c r="C30" s="85" t="s">
        <v>79</v>
      </c>
      <c r="D30" s="84" t="s">
        <v>80</v>
      </c>
      <c r="E30" s="84">
        <v>1</v>
      </c>
      <c r="F30" s="2">
        <v>831672.99999999977</v>
      </c>
      <c r="G30" s="2">
        <v>820594</v>
      </c>
      <c r="H30" s="2">
        <v>809998</v>
      </c>
      <c r="I30" s="2">
        <v>799891.00000000012</v>
      </c>
      <c r="J30" s="2">
        <v>790348.99999999988</v>
      </c>
      <c r="K30" s="2">
        <v>781450</v>
      </c>
      <c r="L30" s="2">
        <v>772847</v>
      </c>
      <c r="M30" s="2">
        <v>765103.99999999977</v>
      </c>
      <c r="N30" s="2">
        <v>758096</v>
      </c>
      <c r="O30" s="2">
        <v>751809.99999999988</v>
      </c>
      <c r="P30" s="2">
        <v>746233.99999999977</v>
      </c>
    </row>
    <row r="31" spans="1:16">
      <c r="A31" s="84" t="s">
        <v>136</v>
      </c>
      <c r="B31" s="85" t="s">
        <v>135</v>
      </c>
      <c r="C31" s="85" t="s">
        <v>83</v>
      </c>
      <c r="D31" s="84" t="s">
        <v>75</v>
      </c>
      <c r="E31" s="84">
        <v>3</v>
      </c>
      <c r="F31" s="2">
        <v>10176199.999999998</v>
      </c>
      <c r="G31" s="2">
        <v>10373148</v>
      </c>
      <c r="H31" s="2">
        <v>10573258</v>
      </c>
      <c r="I31" s="2">
        <v>10769826</v>
      </c>
      <c r="J31" s="2">
        <v>10965279.999999998</v>
      </c>
      <c r="K31" s="2">
        <v>11159492</v>
      </c>
      <c r="L31" s="2">
        <v>11362283</v>
      </c>
      <c r="M31" s="2">
        <v>11564782</v>
      </c>
      <c r="N31" s="2">
        <v>11763196.000000002</v>
      </c>
      <c r="O31" s="2">
        <v>11957874.999999998</v>
      </c>
      <c r="P31" s="2">
        <v>12148057.999999998</v>
      </c>
    </row>
    <row r="32" spans="1:16">
      <c r="A32" s="84" t="s">
        <v>138</v>
      </c>
      <c r="B32" s="85" t="s">
        <v>137</v>
      </c>
      <c r="C32" s="85" t="s">
        <v>83</v>
      </c>
      <c r="D32" s="84" t="s">
        <v>75</v>
      </c>
      <c r="E32" s="84">
        <v>3</v>
      </c>
      <c r="F32" s="2">
        <v>5967828</v>
      </c>
      <c r="G32" s="2">
        <v>6068099</v>
      </c>
      <c r="H32" s="2">
        <v>6167346.0000000009</v>
      </c>
      <c r="I32" s="2">
        <v>6265775</v>
      </c>
      <c r="J32" s="2">
        <v>6363677</v>
      </c>
      <c r="K32" s="2">
        <v>6461254.0000000009</v>
      </c>
      <c r="L32" s="2">
        <v>6564791.9999999991</v>
      </c>
      <c r="M32" s="2">
        <v>6669297.0000000009</v>
      </c>
      <c r="N32" s="2">
        <v>6773114.0000000009</v>
      </c>
      <c r="O32" s="2">
        <v>6877298.0000000009</v>
      </c>
      <c r="P32" s="2">
        <v>6982181.0000000009</v>
      </c>
    </row>
    <row r="33" spans="1:16">
      <c r="A33" s="84" t="s">
        <v>140</v>
      </c>
      <c r="B33" s="85" t="s">
        <v>139</v>
      </c>
      <c r="C33" s="85" t="s">
        <v>99</v>
      </c>
      <c r="D33" s="84" t="s">
        <v>84</v>
      </c>
      <c r="E33" s="84">
        <v>4</v>
      </c>
      <c r="F33" s="2">
        <v>4811071</v>
      </c>
      <c r="G33" s="2">
        <v>4786877</v>
      </c>
      <c r="H33" s="2">
        <v>4762211</v>
      </c>
      <c r="I33" s="2">
        <v>4736139</v>
      </c>
      <c r="J33" s="2">
        <v>4710367</v>
      </c>
      <c r="K33" s="2">
        <v>4686320</v>
      </c>
      <c r="L33" s="2">
        <v>4667041</v>
      </c>
      <c r="M33" s="2">
        <v>4652813</v>
      </c>
      <c r="N33" s="2">
        <v>4639760.9999999991</v>
      </c>
      <c r="O33" s="2">
        <v>4629445.0000000009</v>
      </c>
      <c r="P33" s="2">
        <v>4621192</v>
      </c>
    </row>
    <row r="34" spans="1:16">
      <c r="A34" s="84" t="s">
        <v>142</v>
      </c>
      <c r="B34" s="85" t="s">
        <v>141</v>
      </c>
      <c r="C34" s="85" t="s">
        <v>83</v>
      </c>
      <c r="D34" s="84" t="s">
        <v>84</v>
      </c>
      <c r="E34" s="84">
        <v>3</v>
      </c>
      <c r="F34" s="2">
        <v>11872714.000000002</v>
      </c>
      <c r="G34" s="2">
        <v>12051085.000000002</v>
      </c>
      <c r="H34" s="2">
        <v>12231395</v>
      </c>
      <c r="I34" s="2">
        <v>12406676</v>
      </c>
      <c r="J34" s="2">
        <v>12579989</v>
      </c>
      <c r="K34" s="2">
        <v>12751232</v>
      </c>
      <c r="L34" s="2">
        <v>12933827.999999998</v>
      </c>
      <c r="M34" s="2">
        <v>13114939.999999998</v>
      </c>
      <c r="N34" s="2">
        <v>13292091</v>
      </c>
      <c r="O34" s="2">
        <v>13465568</v>
      </c>
      <c r="P34" s="2">
        <v>13635016</v>
      </c>
    </row>
    <row r="35" spans="1:16">
      <c r="A35" s="84" t="s">
        <v>144</v>
      </c>
      <c r="B35" s="85" t="s">
        <v>143</v>
      </c>
      <c r="C35" s="85" t="s">
        <v>92</v>
      </c>
      <c r="D35" s="84" t="s">
        <v>87</v>
      </c>
      <c r="E35" s="84">
        <v>1</v>
      </c>
      <c r="F35" s="2">
        <v>5717569</v>
      </c>
      <c r="G35" s="2">
        <v>5744380</v>
      </c>
      <c r="H35" s="2">
        <v>5759264.0000000009</v>
      </c>
      <c r="I35" s="2">
        <v>5767562</v>
      </c>
      <c r="J35" s="2">
        <v>5770235.0000000009</v>
      </c>
      <c r="K35" s="2">
        <v>5769088.9999999991</v>
      </c>
      <c r="L35" s="2">
        <v>5792078</v>
      </c>
      <c r="M35" s="2">
        <v>5804705.0000000009</v>
      </c>
      <c r="N35" s="2">
        <v>5816027.9999999991</v>
      </c>
      <c r="O35" s="2">
        <v>5823943.9999999991</v>
      </c>
      <c r="P35" s="2">
        <v>5828769</v>
      </c>
    </row>
    <row r="36" spans="1:16">
      <c r="A36" s="84" t="s">
        <v>146</v>
      </c>
      <c r="B36" s="85" t="s">
        <v>145</v>
      </c>
      <c r="C36" s="85" t="s">
        <v>83</v>
      </c>
      <c r="D36" s="84" t="s">
        <v>84</v>
      </c>
      <c r="E36" s="84">
        <v>2</v>
      </c>
      <c r="F36" s="2">
        <v>138180.99999999997</v>
      </c>
      <c r="G36" s="2">
        <v>136605</v>
      </c>
      <c r="H36" s="2">
        <v>135119</v>
      </c>
      <c r="I36" s="2">
        <v>133645</v>
      </c>
      <c r="J36" s="2">
        <v>132209</v>
      </c>
      <c r="K36" s="2">
        <v>130801.99999999999</v>
      </c>
      <c r="L36" s="2">
        <v>129408.99999999999</v>
      </c>
      <c r="M36" s="2">
        <v>128157.99999999999</v>
      </c>
      <c r="N36" s="2">
        <v>126893.99999999999</v>
      </c>
      <c r="O36" s="2">
        <v>125696.99999999999</v>
      </c>
      <c r="P36" s="2">
        <v>124585.99999999999</v>
      </c>
    </row>
    <row r="37" spans="1:16">
      <c r="A37" s="84" t="s">
        <v>148</v>
      </c>
      <c r="B37" s="85" t="s">
        <v>147</v>
      </c>
      <c r="C37" s="85" t="s">
        <v>83</v>
      </c>
      <c r="D37" s="84" t="s">
        <v>75</v>
      </c>
      <c r="E37" s="84">
        <v>3</v>
      </c>
      <c r="F37" s="2">
        <v>2125259</v>
      </c>
      <c r="G37" s="2">
        <v>2157070</v>
      </c>
      <c r="H37" s="2">
        <v>2190272</v>
      </c>
      <c r="I37" s="2">
        <v>2223706</v>
      </c>
      <c r="J37" s="2">
        <v>2256696</v>
      </c>
      <c r="K37" s="2">
        <v>2287899</v>
      </c>
      <c r="L37" s="2">
        <v>2319200</v>
      </c>
      <c r="M37" s="2">
        <v>2347786</v>
      </c>
      <c r="N37" s="2">
        <v>2373218.9999999991</v>
      </c>
      <c r="O37" s="2">
        <v>2395313</v>
      </c>
      <c r="P37" s="2">
        <v>2414143.9999999995</v>
      </c>
    </row>
    <row r="38" spans="1:16">
      <c r="A38" s="84" t="s">
        <v>150</v>
      </c>
      <c r="B38" s="85" t="s">
        <v>149</v>
      </c>
      <c r="C38" s="85" t="s">
        <v>83</v>
      </c>
      <c r="D38" s="84" t="s">
        <v>75</v>
      </c>
      <c r="E38" s="84" t="s">
        <v>76</v>
      </c>
      <c r="F38" s="2">
        <v>8435297.9999999981</v>
      </c>
      <c r="G38" s="2">
        <v>8600128</v>
      </c>
      <c r="H38" s="2">
        <v>8762546</v>
      </c>
      <c r="I38" s="2">
        <v>8917931.9999999981</v>
      </c>
      <c r="J38" s="2">
        <v>9067972</v>
      </c>
      <c r="K38" s="2">
        <v>9212878.9999999981</v>
      </c>
      <c r="L38" s="2">
        <v>9368260</v>
      </c>
      <c r="M38" s="2">
        <v>9520424</v>
      </c>
      <c r="N38" s="2">
        <v>9663551.0000000019</v>
      </c>
      <c r="O38" s="2">
        <v>9800344.0000000019</v>
      </c>
      <c r="P38" s="2">
        <v>9931538</v>
      </c>
    </row>
    <row r="39" spans="1:16">
      <c r="A39" s="84" t="s">
        <v>152</v>
      </c>
      <c r="B39" s="85" t="s">
        <v>151</v>
      </c>
      <c r="C39" s="85" t="s">
        <v>92</v>
      </c>
      <c r="D39" s="84" t="s">
        <v>87</v>
      </c>
      <c r="E39" s="84">
        <v>2</v>
      </c>
      <c r="F39" s="2">
        <v>3123788</v>
      </c>
      <c r="G39" s="2">
        <v>3088189.0000000005</v>
      </c>
      <c r="H39" s="2">
        <v>3054659</v>
      </c>
      <c r="I39" s="2">
        <v>3028386</v>
      </c>
      <c r="J39" s="2">
        <v>3003848.9999999995</v>
      </c>
      <c r="K39" s="2">
        <v>2977860</v>
      </c>
      <c r="L39" s="2">
        <v>2957669</v>
      </c>
      <c r="M39" s="2">
        <v>2936566</v>
      </c>
      <c r="N39" s="2">
        <v>2912650.0000000005</v>
      </c>
      <c r="O39" s="2">
        <v>2888397</v>
      </c>
      <c r="P39" s="2">
        <v>2864949.9999999995</v>
      </c>
    </row>
    <row r="40" spans="1:16">
      <c r="A40" s="84" t="s">
        <v>154</v>
      </c>
      <c r="B40" s="85" t="s">
        <v>153</v>
      </c>
      <c r="C40" s="85" t="s">
        <v>99</v>
      </c>
      <c r="D40" s="84" t="s">
        <v>80</v>
      </c>
      <c r="E40" s="84">
        <v>1</v>
      </c>
      <c r="F40" s="2">
        <v>219846657</v>
      </c>
      <c r="G40" s="2">
        <v>216734289.99999997</v>
      </c>
      <c r="H40" s="2">
        <v>213688378.99999997</v>
      </c>
      <c r="I40" s="2">
        <v>210476225.00000003</v>
      </c>
      <c r="J40" s="2">
        <v>207341647.00000003</v>
      </c>
      <c r="K40" s="2">
        <v>204399168</v>
      </c>
      <c r="L40" s="2">
        <v>201956963</v>
      </c>
      <c r="M40" s="2">
        <v>199818145</v>
      </c>
      <c r="N40" s="2">
        <v>197872652</v>
      </c>
      <c r="O40" s="2">
        <v>196169930</v>
      </c>
      <c r="P40" s="2">
        <v>194652066.00000003</v>
      </c>
    </row>
    <row r="41" spans="1:16">
      <c r="A41" s="84" t="s">
        <v>156</v>
      </c>
      <c r="B41" s="85" t="s">
        <v>155</v>
      </c>
      <c r="C41" s="85" t="s">
        <v>92</v>
      </c>
      <c r="D41" s="84" t="s">
        <v>80</v>
      </c>
      <c r="E41" s="84">
        <v>2</v>
      </c>
      <c r="F41" s="2">
        <v>9825721.0000000019</v>
      </c>
      <c r="G41" s="2">
        <v>9735344.0000000019</v>
      </c>
      <c r="H41" s="2">
        <v>9636684.0000000019</v>
      </c>
      <c r="I41" s="2">
        <v>9523106.0000000019</v>
      </c>
      <c r="J41" s="2">
        <v>9402333.9999999981</v>
      </c>
      <c r="K41" s="2">
        <v>9281242</v>
      </c>
      <c r="L41" s="2">
        <v>9171377</v>
      </c>
      <c r="M41" s="2">
        <v>9066258.0000000019</v>
      </c>
      <c r="N41" s="2">
        <v>8962128</v>
      </c>
      <c r="O41" s="2">
        <v>8861023.0000000019</v>
      </c>
      <c r="P41" s="2">
        <v>8762047</v>
      </c>
    </row>
    <row r="42" spans="1:16">
      <c r="A42" s="84" t="s">
        <v>158</v>
      </c>
      <c r="B42" s="85" t="s">
        <v>157</v>
      </c>
      <c r="C42" s="85" t="s">
        <v>83</v>
      </c>
      <c r="D42" s="84" t="s">
        <v>84</v>
      </c>
      <c r="E42" s="84">
        <v>3</v>
      </c>
      <c r="F42" s="2">
        <v>347570.99999999994</v>
      </c>
      <c r="G42" s="2">
        <v>350890.99999999994</v>
      </c>
      <c r="H42" s="2">
        <v>354191</v>
      </c>
      <c r="I42" s="2">
        <v>357398</v>
      </c>
      <c r="J42" s="2">
        <v>360546</v>
      </c>
      <c r="K42" s="2">
        <v>363641.99999999994</v>
      </c>
      <c r="L42" s="2">
        <v>367055.00000000006</v>
      </c>
      <c r="M42" s="2">
        <v>370479.00000000006</v>
      </c>
      <c r="N42" s="2">
        <v>373775.00000000006</v>
      </c>
      <c r="O42" s="2">
        <v>377005</v>
      </c>
      <c r="P42" s="2">
        <v>380181</v>
      </c>
    </row>
    <row r="43" spans="1:16">
      <c r="A43" s="84" t="s">
        <v>160</v>
      </c>
      <c r="B43" s="85" t="s">
        <v>159</v>
      </c>
      <c r="C43" s="85" t="s">
        <v>83</v>
      </c>
      <c r="D43" s="84" t="s">
        <v>84</v>
      </c>
      <c r="E43" s="84">
        <v>3</v>
      </c>
      <c r="F43" s="2">
        <v>2411018</v>
      </c>
      <c r="G43" s="2">
        <v>2449720.0000000005</v>
      </c>
      <c r="H43" s="2">
        <v>2490836.9999999995</v>
      </c>
      <c r="I43" s="2">
        <v>2533302</v>
      </c>
      <c r="J43" s="2">
        <v>2577299.0000000005</v>
      </c>
      <c r="K43" s="2">
        <v>2622227</v>
      </c>
      <c r="L43" s="2">
        <v>2670052.9999999995</v>
      </c>
      <c r="M43" s="2">
        <v>2718625</v>
      </c>
      <c r="N43" s="2">
        <v>2767154.0000000005</v>
      </c>
      <c r="O43" s="2">
        <v>2815602</v>
      </c>
      <c r="P43" s="2">
        <v>2863599</v>
      </c>
    </row>
    <row r="44" spans="1:16">
      <c r="A44" s="84" t="s">
        <v>162</v>
      </c>
      <c r="B44" s="85" t="s">
        <v>161</v>
      </c>
      <c r="C44" s="85" t="s">
        <v>99</v>
      </c>
      <c r="D44" s="84" t="e">
        <v>#N/A</v>
      </c>
      <c r="E44" s="84">
        <v>1</v>
      </c>
      <c r="F44" s="2">
        <v>0</v>
      </c>
      <c r="G44" s="2">
        <v>0</v>
      </c>
      <c r="H44" s="2">
        <v>0</v>
      </c>
      <c r="I44" s="2">
        <v>0</v>
      </c>
      <c r="J44" s="2">
        <v>0</v>
      </c>
      <c r="K44" s="2">
        <v>0</v>
      </c>
      <c r="L44" s="2">
        <v>0</v>
      </c>
      <c r="M44" s="2">
        <v>0</v>
      </c>
      <c r="N44" s="2">
        <v>0</v>
      </c>
      <c r="O44" s="2">
        <v>0</v>
      </c>
      <c r="P44" s="2">
        <v>0</v>
      </c>
    </row>
    <row r="45" spans="1:16">
      <c r="A45" s="84" t="s">
        <v>164</v>
      </c>
      <c r="B45" s="85" t="s">
        <v>163</v>
      </c>
      <c r="C45" s="85" t="s">
        <v>92</v>
      </c>
      <c r="D45" s="84" t="s">
        <v>80</v>
      </c>
      <c r="E45" s="84">
        <v>2</v>
      </c>
      <c r="F45" s="2">
        <v>934259</v>
      </c>
      <c r="G45" s="2">
        <v>924114.00000000023</v>
      </c>
      <c r="H45" s="2">
        <v>913539</v>
      </c>
      <c r="I45" s="2">
        <v>902726</v>
      </c>
      <c r="J45" s="2">
        <v>891704.99999999988</v>
      </c>
      <c r="K45" s="2">
        <v>880657.00000000012</v>
      </c>
      <c r="L45" s="2">
        <v>871374</v>
      </c>
      <c r="M45" s="2">
        <v>862623</v>
      </c>
      <c r="N45" s="2">
        <v>853671.00000000012</v>
      </c>
      <c r="O45" s="2">
        <v>845026</v>
      </c>
      <c r="P45" s="2">
        <v>836725</v>
      </c>
    </row>
    <row r="46" spans="1:16">
      <c r="A46" s="84" t="s">
        <v>166</v>
      </c>
      <c r="B46" s="85" t="s">
        <v>165</v>
      </c>
      <c r="C46" s="85" t="s">
        <v>83</v>
      </c>
      <c r="D46" s="84" t="s">
        <v>84</v>
      </c>
      <c r="E46" s="84">
        <v>3</v>
      </c>
      <c r="F46" s="2">
        <v>12076356</v>
      </c>
      <c r="G46" s="2">
        <v>12301311</v>
      </c>
      <c r="H46" s="2">
        <v>12522512</v>
      </c>
      <c r="I46" s="2">
        <v>12734174</v>
      </c>
      <c r="J46" s="2">
        <v>12939395</v>
      </c>
      <c r="K46" s="2">
        <v>13139634</v>
      </c>
      <c r="L46" s="2">
        <v>13350675</v>
      </c>
      <c r="M46" s="2">
        <v>13558074</v>
      </c>
      <c r="N46" s="2">
        <v>13759667</v>
      </c>
      <c r="O46" s="2">
        <v>13956329.999999998</v>
      </c>
      <c r="P46" s="2">
        <v>14148530</v>
      </c>
    </row>
    <row r="47" spans="1:16">
      <c r="A47" s="84" t="s">
        <v>168</v>
      </c>
      <c r="B47" s="85" t="s">
        <v>167</v>
      </c>
      <c r="C47" s="85" t="s">
        <v>79</v>
      </c>
      <c r="D47" s="84" t="s">
        <v>87</v>
      </c>
      <c r="E47" s="84">
        <v>1</v>
      </c>
      <c r="F47" s="2">
        <v>483707.99999999994</v>
      </c>
      <c r="G47" s="2">
        <v>475642</v>
      </c>
      <c r="H47" s="2">
        <v>468168.99999999994</v>
      </c>
      <c r="I47" s="2">
        <v>461010.99999999994</v>
      </c>
      <c r="J47" s="2">
        <v>454340.00000000006</v>
      </c>
      <c r="K47" s="2">
        <v>448114.00000000006</v>
      </c>
      <c r="L47" s="2">
        <v>442477</v>
      </c>
      <c r="M47" s="2">
        <v>437333.99999999994</v>
      </c>
      <c r="N47" s="2">
        <v>432607</v>
      </c>
      <c r="O47" s="2">
        <v>428255</v>
      </c>
      <c r="P47" s="2">
        <v>424197</v>
      </c>
    </row>
    <row r="48" spans="1:16">
      <c r="A48" s="84" t="s">
        <v>170</v>
      </c>
      <c r="B48" s="85" t="s">
        <v>169</v>
      </c>
      <c r="C48" s="85" t="s">
        <v>92</v>
      </c>
      <c r="D48" s="84" t="s">
        <v>80</v>
      </c>
      <c r="E48" s="84">
        <v>1</v>
      </c>
      <c r="F48" s="2">
        <v>1512004</v>
      </c>
      <c r="G48" s="2">
        <v>1486476</v>
      </c>
      <c r="H48" s="2">
        <v>1463072</v>
      </c>
      <c r="I48" s="2">
        <v>1442030</v>
      </c>
      <c r="J48" s="2">
        <v>1422695.0000000002</v>
      </c>
      <c r="K48" s="2">
        <v>1404114.9999999998</v>
      </c>
      <c r="L48" s="2">
        <v>1387288.0000000002</v>
      </c>
      <c r="M48" s="2">
        <v>1371495</v>
      </c>
      <c r="N48" s="2">
        <v>1356271.0000000005</v>
      </c>
      <c r="O48" s="2">
        <v>1341707.9999999998</v>
      </c>
      <c r="P48" s="2">
        <v>1327649</v>
      </c>
    </row>
    <row r="49" spans="1:16">
      <c r="A49" s="84" t="s">
        <v>172</v>
      </c>
      <c r="B49" s="85" t="s">
        <v>171</v>
      </c>
      <c r="C49" s="85" t="s">
        <v>79</v>
      </c>
      <c r="D49" s="84" t="s">
        <v>87</v>
      </c>
      <c r="E49" s="84">
        <v>1</v>
      </c>
      <c r="F49" s="2">
        <v>174967</v>
      </c>
      <c r="G49" s="2">
        <v>172883.00000000003</v>
      </c>
      <c r="H49" s="2">
        <v>170758</v>
      </c>
      <c r="I49" s="2">
        <v>168480</v>
      </c>
      <c r="J49" s="2">
        <v>166234.00000000003</v>
      </c>
      <c r="K49" s="2">
        <v>164148</v>
      </c>
      <c r="L49" s="2">
        <v>163050</v>
      </c>
      <c r="M49" s="2">
        <v>162131</v>
      </c>
      <c r="N49" s="2">
        <v>161375.99999999997</v>
      </c>
      <c r="O49" s="2">
        <v>160766.00000000003</v>
      </c>
      <c r="P49" s="2">
        <v>160251.00000000003</v>
      </c>
    </row>
    <row r="50" spans="1:16">
      <c r="A50" s="84" t="s">
        <v>174</v>
      </c>
      <c r="B50" s="85" t="s">
        <v>173</v>
      </c>
      <c r="C50" s="85" t="s">
        <v>79</v>
      </c>
      <c r="D50" s="84" t="s">
        <v>87</v>
      </c>
      <c r="E50" s="84">
        <v>1</v>
      </c>
      <c r="F50" s="2">
        <v>1504067</v>
      </c>
      <c r="G50" s="2">
        <v>1492177.0000000002</v>
      </c>
      <c r="H50" s="2">
        <v>1478359</v>
      </c>
      <c r="I50" s="2">
        <v>1461910</v>
      </c>
      <c r="J50" s="2">
        <v>1444924</v>
      </c>
      <c r="K50" s="2">
        <v>1429158.0000000002</v>
      </c>
      <c r="L50" s="2">
        <v>1416687.0000000002</v>
      </c>
      <c r="M50" s="2">
        <v>1405859.0000000005</v>
      </c>
      <c r="N50" s="2">
        <v>1397487</v>
      </c>
      <c r="O50" s="2">
        <v>1391438</v>
      </c>
      <c r="P50" s="2">
        <v>1387491</v>
      </c>
    </row>
    <row r="51" spans="1:16">
      <c r="A51" s="84" t="s">
        <v>176</v>
      </c>
      <c r="B51" s="85" t="s">
        <v>175</v>
      </c>
      <c r="C51" s="85" t="s">
        <v>110</v>
      </c>
      <c r="D51" s="84" t="s">
        <v>75</v>
      </c>
      <c r="E51" s="84">
        <v>4</v>
      </c>
      <c r="F51" s="2">
        <v>4823180</v>
      </c>
      <c r="G51" s="2">
        <v>4816019</v>
      </c>
      <c r="H51" s="2">
        <v>4802475</v>
      </c>
      <c r="I51" s="2">
        <v>4779458</v>
      </c>
      <c r="J51" s="2">
        <v>4749477</v>
      </c>
      <c r="K51" s="2">
        <v>4714158</v>
      </c>
      <c r="L51" s="2">
        <v>4675365</v>
      </c>
      <c r="M51" s="2">
        <v>4631087</v>
      </c>
      <c r="N51" s="2">
        <v>4584742.9999999991</v>
      </c>
      <c r="O51" s="2">
        <v>4534988</v>
      </c>
      <c r="P51" s="2">
        <v>4482300.0000000009</v>
      </c>
    </row>
    <row r="52" spans="1:16">
      <c r="A52" s="84" t="s">
        <v>178</v>
      </c>
      <c r="B52" s="85" t="s">
        <v>177</v>
      </c>
      <c r="C52" s="85" t="s">
        <v>83</v>
      </c>
      <c r="D52" s="84" t="s">
        <v>75</v>
      </c>
      <c r="E52" s="84" t="s">
        <v>76</v>
      </c>
      <c r="F52" s="2">
        <v>46215563</v>
      </c>
      <c r="G52" s="2">
        <v>47178550</v>
      </c>
      <c r="H52" s="2">
        <v>48147931.000000007</v>
      </c>
      <c r="I52" s="2">
        <v>49088976</v>
      </c>
      <c r="J52" s="2">
        <v>50017049.999999993</v>
      </c>
      <c r="K52" s="2">
        <v>50933436</v>
      </c>
      <c r="L52" s="2">
        <v>51912360</v>
      </c>
      <c r="M52" s="2">
        <v>52892310.999999993</v>
      </c>
      <c r="N52" s="2">
        <v>53835725</v>
      </c>
      <c r="O52" s="2">
        <v>54756153.000000007</v>
      </c>
      <c r="P52" s="2">
        <v>55651592.000000015</v>
      </c>
    </row>
    <row r="53" spans="1:16">
      <c r="A53" s="84" t="s">
        <v>180</v>
      </c>
      <c r="B53" s="85" t="s">
        <v>179</v>
      </c>
      <c r="C53" s="85" t="s">
        <v>79</v>
      </c>
      <c r="D53" s="84" t="s">
        <v>87</v>
      </c>
      <c r="E53" s="84">
        <v>1</v>
      </c>
      <c r="F53" s="2">
        <v>910408.00000000012</v>
      </c>
      <c r="G53" s="2">
        <v>920473</v>
      </c>
      <c r="H53" s="2">
        <v>928881.00000000012</v>
      </c>
      <c r="I53" s="2">
        <v>935918.99999999988</v>
      </c>
      <c r="J53" s="2">
        <v>941435.00000000012</v>
      </c>
      <c r="K53" s="2">
        <v>945548.00000000012</v>
      </c>
      <c r="L53" s="2">
        <v>950227.00000000012</v>
      </c>
      <c r="M53" s="2">
        <v>952992.00000000023</v>
      </c>
      <c r="N53" s="2">
        <v>954501</v>
      </c>
      <c r="O53" s="2">
        <v>954473</v>
      </c>
      <c r="P53" s="2">
        <v>953062</v>
      </c>
    </row>
    <row r="54" spans="1:16">
      <c r="A54" s="84" t="s">
        <v>182</v>
      </c>
      <c r="B54" s="85" t="s">
        <v>181</v>
      </c>
      <c r="C54" s="85" t="s">
        <v>74</v>
      </c>
      <c r="D54" s="84" t="s">
        <v>84</v>
      </c>
      <c r="E54" s="84">
        <v>3</v>
      </c>
      <c r="F54" s="2">
        <v>268405.99999999994</v>
      </c>
      <c r="G54" s="2">
        <v>266920.99999999994</v>
      </c>
      <c r="H54" s="2">
        <v>265275</v>
      </c>
      <c r="I54" s="2">
        <v>263461</v>
      </c>
      <c r="J54" s="2">
        <v>261527</v>
      </c>
      <c r="K54" s="2">
        <v>259495</v>
      </c>
      <c r="L54" s="2">
        <v>257765</v>
      </c>
      <c r="M54" s="2">
        <v>255978.00000000003</v>
      </c>
      <c r="N54" s="2">
        <v>254158.00000000003</v>
      </c>
      <c r="O54" s="2">
        <v>252353</v>
      </c>
      <c r="P54" s="2">
        <v>250586</v>
      </c>
    </row>
    <row r="55" spans="1:16">
      <c r="A55" s="84" t="s">
        <v>184</v>
      </c>
      <c r="B55" s="85" t="s">
        <v>183</v>
      </c>
      <c r="C55" s="85" t="s">
        <v>92</v>
      </c>
      <c r="D55" s="84" t="s">
        <v>80</v>
      </c>
      <c r="E55" s="84">
        <v>2</v>
      </c>
      <c r="F55" s="2">
        <v>2704518.0000000005</v>
      </c>
      <c r="G55" s="2">
        <v>2685797</v>
      </c>
      <c r="H55" s="2">
        <v>2666541</v>
      </c>
      <c r="I55" s="2">
        <v>2645042</v>
      </c>
      <c r="J55" s="2">
        <v>2622470</v>
      </c>
      <c r="K55" s="2">
        <v>2599560.9999999995</v>
      </c>
      <c r="L55" s="2">
        <v>2576829.0000000005</v>
      </c>
      <c r="M55" s="2">
        <v>2555374.0000000005</v>
      </c>
      <c r="N55" s="2">
        <v>2533862</v>
      </c>
      <c r="O55" s="2">
        <v>2512782</v>
      </c>
      <c r="P55" s="2">
        <v>2492035</v>
      </c>
    </row>
    <row r="56" spans="1:16">
      <c r="A56" s="84" t="s">
        <v>184</v>
      </c>
      <c r="B56" s="85" t="s">
        <v>185</v>
      </c>
      <c r="C56" s="85" t="s">
        <v>92</v>
      </c>
      <c r="D56" s="84" t="s">
        <v>80</v>
      </c>
      <c r="E56" s="84">
        <v>2</v>
      </c>
      <c r="F56" s="2">
        <v>2704518.0000000005</v>
      </c>
      <c r="G56" s="2">
        <v>2685797</v>
      </c>
      <c r="H56" s="2">
        <v>2666541</v>
      </c>
      <c r="I56" s="2">
        <v>2645042</v>
      </c>
      <c r="J56" s="2">
        <v>2622470</v>
      </c>
      <c r="K56" s="2">
        <v>2599560.9999999995</v>
      </c>
      <c r="L56" s="2">
        <v>2576829.0000000005</v>
      </c>
      <c r="M56" s="2">
        <v>2555374.0000000005</v>
      </c>
      <c r="N56" s="2">
        <v>2533862</v>
      </c>
      <c r="O56" s="2">
        <v>2512782</v>
      </c>
      <c r="P56" s="2">
        <v>2492035</v>
      </c>
    </row>
    <row r="57" spans="1:16">
      <c r="A57" s="84" t="s">
        <v>187</v>
      </c>
      <c r="B57" s="85" t="s">
        <v>186</v>
      </c>
      <c r="C57" s="85" t="s">
        <v>92</v>
      </c>
      <c r="D57" s="84" t="s">
        <v>80</v>
      </c>
      <c r="E57" s="84">
        <v>2</v>
      </c>
      <c r="F57" s="2">
        <v>4609133</v>
      </c>
      <c r="G57" s="2">
        <v>4606261</v>
      </c>
      <c r="H57" s="2">
        <v>4599448.0000000009</v>
      </c>
      <c r="I57" s="2">
        <v>4588409</v>
      </c>
      <c r="J57" s="2">
        <v>4573982</v>
      </c>
      <c r="K57" s="2">
        <v>4557446</v>
      </c>
      <c r="L57" s="2">
        <v>4543192</v>
      </c>
      <c r="M57" s="2">
        <v>4528540.0000000009</v>
      </c>
      <c r="N57" s="2">
        <v>4512241</v>
      </c>
      <c r="O57" s="2">
        <v>4495132</v>
      </c>
      <c r="P57" s="2">
        <v>4477294</v>
      </c>
    </row>
    <row r="58" spans="1:16">
      <c r="A58" s="84" t="s">
        <v>189</v>
      </c>
      <c r="B58" s="85" t="s">
        <v>188</v>
      </c>
      <c r="C58" s="85" t="s">
        <v>74</v>
      </c>
      <c r="D58" s="84" t="s">
        <v>84</v>
      </c>
      <c r="E58" s="84">
        <v>2</v>
      </c>
      <c r="F58" s="2">
        <v>35003467.000000007</v>
      </c>
      <c r="G58" s="2">
        <v>34963343</v>
      </c>
      <c r="H58" s="2">
        <v>34947034.000000007</v>
      </c>
      <c r="I58" s="2">
        <v>34957108</v>
      </c>
      <c r="J58" s="2">
        <v>35002159</v>
      </c>
      <c r="K58" s="2">
        <v>35084071</v>
      </c>
      <c r="L58" s="2">
        <v>35248382.999999993</v>
      </c>
      <c r="M58" s="2">
        <v>35476958.999999993</v>
      </c>
      <c r="N58" s="2">
        <v>35728977.999999993</v>
      </c>
      <c r="O58" s="2">
        <v>36023240.999999993</v>
      </c>
      <c r="P58" s="2">
        <v>36352161</v>
      </c>
    </row>
    <row r="59" spans="1:16">
      <c r="A59" s="84" t="s">
        <v>191</v>
      </c>
      <c r="B59" s="85" t="s">
        <v>190</v>
      </c>
      <c r="C59" s="85" t="s">
        <v>92</v>
      </c>
      <c r="D59" s="84" t="s">
        <v>84</v>
      </c>
      <c r="E59" s="84">
        <v>1</v>
      </c>
      <c r="F59" s="2">
        <v>1522828</v>
      </c>
      <c r="G59" s="2">
        <v>1508066.0000000002</v>
      </c>
      <c r="H59" s="2">
        <v>1492149.9999999998</v>
      </c>
      <c r="I59" s="2">
        <v>1475177.0000000002</v>
      </c>
      <c r="J59" s="2">
        <v>1457351</v>
      </c>
      <c r="K59" s="2">
        <v>1439130</v>
      </c>
      <c r="L59" s="2">
        <v>1418896.0000000002</v>
      </c>
      <c r="M59" s="2">
        <v>1399001</v>
      </c>
      <c r="N59" s="2">
        <v>1378942</v>
      </c>
      <c r="O59" s="2">
        <v>1359024.9999999998</v>
      </c>
      <c r="P59" s="2">
        <v>1339385</v>
      </c>
    </row>
    <row r="60" spans="1:16">
      <c r="A60" s="84" t="s">
        <v>193</v>
      </c>
      <c r="B60" s="85" t="s">
        <v>192</v>
      </c>
      <c r="C60" s="85" t="s">
        <v>83</v>
      </c>
      <c r="D60" s="84" t="s">
        <v>80</v>
      </c>
      <c r="E60" s="84">
        <v>3</v>
      </c>
      <c r="F60" s="2">
        <v>596247</v>
      </c>
      <c r="G60" s="2">
        <v>609593.99999999988</v>
      </c>
      <c r="H60" s="2">
        <v>621560.00000000012</v>
      </c>
      <c r="I60" s="2">
        <v>632776</v>
      </c>
      <c r="J60" s="2">
        <v>643394</v>
      </c>
      <c r="K60" s="2">
        <v>653503.00000000012</v>
      </c>
      <c r="L60" s="2">
        <v>664944.00000000012</v>
      </c>
      <c r="M60" s="2">
        <v>675063.00000000012</v>
      </c>
      <c r="N60" s="2">
        <v>684381.99999999988</v>
      </c>
      <c r="O60" s="2">
        <v>693010</v>
      </c>
      <c r="P60" s="2">
        <v>701036.99999999977</v>
      </c>
    </row>
    <row r="61" spans="1:16">
      <c r="A61" s="84" t="s">
        <v>195</v>
      </c>
      <c r="B61" s="85" t="s">
        <v>194</v>
      </c>
      <c r="C61" s="85" t="s">
        <v>83</v>
      </c>
      <c r="D61" s="84" t="s">
        <v>75</v>
      </c>
      <c r="E61" s="84">
        <v>3</v>
      </c>
      <c r="F61" s="2">
        <v>1390331.9999999998</v>
      </c>
      <c r="G61" s="2">
        <v>1401645</v>
      </c>
      <c r="H61" s="2">
        <v>1414950</v>
      </c>
      <c r="I61" s="2">
        <v>1427877</v>
      </c>
      <c r="J61" s="2">
        <v>1441831</v>
      </c>
      <c r="K61" s="2">
        <v>1457302</v>
      </c>
      <c r="L61" s="2">
        <v>1474316.0000000002</v>
      </c>
      <c r="M61" s="2">
        <v>1493127.0000000002</v>
      </c>
      <c r="N61" s="2">
        <v>1512839.9999999998</v>
      </c>
      <c r="O61" s="2">
        <v>1533282.9999999998</v>
      </c>
      <c r="P61" s="2">
        <v>1553750.0000000002</v>
      </c>
    </row>
    <row r="62" spans="1:16">
      <c r="A62" s="84" t="s">
        <v>197</v>
      </c>
      <c r="B62" s="85" t="s">
        <v>196</v>
      </c>
      <c r="C62" s="85" t="s">
        <v>79</v>
      </c>
      <c r="D62" s="84" t="s">
        <v>87</v>
      </c>
      <c r="E62" s="84">
        <v>1</v>
      </c>
      <c r="F62" s="2">
        <v>183951</v>
      </c>
      <c r="G62" s="2">
        <v>180807</v>
      </c>
      <c r="H62" s="2">
        <v>177629.99999999997</v>
      </c>
      <c r="I62" s="2">
        <v>174743</v>
      </c>
      <c r="J62" s="2">
        <v>171936.99999999997</v>
      </c>
      <c r="K62" s="2">
        <v>169145.00000000003</v>
      </c>
      <c r="L62" s="2">
        <v>166477.00000000003</v>
      </c>
      <c r="M62" s="2">
        <v>163959</v>
      </c>
      <c r="N62" s="2">
        <v>161558</v>
      </c>
      <c r="O62" s="2">
        <v>159337.99999999997</v>
      </c>
      <c r="P62" s="2">
        <v>157376.99999999994</v>
      </c>
    </row>
    <row r="63" spans="1:16">
      <c r="A63" s="84" t="s">
        <v>199</v>
      </c>
      <c r="B63" s="85" t="s">
        <v>198</v>
      </c>
      <c r="C63" s="85" t="s">
        <v>83</v>
      </c>
      <c r="D63" s="84" t="s">
        <v>75</v>
      </c>
      <c r="E63" s="84" t="s">
        <v>76</v>
      </c>
      <c r="F63" s="2">
        <v>48300234.999999993</v>
      </c>
      <c r="G63" s="2">
        <v>48844420</v>
      </c>
      <c r="H63" s="2">
        <v>49341917</v>
      </c>
      <c r="I63" s="2">
        <v>49797151.000000015</v>
      </c>
      <c r="J63" s="2">
        <v>50207379.999999993</v>
      </c>
      <c r="K63" s="2">
        <v>50575399.000000007</v>
      </c>
      <c r="L63" s="2">
        <v>50939501.999999993</v>
      </c>
      <c r="M63" s="2">
        <v>51267060</v>
      </c>
      <c r="N63" s="2">
        <v>51555387.000000007</v>
      </c>
      <c r="O63" s="2">
        <v>51811051</v>
      </c>
      <c r="P63" s="2">
        <v>52041222.000000007</v>
      </c>
    </row>
    <row r="64" spans="1:16">
      <c r="A64" s="84" t="s">
        <v>201</v>
      </c>
      <c r="B64" s="85" t="s">
        <v>200</v>
      </c>
      <c r="C64" s="85" t="s">
        <v>99</v>
      </c>
      <c r="D64" s="84" t="s">
        <v>80</v>
      </c>
      <c r="E64" s="84">
        <v>4</v>
      </c>
      <c r="F64" s="2">
        <v>242999.00000000003</v>
      </c>
      <c r="G64" s="2">
        <v>242158</v>
      </c>
      <c r="H64" s="2">
        <v>241305</v>
      </c>
      <c r="I64" s="2">
        <v>240372</v>
      </c>
      <c r="J64" s="2">
        <v>239428.00000000003</v>
      </c>
      <c r="K64" s="2">
        <v>238542</v>
      </c>
      <c r="L64" s="2">
        <v>237847.00000000003</v>
      </c>
      <c r="M64" s="2">
        <v>237377.00000000006</v>
      </c>
      <c r="N64" s="2">
        <v>236905</v>
      </c>
      <c r="O64" s="2">
        <v>236521.00000000003</v>
      </c>
      <c r="P64" s="2">
        <v>236207</v>
      </c>
    </row>
    <row r="65" spans="1:16">
      <c r="A65" s="84" t="s">
        <v>203</v>
      </c>
      <c r="B65" s="85" t="s">
        <v>202</v>
      </c>
      <c r="C65" s="85" t="s">
        <v>79</v>
      </c>
      <c r="D65" s="84" t="s">
        <v>87</v>
      </c>
      <c r="E65" s="84">
        <v>1</v>
      </c>
      <c r="F65" s="2">
        <v>726702</v>
      </c>
      <c r="G65" s="2">
        <v>718512</v>
      </c>
      <c r="H65" s="2">
        <v>712056.99999999988</v>
      </c>
      <c r="I65" s="2">
        <v>707215.99999999988</v>
      </c>
      <c r="J65" s="2">
        <v>704064.00000000012</v>
      </c>
      <c r="K65" s="2">
        <v>702048</v>
      </c>
      <c r="L65" s="2">
        <v>701760.99999999988</v>
      </c>
      <c r="M65" s="2">
        <v>701953.00000000012</v>
      </c>
      <c r="N65" s="2">
        <v>702940</v>
      </c>
      <c r="O65" s="2">
        <v>704500.00000000012</v>
      </c>
      <c r="P65" s="2">
        <v>706361</v>
      </c>
    </row>
    <row r="66" spans="1:16">
      <c r="A66" s="84" t="s">
        <v>205</v>
      </c>
      <c r="B66" s="85" t="s">
        <v>204</v>
      </c>
      <c r="C66" s="85" t="s">
        <v>79</v>
      </c>
      <c r="D66" s="84" t="s">
        <v>87</v>
      </c>
      <c r="E66" s="84">
        <v>1</v>
      </c>
      <c r="F66" s="2">
        <v>10184600</v>
      </c>
      <c r="G66" s="2">
        <v>10129560</v>
      </c>
      <c r="H66" s="2">
        <v>10087509</v>
      </c>
      <c r="I66" s="2">
        <v>10061643</v>
      </c>
      <c r="J66" s="2">
        <v>10042310.000000002</v>
      </c>
      <c r="K66" s="2">
        <v>10022091</v>
      </c>
      <c r="L66" s="2">
        <v>10017726.999999998</v>
      </c>
      <c r="M66" s="2">
        <v>10019117.000000002</v>
      </c>
      <c r="N66" s="2">
        <v>10013597.999999998</v>
      </c>
      <c r="O66" s="2">
        <v>10005646</v>
      </c>
      <c r="P66" s="2">
        <v>9997054.9999999981</v>
      </c>
    </row>
    <row r="67" spans="1:16">
      <c r="A67" s="84" t="s">
        <v>207</v>
      </c>
      <c r="B67" s="85" t="s">
        <v>206</v>
      </c>
      <c r="C67" s="85" t="s">
        <v>83</v>
      </c>
      <c r="D67" s="84" t="s">
        <v>80</v>
      </c>
      <c r="E67" s="84">
        <v>3</v>
      </c>
      <c r="F67" s="2">
        <v>885507.99999999977</v>
      </c>
      <c r="G67" s="2">
        <v>890504.00000000012</v>
      </c>
      <c r="H67" s="2">
        <v>894638</v>
      </c>
      <c r="I67" s="2">
        <v>896563.00000000012</v>
      </c>
      <c r="J67" s="2">
        <v>897692</v>
      </c>
      <c r="K67" s="2">
        <v>898942</v>
      </c>
      <c r="L67" s="2">
        <v>901636.00000000012</v>
      </c>
      <c r="M67" s="2">
        <v>905133.99999999988</v>
      </c>
      <c r="N67" s="2">
        <v>909252.00000000012</v>
      </c>
      <c r="O67" s="2">
        <v>914135</v>
      </c>
      <c r="P67" s="2">
        <v>919637.99999999988</v>
      </c>
    </row>
    <row r="68" spans="1:16">
      <c r="A68" s="84" t="s">
        <v>209</v>
      </c>
      <c r="B68" s="85" t="s">
        <v>208</v>
      </c>
      <c r="C68" s="85" t="s">
        <v>83</v>
      </c>
      <c r="D68" s="84" t="s">
        <v>75</v>
      </c>
      <c r="E68" s="84">
        <v>3</v>
      </c>
      <c r="F68" s="2">
        <v>1181803</v>
      </c>
      <c r="G68" s="2">
        <v>1203197</v>
      </c>
      <c r="H68" s="2">
        <v>1223697</v>
      </c>
      <c r="I68" s="2">
        <v>1242766</v>
      </c>
      <c r="J68" s="2">
        <v>1260735</v>
      </c>
      <c r="K68" s="2">
        <v>1277775.9999999998</v>
      </c>
      <c r="L68" s="2">
        <v>1296317.9999999998</v>
      </c>
      <c r="M68" s="2">
        <v>1313997.0000000002</v>
      </c>
      <c r="N68" s="2">
        <v>1330600.0000000002</v>
      </c>
      <c r="O68" s="2">
        <v>1346237</v>
      </c>
      <c r="P68" s="2">
        <v>1360994.0000000002</v>
      </c>
    </row>
    <row r="69" spans="1:16">
      <c r="A69" s="84" t="s">
        <v>211</v>
      </c>
      <c r="B69" s="85" t="s">
        <v>210</v>
      </c>
      <c r="C69" s="85" t="s">
        <v>79</v>
      </c>
      <c r="D69" s="84" t="s">
        <v>80</v>
      </c>
      <c r="E69" s="84">
        <v>1</v>
      </c>
      <c r="F69" s="2">
        <v>687483</v>
      </c>
      <c r="G69" s="2">
        <v>673363</v>
      </c>
      <c r="H69" s="2">
        <v>660412</v>
      </c>
      <c r="I69" s="2">
        <v>647942.99999999988</v>
      </c>
      <c r="J69" s="2">
        <v>636511.00000000012</v>
      </c>
      <c r="K69" s="2">
        <v>626168</v>
      </c>
      <c r="L69" s="2">
        <v>617170.99999999988</v>
      </c>
      <c r="M69" s="2">
        <v>609911.99999999988</v>
      </c>
      <c r="N69" s="2">
        <v>603725</v>
      </c>
      <c r="O69" s="2">
        <v>598790</v>
      </c>
      <c r="P69" s="2">
        <v>594910</v>
      </c>
    </row>
    <row r="70" spans="1:16">
      <c r="A70" s="84" t="s">
        <v>213</v>
      </c>
      <c r="B70" s="85" t="s">
        <v>212</v>
      </c>
      <c r="C70" s="85" t="s">
        <v>79</v>
      </c>
      <c r="D70" s="84" t="s">
        <v>87</v>
      </c>
      <c r="E70" s="84">
        <v>1</v>
      </c>
      <c r="F70" s="2">
        <v>11156427.000000002</v>
      </c>
      <c r="G70" s="2">
        <v>11142891.000000002</v>
      </c>
      <c r="H70" s="2">
        <v>11112153.000000002</v>
      </c>
      <c r="I70" s="2">
        <v>11048172</v>
      </c>
      <c r="J70" s="2">
        <v>10970390</v>
      </c>
      <c r="K70" s="2">
        <v>10890210</v>
      </c>
      <c r="L70" s="2">
        <v>10821072</v>
      </c>
      <c r="M70" s="2">
        <v>10750854.000000002</v>
      </c>
      <c r="N70" s="2">
        <v>10685487</v>
      </c>
      <c r="O70" s="2">
        <v>10621235.999999996</v>
      </c>
      <c r="P70" s="2">
        <v>10554927.999999998</v>
      </c>
    </row>
    <row r="71" spans="1:16">
      <c r="A71" s="84" t="s">
        <v>215</v>
      </c>
      <c r="B71" s="85" t="s">
        <v>214</v>
      </c>
      <c r="C71" s="85" t="s">
        <v>83</v>
      </c>
      <c r="D71" s="84" t="s">
        <v>84</v>
      </c>
      <c r="E71" s="84">
        <v>3</v>
      </c>
      <c r="F71" s="2">
        <v>11886816</v>
      </c>
      <c r="G71" s="2">
        <v>12002853.999999998</v>
      </c>
      <c r="H71" s="2">
        <v>12117732</v>
      </c>
      <c r="I71" s="2">
        <v>12229956.999999998</v>
      </c>
      <c r="J71" s="2">
        <v>12339914.999999998</v>
      </c>
      <c r="K71" s="2">
        <v>12447212</v>
      </c>
      <c r="L71" s="2">
        <v>12564988</v>
      </c>
      <c r="M71" s="2">
        <v>12681976.000000002</v>
      </c>
      <c r="N71" s="2">
        <v>12795230.000000002</v>
      </c>
      <c r="O71" s="2">
        <v>12906065</v>
      </c>
      <c r="P71" s="2">
        <v>13014771</v>
      </c>
    </row>
    <row r="72" spans="1:16">
      <c r="A72" s="84" t="s">
        <v>217</v>
      </c>
      <c r="B72" s="85" t="s">
        <v>216</v>
      </c>
      <c r="C72" s="85" t="s">
        <v>79</v>
      </c>
      <c r="D72" s="84" t="s">
        <v>87</v>
      </c>
      <c r="E72" s="84">
        <v>1</v>
      </c>
      <c r="F72" s="2">
        <v>1051121</v>
      </c>
      <c r="G72" s="2">
        <v>1030019</v>
      </c>
      <c r="H72" s="2">
        <v>1011457.0000000001</v>
      </c>
      <c r="I72" s="2">
        <v>994987</v>
      </c>
      <c r="J72" s="2">
        <v>981123</v>
      </c>
      <c r="K72" s="2">
        <v>969929</v>
      </c>
      <c r="L72" s="2">
        <v>963384.99999999988</v>
      </c>
      <c r="M72" s="2">
        <v>959559</v>
      </c>
      <c r="N72" s="2">
        <v>957391.00000000012</v>
      </c>
      <c r="O72" s="2">
        <v>957159.99999999988</v>
      </c>
      <c r="P72" s="2">
        <v>958417.99999999988</v>
      </c>
    </row>
    <row r="73" spans="1:16">
      <c r="A73" s="84" t="s">
        <v>219</v>
      </c>
      <c r="B73" s="85" t="s">
        <v>218</v>
      </c>
      <c r="C73" s="85" t="s">
        <v>92</v>
      </c>
      <c r="D73" s="84" t="s">
        <v>80</v>
      </c>
      <c r="E73" s="84">
        <v>1</v>
      </c>
      <c r="F73" s="2">
        <v>23671.999999999996</v>
      </c>
      <c r="G73" s="2">
        <v>23301.000000000004</v>
      </c>
      <c r="H73" s="2">
        <v>22912</v>
      </c>
      <c r="I73" s="2">
        <v>22521</v>
      </c>
      <c r="J73" s="2">
        <v>22126</v>
      </c>
      <c r="K73" s="2">
        <v>21739</v>
      </c>
      <c r="L73" s="2">
        <v>21368.000000000004</v>
      </c>
      <c r="M73" s="2">
        <v>21032.999999999996</v>
      </c>
      <c r="N73" s="2">
        <v>20710.999999999996</v>
      </c>
      <c r="O73" s="2">
        <v>20422</v>
      </c>
      <c r="P73" s="2">
        <v>20164</v>
      </c>
    </row>
    <row r="74" spans="1:16">
      <c r="A74" s="84" t="s">
        <v>221</v>
      </c>
      <c r="B74" s="85" t="s">
        <v>220</v>
      </c>
      <c r="C74" s="85" t="s">
        <v>92</v>
      </c>
      <c r="D74" s="84" t="s">
        <v>80</v>
      </c>
      <c r="E74" s="84">
        <v>1</v>
      </c>
      <c r="F74" s="2">
        <v>5815429.9999999991</v>
      </c>
      <c r="G74" s="2">
        <v>5835231</v>
      </c>
      <c r="H74" s="2">
        <v>5850929</v>
      </c>
      <c r="I74" s="2">
        <v>5863066.0000000009</v>
      </c>
      <c r="J74" s="2">
        <v>5870976.0000000009</v>
      </c>
      <c r="K74" s="2">
        <v>5874956.9999999991</v>
      </c>
      <c r="L74" s="2">
        <v>5878562.9999999991</v>
      </c>
      <c r="M74" s="2">
        <v>5879623</v>
      </c>
      <c r="N74" s="2">
        <v>5876388</v>
      </c>
      <c r="O74" s="2">
        <v>5869972.9999999991</v>
      </c>
      <c r="P74" s="2">
        <v>5860848.9999999991</v>
      </c>
    </row>
    <row r="75" spans="1:16">
      <c r="A75" s="84" t="s">
        <v>223</v>
      </c>
      <c r="B75" s="85" t="s">
        <v>222</v>
      </c>
      <c r="C75" s="85" t="s">
        <v>83</v>
      </c>
      <c r="D75" s="84" t="s">
        <v>75</v>
      </c>
      <c r="E75" s="84">
        <v>3</v>
      </c>
      <c r="F75" s="2">
        <v>6130192.0000000009</v>
      </c>
      <c r="G75" s="2">
        <v>6238173</v>
      </c>
      <c r="H75" s="2">
        <v>6344235.0000000009</v>
      </c>
      <c r="I75" s="2">
        <v>6446425.9999999991</v>
      </c>
      <c r="J75" s="2">
        <v>6545064.0000000009</v>
      </c>
      <c r="K75" s="2">
        <v>6640085</v>
      </c>
      <c r="L75" s="2">
        <v>6738168</v>
      </c>
      <c r="M75" s="2">
        <v>6833076</v>
      </c>
      <c r="N75" s="2">
        <v>6923229</v>
      </c>
      <c r="O75" s="2">
        <v>7009198.0000000009</v>
      </c>
      <c r="P75" s="2">
        <v>7091366</v>
      </c>
    </row>
    <row r="76" spans="1:16">
      <c r="A76" s="84" t="s">
        <v>225</v>
      </c>
      <c r="B76" s="85" t="s">
        <v>224</v>
      </c>
      <c r="C76" s="85" t="s">
        <v>83</v>
      </c>
      <c r="D76" s="84" t="s">
        <v>75</v>
      </c>
      <c r="E76" s="84">
        <v>3</v>
      </c>
      <c r="F76" s="2">
        <v>863378</v>
      </c>
      <c r="G76" s="2">
        <v>873026.00000000012</v>
      </c>
      <c r="H76" s="2">
        <v>882594.99999999988</v>
      </c>
      <c r="I76" s="2">
        <v>891675</v>
      </c>
      <c r="J76" s="2">
        <v>900524</v>
      </c>
      <c r="K76" s="2">
        <v>909224.99999999988</v>
      </c>
      <c r="L76" s="2">
        <v>918797.99999999988</v>
      </c>
      <c r="M76" s="2">
        <v>928461</v>
      </c>
      <c r="N76" s="2">
        <v>937790.00000000023</v>
      </c>
      <c r="O76" s="2">
        <v>946983.99999999988</v>
      </c>
      <c r="P76" s="2">
        <v>956060</v>
      </c>
    </row>
    <row r="77" spans="1:16">
      <c r="A77" s="84" t="s">
        <v>227</v>
      </c>
      <c r="B77" s="85" t="s">
        <v>226</v>
      </c>
      <c r="C77" s="85" t="s">
        <v>92</v>
      </c>
      <c r="D77" s="84" t="s">
        <v>80</v>
      </c>
      <c r="E77" s="84">
        <v>2</v>
      </c>
      <c r="F77" s="2">
        <v>197900.99999999997</v>
      </c>
      <c r="G77" s="2">
        <v>196275.99999999997</v>
      </c>
      <c r="H77" s="2">
        <v>194699</v>
      </c>
      <c r="I77" s="2">
        <v>193070</v>
      </c>
      <c r="J77" s="2">
        <v>191381.99999999994</v>
      </c>
      <c r="K77" s="2">
        <v>189619.99999999997</v>
      </c>
      <c r="L77" s="2">
        <v>187653</v>
      </c>
      <c r="M77" s="2">
        <v>185797</v>
      </c>
      <c r="N77" s="2">
        <v>183845.00000000003</v>
      </c>
      <c r="O77" s="2">
        <v>181871</v>
      </c>
      <c r="P77" s="2">
        <v>179892.00000000003</v>
      </c>
    </row>
    <row r="78" spans="1:16">
      <c r="A78" s="84" t="s">
        <v>229</v>
      </c>
      <c r="B78" s="85" t="s">
        <v>228</v>
      </c>
      <c r="C78" s="85" t="s">
        <v>92</v>
      </c>
      <c r="D78" s="84" t="s">
        <v>75</v>
      </c>
      <c r="E78" s="84">
        <v>2</v>
      </c>
      <c r="F78" s="2">
        <v>3412294</v>
      </c>
      <c r="G78" s="2">
        <v>3404088</v>
      </c>
      <c r="H78" s="2">
        <v>3396133</v>
      </c>
      <c r="I78" s="2">
        <v>3386585</v>
      </c>
      <c r="J78" s="2">
        <v>3376323.0000000005</v>
      </c>
      <c r="K78" s="2">
        <v>3365509.9999999995</v>
      </c>
      <c r="L78" s="2">
        <v>3355755.0000000005</v>
      </c>
      <c r="M78" s="2">
        <v>3346448</v>
      </c>
      <c r="N78" s="2">
        <v>3335868</v>
      </c>
      <c r="O78" s="2">
        <v>3324607.9999999995</v>
      </c>
      <c r="P78" s="2">
        <v>3312682</v>
      </c>
    </row>
    <row r="79" spans="1:16">
      <c r="A79" s="84" t="s">
        <v>231</v>
      </c>
      <c r="B79" s="85" t="s">
        <v>230</v>
      </c>
      <c r="C79" s="85" t="s">
        <v>92</v>
      </c>
      <c r="D79" s="84" t="s">
        <v>84</v>
      </c>
      <c r="E79" s="84">
        <v>1</v>
      </c>
      <c r="F79" s="2">
        <v>2840803.0000000009</v>
      </c>
      <c r="G79" s="2">
        <v>2844715.0000000005</v>
      </c>
      <c r="H79" s="2">
        <v>2845705.0000000005</v>
      </c>
      <c r="I79" s="2">
        <v>2843871.0000000005</v>
      </c>
      <c r="J79" s="2">
        <v>2839134</v>
      </c>
      <c r="K79" s="2">
        <v>2831942.0000000005</v>
      </c>
      <c r="L79" s="2">
        <v>2824318.0000000005</v>
      </c>
      <c r="M79" s="2">
        <v>2814383</v>
      </c>
      <c r="N79" s="2">
        <v>2802473</v>
      </c>
      <c r="O79" s="2">
        <v>2788502.9999999995</v>
      </c>
      <c r="P79" s="2">
        <v>2772770.0000000005</v>
      </c>
    </row>
    <row r="80" spans="1:16">
      <c r="A80" s="84" t="s">
        <v>233</v>
      </c>
      <c r="B80" s="85" t="s">
        <v>232</v>
      </c>
      <c r="C80" s="85" t="s">
        <v>79</v>
      </c>
      <c r="D80" s="84" t="s">
        <v>87</v>
      </c>
      <c r="E80" s="84">
        <v>1</v>
      </c>
      <c r="F80" s="2">
        <v>1256236.9999999998</v>
      </c>
      <c r="G80" s="2">
        <v>1252258.0000000002</v>
      </c>
      <c r="H80" s="2">
        <v>1246543.9999999998</v>
      </c>
      <c r="I80" s="2">
        <v>1237554.9999999998</v>
      </c>
      <c r="J80" s="2">
        <v>1227043.0000000002</v>
      </c>
      <c r="K80" s="2">
        <v>1216279.0000000002</v>
      </c>
      <c r="L80" s="2">
        <v>1206362</v>
      </c>
      <c r="M80" s="2">
        <v>1196339.9999999998</v>
      </c>
      <c r="N80" s="2">
        <v>1186914</v>
      </c>
      <c r="O80" s="2">
        <v>1177665.0000000002</v>
      </c>
      <c r="P80" s="2">
        <v>1168356</v>
      </c>
    </row>
    <row r="81" spans="1:16">
      <c r="A81" s="84" t="s">
        <v>235</v>
      </c>
      <c r="B81" s="85" t="s">
        <v>234</v>
      </c>
      <c r="C81" s="85" t="s">
        <v>79</v>
      </c>
      <c r="D81" s="84" t="s">
        <v>87</v>
      </c>
      <c r="E81" s="84">
        <v>1</v>
      </c>
      <c r="F81" s="2">
        <v>56885</v>
      </c>
      <c r="G81" s="2">
        <v>56451.000000000007</v>
      </c>
      <c r="H81" s="2">
        <v>56057</v>
      </c>
      <c r="I81" s="2">
        <v>55809.999999999993</v>
      </c>
      <c r="J81" s="2">
        <v>55610</v>
      </c>
      <c r="K81" s="2">
        <v>55397.999999999993</v>
      </c>
      <c r="L81" s="2">
        <v>55281</v>
      </c>
      <c r="M81" s="2">
        <v>55138</v>
      </c>
      <c r="N81" s="2">
        <v>54960</v>
      </c>
      <c r="O81" s="2">
        <v>54761.000000000007</v>
      </c>
      <c r="P81" s="2">
        <v>54562.000000000007</v>
      </c>
    </row>
    <row r="82" spans="1:16">
      <c r="A82" s="84" t="s">
        <v>237</v>
      </c>
      <c r="B82" s="85" t="s">
        <v>236</v>
      </c>
      <c r="C82" s="85" t="s">
        <v>110</v>
      </c>
      <c r="D82" s="84" t="s">
        <v>84</v>
      </c>
      <c r="E82" s="84" t="s">
        <v>76</v>
      </c>
      <c r="F82" s="2">
        <v>323094633.99999994</v>
      </c>
      <c r="G82" s="2">
        <v>322652111.00000006</v>
      </c>
      <c r="H82" s="2">
        <v>322066674</v>
      </c>
      <c r="I82" s="2">
        <v>321338516</v>
      </c>
      <c r="J82" s="2">
        <v>320420542.99999994</v>
      </c>
      <c r="K82" s="2">
        <v>319304010</v>
      </c>
      <c r="L82" s="2">
        <v>318265424</v>
      </c>
      <c r="M82" s="2">
        <v>317015178.99999994</v>
      </c>
      <c r="N82" s="2">
        <v>315490980.00000006</v>
      </c>
      <c r="O82" s="2">
        <v>313716905</v>
      </c>
      <c r="P82" s="2">
        <v>311707003</v>
      </c>
    </row>
    <row r="83" spans="1:16">
      <c r="A83" s="84" t="s">
        <v>239</v>
      </c>
      <c r="B83" s="85" t="s">
        <v>238</v>
      </c>
      <c r="C83" s="85" t="s">
        <v>110</v>
      </c>
      <c r="D83" s="84" t="s">
        <v>80</v>
      </c>
      <c r="E83" s="84" t="s">
        <v>76</v>
      </c>
      <c r="F83" s="2">
        <v>64980155.000000007</v>
      </c>
      <c r="G83" s="2">
        <v>64676474</v>
      </c>
      <c r="H83" s="2">
        <v>64404855</v>
      </c>
      <c r="I83" s="2">
        <v>64156873.999999993</v>
      </c>
      <c r="J83" s="2">
        <v>63926946</v>
      </c>
      <c r="K83" s="2">
        <v>63695295.999999993</v>
      </c>
      <c r="L83" s="2">
        <v>63504421.000000007</v>
      </c>
      <c r="M83" s="2">
        <v>63310371.000000007</v>
      </c>
      <c r="N83" s="2">
        <v>63110567</v>
      </c>
      <c r="O83" s="2">
        <v>62902657</v>
      </c>
      <c r="P83" s="2">
        <v>62683791.999999993</v>
      </c>
    </row>
    <row r="84" spans="1:16">
      <c r="A84" s="84" t="s">
        <v>241</v>
      </c>
      <c r="B84" s="85" t="s">
        <v>240</v>
      </c>
      <c r="C84" s="85" t="s">
        <v>74</v>
      </c>
      <c r="D84" s="84" t="s">
        <v>80</v>
      </c>
      <c r="E84" s="84">
        <v>2</v>
      </c>
      <c r="F84" s="2">
        <v>19828904</v>
      </c>
      <c r="G84" s="2">
        <v>19616369</v>
      </c>
      <c r="H84" s="2">
        <v>19365727</v>
      </c>
      <c r="I84" s="2">
        <v>19030946.000000004</v>
      </c>
      <c r="J84" s="2">
        <v>18666781.000000004</v>
      </c>
      <c r="K84" s="2">
        <v>18312230.000000004</v>
      </c>
      <c r="L84" s="2">
        <v>17997727</v>
      </c>
      <c r="M84" s="2">
        <v>17718074</v>
      </c>
      <c r="N84" s="2">
        <v>17470742.000000004</v>
      </c>
      <c r="O84" s="2">
        <v>17258753</v>
      </c>
      <c r="P84" s="2">
        <v>17076039</v>
      </c>
    </row>
    <row r="85" spans="1:16">
      <c r="A85" s="84" t="s">
        <v>243</v>
      </c>
      <c r="B85" s="85" t="s">
        <v>242</v>
      </c>
      <c r="C85" s="85" t="s">
        <v>74</v>
      </c>
      <c r="D85" s="84" t="s">
        <v>80</v>
      </c>
      <c r="E85" s="84">
        <v>2</v>
      </c>
      <c r="F85" s="2">
        <v>15705870.999999998</v>
      </c>
      <c r="G85" s="2">
        <v>15866053.000000002</v>
      </c>
      <c r="H85" s="2">
        <v>16032577</v>
      </c>
      <c r="I85" s="2">
        <v>16216121.000000002</v>
      </c>
      <c r="J85" s="2">
        <v>16404974.999999998</v>
      </c>
      <c r="K85" s="2">
        <v>16588938.999999998</v>
      </c>
      <c r="L85" s="2">
        <v>16774809.000000002</v>
      </c>
      <c r="M85" s="2">
        <v>16952235</v>
      </c>
      <c r="N85" s="2">
        <v>17121825</v>
      </c>
      <c r="O85" s="2">
        <v>17283149.999999996</v>
      </c>
      <c r="P85" s="2">
        <v>17437754.999999996</v>
      </c>
    </row>
    <row r="86" spans="1:16">
      <c r="A86" s="84" t="s">
        <v>245</v>
      </c>
      <c r="B86" s="85" t="s">
        <v>244</v>
      </c>
      <c r="C86" s="85" t="s">
        <v>79</v>
      </c>
      <c r="D86" s="84" t="s">
        <v>87</v>
      </c>
      <c r="E86" s="84">
        <v>1</v>
      </c>
      <c r="F86" s="2">
        <v>838098.00000000012</v>
      </c>
      <c r="G86" s="2">
        <v>823888.00000000012</v>
      </c>
      <c r="H86" s="2">
        <v>811162.99999999977</v>
      </c>
      <c r="I86" s="2">
        <v>801243.99999999977</v>
      </c>
      <c r="J86" s="2">
        <v>793358.00000000012</v>
      </c>
      <c r="K86" s="2">
        <v>786972</v>
      </c>
      <c r="L86" s="2">
        <v>783604</v>
      </c>
      <c r="M86" s="2">
        <v>781802</v>
      </c>
      <c r="N86" s="2">
        <v>780905</v>
      </c>
      <c r="O86" s="2">
        <v>781410.99999999988</v>
      </c>
      <c r="P86" s="2">
        <v>783310.00000000012</v>
      </c>
    </row>
    <row r="87" spans="1:16">
      <c r="A87" s="84" t="s">
        <v>247</v>
      </c>
      <c r="B87" s="85" t="s">
        <v>246</v>
      </c>
      <c r="C87" s="85" t="s">
        <v>79</v>
      </c>
      <c r="D87" s="84" t="s">
        <v>87</v>
      </c>
      <c r="E87" s="84">
        <v>1</v>
      </c>
      <c r="F87" s="2">
        <v>2389471</v>
      </c>
      <c r="G87" s="2">
        <v>2397522.9999999995</v>
      </c>
      <c r="H87" s="2">
        <v>2406054.9999999995</v>
      </c>
      <c r="I87" s="2">
        <v>2414326</v>
      </c>
      <c r="J87" s="2">
        <v>2423345</v>
      </c>
      <c r="K87" s="2">
        <v>2433435</v>
      </c>
      <c r="L87" s="2">
        <v>2447549</v>
      </c>
      <c r="M87" s="2">
        <v>2463191.9999999995</v>
      </c>
      <c r="N87" s="2">
        <v>2479885</v>
      </c>
      <c r="O87" s="2">
        <v>2497935.9999999995</v>
      </c>
      <c r="P87" s="2">
        <v>2517028.0000000005</v>
      </c>
    </row>
    <row r="88" spans="1:16">
      <c r="A88" s="84" t="s">
        <v>249</v>
      </c>
      <c r="B88" s="85" t="s">
        <v>248</v>
      </c>
      <c r="C88" s="85" t="s">
        <v>79</v>
      </c>
      <c r="D88" s="84" t="s">
        <v>87</v>
      </c>
      <c r="E88" s="84">
        <v>1</v>
      </c>
      <c r="F88" s="2">
        <v>6274430</v>
      </c>
      <c r="G88" s="2">
        <v>6191471.9999999991</v>
      </c>
      <c r="H88" s="2">
        <v>6123005</v>
      </c>
      <c r="I88" s="2">
        <v>6066678.9999999991</v>
      </c>
      <c r="J88" s="2">
        <v>6023969</v>
      </c>
      <c r="K88" s="2">
        <v>5991690.0000000009</v>
      </c>
      <c r="L88" s="2">
        <v>5976257.0000000009</v>
      </c>
      <c r="M88" s="2">
        <v>5966840</v>
      </c>
      <c r="N88" s="2">
        <v>5964765</v>
      </c>
      <c r="O88" s="2">
        <v>5967063.9999999991</v>
      </c>
      <c r="P88" s="2">
        <v>5970790.9999999991</v>
      </c>
    </row>
    <row r="89" spans="1:16">
      <c r="A89" s="84" t="s">
        <v>251</v>
      </c>
      <c r="B89" s="85" t="s">
        <v>250</v>
      </c>
      <c r="C89" s="85" t="s">
        <v>92</v>
      </c>
      <c r="D89" s="84" t="s">
        <v>80</v>
      </c>
      <c r="E89" s="84">
        <v>1</v>
      </c>
      <c r="F89" s="2">
        <v>614603</v>
      </c>
      <c r="G89" s="2">
        <v>607435.00000000012</v>
      </c>
      <c r="H89" s="2">
        <v>600281</v>
      </c>
      <c r="I89" s="2">
        <v>592910.99999999988</v>
      </c>
      <c r="J89" s="2">
        <v>585339.99999999988</v>
      </c>
      <c r="K89" s="2">
        <v>577588</v>
      </c>
      <c r="L89" s="2">
        <v>569371</v>
      </c>
      <c r="M89" s="2">
        <v>561504</v>
      </c>
      <c r="N89" s="2">
        <v>553545</v>
      </c>
      <c r="O89" s="2">
        <v>545693</v>
      </c>
      <c r="P89" s="2">
        <v>537991.00000000012</v>
      </c>
    </row>
    <row r="90" spans="1:16">
      <c r="A90" s="84" t="s">
        <v>253</v>
      </c>
      <c r="B90" s="85" t="s">
        <v>252</v>
      </c>
      <c r="C90" s="85" t="s">
        <v>99</v>
      </c>
      <c r="D90" s="84" t="s">
        <v>87</v>
      </c>
      <c r="E90" s="84">
        <v>4</v>
      </c>
      <c r="F90" s="2">
        <v>12787148.000000002</v>
      </c>
      <c r="G90" s="2">
        <v>12605943.000000002</v>
      </c>
      <c r="H90" s="2">
        <v>12449447.999999998</v>
      </c>
      <c r="I90" s="2">
        <v>12316876.999999998</v>
      </c>
      <c r="J90" s="2">
        <v>12204065</v>
      </c>
      <c r="K90" s="2">
        <v>12102462.999999998</v>
      </c>
      <c r="L90" s="2">
        <v>12034663.999999998</v>
      </c>
      <c r="M90" s="2">
        <v>11976965.000000002</v>
      </c>
      <c r="N90" s="2">
        <v>11926867</v>
      </c>
      <c r="O90" s="2">
        <v>11882402</v>
      </c>
      <c r="P90" s="2">
        <v>11840071</v>
      </c>
    </row>
    <row r="91" spans="1:16">
      <c r="A91" s="84" t="s">
        <v>255</v>
      </c>
      <c r="B91" s="85" t="s">
        <v>254</v>
      </c>
      <c r="C91" s="85" t="s">
        <v>74</v>
      </c>
      <c r="D91" s="84" t="s">
        <v>80</v>
      </c>
      <c r="E91" s="84">
        <v>2</v>
      </c>
      <c r="F91" s="2">
        <v>2662667.0000000005</v>
      </c>
      <c r="G91" s="2">
        <v>2646520</v>
      </c>
      <c r="H91" s="2">
        <v>2636793</v>
      </c>
      <c r="I91" s="2">
        <v>2639253</v>
      </c>
      <c r="J91" s="2">
        <v>2647511</v>
      </c>
      <c r="K91" s="2">
        <v>2656954</v>
      </c>
      <c r="L91" s="2">
        <v>2669763.9999999995</v>
      </c>
      <c r="M91" s="2">
        <v>2681193</v>
      </c>
      <c r="N91" s="2">
        <v>2689359.0000000005</v>
      </c>
      <c r="O91" s="2">
        <v>2694702</v>
      </c>
      <c r="P91" s="2">
        <v>2697764</v>
      </c>
    </row>
    <row r="92" spans="1:16">
      <c r="A92" s="84" t="s">
        <v>257</v>
      </c>
      <c r="B92" s="85" t="s">
        <v>256</v>
      </c>
      <c r="C92" s="85" t="s">
        <v>79</v>
      </c>
      <c r="D92" s="84" t="s">
        <v>80</v>
      </c>
      <c r="E92" s="84">
        <v>2</v>
      </c>
      <c r="F92" s="2">
        <v>4973053</v>
      </c>
      <c r="G92" s="2">
        <v>4900102.9999999991</v>
      </c>
      <c r="H92" s="2">
        <v>4834740</v>
      </c>
      <c r="I92" s="2">
        <v>4768541.9999999991</v>
      </c>
      <c r="J92" s="2">
        <v>4710836</v>
      </c>
      <c r="K92" s="2">
        <v>4665286.9999999991</v>
      </c>
      <c r="L92" s="2">
        <v>4638933.9999999991</v>
      </c>
      <c r="M92" s="2">
        <v>4629481</v>
      </c>
      <c r="N92" s="2">
        <v>4631587</v>
      </c>
      <c r="O92" s="2">
        <v>4646804.9999999991</v>
      </c>
      <c r="P92" s="2">
        <v>4671922</v>
      </c>
    </row>
    <row r="93" spans="1:16">
      <c r="A93" s="84" t="s">
        <v>259</v>
      </c>
      <c r="B93" s="85" t="s">
        <v>258</v>
      </c>
      <c r="C93" s="85" t="s">
        <v>83</v>
      </c>
      <c r="D93" s="84" t="s">
        <v>84</v>
      </c>
      <c r="E93" s="84">
        <v>3</v>
      </c>
      <c r="F93" s="2">
        <v>20541498</v>
      </c>
      <c r="G93" s="2">
        <v>20753338</v>
      </c>
      <c r="H93" s="2">
        <v>20972406.000000004</v>
      </c>
      <c r="I93" s="2">
        <v>21214617.000000004</v>
      </c>
      <c r="J93" s="2">
        <v>21460620.000000004</v>
      </c>
      <c r="K93" s="2">
        <v>21695571.999999996</v>
      </c>
      <c r="L93" s="2">
        <v>21934662.999999996</v>
      </c>
      <c r="M93" s="2">
        <v>22157548</v>
      </c>
      <c r="N93" s="2">
        <v>22355338</v>
      </c>
      <c r="O93" s="2">
        <v>22531610.999999996</v>
      </c>
      <c r="P93" s="2">
        <v>22688718.000000004</v>
      </c>
    </row>
    <row r="94" spans="1:16">
      <c r="A94" s="84" t="s">
        <v>261</v>
      </c>
      <c r="B94" s="85" t="s">
        <v>260</v>
      </c>
      <c r="C94" s="85" t="s">
        <v>99</v>
      </c>
      <c r="D94" s="84" t="s">
        <v>84</v>
      </c>
      <c r="E94" s="84">
        <v>4</v>
      </c>
      <c r="F94" s="2">
        <v>41949</v>
      </c>
      <c r="G94" s="2">
        <v>42012.999999999993</v>
      </c>
      <c r="H94" s="2">
        <v>42053.000000000007</v>
      </c>
      <c r="I94" s="2">
        <v>42064</v>
      </c>
      <c r="J94" s="2">
        <v>42055</v>
      </c>
      <c r="K94" s="2">
        <v>42038</v>
      </c>
      <c r="L94" s="2">
        <v>42032</v>
      </c>
      <c r="M94" s="2">
        <v>42053.999999999993</v>
      </c>
      <c r="N94" s="2">
        <v>42092</v>
      </c>
      <c r="O94" s="2">
        <v>42159</v>
      </c>
      <c r="P94" s="2">
        <v>42257</v>
      </c>
    </row>
    <row r="95" spans="1:16">
      <c r="A95" s="84" t="s">
        <v>263</v>
      </c>
      <c r="B95" s="85" t="s">
        <v>262</v>
      </c>
      <c r="C95" s="85" t="s">
        <v>99</v>
      </c>
      <c r="D95" s="84" t="s">
        <v>87</v>
      </c>
      <c r="E95" s="84">
        <v>1</v>
      </c>
      <c r="F95" s="2">
        <v>5097749.9999999991</v>
      </c>
      <c r="G95" s="2">
        <v>5017026</v>
      </c>
      <c r="H95" s="2">
        <v>4953157</v>
      </c>
      <c r="I95" s="2">
        <v>4908931.0000000009</v>
      </c>
      <c r="J95" s="2">
        <v>4877282</v>
      </c>
      <c r="K95" s="2">
        <v>4849586</v>
      </c>
      <c r="L95" s="2">
        <v>4837148</v>
      </c>
      <c r="M95" s="2">
        <v>4826482</v>
      </c>
      <c r="N95" s="2">
        <v>4808571</v>
      </c>
      <c r="O95" s="2">
        <v>4788804</v>
      </c>
      <c r="P95" s="2">
        <v>4766499</v>
      </c>
    </row>
    <row r="96" spans="1:16">
      <c r="A96" s="84" t="s">
        <v>265</v>
      </c>
      <c r="B96" s="85" t="s">
        <v>264</v>
      </c>
      <c r="C96" s="85" t="s">
        <v>74</v>
      </c>
      <c r="D96" s="84" t="s">
        <v>87</v>
      </c>
      <c r="E96" s="84">
        <v>1</v>
      </c>
      <c r="F96" s="2">
        <v>752340</v>
      </c>
      <c r="G96" s="2">
        <v>744469</v>
      </c>
      <c r="H96" s="2">
        <v>738790</v>
      </c>
      <c r="I96" s="2">
        <v>732292</v>
      </c>
      <c r="J96" s="2">
        <v>728781.00000000023</v>
      </c>
      <c r="K96" s="2">
        <v>729158.00000000023</v>
      </c>
      <c r="L96" s="2">
        <v>733948</v>
      </c>
      <c r="M96" s="2">
        <v>740439.99999999988</v>
      </c>
      <c r="N96" s="2">
        <v>749641</v>
      </c>
      <c r="O96" s="2">
        <v>761300.99999999988</v>
      </c>
      <c r="P96" s="2">
        <v>774238.99999999988</v>
      </c>
    </row>
    <row r="97" spans="1:16">
      <c r="A97" s="84" t="s">
        <v>267</v>
      </c>
      <c r="B97" s="85" t="s">
        <v>266</v>
      </c>
      <c r="C97" s="85" t="s">
        <v>79</v>
      </c>
      <c r="D97" s="84" t="s">
        <v>84</v>
      </c>
      <c r="E97" s="84">
        <v>1</v>
      </c>
      <c r="F97" s="2">
        <v>2041973.9999999998</v>
      </c>
      <c r="G97" s="2">
        <v>2023084.0000000002</v>
      </c>
      <c r="H97" s="2">
        <v>2006272</v>
      </c>
      <c r="I97" s="2">
        <v>1992207.9999999995</v>
      </c>
      <c r="J97" s="2">
        <v>1981019</v>
      </c>
      <c r="K97" s="2">
        <v>1972456.0000000002</v>
      </c>
      <c r="L97" s="2">
        <v>1968897</v>
      </c>
      <c r="M97" s="2">
        <v>1970005</v>
      </c>
      <c r="N97" s="2">
        <v>1972909.9999999998</v>
      </c>
      <c r="O97" s="2">
        <v>1979117.0000000002</v>
      </c>
      <c r="P97" s="2">
        <v>1988324.9999999998</v>
      </c>
    </row>
    <row r="98" spans="1:16">
      <c r="A98" s="84" t="s">
        <v>269</v>
      </c>
      <c r="B98" s="85" t="s">
        <v>268</v>
      </c>
      <c r="C98" s="85" t="s">
        <v>99</v>
      </c>
      <c r="D98" s="84" t="s">
        <v>84</v>
      </c>
      <c r="E98" s="84">
        <v>4</v>
      </c>
      <c r="F98" s="2">
        <v>2151098</v>
      </c>
      <c r="G98" s="2">
        <v>2142387</v>
      </c>
      <c r="H98" s="2">
        <v>2132334.0000000005</v>
      </c>
      <c r="I98" s="2">
        <v>2119139.9999999995</v>
      </c>
      <c r="J98" s="2">
        <v>2104197</v>
      </c>
      <c r="K98" s="2">
        <v>2088522.9999999998</v>
      </c>
      <c r="L98" s="2">
        <v>2073340.0000000002</v>
      </c>
      <c r="M98" s="2">
        <v>2058619.0000000002</v>
      </c>
      <c r="N98" s="2">
        <v>2043756.9999999998</v>
      </c>
      <c r="O98" s="2">
        <v>2028829.9999999995</v>
      </c>
      <c r="P98" s="2">
        <v>2013711.0000000002</v>
      </c>
    </row>
    <row r="99" spans="1:16">
      <c r="A99" s="84" t="s">
        <v>271</v>
      </c>
      <c r="B99" s="85" t="s">
        <v>270</v>
      </c>
      <c r="C99" s="85" t="s">
        <v>79</v>
      </c>
      <c r="D99" s="84" t="s">
        <v>87</v>
      </c>
      <c r="E99" s="84">
        <v>1</v>
      </c>
      <c r="F99" s="2">
        <v>262097.99999999994</v>
      </c>
      <c r="G99" s="2">
        <v>257202</v>
      </c>
      <c r="H99" s="2">
        <v>251989.00000000003</v>
      </c>
      <c r="I99" s="2">
        <v>242927.00000000003</v>
      </c>
      <c r="J99" s="2">
        <v>233291</v>
      </c>
      <c r="K99" s="2">
        <v>224792</v>
      </c>
      <c r="L99" s="2">
        <v>217035.99999999997</v>
      </c>
      <c r="M99" s="2">
        <v>210622</v>
      </c>
      <c r="N99" s="2">
        <v>206335</v>
      </c>
      <c r="O99" s="2">
        <v>203372</v>
      </c>
      <c r="P99" s="2">
        <v>201007</v>
      </c>
    </row>
    <row r="100" spans="1:16">
      <c r="A100" s="84" t="s">
        <v>273</v>
      </c>
      <c r="B100" s="85" t="s">
        <v>272</v>
      </c>
      <c r="C100" s="85" t="s">
        <v>74</v>
      </c>
      <c r="D100" s="84" t="s">
        <v>80</v>
      </c>
      <c r="E100" s="84">
        <v>2</v>
      </c>
      <c r="F100" s="2">
        <v>1216663</v>
      </c>
      <c r="G100" s="2">
        <v>1202726</v>
      </c>
      <c r="H100" s="2">
        <v>1190331.9999999998</v>
      </c>
      <c r="I100" s="2">
        <v>1181853</v>
      </c>
      <c r="J100" s="2">
        <v>1174427</v>
      </c>
      <c r="K100" s="2">
        <v>1166212</v>
      </c>
      <c r="L100" s="2">
        <v>1159131.0000000002</v>
      </c>
      <c r="M100" s="2">
        <v>1149851</v>
      </c>
      <c r="N100" s="2">
        <v>1138465</v>
      </c>
      <c r="O100" s="2">
        <v>1125067</v>
      </c>
      <c r="P100" s="2">
        <v>1110425</v>
      </c>
    </row>
    <row r="101" spans="1:16">
      <c r="A101" s="84" t="s">
        <v>275</v>
      </c>
      <c r="B101" s="85" t="s">
        <v>274</v>
      </c>
      <c r="C101" s="85" t="s">
        <v>83</v>
      </c>
      <c r="D101" s="84" t="s">
        <v>84</v>
      </c>
      <c r="E101" s="84">
        <v>3</v>
      </c>
      <c r="F101" s="2">
        <v>655269</v>
      </c>
      <c r="G101" s="2">
        <v>656577.99999999988</v>
      </c>
      <c r="H101" s="2">
        <v>657457</v>
      </c>
      <c r="I101" s="2">
        <v>656589</v>
      </c>
      <c r="J101" s="2">
        <v>654846</v>
      </c>
      <c r="K101" s="2">
        <v>652706.99999999988</v>
      </c>
      <c r="L101" s="2">
        <v>651597.00000000012</v>
      </c>
      <c r="M101" s="2">
        <v>650424.00000000012</v>
      </c>
      <c r="N101" s="2">
        <v>648937</v>
      </c>
      <c r="O101" s="2">
        <v>647162.99999999988</v>
      </c>
      <c r="P101" s="2">
        <v>645077</v>
      </c>
    </row>
    <row r="102" spans="1:16">
      <c r="A102" s="84" t="s">
        <v>277</v>
      </c>
      <c r="B102" s="85" t="s">
        <v>276</v>
      </c>
      <c r="C102" s="85" t="s">
        <v>83</v>
      </c>
      <c r="D102" s="84" t="s">
        <v>75</v>
      </c>
      <c r="E102" s="84">
        <v>3</v>
      </c>
      <c r="F102" s="2">
        <v>2154237</v>
      </c>
      <c r="G102" s="2">
        <v>2187919</v>
      </c>
      <c r="H102" s="2">
        <v>2221548</v>
      </c>
      <c r="I102" s="2">
        <v>2254988</v>
      </c>
      <c r="J102" s="2">
        <v>2287946.9999999995</v>
      </c>
      <c r="K102" s="2">
        <v>2320070</v>
      </c>
      <c r="L102" s="2">
        <v>2353464</v>
      </c>
      <c r="M102" s="2">
        <v>2385877.9999999995</v>
      </c>
      <c r="N102" s="2">
        <v>2416890.9999999995</v>
      </c>
      <c r="O102" s="2">
        <v>2446639</v>
      </c>
      <c r="P102" s="2">
        <v>2475241</v>
      </c>
    </row>
    <row r="103" spans="1:16">
      <c r="A103" s="84" t="s">
        <v>279</v>
      </c>
      <c r="B103" s="85" t="s">
        <v>278</v>
      </c>
      <c r="C103" s="85" t="s">
        <v>74</v>
      </c>
      <c r="D103" s="84" t="s">
        <v>80</v>
      </c>
      <c r="E103" s="84">
        <v>2</v>
      </c>
      <c r="F103" s="2">
        <v>1668742</v>
      </c>
      <c r="G103" s="2">
        <v>1647111.9999999998</v>
      </c>
      <c r="H103" s="2">
        <v>1626279.0000000002</v>
      </c>
      <c r="I103" s="2">
        <v>1606989</v>
      </c>
      <c r="J103" s="2">
        <v>1588907</v>
      </c>
      <c r="K103" s="2">
        <v>1571661</v>
      </c>
      <c r="L103" s="2">
        <v>1556750</v>
      </c>
      <c r="M103" s="2">
        <v>1543053</v>
      </c>
      <c r="N103" s="2">
        <v>1530562.0000000002</v>
      </c>
      <c r="O103" s="2">
        <v>1519404.0000000002</v>
      </c>
      <c r="P103" s="2">
        <v>1509681</v>
      </c>
    </row>
    <row r="104" spans="1:16">
      <c r="A104" s="84" t="s">
        <v>281</v>
      </c>
      <c r="B104" s="85" t="s">
        <v>280</v>
      </c>
      <c r="C104" s="85" t="s">
        <v>79</v>
      </c>
      <c r="D104" s="84" t="s">
        <v>87</v>
      </c>
      <c r="E104" s="84">
        <v>1</v>
      </c>
      <c r="F104" s="2">
        <v>365766</v>
      </c>
      <c r="G104" s="2">
        <v>356423</v>
      </c>
      <c r="H104" s="2">
        <v>347787</v>
      </c>
      <c r="I104" s="2">
        <v>338950</v>
      </c>
      <c r="J104" s="2">
        <v>330551.00000000006</v>
      </c>
      <c r="K104" s="2">
        <v>322538.99999999994</v>
      </c>
      <c r="L104" s="2">
        <v>314236</v>
      </c>
      <c r="M104" s="2">
        <v>306193</v>
      </c>
      <c r="N104" s="2">
        <v>299308.99999999994</v>
      </c>
      <c r="O104" s="2">
        <v>293083</v>
      </c>
      <c r="P104" s="2">
        <v>287417</v>
      </c>
    </row>
    <row r="105" spans="1:16">
      <c r="A105" s="84" t="s">
        <v>283</v>
      </c>
      <c r="B105" s="85" t="s">
        <v>282</v>
      </c>
      <c r="C105" s="85" t="s">
        <v>79</v>
      </c>
      <c r="D105" s="84" t="s">
        <v>87</v>
      </c>
      <c r="E105" s="84">
        <v>1</v>
      </c>
      <c r="F105" s="2">
        <v>99763</v>
      </c>
      <c r="G105" s="2">
        <v>100309.00000000003</v>
      </c>
      <c r="H105" s="2">
        <v>100658.00000000001</v>
      </c>
      <c r="I105" s="2">
        <v>100924.00000000001</v>
      </c>
      <c r="J105" s="2">
        <v>101069</v>
      </c>
      <c r="K105" s="2">
        <v>101103.00000000001</v>
      </c>
      <c r="L105" s="2">
        <v>101571.00000000001</v>
      </c>
      <c r="M105" s="2">
        <v>101913.99999999999</v>
      </c>
      <c r="N105" s="2">
        <v>102102</v>
      </c>
      <c r="O105" s="2">
        <v>102216</v>
      </c>
      <c r="P105" s="2">
        <v>102293.99999999999</v>
      </c>
    </row>
    <row r="106" spans="1:16">
      <c r="A106" s="84" t="s">
        <v>285</v>
      </c>
      <c r="B106" s="85" t="s">
        <v>284</v>
      </c>
      <c r="C106" s="85" t="s">
        <v>79</v>
      </c>
      <c r="D106" s="84" t="s">
        <v>80</v>
      </c>
      <c r="E106" s="84">
        <v>1</v>
      </c>
      <c r="F106" s="2">
        <v>294868.00000000006</v>
      </c>
      <c r="G106" s="2">
        <v>290629</v>
      </c>
      <c r="H106" s="2">
        <v>286380.00000000006</v>
      </c>
      <c r="I106" s="2">
        <v>281867</v>
      </c>
      <c r="J106" s="2">
        <v>277321</v>
      </c>
      <c r="K106" s="2">
        <v>272834</v>
      </c>
      <c r="L106" s="2">
        <v>268570</v>
      </c>
      <c r="M106" s="2">
        <v>264445</v>
      </c>
      <c r="N106" s="2">
        <v>260511.99999999994</v>
      </c>
      <c r="O106" s="2">
        <v>256750</v>
      </c>
      <c r="P106" s="2">
        <v>253143.99999999994</v>
      </c>
    </row>
    <row r="107" spans="1:16">
      <c r="A107" s="84" t="s">
        <v>287</v>
      </c>
      <c r="B107" s="85" t="s">
        <v>286</v>
      </c>
      <c r="C107" s="85" t="s">
        <v>83</v>
      </c>
      <c r="D107" s="84" t="s">
        <v>75</v>
      </c>
      <c r="E107" s="84">
        <v>3</v>
      </c>
      <c r="F107" s="2">
        <v>12176077</v>
      </c>
      <c r="G107" s="2">
        <v>12401283</v>
      </c>
      <c r="H107" s="2">
        <v>12620101.999999998</v>
      </c>
      <c r="I107" s="2">
        <v>12831268.999999998</v>
      </c>
      <c r="J107" s="2">
        <v>13034993</v>
      </c>
      <c r="K107" s="2">
        <v>13231757.000000002</v>
      </c>
      <c r="L107" s="2">
        <v>13429304.999999998</v>
      </c>
      <c r="M107" s="2">
        <v>13618577</v>
      </c>
      <c r="N107" s="2">
        <v>13802883.999999998</v>
      </c>
      <c r="O107" s="2">
        <v>13980823</v>
      </c>
      <c r="P107" s="2">
        <v>14153262.999999996</v>
      </c>
    </row>
    <row r="108" spans="1:16">
      <c r="A108" s="84" t="s">
        <v>289</v>
      </c>
      <c r="B108" s="85" t="s">
        <v>288</v>
      </c>
      <c r="C108" s="85" t="s">
        <v>83</v>
      </c>
      <c r="D108" s="84" t="s">
        <v>75</v>
      </c>
      <c r="E108" s="84">
        <v>3</v>
      </c>
      <c r="F108" s="2">
        <v>8751591</v>
      </c>
      <c r="G108" s="2">
        <v>8910326</v>
      </c>
      <c r="H108" s="2">
        <v>9070489</v>
      </c>
      <c r="I108" s="2">
        <v>9235900</v>
      </c>
      <c r="J108" s="2">
        <v>9400925.0000000019</v>
      </c>
      <c r="K108" s="2">
        <v>9560798</v>
      </c>
      <c r="L108" s="2">
        <v>9718121</v>
      </c>
      <c r="M108" s="2">
        <v>9866591.9999999981</v>
      </c>
      <c r="N108" s="2">
        <v>10007921.999999998</v>
      </c>
      <c r="O108" s="2">
        <v>10141026</v>
      </c>
      <c r="P108" s="2">
        <v>10267021.999999998</v>
      </c>
    </row>
    <row r="109" spans="1:16">
      <c r="A109" s="84" t="s">
        <v>291</v>
      </c>
      <c r="B109" s="85" t="s">
        <v>290</v>
      </c>
      <c r="C109" s="85" t="s">
        <v>99</v>
      </c>
      <c r="D109" s="84" t="s">
        <v>80</v>
      </c>
      <c r="E109" s="84">
        <v>2</v>
      </c>
      <c r="F109" s="2">
        <v>7362074</v>
      </c>
      <c r="G109" s="2">
        <v>7361152</v>
      </c>
      <c r="H109" s="2">
        <v>7345092.9999999991</v>
      </c>
      <c r="I109" s="2">
        <v>7316408</v>
      </c>
      <c r="J109" s="2">
        <v>7275285</v>
      </c>
      <c r="K109" s="2">
        <v>7224245</v>
      </c>
      <c r="L109" s="2">
        <v>7175430</v>
      </c>
      <c r="M109" s="2">
        <v>7117788</v>
      </c>
      <c r="N109" s="2">
        <v>7053164.0000000009</v>
      </c>
      <c r="O109" s="2">
        <v>6983082.0000000009</v>
      </c>
      <c r="P109" s="2">
        <v>6909525.9999999991</v>
      </c>
    </row>
    <row r="110" spans="1:16">
      <c r="A110" s="84" t="s">
        <v>293</v>
      </c>
      <c r="B110" s="85" t="s">
        <v>292</v>
      </c>
      <c r="C110" s="85" t="s">
        <v>110</v>
      </c>
      <c r="D110" s="84" t="s">
        <v>80</v>
      </c>
      <c r="E110" s="84">
        <v>2</v>
      </c>
      <c r="F110" s="2">
        <v>91089</v>
      </c>
      <c r="G110" s="2">
        <v>88786.000000000015</v>
      </c>
      <c r="H110" s="2">
        <v>86567</v>
      </c>
      <c r="I110" s="2">
        <v>84609</v>
      </c>
      <c r="J110" s="2">
        <v>82771.999999999985</v>
      </c>
      <c r="K110" s="2">
        <v>81016</v>
      </c>
      <c r="L110" s="2">
        <v>79524.999999999985</v>
      </c>
      <c r="M110" s="2">
        <v>78143</v>
      </c>
      <c r="N110" s="2">
        <v>76857</v>
      </c>
      <c r="O110" s="2">
        <v>75788</v>
      </c>
      <c r="P110" s="2">
        <v>74971</v>
      </c>
    </row>
    <row r="111" spans="1:16">
      <c r="A111" s="84" t="s">
        <v>295</v>
      </c>
      <c r="B111" s="85" t="s">
        <v>294</v>
      </c>
      <c r="C111" s="85" t="s">
        <v>83</v>
      </c>
      <c r="D111" s="84" t="s">
        <v>75</v>
      </c>
      <c r="E111" s="84">
        <v>3</v>
      </c>
      <c r="F111" s="2">
        <v>10563311.000000002</v>
      </c>
      <c r="G111" s="2">
        <v>10789276.000000002</v>
      </c>
      <c r="H111" s="2">
        <v>11020621.000000002</v>
      </c>
      <c r="I111" s="2">
        <v>11246509.000000002</v>
      </c>
      <c r="J111" s="2">
        <v>11470481</v>
      </c>
      <c r="K111" s="2">
        <v>11691719</v>
      </c>
      <c r="L111" s="2">
        <v>11921926</v>
      </c>
      <c r="M111" s="2">
        <v>12149213.000000004</v>
      </c>
      <c r="N111" s="2">
        <v>12370507</v>
      </c>
      <c r="O111" s="2">
        <v>12584898</v>
      </c>
      <c r="P111" s="2">
        <v>12791304</v>
      </c>
    </row>
    <row r="112" spans="1:16">
      <c r="A112" s="84" t="s">
        <v>297</v>
      </c>
      <c r="B112" s="85" t="s">
        <v>296</v>
      </c>
      <c r="C112" s="85" t="s">
        <v>79</v>
      </c>
      <c r="D112" s="84" t="s">
        <v>87</v>
      </c>
      <c r="E112" s="84">
        <v>1</v>
      </c>
      <c r="F112" s="2">
        <v>60631</v>
      </c>
      <c r="G112" s="2">
        <v>60407.999999999993</v>
      </c>
      <c r="H112" s="2">
        <v>60068.000000000007</v>
      </c>
      <c r="I112" s="2">
        <v>59680.999999999993</v>
      </c>
      <c r="J112" s="2">
        <v>59205</v>
      </c>
      <c r="K112" s="2">
        <v>58629.999999999985</v>
      </c>
      <c r="L112" s="2">
        <v>58075</v>
      </c>
      <c r="M112" s="2">
        <v>57430</v>
      </c>
      <c r="N112" s="2">
        <v>56736.000000000007</v>
      </c>
      <c r="O112" s="2">
        <v>55986.999999999993</v>
      </c>
      <c r="P112" s="2">
        <v>55219.000000000007</v>
      </c>
    </row>
    <row r="113" spans="1:16">
      <c r="A113" s="84" t="s">
        <v>299</v>
      </c>
      <c r="B113" s="85" t="s">
        <v>298</v>
      </c>
      <c r="C113" s="85" t="s">
        <v>99</v>
      </c>
      <c r="D113" s="84" t="s">
        <v>80</v>
      </c>
      <c r="E113" s="84">
        <v>1</v>
      </c>
      <c r="F113" s="2">
        <v>0</v>
      </c>
      <c r="G113" s="2">
        <v>0</v>
      </c>
      <c r="H113" s="2">
        <v>0</v>
      </c>
      <c r="I113" s="2">
        <v>0</v>
      </c>
      <c r="J113" s="2">
        <v>0</v>
      </c>
      <c r="K113" s="2">
        <v>0</v>
      </c>
      <c r="L113" s="2">
        <v>0</v>
      </c>
      <c r="M113" s="2">
        <v>0</v>
      </c>
      <c r="N113" s="2">
        <v>0</v>
      </c>
      <c r="O113" s="2">
        <v>0</v>
      </c>
      <c r="P113" s="2">
        <v>0</v>
      </c>
    </row>
    <row r="114" spans="1:16">
      <c r="A114" s="84" t="s">
        <v>301</v>
      </c>
      <c r="B114" s="85" t="s">
        <v>300</v>
      </c>
      <c r="C114" s="85" t="s">
        <v>83</v>
      </c>
      <c r="D114" s="84" t="s">
        <v>84</v>
      </c>
      <c r="E114" s="84">
        <v>3</v>
      </c>
      <c r="F114" s="2">
        <v>2013793.9999999998</v>
      </c>
      <c r="G114" s="2">
        <v>2046852.0000000002</v>
      </c>
      <c r="H114" s="2">
        <v>2079701</v>
      </c>
      <c r="I114" s="2">
        <v>2111486</v>
      </c>
      <c r="J114" s="2">
        <v>2142740</v>
      </c>
      <c r="K114" s="2">
        <v>2173577</v>
      </c>
      <c r="L114" s="2">
        <v>2206953</v>
      </c>
      <c r="M114" s="2">
        <v>2240101</v>
      </c>
      <c r="N114" s="2">
        <v>2272647</v>
      </c>
      <c r="O114" s="2">
        <v>2304797</v>
      </c>
      <c r="P114" s="2">
        <v>2336586</v>
      </c>
    </row>
    <row r="115" spans="1:16">
      <c r="A115" s="84" t="s">
        <v>303</v>
      </c>
      <c r="B115" s="85" t="s">
        <v>302</v>
      </c>
      <c r="C115" s="85" t="s">
        <v>83</v>
      </c>
      <c r="D115" s="84" t="s">
        <v>87</v>
      </c>
      <c r="E115" s="84">
        <v>1</v>
      </c>
      <c r="F115" s="2">
        <v>176013.99999999997</v>
      </c>
      <c r="G115" s="2">
        <v>174921</v>
      </c>
      <c r="H115" s="2">
        <v>173852.00000000003</v>
      </c>
      <c r="I115" s="2">
        <v>172904</v>
      </c>
      <c r="J115" s="2">
        <v>171942.99999999997</v>
      </c>
      <c r="K115" s="2">
        <v>170924.99999999994</v>
      </c>
      <c r="L115" s="2">
        <v>170076.99999999997</v>
      </c>
      <c r="M115" s="2">
        <v>169161.99999999997</v>
      </c>
      <c r="N115" s="2">
        <v>168060</v>
      </c>
      <c r="O115" s="2">
        <v>166832.99999999997</v>
      </c>
      <c r="P115" s="2">
        <v>165490.00000000003</v>
      </c>
    </row>
    <row r="116" spans="1:16">
      <c r="A116" s="84" t="s">
        <v>305</v>
      </c>
      <c r="B116" s="85" t="s">
        <v>304</v>
      </c>
      <c r="C116" s="85" t="s">
        <v>92</v>
      </c>
      <c r="D116" s="84" t="s">
        <v>80</v>
      </c>
      <c r="E116" s="84">
        <v>2</v>
      </c>
      <c r="F116" s="2">
        <v>29933083.000000007</v>
      </c>
      <c r="G116" s="2">
        <v>29739612</v>
      </c>
      <c r="H116" s="2">
        <v>29542431.000000004</v>
      </c>
      <c r="I116" s="2">
        <v>29343042.000000004</v>
      </c>
      <c r="J116" s="2">
        <v>29137945</v>
      </c>
      <c r="K116" s="2">
        <v>28924476.000000004</v>
      </c>
      <c r="L116" s="2">
        <v>28723611</v>
      </c>
      <c r="M116" s="2">
        <v>28519189</v>
      </c>
      <c r="N116" s="2">
        <v>28308003.999999993</v>
      </c>
      <c r="O116" s="2">
        <v>28092308.999999996</v>
      </c>
      <c r="P116" s="2">
        <v>27873050.999999996</v>
      </c>
    </row>
    <row r="117" spans="1:16">
      <c r="A117" s="84" t="s">
        <v>307</v>
      </c>
      <c r="B117" s="85" t="s">
        <v>306</v>
      </c>
      <c r="C117" s="85" t="s">
        <v>99</v>
      </c>
      <c r="D117" s="84" t="s">
        <v>84</v>
      </c>
      <c r="E117" s="84">
        <v>1</v>
      </c>
      <c r="F117" s="2">
        <v>34492.000000000007</v>
      </c>
      <c r="G117" s="2">
        <v>34605.999999999993</v>
      </c>
      <c r="H117" s="2">
        <v>34705</v>
      </c>
      <c r="I117" s="2">
        <v>34769.999999999993</v>
      </c>
      <c r="J117" s="2">
        <v>34792</v>
      </c>
      <c r="K117" s="2">
        <v>34771.999999999993</v>
      </c>
      <c r="L117" s="2">
        <v>34672</v>
      </c>
      <c r="M117" s="2">
        <v>34530</v>
      </c>
      <c r="N117" s="2">
        <v>34349.000000000007</v>
      </c>
      <c r="O117" s="2">
        <v>34129.999999999993</v>
      </c>
      <c r="P117" s="2">
        <v>33870</v>
      </c>
    </row>
    <row r="118" spans="1:16">
      <c r="A118" s="84" t="s">
        <v>309</v>
      </c>
      <c r="B118" s="85" t="s">
        <v>308</v>
      </c>
      <c r="C118" s="85" t="s">
        <v>79</v>
      </c>
      <c r="D118" s="84" t="s">
        <v>84</v>
      </c>
      <c r="E118" s="84">
        <v>1</v>
      </c>
      <c r="F118" s="2">
        <v>530804</v>
      </c>
      <c r="G118" s="2">
        <v>519756.99999999994</v>
      </c>
      <c r="H118" s="2">
        <v>508783</v>
      </c>
      <c r="I118" s="2">
        <v>498657.99999999994</v>
      </c>
      <c r="J118" s="2">
        <v>488881.99999999994</v>
      </c>
      <c r="K118" s="2">
        <v>479233</v>
      </c>
      <c r="L118" s="2">
        <v>470236.99999999994</v>
      </c>
      <c r="M118" s="2">
        <v>461671</v>
      </c>
      <c r="N118" s="2">
        <v>453320.00000000006</v>
      </c>
      <c r="O118" s="2">
        <v>445469</v>
      </c>
      <c r="P118" s="2">
        <v>438315</v>
      </c>
    </row>
    <row r="119" spans="1:16">
      <c r="A119" s="84" t="s">
        <v>311</v>
      </c>
      <c r="B119" s="85" t="s">
        <v>310</v>
      </c>
      <c r="C119" s="85" t="s">
        <v>79</v>
      </c>
      <c r="D119" s="84" t="s">
        <v>87</v>
      </c>
      <c r="E119" s="84">
        <v>1</v>
      </c>
      <c r="F119" s="2">
        <v>0</v>
      </c>
      <c r="G119" s="2">
        <v>0</v>
      </c>
      <c r="H119" s="2">
        <v>0</v>
      </c>
      <c r="I119" s="2">
        <v>0</v>
      </c>
      <c r="J119" s="2">
        <v>0</v>
      </c>
      <c r="K119" s="2">
        <v>0</v>
      </c>
      <c r="L119" s="2">
        <v>0</v>
      </c>
      <c r="M119" s="2">
        <v>0</v>
      </c>
      <c r="N119" s="2">
        <v>0</v>
      </c>
      <c r="O119" s="2">
        <v>0</v>
      </c>
      <c r="P119" s="2">
        <v>0</v>
      </c>
    </row>
    <row r="120" spans="1:16">
      <c r="A120" s="84" t="s">
        <v>313</v>
      </c>
      <c r="B120" s="85" t="s">
        <v>312</v>
      </c>
      <c r="C120" s="85" t="s">
        <v>99</v>
      </c>
      <c r="D120" s="84" t="s">
        <v>84</v>
      </c>
      <c r="E120" s="84">
        <v>2</v>
      </c>
      <c r="F120" s="2">
        <v>982874.00000000012</v>
      </c>
      <c r="G120" s="2">
        <v>971903</v>
      </c>
      <c r="H120" s="2">
        <v>961250.00000000035</v>
      </c>
      <c r="I120" s="2">
        <v>949132.99999999988</v>
      </c>
      <c r="J120" s="2">
        <v>937460.00000000012</v>
      </c>
      <c r="K120" s="2">
        <v>927127.00000000012</v>
      </c>
      <c r="L120" s="2">
        <v>919487.00000000012</v>
      </c>
      <c r="M120" s="2">
        <v>914133</v>
      </c>
      <c r="N120" s="2">
        <v>910547</v>
      </c>
      <c r="O120" s="2">
        <v>908971.00000000012</v>
      </c>
      <c r="P120" s="2">
        <v>908983.99999999988</v>
      </c>
    </row>
    <row r="121" spans="1:16">
      <c r="A121" s="84" t="s">
        <v>315</v>
      </c>
      <c r="B121" s="85" t="s">
        <v>314</v>
      </c>
      <c r="C121" s="85" t="s">
        <v>79</v>
      </c>
      <c r="D121" s="84" t="s">
        <v>80</v>
      </c>
      <c r="E121" s="84">
        <v>1</v>
      </c>
      <c r="F121" s="2">
        <v>99547</v>
      </c>
      <c r="G121" s="2">
        <v>98858</v>
      </c>
      <c r="H121" s="2">
        <v>98108</v>
      </c>
      <c r="I121" s="2">
        <v>97231.999999999985</v>
      </c>
      <c r="J121" s="2">
        <v>96296.000000000015</v>
      </c>
      <c r="K121" s="2">
        <v>95349.999999999985</v>
      </c>
      <c r="L121" s="2">
        <v>94465</v>
      </c>
      <c r="M121" s="2">
        <v>93602</v>
      </c>
      <c r="N121" s="2">
        <v>92759.999999999985</v>
      </c>
      <c r="O121" s="2">
        <v>91929.999999999985</v>
      </c>
      <c r="P121" s="2">
        <v>91106.000000000015</v>
      </c>
    </row>
    <row r="122" spans="1:16">
      <c r="A122" s="84" t="s">
        <v>317</v>
      </c>
      <c r="B122" s="85" t="s">
        <v>316</v>
      </c>
      <c r="C122" s="85" t="s">
        <v>74</v>
      </c>
      <c r="D122" s="84" t="s">
        <v>84</v>
      </c>
      <c r="E122" s="84">
        <v>3</v>
      </c>
      <c r="F122" s="2">
        <v>9039926</v>
      </c>
      <c r="G122" s="2">
        <v>8969331.0000000019</v>
      </c>
      <c r="H122" s="2">
        <v>8901945.0000000019</v>
      </c>
      <c r="I122" s="2">
        <v>8840089</v>
      </c>
      <c r="J122" s="2">
        <v>8781264</v>
      </c>
      <c r="K122" s="2">
        <v>8722348</v>
      </c>
      <c r="L122" s="2">
        <v>8670847.9999999981</v>
      </c>
      <c r="M122" s="2">
        <v>8621085.0000000019</v>
      </c>
      <c r="N122" s="2">
        <v>8571629</v>
      </c>
      <c r="O122" s="2">
        <v>8523547</v>
      </c>
      <c r="P122" s="2">
        <v>8477402</v>
      </c>
    </row>
    <row r="123" spans="1:16">
      <c r="A123" s="84" t="s">
        <v>319</v>
      </c>
      <c r="B123" s="85" t="s">
        <v>318</v>
      </c>
      <c r="C123" s="85" t="s">
        <v>83</v>
      </c>
      <c r="D123" s="84" t="s">
        <v>75</v>
      </c>
      <c r="E123" s="84" t="s">
        <v>76</v>
      </c>
      <c r="F123" s="2">
        <v>15357590.999999998</v>
      </c>
      <c r="G123" s="2">
        <v>15669260</v>
      </c>
      <c r="H123" s="2">
        <v>15977905.999999998</v>
      </c>
      <c r="I123" s="2">
        <v>16281513.999999998</v>
      </c>
      <c r="J123" s="2">
        <v>16579485</v>
      </c>
      <c r="K123" s="2">
        <v>16870770</v>
      </c>
      <c r="L123" s="2">
        <v>17166849.000000004</v>
      </c>
      <c r="M123" s="2">
        <v>17455656</v>
      </c>
      <c r="N123" s="2">
        <v>17735782</v>
      </c>
      <c r="O123" s="2">
        <v>18007353</v>
      </c>
      <c r="P123" s="2">
        <v>18270880</v>
      </c>
    </row>
    <row r="124" spans="1:16">
      <c r="A124" s="84" t="s">
        <v>321</v>
      </c>
      <c r="B124" s="85" t="s">
        <v>320</v>
      </c>
      <c r="C124" s="85" t="s">
        <v>110</v>
      </c>
      <c r="D124" s="84" t="s">
        <v>84</v>
      </c>
      <c r="E124" s="84">
        <v>4</v>
      </c>
      <c r="F124" s="2">
        <v>12451285</v>
      </c>
      <c r="G124" s="2">
        <v>12445938</v>
      </c>
      <c r="H124" s="2">
        <v>12436081</v>
      </c>
      <c r="I124" s="2">
        <v>12416843</v>
      </c>
      <c r="J124" s="2">
        <v>12389768</v>
      </c>
      <c r="K124" s="2">
        <v>12355982.999999998</v>
      </c>
      <c r="L124" s="2">
        <v>12326836.000000002</v>
      </c>
      <c r="M124" s="2">
        <v>12290802</v>
      </c>
      <c r="N124" s="2">
        <v>12245545</v>
      </c>
      <c r="O124" s="2">
        <v>12191377.999999998</v>
      </c>
      <c r="P124" s="2">
        <v>12128175.000000002</v>
      </c>
    </row>
    <row r="125" spans="1:16">
      <c r="A125" s="84" t="s">
        <v>323</v>
      </c>
      <c r="B125" s="85" t="s">
        <v>322</v>
      </c>
      <c r="C125" s="85" t="s">
        <v>83</v>
      </c>
      <c r="D125" s="84" t="s">
        <v>80</v>
      </c>
      <c r="E125" s="84">
        <v>3</v>
      </c>
      <c r="F125" s="2">
        <v>936945.99999999977</v>
      </c>
      <c r="G125" s="2">
        <v>940072</v>
      </c>
      <c r="H125" s="2">
        <v>943086.99999999988</v>
      </c>
      <c r="I125" s="2">
        <v>945793.00000000012</v>
      </c>
      <c r="J125" s="2">
        <v>948425.00000000012</v>
      </c>
      <c r="K125" s="2">
        <v>951089.99999999988</v>
      </c>
      <c r="L125" s="2">
        <v>954560.99999999988</v>
      </c>
      <c r="M125" s="2">
        <v>958501.00000000012</v>
      </c>
      <c r="N125" s="2">
        <v>962393</v>
      </c>
      <c r="O125" s="2">
        <v>966500</v>
      </c>
      <c r="P125" s="2">
        <v>970818.00000000012</v>
      </c>
    </row>
    <row r="126" spans="1:16">
      <c r="A126" s="84" t="s">
        <v>325</v>
      </c>
      <c r="B126" s="85" t="s">
        <v>324</v>
      </c>
      <c r="C126" s="85" t="s">
        <v>99</v>
      </c>
      <c r="D126" s="84" t="s">
        <v>87</v>
      </c>
      <c r="E126" s="84">
        <v>1</v>
      </c>
      <c r="F126" s="2">
        <v>0</v>
      </c>
      <c r="G126" s="2">
        <v>0</v>
      </c>
      <c r="H126" s="2">
        <v>0</v>
      </c>
      <c r="I126" s="2">
        <v>0</v>
      </c>
      <c r="J126" s="2">
        <v>0</v>
      </c>
      <c r="K126" s="2">
        <v>0</v>
      </c>
      <c r="L126" s="2">
        <v>0</v>
      </c>
      <c r="M126" s="2">
        <v>0</v>
      </c>
      <c r="N126" s="2">
        <v>0</v>
      </c>
      <c r="O126" s="2">
        <v>0</v>
      </c>
      <c r="P126" s="2">
        <v>0</v>
      </c>
    </row>
    <row r="127" spans="1:16">
      <c r="A127" s="84" t="s">
        <v>327</v>
      </c>
      <c r="B127" s="85" t="s">
        <v>326</v>
      </c>
      <c r="C127" s="85" t="s">
        <v>110</v>
      </c>
      <c r="D127" s="84" t="s">
        <v>84</v>
      </c>
      <c r="E127" s="84">
        <v>4</v>
      </c>
      <c r="F127" s="2">
        <v>7474709</v>
      </c>
      <c r="G127" s="2">
        <v>7414338.0000000009</v>
      </c>
      <c r="H127" s="2">
        <v>7338273</v>
      </c>
      <c r="I127" s="2">
        <v>7269425</v>
      </c>
      <c r="J127" s="2">
        <v>7191914.0000000009</v>
      </c>
      <c r="K127" s="2">
        <v>7101653.9999999991</v>
      </c>
      <c r="L127" s="2">
        <v>6998914.0000000019</v>
      </c>
      <c r="M127" s="2">
        <v>6889742</v>
      </c>
      <c r="N127" s="2">
        <v>6765802</v>
      </c>
      <c r="O127" s="2">
        <v>6634841</v>
      </c>
      <c r="P127" s="2">
        <v>6503036</v>
      </c>
    </row>
    <row r="128" spans="1:16">
      <c r="A128" s="84" t="s">
        <v>329</v>
      </c>
      <c r="B128" s="85" t="s">
        <v>328</v>
      </c>
      <c r="C128" s="85" t="s">
        <v>79</v>
      </c>
      <c r="D128" s="84" t="s">
        <v>87</v>
      </c>
      <c r="E128" s="84">
        <v>1</v>
      </c>
      <c r="F128" s="2">
        <v>2456661</v>
      </c>
      <c r="G128" s="2">
        <v>2458784</v>
      </c>
      <c r="H128" s="2">
        <v>2459998</v>
      </c>
      <c r="I128" s="2">
        <v>2463735</v>
      </c>
      <c r="J128" s="2">
        <v>2466761</v>
      </c>
      <c r="K128" s="2">
        <v>2467430.0000000005</v>
      </c>
      <c r="L128" s="2">
        <v>2469276.9999999995</v>
      </c>
      <c r="M128" s="2">
        <v>2467965</v>
      </c>
      <c r="N128" s="2">
        <v>2463710</v>
      </c>
      <c r="O128" s="2">
        <v>2456776</v>
      </c>
      <c r="P128" s="2">
        <v>2447769.9999999995</v>
      </c>
    </row>
    <row r="129" spans="1:16">
      <c r="A129" s="84" t="s">
        <v>331</v>
      </c>
      <c r="B129" s="85" t="s">
        <v>330</v>
      </c>
      <c r="C129" s="85" t="s">
        <v>99</v>
      </c>
      <c r="D129" s="84" t="s">
        <v>87</v>
      </c>
      <c r="E129" s="84">
        <v>1</v>
      </c>
      <c r="F129" s="2">
        <v>863231.00000000012</v>
      </c>
      <c r="G129" s="2">
        <v>862599.00000000012</v>
      </c>
      <c r="H129" s="2">
        <v>861830.99999999988</v>
      </c>
      <c r="I129" s="2">
        <v>861441</v>
      </c>
      <c r="J129" s="2">
        <v>860906.00000000012</v>
      </c>
      <c r="K129" s="2">
        <v>859889</v>
      </c>
      <c r="L129" s="2">
        <v>859708</v>
      </c>
      <c r="M129" s="2">
        <v>859003.00000000012</v>
      </c>
      <c r="N129" s="2">
        <v>857852.00000000012</v>
      </c>
      <c r="O129" s="2">
        <v>856221.99999999988</v>
      </c>
      <c r="P129" s="2">
        <v>854242.00000000012</v>
      </c>
    </row>
    <row r="130" spans="1:16">
      <c r="A130" s="84" t="s">
        <v>333</v>
      </c>
      <c r="B130" s="85" t="s">
        <v>332</v>
      </c>
      <c r="C130" s="85" t="s">
        <v>92</v>
      </c>
      <c r="D130" s="84" t="s">
        <v>84</v>
      </c>
      <c r="E130" s="84">
        <v>2</v>
      </c>
      <c r="F130" s="2">
        <v>1759791</v>
      </c>
      <c r="G130" s="2">
        <v>1748506.9999999998</v>
      </c>
      <c r="H130" s="2">
        <v>1737116.9999999998</v>
      </c>
      <c r="I130" s="2">
        <v>1724989</v>
      </c>
      <c r="J130" s="2">
        <v>1712839.0000000002</v>
      </c>
      <c r="K130" s="2">
        <v>1701008.0000000002</v>
      </c>
      <c r="L130" s="2">
        <v>1690040</v>
      </c>
      <c r="M130" s="2">
        <v>1679831.0000000005</v>
      </c>
      <c r="N130" s="2">
        <v>1670025.9999999998</v>
      </c>
      <c r="O130" s="2">
        <v>1660737.9999999998</v>
      </c>
      <c r="P130" s="2">
        <v>1651744.0000000002</v>
      </c>
    </row>
    <row r="131" spans="1:16">
      <c r="A131" s="84" t="s">
        <v>335</v>
      </c>
      <c r="B131" s="85" t="s">
        <v>334</v>
      </c>
      <c r="C131" s="85" t="s">
        <v>83</v>
      </c>
      <c r="D131" s="84" t="s">
        <v>75</v>
      </c>
      <c r="E131" s="84">
        <v>3</v>
      </c>
      <c r="F131" s="2">
        <v>14690143</v>
      </c>
      <c r="G131" s="2">
        <v>15151216.999999996</v>
      </c>
      <c r="H131" s="2">
        <v>15621219.000000002</v>
      </c>
      <c r="I131" s="2">
        <v>16091453</v>
      </c>
      <c r="J131" s="2">
        <v>16564999.999999996</v>
      </c>
      <c r="K131" s="2">
        <v>17041338</v>
      </c>
      <c r="L131" s="2">
        <v>17537991</v>
      </c>
      <c r="M131" s="2">
        <v>18039123.999999996</v>
      </c>
      <c r="N131" s="2">
        <v>18536201</v>
      </c>
      <c r="O131" s="2">
        <v>19031800.999999996</v>
      </c>
      <c r="P131" s="2">
        <v>19525285</v>
      </c>
    </row>
    <row r="132" spans="1:16">
      <c r="A132" s="84" t="s">
        <v>337</v>
      </c>
      <c r="B132" s="85" t="s">
        <v>336</v>
      </c>
      <c r="C132" s="85" t="s">
        <v>83</v>
      </c>
      <c r="D132" s="84" t="s">
        <v>84</v>
      </c>
      <c r="E132" s="84" t="s">
        <v>76</v>
      </c>
      <c r="F132" s="2">
        <v>97148755</v>
      </c>
      <c r="G132" s="2">
        <v>98852556.999999985</v>
      </c>
      <c r="H132" s="2">
        <v>100579275.99999999</v>
      </c>
      <c r="I132" s="2">
        <v>102264546</v>
      </c>
      <c r="J132" s="2">
        <v>103933328.00000001</v>
      </c>
      <c r="K132" s="2">
        <v>105586678.00000001</v>
      </c>
      <c r="L132" s="2">
        <v>107360384</v>
      </c>
      <c r="M132" s="2">
        <v>109135985.99999997</v>
      </c>
      <c r="N132" s="2">
        <v>110862957</v>
      </c>
      <c r="O132" s="2">
        <v>112554390</v>
      </c>
      <c r="P132" s="2">
        <v>114207958.99999999</v>
      </c>
    </row>
    <row r="133" spans="1:16">
      <c r="A133" s="84" t="s">
        <v>339</v>
      </c>
      <c r="B133" s="85" t="s">
        <v>338</v>
      </c>
      <c r="C133" s="85" t="s">
        <v>99</v>
      </c>
      <c r="D133" s="84" t="e">
        <v>#N/A</v>
      </c>
      <c r="E133" s="84">
        <v>1</v>
      </c>
      <c r="F133" s="2">
        <v>0</v>
      </c>
      <c r="G133" s="2">
        <v>0</v>
      </c>
      <c r="H133" s="2">
        <v>0</v>
      </c>
      <c r="I133" s="2">
        <v>0</v>
      </c>
      <c r="J133" s="2">
        <v>0</v>
      </c>
      <c r="K133" s="2">
        <v>0</v>
      </c>
      <c r="L133" s="2">
        <v>0</v>
      </c>
      <c r="M133" s="2">
        <v>0</v>
      </c>
      <c r="N133" s="2">
        <v>0</v>
      </c>
      <c r="O133" s="2">
        <v>0</v>
      </c>
      <c r="P133" s="2">
        <v>0</v>
      </c>
    </row>
    <row r="134" spans="1:16">
      <c r="A134" s="84" t="s">
        <v>341</v>
      </c>
      <c r="B134" s="85" t="s">
        <v>340</v>
      </c>
      <c r="C134" s="85" t="s">
        <v>79</v>
      </c>
      <c r="D134" s="84" t="s">
        <v>87</v>
      </c>
      <c r="E134" s="84">
        <v>1</v>
      </c>
      <c r="F134" s="2">
        <v>889342.99999999988</v>
      </c>
      <c r="G134" s="2">
        <v>895244</v>
      </c>
      <c r="H134" s="2">
        <v>900049.00000000012</v>
      </c>
      <c r="I134" s="2">
        <v>905954.99999999988</v>
      </c>
      <c r="J134" s="2">
        <v>911519.99999999988</v>
      </c>
      <c r="K134" s="2">
        <v>916108</v>
      </c>
      <c r="L134" s="2">
        <v>922969.99999999988</v>
      </c>
      <c r="M134" s="2">
        <v>927904.99999999988</v>
      </c>
      <c r="N134" s="2">
        <v>931728.00000000012</v>
      </c>
      <c r="O134" s="2">
        <v>934404</v>
      </c>
      <c r="P134" s="2">
        <v>936257</v>
      </c>
    </row>
    <row r="135" spans="1:16">
      <c r="A135" s="84" t="s">
        <v>343</v>
      </c>
      <c r="B135" s="85" t="s">
        <v>342</v>
      </c>
      <c r="C135" s="85" t="s">
        <v>74</v>
      </c>
      <c r="D135" s="84" t="s">
        <v>87</v>
      </c>
      <c r="E135" s="84">
        <v>1</v>
      </c>
      <c r="F135" s="2">
        <v>1187014</v>
      </c>
      <c r="G135" s="2">
        <v>1180827</v>
      </c>
      <c r="H135" s="2">
        <v>1167904</v>
      </c>
      <c r="I135" s="2">
        <v>1147145.0000000002</v>
      </c>
      <c r="J135" s="2">
        <v>1124009</v>
      </c>
      <c r="K135" s="2">
        <v>1101899</v>
      </c>
      <c r="L135" s="2">
        <v>1082310</v>
      </c>
      <c r="M135" s="2">
        <v>1062520.0000000002</v>
      </c>
      <c r="N135" s="2">
        <v>1044562.9999999999</v>
      </c>
      <c r="O135" s="2">
        <v>1029619.9999999999</v>
      </c>
      <c r="P135" s="2">
        <v>1017431.9999999999</v>
      </c>
    </row>
    <row r="136" spans="1:16">
      <c r="A136" s="84" t="s">
        <v>345</v>
      </c>
      <c r="B136" s="85" t="s">
        <v>344</v>
      </c>
      <c r="C136" s="85" t="s">
        <v>74</v>
      </c>
      <c r="D136" s="84" t="s">
        <v>84</v>
      </c>
      <c r="E136" s="84" t="s">
        <v>76</v>
      </c>
      <c r="F136" s="2">
        <v>77555161</v>
      </c>
      <c r="G136" s="2">
        <v>77899981.999999985</v>
      </c>
      <c r="H136" s="2">
        <v>78165367</v>
      </c>
      <c r="I136" s="2">
        <v>78280947</v>
      </c>
      <c r="J136" s="2">
        <v>78313309</v>
      </c>
      <c r="K136" s="2">
        <v>78308964</v>
      </c>
      <c r="L136" s="2">
        <v>78364027.999999985</v>
      </c>
      <c r="M136" s="2">
        <v>78414174.999999985</v>
      </c>
      <c r="N136" s="2">
        <v>78458715</v>
      </c>
      <c r="O136" s="2">
        <v>78501964</v>
      </c>
      <c r="P136" s="2">
        <v>78543722.000000015</v>
      </c>
    </row>
    <row r="137" spans="1:16">
      <c r="A137" s="84" t="s">
        <v>347</v>
      </c>
      <c r="B137" s="85" t="s">
        <v>346</v>
      </c>
      <c r="C137" s="85" t="s">
        <v>99</v>
      </c>
      <c r="D137" s="84" t="s">
        <v>87</v>
      </c>
      <c r="E137" s="84">
        <v>1</v>
      </c>
      <c r="F137" s="2">
        <v>0</v>
      </c>
      <c r="G137" s="2">
        <v>0</v>
      </c>
      <c r="H137" s="2">
        <v>0</v>
      </c>
      <c r="I137" s="2">
        <v>0</v>
      </c>
      <c r="J137" s="2">
        <v>0</v>
      </c>
      <c r="K137" s="2">
        <v>0</v>
      </c>
      <c r="L137" s="2">
        <v>0</v>
      </c>
      <c r="M137" s="2">
        <v>0</v>
      </c>
      <c r="N137" s="2">
        <v>0</v>
      </c>
      <c r="O137" s="2">
        <v>0</v>
      </c>
      <c r="P137" s="2">
        <v>0</v>
      </c>
    </row>
    <row r="138" spans="1:16">
      <c r="A138" s="84" t="s">
        <v>349</v>
      </c>
      <c r="B138" s="85" t="s">
        <v>348</v>
      </c>
      <c r="C138" s="85" t="s">
        <v>92</v>
      </c>
      <c r="D138" s="84" t="s">
        <v>87</v>
      </c>
      <c r="E138" s="84">
        <v>1</v>
      </c>
      <c r="F138" s="2">
        <v>1098429</v>
      </c>
      <c r="G138" s="2">
        <v>1100403</v>
      </c>
      <c r="H138" s="2">
        <v>1101950</v>
      </c>
      <c r="I138" s="2">
        <v>1103394.0000000002</v>
      </c>
      <c r="J138" s="2">
        <v>1104374</v>
      </c>
      <c r="K138" s="2">
        <v>1104649.9999999998</v>
      </c>
      <c r="L138" s="2">
        <v>1105714.0000000002</v>
      </c>
      <c r="M138" s="2">
        <v>1106202</v>
      </c>
      <c r="N138" s="2">
        <v>1105917.0000000002</v>
      </c>
      <c r="O138" s="2">
        <v>1104985</v>
      </c>
      <c r="P138" s="2">
        <v>1103489</v>
      </c>
    </row>
    <row r="139" spans="1:16">
      <c r="A139" s="84" t="s">
        <v>351</v>
      </c>
      <c r="B139" s="85" t="s">
        <v>350</v>
      </c>
      <c r="C139" s="85" t="s">
        <v>99</v>
      </c>
      <c r="D139" s="84" t="s">
        <v>84</v>
      </c>
      <c r="E139" s="84">
        <v>4</v>
      </c>
      <c r="F139" s="2">
        <v>3184476</v>
      </c>
      <c r="G139" s="2">
        <v>3217427</v>
      </c>
      <c r="H139" s="2">
        <v>3249685.9999999995</v>
      </c>
      <c r="I139" s="2">
        <v>3280871.0000000005</v>
      </c>
      <c r="J139" s="2">
        <v>3310864</v>
      </c>
      <c r="K139" s="2">
        <v>3339501</v>
      </c>
      <c r="L139" s="2">
        <v>3369951</v>
      </c>
      <c r="M139" s="2">
        <v>3399201.0000000005</v>
      </c>
      <c r="N139" s="2">
        <v>3426366.9999999995</v>
      </c>
      <c r="O139" s="2">
        <v>3451829.0000000005</v>
      </c>
      <c r="P139" s="2">
        <v>3475649.0000000005</v>
      </c>
    </row>
    <row r="140" spans="1:16">
      <c r="A140" s="84" t="s">
        <v>353</v>
      </c>
      <c r="B140" s="85" t="s">
        <v>352</v>
      </c>
      <c r="C140" s="85" t="s">
        <v>92</v>
      </c>
      <c r="D140" s="84" t="s">
        <v>80</v>
      </c>
      <c r="E140" s="84">
        <v>1</v>
      </c>
      <c r="F140" s="2">
        <v>1937664</v>
      </c>
      <c r="G140" s="2">
        <v>1935636</v>
      </c>
      <c r="H140" s="2">
        <v>1931902.9999999998</v>
      </c>
      <c r="I140" s="2">
        <v>1926733.0000000002</v>
      </c>
      <c r="J140" s="2">
        <v>1920054</v>
      </c>
      <c r="K140" s="2">
        <v>1912196</v>
      </c>
      <c r="L140" s="2">
        <v>1904271</v>
      </c>
      <c r="M140" s="2">
        <v>1895750</v>
      </c>
      <c r="N140" s="2">
        <v>1886488.9999999995</v>
      </c>
      <c r="O140" s="2">
        <v>1876656</v>
      </c>
      <c r="P140" s="2">
        <v>1866429</v>
      </c>
    </row>
    <row r="141" spans="1:16">
      <c r="A141" s="84" t="s">
        <v>355</v>
      </c>
      <c r="B141" s="85" t="s">
        <v>354</v>
      </c>
      <c r="C141" s="85" t="s">
        <v>92</v>
      </c>
      <c r="D141" s="84" t="s">
        <v>80</v>
      </c>
      <c r="E141" s="84">
        <v>2</v>
      </c>
      <c r="F141" s="2">
        <v>7762365.9999999981</v>
      </c>
      <c r="G141" s="2">
        <v>7761855.9999999991</v>
      </c>
      <c r="H141" s="2">
        <v>7742523.9999999991</v>
      </c>
      <c r="I141" s="2">
        <v>7704799</v>
      </c>
      <c r="J141" s="2">
        <v>7652354</v>
      </c>
      <c r="K141" s="2">
        <v>7592344.9999999991</v>
      </c>
      <c r="L141" s="2">
        <v>7536495</v>
      </c>
      <c r="M141" s="2">
        <v>7479245</v>
      </c>
      <c r="N141" s="2">
        <v>7416851.0000000009</v>
      </c>
      <c r="O141" s="2">
        <v>7353105</v>
      </c>
      <c r="P141" s="2">
        <v>7289432</v>
      </c>
    </row>
    <row r="142" spans="1:16">
      <c r="A142" s="84" t="s">
        <v>357</v>
      </c>
      <c r="B142" s="85" t="s">
        <v>356</v>
      </c>
      <c r="C142" s="85" t="s">
        <v>99</v>
      </c>
      <c r="D142" s="84" t="s">
        <v>84</v>
      </c>
      <c r="E142" s="84" t="s">
        <v>76</v>
      </c>
      <c r="F142" s="2">
        <v>30084475.000000007</v>
      </c>
      <c r="G142" s="2">
        <v>30040651.000000004</v>
      </c>
      <c r="H142" s="2">
        <v>30024864</v>
      </c>
      <c r="I142" s="2">
        <v>30087121.000000007</v>
      </c>
      <c r="J142" s="2">
        <v>30172154.000000004</v>
      </c>
      <c r="K142" s="2">
        <v>30238595</v>
      </c>
      <c r="L142" s="2">
        <v>30300214.999999993</v>
      </c>
      <c r="M142" s="2">
        <v>30334013.999999996</v>
      </c>
      <c r="N142" s="2">
        <v>30328812</v>
      </c>
      <c r="O142" s="2">
        <v>30292966.999999996</v>
      </c>
      <c r="P142" s="2">
        <v>30236193</v>
      </c>
    </row>
    <row r="143" spans="1:16">
      <c r="A143" s="84" t="s">
        <v>359</v>
      </c>
      <c r="B143" s="85" t="s">
        <v>358</v>
      </c>
      <c r="C143" s="85" t="s">
        <v>79</v>
      </c>
      <c r="D143" s="84" t="s">
        <v>87</v>
      </c>
      <c r="E143" s="84">
        <v>1</v>
      </c>
      <c r="F143" s="2">
        <v>4919063.9999999991</v>
      </c>
      <c r="G143" s="2">
        <v>4847819</v>
      </c>
      <c r="H143" s="2">
        <v>4771534</v>
      </c>
      <c r="I143" s="2">
        <v>4685972</v>
      </c>
      <c r="J143" s="2">
        <v>4597557.0000000009</v>
      </c>
      <c r="K143" s="2">
        <v>4511333.9999999991</v>
      </c>
      <c r="L143" s="2">
        <v>4434822</v>
      </c>
      <c r="M143" s="2">
        <v>4364138.9999999991</v>
      </c>
      <c r="N143" s="2">
        <v>4299285</v>
      </c>
      <c r="O143" s="2">
        <v>4240291</v>
      </c>
      <c r="P143" s="2">
        <v>4186941</v>
      </c>
    </row>
    <row r="144" spans="1:16">
      <c r="A144" s="84" t="s">
        <v>361</v>
      </c>
      <c r="B144" s="85" t="s">
        <v>360</v>
      </c>
      <c r="C144" s="85" t="s">
        <v>79</v>
      </c>
      <c r="D144" s="84" t="s">
        <v>87</v>
      </c>
      <c r="E144" s="84">
        <v>1</v>
      </c>
      <c r="F144" s="2">
        <v>1110106</v>
      </c>
      <c r="G144" s="2">
        <v>1103875</v>
      </c>
      <c r="H144" s="2">
        <v>1098531</v>
      </c>
      <c r="I144" s="2">
        <v>1095051</v>
      </c>
      <c r="J144" s="2">
        <v>1092369</v>
      </c>
      <c r="K144" s="2">
        <v>1089846</v>
      </c>
      <c r="L144" s="2">
        <v>1089683.0000000002</v>
      </c>
      <c r="M144" s="2">
        <v>1089234</v>
      </c>
      <c r="N144" s="2">
        <v>1088255</v>
      </c>
      <c r="O144" s="2">
        <v>1086795</v>
      </c>
      <c r="P144" s="2">
        <v>1084806</v>
      </c>
    </row>
    <row r="145" spans="1:16">
      <c r="A145" s="84" t="s">
        <v>363</v>
      </c>
      <c r="B145" s="85" t="s">
        <v>362</v>
      </c>
      <c r="C145" s="85" t="s">
        <v>74</v>
      </c>
      <c r="D145" s="84" t="s">
        <v>87</v>
      </c>
      <c r="E145" s="84">
        <v>1</v>
      </c>
      <c r="F145" s="2">
        <v>399022.99999999994</v>
      </c>
      <c r="G145" s="2">
        <v>401476.00000000012</v>
      </c>
      <c r="H145" s="2">
        <v>401010.00000000012</v>
      </c>
      <c r="I145" s="2">
        <v>399683.00000000006</v>
      </c>
      <c r="J145" s="2">
        <v>398578</v>
      </c>
      <c r="K145" s="2">
        <v>398002.99999999994</v>
      </c>
      <c r="L145" s="2">
        <v>397248.99999999988</v>
      </c>
      <c r="M145" s="2">
        <v>394161</v>
      </c>
      <c r="N145" s="2">
        <v>391058</v>
      </c>
      <c r="O145" s="2">
        <v>388694</v>
      </c>
      <c r="P145" s="2">
        <v>387288</v>
      </c>
    </row>
    <row r="146" spans="1:16">
      <c r="A146" s="84" t="s">
        <v>365</v>
      </c>
      <c r="B146" s="85" t="s">
        <v>364</v>
      </c>
      <c r="C146" s="85" t="s">
        <v>79</v>
      </c>
      <c r="D146" s="84" t="s">
        <v>87</v>
      </c>
      <c r="E146" s="84">
        <v>2</v>
      </c>
      <c r="F146" s="2">
        <v>2496236.9999999995</v>
      </c>
      <c r="G146" s="2">
        <v>2473377.0000000005</v>
      </c>
      <c r="H146" s="2">
        <v>2450491.9999999995</v>
      </c>
      <c r="I146" s="2">
        <v>2424814.0000000005</v>
      </c>
      <c r="J146" s="2">
        <v>2399205.9999999991</v>
      </c>
      <c r="K146" s="2">
        <v>2375584</v>
      </c>
      <c r="L146" s="2">
        <v>2355499</v>
      </c>
      <c r="M146" s="2">
        <v>2338205</v>
      </c>
      <c r="N146" s="2">
        <v>2323120</v>
      </c>
      <c r="O146" s="2">
        <v>2309901</v>
      </c>
      <c r="P146" s="2">
        <v>2297886</v>
      </c>
    </row>
    <row r="147" spans="1:16">
      <c r="A147" s="84" t="s">
        <v>367</v>
      </c>
      <c r="B147" s="85" t="s">
        <v>366</v>
      </c>
      <c r="C147" s="85" t="s">
        <v>79</v>
      </c>
      <c r="D147" s="84" t="s">
        <v>80</v>
      </c>
      <c r="E147" s="84">
        <v>2</v>
      </c>
      <c r="F147" s="2">
        <v>23880759</v>
      </c>
      <c r="G147" s="2">
        <v>23439730</v>
      </c>
      <c r="H147" s="2">
        <v>22993434.999999996</v>
      </c>
      <c r="I147" s="2">
        <v>22522608</v>
      </c>
      <c r="J147" s="2">
        <v>22063813</v>
      </c>
      <c r="K147" s="2">
        <v>21638289.999999996</v>
      </c>
      <c r="L147" s="2">
        <v>21281720</v>
      </c>
      <c r="M147" s="2">
        <v>20980601.000000004</v>
      </c>
      <c r="N147" s="2">
        <v>20730957.999999996</v>
      </c>
      <c r="O147" s="2">
        <v>20538156.000000004</v>
      </c>
      <c r="P147" s="2">
        <v>20399640.999999996</v>
      </c>
    </row>
    <row r="148" spans="1:16">
      <c r="A148" s="84" t="s">
        <v>369</v>
      </c>
      <c r="B148" s="85" t="s">
        <v>368</v>
      </c>
      <c r="C148" s="85" t="s">
        <v>83</v>
      </c>
      <c r="D148" s="84" t="s">
        <v>75</v>
      </c>
      <c r="E148" s="84">
        <v>3</v>
      </c>
      <c r="F148" s="2">
        <v>5356515</v>
      </c>
      <c r="G148" s="2">
        <v>5412097.0000000009</v>
      </c>
      <c r="H148" s="2">
        <v>5463701.9999999991</v>
      </c>
      <c r="I148" s="2">
        <v>5505064.0000000009</v>
      </c>
      <c r="J148" s="2">
        <v>5541643.0000000009</v>
      </c>
      <c r="K148" s="2">
        <v>5577253</v>
      </c>
      <c r="L148" s="2">
        <v>5615945.0000000009</v>
      </c>
      <c r="M148" s="2">
        <v>5656008.0000000019</v>
      </c>
      <c r="N148" s="2">
        <v>5696426</v>
      </c>
      <c r="O148" s="2">
        <v>5737335</v>
      </c>
      <c r="P148" s="2">
        <v>5777865.0000000009</v>
      </c>
    </row>
    <row r="149" spans="1:16">
      <c r="A149" s="84" t="s">
        <v>371</v>
      </c>
      <c r="B149" s="85" t="s">
        <v>370</v>
      </c>
      <c r="C149" s="85" t="s">
        <v>92</v>
      </c>
      <c r="D149" s="84" t="s">
        <v>87</v>
      </c>
      <c r="E149" s="84">
        <v>1</v>
      </c>
      <c r="F149" s="2">
        <v>0</v>
      </c>
      <c r="G149" s="2">
        <v>0</v>
      </c>
      <c r="H149" s="2">
        <v>0</v>
      </c>
      <c r="I149" s="2">
        <v>0</v>
      </c>
      <c r="J149" s="2">
        <v>0</v>
      </c>
      <c r="K149" s="2">
        <v>0</v>
      </c>
      <c r="L149" s="2">
        <v>0</v>
      </c>
      <c r="M149" s="2">
        <v>0</v>
      </c>
      <c r="N149" s="2">
        <v>0</v>
      </c>
      <c r="O149" s="2">
        <v>0</v>
      </c>
      <c r="P149" s="2">
        <v>0</v>
      </c>
    </row>
    <row r="150" spans="1:16">
      <c r="A150" s="84" t="s">
        <v>373</v>
      </c>
      <c r="B150" s="85" t="s">
        <v>372</v>
      </c>
      <c r="C150" s="85" t="s">
        <v>92</v>
      </c>
      <c r="D150" s="84" t="s">
        <v>80</v>
      </c>
      <c r="E150" s="84">
        <v>1</v>
      </c>
      <c r="F150" s="2">
        <v>28774</v>
      </c>
      <c r="G150" s="2">
        <v>28399</v>
      </c>
      <c r="H150" s="2">
        <v>27980.999999999996</v>
      </c>
      <c r="I150" s="2">
        <v>27543</v>
      </c>
      <c r="J150" s="2">
        <v>27073</v>
      </c>
      <c r="K150" s="2">
        <v>26588.000000000004</v>
      </c>
      <c r="L150" s="2">
        <v>26134</v>
      </c>
      <c r="M150" s="2">
        <v>25679.000000000004</v>
      </c>
      <c r="N150" s="2">
        <v>25215</v>
      </c>
      <c r="O150" s="2">
        <v>24761</v>
      </c>
      <c r="P150" s="2">
        <v>24309</v>
      </c>
    </row>
    <row r="151" spans="1:16">
      <c r="A151" s="84" t="s">
        <v>375</v>
      </c>
      <c r="B151" s="85" t="s">
        <v>374</v>
      </c>
      <c r="C151" s="85" t="s">
        <v>92</v>
      </c>
      <c r="D151" s="84" t="s">
        <v>80</v>
      </c>
      <c r="E151" s="84">
        <v>1</v>
      </c>
      <c r="F151" s="2">
        <v>20884</v>
      </c>
      <c r="G151" s="2">
        <v>20654.999999999996</v>
      </c>
      <c r="H151" s="2">
        <v>20442.000000000004</v>
      </c>
      <c r="I151" s="2">
        <v>20250.999999999996</v>
      </c>
      <c r="J151" s="2">
        <v>20069</v>
      </c>
      <c r="K151" s="2">
        <v>19877</v>
      </c>
      <c r="L151" s="2">
        <v>19676.999999999996</v>
      </c>
      <c r="M151" s="2">
        <v>19479</v>
      </c>
      <c r="N151" s="2">
        <v>19264</v>
      </c>
      <c r="O151" s="2">
        <v>19053.000000000004</v>
      </c>
      <c r="P151" s="2">
        <v>18834</v>
      </c>
    </row>
    <row r="152" spans="1:16">
      <c r="A152" s="84" t="s">
        <v>377</v>
      </c>
      <c r="B152" s="85" t="s">
        <v>376</v>
      </c>
      <c r="C152" s="85" t="s">
        <v>99</v>
      </c>
      <c r="D152" s="84" t="s">
        <v>80</v>
      </c>
      <c r="E152" s="84">
        <v>2</v>
      </c>
      <c r="F152" s="2">
        <v>67671</v>
      </c>
      <c r="G152" s="2">
        <v>67329</v>
      </c>
      <c r="H152" s="2">
        <v>67295.999999999985</v>
      </c>
      <c r="I152" s="2">
        <v>66723</v>
      </c>
      <c r="J152" s="2">
        <v>66189</v>
      </c>
      <c r="K152" s="2">
        <v>65917</v>
      </c>
      <c r="L152" s="2">
        <v>65691</v>
      </c>
      <c r="M152" s="2">
        <v>65726</v>
      </c>
      <c r="N152" s="2">
        <v>66179</v>
      </c>
      <c r="O152" s="2">
        <v>66845.000000000015</v>
      </c>
      <c r="P152" s="2">
        <v>67566</v>
      </c>
    </row>
    <row r="153" spans="1:16">
      <c r="A153" s="84" t="s">
        <v>379</v>
      </c>
      <c r="B153" s="85" t="s">
        <v>378</v>
      </c>
      <c r="C153" s="85" t="s">
        <v>79</v>
      </c>
      <c r="D153" s="84" t="s">
        <v>87</v>
      </c>
      <c r="E153" s="84">
        <v>1</v>
      </c>
      <c r="F153" s="2">
        <v>0</v>
      </c>
      <c r="G153" s="2">
        <v>0</v>
      </c>
      <c r="H153" s="2">
        <v>0</v>
      </c>
      <c r="I153" s="2">
        <v>0</v>
      </c>
      <c r="J153" s="2">
        <v>0</v>
      </c>
      <c r="K153" s="2">
        <v>0</v>
      </c>
      <c r="L153" s="2">
        <v>0</v>
      </c>
      <c r="M153" s="2">
        <v>0</v>
      </c>
      <c r="N153" s="2">
        <v>0</v>
      </c>
      <c r="O153" s="2">
        <v>0</v>
      </c>
      <c r="P153" s="2">
        <v>0</v>
      </c>
    </row>
    <row r="154" spans="1:16">
      <c r="A154" s="84" t="s">
        <v>381</v>
      </c>
      <c r="B154" s="85" t="s">
        <v>380</v>
      </c>
      <c r="C154" s="85" t="s">
        <v>83</v>
      </c>
      <c r="D154" s="84" t="s">
        <v>84</v>
      </c>
      <c r="E154" s="84">
        <v>3</v>
      </c>
      <c r="F154" s="2">
        <v>91828</v>
      </c>
      <c r="G154" s="2">
        <v>92961</v>
      </c>
      <c r="H154" s="2">
        <v>94253.000000000015</v>
      </c>
      <c r="I154" s="2">
        <v>95586</v>
      </c>
      <c r="J154" s="2">
        <v>97000.999999999985</v>
      </c>
      <c r="K154" s="2">
        <v>98466.999999999985</v>
      </c>
      <c r="L154" s="2">
        <v>99904.999999999985</v>
      </c>
      <c r="M154" s="2">
        <v>101377.00000000001</v>
      </c>
      <c r="N154" s="2">
        <v>102874.00000000001</v>
      </c>
      <c r="O154" s="2">
        <v>104367.99999999999</v>
      </c>
      <c r="P154" s="2">
        <v>105831.00000000001</v>
      </c>
    </row>
    <row r="155" spans="1:16">
      <c r="A155" s="84" t="s">
        <v>383</v>
      </c>
      <c r="B155" s="85" t="s">
        <v>382</v>
      </c>
      <c r="C155" s="85" t="s">
        <v>74</v>
      </c>
      <c r="D155" s="84" t="s">
        <v>87</v>
      </c>
      <c r="E155" s="84">
        <v>1</v>
      </c>
      <c r="F155" s="2">
        <v>7909747</v>
      </c>
      <c r="G155" s="2">
        <v>7820433</v>
      </c>
      <c r="H155" s="2">
        <v>7719946.9999999981</v>
      </c>
      <c r="I155" s="2">
        <v>7616036</v>
      </c>
      <c r="J155" s="2">
        <v>7511184.0000000009</v>
      </c>
      <c r="K155" s="2">
        <v>7407142.0000000009</v>
      </c>
      <c r="L155" s="2">
        <v>7314683</v>
      </c>
      <c r="M155" s="2">
        <v>7222596</v>
      </c>
      <c r="N155" s="2">
        <v>7132179</v>
      </c>
      <c r="O155" s="2">
        <v>7049027</v>
      </c>
      <c r="P155" s="2">
        <v>6975722.9999999991</v>
      </c>
    </row>
    <row r="156" spans="1:16">
      <c r="A156" s="84" t="s">
        <v>385</v>
      </c>
      <c r="B156" s="85" t="s">
        <v>384</v>
      </c>
      <c r="C156" s="85" t="s">
        <v>83</v>
      </c>
      <c r="D156" s="84" t="s">
        <v>84</v>
      </c>
      <c r="E156" s="84">
        <v>3</v>
      </c>
      <c r="F156" s="2">
        <v>7620116.0000000009</v>
      </c>
      <c r="G156" s="2">
        <v>7727268</v>
      </c>
      <c r="H156" s="2">
        <v>7837950.9999999991</v>
      </c>
      <c r="I156" s="2">
        <v>7950793</v>
      </c>
      <c r="J156" s="2">
        <v>8066117</v>
      </c>
      <c r="K156" s="2">
        <v>8183128.0000000019</v>
      </c>
      <c r="L156" s="2">
        <v>8306188</v>
      </c>
      <c r="M156" s="2">
        <v>8431899</v>
      </c>
      <c r="N156" s="2">
        <v>8558339</v>
      </c>
      <c r="O156" s="2">
        <v>8685641</v>
      </c>
      <c r="P156" s="2">
        <v>8813274</v>
      </c>
    </row>
    <row r="157" spans="1:16">
      <c r="A157" s="84" t="s">
        <v>387</v>
      </c>
      <c r="B157" s="85" t="s">
        <v>386</v>
      </c>
      <c r="C157" s="85" t="s">
        <v>79</v>
      </c>
      <c r="D157" s="84" t="s">
        <v>80</v>
      </c>
      <c r="E157" s="84">
        <v>1</v>
      </c>
      <c r="F157" s="2">
        <v>1102658</v>
      </c>
      <c r="G157" s="2">
        <v>1088338.0000000002</v>
      </c>
      <c r="H157" s="2">
        <v>1074106</v>
      </c>
      <c r="I157" s="2">
        <v>1058995</v>
      </c>
      <c r="J157" s="2">
        <v>1043812.0000000001</v>
      </c>
      <c r="K157" s="2">
        <v>1029201</v>
      </c>
      <c r="L157" s="2">
        <v>1015667</v>
      </c>
      <c r="M157" s="2">
        <v>1003306</v>
      </c>
      <c r="N157" s="2">
        <v>991463</v>
      </c>
      <c r="O157" s="2">
        <v>980295.00000000023</v>
      </c>
      <c r="P157" s="2">
        <v>969646</v>
      </c>
    </row>
    <row r="158" spans="1:16">
      <c r="A158" s="84" t="s">
        <v>389</v>
      </c>
      <c r="B158" s="85" t="s">
        <v>388</v>
      </c>
      <c r="C158" s="85" t="s">
        <v>83</v>
      </c>
      <c r="D158" s="84" t="s">
        <v>87</v>
      </c>
      <c r="E158" s="84">
        <v>1</v>
      </c>
      <c r="F158" s="2">
        <v>20939.000000000004</v>
      </c>
      <c r="G158" s="2">
        <v>20708</v>
      </c>
      <c r="H158" s="2">
        <v>20494.999999999996</v>
      </c>
      <c r="I158" s="2">
        <v>20259</v>
      </c>
      <c r="J158" s="2">
        <v>20026</v>
      </c>
      <c r="K158" s="2">
        <v>19827</v>
      </c>
      <c r="L158" s="2">
        <v>19652</v>
      </c>
      <c r="M158" s="2">
        <v>19517</v>
      </c>
      <c r="N158" s="2">
        <v>19410.999999999996</v>
      </c>
      <c r="O158" s="2">
        <v>19333</v>
      </c>
      <c r="P158" s="2">
        <v>19265</v>
      </c>
    </row>
    <row r="159" spans="1:16">
      <c r="A159" s="84" t="s">
        <v>391</v>
      </c>
      <c r="B159" s="85" t="s">
        <v>390</v>
      </c>
      <c r="C159" s="85" t="s">
        <v>83</v>
      </c>
      <c r="D159" s="84" t="s">
        <v>75</v>
      </c>
      <c r="E159" s="84">
        <v>3</v>
      </c>
      <c r="F159" s="2">
        <v>3220957.0000000005</v>
      </c>
      <c r="G159" s="2">
        <v>3245610</v>
      </c>
      <c r="H159" s="2">
        <v>3268977.0000000005</v>
      </c>
      <c r="I159" s="2">
        <v>3289553.0000000005</v>
      </c>
      <c r="J159" s="2">
        <v>3308130.9999999995</v>
      </c>
      <c r="K159" s="2">
        <v>3325131.0000000005</v>
      </c>
      <c r="L159" s="2">
        <v>3344502.9999999995</v>
      </c>
      <c r="M159" s="2">
        <v>3363250.9999999995</v>
      </c>
      <c r="N159" s="2">
        <v>3379652</v>
      </c>
      <c r="O159" s="2">
        <v>3394474</v>
      </c>
      <c r="P159" s="2">
        <v>3407836</v>
      </c>
    </row>
    <row r="160" spans="1:16">
      <c r="A160" s="84" t="s">
        <v>393</v>
      </c>
      <c r="B160" s="85" t="s">
        <v>392</v>
      </c>
      <c r="C160" s="85" t="s">
        <v>99</v>
      </c>
      <c r="D160" s="84" t="s">
        <v>87</v>
      </c>
      <c r="E160" s="84">
        <v>1</v>
      </c>
      <c r="F160" s="2">
        <v>722679</v>
      </c>
      <c r="G160" s="2">
        <v>727435</v>
      </c>
      <c r="H160" s="2">
        <v>728554.00000000012</v>
      </c>
      <c r="I160" s="2">
        <v>724879.99999999988</v>
      </c>
      <c r="J160" s="2">
        <v>718369.99999999988</v>
      </c>
      <c r="K160" s="2">
        <v>710602</v>
      </c>
      <c r="L160" s="2">
        <v>704899</v>
      </c>
      <c r="M160" s="2">
        <v>697565</v>
      </c>
      <c r="N160" s="2">
        <v>689919</v>
      </c>
      <c r="O160" s="2">
        <v>681529</v>
      </c>
      <c r="P160" s="2">
        <v>672324</v>
      </c>
    </row>
    <row r="161" spans="1:16">
      <c r="A161" s="84" t="s">
        <v>395</v>
      </c>
      <c r="B161" s="85" t="s">
        <v>394</v>
      </c>
      <c r="C161" s="85" t="s">
        <v>79</v>
      </c>
      <c r="D161" s="84" t="s">
        <v>87</v>
      </c>
      <c r="E161" s="84">
        <v>1</v>
      </c>
      <c r="F161" s="2">
        <v>757244.99999999988</v>
      </c>
      <c r="G161" s="2">
        <v>749399</v>
      </c>
      <c r="H161" s="2">
        <v>740651.00000000012</v>
      </c>
      <c r="I161" s="2">
        <v>730672</v>
      </c>
      <c r="J161" s="2">
        <v>720121</v>
      </c>
      <c r="K161" s="2">
        <v>709529.00000000023</v>
      </c>
      <c r="L161" s="2">
        <v>699738</v>
      </c>
      <c r="M161" s="2">
        <v>690252.99999999988</v>
      </c>
      <c r="N161" s="2">
        <v>681333</v>
      </c>
      <c r="O161" s="2">
        <v>672961.00000000012</v>
      </c>
      <c r="P161" s="2">
        <v>665168</v>
      </c>
    </row>
    <row r="162" spans="1:16">
      <c r="A162" s="84" t="s">
        <v>397</v>
      </c>
      <c r="B162" s="85" t="s">
        <v>396</v>
      </c>
      <c r="C162" s="85" t="s">
        <v>79</v>
      </c>
      <c r="D162" s="84" t="s">
        <v>87</v>
      </c>
      <c r="E162" s="84">
        <v>1</v>
      </c>
      <c r="F162" s="2">
        <v>269238</v>
      </c>
      <c r="G162" s="2">
        <v>265126</v>
      </c>
      <c r="H162" s="2">
        <v>261101.99999999997</v>
      </c>
      <c r="I162" s="2">
        <v>257438.99999999997</v>
      </c>
      <c r="J162" s="2">
        <v>254035</v>
      </c>
      <c r="K162" s="2">
        <v>250868</v>
      </c>
      <c r="L162" s="2">
        <v>248577</v>
      </c>
      <c r="M162" s="2">
        <v>246620</v>
      </c>
      <c r="N162" s="2">
        <v>244932.00000000003</v>
      </c>
      <c r="O162" s="2">
        <v>243605</v>
      </c>
      <c r="P162" s="2">
        <v>242661.99999999997</v>
      </c>
    </row>
    <row r="163" spans="1:16">
      <c r="A163" s="84" t="s">
        <v>399</v>
      </c>
      <c r="B163" s="85" t="s">
        <v>398</v>
      </c>
      <c r="C163" s="85" t="s">
        <v>74</v>
      </c>
      <c r="D163" s="84" t="s">
        <v>75</v>
      </c>
      <c r="E163" s="84">
        <v>3</v>
      </c>
      <c r="F163" s="2">
        <v>8385097.9999999981</v>
      </c>
      <c r="G163" s="2">
        <v>8602228.0000000019</v>
      </c>
      <c r="H163" s="2">
        <v>8820465</v>
      </c>
      <c r="I163" s="2">
        <v>9032108</v>
      </c>
      <c r="J163" s="2">
        <v>9239198.9999999981</v>
      </c>
      <c r="K163" s="2">
        <v>9441321</v>
      </c>
      <c r="L163" s="2">
        <v>9649516.0000000019</v>
      </c>
      <c r="M163" s="2">
        <v>9853000</v>
      </c>
      <c r="N163" s="2">
        <v>10048441</v>
      </c>
      <c r="O163" s="2">
        <v>10236607</v>
      </c>
      <c r="P163" s="2">
        <v>10417832.999999998</v>
      </c>
    </row>
    <row r="164" spans="1:16">
      <c r="A164" s="84" t="s">
        <v>401</v>
      </c>
      <c r="B164" s="85" t="s">
        <v>400</v>
      </c>
      <c r="C164" s="85" t="s">
        <v>99</v>
      </c>
      <c r="D164" s="84" t="s">
        <v>84</v>
      </c>
      <c r="E164" s="84">
        <v>4</v>
      </c>
      <c r="F164" s="2">
        <v>296149</v>
      </c>
      <c r="G164" s="2">
        <v>299736</v>
      </c>
      <c r="H164" s="2">
        <v>303477.00000000006</v>
      </c>
      <c r="I164" s="2">
        <v>307028.99999999994</v>
      </c>
      <c r="J164" s="2">
        <v>310645.99999999994</v>
      </c>
      <c r="K164" s="2">
        <v>314446.99999999994</v>
      </c>
      <c r="L164" s="2">
        <v>318540</v>
      </c>
      <c r="M164" s="2">
        <v>322969.00000000006</v>
      </c>
      <c r="N164" s="2">
        <v>327597</v>
      </c>
      <c r="O164" s="2">
        <v>332420</v>
      </c>
      <c r="P164" s="2">
        <v>337345</v>
      </c>
    </row>
    <row r="165" spans="1:16">
      <c r="A165" s="84" t="s">
        <v>403</v>
      </c>
      <c r="B165" s="85" t="s">
        <v>402</v>
      </c>
      <c r="C165" s="85" t="s">
        <v>83</v>
      </c>
      <c r="D165" s="84" t="s">
        <v>80</v>
      </c>
      <c r="E165" s="84" t="s">
        <v>76</v>
      </c>
      <c r="F165" s="2">
        <v>15917206</v>
      </c>
      <c r="G165" s="2">
        <v>15872714.999999998</v>
      </c>
      <c r="H165" s="2">
        <v>15828715.000000004</v>
      </c>
      <c r="I165" s="2">
        <v>15786266</v>
      </c>
      <c r="J165" s="2">
        <v>15746120</v>
      </c>
      <c r="K165" s="2">
        <v>15706859.000000002</v>
      </c>
      <c r="L165" s="2">
        <v>15685241.999999998</v>
      </c>
      <c r="M165" s="2">
        <v>15664798.999999998</v>
      </c>
      <c r="N165" s="2">
        <v>15644579.000000002</v>
      </c>
      <c r="O165" s="2">
        <v>15625441</v>
      </c>
      <c r="P165" s="2">
        <v>15606560</v>
      </c>
    </row>
    <row r="166" spans="1:16">
      <c r="A166" s="84" t="s">
        <v>405</v>
      </c>
      <c r="B166" s="85" t="s">
        <v>404</v>
      </c>
      <c r="C166" s="85" t="s">
        <v>79</v>
      </c>
      <c r="D166" s="84" t="s">
        <v>87</v>
      </c>
      <c r="E166" s="84">
        <v>1</v>
      </c>
      <c r="F166" s="2">
        <v>5342919</v>
      </c>
      <c r="G166" s="2">
        <v>5267262</v>
      </c>
      <c r="H166" s="2">
        <v>5196786.0000000009</v>
      </c>
      <c r="I166" s="2">
        <v>5137235</v>
      </c>
      <c r="J166" s="2">
        <v>5084566.9999999991</v>
      </c>
      <c r="K166" s="2">
        <v>5037207</v>
      </c>
      <c r="L166" s="2">
        <v>5004978.0000000009</v>
      </c>
      <c r="M166" s="2">
        <v>4978046</v>
      </c>
      <c r="N166" s="2">
        <v>4954754</v>
      </c>
      <c r="O166" s="2">
        <v>4936449.0000000009</v>
      </c>
      <c r="P166" s="2">
        <v>4923049</v>
      </c>
    </row>
    <row r="167" spans="1:16">
      <c r="A167" s="84" t="s">
        <v>407</v>
      </c>
      <c r="B167" s="85" t="s">
        <v>406</v>
      </c>
      <c r="C167" s="85" t="s">
        <v>110</v>
      </c>
      <c r="D167" s="84" t="s">
        <v>84</v>
      </c>
      <c r="E167" s="84">
        <v>2</v>
      </c>
      <c r="F167" s="2">
        <v>4320692</v>
      </c>
      <c r="G167" s="2">
        <v>4278021.0000000009</v>
      </c>
      <c r="H167" s="2">
        <v>4239917</v>
      </c>
      <c r="I167" s="2">
        <v>4197705</v>
      </c>
      <c r="J167" s="2">
        <v>4156485.9999999991</v>
      </c>
      <c r="K167" s="2">
        <v>4118180.0000000014</v>
      </c>
      <c r="L167" s="2">
        <v>4086426</v>
      </c>
      <c r="M167" s="2">
        <v>4060183.0000000005</v>
      </c>
      <c r="N167" s="2">
        <v>4036807.0000000005</v>
      </c>
      <c r="O167" s="2">
        <v>4015159</v>
      </c>
      <c r="P167" s="2">
        <v>3993215</v>
      </c>
    </row>
    <row r="168" spans="1:16">
      <c r="A168" s="84" t="s">
        <v>409</v>
      </c>
      <c r="B168" s="85" t="s">
        <v>408</v>
      </c>
      <c r="C168" s="85" t="s">
        <v>74</v>
      </c>
      <c r="D168" s="84" t="s">
        <v>75</v>
      </c>
      <c r="E168" s="84">
        <v>3</v>
      </c>
      <c r="F168" s="2">
        <v>18429376</v>
      </c>
      <c r="G168" s="2">
        <v>18721196</v>
      </c>
      <c r="H168" s="2">
        <v>19016874.999999996</v>
      </c>
      <c r="I168" s="2">
        <v>19304572</v>
      </c>
      <c r="J168" s="2">
        <v>19588871</v>
      </c>
      <c r="K168" s="2">
        <v>19869197.999999996</v>
      </c>
      <c r="L168" s="2">
        <v>20162306</v>
      </c>
      <c r="M168" s="2">
        <v>20449318</v>
      </c>
      <c r="N168" s="2">
        <v>20729195.999999996</v>
      </c>
      <c r="O168" s="2">
        <v>21000180.999999996</v>
      </c>
      <c r="P168" s="2">
        <v>21260722</v>
      </c>
    </row>
    <row r="169" spans="1:16">
      <c r="A169" s="84" t="s">
        <v>411</v>
      </c>
      <c r="B169" s="85" t="s">
        <v>410</v>
      </c>
      <c r="C169" s="85" t="s">
        <v>74</v>
      </c>
      <c r="D169" s="84" t="s">
        <v>75</v>
      </c>
      <c r="E169" s="84">
        <v>3</v>
      </c>
      <c r="F169" s="2">
        <v>4825071</v>
      </c>
      <c r="G169" s="2">
        <v>4893995.9999999991</v>
      </c>
      <c r="H169" s="2">
        <v>4961788</v>
      </c>
      <c r="I169" s="2">
        <v>5028296.0000000009</v>
      </c>
      <c r="J169" s="2">
        <v>5092555</v>
      </c>
      <c r="K169" s="2">
        <v>5153782.9999999991</v>
      </c>
      <c r="L169" s="2">
        <v>5219603.9999999991</v>
      </c>
      <c r="M169" s="2">
        <v>5283262</v>
      </c>
      <c r="N169" s="2">
        <v>5341748.0000000009</v>
      </c>
      <c r="O169" s="2">
        <v>5396799</v>
      </c>
      <c r="P169" s="2">
        <v>5449177.0000000009</v>
      </c>
    </row>
    <row r="170" spans="1:16">
      <c r="A170" s="84" t="s">
        <v>413</v>
      </c>
      <c r="B170" s="85" t="s">
        <v>412</v>
      </c>
      <c r="C170" s="85" t="s">
        <v>92</v>
      </c>
      <c r="D170" s="84" t="s">
        <v>80</v>
      </c>
      <c r="E170" s="84">
        <v>1</v>
      </c>
      <c r="F170" s="2">
        <v>143116</v>
      </c>
      <c r="G170" s="2">
        <v>142500</v>
      </c>
      <c r="H170" s="2">
        <v>141897.00000000003</v>
      </c>
      <c r="I170" s="2">
        <v>141266</v>
      </c>
      <c r="J170" s="2">
        <v>140615</v>
      </c>
      <c r="K170" s="2">
        <v>139935</v>
      </c>
      <c r="L170" s="2">
        <v>139257</v>
      </c>
      <c r="M170" s="2">
        <v>138587.00000000003</v>
      </c>
      <c r="N170" s="2">
        <v>137879.00000000003</v>
      </c>
      <c r="O170" s="2">
        <v>137150</v>
      </c>
      <c r="P170" s="2">
        <v>136393</v>
      </c>
    </row>
    <row r="171" spans="1:16">
      <c r="A171" s="84" t="s">
        <v>415</v>
      </c>
      <c r="B171" s="85" t="s">
        <v>414</v>
      </c>
      <c r="C171" s="85" t="s">
        <v>83</v>
      </c>
      <c r="D171" s="84" t="s">
        <v>84</v>
      </c>
      <c r="E171" s="84">
        <v>3</v>
      </c>
      <c r="F171" s="2">
        <v>388092.00000000012</v>
      </c>
      <c r="G171" s="2">
        <v>387843</v>
      </c>
      <c r="H171" s="2">
        <v>388086.00000000006</v>
      </c>
      <c r="I171" s="2">
        <v>387993.00000000006</v>
      </c>
      <c r="J171" s="2">
        <v>388054.99999999994</v>
      </c>
      <c r="K171" s="2">
        <v>388449.99999999994</v>
      </c>
      <c r="L171" s="2">
        <v>389854</v>
      </c>
      <c r="M171" s="2">
        <v>391601</v>
      </c>
      <c r="N171" s="2">
        <v>393638</v>
      </c>
      <c r="O171" s="2">
        <v>395949.99999999994</v>
      </c>
      <c r="P171" s="2">
        <v>398367</v>
      </c>
    </row>
    <row r="172" spans="1:16">
      <c r="A172" s="84" t="s">
        <v>417</v>
      </c>
      <c r="B172" s="85" t="s">
        <v>416</v>
      </c>
      <c r="C172" s="85" t="s">
        <v>79</v>
      </c>
      <c r="D172" s="84" t="s">
        <v>87</v>
      </c>
      <c r="E172" s="84">
        <v>1</v>
      </c>
      <c r="F172" s="2">
        <v>1703434</v>
      </c>
      <c r="G172" s="2">
        <v>1703976</v>
      </c>
      <c r="H172" s="2">
        <v>1700827.9999999998</v>
      </c>
      <c r="I172" s="2">
        <v>1697302.0000000002</v>
      </c>
      <c r="J172" s="2">
        <v>1691986</v>
      </c>
      <c r="K172" s="2">
        <v>1685025</v>
      </c>
      <c r="L172" s="2">
        <v>1681277.0000000002</v>
      </c>
      <c r="M172" s="2">
        <v>1675882</v>
      </c>
      <c r="N172" s="2">
        <v>1669940.9999999998</v>
      </c>
      <c r="O172" s="2">
        <v>1663726</v>
      </c>
      <c r="P172" s="2">
        <v>1657984</v>
      </c>
    </row>
    <row r="173" spans="1:16">
      <c r="A173" s="84" t="s">
        <v>419</v>
      </c>
      <c r="B173" s="85" t="s">
        <v>418</v>
      </c>
      <c r="C173" s="85" t="s">
        <v>79</v>
      </c>
      <c r="D173" s="84" t="s">
        <v>87</v>
      </c>
      <c r="E173" s="84">
        <v>1</v>
      </c>
      <c r="F173" s="2">
        <v>1283586</v>
      </c>
      <c r="G173" s="2">
        <v>1287227.9999999998</v>
      </c>
      <c r="H173" s="2">
        <v>1287761</v>
      </c>
      <c r="I173" s="2">
        <v>1286106.0000000002</v>
      </c>
      <c r="J173" s="2">
        <v>1282572.9999999998</v>
      </c>
      <c r="K173" s="2">
        <v>1277719</v>
      </c>
      <c r="L173" s="2">
        <v>1276501.9999999998</v>
      </c>
      <c r="M173" s="2">
        <v>1273337</v>
      </c>
      <c r="N173" s="2">
        <v>1269628</v>
      </c>
      <c r="O173" s="2">
        <v>1265220</v>
      </c>
      <c r="P173" s="2">
        <v>1260286</v>
      </c>
    </row>
    <row r="174" spans="1:16">
      <c r="A174" s="84" t="s">
        <v>421</v>
      </c>
      <c r="B174" s="85" t="s">
        <v>420</v>
      </c>
      <c r="C174" s="85" t="s">
        <v>74</v>
      </c>
      <c r="D174" s="84" t="s">
        <v>75</v>
      </c>
      <c r="E174" s="84">
        <v>2</v>
      </c>
      <c r="F174" s="2">
        <v>7389655</v>
      </c>
      <c r="G174" s="2">
        <v>7388071.0000000009</v>
      </c>
      <c r="H174" s="2">
        <v>7330072</v>
      </c>
      <c r="I174" s="2">
        <v>7229863</v>
      </c>
      <c r="J174" s="2">
        <v>7098969</v>
      </c>
      <c r="K174" s="2">
        <v>6958124.0000000009</v>
      </c>
      <c r="L174" s="2">
        <v>6841100</v>
      </c>
      <c r="M174" s="2">
        <v>6734476</v>
      </c>
      <c r="N174" s="2">
        <v>6630148</v>
      </c>
      <c r="O174" s="2">
        <v>6537165.9999999991</v>
      </c>
      <c r="P174" s="2">
        <v>6457868</v>
      </c>
    </row>
    <row r="175" spans="1:16">
      <c r="A175" s="84" t="s">
        <v>423</v>
      </c>
      <c r="B175" s="85" t="s">
        <v>422</v>
      </c>
      <c r="C175" s="85" t="s">
        <v>83</v>
      </c>
      <c r="D175" s="84" t="s">
        <v>84</v>
      </c>
      <c r="E175" s="84" t="s">
        <v>76</v>
      </c>
      <c r="F175" s="2">
        <v>29052238.999999996</v>
      </c>
      <c r="G175" s="2">
        <v>29691396</v>
      </c>
      <c r="H175" s="2">
        <v>30339937</v>
      </c>
      <c r="I175" s="2">
        <v>30989622</v>
      </c>
      <c r="J175" s="2">
        <v>31642376</v>
      </c>
      <c r="K175" s="2">
        <v>32296866.999999996</v>
      </c>
      <c r="L175" s="2">
        <v>32975843</v>
      </c>
      <c r="M175" s="2">
        <v>33657192.999999993</v>
      </c>
      <c r="N175" s="2">
        <v>34332013.000000007</v>
      </c>
      <c r="O175" s="2">
        <v>35002127</v>
      </c>
      <c r="P175" s="2">
        <v>35666097</v>
      </c>
    </row>
    <row r="176" spans="1:16">
      <c r="A176" s="84" t="s">
        <v>425</v>
      </c>
      <c r="B176" s="85" t="s">
        <v>424</v>
      </c>
      <c r="C176" s="85" t="s">
        <v>79</v>
      </c>
      <c r="D176" s="84" t="s">
        <v>75</v>
      </c>
      <c r="E176" s="84">
        <v>2</v>
      </c>
      <c r="F176" s="2">
        <v>3696424.9999999995</v>
      </c>
      <c r="G176" s="2">
        <v>3701758.9999999995</v>
      </c>
      <c r="H176" s="2">
        <v>3707107</v>
      </c>
      <c r="I176" s="2">
        <v>3710216.0000000005</v>
      </c>
      <c r="J176" s="2">
        <v>3715894</v>
      </c>
      <c r="K176" s="2">
        <v>3728548</v>
      </c>
      <c r="L176" s="2">
        <v>3755036.9999999995</v>
      </c>
      <c r="M176" s="2">
        <v>3795555</v>
      </c>
      <c r="N176" s="2">
        <v>3841072.0000000005</v>
      </c>
      <c r="O176" s="2">
        <v>3895327.9999999995</v>
      </c>
      <c r="P176" s="2">
        <v>3956546</v>
      </c>
    </row>
    <row r="177" spans="1:16">
      <c r="A177" s="84" t="s">
        <v>427</v>
      </c>
      <c r="B177" s="85" t="s">
        <v>426</v>
      </c>
      <c r="C177" s="85" t="s">
        <v>110</v>
      </c>
      <c r="D177" s="84" t="s">
        <v>80</v>
      </c>
      <c r="E177" s="84">
        <v>1</v>
      </c>
      <c r="F177" s="2">
        <v>9539748.0000000019</v>
      </c>
      <c r="G177" s="2">
        <v>9408802.0000000019</v>
      </c>
      <c r="H177" s="2">
        <v>9280033.0000000019</v>
      </c>
      <c r="I177" s="2">
        <v>9150224.9999999981</v>
      </c>
      <c r="J177" s="2">
        <v>9022776</v>
      </c>
      <c r="K177" s="2">
        <v>8899487</v>
      </c>
      <c r="L177" s="2">
        <v>8791980</v>
      </c>
      <c r="M177" s="2">
        <v>8689761.0000000019</v>
      </c>
      <c r="N177" s="2">
        <v>8591816</v>
      </c>
      <c r="O177" s="2">
        <v>8497818.0000000019</v>
      </c>
      <c r="P177" s="2">
        <v>8406440</v>
      </c>
    </row>
    <row r="178" spans="1:16">
      <c r="A178" s="84" t="s">
        <v>429</v>
      </c>
      <c r="B178" s="85" t="s">
        <v>428</v>
      </c>
      <c r="C178" s="85" t="s">
        <v>110</v>
      </c>
      <c r="D178" s="84" t="s">
        <v>84</v>
      </c>
      <c r="E178" s="84">
        <v>4</v>
      </c>
      <c r="F178" s="2">
        <v>502343.99999999994</v>
      </c>
      <c r="G178" s="2">
        <v>507324.00000000006</v>
      </c>
      <c r="H178" s="2">
        <v>511429.99999999988</v>
      </c>
      <c r="I178" s="2">
        <v>513889</v>
      </c>
      <c r="J178" s="2">
        <v>515251.99999999994</v>
      </c>
      <c r="K178" s="2">
        <v>515983.99999999994</v>
      </c>
      <c r="L178" s="2">
        <v>516392.99999999994</v>
      </c>
      <c r="M178" s="2">
        <v>516464.00000000006</v>
      </c>
      <c r="N178" s="2">
        <v>516165.99999999994</v>
      </c>
      <c r="O178" s="2">
        <v>515468.99999999994</v>
      </c>
      <c r="P178" s="2">
        <v>514348.00000000006</v>
      </c>
    </row>
    <row r="179" spans="1:16">
      <c r="A179" s="84" t="s">
        <v>431</v>
      </c>
      <c r="B179" s="85" t="s">
        <v>430</v>
      </c>
      <c r="C179" s="85" t="s">
        <v>83</v>
      </c>
      <c r="D179" s="84" t="s">
        <v>75</v>
      </c>
      <c r="E179" s="84">
        <v>3</v>
      </c>
      <c r="F179" s="2">
        <v>3534425</v>
      </c>
      <c r="G179" s="2">
        <v>3590307.0000000005</v>
      </c>
      <c r="H179" s="2">
        <v>3647728</v>
      </c>
      <c r="I179" s="2">
        <v>3704695</v>
      </c>
      <c r="J179" s="2">
        <v>3761730.0000000005</v>
      </c>
      <c r="K179" s="2">
        <v>3818446</v>
      </c>
      <c r="L179" s="2">
        <v>3878715.9999999995</v>
      </c>
      <c r="M179" s="2">
        <v>3938475.0000000005</v>
      </c>
      <c r="N179" s="2">
        <v>3996816.0000000005</v>
      </c>
      <c r="O179" s="2">
        <v>4053653.0000000005</v>
      </c>
      <c r="P179" s="2">
        <v>4108708.0000000005</v>
      </c>
    </row>
    <row r="180" spans="1:16">
      <c r="A180" s="84" t="s">
        <v>433</v>
      </c>
      <c r="B180" s="85" t="s">
        <v>432</v>
      </c>
      <c r="C180" s="85" t="s">
        <v>99</v>
      </c>
      <c r="D180" s="84" t="s">
        <v>80</v>
      </c>
      <c r="E180" s="84">
        <v>1</v>
      </c>
      <c r="F180" s="2">
        <v>33817</v>
      </c>
      <c r="G180" s="2">
        <v>33809.999999999993</v>
      </c>
      <c r="H180" s="2">
        <v>33882</v>
      </c>
      <c r="I180" s="2">
        <v>33986.999999999993</v>
      </c>
      <c r="J180" s="2">
        <v>34126.999999999993</v>
      </c>
      <c r="K180" s="2">
        <v>34291.000000000007</v>
      </c>
      <c r="L180" s="2">
        <v>34413.000000000007</v>
      </c>
      <c r="M180" s="2">
        <v>34571.999999999993</v>
      </c>
      <c r="N180" s="2">
        <v>34735.999999999993</v>
      </c>
      <c r="O180" s="2">
        <v>34906.000000000007</v>
      </c>
      <c r="P180" s="2">
        <v>35072</v>
      </c>
    </row>
    <row r="181" spans="1:16">
      <c r="A181" s="84" t="s">
        <v>435</v>
      </c>
      <c r="B181" s="85" t="s">
        <v>434</v>
      </c>
      <c r="C181" s="85" t="s">
        <v>92</v>
      </c>
      <c r="D181" s="84" t="s">
        <v>87</v>
      </c>
      <c r="E181" s="84">
        <v>1</v>
      </c>
      <c r="F181" s="2">
        <v>228624.00000000003</v>
      </c>
      <c r="G181" s="2">
        <v>224366</v>
      </c>
      <c r="H181" s="2">
        <v>220437</v>
      </c>
      <c r="I181" s="2">
        <v>216671</v>
      </c>
      <c r="J181" s="2">
        <v>213215.00000000003</v>
      </c>
      <c r="K181" s="2">
        <v>210111</v>
      </c>
      <c r="L181" s="2">
        <v>207589.99999999997</v>
      </c>
      <c r="M181" s="2">
        <v>205524</v>
      </c>
      <c r="N181" s="2">
        <v>203733</v>
      </c>
      <c r="O181" s="2">
        <v>202268</v>
      </c>
      <c r="P181" s="2">
        <v>201048</v>
      </c>
    </row>
    <row r="182" spans="1:16">
      <c r="A182" s="84" t="s">
        <v>437</v>
      </c>
      <c r="B182" s="85" t="s">
        <v>436</v>
      </c>
      <c r="C182" s="85" t="s">
        <v>74</v>
      </c>
      <c r="D182" s="84" t="s">
        <v>84</v>
      </c>
      <c r="E182" s="84">
        <v>3</v>
      </c>
      <c r="F182" s="2">
        <v>2630081</v>
      </c>
      <c r="G182" s="2">
        <v>2587654.9999999995</v>
      </c>
      <c r="H182" s="2">
        <v>2544474</v>
      </c>
      <c r="I182" s="2">
        <v>2500180.9999999995</v>
      </c>
      <c r="J182" s="2">
        <v>2456490.9999999995</v>
      </c>
      <c r="K182" s="2">
        <v>2414459.0000000005</v>
      </c>
      <c r="L182" s="2">
        <v>2377452</v>
      </c>
      <c r="M182" s="2">
        <v>2344323.0000000005</v>
      </c>
      <c r="N182" s="2">
        <v>2314412.0000000005</v>
      </c>
      <c r="O182" s="2">
        <v>2288708</v>
      </c>
      <c r="P182" s="2">
        <v>2267283.9999999995</v>
      </c>
    </row>
    <row r="183" spans="1:16">
      <c r="A183" s="84" t="s">
        <v>439</v>
      </c>
      <c r="B183" s="85" t="s">
        <v>438</v>
      </c>
      <c r="C183" s="85" t="s">
        <v>79</v>
      </c>
      <c r="D183" s="84" t="s">
        <v>80</v>
      </c>
      <c r="E183" s="84">
        <v>1</v>
      </c>
      <c r="F183" s="2">
        <v>17695011</v>
      </c>
      <c r="G183" s="2">
        <v>17579858</v>
      </c>
      <c r="H183" s="2">
        <v>17460022</v>
      </c>
      <c r="I183" s="2">
        <v>17330533</v>
      </c>
      <c r="J183" s="2">
        <v>17192170.000000004</v>
      </c>
      <c r="K183" s="2">
        <v>17048779</v>
      </c>
      <c r="L183" s="2">
        <v>16910746</v>
      </c>
      <c r="M183" s="2">
        <v>16781555</v>
      </c>
      <c r="N183" s="2">
        <v>16652229</v>
      </c>
      <c r="O183" s="2">
        <v>16528595.999999998</v>
      </c>
      <c r="P183" s="2">
        <v>16409446</v>
      </c>
    </row>
    <row r="184" spans="1:16">
      <c r="A184" s="84" t="s">
        <v>441</v>
      </c>
      <c r="B184" s="85" t="s">
        <v>440</v>
      </c>
      <c r="C184" s="85" t="s">
        <v>79</v>
      </c>
      <c r="D184" s="84" t="s">
        <v>80</v>
      </c>
      <c r="E184" s="84">
        <v>1</v>
      </c>
      <c r="F184" s="2">
        <v>1758253.0000000002</v>
      </c>
      <c r="G184" s="2">
        <v>1737039.9999999998</v>
      </c>
      <c r="H184" s="2">
        <v>1716911</v>
      </c>
      <c r="I184" s="2">
        <v>1698793</v>
      </c>
      <c r="J184" s="2">
        <v>1682620.9999999995</v>
      </c>
      <c r="K184" s="2">
        <v>1668119.0000000002</v>
      </c>
      <c r="L184" s="2">
        <v>1658171</v>
      </c>
      <c r="M184" s="2">
        <v>1651518.0000000002</v>
      </c>
      <c r="N184" s="2">
        <v>1646295</v>
      </c>
      <c r="O184" s="2">
        <v>1643745.9999999998</v>
      </c>
      <c r="P184" s="2">
        <v>1643892</v>
      </c>
    </row>
    <row r="185" spans="1:16">
      <c r="A185" s="84" t="s">
        <v>443</v>
      </c>
      <c r="B185" s="85" t="s">
        <v>442</v>
      </c>
      <c r="C185" s="85" t="s">
        <v>99</v>
      </c>
      <c r="D185" s="84" t="s">
        <v>80</v>
      </c>
      <c r="E185" s="84">
        <v>4</v>
      </c>
      <c r="F185" s="2">
        <v>0</v>
      </c>
      <c r="G185" s="2">
        <v>0</v>
      </c>
      <c r="H185" s="2">
        <v>0</v>
      </c>
      <c r="I185" s="2">
        <v>0</v>
      </c>
      <c r="J185" s="2">
        <v>0</v>
      </c>
      <c r="K185" s="2">
        <v>0</v>
      </c>
      <c r="L185" s="2">
        <v>0</v>
      </c>
      <c r="M185" s="2">
        <v>0</v>
      </c>
      <c r="N185" s="2">
        <v>0</v>
      </c>
      <c r="O185" s="2">
        <v>0</v>
      </c>
      <c r="P185" s="2">
        <v>0</v>
      </c>
    </row>
    <row r="186" spans="1:16">
      <c r="A186" s="84" t="s">
        <v>445</v>
      </c>
      <c r="B186" s="85" t="s">
        <v>444</v>
      </c>
      <c r="C186" s="85" t="s">
        <v>83</v>
      </c>
      <c r="D186" s="84" t="s">
        <v>75</v>
      </c>
      <c r="E186" s="84" t="s">
        <v>76</v>
      </c>
      <c r="F186" s="2">
        <v>22032991</v>
      </c>
      <c r="G186" s="2">
        <v>22302487.999999996</v>
      </c>
      <c r="H186" s="2">
        <v>22578463.999999996</v>
      </c>
      <c r="I186" s="2">
        <v>22826225.000000004</v>
      </c>
      <c r="J186" s="2">
        <v>23065224.999999996</v>
      </c>
      <c r="K186" s="2">
        <v>23299528.999999996</v>
      </c>
      <c r="L186" s="2">
        <v>23541743.000000004</v>
      </c>
      <c r="M186" s="2">
        <v>23775842.999999996</v>
      </c>
      <c r="N186" s="2">
        <v>24006107.000000007</v>
      </c>
      <c r="O186" s="2">
        <v>24226510</v>
      </c>
      <c r="P186" s="2">
        <v>24431707</v>
      </c>
    </row>
    <row r="187" spans="1:16">
      <c r="A187" s="84" t="s">
        <v>447</v>
      </c>
      <c r="B187" s="85" t="s">
        <v>446</v>
      </c>
      <c r="C187" s="85" t="s">
        <v>79</v>
      </c>
      <c r="D187" s="84" t="s">
        <v>84</v>
      </c>
      <c r="E187" s="84">
        <v>1</v>
      </c>
      <c r="F187" s="2">
        <v>5455003</v>
      </c>
      <c r="G187" s="2">
        <v>5319178</v>
      </c>
      <c r="H187" s="2">
        <v>5200197</v>
      </c>
      <c r="I187" s="2">
        <v>5099025.0000000009</v>
      </c>
      <c r="J187" s="2">
        <v>5014421</v>
      </c>
      <c r="K187" s="2">
        <v>4941917</v>
      </c>
      <c r="L187" s="2">
        <v>4881592.9999999991</v>
      </c>
      <c r="M187" s="2">
        <v>4833181.0000000009</v>
      </c>
      <c r="N187" s="2">
        <v>4793887</v>
      </c>
      <c r="O187" s="2">
        <v>4764121.0000000009</v>
      </c>
      <c r="P187" s="2">
        <v>4742526.0000000009</v>
      </c>
    </row>
    <row r="188" spans="1:16">
      <c r="A188" s="84" t="s">
        <v>449</v>
      </c>
      <c r="B188" s="85" t="s">
        <v>448</v>
      </c>
      <c r="C188" s="85" t="s">
        <v>74</v>
      </c>
      <c r="D188" s="84" t="s">
        <v>87</v>
      </c>
      <c r="E188" s="84">
        <v>1</v>
      </c>
      <c r="F188" s="2">
        <v>1432633</v>
      </c>
      <c r="G188" s="2">
        <v>1436894</v>
      </c>
      <c r="H188" s="2">
        <v>1430374.0000000002</v>
      </c>
      <c r="I188" s="2">
        <v>1422666.0000000002</v>
      </c>
      <c r="J188" s="2">
        <v>1416338</v>
      </c>
      <c r="K188" s="2">
        <v>1411843.9999999998</v>
      </c>
      <c r="L188" s="2">
        <v>1415372</v>
      </c>
      <c r="M188" s="2">
        <v>1410225.0000000002</v>
      </c>
      <c r="N188" s="2">
        <v>1401882.9999999995</v>
      </c>
      <c r="O188" s="2">
        <v>1395137.0000000002</v>
      </c>
      <c r="P188" s="2">
        <v>1391814.9999999998</v>
      </c>
    </row>
    <row r="189" spans="1:16">
      <c r="A189" s="84" t="s">
        <v>451</v>
      </c>
      <c r="B189" s="85" t="s">
        <v>450</v>
      </c>
      <c r="C189" s="85" t="s">
        <v>79</v>
      </c>
      <c r="D189" s="84" t="s">
        <v>87</v>
      </c>
      <c r="E189" s="84">
        <v>1</v>
      </c>
      <c r="F189" s="2">
        <v>11010113.999999998</v>
      </c>
      <c r="G189" s="2">
        <v>10964261</v>
      </c>
      <c r="H189" s="2">
        <v>10913161.000000002</v>
      </c>
      <c r="I189" s="2">
        <v>10876794.000000002</v>
      </c>
      <c r="J189" s="2">
        <v>10841884.999999998</v>
      </c>
      <c r="K189" s="2">
        <v>10801649.999999998</v>
      </c>
      <c r="L189" s="2">
        <v>10779367.999999998</v>
      </c>
      <c r="M189" s="2">
        <v>10748065.999999996</v>
      </c>
      <c r="N189" s="2">
        <v>10714223.000000002</v>
      </c>
      <c r="O189" s="2">
        <v>10678274.000000002</v>
      </c>
      <c r="P189" s="2">
        <v>10644021.999999998</v>
      </c>
    </row>
    <row r="190" spans="1:16">
      <c r="A190" s="84" t="s">
        <v>453</v>
      </c>
      <c r="B190" s="85" t="s">
        <v>452</v>
      </c>
      <c r="C190" s="85" t="s">
        <v>92</v>
      </c>
      <c r="D190" s="84" t="s">
        <v>87</v>
      </c>
      <c r="E190" s="84" t="s">
        <v>76</v>
      </c>
      <c r="F190" s="2">
        <v>56865648.999999993</v>
      </c>
      <c r="G190" s="2">
        <v>57163111.999999993</v>
      </c>
      <c r="H190" s="2">
        <v>57419081.999999993</v>
      </c>
      <c r="I190" s="2">
        <v>57694592.999999985</v>
      </c>
      <c r="J190" s="2">
        <v>57943219</v>
      </c>
      <c r="K190" s="2">
        <v>58141362</v>
      </c>
      <c r="L190" s="2">
        <v>58420592.999999985</v>
      </c>
      <c r="M190" s="2">
        <v>58603914.000000007</v>
      </c>
      <c r="N190" s="2">
        <v>58740290</v>
      </c>
      <c r="O190" s="2">
        <v>58813057</v>
      </c>
      <c r="P190" s="2">
        <v>58831156</v>
      </c>
    </row>
    <row r="191" spans="1:16">
      <c r="A191" s="84" t="s">
        <v>455</v>
      </c>
      <c r="B191" s="85" t="s">
        <v>454</v>
      </c>
      <c r="C191" s="85" t="s">
        <v>92</v>
      </c>
      <c r="D191" s="84" t="s">
        <v>87</v>
      </c>
      <c r="E191" s="84">
        <v>1</v>
      </c>
      <c r="F191" s="2">
        <v>644070.99999999988</v>
      </c>
      <c r="G191" s="2">
        <v>641001</v>
      </c>
      <c r="H191" s="2">
        <v>637782.99999999988</v>
      </c>
      <c r="I191" s="2">
        <v>633947.00000000012</v>
      </c>
      <c r="J191" s="2">
        <v>629804</v>
      </c>
      <c r="K191" s="2">
        <v>625485</v>
      </c>
      <c r="L191" s="2">
        <v>621369.00000000012</v>
      </c>
      <c r="M191" s="2">
        <v>617131</v>
      </c>
      <c r="N191" s="2">
        <v>612931.99999999988</v>
      </c>
      <c r="O191" s="2">
        <v>608630.00000000012</v>
      </c>
      <c r="P191" s="2">
        <v>604165.99999999988</v>
      </c>
    </row>
    <row r="192" spans="1:16">
      <c r="A192" s="84" t="s">
        <v>457</v>
      </c>
      <c r="B192" s="85" t="s">
        <v>456</v>
      </c>
      <c r="C192" s="85" t="s">
        <v>79</v>
      </c>
      <c r="D192" s="84" t="s">
        <v>84</v>
      </c>
      <c r="E192" s="84">
        <v>2</v>
      </c>
      <c r="F192" s="2">
        <v>8977273</v>
      </c>
      <c r="G192" s="2">
        <v>8885534.0000000019</v>
      </c>
      <c r="H192" s="2">
        <v>8789642</v>
      </c>
      <c r="I192" s="2">
        <v>8678151</v>
      </c>
      <c r="J192" s="2">
        <v>8566798</v>
      </c>
      <c r="K192" s="2">
        <v>8466944</v>
      </c>
      <c r="L192" s="2">
        <v>8398286</v>
      </c>
      <c r="M192" s="2">
        <v>8352955</v>
      </c>
      <c r="N192" s="2">
        <v>8318222</v>
      </c>
      <c r="O192" s="2">
        <v>8300013.9999999991</v>
      </c>
      <c r="P192" s="2">
        <v>8294471</v>
      </c>
    </row>
    <row r="193" spans="1:16">
      <c r="A193" s="84" t="s">
        <v>459</v>
      </c>
      <c r="B193" s="85" t="s">
        <v>458</v>
      </c>
      <c r="C193" s="85" t="s">
        <v>99</v>
      </c>
      <c r="D193" s="84" t="s">
        <v>84</v>
      </c>
      <c r="E193" s="84">
        <v>4</v>
      </c>
      <c r="F193" s="2">
        <v>121818.00000000001</v>
      </c>
      <c r="G193" s="2">
        <v>123371</v>
      </c>
      <c r="H193" s="2">
        <v>124902.99999999999</v>
      </c>
      <c r="I193" s="2">
        <v>126365</v>
      </c>
      <c r="J193" s="2">
        <v>127817</v>
      </c>
      <c r="K193" s="2">
        <v>129293</v>
      </c>
      <c r="L193" s="2">
        <v>130910</v>
      </c>
      <c r="M193" s="2">
        <v>132573</v>
      </c>
      <c r="N193" s="2">
        <v>134253</v>
      </c>
      <c r="O193" s="2">
        <v>135953</v>
      </c>
      <c r="P193" s="2">
        <v>137656</v>
      </c>
    </row>
    <row r="194" spans="1:16">
      <c r="A194" s="84" t="s">
        <v>461</v>
      </c>
      <c r="B194" s="85" t="s">
        <v>460</v>
      </c>
      <c r="C194" s="85" t="s">
        <v>92</v>
      </c>
      <c r="D194" s="84" t="s">
        <v>80</v>
      </c>
      <c r="E194" s="84">
        <v>1</v>
      </c>
      <c r="F194" s="2">
        <v>7050050.0000000009</v>
      </c>
      <c r="G194" s="2">
        <v>7053128.0000000009</v>
      </c>
      <c r="H194" s="2">
        <v>7070066</v>
      </c>
      <c r="I194" s="2">
        <v>7107397.0000000009</v>
      </c>
      <c r="J194" s="2">
        <v>7153994</v>
      </c>
      <c r="K194" s="2">
        <v>7195629.0000000009</v>
      </c>
      <c r="L194" s="2">
        <v>7225468.9999999991</v>
      </c>
      <c r="M194" s="2">
        <v>7239578</v>
      </c>
      <c r="N194" s="2">
        <v>7248415.9999999991</v>
      </c>
      <c r="O194" s="2">
        <v>7243408</v>
      </c>
      <c r="P194" s="2">
        <v>7224538</v>
      </c>
    </row>
    <row r="195" spans="1:16">
      <c r="A195" s="84" t="s">
        <v>463</v>
      </c>
      <c r="B195" s="85" t="s">
        <v>462</v>
      </c>
      <c r="C195" s="85" t="s">
        <v>99</v>
      </c>
      <c r="D195" s="84" t="s">
        <v>84</v>
      </c>
      <c r="E195" s="84">
        <v>4</v>
      </c>
      <c r="F195" s="2">
        <v>20812145</v>
      </c>
      <c r="G195" s="2">
        <v>20644840</v>
      </c>
      <c r="H195" s="2">
        <v>20466445.000000004</v>
      </c>
      <c r="I195" s="2">
        <v>20206872</v>
      </c>
      <c r="J195" s="2">
        <v>19923880.999999996</v>
      </c>
      <c r="K195" s="2">
        <v>19641402.999999996</v>
      </c>
      <c r="L195" s="2">
        <v>19351790</v>
      </c>
      <c r="M195" s="2">
        <v>19054060</v>
      </c>
      <c r="N195" s="2">
        <v>18805780</v>
      </c>
      <c r="O195" s="2">
        <v>18569353.000000004</v>
      </c>
      <c r="P195" s="2">
        <v>18335766.999999996</v>
      </c>
    </row>
    <row r="196" spans="1:16">
      <c r="A196" s="84" t="s">
        <v>465</v>
      </c>
      <c r="B196" s="85" t="s">
        <v>464</v>
      </c>
      <c r="C196" s="85" t="s">
        <v>74</v>
      </c>
      <c r="D196" s="84" t="s">
        <v>75</v>
      </c>
      <c r="E196" s="84">
        <v>3</v>
      </c>
      <c r="F196" s="2">
        <v>11515821</v>
      </c>
      <c r="G196" s="2">
        <v>11556160.000000002</v>
      </c>
      <c r="H196" s="2">
        <v>11591893</v>
      </c>
      <c r="I196" s="2">
        <v>11623079.000000002</v>
      </c>
      <c r="J196" s="2">
        <v>11649659.000000002</v>
      </c>
      <c r="K196" s="2">
        <v>11671229.000000002</v>
      </c>
      <c r="L196" s="2">
        <v>11695942</v>
      </c>
      <c r="M196" s="2">
        <v>11718713</v>
      </c>
      <c r="N196" s="2">
        <v>11732856.000000002</v>
      </c>
      <c r="O196" s="2">
        <v>11741855.999999998</v>
      </c>
      <c r="P196" s="2">
        <v>11746008.999999998</v>
      </c>
    </row>
    <row r="197" spans="1:16">
      <c r="A197" s="84" t="s">
        <v>467</v>
      </c>
      <c r="B197" s="85" t="s">
        <v>466</v>
      </c>
      <c r="C197" s="85" t="s">
        <v>83</v>
      </c>
      <c r="D197" s="84" t="s">
        <v>84</v>
      </c>
      <c r="E197" s="84">
        <v>3</v>
      </c>
      <c r="F197" s="2">
        <v>8874317</v>
      </c>
      <c r="G197" s="2">
        <v>9057487</v>
      </c>
      <c r="H197" s="2">
        <v>9244633</v>
      </c>
      <c r="I197" s="2">
        <v>9439819</v>
      </c>
      <c r="J197" s="2">
        <v>9637595</v>
      </c>
      <c r="K197" s="2">
        <v>9833322</v>
      </c>
      <c r="L197" s="2">
        <v>10033126</v>
      </c>
      <c r="M197" s="2">
        <v>10229303</v>
      </c>
      <c r="N197" s="2">
        <v>10419404</v>
      </c>
      <c r="O197" s="2">
        <v>10604346.999999998</v>
      </c>
      <c r="P197" s="2">
        <v>10785060.999999998</v>
      </c>
    </row>
    <row r="198" spans="1:16">
      <c r="A198" s="84" t="s">
        <v>469</v>
      </c>
      <c r="B198" s="85" t="s">
        <v>468</v>
      </c>
      <c r="C198" s="85" t="s">
        <v>83</v>
      </c>
      <c r="D198" s="84" t="s">
        <v>84</v>
      </c>
      <c r="E198" s="84">
        <v>3</v>
      </c>
      <c r="F198" s="2">
        <v>5778114.0000000009</v>
      </c>
      <c r="G198" s="2">
        <v>5768293.0000000009</v>
      </c>
      <c r="H198" s="2">
        <v>5773977</v>
      </c>
      <c r="I198" s="2">
        <v>5792574</v>
      </c>
      <c r="J198" s="2">
        <v>5823141.0000000009</v>
      </c>
      <c r="K198" s="2">
        <v>5860687</v>
      </c>
      <c r="L198" s="2">
        <v>5906821</v>
      </c>
      <c r="M198" s="2">
        <v>5958802</v>
      </c>
      <c r="N198" s="2">
        <v>6012996</v>
      </c>
      <c r="O198" s="2">
        <v>6069271.0000000009</v>
      </c>
      <c r="P198" s="2">
        <v>6125641.9999999991</v>
      </c>
    </row>
  </sheetData>
  <autoFilter ref="A4:P198" xr:uid="{1BE26F4C-1587-7C4D-887A-C69327E2A75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05254-4C05-F345-9F54-CE2FFC75BB12}">
  <sheetPr>
    <tabColor theme="7" tint="0.79998168889431442"/>
  </sheetPr>
  <dimension ref="A1:P198"/>
  <sheetViews>
    <sheetView zoomScale="117" zoomScaleNormal="117" workbookViewId="0">
      <selection activeCell="B2" sqref="B2"/>
    </sheetView>
  </sheetViews>
  <sheetFormatPr defaultColWidth="10.85546875" defaultRowHeight="15"/>
  <cols>
    <col min="6" max="16" width="13.7109375" bestFit="1" customWidth="1"/>
  </cols>
  <sheetData>
    <row r="1" spans="1:16">
      <c r="A1" t="s">
        <v>470</v>
      </c>
      <c r="B1" t="s">
        <v>478</v>
      </c>
    </row>
    <row r="2" spans="1:16">
      <c r="A2" t="s">
        <v>471</v>
      </c>
      <c r="B2" t="s">
        <v>472</v>
      </c>
    </row>
    <row r="4" spans="1:16" s="88" customFormat="1">
      <c r="A4" s="86" t="s">
        <v>473</v>
      </c>
      <c r="B4" s="87" t="s">
        <v>64</v>
      </c>
      <c r="C4" s="86" t="s">
        <v>66</v>
      </c>
      <c r="D4" s="86" t="s">
        <v>67</v>
      </c>
      <c r="E4" s="86" t="s">
        <v>68</v>
      </c>
      <c r="F4" s="88">
        <v>2030</v>
      </c>
      <c r="G4" s="88">
        <v>2031</v>
      </c>
      <c r="H4" s="88">
        <v>2032</v>
      </c>
      <c r="I4" s="88">
        <v>2033</v>
      </c>
      <c r="J4" s="88">
        <v>2034</v>
      </c>
      <c r="K4" s="88">
        <v>2035</v>
      </c>
      <c r="L4" s="88">
        <v>2036</v>
      </c>
      <c r="M4" s="88">
        <v>2037</v>
      </c>
      <c r="N4" s="88">
        <v>2038</v>
      </c>
      <c r="O4" s="88">
        <v>2039</v>
      </c>
      <c r="P4" s="88">
        <v>2040</v>
      </c>
    </row>
    <row r="5" spans="1:16">
      <c r="A5" s="84" t="s">
        <v>73</v>
      </c>
      <c r="B5" s="85" t="s">
        <v>72</v>
      </c>
      <c r="C5" s="85" t="s">
        <v>74</v>
      </c>
      <c r="D5" s="84" t="s">
        <v>75</v>
      </c>
      <c r="E5" s="84" t="s">
        <v>76</v>
      </c>
      <c r="F5" s="3">
        <v>0.29060810342363097</v>
      </c>
      <c r="G5" s="3">
        <v>0.28956760175635193</v>
      </c>
      <c r="H5" s="3">
        <v>0.28827639015552531</v>
      </c>
      <c r="I5" s="3">
        <v>0.28676241752738252</v>
      </c>
      <c r="J5" s="3">
        <v>0.28503541223882289</v>
      </c>
      <c r="K5" s="3">
        <v>0.28312336039893454</v>
      </c>
      <c r="L5" s="3">
        <v>0.2812030401273064</v>
      </c>
      <c r="M5" s="3">
        <v>0.27906446511914001</v>
      </c>
      <c r="N5" s="3">
        <v>0.27681779480103258</v>
      </c>
      <c r="O5" s="3">
        <v>0.27458948164502606</v>
      </c>
      <c r="P5" s="3">
        <v>0.27246342364807125</v>
      </c>
    </row>
    <row r="6" spans="1:16">
      <c r="A6" s="84" t="s">
        <v>78</v>
      </c>
      <c r="B6" s="85" t="s">
        <v>77</v>
      </c>
      <c r="C6" s="85" t="s">
        <v>79</v>
      </c>
      <c r="D6" s="84" t="s">
        <v>80</v>
      </c>
      <c r="E6" s="84">
        <v>1</v>
      </c>
      <c r="F6" s="3">
        <v>0.20279866611459124</v>
      </c>
      <c r="G6" s="3">
        <v>0.20094912849514573</v>
      </c>
      <c r="H6" s="3">
        <v>0.19943208776891558</v>
      </c>
      <c r="I6" s="3">
        <v>0.19841682396852953</v>
      </c>
      <c r="J6" s="3">
        <v>0.19813038722055173</v>
      </c>
      <c r="K6" s="3">
        <v>0.1986963195940519</v>
      </c>
      <c r="L6" s="3">
        <v>0.19973308512271831</v>
      </c>
      <c r="M6" s="3">
        <v>0.20147071568350022</v>
      </c>
      <c r="N6" s="3">
        <v>0.20360343535438527</v>
      </c>
      <c r="O6" s="3">
        <v>0.20553600466222802</v>
      </c>
      <c r="P6" s="3">
        <v>0.20679360255755436</v>
      </c>
    </row>
    <row r="7" spans="1:16">
      <c r="A7" s="84" t="s">
        <v>82</v>
      </c>
      <c r="B7" s="85" t="s">
        <v>81</v>
      </c>
      <c r="C7" s="85" t="s">
        <v>83</v>
      </c>
      <c r="D7" s="84" t="s">
        <v>84</v>
      </c>
      <c r="E7" s="84">
        <v>2</v>
      </c>
      <c r="F7" s="3">
        <v>0.22305993049251641</v>
      </c>
      <c r="G7" s="3">
        <v>0.22997538599488995</v>
      </c>
      <c r="H7" s="3">
        <v>0.23750060155763955</v>
      </c>
      <c r="I7" s="3">
        <v>0.24525523375780417</v>
      </c>
      <c r="J7" s="3">
        <v>0.2524512448173955</v>
      </c>
      <c r="K7" s="3">
        <v>0.25839963227153162</v>
      </c>
      <c r="L7" s="3">
        <v>0.26292257030883748</v>
      </c>
      <c r="M7" s="3">
        <v>0.26594399964390991</v>
      </c>
      <c r="N7" s="3">
        <v>0.26748403288681932</v>
      </c>
      <c r="O7" s="3">
        <v>0.26778472286225635</v>
      </c>
      <c r="P7" s="3">
        <v>0.26711184459387188</v>
      </c>
    </row>
    <row r="8" spans="1:16">
      <c r="A8" s="84" t="s">
        <v>86</v>
      </c>
      <c r="B8" s="85" t="s">
        <v>85</v>
      </c>
      <c r="C8" s="85" t="s">
        <v>79</v>
      </c>
      <c r="D8" s="84" t="s">
        <v>87</v>
      </c>
      <c r="E8" s="84">
        <v>1</v>
      </c>
      <c r="F8" s="3">
        <v>0</v>
      </c>
      <c r="G8" s="3">
        <v>0</v>
      </c>
      <c r="H8" s="3">
        <v>0</v>
      </c>
      <c r="I8" s="3">
        <v>0</v>
      </c>
      <c r="J8" s="3">
        <v>0</v>
      </c>
      <c r="K8" s="3">
        <v>0</v>
      </c>
      <c r="L8" s="3">
        <v>0</v>
      </c>
      <c r="M8" s="3">
        <v>0</v>
      </c>
      <c r="N8" s="3">
        <v>0</v>
      </c>
      <c r="O8" s="3">
        <v>0</v>
      </c>
      <c r="P8" s="3">
        <v>0</v>
      </c>
    </row>
    <row r="9" spans="1:16">
      <c r="A9" s="84" t="s">
        <v>89</v>
      </c>
      <c r="B9" s="85" t="s">
        <v>88</v>
      </c>
      <c r="C9" s="85" t="s">
        <v>83</v>
      </c>
      <c r="D9" s="84" t="s">
        <v>84</v>
      </c>
      <c r="E9" s="84">
        <v>3</v>
      </c>
      <c r="F9" s="3">
        <v>0.266607040645996</v>
      </c>
      <c r="G9" s="3">
        <v>0.26769134468526373</v>
      </c>
      <c r="H9" s="3">
        <v>0.26848689701462553</v>
      </c>
      <c r="I9" s="3">
        <v>0.26896149520240559</v>
      </c>
      <c r="J9" s="3">
        <v>0.26913622763118794</v>
      </c>
      <c r="K9" s="3">
        <v>0.26908133139678247</v>
      </c>
      <c r="L9" s="3">
        <v>0.26884794010704355</v>
      </c>
      <c r="M9" s="3">
        <v>0.26846310967080372</v>
      </c>
      <c r="N9" s="3">
        <v>0.2679639987361368</v>
      </c>
      <c r="O9" s="3">
        <v>0.26739892146984945</v>
      </c>
      <c r="P9" s="3">
        <v>0.26680483445174696</v>
      </c>
    </row>
    <row r="10" spans="1:16">
      <c r="A10" s="84" t="s">
        <v>91</v>
      </c>
      <c r="B10" s="85" t="s">
        <v>90</v>
      </c>
      <c r="C10" s="85" t="s">
        <v>92</v>
      </c>
      <c r="D10" s="84" t="s">
        <v>87</v>
      </c>
      <c r="E10" s="84">
        <v>1</v>
      </c>
      <c r="F10" s="3">
        <v>0</v>
      </c>
      <c r="G10" s="3">
        <v>0.21321275458442876</v>
      </c>
      <c r="H10" s="3">
        <v>0.2138872209181723</v>
      </c>
      <c r="I10" s="3">
        <v>0.2149243616649178</v>
      </c>
      <c r="J10" s="3">
        <v>0.21615438504312792</v>
      </c>
      <c r="K10" s="3">
        <v>0.2174127553201986</v>
      </c>
      <c r="L10" s="3">
        <v>0.21879151889143875</v>
      </c>
      <c r="M10" s="3">
        <v>0.22015151015381904</v>
      </c>
      <c r="N10" s="3">
        <v>0.22130705279964763</v>
      </c>
      <c r="O10" s="3">
        <v>0.22211928710075873</v>
      </c>
      <c r="P10" s="3">
        <v>0.22256838569976581</v>
      </c>
    </row>
    <row r="11" spans="1:16">
      <c r="A11" s="84" t="s">
        <v>94</v>
      </c>
      <c r="B11" s="85" t="s">
        <v>93</v>
      </c>
      <c r="C11" s="85" t="s">
        <v>92</v>
      </c>
      <c r="D11" s="84" t="s">
        <v>80</v>
      </c>
      <c r="E11" s="84">
        <v>1</v>
      </c>
      <c r="F11" s="3">
        <v>0.23267597166803769</v>
      </c>
      <c r="G11" s="3">
        <v>0.23238546713286989</v>
      </c>
      <c r="H11" s="3">
        <v>0.23204674951703169</v>
      </c>
      <c r="I11" s="3">
        <v>0.23166916869623549</v>
      </c>
      <c r="J11" s="3">
        <v>0.2312712683433675</v>
      </c>
      <c r="K11" s="3">
        <v>0.23086642062520688</v>
      </c>
      <c r="L11" s="3">
        <v>0.23057356113041974</v>
      </c>
      <c r="M11" s="3">
        <v>0.23023896675732408</v>
      </c>
      <c r="N11" s="3">
        <v>0.22983071989333645</v>
      </c>
      <c r="O11" s="3">
        <v>0.22934067728712446</v>
      </c>
      <c r="P11" s="3">
        <v>0.22878819384589341</v>
      </c>
    </row>
    <row r="12" spans="1:16">
      <c r="A12" s="84" t="s">
        <v>96</v>
      </c>
      <c r="B12" s="85" t="s">
        <v>95</v>
      </c>
      <c r="C12" s="85" t="s">
        <v>79</v>
      </c>
      <c r="D12" s="84" t="s">
        <v>80</v>
      </c>
      <c r="E12" s="84">
        <v>1</v>
      </c>
      <c r="F12" s="3">
        <v>0.20703112494157275</v>
      </c>
      <c r="G12" s="3">
        <v>0.21159493782964162</v>
      </c>
      <c r="H12" s="3">
        <v>0.21592682261943377</v>
      </c>
      <c r="I12" s="3">
        <v>0.21981009195662807</v>
      </c>
      <c r="J12" s="3">
        <v>0.22299041831517891</v>
      </c>
      <c r="K12" s="3">
        <v>0.22530839832477714</v>
      </c>
      <c r="L12" s="3">
        <v>0.22675836529776672</v>
      </c>
      <c r="M12" s="3">
        <v>0.2271471086247446</v>
      </c>
      <c r="N12" s="3">
        <v>0.22653530019600898</v>
      </c>
      <c r="O12" s="3">
        <v>0.22511211765734496</v>
      </c>
      <c r="P12" s="3">
        <v>0.22306414107643638</v>
      </c>
    </row>
    <row r="13" spans="1:16">
      <c r="A13" s="84" t="s">
        <v>98</v>
      </c>
      <c r="B13" s="85" t="s">
        <v>97</v>
      </c>
      <c r="C13" s="85" t="s">
        <v>99</v>
      </c>
      <c r="D13" s="84" t="s">
        <v>87</v>
      </c>
      <c r="E13" s="84">
        <v>1</v>
      </c>
      <c r="F13" s="3">
        <v>0.21321691981786836</v>
      </c>
      <c r="G13" s="3">
        <v>0.21510928353298023</v>
      </c>
      <c r="H13" s="3">
        <v>0.21717826097401116</v>
      </c>
      <c r="I13" s="3">
        <v>0.21927135545227719</v>
      </c>
      <c r="J13" s="3">
        <v>0.22114910373299757</v>
      </c>
      <c r="K13" s="3">
        <v>0.22262460441020399</v>
      </c>
      <c r="L13" s="3">
        <v>0.22378957033681735</v>
      </c>
      <c r="M13" s="3">
        <v>0.22453306385660768</v>
      </c>
      <c r="N13" s="3">
        <v>0.22490419584791468</v>
      </c>
      <c r="O13" s="3">
        <v>0.22499290620739651</v>
      </c>
      <c r="P13" s="3">
        <v>0.22483925774983637</v>
      </c>
    </row>
    <row r="14" spans="1:16">
      <c r="A14" s="84" t="s">
        <v>101</v>
      </c>
      <c r="B14" s="85" t="s">
        <v>100</v>
      </c>
      <c r="C14" s="85" t="s">
        <v>79</v>
      </c>
      <c r="D14" s="84" t="s">
        <v>87</v>
      </c>
      <c r="E14" s="84">
        <v>1</v>
      </c>
      <c r="F14" s="3">
        <v>0.17874308009769405</v>
      </c>
      <c r="G14" s="3">
        <v>0.1793684285892071</v>
      </c>
      <c r="H14" s="3">
        <v>0.18037418404089486</v>
      </c>
      <c r="I14" s="3">
        <v>0.18173453799808884</v>
      </c>
      <c r="J14" s="3">
        <v>0.18333951673518681</v>
      </c>
      <c r="K14" s="3">
        <v>0.1850216800942151</v>
      </c>
      <c r="L14" s="3">
        <v>0.18704807392251055</v>
      </c>
      <c r="M14" s="3">
        <v>0.18906353716468474</v>
      </c>
      <c r="N14" s="3">
        <v>0.19098111984919439</v>
      </c>
      <c r="O14" s="3">
        <v>0.19271981579385075</v>
      </c>
      <c r="P14" s="3">
        <v>0.19422910457209819</v>
      </c>
    </row>
    <row r="15" spans="1:16">
      <c r="A15" s="84" t="s">
        <v>103</v>
      </c>
      <c r="B15" s="85" t="s">
        <v>102</v>
      </c>
      <c r="C15" s="85" t="s">
        <v>79</v>
      </c>
      <c r="D15" s="84" t="s">
        <v>80</v>
      </c>
      <c r="E15" s="84">
        <v>1</v>
      </c>
      <c r="F15" s="3">
        <v>0.20957963080882705</v>
      </c>
      <c r="G15" s="3">
        <v>0.21448688522005072</v>
      </c>
      <c r="H15" s="3">
        <v>0.21938334567425452</v>
      </c>
      <c r="I15" s="3">
        <v>0.22405378161390679</v>
      </c>
      <c r="J15" s="3">
        <v>0.22819787439759209</v>
      </c>
      <c r="K15" s="3">
        <v>0.23158700301557442</v>
      </c>
      <c r="L15" s="3">
        <v>0.23425698844504717</v>
      </c>
      <c r="M15" s="3">
        <v>0.23610544870414621</v>
      </c>
      <c r="N15" s="3">
        <v>0.2368557846324944</v>
      </c>
      <c r="O15" s="3">
        <v>0.23628886004525798</v>
      </c>
      <c r="P15" s="3">
        <v>0.23440459016627149</v>
      </c>
    </row>
    <row r="16" spans="1:16">
      <c r="A16" s="84" t="s">
        <v>105</v>
      </c>
      <c r="B16" s="85" t="s">
        <v>104</v>
      </c>
      <c r="C16" s="85" t="s">
        <v>92</v>
      </c>
      <c r="D16" s="84" t="s">
        <v>87</v>
      </c>
      <c r="E16" s="84">
        <v>1</v>
      </c>
      <c r="F16" s="3">
        <v>0.23208565697301953</v>
      </c>
      <c r="G16" s="3">
        <v>0.22861814522891166</v>
      </c>
      <c r="H16" s="3">
        <v>0.22547719730431603</v>
      </c>
      <c r="I16" s="3">
        <v>0.22260328496968465</v>
      </c>
      <c r="J16" s="3">
        <v>0.21986602781056303</v>
      </c>
      <c r="K16" s="3">
        <v>0.21714355594526591</v>
      </c>
      <c r="L16" s="3">
        <v>0.21467974814514409</v>
      </c>
      <c r="M16" s="3">
        <v>0.21224207684492519</v>
      </c>
      <c r="N16" s="3">
        <v>0.21005698072321086</v>
      </c>
      <c r="O16" s="3">
        <v>0.20838606895870634</v>
      </c>
      <c r="P16" s="3">
        <v>0.20736211947522618</v>
      </c>
    </row>
    <row r="17" spans="1:16">
      <c r="A17" s="84" t="s">
        <v>107</v>
      </c>
      <c r="B17" s="85" t="s">
        <v>106</v>
      </c>
      <c r="C17" s="85" t="s">
        <v>74</v>
      </c>
      <c r="D17" s="84" t="s">
        <v>87</v>
      </c>
      <c r="E17" s="84">
        <v>1</v>
      </c>
      <c r="F17" s="3">
        <v>0.23624429677273662</v>
      </c>
      <c r="G17" s="3">
        <v>0.23297646847308021</v>
      </c>
      <c r="H17" s="3">
        <v>0.2293679829083122</v>
      </c>
      <c r="I17" s="3">
        <v>0.22525740937989311</v>
      </c>
      <c r="J17" s="3">
        <v>0.22092801154172448</v>
      </c>
      <c r="K17" s="3">
        <v>0.21651843711424001</v>
      </c>
      <c r="L17" s="3">
        <v>0.21479911518496375</v>
      </c>
      <c r="M17" s="3">
        <v>0.21457155459320745</v>
      </c>
      <c r="N17" s="3">
        <v>0.21492251131193463</v>
      </c>
      <c r="O17" s="3">
        <v>0.21471774545146532</v>
      </c>
      <c r="P17" s="3">
        <v>0.2131477342508869</v>
      </c>
    </row>
    <row r="18" spans="1:16">
      <c r="A18" s="84" t="s">
        <v>109</v>
      </c>
      <c r="B18" s="85" t="s">
        <v>108</v>
      </c>
      <c r="C18" s="85" t="s">
        <v>110</v>
      </c>
      <c r="D18" s="84" t="s">
        <v>84</v>
      </c>
      <c r="E18" s="84" t="s">
        <v>76</v>
      </c>
      <c r="F18" s="3">
        <v>0.24555174292712886</v>
      </c>
      <c r="G18" s="3">
        <v>0.24320315378205676</v>
      </c>
      <c r="H18" s="3">
        <v>0.24081639338823418</v>
      </c>
      <c r="I18" s="3">
        <v>0.23848365074686592</v>
      </c>
      <c r="J18" s="3">
        <v>0.23629194522409508</v>
      </c>
      <c r="K18" s="3">
        <v>0.23427647728804327</v>
      </c>
      <c r="L18" s="3">
        <v>0.23258540198997901</v>
      </c>
      <c r="M18" s="3">
        <v>0.2310207449774315</v>
      </c>
      <c r="N18" s="3">
        <v>0.22955620725958106</v>
      </c>
      <c r="O18" s="3">
        <v>0.22812566869979581</v>
      </c>
      <c r="P18" s="3">
        <v>0.22668743242363329</v>
      </c>
    </row>
    <row r="19" spans="1:16">
      <c r="A19" s="84" t="s">
        <v>112</v>
      </c>
      <c r="B19" s="85" t="s">
        <v>111</v>
      </c>
      <c r="C19" s="85" t="s">
        <v>92</v>
      </c>
      <c r="D19" s="84" t="s">
        <v>87</v>
      </c>
      <c r="E19" s="84">
        <v>1</v>
      </c>
      <c r="F19" s="3">
        <v>0.21112055995290119</v>
      </c>
      <c r="G19" s="3">
        <v>0.20891064356109948</v>
      </c>
      <c r="H19" s="3">
        <v>0.20647514377447687</v>
      </c>
      <c r="I19" s="3">
        <v>0.20397160730832489</v>
      </c>
      <c r="J19" s="3">
        <v>0.20157243076045395</v>
      </c>
      <c r="K19" s="3">
        <v>0.19944059454758978</v>
      </c>
      <c r="L19" s="3">
        <v>0.1976889345573688</v>
      </c>
      <c r="M19" s="3">
        <v>0.1961957605758945</v>
      </c>
      <c r="N19" s="3">
        <v>0.19509190698438339</v>
      </c>
      <c r="O19" s="3">
        <v>0.19438473691945921</v>
      </c>
      <c r="P19" s="3">
        <v>0.1940918318743266</v>
      </c>
    </row>
    <row r="20" spans="1:16">
      <c r="A20" s="84" t="s">
        <v>114</v>
      </c>
      <c r="B20" s="85" t="s">
        <v>113</v>
      </c>
      <c r="C20" s="85" t="s">
        <v>79</v>
      </c>
      <c r="D20" s="84" t="s">
        <v>80</v>
      </c>
      <c r="E20" s="84">
        <v>2</v>
      </c>
      <c r="F20" s="3">
        <v>0.18877513953349223</v>
      </c>
      <c r="G20" s="3">
        <v>0.19519125129655157</v>
      </c>
      <c r="H20" s="3">
        <v>0.20038147338501008</v>
      </c>
      <c r="I20" s="3">
        <v>0.20434763637157</v>
      </c>
      <c r="J20" s="3">
        <v>0.20760712177066173</v>
      </c>
      <c r="K20" s="3">
        <v>0.21070737730275799</v>
      </c>
      <c r="L20" s="3">
        <v>0.21388861335080911</v>
      </c>
      <c r="M20" s="3">
        <v>0.21694004897038935</v>
      </c>
      <c r="N20" s="3">
        <v>0.21959139624586405</v>
      </c>
      <c r="O20" s="3">
        <v>0.22132638426874979</v>
      </c>
      <c r="P20" s="3">
        <v>0.22173226844448141</v>
      </c>
    </row>
    <row r="21" spans="1:16">
      <c r="A21" s="84" t="s">
        <v>116</v>
      </c>
      <c r="B21" s="85" t="s">
        <v>115</v>
      </c>
      <c r="C21" s="85" t="s">
        <v>79</v>
      </c>
      <c r="D21" s="84" t="s">
        <v>87</v>
      </c>
      <c r="E21" s="84">
        <v>1</v>
      </c>
      <c r="F21" s="3">
        <v>0.20575112806917142</v>
      </c>
      <c r="G21" s="3">
        <v>0.20740643164648373</v>
      </c>
      <c r="H21" s="3">
        <v>0.20885571558032709</v>
      </c>
      <c r="I21" s="3">
        <v>0.20999154631927866</v>
      </c>
      <c r="J21" s="3">
        <v>0.21075331256757235</v>
      </c>
      <c r="K21" s="3">
        <v>0.21114661139385485</v>
      </c>
      <c r="L21" s="3">
        <v>0.21147823173040012</v>
      </c>
      <c r="M21" s="3">
        <v>0.21147363091760779</v>
      </c>
      <c r="N21" s="3">
        <v>0.21117328990284798</v>
      </c>
      <c r="O21" s="3">
        <v>0.21065042160087219</v>
      </c>
      <c r="P21" s="3">
        <v>0.20994983510537471</v>
      </c>
    </row>
    <row r="22" spans="1:16">
      <c r="A22" s="84" t="s">
        <v>118</v>
      </c>
      <c r="B22" s="85" t="s">
        <v>117</v>
      </c>
      <c r="C22" s="85" t="s">
        <v>92</v>
      </c>
      <c r="D22" s="84" t="s">
        <v>80</v>
      </c>
      <c r="E22" s="84">
        <v>1</v>
      </c>
      <c r="F22" s="3">
        <v>0.25529512083048522</v>
      </c>
      <c r="G22" s="3">
        <v>0.25228960605889328</v>
      </c>
      <c r="H22" s="3">
        <v>0.24931554036522416</v>
      </c>
      <c r="I22" s="3">
        <v>0.24649172139241804</v>
      </c>
      <c r="J22" s="3">
        <v>0.24399079048349956</v>
      </c>
      <c r="K22" s="3">
        <v>0.24193884823306511</v>
      </c>
      <c r="L22" s="3">
        <v>0.24037183736853554</v>
      </c>
      <c r="M22" s="3">
        <v>0.23928627883231016</v>
      </c>
      <c r="N22" s="3">
        <v>0.23857600101744489</v>
      </c>
      <c r="O22" s="3">
        <v>0.2380085603538615</v>
      </c>
      <c r="P22" s="3">
        <v>0.23737233355555887</v>
      </c>
    </row>
    <row r="23" spans="1:16">
      <c r="A23" s="84" t="s">
        <v>120</v>
      </c>
      <c r="B23" s="85" t="s">
        <v>119</v>
      </c>
      <c r="C23" s="85" t="s">
        <v>83</v>
      </c>
      <c r="D23" s="84" t="s">
        <v>84</v>
      </c>
      <c r="E23" s="84">
        <v>3</v>
      </c>
      <c r="F23" s="3">
        <v>0.26499289007607119</v>
      </c>
      <c r="G23" s="3">
        <v>0.265076011647911</v>
      </c>
      <c r="H23" s="3">
        <v>0.26513690533541262</v>
      </c>
      <c r="I23" s="3">
        <v>0.26515804585343589</v>
      </c>
      <c r="J23" s="3">
        <v>0.26511971574556231</v>
      </c>
      <c r="K23" s="3">
        <v>0.26501810983592744</v>
      </c>
      <c r="L23" s="3">
        <v>0.26477483889367259</v>
      </c>
      <c r="M23" s="3">
        <v>0.26449190532320532</v>
      </c>
      <c r="N23" s="3">
        <v>0.26418290347023443</v>
      </c>
      <c r="O23" s="3">
        <v>0.26386175396251044</v>
      </c>
      <c r="P23" s="3">
        <v>0.26353793591855718</v>
      </c>
    </row>
    <row r="24" spans="1:16">
      <c r="A24" s="84" t="s">
        <v>122</v>
      </c>
      <c r="B24" s="85" t="s">
        <v>121</v>
      </c>
      <c r="C24" s="85" t="s">
        <v>110</v>
      </c>
      <c r="D24" s="84" t="s">
        <v>84</v>
      </c>
      <c r="E24" s="84">
        <v>2</v>
      </c>
      <c r="F24" s="3">
        <v>0.23515731734149309</v>
      </c>
      <c r="G24" s="3">
        <v>0.23170663365378244</v>
      </c>
      <c r="H24" s="3">
        <v>0.22885631480908125</v>
      </c>
      <c r="I24" s="3">
        <v>0.22657152290319202</v>
      </c>
      <c r="J24" s="3">
        <v>0.22463864125325722</v>
      </c>
      <c r="K24" s="3">
        <v>0.22281266645595366</v>
      </c>
      <c r="L24" s="3">
        <v>0.22139504245267605</v>
      </c>
      <c r="M24" s="3">
        <v>0.21997290779233647</v>
      </c>
      <c r="N24" s="3">
        <v>0.21856351262877746</v>
      </c>
      <c r="O24" s="3">
        <v>0.21723286366143507</v>
      </c>
      <c r="P24" s="3">
        <v>0.21602610551018814</v>
      </c>
    </row>
    <row r="25" spans="1:16">
      <c r="A25" s="84" t="s">
        <v>124</v>
      </c>
      <c r="B25" s="85" t="s">
        <v>123</v>
      </c>
      <c r="C25" s="85" t="s">
        <v>92</v>
      </c>
      <c r="D25" s="84" t="s">
        <v>84</v>
      </c>
      <c r="E25" s="84">
        <v>2</v>
      </c>
      <c r="F25" s="3">
        <v>0.25930561207204222</v>
      </c>
      <c r="G25" s="3">
        <v>0.2574874225638133</v>
      </c>
      <c r="H25" s="3">
        <v>0.25550310475616161</v>
      </c>
      <c r="I25" s="3">
        <v>0.25340625985509296</v>
      </c>
      <c r="J25" s="3">
        <v>0.25132396995288214</v>
      </c>
      <c r="K25" s="3">
        <v>0.24937496401236542</v>
      </c>
      <c r="L25" s="3">
        <v>0.24766598550753646</v>
      </c>
      <c r="M25" s="3">
        <v>0.24609878732136864</v>
      </c>
      <c r="N25" s="3">
        <v>0.24467542198002504</v>
      </c>
      <c r="O25" s="3">
        <v>0.24336264832384885</v>
      </c>
      <c r="P25" s="3">
        <v>0.24212580736024295</v>
      </c>
    </row>
    <row r="26" spans="1:16">
      <c r="A26" s="84" t="s">
        <v>126</v>
      </c>
      <c r="B26" s="85" t="s">
        <v>125</v>
      </c>
      <c r="C26" s="85" t="s">
        <v>79</v>
      </c>
      <c r="D26" s="84" t="s">
        <v>80</v>
      </c>
      <c r="E26" s="84">
        <v>1</v>
      </c>
      <c r="F26" s="3">
        <v>0.19647382219067866</v>
      </c>
      <c r="G26" s="3">
        <v>0.19628647769944596</v>
      </c>
      <c r="H26" s="3">
        <v>0.19683072757372067</v>
      </c>
      <c r="I26" s="3">
        <v>0.19746723327271534</v>
      </c>
      <c r="J26" s="3">
        <v>0.19731208923697563</v>
      </c>
      <c r="K26" s="3">
        <v>0.19595308669289865</v>
      </c>
      <c r="L26" s="3">
        <v>0.19381613690851035</v>
      </c>
      <c r="M26" s="3">
        <v>0.19070220976287183</v>
      </c>
      <c r="N26" s="3">
        <v>0.18694365367802712</v>
      </c>
      <c r="O26" s="3">
        <v>0.1831165409534177</v>
      </c>
      <c r="P26" s="3">
        <v>0.17958382773219816</v>
      </c>
    </row>
    <row r="27" spans="1:16">
      <c r="A27" s="84" t="s">
        <v>128</v>
      </c>
      <c r="B27" s="85" t="s">
        <v>127</v>
      </c>
      <c r="C27" s="85" t="s">
        <v>83</v>
      </c>
      <c r="D27" s="84" t="s">
        <v>80</v>
      </c>
      <c r="E27" s="84">
        <v>2</v>
      </c>
      <c r="F27" s="3">
        <v>0.26200818899170747</v>
      </c>
      <c r="G27" s="3">
        <v>0.2625939889103589</v>
      </c>
      <c r="H27" s="3">
        <v>0.26284951582231764</v>
      </c>
      <c r="I27" s="3">
        <v>0.26276719715647057</v>
      </c>
      <c r="J27" s="3">
        <v>0.26235528000830682</v>
      </c>
      <c r="K27" s="3">
        <v>0.26162396498210211</v>
      </c>
      <c r="L27" s="3">
        <v>0.26074644770323097</v>
      </c>
      <c r="M27" s="3">
        <v>0.2595945912096721</v>
      </c>
      <c r="N27" s="3">
        <v>0.25812330207166612</v>
      </c>
      <c r="O27" s="3">
        <v>0.2563386938704903</v>
      </c>
      <c r="P27" s="3">
        <v>0.25430059598067078</v>
      </c>
    </row>
    <row r="28" spans="1:16">
      <c r="A28" s="84" t="s">
        <v>130</v>
      </c>
      <c r="B28" s="85" t="s">
        <v>129</v>
      </c>
      <c r="C28" s="85" t="s">
        <v>92</v>
      </c>
      <c r="D28" s="84" t="s">
        <v>80</v>
      </c>
      <c r="E28" s="84" t="s">
        <v>76</v>
      </c>
      <c r="F28" s="3">
        <v>0.21713061008361043</v>
      </c>
      <c r="G28" s="3">
        <v>0.2152253150708566</v>
      </c>
      <c r="H28" s="3">
        <v>0.21358798629926443</v>
      </c>
      <c r="I28" s="3">
        <v>0.21226482906071395</v>
      </c>
      <c r="J28" s="3">
        <v>0.21122049823655628</v>
      </c>
      <c r="K28" s="3">
        <v>0.21037367167068341</v>
      </c>
      <c r="L28" s="3">
        <v>0.20974286480162604</v>
      </c>
      <c r="M28" s="3">
        <v>0.20925985717548484</v>
      </c>
      <c r="N28" s="3">
        <v>0.20883610883961015</v>
      </c>
      <c r="O28" s="3">
        <v>0.20836765470789456</v>
      </c>
      <c r="P28" s="3">
        <v>0.20781156128588132</v>
      </c>
    </row>
    <row r="29" spans="1:16">
      <c r="A29" s="84" t="s">
        <v>132</v>
      </c>
      <c r="B29" s="85" t="s">
        <v>131</v>
      </c>
      <c r="C29" s="85" t="s">
        <v>99</v>
      </c>
      <c r="D29" s="84" t="s">
        <v>87</v>
      </c>
      <c r="E29" s="84">
        <v>1</v>
      </c>
      <c r="F29" s="3">
        <v>0.21623563218390812</v>
      </c>
      <c r="G29" s="3">
        <v>0.21611050251397432</v>
      </c>
      <c r="H29" s="3">
        <v>0.21573699205278143</v>
      </c>
      <c r="I29" s="3">
        <v>0.2151742490196952</v>
      </c>
      <c r="J29" s="3">
        <v>0.21463411192534551</v>
      </c>
      <c r="K29" s="3">
        <v>0.2143342263140022</v>
      </c>
      <c r="L29" s="3">
        <v>0.21450141769673348</v>
      </c>
      <c r="M29" s="3">
        <v>0.21500016607275887</v>
      </c>
      <c r="N29" s="3">
        <v>0.2155052530313277</v>
      </c>
      <c r="O29" s="3">
        <v>0.21556024237554816</v>
      </c>
      <c r="P29" s="3">
        <v>0.21486173869803049</v>
      </c>
    </row>
    <row r="30" spans="1:16">
      <c r="A30" s="84" t="s">
        <v>134</v>
      </c>
      <c r="B30" s="85" t="s">
        <v>133</v>
      </c>
      <c r="C30" s="85" t="s">
        <v>79</v>
      </c>
      <c r="D30" s="84" t="s">
        <v>80</v>
      </c>
      <c r="E30" s="84">
        <v>1</v>
      </c>
      <c r="F30" s="3">
        <v>0.18721429009007778</v>
      </c>
      <c r="G30" s="3">
        <v>0.19013061733682138</v>
      </c>
      <c r="H30" s="3">
        <v>0.19269278524279318</v>
      </c>
      <c r="I30" s="3">
        <v>0.19473035421302559</v>
      </c>
      <c r="J30" s="3">
        <v>0.19609173131336713</v>
      </c>
      <c r="K30" s="3">
        <v>0.19671813893650802</v>
      </c>
      <c r="L30" s="3">
        <v>0.19676603005123308</v>
      </c>
      <c r="M30" s="3">
        <v>0.1959290717390994</v>
      </c>
      <c r="N30" s="3">
        <v>0.19454024290739269</v>
      </c>
      <c r="O30" s="3">
        <v>0.19313541160240161</v>
      </c>
      <c r="P30" s="3">
        <v>0.19207184838294003</v>
      </c>
    </row>
    <row r="31" spans="1:16">
      <c r="A31" s="84" t="s">
        <v>136</v>
      </c>
      <c r="B31" s="85" t="s">
        <v>135</v>
      </c>
      <c r="C31" s="85" t="s">
        <v>83</v>
      </c>
      <c r="D31" s="84" t="s">
        <v>75</v>
      </c>
      <c r="E31" s="84">
        <v>3</v>
      </c>
      <c r="F31" s="3">
        <v>0.27067645078910657</v>
      </c>
      <c r="G31" s="3">
        <v>0.27100842748535281</v>
      </c>
      <c r="H31" s="3">
        <v>0.27123606135773592</v>
      </c>
      <c r="I31" s="3">
        <v>0.27134864234085682</v>
      </c>
      <c r="J31" s="3">
        <v>0.27132086963144009</v>
      </c>
      <c r="K31" s="3">
        <v>0.27114789377511617</v>
      </c>
      <c r="L31" s="3">
        <v>0.27073241522863079</v>
      </c>
      <c r="M31" s="3">
        <v>0.27018096370871225</v>
      </c>
      <c r="N31" s="3">
        <v>0.26955295745948749</v>
      </c>
      <c r="O31" s="3">
        <v>0.26893383923157549</v>
      </c>
      <c r="P31" s="3">
        <v>0.26838673830554799</v>
      </c>
    </row>
    <row r="32" spans="1:16">
      <c r="A32" s="84" t="s">
        <v>138</v>
      </c>
      <c r="B32" s="85" t="s">
        <v>137</v>
      </c>
      <c r="C32" s="85" t="s">
        <v>83</v>
      </c>
      <c r="D32" s="84" t="s">
        <v>75</v>
      </c>
      <c r="E32" s="84">
        <v>3</v>
      </c>
      <c r="F32" s="3">
        <v>0.26428133187059977</v>
      </c>
      <c r="G32" s="3">
        <v>0.26671843927041228</v>
      </c>
      <c r="H32" s="3">
        <v>0.26896322393059185</v>
      </c>
      <c r="I32" s="3">
        <v>0.2709335537413991</v>
      </c>
      <c r="J32" s="3">
        <v>0.27254599067883384</v>
      </c>
      <c r="K32" s="3">
        <v>0.27375478822927107</v>
      </c>
      <c r="L32" s="3">
        <v>0.27452140143930964</v>
      </c>
      <c r="M32" s="3">
        <v>0.27491642950235673</v>
      </c>
      <c r="N32" s="3">
        <v>0.27494938022064275</v>
      </c>
      <c r="O32" s="3">
        <v>0.27464938039916692</v>
      </c>
      <c r="P32" s="3">
        <v>0.27405338055207207</v>
      </c>
    </row>
    <row r="33" spans="1:16">
      <c r="A33" s="84" t="s">
        <v>140</v>
      </c>
      <c r="B33" s="85" t="s">
        <v>139</v>
      </c>
      <c r="C33" s="85" t="s">
        <v>99</v>
      </c>
      <c r="D33" s="84" t="s">
        <v>84</v>
      </c>
      <c r="E33" s="84">
        <v>4</v>
      </c>
      <c r="F33" s="3">
        <v>0.24530499010731238</v>
      </c>
      <c r="G33" s="3">
        <v>0.24643089762045209</v>
      </c>
      <c r="H33" s="3">
        <v>0.24790293858279208</v>
      </c>
      <c r="I33" s="3">
        <v>0.2494652195250503</v>
      </c>
      <c r="J33" s="3">
        <v>0.25073427272119081</v>
      </c>
      <c r="K33" s="3">
        <v>0.25146640827120426</v>
      </c>
      <c r="L33" s="3">
        <v>0.25167999921860501</v>
      </c>
      <c r="M33" s="3">
        <v>0.2513043359181753</v>
      </c>
      <c r="N33" s="3">
        <v>0.25046629520255215</v>
      </c>
      <c r="O33" s="3">
        <v>0.24921940176662644</v>
      </c>
      <c r="P33" s="3">
        <v>0.24752943714676365</v>
      </c>
    </row>
    <row r="34" spans="1:16">
      <c r="A34" s="84" t="s">
        <v>142</v>
      </c>
      <c r="B34" s="85" t="s">
        <v>141</v>
      </c>
      <c r="C34" s="85" t="s">
        <v>83</v>
      </c>
      <c r="D34" s="84" t="s">
        <v>84</v>
      </c>
      <c r="E34" s="84">
        <v>3</v>
      </c>
      <c r="F34" s="3">
        <v>0.27059836936993309</v>
      </c>
      <c r="G34" s="3">
        <v>0.27110680135929649</v>
      </c>
      <c r="H34" s="3">
        <v>0.27142572400551668</v>
      </c>
      <c r="I34" s="3">
        <v>0.27154793342654837</v>
      </c>
      <c r="J34" s="3">
        <v>0.2714774198705005</v>
      </c>
      <c r="K34" s="3">
        <v>0.27123254441091127</v>
      </c>
      <c r="L34" s="3">
        <v>0.2707733424401686</v>
      </c>
      <c r="M34" s="3">
        <v>0.27015631224470427</v>
      </c>
      <c r="N34" s="3">
        <v>0.26941719873693087</v>
      </c>
      <c r="O34" s="3">
        <v>0.26860803075355527</v>
      </c>
      <c r="P34" s="3">
        <v>0.26776999686367214</v>
      </c>
    </row>
    <row r="35" spans="1:16">
      <c r="A35" s="84" t="s">
        <v>144</v>
      </c>
      <c r="B35" s="85" t="s">
        <v>143</v>
      </c>
      <c r="C35" s="85" t="s">
        <v>92</v>
      </c>
      <c r="D35" s="84" t="s">
        <v>87</v>
      </c>
      <c r="E35" s="84">
        <v>1</v>
      </c>
      <c r="F35" s="3">
        <v>0.20281630375626858</v>
      </c>
      <c r="G35" s="3">
        <v>0.20330827326060957</v>
      </c>
      <c r="H35" s="3">
        <v>0.20408976199452356</v>
      </c>
      <c r="I35" s="3">
        <v>0.20489867826823208</v>
      </c>
      <c r="J35" s="3">
        <v>0.20544454597494108</v>
      </c>
      <c r="K35" s="3">
        <v>0.20554202659563567</v>
      </c>
      <c r="L35" s="3">
        <v>0.20555587171490966</v>
      </c>
      <c r="M35" s="3">
        <v>0.20535241091345394</v>
      </c>
      <c r="N35" s="3">
        <v>0.20492508397045553</v>
      </c>
      <c r="O35" s="3">
        <v>0.20436854346650912</v>
      </c>
      <c r="P35" s="3">
        <v>0.20371986636202949</v>
      </c>
    </row>
    <row r="36" spans="1:16">
      <c r="A36" s="84" t="s">
        <v>146</v>
      </c>
      <c r="B36" s="85" t="s">
        <v>145</v>
      </c>
      <c r="C36" s="85" t="s">
        <v>83</v>
      </c>
      <c r="D36" s="84" t="s">
        <v>84</v>
      </c>
      <c r="E36" s="84">
        <v>2</v>
      </c>
      <c r="F36" s="3">
        <v>0.22428561915343284</v>
      </c>
      <c r="G36" s="3">
        <v>0.22511222027798181</v>
      </c>
      <c r="H36" s="3">
        <v>0.2255745404458063</v>
      </c>
      <c r="I36" s="3">
        <v>0.22569737515739366</v>
      </c>
      <c r="J36" s="3">
        <v>0.22556928488619474</v>
      </c>
      <c r="K36" s="3">
        <v>0.22528438150027102</v>
      </c>
      <c r="L36" s="3">
        <v>0.22583066846794461</v>
      </c>
      <c r="M36" s="3">
        <v>0.22610170358186821</v>
      </c>
      <c r="N36" s="3">
        <v>0.22601010101010097</v>
      </c>
      <c r="O36" s="3">
        <v>0.2254322523563918</v>
      </c>
      <c r="P36" s="3">
        <v>0.22432408663326978</v>
      </c>
    </row>
    <row r="37" spans="1:16">
      <c r="A37" s="84" t="s">
        <v>148</v>
      </c>
      <c r="B37" s="85" t="s">
        <v>147</v>
      </c>
      <c r="C37" s="85" t="s">
        <v>83</v>
      </c>
      <c r="D37" s="84" t="s">
        <v>75</v>
      </c>
      <c r="E37" s="84">
        <v>3</v>
      </c>
      <c r="F37" s="3">
        <v>0.29879306337605288</v>
      </c>
      <c r="G37" s="3">
        <v>0.29688227019354574</v>
      </c>
      <c r="H37" s="3">
        <v>0.29449903553528456</v>
      </c>
      <c r="I37" s="3">
        <v>0.29172958187248976</v>
      </c>
      <c r="J37" s="3">
        <v>0.28881427247616731</v>
      </c>
      <c r="K37" s="3">
        <v>0.28601413834627176</v>
      </c>
      <c r="L37" s="3">
        <v>0.28314426703375706</v>
      </c>
      <c r="M37" s="3">
        <v>0.28051636070263292</v>
      </c>
      <c r="N37" s="3">
        <v>0.27822218777896823</v>
      </c>
      <c r="O37" s="3">
        <v>0.27633842131359754</v>
      </c>
      <c r="P37" s="3">
        <v>0.27488122616309801</v>
      </c>
    </row>
    <row r="38" spans="1:16">
      <c r="A38" s="84" t="s">
        <v>150</v>
      </c>
      <c r="B38" s="85" t="s">
        <v>149</v>
      </c>
      <c r="C38" s="85" t="s">
        <v>83</v>
      </c>
      <c r="D38" s="84" t="s">
        <v>75</v>
      </c>
      <c r="E38" s="84" t="s">
        <v>76</v>
      </c>
      <c r="F38" s="3">
        <v>0.27344765506104562</v>
      </c>
      <c r="G38" s="3">
        <v>0.27366899035879744</v>
      </c>
      <c r="H38" s="3">
        <v>0.27389908652024664</v>
      </c>
      <c r="I38" s="3">
        <v>0.27413437867132662</v>
      </c>
      <c r="J38" s="3">
        <v>0.27437328389002547</v>
      </c>
      <c r="K38" s="3">
        <v>0.27461166496965739</v>
      </c>
      <c r="L38" s="3">
        <v>0.27452358686509065</v>
      </c>
      <c r="M38" s="3">
        <v>0.27448614815153127</v>
      </c>
      <c r="N38" s="3">
        <v>0.27449502788959101</v>
      </c>
      <c r="O38" s="3">
        <v>0.2745319806119087</v>
      </c>
      <c r="P38" s="3">
        <v>0.27457411061030829</v>
      </c>
    </row>
    <row r="39" spans="1:16">
      <c r="A39" s="84" t="s">
        <v>152</v>
      </c>
      <c r="B39" s="85" t="s">
        <v>151</v>
      </c>
      <c r="C39" s="85" t="s">
        <v>92</v>
      </c>
      <c r="D39" s="84" t="s">
        <v>87</v>
      </c>
      <c r="E39" s="84">
        <v>2</v>
      </c>
      <c r="F39" s="3">
        <v>0.21114902850766076</v>
      </c>
      <c r="G39" s="3">
        <v>0.21191894819518878</v>
      </c>
      <c r="H39" s="3">
        <v>0.21264092499882511</v>
      </c>
      <c r="I39" s="3">
        <v>0.2131623943587265</v>
      </c>
      <c r="J39" s="3">
        <v>0.21340962584993689</v>
      </c>
      <c r="K39" s="3">
        <v>0.21339560815948111</v>
      </c>
      <c r="L39" s="3">
        <v>0.21314321038400877</v>
      </c>
      <c r="M39" s="3">
        <v>0.2127236955810422</v>
      </c>
      <c r="N39" s="3">
        <v>0.21208740988197983</v>
      </c>
      <c r="O39" s="3">
        <v>0.21116606702740859</v>
      </c>
      <c r="P39" s="3">
        <v>0.20990751188728579</v>
      </c>
    </row>
    <row r="40" spans="1:16">
      <c r="A40" s="84" t="s">
        <v>154</v>
      </c>
      <c r="B40" s="85" t="s">
        <v>153</v>
      </c>
      <c r="C40" s="85" t="s">
        <v>99</v>
      </c>
      <c r="D40" s="84" t="s">
        <v>80</v>
      </c>
      <c r="E40" s="84">
        <v>1</v>
      </c>
      <c r="F40" s="3">
        <v>0.1889539047634092</v>
      </c>
      <c r="G40" s="3">
        <v>0.19089427290649655</v>
      </c>
      <c r="H40" s="3">
        <v>0.19307230465238867</v>
      </c>
      <c r="I40" s="3">
        <v>0.19541315438044182</v>
      </c>
      <c r="J40" s="3">
        <v>0.19771240147546335</v>
      </c>
      <c r="K40" s="3">
        <v>0.19974989245827146</v>
      </c>
      <c r="L40" s="3">
        <v>0.20151825920597349</v>
      </c>
      <c r="M40" s="3">
        <v>0.20285737967598191</v>
      </c>
      <c r="N40" s="3">
        <v>0.20374064436812428</v>
      </c>
      <c r="O40" s="3">
        <v>0.20412886929564328</v>
      </c>
      <c r="P40" s="3">
        <v>0.20399465079750789</v>
      </c>
    </row>
    <row r="41" spans="1:16">
      <c r="A41" s="84" t="s">
        <v>156</v>
      </c>
      <c r="B41" s="85" t="s">
        <v>155</v>
      </c>
      <c r="C41" s="85" t="s">
        <v>92</v>
      </c>
      <c r="D41" s="84" t="s">
        <v>80</v>
      </c>
      <c r="E41" s="84">
        <v>2</v>
      </c>
      <c r="F41" s="3">
        <v>0.22948914471402967</v>
      </c>
      <c r="G41" s="3">
        <v>0.22690517457398376</v>
      </c>
      <c r="H41" s="3">
        <v>0.22449101925575776</v>
      </c>
      <c r="I41" s="3">
        <v>0.22237242049487962</v>
      </c>
      <c r="J41" s="3">
        <v>0.22059310572557475</v>
      </c>
      <c r="K41" s="3">
        <v>0.21909251269243885</v>
      </c>
      <c r="L41" s="3">
        <v>0.21779863938484706</v>
      </c>
      <c r="M41" s="3">
        <v>0.21667796894388755</v>
      </c>
      <c r="N41" s="3">
        <v>0.21565600248349107</v>
      </c>
      <c r="O41" s="3">
        <v>0.21465136133765084</v>
      </c>
      <c r="P41" s="3">
        <v>0.21364437556549143</v>
      </c>
    </row>
    <row r="42" spans="1:16">
      <c r="A42" s="84" t="s">
        <v>158</v>
      </c>
      <c r="B42" s="85" t="s">
        <v>157</v>
      </c>
      <c r="C42" s="85" t="s">
        <v>83</v>
      </c>
      <c r="D42" s="84" t="s">
        <v>84</v>
      </c>
      <c r="E42" s="84">
        <v>3</v>
      </c>
      <c r="F42" s="3">
        <v>0.26484785605385314</v>
      </c>
      <c r="G42" s="3">
        <v>0.26547814661306229</v>
      </c>
      <c r="H42" s="3">
        <v>0.2659644688665353</v>
      </c>
      <c r="I42" s="3">
        <v>0.2662811563830042</v>
      </c>
      <c r="J42" s="3">
        <v>0.26641052889724498</v>
      </c>
      <c r="K42" s="3">
        <v>0.26635720581498251</v>
      </c>
      <c r="L42" s="3">
        <v>0.26618411841842909</v>
      </c>
      <c r="M42" s="3">
        <v>0.26584629953480654</v>
      </c>
      <c r="N42" s="3">
        <v>0.2653322689437122</v>
      </c>
      <c r="O42" s="3">
        <v>0.26463067706415888</v>
      </c>
      <c r="P42" s="3">
        <v>0.26374202050986378</v>
      </c>
    </row>
    <row r="43" spans="1:16">
      <c r="A43" s="84" t="s">
        <v>160</v>
      </c>
      <c r="B43" s="85" t="s">
        <v>159</v>
      </c>
      <c r="C43" s="85" t="s">
        <v>83</v>
      </c>
      <c r="D43" s="84" t="s">
        <v>84</v>
      </c>
      <c r="E43" s="84">
        <v>3</v>
      </c>
      <c r="F43" s="3">
        <v>0.27008807088704784</v>
      </c>
      <c r="G43" s="3">
        <v>0.27123396825515467</v>
      </c>
      <c r="H43" s="3">
        <v>0.27195477975458043</v>
      </c>
      <c r="I43" s="3">
        <v>0.27221163651516533</v>
      </c>
      <c r="J43" s="3">
        <v>0.27202269618990765</v>
      </c>
      <c r="K43" s="3">
        <v>0.27146443675565124</v>
      </c>
      <c r="L43" s="3">
        <v>0.27061542625741497</v>
      </c>
      <c r="M43" s="3">
        <v>0.26950478023086083</v>
      </c>
      <c r="N43" s="3">
        <v>0.2681905949781882</v>
      </c>
      <c r="O43" s="3">
        <v>0.26677084134890655</v>
      </c>
      <c r="P43" s="3">
        <v>0.26533554217582861</v>
      </c>
    </row>
    <row r="44" spans="1:16">
      <c r="A44" s="84" t="s">
        <v>162</v>
      </c>
      <c r="B44" s="85" t="s">
        <v>161</v>
      </c>
      <c r="C44" s="85" t="s">
        <v>99</v>
      </c>
      <c r="D44" s="84" t="e">
        <v>#N/A</v>
      </c>
      <c r="E44" s="84">
        <v>1</v>
      </c>
      <c r="F44" s="3">
        <v>0</v>
      </c>
      <c r="G44" s="3">
        <v>0</v>
      </c>
      <c r="H44" s="3">
        <v>0</v>
      </c>
      <c r="I44" s="3">
        <v>0</v>
      </c>
      <c r="J44" s="3">
        <v>0</v>
      </c>
      <c r="K44" s="3">
        <v>0</v>
      </c>
      <c r="L44" s="3">
        <v>0</v>
      </c>
      <c r="M44" s="3">
        <v>0</v>
      </c>
      <c r="N44" s="3">
        <v>0</v>
      </c>
      <c r="O44" s="3">
        <v>0</v>
      </c>
      <c r="P44" s="3">
        <v>0</v>
      </c>
    </row>
    <row r="45" spans="1:16">
      <c r="A45" s="84" t="s">
        <v>164</v>
      </c>
      <c r="B45" s="85" t="s">
        <v>163</v>
      </c>
      <c r="C45" s="85" t="s">
        <v>92</v>
      </c>
      <c r="D45" s="84" t="s">
        <v>80</v>
      </c>
      <c r="E45" s="84">
        <v>2</v>
      </c>
      <c r="F45" s="3">
        <v>0.21543417324027705</v>
      </c>
      <c r="G45" s="3">
        <v>0.21479799416198619</v>
      </c>
      <c r="H45" s="3">
        <v>0.21443055600813835</v>
      </c>
      <c r="I45" s="3">
        <v>0.2142391326586284</v>
      </c>
      <c r="J45" s="3">
        <v>0.21404657805747157</v>
      </c>
      <c r="K45" s="3">
        <v>0.21371045054131835</v>
      </c>
      <c r="L45" s="3">
        <v>0.21323075010408349</v>
      </c>
      <c r="M45" s="3">
        <v>0.21258757370789305</v>
      </c>
      <c r="N45" s="3">
        <v>0.21173323444034028</v>
      </c>
      <c r="O45" s="3">
        <v>0.21066383866338315</v>
      </c>
      <c r="P45" s="3">
        <v>0.20941379616412556</v>
      </c>
    </row>
    <row r="46" spans="1:16">
      <c r="A46" s="84" t="s">
        <v>166</v>
      </c>
      <c r="B46" s="85" t="s">
        <v>165</v>
      </c>
      <c r="C46" s="85" t="s">
        <v>83</v>
      </c>
      <c r="D46" s="84" t="s">
        <v>84</v>
      </c>
      <c r="E46" s="84">
        <v>3</v>
      </c>
      <c r="F46" s="3">
        <v>0.26679616381177396</v>
      </c>
      <c r="G46" s="3">
        <v>0.26624724649145876</v>
      </c>
      <c r="H46" s="3">
        <v>0.26579955631693702</v>
      </c>
      <c r="I46" s="3">
        <v>0.26549386110001527</v>
      </c>
      <c r="J46" s="3">
        <v>0.26535071114081488</v>
      </c>
      <c r="K46" s="3">
        <v>0.2653555706188</v>
      </c>
      <c r="L46" s="3">
        <v>0.26538770001095463</v>
      </c>
      <c r="M46" s="3">
        <v>0.26553724210357543</v>
      </c>
      <c r="N46" s="3">
        <v>0.26575251864313981</v>
      </c>
      <c r="O46" s="3">
        <v>0.26596145143140287</v>
      </c>
      <c r="P46" s="3">
        <v>0.26611770835132131</v>
      </c>
    </row>
    <row r="47" spans="1:16">
      <c r="A47" s="84" t="s">
        <v>168</v>
      </c>
      <c r="B47" s="85" t="s">
        <v>167</v>
      </c>
      <c r="C47" s="85" t="s">
        <v>79</v>
      </c>
      <c r="D47" s="84" t="s">
        <v>87</v>
      </c>
      <c r="E47" s="84">
        <v>1</v>
      </c>
      <c r="F47" s="3">
        <v>0.19028396587056551</v>
      </c>
      <c r="G47" s="3">
        <v>0.19131127748736546</v>
      </c>
      <c r="H47" s="3">
        <v>0.19291843796103014</v>
      </c>
      <c r="I47" s="3">
        <v>0.1947287978647694</v>
      </c>
      <c r="J47" s="3">
        <v>0.19612867740388684</v>
      </c>
      <c r="K47" s="3">
        <v>0.19673763982065076</v>
      </c>
      <c r="L47" s="3">
        <v>0.19669240630354923</v>
      </c>
      <c r="M47" s="3">
        <v>0.19585823920680911</v>
      </c>
      <c r="N47" s="3">
        <v>0.19439929468579192</v>
      </c>
      <c r="O47" s="3">
        <v>0.19271934177102698</v>
      </c>
      <c r="P47" s="3">
        <v>0.19114398624221399</v>
      </c>
    </row>
    <row r="48" spans="1:16">
      <c r="A48" s="84" t="s">
        <v>170</v>
      </c>
      <c r="B48" s="85" t="s">
        <v>169</v>
      </c>
      <c r="C48" s="85" t="s">
        <v>92</v>
      </c>
      <c r="D48" s="84" t="s">
        <v>80</v>
      </c>
      <c r="E48" s="84">
        <v>1</v>
      </c>
      <c r="F48" s="3">
        <v>0.19219659403069309</v>
      </c>
      <c r="G48" s="3">
        <v>0.19359548934442197</v>
      </c>
      <c r="H48" s="3">
        <v>0.19489865586498231</v>
      </c>
      <c r="I48" s="3">
        <v>0.19605070856582538</v>
      </c>
      <c r="J48" s="3">
        <v>0.19710147087243035</v>
      </c>
      <c r="K48" s="3">
        <v>0.19818409026206568</v>
      </c>
      <c r="L48" s="3">
        <v>0.19949572635864962</v>
      </c>
      <c r="M48" s="3">
        <v>0.20088330456812531</v>
      </c>
      <c r="N48" s="3">
        <v>0.20220294417067949</v>
      </c>
      <c r="O48" s="3">
        <v>0.20306847810683978</v>
      </c>
      <c r="P48" s="3">
        <v>0.20310981747308895</v>
      </c>
    </row>
    <row r="49" spans="1:16">
      <c r="A49" s="84" t="s">
        <v>172</v>
      </c>
      <c r="B49" s="85" t="s">
        <v>171</v>
      </c>
      <c r="C49" s="85" t="s">
        <v>79</v>
      </c>
      <c r="D49" s="84" t="s">
        <v>87</v>
      </c>
      <c r="E49" s="84">
        <v>1</v>
      </c>
      <c r="F49" s="3">
        <v>0.21197583040420129</v>
      </c>
      <c r="G49" s="3">
        <v>0.21059312254788831</v>
      </c>
      <c r="H49" s="3">
        <v>0.20938015844862246</v>
      </c>
      <c r="I49" s="3">
        <v>0.20831251514050383</v>
      </c>
      <c r="J49" s="3">
        <v>0.20727677616168422</v>
      </c>
      <c r="K49" s="3">
        <v>0.20611592629126269</v>
      </c>
      <c r="L49" s="3">
        <v>0.20463357063635765</v>
      </c>
      <c r="M49" s="3">
        <v>0.20306553018914633</v>
      </c>
      <c r="N49" s="3">
        <v>0.20136760735148271</v>
      </c>
      <c r="O49" s="3">
        <v>0.19955597439585349</v>
      </c>
      <c r="P49" s="3">
        <v>0.19765939552619355</v>
      </c>
    </row>
    <row r="50" spans="1:16">
      <c r="A50" s="84" t="s">
        <v>174</v>
      </c>
      <c r="B50" s="85" t="s">
        <v>173</v>
      </c>
      <c r="C50" s="85" t="s">
        <v>79</v>
      </c>
      <c r="D50" s="84" t="s">
        <v>87</v>
      </c>
      <c r="E50" s="84">
        <v>1</v>
      </c>
      <c r="F50" s="3">
        <v>0.18530939381649877</v>
      </c>
      <c r="G50" s="3">
        <v>0.18851838565573842</v>
      </c>
      <c r="H50" s="3">
        <v>0.19159534736388875</v>
      </c>
      <c r="I50" s="3">
        <v>0.19437745055970174</v>
      </c>
      <c r="J50" s="3">
        <v>0.19666001325436988</v>
      </c>
      <c r="K50" s="3">
        <v>0.19828551860752883</v>
      </c>
      <c r="L50" s="3">
        <v>0.19960939997894106</v>
      </c>
      <c r="M50" s="3">
        <v>0.20018674664362973</v>
      </c>
      <c r="N50" s="3">
        <v>0.2002085869552796</v>
      </c>
      <c r="O50" s="3">
        <v>0.20004828939174094</v>
      </c>
      <c r="P50" s="3">
        <v>0.19995429906186127</v>
      </c>
    </row>
    <row r="51" spans="1:16">
      <c r="A51" s="84" t="s">
        <v>176</v>
      </c>
      <c r="B51" s="85" t="s">
        <v>175</v>
      </c>
      <c r="C51" s="85" t="s">
        <v>110</v>
      </c>
      <c r="D51" s="84" t="s">
        <v>75</v>
      </c>
      <c r="E51" s="84">
        <v>4</v>
      </c>
      <c r="F51" s="3">
        <v>0.20609410815972207</v>
      </c>
      <c r="G51" s="3">
        <v>0.20479892857677787</v>
      </c>
      <c r="H51" s="3">
        <v>0.20393594375777888</v>
      </c>
      <c r="I51" s="3">
        <v>0.20361787920914959</v>
      </c>
      <c r="J51" s="3">
        <v>0.20390452728757574</v>
      </c>
      <c r="K51" s="3">
        <v>0.20473413869648285</v>
      </c>
      <c r="L51" s="3">
        <v>0.20618013763831877</v>
      </c>
      <c r="M51" s="3">
        <v>0.20803246101773271</v>
      </c>
      <c r="N51" s="3">
        <v>0.2101800005455558</v>
      </c>
      <c r="O51" s="3">
        <v>0.2123005599422309</v>
      </c>
      <c r="P51" s="3">
        <v>0.21408712141235159</v>
      </c>
    </row>
    <row r="52" spans="1:16">
      <c r="A52" s="84" t="s">
        <v>178</v>
      </c>
      <c r="B52" s="85" t="s">
        <v>177</v>
      </c>
      <c r="C52" s="85" t="s">
        <v>83</v>
      </c>
      <c r="D52" s="84" t="s">
        <v>75</v>
      </c>
      <c r="E52" s="84" t="s">
        <v>76</v>
      </c>
      <c r="F52" s="3">
        <v>0.2654858157255936</v>
      </c>
      <c r="G52" s="3">
        <v>0.26699341708253305</v>
      </c>
      <c r="H52" s="3">
        <v>0.26836315795797966</v>
      </c>
      <c r="I52" s="3">
        <v>0.26957598659274556</v>
      </c>
      <c r="J52" s="3">
        <v>0.27060583790913273</v>
      </c>
      <c r="K52" s="3">
        <v>0.27144317938227869</v>
      </c>
      <c r="L52" s="3">
        <v>0.271910527873714</v>
      </c>
      <c r="M52" s="3">
        <v>0.2722360683914114</v>
      </c>
      <c r="N52" s="3">
        <v>0.27241968767221897</v>
      </c>
      <c r="O52" s="3">
        <v>0.27246815497735472</v>
      </c>
      <c r="P52" s="3">
        <v>0.27240379260486108</v>
      </c>
    </row>
    <row r="53" spans="1:16">
      <c r="A53" s="84" t="s">
        <v>180</v>
      </c>
      <c r="B53" s="85" t="s">
        <v>179</v>
      </c>
      <c r="C53" s="85" t="s">
        <v>79</v>
      </c>
      <c r="D53" s="84" t="s">
        <v>87</v>
      </c>
      <c r="E53" s="84">
        <v>1</v>
      </c>
      <c r="F53" s="3">
        <v>0.20645637966775318</v>
      </c>
      <c r="G53" s="3">
        <v>0.20511956823622948</v>
      </c>
      <c r="H53" s="3">
        <v>0.20435507301068254</v>
      </c>
      <c r="I53" s="3">
        <v>0.20401064564309943</v>
      </c>
      <c r="J53" s="3">
        <v>0.20376731798830683</v>
      </c>
      <c r="K53" s="3">
        <v>0.20335304821791517</v>
      </c>
      <c r="L53" s="3">
        <v>0.20288676287648569</v>
      </c>
      <c r="M53" s="3">
        <v>0.20224742297882192</v>
      </c>
      <c r="N53" s="3">
        <v>0.20162832549579207</v>
      </c>
      <c r="O53" s="3">
        <v>0.20137754821238119</v>
      </c>
      <c r="P53" s="3">
        <v>0.20170660166944632</v>
      </c>
    </row>
    <row r="54" spans="1:16">
      <c r="A54" s="84" t="s">
        <v>182</v>
      </c>
      <c r="B54" s="85" t="s">
        <v>181</v>
      </c>
      <c r="C54" s="85" t="s">
        <v>74</v>
      </c>
      <c r="D54" s="84" t="s">
        <v>84</v>
      </c>
      <c r="E54" s="84">
        <v>3</v>
      </c>
      <c r="F54" s="3">
        <v>0.24457832585281261</v>
      </c>
      <c r="G54" s="3">
        <v>0.24415928619261854</v>
      </c>
      <c r="H54" s="3">
        <v>0.24367197905619975</v>
      </c>
      <c r="I54" s="3">
        <v>0.24317991134186726</v>
      </c>
      <c r="J54" s="3">
        <v>0.24281458203200321</v>
      </c>
      <c r="K54" s="3">
        <v>0.24265615103208502</v>
      </c>
      <c r="L54" s="3">
        <v>0.24281516643812837</v>
      </c>
      <c r="M54" s="3">
        <v>0.24318192937219937</v>
      </c>
      <c r="N54" s="3">
        <v>0.24352175637189533</v>
      </c>
      <c r="O54" s="3">
        <v>0.24349478721953946</v>
      </c>
      <c r="P54" s="3">
        <v>0.24291097419412455</v>
      </c>
    </row>
    <row r="55" spans="1:16">
      <c r="A55" s="84" t="s">
        <v>184</v>
      </c>
      <c r="B55" s="85" t="s">
        <v>183</v>
      </c>
      <c r="C55" s="85" t="s">
        <v>92</v>
      </c>
      <c r="D55" s="84" t="s">
        <v>80</v>
      </c>
      <c r="E55" s="84">
        <v>2</v>
      </c>
      <c r="F55" s="3">
        <v>0.24332520894665516</v>
      </c>
      <c r="G55" s="3">
        <v>0.2428946994790146</v>
      </c>
      <c r="H55" s="3">
        <v>0.2425761797982437</v>
      </c>
      <c r="I55" s="3">
        <v>0.24237876854915119</v>
      </c>
      <c r="J55" s="3">
        <v>0.24224501450812969</v>
      </c>
      <c r="K55" s="3">
        <v>0.242108266467773</v>
      </c>
      <c r="L55" s="3">
        <v>0.24191631392906499</v>
      </c>
      <c r="M55" s="3">
        <v>0.24158655618028874</v>
      </c>
      <c r="N55" s="3">
        <v>0.24111466565062245</v>
      </c>
      <c r="O55" s="3">
        <v>0.24049005122591352</v>
      </c>
      <c r="P55" s="3">
        <v>0.23972495441434932</v>
      </c>
    </row>
    <row r="56" spans="1:16">
      <c r="A56" s="84" t="s">
        <v>184</v>
      </c>
      <c r="B56" s="85" t="s">
        <v>185</v>
      </c>
      <c r="C56" s="85" t="s">
        <v>92</v>
      </c>
      <c r="D56" s="84" t="s">
        <v>80</v>
      </c>
      <c r="E56" s="84">
        <v>2</v>
      </c>
      <c r="F56" s="3">
        <v>0.24332520894665516</v>
      </c>
      <c r="G56" s="3">
        <v>0.2428946994790146</v>
      </c>
      <c r="H56" s="3">
        <v>0.2425761797982437</v>
      </c>
      <c r="I56" s="3">
        <v>0.24237876854915119</v>
      </c>
      <c r="J56" s="3">
        <v>0.24224501450812969</v>
      </c>
      <c r="K56" s="3">
        <v>0.242108266467773</v>
      </c>
      <c r="L56" s="3">
        <v>0.24191631392906499</v>
      </c>
      <c r="M56" s="3">
        <v>0.24158655618028874</v>
      </c>
      <c r="N56" s="3">
        <v>0.24111466565062245</v>
      </c>
      <c r="O56" s="3">
        <v>0.24049005122591352</v>
      </c>
      <c r="P56" s="3">
        <v>0.23972495441434932</v>
      </c>
    </row>
    <row r="57" spans="1:16">
      <c r="A57" s="84" t="s">
        <v>187</v>
      </c>
      <c r="B57" s="85" t="s">
        <v>186</v>
      </c>
      <c r="C57" s="85" t="s">
        <v>92</v>
      </c>
      <c r="D57" s="84" t="s">
        <v>80</v>
      </c>
      <c r="E57" s="84">
        <v>2</v>
      </c>
      <c r="F57" s="3">
        <v>0.24134855042193074</v>
      </c>
      <c r="G57" s="3">
        <v>0.2402834771762298</v>
      </c>
      <c r="H57" s="3">
        <v>0.23948850134503147</v>
      </c>
      <c r="I57" s="3">
        <v>0.23896336297607731</v>
      </c>
      <c r="J57" s="3">
        <v>0.23863809601171784</v>
      </c>
      <c r="K57" s="3">
        <v>0.23842171995818162</v>
      </c>
      <c r="L57" s="3">
        <v>0.23825468124030208</v>
      </c>
      <c r="M57" s="3">
        <v>0.23813356518489268</v>
      </c>
      <c r="N57" s="3">
        <v>0.23801146744024729</v>
      </c>
      <c r="O57" s="3">
        <v>0.23781646038105006</v>
      </c>
      <c r="P57" s="3">
        <v>0.23749949292967309</v>
      </c>
    </row>
    <row r="58" spans="1:16">
      <c r="A58" s="84" t="s">
        <v>189</v>
      </c>
      <c r="B58" s="85" t="s">
        <v>188</v>
      </c>
      <c r="C58" s="85" t="s">
        <v>74</v>
      </c>
      <c r="D58" s="84" t="s">
        <v>84</v>
      </c>
      <c r="E58" s="84">
        <v>2</v>
      </c>
      <c r="F58" s="3">
        <v>0.24526970832521763</v>
      </c>
      <c r="G58" s="3">
        <v>0.24908065692605519</v>
      </c>
      <c r="H58" s="3">
        <v>0.25258091230459739</v>
      </c>
      <c r="I58" s="3">
        <v>0.25572152420353361</v>
      </c>
      <c r="J58" s="3">
        <v>0.25848649400517576</v>
      </c>
      <c r="K58" s="3">
        <v>0.26087423076613675</v>
      </c>
      <c r="L58" s="3">
        <v>0.26290038607553384</v>
      </c>
      <c r="M58" s="3">
        <v>0.26459361732074321</v>
      </c>
      <c r="N58" s="3">
        <v>0.26565255093241635</v>
      </c>
      <c r="O58" s="3">
        <v>0.26572311799935872</v>
      </c>
      <c r="P58" s="3">
        <v>0.26467931724625238</v>
      </c>
    </row>
    <row r="59" spans="1:16">
      <c r="A59" s="84" t="s">
        <v>191</v>
      </c>
      <c r="B59" s="85" t="s">
        <v>190</v>
      </c>
      <c r="C59" s="85" t="s">
        <v>92</v>
      </c>
      <c r="D59" s="84" t="s">
        <v>84</v>
      </c>
      <c r="E59" s="84">
        <v>1</v>
      </c>
      <c r="F59" s="3">
        <v>0.24127047294320708</v>
      </c>
      <c r="G59" s="3">
        <v>0.23877882009452867</v>
      </c>
      <c r="H59" s="3">
        <v>0.23701546874478499</v>
      </c>
      <c r="I59" s="3">
        <v>0.23586865576308846</v>
      </c>
      <c r="J59" s="3">
        <v>0.23504461078363698</v>
      </c>
      <c r="K59" s="3">
        <v>0.23432783228178686</v>
      </c>
      <c r="L59" s="3">
        <v>0.23392675101525351</v>
      </c>
      <c r="M59" s="3">
        <v>0.23352166280906902</v>
      </c>
      <c r="N59" s="3">
        <v>0.23311843610102786</v>
      </c>
      <c r="O59" s="3">
        <v>0.23271576190476972</v>
      </c>
      <c r="P59" s="3">
        <v>0.2323054626900084</v>
      </c>
    </row>
    <row r="60" spans="1:16">
      <c r="A60" s="84" t="s">
        <v>193</v>
      </c>
      <c r="B60" s="85" t="s">
        <v>192</v>
      </c>
      <c r="C60" s="85" t="s">
        <v>83</v>
      </c>
      <c r="D60" s="84" t="s">
        <v>80</v>
      </c>
      <c r="E60" s="84">
        <v>3</v>
      </c>
      <c r="F60" s="3">
        <v>0.27674364410701702</v>
      </c>
      <c r="G60" s="3">
        <v>0.27436979278215906</v>
      </c>
      <c r="H60" s="3">
        <v>0.27289680131367666</v>
      </c>
      <c r="I60" s="3">
        <v>0.27183155416052396</v>
      </c>
      <c r="J60" s="3">
        <v>0.27074468349090547</v>
      </c>
      <c r="K60" s="3">
        <v>0.26942981789726267</v>
      </c>
      <c r="L60" s="3">
        <v>0.26840638606400613</v>
      </c>
      <c r="M60" s="3">
        <v>0.26771353432175937</v>
      </c>
      <c r="N60" s="3">
        <v>0.26710993141741296</v>
      </c>
      <c r="O60" s="3">
        <v>0.26647943845793337</v>
      </c>
      <c r="P60" s="3">
        <v>0.26578159788924099</v>
      </c>
    </row>
    <row r="61" spans="1:16">
      <c r="A61" s="84" t="s">
        <v>195</v>
      </c>
      <c r="B61" s="85" t="s">
        <v>194</v>
      </c>
      <c r="C61" s="85" t="s">
        <v>83</v>
      </c>
      <c r="D61" s="84" t="s">
        <v>75</v>
      </c>
      <c r="E61" s="84">
        <v>3</v>
      </c>
      <c r="F61" s="3">
        <v>0.28953945422705907</v>
      </c>
      <c r="G61" s="3">
        <v>0.29103763273631078</v>
      </c>
      <c r="H61" s="3">
        <v>0.29187916543021358</v>
      </c>
      <c r="I61" s="3">
        <v>0.2918968146881229</v>
      </c>
      <c r="J61" s="3">
        <v>0.29085827571551714</v>
      </c>
      <c r="K61" s="3">
        <v>0.28867935152372076</v>
      </c>
      <c r="L61" s="3">
        <v>0.28544594394406902</v>
      </c>
      <c r="M61" s="3">
        <v>0.28113750390054448</v>
      </c>
      <c r="N61" s="3">
        <v>0.27627138984507921</v>
      </c>
      <c r="O61" s="3">
        <v>0.2715794982636543</v>
      </c>
      <c r="P61" s="3">
        <v>0.26752548053449227</v>
      </c>
    </row>
    <row r="62" spans="1:16">
      <c r="A62" s="84" t="s">
        <v>197</v>
      </c>
      <c r="B62" s="85" t="s">
        <v>196</v>
      </c>
      <c r="C62" s="85" t="s">
        <v>79</v>
      </c>
      <c r="D62" s="84" t="s">
        <v>87</v>
      </c>
      <c r="E62" s="84">
        <v>1</v>
      </c>
      <c r="F62" s="3">
        <v>0.19403189350315292</v>
      </c>
      <c r="G62" s="3">
        <v>0.19842485987317343</v>
      </c>
      <c r="H62" s="3">
        <v>0.2020070837047224</v>
      </c>
      <c r="I62" s="3">
        <v>0.20461567687181367</v>
      </c>
      <c r="J62" s="3">
        <v>0.20638974865116541</v>
      </c>
      <c r="K62" s="3">
        <v>0.2075929169341619</v>
      </c>
      <c r="L62" s="3">
        <v>0.20840277021764797</v>
      </c>
      <c r="M62" s="3">
        <v>0.20855367642089606</v>
      </c>
      <c r="N62" s="3">
        <v>0.20830000490594447</v>
      </c>
      <c r="O62" s="3">
        <v>0.20783935805311757</v>
      </c>
      <c r="P62" s="3">
        <v>0.20717074616199163</v>
      </c>
    </row>
    <row r="63" spans="1:16">
      <c r="A63" s="84" t="s">
        <v>199</v>
      </c>
      <c r="B63" s="85" t="s">
        <v>198</v>
      </c>
      <c r="C63" s="85" t="s">
        <v>83</v>
      </c>
      <c r="D63" s="84" t="s">
        <v>75</v>
      </c>
      <c r="E63" s="84" t="s">
        <v>76</v>
      </c>
      <c r="F63" s="3">
        <v>0.27356248657664634</v>
      </c>
      <c r="G63" s="3">
        <v>0.27224504037719138</v>
      </c>
      <c r="H63" s="3">
        <v>0.27109119366352774</v>
      </c>
      <c r="I63" s="3">
        <v>0.27013219093452623</v>
      </c>
      <c r="J63" s="3">
        <v>0.26938495335464524</v>
      </c>
      <c r="K63" s="3">
        <v>0.26883809859008528</v>
      </c>
      <c r="L63" s="3">
        <v>0.26849755381646762</v>
      </c>
      <c r="M63" s="3">
        <v>0.26832009597361228</v>
      </c>
      <c r="N63" s="3">
        <v>0.26823868640616344</v>
      </c>
      <c r="O63" s="3">
        <v>0.26812792419006071</v>
      </c>
      <c r="P63" s="3">
        <v>0.26788943114113534</v>
      </c>
    </row>
    <row r="64" spans="1:16">
      <c r="A64" s="84" t="s">
        <v>201</v>
      </c>
      <c r="B64" s="85" t="s">
        <v>200</v>
      </c>
      <c r="C64" s="85" t="s">
        <v>99</v>
      </c>
      <c r="D64" s="84" t="s">
        <v>80</v>
      </c>
      <c r="E64" s="84">
        <v>4</v>
      </c>
      <c r="F64" s="3">
        <v>0.24097302298141646</v>
      </c>
      <c r="G64" s="3">
        <v>0.24314399310479048</v>
      </c>
      <c r="H64" s="3">
        <v>0.24525586873168101</v>
      </c>
      <c r="I64" s="3">
        <v>0.24721941911858675</v>
      </c>
      <c r="J64" s="3">
        <v>0.24886002699315746</v>
      </c>
      <c r="K64" s="3">
        <v>0.25004200626275197</v>
      </c>
      <c r="L64" s="3">
        <v>0.25083088232099643</v>
      </c>
      <c r="M64" s="3">
        <v>0.25107999065954034</v>
      </c>
      <c r="N64" s="3">
        <v>0.25082848436854432</v>
      </c>
      <c r="O64" s="3">
        <v>0.25020052838828721</v>
      </c>
      <c r="P64" s="3">
        <v>0.2493020072555</v>
      </c>
    </row>
    <row r="65" spans="1:16">
      <c r="A65" s="84" t="s">
        <v>203</v>
      </c>
      <c r="B65" s="85" t="s">
        <v>202</v>
      </c>
      <c r="C65" s="85" t="s">
        <v>79</v>
      </c>
      <c r="D65" s="84" t="s">
        <v>87</v>
      </c>
      <c r="E65" s="84">
        <v>1</v>
      </c>
      <c r="F65" s="3">
        <v>0.21373363272051032</v>
      </c>
      <c r="G65" s="3">
        <v>0.21483182071576692</v>
      </c>
      <c r="H65" s="3">
        <v>0.21552107821742655</v>
      </c>
      <c r="I65" s="3">
        <v>0.21563103848197548</v>
      </c>
      <c r="J65" s="3">
        <v>0.21503124233031681</v>
      </c>
      <c r="K65" s="3">
        <v>0.21371011160325198</v>
      </c>
      <c r="L65" s="3">
        <v>0.2120747546270873</v>
      </c>
      <c r="M65" s="3">
        <v>0.20989837034600514</v>
      </c>
      <c r="N65" s="3">
        <v>0.20720655336511692</v>
      </c>
      <c r="O65" s="3">
        <v>0.20417842698641026</v>
      </c>
      <c r="P65" s="3">
        <v>0.20101741191577063</v>
      </c>
    </row>
    <row r="66" spans="1:16">
      <c r="A66" s="84" t="s">
        <v>205</v>
      </c>
      <c r="B66" s="85" t="s">
        <v>204</v>
      </c>
      <c r="C66" s="85" t="s">
        <v>79</v>
      </c>
      <c r="D66" s="84" t="s">
        <v>87</v>
      </c>
      <c r="E66" s="84">
        <v>1</v>
      </c>
      <c r="F66" s="3">
        <v>0.21176264593036265</v>
      </c>
      <c r="G66" s="3">
        <v>0.21270232684841653</v>
      </c>
      <c r="H66" s="3">
        <v>0.21307375385593139</v>
      </c>
      <c r="I66" s="3">
        <v>0.2128965193369701</v>
      </c>
      <c r="J66" s="3">
        <v>0.21232765398991782</v>
      </c>
      <c r="K66" s="3">
        <v>0.21158710095320113</v>
      </c>
      <c r="L66" s="3">
        <v>0.21110380099728981</v>
      </c>
      <c r="M66" s="3">
        <v>0.21040757524122336</v>
      </c>
      <c r="N66" s="3">
        <v>0.20956551715459162</v>
      </c>
      <c r="O66" s="3">
        <v>0.20857845938301381</v>
      </c>
      <c r="P66" s="3">
        <v>0.20743574454658353</v>
      </c>
    </row>
    <row r="67" spans="1:16">
      <c r="A67" s="84" t="s">
        <v>207</v>
      </c>
      <c r="B67" s="85" t="s">
        <v>206</v>
      </c>
      <c r="C67" s="85" t="s">
        <v>83</v>
      </c>
      <c r="D67" s="84" t="s">
        <v>80</v>
      </c>
      <c r="E67" s="84">
        <v>3</v>
      </c>
      <c r="F67" s="3">
        <v>0.24026900685054361</v>
      </c>
      <c r="G67" s="3">
        <v>0.24423765970836889</v>
      </c>
      <c r="H67" s="3">
        <v>0.24854278480126099</v>
      </c>
      <c r="I67" s="3">
        <v>0.25306359953348684</v>
      </c>
      <c r="J67" s="3">
        <v>0.25744332275009774</v>
      </c>
      <c r="K67" s="3">
        <v>0.26131466415484383</v>
      </c>
      <c r="L67" s="3">
        <v>0.26458872428073582</v>
      </c>
      <c r="M67" s="3">
        <v>0.26718888566420634</v>
      </c>
      <c r="N67" s="3">
        <v>0.269032597370643</v>
      </c>
      <c r="O67" s="3">
        <v>0.27010491880610066</v>
      </c>
      <c r="P67" s="3">
        <v>0.27046438723603838</v>
      </c>
    </row>
    <row r="68" spans="1:16">
      <c r="A68" s="84" t="s">
        <v>209</v>
      </c>
      <c r="B68" s="85" t="s">
        <v>208</v>
      </c>
      <c r="C68" s="85" t="s">
        <v>83</v>
      </c>
      <c r="D68" s="84" t="s">
        <v>75</v>
      </c>
      <c r="E68" s="84">
        <v>3</v>
      </c>
      <c r="F68" s="3">
        <v>0.26714493279471313</v>
      </c>
      <c r="G68" s="3">
        <v>0.26807742348776442</v>
      </c>
      <c r="H68" s="3">
        <v>0.26925612133864435</v>
      </c>
      <c r="I68" s="3">
        <v>0.27060526118883838</v>
      </c>
      <c r="J68" s="3">
        <v>0.2719889556930255</v>
      </c>
      <c r="K68" s="3">
        <v>0.2732732146985643</v>
      </c>
      <c r="L68" s="3">
        <v>0.27403793308433433</v>
      </c>
      <c r="M68" s="3">
        <v>0.27473346413816335</v>
      </c>
      <c r="N68" s="3">
        <v>0.27534497606025848</v>
      </c>
      <c r="O68" s="3">
        <v>0.27585933623231684</v>
      </c>
      <c r="P68" s="3">
        <v>0.27625197664298967</v>
      </c>
    </row>
    <row r="69" spans="1:16">
      <c r="A69" s="84" t="s">
        <v>211</v>
      </c>
      <c r="B69" s="85" t="s">
        <v>210</v>
      </c>
      <c r="C69" s="85" t="s">
        <v>79</v>
      </c>
      <c r="D69" s="84" t="s">
        <v>80</v>
      </c>
      <c r="E69" s="84">
        <v>1</v>
      </c>
      <c r="F69" s="3">
        <v>0.20850091872472093</v>
      </c>
      <c r="G69" s="3">
        <v>0.21372354404234908</v>
      </c>
      <c r="H69" s="3">
        <v>0.21892004889632727</v>
      </c>
      <c r="I69" s="3">
        <v>0.22379231580537232</v>
      </c>
      <c r="J69" s="3">
        <v>0.2279941446934107</v>
      </c>
      <c r="K69" s="3">
        <v>0.23136875933333445</v>
      </c>
      <c r="L69" s="3">
        <v>0.23372567930252111</v>
      </c>
      <c r="M69" s="3">
        <v>0.23514121641914748</v>
      </c>
      <c r="N69" s="3">
        <v>0.23560353615490864</v>
      </c>
      <c r="O69" s="3">
        <v>0.23520119333962336</v>
      </c>
      <c r="P69" s="3">
        <v>0.23404888199212384</v>
      </c>
    </row>
    <row r="70" spans="1:16">
      <c r="A70" s="84" t="s">
        <v>213</v>
      </c>
      <c r="B70" s="85" t="s">
        <v>212</v>
      </c>
      <c r="C70" s="85" t="s">
        <v>79</v>
      </c>
      <c r="D70" s="84" t="s">
        <v>87</v>
      </c>
      <c r="E70" s="84">
        <v>1</v>
      </c>
      <c r="F70" s="3">
        <v>0.18210760672047424</v>
      </c>
      <c r="G70" s="3">
        <v>0.18292218067836855</v>
      </c>
      <c r="H70" s="3">
        <v>0.18423199373607985</v>
      </c>
      <c r="I70" s="3">
        <v>0.18602723199912041</v>
      </c>
      <c r="J70" s="3">
        <v>0.18806016357787461</v>
      </c>
      <c r="K70" s="3">
        <v>0.18999639106765065</v>
      </c>
      <c r="L70" s="3">
        <v>0.19202625989852057</v>
      </c>
      <c r="M70" s="3">
        <v>0.19383631918219268</v>
      </c>
      <c r="N70" s="3">
        <v>0.19530740778753466</v>
      </c>
      <c r="O70" s="3">
        <v>0.19644223024357663</v>
      </c>
      <c r="P70" s="3">
        <v>0.19734453680621489</v>
      </c>
    </row>
    <row r="71" spans="1:16">
      <c r="A71" s="84" t="s">
        <v>215</v>
      </c>
      <c r="B71" s="85" t="s">
        <v>214</v>
      </c>
      <c r="C71" s="85" t="s">
        <v>83</v>
      </c>
      <c r="D71" s="84" t="s">
        <v>84</v>
      </c>
      <c r="E71" s="84">
        <v>3</v>
      </c>
      <c r="F71" s="3">
        <v>0.26036023858930885</v>
      </c>
      <c r="G71" s="3">
        <v>0.26086857688662557</v>
      </c>
      <c r="H71" s="3">
        <v>0.26131230084332657</v>
      </c>
      <c r="I71" s="3">
        <v>0.26166699267005605</v>
      </c>
      <c r="J71" s="3">
        <v>0.26190803052005091</v>
      </c>
      <c r="K71" s="3">
        <v>0.26202927853097308</v>
      </c>
      <c r="L71" s="3">
        <v>0.2620779257639313</v>
      </c>
      <c r="M71" s="3">
        <v>0.26199986106315515</v>
      </c>
      <c r="N71" s="3">
        <v>0.26177180546429824</v>
      </c>
      <c r="O71" s="3">
        <v>0.26135528353518273</v>
      </c>
      <c r="P71" s="3">
        <v>0.26073338770352555</v>
      </c>
    </row>
    <row r="72" spans="1:16">
      <c r="A72" s="84" t="s">
        <v>217</v>
      </c>
      <c r="B72" s="85" t="s">
        <v>216</v>
      </c>
      <c r="C72" s="85" t="s">
        <v>79</v>
      </c>
      <c r="D72" s="84" t="s">
        <v>87</v>
      </c>
      <c r="E72" s="84">
        <v>1</v>
      </c>
      <c r="F72" s="3">
        <v>0.19490459476891803</v>
      </c>
      <c r="G72" s="3">
        <v>0.19550058853715735</v>
      </c>
      <c r="H72" s="3">
        <v>0.19591323969170493</v>
      </c>
      <c r="I72" s="3">
        <v>0.19600158262804174</v>
      </c>
      <c r="J72" s="3">
        <v>0.19552523951316009</v>
      </c>
      <c r="K72" s="3">
        <v>0.19429878943872939</v>
      </c>
      <c r="L72" s="3">
        <v>0.19251839391788295</v>
      </c>
      <c r="M72" s="3">
        <v>0.19001773979159942</v>
      </c>
      <c r="N72" s="3">
        <v>0.18698415428779563</v>
      </c>
      <c r="O72" s="3">
        <v>0.18379223088455948</v>
      </c>
      <c r="P72" s="3">
        <v>0.18075275968272222</v>
      </c>
    </row>
    <row r="73" spans="1:16">
      <c r="A73" s="84" t="s">
        <v>219</v>
      </c>
      <c r="B73" s="85" t="s">
        <v>218</v>
      </c>
      <c r="C73" s="85" t="s">
        <v>92</v>
      </c>
      <c r="D73" s="84" t="s">
        <v>80</v>
      </c>
      <c r="E73" s="84">
        <v>1</v>
      </c>
      <c r="F73" s="3">
        <v>0.21914143731633262</v>
      </c>
      <c r="G73" s="3">
        <v>0.22173228654393287</v>
      </c>
      <c r="H73" s="3">
        <v>0.22492145366989982</v>
      </c>
      <c r="I73" s="3">
        <v>0.22831506460176124</v>
      </c>
      <c r="J73" s="3">
        <v>0.23134079636128371</v>
      </c>
      <c r="K73" s="3">
        <v>0.23355630970829988</v>
      </c>
      <c r="L73" s="3">
        <v>0.23506649119016296</v>
      </c>
      <c r="M73" s="3">
        <v>0.2356307710461881</v>
      </c>
      <c r="N73" s="3">
        <v>0.23545226254369983</v>
      </c>
      <c r="O73" s="3">
        <v>0.23472266056493604</v>
      </c>
      <c r="P73" s="3">
        <v>0.23355292397949606</v>
      </c>
    </row>
    <row r="74" spans="1:16">
      <c r="A74" s="84" t="s">
        <v>221</v>
      </c>
      <c r="B74" s="85" t="s">
        <v>220</v>
      </c>
      <c r="C74" s="85" t="s">
        <v>92</v>
      </c>
      <c r="D74" s="84" t="s">
        <v>80</v>
      </c>
      <c r="E74" s="84">
        <v>1</v>
      </c>
      <c r="F74" s="3">
        <v>0.26719123072552969</v>
      </c>
      <c r="G74" s="3">
        <v>0.26432145018072678</v>
      </c>
      <c r="H74" s="3">
        <v>0.26144236396819642</v>
      </c>
      <c r="I74" s="3">
        <v>0.25870993587973479</v>
      </c>
      <c r="J74" s="3">
        <v>0.25630485670236913</v>
      </c>
      <c r="K74" s="3">
        <v>0.25431228266339106</v>
      </c>
      <c r="L74" s="3">
        <v>0.25264508905251643</v>
      </c>
      <c r="M74" s="3">
        <v>0.25133558366177788</v>
      </c>
      <c r="N74" s="3">
        <v>0.25029792855336019</v>
      </c>
      <c r="O74" s="3">
        <v>0.24937903653180052</v>
      </c>
      <c r="P74" s="3">
        <v>0.24847643182384369</v>
      </c>
    </row>
    <row r="75" spans="1:16">
      <c r="A75" s="84" t="s">
        <v>223</v>
      </c>
      <c r="B75" s="85" t="s">
        <v>222</v>
      </c>
      <c r="C75" s="85" t="s">
        <v>83</v>
      </c>
      <c r="D75" s="84" t="s">
        <v>75</v>
      </c>
      <c r="E75" s="84">
        <v>3</v>
      </c>
      <c r="F75" s="3">
        <v>0.27549013854879506</v>
      </c>
      <c r="G75" s="3">
        <v>0.27435322074755447</v>
      </c>
      <c r="H75" s="3">
        <v>0.27325383010512894</v>
      </c>
      <c r="I75" s="3">
        <v>0.27222083258184904</v>
      </c>
      <c r="J75" s="3">
        <v>0.27127513861684588</v>
      </c>
      <c r="K75" s="3">
        <v>0.27042765272724312</v>
      </c>
      <c r="L75" s="3">
        <v>0.26963606642400856</v>
      </c>
      <c r="M75" s="3">
        <v>0.26892429930672301</v>
      </c>
      <c r="N75" s="3">
        <v>0.26830639489077235</v>
      </c>
      <c r="O75" s="3">
        <v>0.26778112542403193</v>
      </c>
      <c r="P75" s="3">
        <v>0.26733454949517005</v>
      </c>
    </row>
    <row r="76" spans="1:16">
      <c r="A76" s="84" t="s">
        <v>225</v>
      </c>
      <c r="B76" s="85" t="s">
        <v>224</v>
      </c>
      <c r="C76" s="85" t="s">
        <v>83</v>
      </c>
      <c r="D76" s="84" t="s">
        <v>75</v>
      </c>
      <c r="E76" s="84">
        <v>3</v>
      </c>
      <c r="F76" s="3">
        <v>0.27095265296714421</v>
      </c>
      <c r="G76" s="3">
        <v>0.27214657073084947</v>
      </c>
      <c r="H76" s="3">
        <v>0.27324410493388013</v>
      </c>
      <c r="I76" s="3">
        <v>0.27418706763042716</v>
      </c>
      <c r="J76" s="3">
        <v>0.27489766185443809</v>
      </c>
      <c r="K76" s="3">
        <v>0.27532961562870584</v>
      </c>
      <c r="L76" s="3">
        <v>0.27540100118341881</v>
      </c>
      <c r="M76" s="3">
        <v>0.27522675994543166</v>
      </c>
      <c r="N76" s="3">
        <v>0.27480747964891905</v>
      </c>
      <c r="O76" s="3">
        <v>0.274159278888368</v>
      </c>
      <c r="P76" s="3">
        <v>0.27330080432386444</v>
      </c>
    </row>
    <row r="77" spans="1:16">
      <c r="A77" s="84" t="s">
        <v>227</v>
      </c>
      <c r="B77" s="85" t="s">
        <v>226</v>
      </c>
      <c r="C77" s="85" t="s">
        <v>92</v>
      </c>
      <c r="D77" s="84" t="s">
        <v>80</v>
      </c>
      <c r="E77" s="84">
        <v>2</v>
      </c>
      <c r="F77" s="3">
        <v>0.24627147708550487</v>
      </c>
      <c r="G77" s="3">
        <v>0.24468673355029918</v>
      </c>
      <c r="H77" s="3">
        <v>0.2435005048805117</v>
      </c>
      <c r="I77" s="3">
        <v>0.24278432767831637</v>
      </c>
      <c r="J77" s="3">
        <v>0.24253772129760454</v>
      </c>
      <c r="K77" s="3">
        <v>0.24276079258238034</v>
      </c>
      <c r="L77" s="3">
        <v>0.2432780430741403</v>
      </c>
      <c r="M77" s="3">
        <v>0.24410839495220382</v>
      </c>
      <c r="N77" s="3">
        <v>0.24506389342033713</v>
      </c>
      <c r="O77" s="3">
        <v>0.24584221893672539</v>
      </c>
      <c r="P77" s="3">
        <v>0.24623849351238297</v>
      </c>
    </row>
    <row r="78" spans="1:16">
      <c r="A78" s="84" t="s">
        <v>229</v>
      </c>
      <c r="B78" s="85" t="s">
        <v>228</v>
      </c>
      <c r="C78" s="85" t="s">
        <v>92</v>
      </c>
      <c r="D78" s="84" t="s">
        <v>75</v>
      </c>
      <c r="E78" s="84">
        <v>2</v>
      </c>
      <c r="F78" s="3">
        <v>0.26163143429473162</v>
      </c>
      <c r="G78" s="3">
        <v>0.26073538137355007</v>
      </c>
      <c r="H78" s="3">
        <v>0.25975558058158382</v>
      </c>
      <c r="I78" s="3">
        <v>0.25871802061474719</v>
      </c>
      <c r="J78" s="3">
        <v>0.25762408862742081</v>
      </c>
      <c r="K78" s="3">
        <v>0.25647470421285057</v>
      </c>
      <c r="L78" s="3">
        <v>0.25534238853613478</v>
      </c>
      <c r="M78" s="3">
        <v>0.25409805243328176</v>
      </c>
      <c r="N78" s="3">
        <v>0.25275939407525122</v>
      </c>
      <c r="O78" s="3">
        <v>0.25135235275201068</v>
      </c>
      <c r="P78" s="3">
        <v>0.24991494568944758</v>
      </c>
    </row>
    <row r="79" spans="1:16">
      <c r="A79" s="84" t="s">
        <v>231</v>
      </c>
      <c r="B79" s="85" t="s">
        <v>230</v>
      </c>
      <c r="C79" s="85" t="s">
        <v>92</v>
      </c>
      <c r="D79" s="84" t="s">
        <v>84</v>
      </c>
      <c r="E79" s="84">
        <v>1</v>
      </c>
      <c r="F79" s="3">
        <v>0.26144221868459627</v>
      </c>
      <c r="G79" s="3">
        <v>0.25768742636397213</v>
      </c>
      <c r="H79" s="3">
        <v>0.25424308791664857</v>
      </c>
      <c r="I79" s="3">
        <v>0.25114377798500048</v>
      </c>
      <c r="J79" s="3">
        <v>0.24835637561618867</v>
      </c>
      <c r="K79" s="3">
        <v>0.24582572288231452</v>
      </c>
      <c r="L79" s="3">
        <v>0.24357234095402727</v>
      </c>
      <c r="M79" s="3">
        <v>0.24153904753124764</v>
      </c>
      <c r="N79" s="3">
        <v>0.2397650754150969</v>
      </c>
      <c r="O79" s="3">
        <v>0.23828579557909355</v>
      </c>
      <c r="P79" s="3">
        <v>0.23710178277926375</v>
      </c>
    </row>
    <row r="80" spans="1:16">
      <c r="A80" s="84" t="s">
        <v>233</v>
      </c>
      <c r="B80" s="85" t="s">
        <v>232</v>
      </c>
      <c r="C80" s="85" t="s">
        <v>79</v>
      </c>
      <c r="D80" s="84" t="s">
        <v>87</v>
      </c>
      <c r="E80" s="84">
        <v>1</v>
      </c>
      <c r="F80" s="3">
        <v>0.1824830642560418</v>
      </c>
      <c r="G80" s="3">
        <v>0.18246700509824715</v>
      </c>
      <c r="H80" s="3">
        <v>0.1828065979350971</v>
      </c>
      <c r="I80" s="3">
        <v>0.18345896359576994</v>
      </c>
      <c r="J80" s="3">
        <v>0.18427371855208718</v>
      </c>
      <c r="K80" s="3">
        <v>0.18506352756817093</v>
      </c>
      <c r="L80" s="3">
        <v>0.18592320923650621</v>
      </c>
      <c r="M80" s="3">
        <v>0.18661500306194506</v>
      </c>
      <c r="N80" s="3">
        <v>0.18724126207682631</v>
      </c>
      <c r="O80" s="3">
        <v>0.18802575326683649</v>
      </c>
      <c r="P80" s="3">
        <v>0.18912708101913908</v>
      </c>
    </row>
    <row r="81" spans="1:16">
      <c r="A81" s="84" t="s">
        <v>235</v>
      </c>
      <c r="B81" s="85" t="s">
        <v>234</v>
      </c>
      <c r="C81" s="85" t="s">
        <v>79</v>
      </c>
      <c r="D81" s="84" t="s">
        <v>87</v>
      </c>
      <c r="E81" s="84">
        <v>1</v>
      </c>
      <c r="F81" s="3">
        <v>0.22094319877854224</v>
      </c>
      <c r="G81" s="3">
        <v>0.22168995525297169</v>
      </c>
      <c r="H81" s="3">
        <v>0.22200794062035661</v>
      </c>
      <c r="I81" s="3">
        <v>0.22176543459834522</v>
      </c>
      <c r="J81" s="3">
        <v>0.22090277587106338</v>
      </c>
      <c r="K81" s="3">
        <v>0.21956394849785393</v>
      </c>
      <c r="L81" s="3">
        <v>0.21796469259629203</v>
      </c>
      <c r="M81" s="3">
        <v>0.216008512244933</v>
      </c>
      <c r="N81" s="3">
        <v>0.21383645639500945</v>
      </c>
      <c r="O81" s="3">
        <v>0.21160980502617507</v>
      </c>
      <c r="P81" s="3">
        <v>0.20942672969488607</v>
      </c>
    </row>
    <row r="82" spans="1:16">
      <c r="A82" s="84" t="s">
        <v>237</v>
      </c>
      <c r="B82" s="85" t="s">
        <v>236</v>
      </c>
      <c r="C82" s="85" t="s">
        <v>110</v>
      </c>
      <c r="D82" s="84" t="s">
        <v>84</v>
      </c>
      <c r="E82" s="84" t="s">
        <v>76</v>
      </c>
      <c r="F82" s="3">
        <v>0.24701278725238396</v>
      </c>
      <c r="G82" s="3">
        <v>0.24443135877362185</v>
      </c>
      <c r="H82" s="3">
        <v>0.24183038035948282</v>
      </c>
      <c r="I82" s="3">
        <v>0.23923390100823641</v>
      </c>
      <c r="J82" s="3">
        <v>0.2366547785127934</v>
      </c>
      <c r="K82" s="3">
        <v>0.23410433408347325</v>
      </c>
      <c r="L82" s="3">
        <v>0.23174295147868507</v>
      </c>
      <c r="M82" s="3">
        <v>0.22940138273379304</v>
      </c>
      <c r="N82" s="3">
        <v>0.2271980018368257</v>
      </c>
      <c r="O82" s="3">
        <v>0.22527934782541148</v>
      </c>
      <c r="P82" s="3">
        <v>0.22372483850354252</v>
      </c>
    </row>
    <row r="83" spans="1:16">
      <c r="A83" s="84" t="s">
        <v>239</v>
      </c>
      <c r="B83" s="85" t="s">
        <v>238</v>
      </c>
      <c r="C83" s="85" t="s">
        <v>110</v>
      </c>
      <c r="D83" s="84" t="s">
        <v>80</v>
      </c>
      <c r="E83" s="84" t="s">
        <v>76</v>
      </c>
      <c r="F83" s="3">
        <v>0.23638097294710173</v>
      </c>
      <c r="G83" s="3">
        <v>0.23605860511784854</v>
      </c>
      <c r="H83" s="3">
        <v>0.2355142635850925</v>
      </c>
      <c r="I83" s="3">
        <v>0.23481001447463845</v>
      </c>
      <c r="J83" s="3">
        <v>0.23408801350786418</v>
      </c>
      <c r="K83" s="3">
        <v>0.23347770766542128</v>
      </c>
      <c r="L83" s="3">
        <v>0.23316193840064064</v>
      </c>
      <c r="M83" s="3">
        <v>0.23298248402288432</v>
      </c>
      <c r="N83" s="3">
        <v>0.23280196839701781</v>
      </c>
      <c r="O83" s="3">
        <v>0.23240470166599991</v>
      </c>
      <c r="P83" s="3">
        <v>0.23166598894985968</v>
      </c>
    </row>
    <row r="84" spans="1:16">
      <c r="A84" s="84" t="s">
        <v>241</v>
      </c>
      <c r="B84" s="85" t="s">
        <v>240</v>
      </c>
      <c r="C84" s="85" t="s">
        <v>74</v>
      </c>
      <c r="D84" s="84" t="s">
        <v>80</v>
      </c>
      <c r="E84" s="84">
        <v>2</v>
      </c>
      <c r="F84" s="3">
        <v>0.20084594607042072</v>
      </c>
      <c r="G84" s="3">
        <v>0.20442693423514283</v>
      </c>
      <c r="H84" s="3">
        <v>0.20856412008281214</v>
      </c>
      <c r="I84" s="3">
        <v>0.21316239980298529</v>
      </c>
      <c r="J84" s="3">
        <v>0.21778753863696182</v>
      </c>
      <c r="K84" s="3">
        <v>0.22192037481887419</v>
      </c>
      <c r="L84" s="3">
        <v>0.22532238165884144</v>
      </c>
      <c r="M84" s="3">
        <v>0.22787636249374751</v>
      </c>
      <c r="N84" s="3">
        <v>0.2295674726745571</v>
      </c>
      <c r="O84" s="3">
        <v>0.23053872787835794</v>
      </c>
      <c r="P84" s="3">
        <v>0.23098109470855965</v>
      </c>
    </row>
    <row r="85" spans="1:16">
      <c r="A85" s="84" t="s">
        <v>243</v>
      </c>
      <c r="B85" s="85" t="s">
        <v>242</v>
      </c>
      <c r="C85" s="85" t="s">
        <v>74</v>
      </c>
      <c r="D85" s="84" t="s">
        <v>80</v>
      </c>
      <c r="E85" s="84">
        <v>2</v>
      </c>
      <c r="F85" s="3">
        <v>0.26315746270188201</v>
      </c>
      <c r="G85" s="3">
        <v>0.26317495113530887</v>
      </c>
      <c r="H85" s="3">
        <v>0.26289628912738316</v>
      </c>
      <c r="I85" s="3">
        <v>0.2623333861865903</v>
      </c>
      <c r="J85" s="3">
        <v>0.26164378988802212</v>
      </c>
      <c r="K85" s="3">
        <v>0.26101070137513782</v>
      </c>
      <c r="L85" s="3">
        <v>0.26063645491489612</v>
      </c>
      <c r="M85" s="3">
        <v>0.26036792274515619</v>
      </c>
      <c r="N85" s="3">
        <v>0.26009281216193952</v>
      </c>
      <c r="O85" s="3">
        <v>0.25962245593138522</v>
      </c>
      <c r="P85" s="3">
        <v>0.2588376921527164</v>
      </c>
    </row>
    <row r="86" spans="1:16">
      <c r="A86" s="84" t="s">
        <v>245</v>
      </c>
      <c r="B86" s="85" t="s">
        <v>244</v>
      </c>
      <c r="C86" s="85" t="s">
        <v>79</v>
      </c>
      <c r="D86" s="84" t="s">
        <v>87</v>
      </c>
      <c r="E86" s="84">
        <v>1</v>
      </c>
      <c r="F86" s="3">
        <v>0.22696446879622478</v>
      </c>
      <c r="G86" s="3">
        <v>0.22936343847266744</v>
      </c>
      <c r="H86" s="3">
        <v>0.23100007089333166</v>
      </c>
      <c r="I86" s="3">
        <v>0.23169996572071902</v>
      </c>
      <c r="J86" s="3">
        <v>0.23142430543712855</v>
      </c>
      <c r="K86" s="3">
        <v>0.23028297801270953</v>
      </c>
      <c r="L86" s="3">
        <v>0.22870946878362394</v>
      </c>
      <c r="M86" s="3">
        <v>0.22648777673398549</v>
      </c>
      <c r="N86" s="3">
        <v>0.22370906602145324</v>
      </c>
      <c r="O86" s="3">
        <v>0.22052806392052443</v>
      </c>
      <c r="P86" s="3">
        <v>0.21705787523021475</v>
      </c>
    </row>
    <row r="87" spans="1:16">
      <c r="A87" s="84" t="s">
        <v>247</v>
      </c>
      <c r="B87" s="85" t="s">
        <v>246</v>
      </c>
      <c r="C87" s="85" t="s">
        <v>79</v>
      </c>
      <c r="D87" s="84" t="s">
        <v>87</v>
      </c>
      <c r="E87" s="84">
        <v>1</v>
      </c>
      <c r="F87" s="3">
        <v>0.24021158519106106</v>
      </c>
      <c r="G87" s="3">
        <v>0.24191207124765327</v>
      </c>
      <c r="H87" s="3">
        <v>0.24343981971312387</v>
      </c>
      <c r="I87" s="3">
        <v>0.24472679384406765</v>
      </c>
      <c r="J87" s="3">
        <v>0.24570295419569124</v>
      </c>
      <c r="K87" s="3">
        <v>0.24633995953954579</v>
      </c>
      <c r="L87" s="3">
        <v>0.24682080032653794</v>
      </c>
      <c r="M87" s="3">
        <v>0.24702822226787807</v>
      </c>
      <c r="N87" s="3">
        <v>0.24689497805023658</v>
      </c>
      <c r="O87" s="3">
        <v>0.24636401578939715</v>
      </c>
      <c r="P87" s="3">
        <v>0.24543005038180052</v>
      </c>
    </row>
    <row r="88" spans="1:16">
      <c r="A88" s="84" t="s">
        <v>249</v>
      </c>
      <c r="B88" s="85" t="s">
        <v>248</v>
      </c>
      <c r="C88" s="85" t="s">
        <v>79</v>
      </c>
      <c r="D88" s="84" t="s">
        <v>87</v>
      </c>
      <c r="E88" s="84">
        <v>1</v>
      </c>
      <c r="F88" s="3">
        <v>0.18871107006298901</v>
      </c>
      <c r="G88" s="3">
        <v>0.18953913038486664</v>
      </c>
      <c r="H88" s="3">
        <v>0.19002973405473281</v>
      </c>
      <c r="I88" s="3">
        <v>0.19010416289226573</v>
      </c>
      <c r="J88" s="3">
        <v>0.18974924855169878</v>
      </c>
      <c r="K88" s="3">
        <v>0.18901075027316924</v>
      </c>
      <c r="L88" s="3">
        <v>0.1882802951520581</v>
      </c>
      <c r="M88" s="3">
        <v>0.18726872001585279</v>
      </c>
      <c r="N88" s="3">
        <v>0.1859989438127454</v>
      </c>
      <c r="O88" s="3">
        <v>0.18453664802771483</v>
      </c>
      <c r="P88" s="3">
        <v>0.18293766318373059</v>
      </c>
    </row>
    <row r="89" spans="1:16">
      <c r="A89" s="84" t="s">
        <v>251</v>
      </c>
      <c r="B89" s="85" t="s">
        <v>250</v>
      </c>
      <c r="C89" s="85" t="s">
        <v>92</v>
      </c>
      <c r="D89" s="84" t="s">
        <v>80</v>
      </c>
      <c r="E89" s="84">
        <v>1</v>
      </c>
      <c r="F89" s="3">
        <v>0.22279116665818419</v>
      </c>
      <c r="G89" s="3">
        <v>0.22136493754561781</v>
      </c>
      <c r="H89" s="3">
        <v>0.22042961307084638</v>
      </c>
      <c r="I89" s="3">
        <v>0.21997498085611317</v>
      </c>
      <c r="J89" s="3">
        <v>0.21989020596745015</v>
      </c>
      <c r="K89" s="3">
        <v>0.2200921036201349</v>
      </c>
      <c r="L89" s="3">
        <v>0.22053482500418922</v>
      </c>
      <c r="M89" s="3">
        <v>0.22110412119364567</v>
      </c>
      <c r="N89" s="3">
        <v>0.22169826197615417</v>
      </c>
      <c r="O89" s="3">
        <v>0.22210495648418641</v>
      </c>
      <c r="P89" s="3">
        <v>0.22217660161893457</v>
      </c>
    </row>
    <row r="90" spans="1:16">
      <c r="A90" s="84" t="s">
        <v>253</v>
      </c>
      <c r="B90" s="85" t="s">
        <v>252</v>
      </c>
      <c r="C90" s="85" t="s">
        <v>99</v>
      </c>
      <c r="D90" s="84" t="s">
        <v>87</v>
      </c>
      <c r="E90" s="84">
        <v>4</v>
      </c>
      <c r="F90" s="3">
        <v>0.18545001141506418</v>
      </c>
      <c r="G90" s="3">
        <v>0.18590585326481915</v>
      </c>
      <c r="H90" s="3">
        <v>0.18619756873928922</v>
      </c>
      <c r="I90" s="3">
        <v>0.18624422775725857</v>
      </c>
      <c r="J90" s="3">
        <v>0.18607500786689954</v>
      </c>
      <c r="K90" s="3">
        <v>0.18581188149279201</v>
      </c>
      <c r="L90" s="3">
        <v>0.18565989156349832</v>
      </c>
      <c r="M90" s="3">
        <v>0.18553319754201578</v>
      </c>
      <c r="N90" s="3">
        <v>0.18543559135984081</v>
      </c>
      <c r="O90" s="3">
        <v>0.18526478568349505</v>
      </c>
      <c r="P90" s="3">
        <v>0.18486899267167872</v>
      </c>
    </row>
    <row r="91" spans="1:16">
      <c r="A91" s="84" t="s">
        <v>255</v>
      </c>
      <c r="B91" s="85" t="s">
        <v>254</v>
      </c>
      <c r="C91" s="85" t="s">
        <v>74</v>
      </c>
      <c r="D91" s="84" t="s">
        <v>80</v>
      </c>
      <c r="E91" s="84">
        <v>2</v>
      </c>
      <c r="F91" s="3">
        <v>0.2708425107412713</v>
      </c>
      <c r="G91" s="3">
        <v>0.2697990973262212</v>
      </c>
      <c r="H91" s="3">
        <v>0.26779281555117956</v>
      </c>
      <c r="I91" s="3">
        <v>0.26480302960427055</v>
      </c>
      <c r="J91" s="3">
        <v>0.26115572992850866</v>
      </c>
      <c r="K91" s="3">
        <v>0.25727801961703689</v>
      </c>
      <c r="L91" s="3">
        <v>0.25359263095713214</v>
      </c>
      <c r="M91" s="3">
        <v>0.24995093365379104</v>
      </c>
      <c r="N91" s="3">
        <v>0.24646385649532279</v>
      </c>
      <c r="O91" s="3">
        <v>0.24316607107341265</v>
      </c>
      <c r="P91" s="3">
        <v>0.24002292167541889</v>
      </c>
    </row>
    <row r="92" spans="1:16">
      <c r="A92" s="84" t="s">
        <v>257</v>
      </c>
      <c r="B92" s="85" t="s">
        <v>256</v>
      </c>
      <c r="C92" s="85" t="s">
        <v>79</v>
      </c>
      <c r="D92" s="84" t="s">
        <v>80</v>
      </c>
      <c r="E92" s="84">
        <v>2</v>
      </c>
      <c r="F92" s="3">
        <v>0.22927242807100645</v>
      </c>
      <c r="G92" s="3">
        <v>0.23819953962280732</v>
      </c>
      <c r="H92" s="3">
        <v>0.24678092524161202</v>
      </c>
      <c r="I92" s="3">
        <v>0.25454231157126955</v>
      </c>
      <c r="J92" s="3">
        <v>0.26088640631002036</v>
      </c>
      <c r="K92" s="3">
        <v>0.2654630795700032</v>
      </c>
      <c r="L92" s="3">
        <v>0.2683550495240663</v>
      </c>
      <c r="M92" s="3">
        <v>0.26947941940856229</v>
      </c>
      <c r="N92" s="3">
        <v>0.26891333441732418</v>
      </c>
      <c r="O92" s="3">
        <v>0.2669683751919476</v>
      </c>
      <c r="P92" s="3">
        <v>0.26397266928616592</v>
      </c>
    </row>
    <row r="93" spans="1:16">
      <c r="A93" s="84" t="s">
        <v>259</v>
      </c>
      <c r="B93" s="85" t="s">
        <v>258</v>
      </c>
      <c r="C93" s="85" t="s">
        <v>83</v>
      </c>
      <c r="D93" s="84" t="s">
        <v>84</v>
      </c>
      <c r="E93" s="84">
        <v>3</v>
      </c>
      <c r="F93" s="3">
        <v>0.28079088467312269</v>
      </c>
      <c r="G93" s="3">
        <v>0.27931731448991615</v>
      </c>
      <c r="H93" s="3">
        <v>0.27739980630483591</v>
      </c>
      <c r="I93" s="3">
        <v>0.27503976544799169</v>
      </c>
      <c r="J93" s="3">
        <v>0.27238387538768077</v>
      </c>
      <c r="K93" s="3">
        <v>0.26963731367480587</v>
      </c>
      <c r="L93" s="3">
        <v>0.26694384455792985</v>
      </c>
      <c r="M93" s="3">
        <v>0.26429899779938215</v>
      </c>
      <c r="N93" s="3">
        <v>0.26180309107160271</v>
      </c>
      <c r="O93" s="3">
        <v>0.25954487400737758</v>
      </c>
      <c r="P93" s="3">
        <v>0.25755453540537221</v>
      </c>
    </row>
    <row r="94" spans="1:16">
      <c r="A94" s="84" t="s">
        <v>261</v>
      </c>
      <c r="B94" s="85" t="s">
        <v>260</v>
      </c>
      <c r="C94" s="85" t="s">
        <v>99</v>
      </c>
      <c r="D94" s="84" t="s">
        <v>84</v>
      </c>
      <c r="E94" s="84">
        <v>4</v>
      </c>
      <c r="F94" s="3">
        <v>0.25125341407932072</v>
      </c>
      <c r="G94" s="3">
        <v>0.25445635482219747</v>
      </c>
      <c r="H94" s="3">
        <v>0.25865113125880018</v>
      </c>
      <c r="I94" s="3">
        <v>0.26319321533923318</v>
      </c>
      <c r="J94" s="3">
        <v>0.26706333272494981</v>
      </c>
      <c r="K94" s="3">
        <v>0.26957344875676537</v>
      </c>
      <c r="L94" s="3">
        <v>0.27072640713683216</v>
      </c>
      <c r="M94" s="3">
        <v>0.27040170777049716</v>
      </c>
      <c r="N94" s="3">
        <v>0.26906011333701352</v>
      </c>
      <c r="O94" s="3">
        <v>0.26731114486949326</v>
      </c>
      <c r="P94" s="3">
        <v>0.26565742055258285</v>
      </c>
    </row>
    <row r="95" spans="1:16">
      <c r="A95" s="84" t="s">
        <v>263</v>
      </c>
      <c r="B95" s="85" t="s">
        <v>262</v>
      </c>
      <c r="C95" s="85" t="s">
        <v>99</v>
      </c>
      <c r="D95" s="84" t="s">
        <v>87</v>
      </c>
      <c r="E95" s="84">
        <v>1</v>
      </c>
      <c r="F95" s="3">
        <v>0.16977434004535222</v>
      </c>
      <c r="G95" s="3">
        <v>0.16906098774044762</v>
      </c>
      <c r="H95" s="3">
        <v>0.16879351976273466</v>
      </c>
      <c r="I95" s="3">
        <v>0.16872201573459836</v>
      </c>
      <c r="J95" s="3">
        <v>0.16857895924784244</v>
      </c>
      <c r="K95" s="3">
        <v>0.16828322282399016</v>
      </c>
      <c r="L95" s="3">
        <v>0.16803498544748294</v>
      </c>
      <c r="M95" s="3">
        <v>0.16781182011216025</v>
      </c>
      <c r="N95" s="3">
        <v>0.1675165739942456</v>
      </c>
      <c r="O95" s="3">
        <v>0.16703381079591823</v>
      </c>
      <c r="P95" s="3">
        <v>0.16628626499065663</v>
      </c>
    </row>
    <row r="96" spans="1:16">
      <c r="A96" s="84" t="s">
        <v>265</v>
      </c>
      <c r="B96" s="85" t="s">
        <v>264</v>
      </c>
      <c r="C96" s="85" t="s">
        <v>74</v>
      </c>
      <c r="D96" s="84" t="s">
        <v>87</v>
      </c>
      <c r="E96" s="84">
        <v>1</v>
      </c>
      <c r="F96" s="3">
        <v>0.228425439674075</v>
      </c>
      <c r="G96" s="3">
        <v>0.23090343713059844</v>
      </c>
      <c r="H96" s="3">
        <v>0.23315881310691916</v>
      </c>
      <c r="I96" s="3">
        <v>0.23465852547095875</v>
      </c>
      <c r="J96" s="3">
        <v>0.2347711385671834</v>
      </c>
      <c r="K96" s="3">
        <v>0.23311185112669755</v>
      </c>
      <c r="L96" s="3">
        <v>0.23246750019421417</v>
      </c>
      <c r="M96" s="3">
        <v>0.23089659039305377</v>
      </c>
      <c r="N96" s="3">
        <v>0.22813962872651974</v>
      </c>
      <c r="O96" s="3">
        <v>0.22431569068833326</v>
      </c>
      <c r="P96" s="3">
        <v>0.21972059701707147</v>
      </c>
    </row>
    <row r="97" spans="1:16">
      <c r="A97" s="84" t="s">
        <v>267</v>
      </c>
      <c r="B97" s="85" t="s">
        <v>266</v>
      </c>
      <c r="C97" s="85" t="s">
        <v>79</v>
      </c>
      <c r="D97" s="84" t="s">
        <v>84</v>
      </c>
      <c r="E97" s="84">
        <v>1</v>
      </c>
      <c r="F97" s="3">
        <v>0.23916680737629833</v>
      </c>
      <c r="G97" s="3">
        <v>0.24507694478855588</v>
      </c>
      <c r="H97" s="3">
        <v>0.25066132601580632</v>
      </c>
      <c r="I97" s="3">
        <v>0.25568413323703632</v>
      </c>
      <c r="J97" s="3">
        <v>0.25995839115032437</v>
      </c>
      <c r="K97" s="3">
        <v>0.26343065728468973</v>
      </c>
      <c r="L97" s="3">
        <v>0.26612708016099312</v>
      </c>
      <c r="M97" s="3">
        <v>0.2680466475754793</v>
      </c>
      <c r="N97" s="3">
        <v>0.26896650605874173</v>
      </c>
      <c r="O97" s="3">
        <v>0.2686272837883466</v>
      </c>
      <c r="P97" s="3">
        <v>0.26695127961411041</v>
      </c>
    </row>
    <row r="98" spans="1:16">
      <c r="A98" s="84" t="s">
        <v>269</v>
      </c>
      <c r="B98" s="85" t="s">
        <v>268</v>
      </c>
      <c r="C98" s="85" t="s">
        <v>99</v>
      </c>
      <c r="D98" s="84" t="s">
        <v>84</v>
      </c>
      <c r="E98" s="84">
        <v>4</v>
      </c>
      <c r="F98" s="3">
        <v>0.25451523375374774</v>
      </c>
      <c r="G98" s="3">
        <v>0.25379104994030727</v>
      </c>
      <c r="H98" s="3">
        <v>0.25335271017510974</v>
      </c>
      <c r="I98" s="3">
        <v>0.25312137088053926</v>
      </c>
      <c r="J98" s="3">
        <v>0.25287563267889551</v>
      </c>
      <c r="K98" s="3">
        <v>0.25242951600418634</v>
      </c>
      <c r="L98" s="3">
        <v>0.25175823785698803</v>
      </c>
      <c r="M98" s="3">
        <v>0.25071704864444855</v>
      </c>
      <c r="N98" s="3">
        <v>0.24942712335167527</v>
      </c>
      <c r="O98" s="3">
        <v>0.24806206774549522</v>
      </c>
      <c r="P98" s="3">
        <v>0.24674147836206556</v>
      </c>
    </row>
    <row r="99" spans="1:16">
      <c r="A99" s="84" t="s">
        <v>271</v>
      </c>
      <c r="B99" s="85" t="s">
        <v>270</v>
      </c>
      <c r="C99" s="85" t="s">
        <v>79</v>
      </c>
      <c r="D99" s="84" t="s">
        <v>87</v>
      </c>
      <c r="E99" s="84">
        <v>1</v>
      </c>
      <c r="F99" s="3">
        <v>0.18151792582245133</v>
      </c>
      <c r="G99" s="3">
        <v>0.18815556560800037</v>
      </c>
      <c r="H99" s="3">
        <v>0.19527062327960629</v>
      </c>
      <c r="I99" s="3">
        <v>0.20287179988351386</v>
      </c>
      <c r="J99" s="3">
        <v>0.2102905784829307</v>
      </c>
      <c r="K99" s="3">
        <v>0.21659168720265662</v>
      </c>
      <c r="L99" s="3">
        <v>0.2216074851369351</v>
      </c>
      <c r="M99" s="3">
        <v>0.2245829727062062</v>
      </c>
      <c r="N99" s="3">
        <v>0.22581049638699885</v>
      </c>
      <c r="O99" s="3">
        <v>0.22618056022032643</v>
      </c>
      <c r="P99" s="3">
        <v>0.22649571924202408</v>
      </c>
    </row>
    <row r="100" spans="1:16">
      <c r="A100" s="84" t="s">
        <v>273</v>
      </c>
      <c r="B100" s="85" t="s">
        <v>272</v>
      </c>
      <c r="C100" s="85" t="s">
        <v>74</v>
      </c>
      <c r="D100" s="84" t="s">
        <v>80</v>
      </c>
      <c r="E100" s="84">
        <v>2</v>
      </c>
      <c r="F100" s="3">
        <v>0.21878773523481129</v>
      </c>
      <c r="G100" s="3">
        <v>0.21719648210365278</v>
      </c>
      <c r="H100" s="3">
        <v>0.21552173064684677</v>
      </c>
      <c r="I100" s="3">
        <v>0.21379037975542003</v>
      </c>
      <c r="J100" s="3">
        <v>0.21225943935752262</v>
      </c>
      <c r="K100" s="3">
        <v>0.21121714794083854</v>
      </c>
      <c r="L100" s="3">
        <v>0.21115300846371055</v>
      </c>
      <c r="M100" s="3">
        <v>0.21169302323681666</v>
      </c>
      <c r="N100" s="3">
        <v>0.21268848803237028</v>
      </c>
      <c r="O100" s="3">
        <v>0.21380521331936417</v>
      </c>
      <c r="P100" s="3">
        <v>0.21475196429401644</v>
      </c>
    </row>
    <row r="101" spans="1:16">
      <c r="A101" s="84" t="s">
        <v>275</v>
      </c>
      <c r="B101" s="85" t="s">
        <v>274</v>
      </c>
      <c r="C101" s="85" t="s">
        <v>83</v>
      </c>
      <c r="D101" s="84" t="s">
        <v>84</v>
      </c>
      <c r="E101" s="84">
        <v>3</v>
      </c>
      <c r="F101" s="3">
        <v>0.25727611162564773</v>
      </c>
      <c r="G101" s="3">
        <v>0.2560674901612825</v>
      </c>
      <c r="H101" s="3">
        <v>0.25510522025678556</v>
      </c>
      <c r="I101" s="3">
        <v>0.25455372114706265</v>
      </c>
      <c r="J101" s="3">
        <v>0.25448360754543009</v>
      </c>
      <c r="K101" s="3">
        <v>0.25483146067415735</v>
      </c>
      <c r="L101" s="3">
        <v>0.25484532361304041</v>
      </c>
      <c r="M101" s="3">
        <v>0.25509915166768299</v>
      </c>
      <c r="N101" s="3">
        <v>0.2554980869239098</v>
      </c>
      <c r="O101" s="3">
        <v>0.25591998135144184</v>
      </c>
      <c r="P101" s="3">
        <v>0.25630597040163405</v>
      </c>
    </row>
    <row r="102" spans="1:16">
      <c r="A102" s="84" t="s">
        <v>277</v>
      </c>
      <c r="B102" s="85" t="s">
        <v>276</v>
      </c>
      <c r="C102" s="85" t="s">
        <v>83</v>
      </c>
      <c r="D102" s="84" t="s">
        <v>75</v>
      </c>
      <c r="E102" s="84">
        <v>3</v>
      </c>
      <c r="F102" s="3">
        <v>0.271877737616811</v>
      </c>
      <c r="G102" s="3">
        <v>0.27134523652514703</v>
      </c>
      <c r="H102" s="3">
        <v>0.27055523816898047</v>
      </c>
      <c r="I102" s="3">
        <v>0.2695593826406521</v>
      </c>
      <c r="J102" s="3">
        <v>0.26846142344497614</v>
      </c>
      <c r="K102" s="3">
        <v>0.26735861927975857</v>
      </c>
      <c r="L102" s="3">
        <v>0.26629277046680794</v>
      </c>
      <c r="M102" s="3">
        <v>0.26526019032500453</v>
      </c>
      <c r="N102" s="3">
        <v>0.26429833393386459</v>
      </c>
      <c r="O102" s="3">
        <v>0.26343362698328382</v>
      </c>
      <c r="P102" s="3">
        <v>0.26267060236954748</v>
      </c>
    </row>
    <row r="103" spans="1:16">
      <c r="A103" s="84" t="s">
        <v>279</v>
      </c>
      <c r="B103" s="85" t="s">
        <v>278</v>
      </c>
      <c r="C103" s="85" t="s">
        <v>74</v>
      </c>
      <c r="D103" s="84" t="s">
        <v>80</v>
      </c>
      <c r="E103" s="84">
        <v>2</v>
      </c>
      <c r="F103" s="3">
        <v>0.23632832639675022</v>
      </c>
      <c r="G103" s="3">
        <v>0.23809198868698711</v>
      </c>
      <c r="H103" s="3">
        <v>0.23959491729174573</v>
      </c>
      <c r="I103" s="3">
        <v>0.24071217767761272</v>
      </c>
      <c r="J103" s="3">
        <v>0.24135618776632348</v>
      </c>
      <c r="K103" s="3">
        <v>0.24152062098313556</v>
      </c>
      <c r="L103" s="3">
        <v>0.24138265529567679</v>
      </c>
      <c r="M103" s="3">
        <v>0.24075115956845367</v>
      </c>
      <c r="N103" s="3">
        <v>0.23964678121082522</v>
      </c>
      <c r="O103" s="3">
        <v>0.2381149943494773</v>
      </c>
      <c r="P103" s="3">
        <v>0.23620080361754892</v>
      </c>
    </row>
    <row r="104" spans="1:16">
      <c r="A104" s="84" t="s">
        <v>281</v>
      </c>
      <c r="B104" s="85" t="s">
        <v>280</v>
      </c>
      <c r="C104" s="85" t="s">
        <v>79</v>
      </c>
      <c r="D104" s="84" t="s">
        <v>87</v>
      </c>
      <c r="E104" s="84">
        <v>1</v>
      </c>
      <c r="F104" s="3">
        <v>0.1759939402699042</v>
      </c>
      <c r="G104" s="3">
        <v>0.18323940261367386</v>
      </c>
      <c r="H104" s="3">
        <v>0.19005667514284599</v>
      </c>
      <c r="I104" s="3">
        <v>0.19630968211593708</v>
      </c>
      <c r="J104" s="3">
        <v>0.20220889995314625</v>
      </c>
      <c r="K104" s="3">
        <v>0.2080934589575775</v>
      </c>
      <c r="L104" s="3">
        <v>0.21445165406459996</v>
      </c>
      <c r="M104" s="3">
        <v>0.22071420879141465</v>
      </c>
      <c r="N104" s="3">
        <v>0.22637553176475333</v>
      </c>
      <c r="O104" s="3">
        <v>0.2306682102260609</v>
      </c>
      <c r="P104" s="3">
        <v>0.2330139658892702</v>
      </c>
    </row>
    <row r="105" spans="1:16">
      <c r="A105" s="84" t="s">
        <v>283</v>
      </c>
      <c r="B105" s="85" t="s">
        <v>282</v>
      </c>
      <c r="C105" s="85" t="s">
        <v>79</v>
      </c>
      <c r="D105" s="84" t="s">
        <v>87</v>
      </c>
      <c r="E105" s="84">
        <v>1</v>
      </c>
      <c r="F105" s="3">
        <v>0.19477914094403864</v>
      </c>
      <c r="G105" s="3">
        <v>0.19502329789876047</v>
      </c>
      <c r="H105" s="3">
        <v>0.19553230374791036</v>
      </c>
      <c r="I105" s="3">
        <v>0.19623921223612864</v>
      </c>
      <c r="J105" s="3">
        <v>0.19705051285678304</v>
      </c>
      <c r="K105" s="3">
        <v>0.19788273054750086</v>
      </c>
      <c r="L105" s="3">
        <v>0.19907407407407407</v>
      </c>
      <c r="M105" s="3">
        <v>0.20043632724200403</v>
      </c>
      <c r="N105" s="3">
        <v>0.20178833988716016</v>
      </c>
      <c r="O105" s="3">
        <v>0.20288379375450899</v>
      </c>
      <c r="P105" s="3">
        <v>0.20357254053943705</v>
      </c>
    </row>
    <row r="106" spans="1:16">
      <c r="A106" s="84" t="s">
        <v>285</v>
      </c>
      <c r="B106" s="85" t="s">
        <v>284</v>
      </c>
      <c r="C106" s="85" t="s">
        <v>79</v>
      </c>
      <c r="D106" s="84" t="s">
        <v>80</v>
      </c>
      <c r="E106" s="84">
        <v>1</v>
      </c>
      <c r="F106" s="3">
        <v>0.18921349819613997</v>
      </c>
      <c r="G106" s="3">
        <v>0.18948735356108551</v>
      </c>
      <c r="H106" s="3">
        <v>0.1897853101953054</v>
      </c>
      <c r="I106" s="3">
        <v>0.190169295883032</v>
      </c>
      <c r="J106" s="3">
        <v>0.19070445703369093</v>
      </c>
      <c r="K106" s="3">
        <v>0.19139693085376816</v>
      </c>
      <c r="L106" s="3">
        <v>0.19228536316898173</v>
      </c>
      <c r="M106" s="3">
        <v>0.19321709015827954</v>
      </c>
      <c r="N106" s="3">
        <v>0.19404744742862506</v>
      </c>
      <c r="O106" s="3">
        <v>0.19459023471056416</v>
      </c>
      <c r="P106" s="3">
        <v>0.19476503220047195</v>
      </c>
    </row>
    <row r="107" spans="1:16">
      <c r="A107" s="84" t="s">
        <v>287</v>
      </c>
      <c r="B107" s="85" t="s">
        <v>286</v>
      </c>
      <c r="C107" s="85" t="s">
        <v>83</v>
      </c>
      <c r="D107" s="84" t="s">
        <v>75</v>
      </c>
      <c r="E107" s="84">
        <v>3</v>
      </c>
      <c r="F107" s="3">
        <v>0.26449607559238703</v>
      </c>
      <c r="G107" s="3">
        <v>0.26351641604021403</v>
      </c>
      <c r="H107" s="3">
        <v>0.26269991680469151</v>
      </c>
      <c r="I107" s="3">
        <v>0.26204205871245595</v>
      </c>
      <c r="J107" s="3">
        <v>0.26150934471152987</v>
      </c>
      <c r="K107" s="3">
        <v>0.26107055923747918</v>
      </c>
      <c r="L107" s="3">
        <v>0.2608131957233728</v>
      </c>
      <c r="M107" s="3">
        <v>0.26060881600563413</v>
      </c>
      <c r="N107" s="3">
        <v>0.26047967669317901</v>
      </c>
      <c r="O107" s="3">
        <v>0.2604426831241336</v>
      </c>
      <c r="P107" s="3">
        <v>0.26048788216006169</v>
      </c>
    </row>
    <row r="108" spans="1:16">
      <c r="A108" s="84" t="s">
        <v>289</v>
      </c>
      <c r="B108" s="85" t="s">
        <v>288</v>
      </c>
      <c r="C108" s="85" t="s">
        <v>83</v>
      </c>
      <c r="D108" s="84" t="s">
        <v>75</v>
      </c>
      <c r="E108" s="84">
        <v>3</v>
      </c>
      <c r="F108" s="3">
        <v>0.28131931657417192</v>
      </c>
      <c r="G108" s="3">
        <v>0.28046097732597236</v>
      </c>
      <c r="H108" s="3">
        <v>0.27930489544941911</v>
      </c>
      <c r="I108" s="3">
        <v>0.2778074650305129</v>
      </c>
      <c r="J108" s="3">
        <v>0.27603328197948584</v>
      </c>
      <c r="K108" s="3">
        <v>0.27412279856576466</v>
      </c>
      <c r="L108" s="3">
        <v>0.2722134057761621</v>
      </c>
      <c r="M108" s="3">
        <v>0.27025320274263226</v>
      </c>
      <c r="N108" s="3">
        <v>0.26839264689733094</v>
      </c>
      <c r="O108" s="3">
        <v>0.26679275752998233</v>
      </c>
      <c r="P108" s="3">
        <v>0.26551330506711396</v>
      </c>
    </row>
    <row r="109" spans="1:16">
      <c r="A109" s="84" t="s">
        <v>291</v>
      </c>
      <c r="B109" s="85" t="s">
        <v>290</v>
      </c>
      <c r="C109" s="85" t="s">
        <v>99</v>
      </c>
      <c r="D109" s="84" t="s">
        <v>80</v>
      </c>
      <c r="E109" s="84">
        <v>2</v>
      </c>
      <c r="F109" s="3">
        <v>0.22196981637596799</v>
      </c>
      <c r="G109" s="3">
        <v>0.21981151602215804</v>
      </c>
      <c r="H109" s="3">
        <v>0.21810411365868135</v>
      </c>
      <c r="I109" s="3">
        <v>0.21688989206147866</v>
      </c>
      <c r="J109" s="3">
        <v>0.21616933413037415</v>
      </c>
      <c r="K109" s="3">
        <v>0.21587812962785299</v>
      </c>
      <c r="L109" s="3">
        <v>0.21611275985522699</v>
      </c>
      <c r="M109" s="3">
        <v>0.21672937891512917</v>
      </c>
      <c r="N109" s="3">
        <v>0.21758383841338252</v>
      </c>
      <c r="O109" s="3">
        <v>0.21843169432656021</v>
      </c>
      <c r="P109" s="3">
        <v>0.21907577725119945</v>
      </c>
    </row>
    <row r="110" spans="1:16">
      <c r="A110" s="84" t="s">
        <v>293</v>
      </c>
      <c r="B110" s="85" t="s">
        <v>292</v>
      </c>
      <c r="C110" s="85" t="s">
        <v>110</v>
      </c>
      <c r="D110" s="84" t="s">
        <v>80</v>
      </c>
      <c r="E110" s="84">
        <v>2</v>
      </c>
      <c r="F110" s="3">
        <v>0.19681296144380633</v>
      </c>
      <c r="G110" s="3">
        <v>0.19970421170576028</v>
      </c>
      <c r="H110" s="3">
        <v>0.20300498516296228</v>
      </c>
      <c r="I110" s="3">
        <v>0.20615532941853684</v>
      </c>
      <c r="J110" s="3">
        <v>0.20859043598397223</v>
      </c>
      <c r="K110" s="3">
        <v>0.20998114099027976</v>
      </c>
      <c r="L110" s="3">
        <v>0.21090996249612273</v>
      </c>
      <c r="M110" s="3">
        <v>0.2109438007453546</v>
      </c>
      <c r="N110" s="3">
        <v>0.21006345945489596</v>
      </c>
      <c r="O110" s="3">
        <v>0.2083811606817986</v>
      </c>
      <c r="P110" s="3">
        <v>0.20595936721945804</v>
      </c>
    </row>
    <row r="111" spans="1:16">
      <c r="A111" s="84" t="s">
        <v>295</v>
      </c>
      <c r="B111" s="85" t="s">
        <v>294</v>
      </c>
      <c r="C111" s="85" t="s">
        <v>83</v>
      </c>
      <c r="D111" s="84" t="s">
        <v>75</v>
      </c>
      <c r="E111" s="84">
        <v>3</v>
      </c>
      <c r="F111" s="3">
        <v>0.27263407099155901</v>
      </c>
      <c r="G111" s="3">
        <v>0.27348148746229839</v>
      </c>
      <c r="H111" s="3">
        <v>0.27413598783726767</v>
      </c>
      <c r="I111" s="3">
        <v>0.27458307730707437</v>
      </c>
      <c r="J111" s="3">
        <v>0.27481348456309734</v>
      </c>
      <c r="K111" s="3">
        <v>0.274856200614365</v>
      </c>
      <c r="L111" s="3">
        <v>0.27450800401115261</v>
      </c>
      <c r="M111" s="3">
        <v>0.273993439438733</v>
      </c>
      <c r="N111" s="3">
        <v>0.27341907456953335</v>
      </c>
      <c r="O111" s="3">
        <v>0.27292477017107636</v>
      </c>
      <c r="P111" s="3">
        <v>0.27259613198391958</v>
      </c>
    </row>
    <row r="112" spans="1:16">
      <c r="A112" s="84" t="s">
        <v>297</v>
      </c>
      <c r="B112" s="85" t="s">
        <v>296</v>
      </c>
      <c r="C112" s="85" t="s">
        <v>79</v>
      </c>
      <c r="D112" s="84" t="s">
        <v>87</v>
      </c>
      <c r="E112" s="84">
        <v>1</v>
      </c>
      <c r="F112" s="3">
        <v>0.17817834582047895</v>
      </c>
      <c r="G112" s="3">
        <v>0.17865731462925846</v>
      </c>
      <c r="H112" s="3">
        <v>0.17958327176001185</v>
      </c>
      <c r="I112" s="3">
        <v>0.18079176408879574</v>
      </c>
      <c r="J112" s="3">
        <v>0.18210238838881079</v>
      </c>
      <c r="K112" s="3">
        <v>0.18344366911194604</v>
      </c>
      <c r="L112" s="3">
        <v>0.18500754021447718</v>
      </c>
      <c r="M112" s="3">
        <v>0.18661779286722957</v>
      </c>
      <c r="N112" s="3">
        <v>0.18826879064739954</v>
      </c>
      <c r="O112" s="3">
        <v>0.1898911376645461</v>
      </c>
      <c r="P112" s="3">
        <v>0.1913925458701578</v>
      </c>
    </row>
    <row r="113" spans="1:16">
      <c r="A113" s="84" t="s">
        <v>299</v>
      </c>
      <c r="B113" s="85" t="s">
        <v>298</v>
      </c>
      <c r="C113" s="85" t="s">
        <v>99</v>
      </c>
      <c r="D113" s="84" t="s">
        <v>80</v>
      </c>
      <c r="E113" s="84">
        <v>1</v>
      </c>
      <c r="F113" s="3">
        <v>0</v>
      </c>
      <c r="G113" s="3">
        <v>0</v>
      </c>
      <c r="H113" s="3">
        <v>0</v>
      </c>
      <c r="I113" s="3">
        <v>0</v>
      </c>
      <c r="J113" s="3">
        <v>0</v>
      </c>
      <c r="K113" s="3">
        <v>0</v>
      </c>
      <c r="L113" s="3">
        <v>0</v>
      </c>
      <c r="M113" s="3">
        <v>0</v>
      </c>
      <c r="N113" s="3">
        <v>0</v>
      </c>
      <c r="O113" s="3">
        <v>0</v>
      </c>
      <c r="P113" s="3">
        <v>0</v>
      </c>
    </row>
    <row r="114" spans="1:16">
      <c r="A114" s="84" t="s">
        <v>301</v>
      </c>
      <c r="B114" s="85" t="s">
        <v>300</v>
      </c>
      <c r="C114" s="85" t="s">
        <v>83</v>
      </c>
      <c r="D114" s="84" t="s">
        <v>84</v>
      </c>
      <c r="E114" s="84">
        <v>3</v>
      </c>
      <c r="F114" s="3">
        <v>0.25801075438424365</v>
      </c>
      <c r="G114" s="3">
        <v>0.25876301187587114</v>
      </c>
      <c r="H114" s="3">
        <v>0.25946673774531498</v>
      </c>
      <c r="I114" s="3">
        <v>0.26009190260710735</v>
      </c>
      <c r="J114" s="3">
        <v>0.26060701949103948</v>
      </c>
      <c r="K114" s="3">
        <v>0.26099619829272663</v>
      </c>
      <c r="L114" s="3">
        <v>0.26133785304615936</v>
      </c>
      <c r="M114" s="3">
        <v>0.26156251727157953</v>
      </c>
      <c r="N114" s="3">
        <v>0.26163969960031741</v>
      </c>
      <c r="O114" s="3">
        <v>0.26153518315779245</v>
      </c>
      <c r="P114" s="3">
        <v>0.26124145398836307</v>
      </c>
    </row>
    <row r="115" spans="1:16">
      <c r="A115" s="84" t="s">
        <v>303</v>
      </c>
      <c r="B115" s="85" t="s">
        <v>302</v>
      </c>
      <c r="C115" s="85" t="s">
        <v>83</v>
      </c>
      <c r="D115" s="84" t="s">
        <v>87</v>
      </c>
      <c r="E115" s="84">
        <v>1</v>
      </c>
      <c r="F115" s="3">
        <v>0.21638026683307987</v>
      </c>
      <c r="G115" s="3">
        <v>0.21240020125881684</v>
      </c>
      <c r="H115" s="3">
        <v>0.20785203066957569</v>
      </c>
      <c r="I115" s="3">
        <v>0.20303406567300841</v>
      </c>
      <c r="J115" s="3">
        <v>0.1984250566385401</v>
      </c>
      <c r="K115" s="3">
        <v>0.19434799288800944</v>
      </c>
      <c r="L115" s="3">
        <v>0.19088967051308042</v>
      </c>
      <c r="M115" s="3">
        <v>0.18798604256191098</v>
      </c>
      <c r="N115" s="3">
        <v>0.18559451408282579</v>
      </c>
      <c r="O115" s="3">
        <v>0.18367422181566706</v>
      </c>
      <c r="P115" s="3">
        <v>0.18224780010994435</v>
      </c>
    </row>
    <row r="116" spans="1:16">
      <c r="A116" s="84" t="s">
        <v>305</v>
      </c>
      <c r="B116" s="85" t="s">
        <v>304</v>
      </c>
      <c r="C116" s="85" t="s">
        <v>92</v>
      </c>
      <c r="D116" s="84" t="s">
        <v>80</v>
      </c>
      <c r="E116" s="84">
        <v>2</v>
      </c>
      <c r="F116" s="3">
        <v>0.24195745112556546</v>
      </c>
      <c r="G116" s="3">
        <v>0.24091391885904662</v>
      </c>
      <c r="H116" s="3">
        <v>0.23973395922467025</v>
      </c>
      <c r="I116" s="3">
        <v>0.23846531719157266</v>
      </c>
      <c r="J116" s="3">
        <v>0.23720345934382348</v>
      </c>
      <c r="K116" s="3">
        <v>0.23602333030409312</v>
      </c>
      <c r="L116" s="3">
        <v>0.23500141396611232</v>
      </c>
      <c r="M116" s="3">
        <v>0.23403328072793902</v>
      </c>
      <c r="N116" s="3">
        <v>0.2330824656005808</v>
      </c>
      <c r="O116" s="3">
        <v>0.23206478688912496</v>
      </c>
      <c r="P116" s="3">
        <v>0.23091731889267231</v>
      </c>
    </row>
    <row r="117" spans="1:16">
      <c r="A117" s="84" t="s">
        <v>307</v>
      </c>
      <c r="B117" s="85" t="s">
        <v>306</v>
      </c>
      <c r="C117" s="85" t="s">
        <v>99</v>
      </c>
      <c r="D117" s="84" t="s">
        <v>84</v>
      </c>
      <c r="E117" s="84">
        <v>1</v>
      </c>
      <c r="F117" s="3">
        <v>0.25103500188182154</v>
      </c>
      <c r="G117" s="3">
        <v>0.24887389259179232</v>
      </c>
      <c r="H117" s="3">
        <v>0.2472722166698329</v>
      </c>
      <c r="I117" s="3">
        <v>0.24613894066161446</v>
      </c>
      <c r="J117" s="3">
        <v>0.24530936168128148</v>
      </c>
      <c r="K117" s="3">
        <v>0.24462166925194698</v>
      </c>
      <c r="L117" s="3">
        <v>0.2442384020306046</v>
      </c>
      <c r="M117" s="3">
        <v>0.24388398892680105</v>
      </c>
      <c r="N117" s="3">
        <v>0.24360125010016825</v>
      </c>
      <c r="O117" s="3">
        <v>0.24358984590093299</v>
      </c>
      <c r="P117" s="3">
        <v>0.24390709209710504</v>
      </c>
    </row>
    <row r="118" spans="1:16">
      <c r="A118" s="84" t="s">
        <v>309</v>
      </c>
      <c r="B118" s="85" t="s">
        <v>308</v>
      </c>
      <c r="C118" s="85" t="s">
        <v>79</v>
      </c>
      <c r="D118" s="84" t="s">
        <v>84</v>
      </c>
      <c r="E118" s="84">
        <v>1</v>
      </c>
      <c r="F118" s="3">
        <v>0.18025157309585879</v>
      </c>
      <c r="G118" s="3">
        <v>0.18230702509827337</v>
      </c>
      <c r="H118" s="3">
        <v>0.18432803766426564</v>
      </c>
      <c r="I118" s="3">
        <v>0.18606636760959358</v>
      </c>
      <c r="J118" s="3">
        <v>0.18735038809187007</v>
      </c>
      <c r="K118" s="3">
        <v>0.18817006872304243</v>
      </c>
      <c r="L118" s="3">
        <v>0.18880380087547466</v>
      </c>
      <c r="M118" s="3">
        <v>0.18893113007443232</v>
      </c>
      <c r="N118" s="3">
        <v>0.18860740771629508</v>
      </c>
      <c r="O118" s="3">
        <v>0.1879407187467331</v>
      </c>
      <c r="P118" s="3">
        <v>0.1869779958158371</v>
      </c>
    </row>
    <row r="119" spans="1:16">
      <c r="A119" s="84" t="s">
        <v>311</v>
      </c>
      <c r="B119" s="85" t="s">
        <v>310</v>
      </c>
      <c r="C119" s="85" t="s">
        <v>79</v>
      </c>
      <c r="D119" s="84" t="s">
        <v>87</v>
      </c>
      <c r="E119" s="84">
        <v>1</v>
      </c>
      <c r="F119" s="3">
        <v>0</v>
      </c>
      <c r="G119" s="3">
        <v>0</v>
      </c>
      <c r="H119" s="3">
        <v>0</v>
      </c>
      <c r="I119" s="3">
        <v>0</v>
      </c>
      <c r="J119" s="3">
        <v>0</v>
      </c>
      <c r="K119" s="3">
        <v>0</v>
      </c>
      <c r="L119" s="3">
        <v>0</v>
      </c>
      <c r="M119" s="3">
        <v>0</v>
      </c>
      <c r="N119" s="3">
        <v>0</v>
      </c>
      <c r="O119" s="3">
        <v>0</v>
      </c>
      <c r="P119" s="3">
        <v>0</v>
      </c>
    </row>
    <row r="120" spans="1:16">
      <c r="A120" s="84" t="s">
        <v>313</v>
      </c>
      <c r="B120" s="85" t="s">
        <v>312</v>
      </c>
      <c r="C120" s="85" t="s">
        <v>99</v>
      </c>
      <c r="D120" s="84" t="s">
        <v>84</v>
      </c>
      <c r="E120" s="84">
        <v>2</v>
      </c>
      <c r="F120" s="3">
        <v>0.22367890191584916</v>
      </c>
      <c r="G120" s="3">
        <v>0.23123989295068892</v>
      </c>
      <c r="H120" s="3">
        <v>0.23899157896462733</v>
      </c>
      <c r="I120" s="3">
        <v>0.24657506177337524</v>
      </c>
      <c r="J120" s="3">
        <v>0.25342339562604743</v>
      </c>
      <c r="K120" s="3">
        <v>0.25911363321799308</v>
      </c>
      <c r="L120" s="3">
        <v>0.26366918541982887</v>
      </c>
      <c r="M120" s="3">
        <v>0.26696103426394047</v>
      </c>
      <c r="N120" s="3">
        <v>0.26884929197261365</v>
      </c>
      <c r="O120" s="3">
        <v>0.26931607275677139</v>
      </c>
      <c r="P120" s="3">
        <v>0.26846761671846764</v>
      </c>
    </row>
    <row r="121" spans="1:16">
      <c r="A121" s="84" t="s">
        <v>315</v>
      </c>
      <c r="B121" s="85" t="s">
        <v>314</v>
      </c>
      <c r="C121" s="85" t="s">
        <v>79</v>
      </c>
      <c r="D121" s="84" t="s">
        <v>80</v>
      </c>
      <c r="E121" s="84">
        <v>1</v>
      </c>
      <c r="F121" s="3">
        <v>0.20806727223671198</v>
      </c>
      <c r="G121" s="3">
        <v>0.20774110403655638</v>
      </c>
      <c r="H121" s="3">
        <v>0.20760129502960373</v>
      </c>
      <c r="I121" s="3">
        <v>0.20758199237206576</v>
      </c>
      <c r="J121" s="3">
        <v>0.2074974167395279</v>
      </c>
      <c r="K121" s="3">
        <v>0.20724096873335909</v>
      </c>
      <c r="L121" s="3">
        <v>0.20686671380413379</v>
      </c>
      <c r="M121" s="3">
        <v>0.20625344607620202</v>
      </c>
      <c r="N121" s="3">
        <v>0.20553521952797943</v>
      </c>
      <c r="O121" s="3">
        <v>0.20490351752868244</v>
      </c>
      <c r="P121" s="3">
        <v>0.20449559946437151</v>
      </c>
    </row>
    <row r="122" spans="1:16">
      <c r="A122" s="84" t="s">
        <v>317</v>
      </c>
      <c r="B122" s="85" t="s">
        <v>316</v>
      </c>
      <c r="C122" s="85" t="s">
        <v>74</v>
      </c>
      <c r="D122" s="84" t="s">
        <v>84</v>
      </c>
      <c r="E122" s="84">
        <v>3</v>
      </c>
      <c r="F122" s="3">
        <v>0.23665161730452441</v>
      </c>
      <c r="G122" s="3">
        <v>0.23812650924259696</v>
      </c>
      <c r="H122" s="3">
        <v>0.23922080115502317</v>
      </c>
      <c r="I122" s="3">
        <v>0.23993145444682298</v>
      </c>
      <c r="J122" s="3">
        <v>0.24037022203379571</v>
      </c>
      <c r="K122" s="3">
        <v>0.24066547671868732</v>
      </c>
      <c r="L122" s="3">
        <v>0.24079579003047868</v>
      </c>
      <c r="M122" s="3">
        <v>0.24076599270891741</v>
      </c>
      <c r="N122" s="3">
        <v>0.24047767786474339</v>
      </c>
      <c r="O122" s="3">
        <v>0.23978226453022167</v>
      </c>
      <c r="P122" s="3">
        <v>0.23860306106282164</v>
      </c>
    </row>
    <row r="123" spans="1:16">
      <c r="A123" s="84" t="s">
        <v>319</v>
      </c>
      <c r="B123" s="85" t="s">
        <v>318</v>
      </c>
      <c r="C123" s="85" t="s">
        <v>83</v>
      </c>
      <c r="D123" s="84" t="s">
        <v>75</v>
      </c>
      <c r="E123" s="84" t="s">
        <v>76</v>
      </c>
      <c r="F123" s="3">
        <v>0.2745154388623931</v>
      </c>
      <c r="G123" s="3">
        <v>0.27430609858471683</v>
      </c>
      <c r="H123" s="3">
        <v>0.27393460895582966</v>
      </c>
      <c r="I123" s="3">
        <v>0.27346390717372104</v>
      </c>
      <c r="J123" s="3">
        <v>0.27299301832912554</v>
      </c>
      <c r="K123" s="3">
        <v>0.2725889808457051</v>
      </c>
      <c r="L123" s="3">
        <v>0.27219774536054608</v>
      </c>
      <c r="M123" s="3">
        <v>0.2718681940314881</v>
      </c>
      <c r="N123" s="3">
        <v>0.27160561502777503</v>
      </c>
      <c r="O123" s="3">
        <v>0.27139976872595462</v>
      </c>
      <c r="P123" s="3">
        <v>0.27123256965375275</v>
      </c>
    </row>
    <row r="124" spans="1:16">
      <c r="A124" s="84" t="s">
        <v>321</v>
      </c>
      <c r="B124" s="85" t="s">
        <v>320</v>
      </c>
      <c r="C124" s="85" t="s">
        <v>110</v>
      </c>
      <c r="D124" s="84" t="s">
        <v>84</v>
      </c>
      <c r="E124" s="84">
        <v>4</v>
      </c>
      <c r="F124" s="3">
        <v>0.24557556358595101</v>
      </c>
      <c r="G124" s="3">
        <v>0.24265919782024131</v>
      </c>
      <c r="H124" s="3">
        <v>0.23957459095400893</v>
      </c>
      <c r="I124" s="3">
        <v>0.23648641589193756</v>
      </c>
      <c r="J124" s="3">
        <v>0.2335811899679141</v>
      </c>
      <c r="K124" s="3">
        <v>0.23095976523506112</v>
      </c>
      <c r="L124" s="3">
        <v>0.22878027407103224</v>
      </c>
      <c r="M124" s="3">
        <v>0.22684449420442326</v>
      </c>
      <c r="N124" s="3">
        <v>0.22519051053773517</v>
      </c>
      <c r="O124" s="3">
        <v>0.22383425238844162</v>
      </c>
      <c r="P124" s="3">
        <v>0.22278103166227869</v>
      </c>
    </row>
    <row r="125" spans="1:16">
      <c r="A125" s="84" t="s">
        <v>323</v>
      </c>
      <c r="B125" s="85" t="s">
        <v>322</v>
      </c>
      <c r="C125" s="85" t="s">
        <v>83</v>
      </c>
      <c r="D125" s="84" t="s">
        <v>80</v>
      </c>
      <c r="E125" s="84">
        <v>3</v>
      </c>
      <c r="F125" s="3">
        <v>0.26129082895610695</v>
      </c>
      <c r="G125" s="3">
        <v>0.26290684557261818</v>
      </c>
      <c r="H125" s="3">
        <v>0.26482248779296946</v>
      </c>
      <c r="I125" s="3">
        <v>0.26679751316851918</v>
      </c>
      <c r="J125" s="3">
        <v>0.26849449871528835</v>
      </c>
      <c r="K125" s="3">
        <v>0.26971096420280011</v>
      </c>
      <c r="L125" s="3">
        <v>0.27043096792795335</v>
      </c>
      <c r="M125" s="3">
        <v>0.27067947964305383</v>
      </c>
      <c r="N125" s="3">
        <v>0.27046446971020949</v>
      </c>
      <c r="O125" s="3">
        <v>0.26982750951085843</v>
      </c>
      <c r="P125" s="3">
        <v>0.26881699160112671</v>
      </c>
    </row>
    <row r="126" spans="1:16">
      <c r="A126" s="84" t="s">
        <v>325</v>
      </c>
      <c r="B126" s="85" t="s">
        <v>324</v>
      </c>
      <c r="C126" s="85" t="s">
        <v>99</v>
      </c>
      <c r="D126" s="84" t="s">
        <v>87</v>
      </c>
      <c r="E126" s="84">
        <v>1</v>
      </c>
      <c r="F126" s="3">
        <v>0</v>
      </c>
      <c r="G126" s="3">
        <v>0</v>
      </c>
      <c r="H126" s="3">
        <v>0</v>
      </c>
      <c r="I126" s="3">
        <v>0</v>
      </c>
      <c r="J126" s="3">
        <v>0</v>
      </c>
      <c r="K126" s="3">
        <v>0</v>
      </c>
      <c r="L126" s="3">
        <v>0</v>
      </c>
      <c r="M126" s="3">
        <v>0</v>
      </c>
      <c r="N126" s="3">
        <v>0</v>
      </c>
      <c r="O126" s="3">
        <v>0</v>
      </c>
      <c r="P126" s="3">
        <v>0</v>
      </c>
    </row>
    <row r="127" spans="1:16">
      <c r="A127" s="84" t="s">
        <v>327</v>
      </c>
      <c r="B127" s="85" t="s">
        <v>326</v>
      </c>
      <c r="C127" s="85" t="s">
        <v>110</v>
      </c>
      <c r="D127" s="84" t="s">
        <v>84</v>
      </c>
      <c r="E127" s="84">
        <v>4</v>
      </c>
      <c r="F127" s="3">
        <v>0.25890906802163144</v>
      </c>
      <c r="G127" s="3">
        <v>0.25384615752282019</v>
      </c>
      <c r="H127" s="3">
        <v>0.24893161830186586</v>
      </c>
      <c r="I127" s="3">
        <v>0.24426254375215983</v>
      </c>
      <c r="J127" s="3">
        <v>0.23999046764576845</v>
      </c>
      <c r="K127" s="3">
        <v>0.23626069266511723</v>
      </c>
      <c r="L127" s="3">
        <v>0.23335971734500197</v>
      </c>
      <c r="M127" s="3">
        <v>0.23099159426936702</v>
      </c>
      <c r="N127" s="3">
        <v>0.22915718931165804</v>
      </c>
      <c r="O127" s="3">
        <v>0.22767247172549096</v>
      </c>
      <c r="P127" s="3">
        <v>0.22632146568148348</v>
      </c>
    </row>
    <row r="128" spans="1:16">
      <c r="A128" s="84" t="s">
        <v>329</v>
      </c>
      <c r="B128" s="85" t="s">
        <v>328</v>
      </c>
      <c r="C128" s="85" t="s">
        <v>79</v>
      </c>
      <c r="D128" s="84" t="s">
        <v>87</v>
      </c>
      <c r="E128" s="84">
        <v>1</v>
      </c>
      <c r="F128" s="3">
        <v>0.20387724625866427</v>
      </c>
      <c r="G128" s="3">
        <v>0.20304669213400811</v>
      </c>
      <c r="H128" s="3">
        <v>0.20190395663515504</v>
      </c>
      <c r="I128" s="3">
        <v>0.2005652024071472</v>
      </c>
      <c r="J128" s="3">
        <v>0.1992783288111499</v>
      </c>
      <c r="K128" s="3">
        <v>0.19823393249116128</v>
      </c>
      <c r="L128" s="3">
        <v>0.19768450173510552</v>
      </c>
      <c r="M128" s="3">
        <v>0.19743746882634719</v>
      </c>
      <c r="N128" s="3">
        <v>0.19744080013361587</v>
      </c>
      <c r="O128" s="3">
        <v>0.19754717094085467</v>
      </c>
      <c r="P128" s="3">
        <v>0.19762421769815597</v>
      </c>
    </row>
    <row r="129" spans="1:16">
      <c r="A129" s="84" t="s">
        <v>331</v>
      </c>
      <c r="B129" s="85" t="s">
        <v>330</v>
      </c>
      <c r="C129" s="85" t="s">
        <v>99</v>
      </c>
      <c r="D129" s="84" t="s">
        <v>87</v>
      </c>
      <c r="E129" s="84">
        <v>1</v>
      </c>
      <c r="F129" s="3">
        <v>0.21720664290138433</v>
      </c>
      <c r="G129" s="3">
        <v>0.2177988470917358</v>
      </c>
      <c r="H129" s="3">
        <v>0.21845268012555003</v>
      </c>
      <c r="I129" s="3">
        <v>0.21896613932568826</v>
      </c>
      <c r="J129" s="3">
        <v>0.21914658573769916</v>
      </c>
      <c r="K129" s="3">
        <v>0.21894104205841047</v>
      </c>
      <c r="L129" s="3">
        <v>0.21864394777900123</v>
      </c>
      <c r="M129" s="3">
        <v>0.217986770058163</v>
      </c>
      <c r="N129" s="3">
        <v>0.21711151417849966</v>
      </c>
      <c r="O129" s="3">
        <v>0.21617808868207197</v>
      </c>
      <c r="P129" s="3">
        <v>0.21524138860834044</v>
      </c>
    </row>
    <row r="130" spans="1:16">
      <c r="A130" s="84" t="s">
        <v>333</v>
      </c>
      <c r="B130" s="85" t="s">
        <v>332</v>
      </c>
      <c r="C130" s="85" t="s">
        <v>92</v>
      </c>
      <c r="D130" s="84" t="s">
        <v>84</v>
      </c>
      <c r="E130" s="84">
        <v>2</v>
      </c>
      <c r="F130" s="3">
        <v>0.24789164189660876</v>
      </c>
      <c r="G130" s="3">
        <v>0.24760432045078232</v>
      </c>
      <c r="H130" s="3">
        <v>0.24728625472851462</v>
      </c>
      <c r="I130" s="3">
        <v>0.24689135016843963</v>
      </c>
      <c r="J130" s="3">
        <v>0.2463393743654132</v>
      </c>
      <c r="K130" s="3">
        <v>0.24557941074250259</v>
      </c>
      <c r="L130" s="3">
        <v>0.2447004726714565</v>
      </c>
      <c r="M130" s="3">
        <v>0.24357859185590044</v>
      </c>
      <c r="N130" s="3">
        <v>0.2422194602815789</v>
      </c>
      <c r="O130" s="3">
        <v>0.24066318068637904</v>
      </c>
      <c r="P130" s="3">
        <v>0.23896123705363048</v>
      </c>
    </row>
    <row r="131" spans="1:16">
      <c r="A131" s="84" t="s">
        <v>335</v>
      </c>
      <c r="B131" s="85" t="s">
        <v>334</v>
      </c>
      <c r="C131" s="85" t="s">
        <v>83</v>
      </c>
      <c r="D131" s="84" t="s">
        <v>75</v>
      </c>
      <c r="E131" s="84">
        <v>3</v>
      </c>
      <c r="F131" s="3">
        <v>0.26054055849100077</v>
      </c>
      <c r="G131" s="3">
        <v>0.26153014929457497</v>
      </c>
      <c r="H131" s="3">
        <v>0.26242695437109936</v>
      </c>
      <c r="I131" s="3">
        <v>0.26322863429547139</v>
      </c>
      <c r="J131" s="3">
        <v>0.26394311367916717</v>
      </c>
      <c r="K131" s="3">
        <v>0.26458997691733466</v>
      </c>
      <c r="L131" s="3">
        <v>0.26504868281769478</v>
      </c>
      <c r="M131" s="3">
        <v>0.26548922101623434</v>
      </c>
      <c r="N131" s="3">
        <v>0.26590721915384907</v>
      </c>
      <c r="O131" s="3">
        <v>0.26629924997587401</v>
      </c>
      <c r="P131" s="3">
        <v>0.26666980003542046</v>
      </c>
    </row>
    <row r="132" spans="1:16">
      <c r="A132" s="84" t="s">
        <v>337</v>
      </c>
      <c r="B132" s="85" t="s">
        <v>336</v>
      </c>
      <c r="C132" s="85" t="s">
        <v>83</v>
      </c>
      <c r="D132" s="84" t="s">
        <v>84</v>
      </c>
      <c r="E132" s="84" t="s">
        <v>76</v>
      </c>
      <c r="F132" s="3">
        <v>0.26564763186834395</v>
      </c>
      <c r="G132" s="3">
        <v>0.26662571602035928</v>
      </c>
      <c r="H132" s="3">
        <v>0.26740504320884229</v>
      </c>
      <c r="I132" s="3">
        <v>0.26801191161524623</v>
      </c>
      <c r="J132" s="3">
        <v>0.26848289604231701</v>
      </c>
      <c r="K132" s="3">
        <v>0.26884569000820474</v>
      </c>
      <c r="L132" s="3">
        <v>0.26896282418658685</v>
      </c>
      <c r="M132" s="3">
        <v>0.26898532134358738</v>
      </c>
      <c r="N132" s="3">
        <v>0.26892009446867099</v>
      </c>
      <c r="O132" s="3">
        <v>0.26877198056716634</v>
      </c>
      <c r="P132" s="3">
        <v>0.26855149122123989</v>
      </c>
    </row>
    <row r="133" spans="1:16">
      <c r="A133" s="84" t="s">
        <v>339</v>
      </c>
      <c r="B133" s="85" t="s">
        <v>338</v>
      </c>
      <c r="C133" s="85" t="s">
        <v>99</v>
      </c>
      <c r="D133" s="84" t="e">
        <v>#N/A</v>
      </c>
      <c r="E133" s="84">
        <v>1</v>
      </c>
      <c r="F133" s="3">
        <v>0</v>
      </c>
      <c r="G133" s="3">
        <v>0</v>
      </c>
      <c r="H133" s="3">
        <v>0</v>
      </c>
      <c r="I133" s="3">
        <v>0</v>
      </c>
      <c r="J133" s="3">
        <v>0</v>
      </c>
      <c r="K133" s="3">
        <v>0</v>
      </c>
      <c r="L133" s="3">
        <v>0</v>
      </c>
      <c r="M133" s="3">
        <v>0</v>
      </c>
      <c r="N133" s="3">
        <v>0</v>
      </c>
      <c r="O133" s="3">
        <v>0</v>
      </c>
      <c r="P133" s="3">
        <v>0</v>
      </c>
    </row>
    <row r="134" spans="1:16">
      <c r="A134" s="84" t="s">
        <v>341</v>
      </c>
      <c r="B134" s="85" t="s">
        <v>340</v>
      </c>
      <c r="C134" s="85" t="s">
        <v>79</v>
      </c>
      <c r="D134" s="84" t="s">
        <v>87</v>
      </c>
      <c r="E134" s="84">
        <v>1</v>
      </c>
      <c r="F134" s="3">
        <v>0.21117493287982642</v>
      </c>
      <c r="G134" s="3">
        <v>0.21061051772132458</v>
      </c>
      <c r="H134" s="3">
        <v>0.21015123092804855</v>
      </c>
      <c r="I134" s="3">
        <v>0.20963818910142337</v>
      </c>
      <c r="J134" s="3">
        <v>0.20896408996593366</v>
      </c>
      <c r="K134" s="3">
        <v>0.20809243528542434</v>
      </c>
      <c r="L134" s="3">
        <v>0.20735413340290174</v>
      </c>
      <c r="M134" s="3">
        <v>0.20663666803223613</v>
      </c>
      <c r="N134" s="3">
        <v>0.20597004392127602</v>
      </c>
      <c r="O134" s="3">
        <v>0.20537918366178054</v>
      </c>
      <c r="P134" s="3">
        <v>0.20480890775353577</v>
      </c>
    </row>
    <row r="135" spans="1:16">
      <c r="A135" s="84" t="s">
        <v>343</v>
      </c>
      <c r="B135" s="85" t="s">
        <v>342</v>
      </c>
      <c r="C135" s="85" t="s">
        <v>74</v>
      </c>
      <c r="D135" s="84" t="s">
        <v>87</v>
      </c>
      <c r="E135" s="84">
        <v>1</v>
      </c>
      <c r="F135" s="3">
        <v>0.20982205603895049</v>
      </c>
      <c r="G135" s="3">
        <v>0.21276478619119873</v>
      </c>
      <c r="H135" s="3">
        <v>0.21728689772527598</v>
      </c>
      <c r="I135" s="3">
        <v>0.22256915635274474</v>
      </c>
      <c r="J135" s="3">
        <v>0.22747475425603406</v>
      </c>
      <c r="K135" s="3">
        <v>0.23105092294904558</v>
      </c>
      <c r="L135" s="3">
        <v>0.23464127979023888</v>
      </c>
      <c r="M135" s="3">
        <v>0.23736310441874817</v>
      </c>
      <c r="N135" s="3">
        <v>0.23904767904996332</v>
      </c>
      <c r="O135" s="3">
        <v>0.23971102959894627</v>
      </c>
      <c r="P135" s="3">
        <v>0.23936471732885206</v>
      </c>
    </row>
    <row r="136" spans="1:16">
      <c r="A136" s="84" t="s">
        <v>345</v>
      </c>
      <c r="B136" s="85" t="s">
        <v>344</v>
      </c>
      <c r="C136" s="85" t="s">
        <v>74</v>
      </c>
      <c r="D136" s="84" t="s">
        <v>84</v>
      </c>
      <c r="E136" s="84" t="s">
        <v>76</v>
      </c>
      <c r="F136" s="3">
        <v>0.25690811410234177</v>
      </c>
      <c r="G136" s="3">
        <v>0.25688260074946073</v>
      </c>
      <c r="H136" s="3">
        <v>0.25716236099889944</v>
      </c>
      <c r="I136" s="3">
        <v>0.25771626822374749</v>
      </c>
      <c r="J136" s="3">
        <v>0.25837311758627757</v>
      </c>
      <c r="K136" s="3">
        <v>0.25894461197994334</v>
      </c>
      <c r="L136" s="3">
        <v>0.25943499847442214</v>
      </c>
      <c r="M136" s="3">
        <v>0.25972131389410863</v>
      </c>
      <c r="N136" s="3">
        <v>0.25977712158241584</v>
      </c>
      <c r="O136" s="3">
        <v>0.25959663891234519</v>
      </c>
      <c r="P136" s="3">
        <v>0.25919703742387645</v>
      </c>
    </row>
    <row r="137" spans="1:16">
      <c r="A137" s="84" t="s">
        <v>347</v>
      </c>
      <c r="B137" s="85" t="s">
        <v>346</v>
      </c>
      <c r="C137" s="85" t="s">
        <v>99</v>
      </c>
      <c r="D137" s="84" t="s">
        <v>87</v>
      </c>
      <c r="E137" s="84">
        <v>1</v>
      </c>
      <c r="F137" s="3">
        <v>0</v>
      </c>
      <c r="G137" s="3">
        <v>0</v>
      </c>
      <c r="H137" s="3">
        <v>0</v>
      </c>
      <c r="I137" s="3">
        <v>0</v>
      </c>
      <c r="J137" s="3">
        <v>0</v>
      </c>
      <c r="K137" s="3">
        <v>0</v>
      </c>
      <c r="L137" s="3">
        <v>0</v>
      </c>
      <c r="M137" s="3">
        <v>0</v>
      </c>
      <c r="N137" s="3">
        <v>0</v>
      </c>
      <c r="O137" s="3">
        <v>0</v>
      </c>
      <c r="P137" s="3">
        <v>0</v>
      </c>
    </row>
    <row r="138" spans="1:16">
      <c r="A138" s="84" t="s">
        <v>349</v>
      </c>
      <c r="B138" s="85" t="s">
        <v>348</v>
      </c>
      <c r="C138" s="85" t="s">
        <v>92</v>
      </c>
      <c r="D138" s="84" t="s">
        <v>87</v>
      </c>
      <c r="E138" s="84">
        <v>1</v>
      </c>
      <c r="F138" s="3">
        <v>0.23678745397946019</v>
      </c>
      <c r="G138" s="3">
        <v>0.23643374320059091</v>
      </c>
      <c r="H138" s="3">
        <v>0.23607263017594937</v>
      </c>
      <c r="I138" s="3">
        <v>0.23567969945611977</v>
      </c>
      <c r="J138" s="3">
        <v>0.23525905629688443</v>
      </c>
      <c r="K138" s="3">
        <v>0.23483726515835829</v>
      </c>
      <c r="L138" s="3">
        <v>0.23446932271904114</v>
      </c>
      <c r="M138" s="3">
        <v>0.23411736595312677</v>
      </c>
      <c r="N138" s="3">
        <v>0.23376837345296692</v>
      </c>
      <c r="O138" s="3">
        <v>0.23338234633140911</v>
      </c>
      <c r="P138" s="3">
        <v>0.23291996465666928</v>
      </c>
    </row>
    <row r="139" spans="1:16">
      <c r="A139" s="84" t="s">
        <v>351</v>
      </c>
      <c r="B139" s="85" t="s">
        <v>350</v>
      </c>
      <c r="C139" s="85" t="s">
        <v>99</v>
      </c>
      <c r="D139" s="84" t="s">
        <v>84</v>
      </c>
      <c r="E139" s="84">
        <v>4</v>
      </c>
      <c r="F139" s="3">
        <v>0.26305498537550104</v>
      </c>
      <c r="G139" s="3">
        <v>0.26204547320036115</v>
      </c>
      <c r="H139" s="3">
        <v>0.26098068783998285</v>
      </c>
      <c r="I139" s="3">
        <v>0.25987694898342184</v>
      </c>
      <c r="J139" s="3">
        <v>0.25874719426514264</v>
      </c>
      <c r="K139" s="3">
        <v>0.25760865933919086</v>
      </c>
      <c r="L139" s="3">
        <v>0.25664266015728571</v>
      </c>
      <c r="M139" s="3">
        <v>0.25567161049318748</v>
      </c>
      <c r="N139" s="3">
        <v>0.25472863949720775</v>
      </c>
      <c r="O139" s="3">
        <v>0.25384745099953931</v>
      </c>
      <c r="P139" s="3">
        <v>0.25304730605707332</v>
      </c>
    </row>
    <row r="140" spans="1:16">
      <c r="A140" s="84" t="s">
        <v>353</v>
      </c>
      <c r="B140" s="85" t="s">
        <v>352</v>
      </c>
      <c r="C140" s="85" t="s">
        <v>92</v>
      </c>
      <c r="D140" s="84" t="s">
        <v>80</v>
      </c>
      <c r="E140" s="84">
        <v>1</v>
      </c>
      <c r="F140" s="3">
        <v>0.24963226635936595</v>
      </c>
      <c r="G140" s="3">
        <v>0.2480125377808963</v>
      </c>
      <c r="H140" s="3">
        <v>0.24685384752224934</v>
      </c>
      <c r="I140" s="3">
        <v>0.24605278365116415</v>
      </c>
      <c r="J140" s="3">
        <v>0.24537884021728779</v>
      </c>
      <c r="K140" s="3">
        <v>0.24464819346330569</v>
      </c>
      <c r="L140" s="3">
        <v>0.24377534895021874</v>
      </c>
      <c r="M140" s="3">
        <v>0.2427930786065845</v>
      </c>
      <c r="N140" s="3">
        <v>0.24175363308173839</v>
      </c>
      <c r="O140" s="3">
        <v>0.24075477852084176</v>
      </c>
      <c r="P140" s="3">
        <v>0.23986075658217076</v>
      </c>
    </row>
    <row r="141" spans="1:16">
      <c r="A141" s="84" t="s">
        <v>355</v>
      </c>
      <c r="B141" s="85" t="s">
        <v>354</v>
      </c>
      <c r="C141" s="85" t="s">
        <v>92</v>
      </c>
      <c r="D141" s="84" t="s">
        <v>80</v>
      </c>
      <c r="E141" s="84">
        <v>2</v>
      </c>
      <c r="F141" s="3">
        <v>0.21906683546704467</v>
      </c>
      <c r="G141" s="3">
        <v>0.21939403147642553</v>
      </c>
      <c r="H141" s="3">
        <v>0.22057801438126962</v>
      </c>
      <c r="I141" s="3">
        <v>0.22236974978494226</v>
      </c>
      <c r="J141" s="3">
        <v>0.22422929894505425</v>
      </c>
      <c r="K141" s="3">
        <v>0.22569509672491656</v>
      </c>
      <c r="L141" s="3">
        <v>0.22665872826545264</v>
      </c>
      <c r="M141" s="3">
        <v>0.22706333010721624</v>
      </c>
      <c r="N141" s="3">
        <v>0.22714927040592084</v>
      </c>
      <c r="O141" s="3">
        <v>0.22730060304537866</v>
      </c>
      <c r="P141" s="3">
        <v>0.22774115401748785</v>
      </c>
    </row>
    <row r="142" spans="1:16">
      <c r="A142" s="84" t="s">
        <v>357</v>
      </c>
      <c r="B142" s="85" t="s">
        <v>356</v>
      </c>
      <c r="C142" s="85" t="s">
        <v>99</v>
      </c>
      <c r="D142" s="84" t="s">
        <v>84</v>
      </c>
      <c r="E142" s="84" t="s">
        <v>76</v>
      </c>
      <c r="F142" s="3">
        <v>0.26018330680878243</v>
      </c>
      <c r="G142" s="3">
        <v>0.25926794767375982</v>
      </c>
      <c r="H142" s="3">
        <v>0.25780489731248546</v>
      </c>
      <c r="I142" s="3">
        <v>0.25578782910248804</v>
      </c>
      <c r="J142" s="3">
        <v>0.2534571713018452</v>
      </c>
      <c r="K142" s="3">
        <v>0.25113118813432878</v>
      </c>
      <c r="L142" s="3">
        <v>0.24907038176158508</v>
      </c>
      <c r="M142" s="3">
        <v>0.24716126984088768</v>
      </c>
      <c r="N142" s="3">
        <v>0.24536023357877457</v>
      </c>
      <c r="O142" s="3">
        <v>0.24353042903423672</v>
      </c>
      <c r="P142" s="3">
        <v>0.2415612819306939</v>
      </c>
    </row>
    <row r="143" spans="1:16">
      <c r="A143" s="84" t="s">
        <v>359</v>
      </c>
      <c r="B143" s="85" t="s">
        <v>358</v>
      </c>
      <c r="C143" s="85" t="s">
        <v>79</v>
      </c>
      <c r="D143" s="84" t="s">
        <v>87</v>
      </c>
      <c r="E143" s="84">
        <v>1</v>
      </c>
      <c r="F143" s="3">
        <v>0.18017066022218625</v>
      </c>
      <c r="G143" s="3">
        <v>0.18226097644274897</v>
      </c>
      <c r="H143" s="3">
        <v>0.18483394446026336</v>
      </c>
      <c r="I143" s="3">
        <v>0.18759704212071146</v>
      </c>
      <c r="J143" s="3">
        <v>0.19005485009521403</v>
      </c>
      <c r="K143" s="3">
        <v>0.19182902942091182</v>
      </c>
      <c r="L143" s="3">
        <v>0.19294637753277799</v>
      </c>
      <c r="M143" s="3">
        <v>0.19321245818776053</v>
      </c>
      <c r="N143" s="3">
        <v>0.19285899114248767</v>
      </c>
      <c r="O143" s="3">
        <v>0.19232921147086585</v>
      </c>
      <c r="P143" s="3">
        <v>0.19193229997390343</v>
      </c>
    </row>
    <row r="144" spans="1:16">
      <c r="A144" s="84" t="s">
        <v>361</v>
      </c>
      <c r="B144" s="85" t="s">
        <v>360</v>
      </c>
      <c r="C144" s="85" t="s">
        <v>79</v>
      </c>
      <c r="D144" s="84" t="s">
        <v>87</v>
      </c>
      <c r="E144" s="84">
        <v>1</v>
      </c>
      <c r="F144" s="3">
        <v>0.19073385499611994</v>
      </c>
      <c r="G144" s="3">
        <v>0.18976305927459483</v>
      </c>
      <c r="H144" s="3">
        <v>0.18853158801255315</v>
      </c>
      <c r="I144" s="3">
        <v>0.18704872072059023</v>
      </c>
      <c r="J144" s="3">
        <v>0.18544740838773946</v>
      </c>
      <c r="K144" s="3">
        <v>0.18389856388287915</v>
      </c>
      <c r="L144" s="3">
        <v>0.18261552994174748</v>
      </c>
      <c r="M144" s="3">
        <v>0.18154284067244905</v>
      </c>
      <c r="N144" s="3">
        <v>0.18071936265509272</v>
      </c>
      <c r="O144" s="3">
        <v>0.1801502494214999</v>
      </c>
      <c r="P144" s="3">
        <v>0.1797919532984022</v>
      </c>
    </row>
    <row r="145" spans="1:16">
      <c r="A145" s="84" t="s">
        <v>363</v>
      </c>
      <c r="B145" s="85" t="s">
        <v>362</v>
      </c>
      <c r="C145" s="85" t="s">
        <v>74</v>
      </c>
      <c r="D145" s="84" t="s">
        <v>87</v>
      </c>
      <c r="E145" s="84">
        <v>1</v>
      </c>
      <c r="F145" s="3">
        <v>0.23067986315572142</v>
      </c>
      <c r="G145" s="3">
        <v>0.22629809576613125</v>
      </c>
      <c r="H145" s="3">
        <v>0.22314146817497035</v>
      </c>
      <c r="I145" s="3">
        <v>0.22046950677870297</v>
      </c>
      <c r="J145" s="3">
        <v>0.21767464317042062</v>
      </c>
      <c r="K145" s="3">
        <v>0.21420743671089618</v>
      </c>
      <c r="L145" s="3">
        <v>0.21241446480431769</v>
      </c>
      <c r="M145" s="3">
        <v>0.21142456280698632</v>
      </c>
      <c r="N145" s="3">
        <v>0.21042216398990773</v>
      </c>
      <c r="O145" s="3">
        <v>0.20871050280484033</v>
      </c>
      <c r="P145" s="3">
        <v>0.20582776658714388</v>
      </c>
    </row>
    <row r="146" spans="1:16">
      <c r="A146" s="84" t="s">
        <v>365</v>
      </c>
      <c r="B146" s="85" t="s">
        <v>364</v>
      </c>
      <c r="C146" s="85" t="s">
        <v>79</v>
      </c>
      <c r="D146" s="84" t="s">
        <v>87</v>
      </c>
      <c r="E146" s="84">
        <v>2</v>
      </c>
      <c r="F146" s="3">
        <v>0.19151012623375779</v>
      </c>
      <c r="G146" s="3">
        <v>0.19233776962489199</v>
      </c>
      <c r="H146" s="3">
        <v>0.19365344627408446</v>
      </c>
      <c r="I146" s="3">
        <v>0.19531299432589636</v>
      </c>
      <c r="J146" s="3">
        <v>0.19684994091095481</v>
      </c>
      <c r="K146" s="3">
        <v>0.19777189254667271</v>
      </c>
      <c r="L146" s="3">
        <v>0.19799820921749858</v>
      </c>
      <c r="M146" s="3">
        <v>0.19737167363434011</v>
      </c>
      <c r="N146" s="3">
        <v>0.1961625808598132</v>
      </c>
      <c r="O146" s="3">
        <v>0.19493156329214717</v>
      </c>
      <c r="P146" s="3">
        <v>0.19413942809415385</v>
      </c>
    </row>
    <row r="147" spans="1:16">
      <c r="A147" s="84" t="s">
        <v>367</v>
      </c>
      <c r="B147" s="85" t="s">
        <v>366</v>
      </c>
      <c r="C147" s="85" t="s">
        <v>79</v>
      </c>
      <c r="D147" s="84" t="s">
        <v>80</v>
      </c>
      <c r="E147" s="84">
        <v>2</v>
      </c>
      <c r="F147" s="3">
        <v>0.19619256574052671</v>
      </c>
      <c r="G147" s="3">
        <v>0.20235543727847896</v>
      </c>
      <c r="H147" s="3">
        <v>0.20794197744552151</v>
      </c>
      <c r="I147" s="3">
        <v>0.21286171116839325</v>
      </c>
      <c r="J147" s="3">
        <v>0.21712340582042727</v>
      </c>
      <c r="K147" s="3">
        <v>0.22075110563622885</v>
      </c>
      <c r="L147" s="3">
        <v>0.22382710333302056</v>
      </c>
      <c r="M147" s="3">
        <v>0.22618297337320326</v>
      </c>
      <c r="N147" s="3">
        <v>0.22772251147440972</v>
      </c>
      <c r="O147" s="3">
        <v>0.22836767765729776</v>
      </c>
      <c r="P147" s="3">
        <v>0.22809158320539435</v>
      </c>
    </row>
    <row r="148" spans="1:16">
      <c r="A148" s="84" t="s">
        <v>369</v>
      </c>
      <c r="B148" s="85" t="s">
        <v>368</v>
      </c>
      <c r="C148" s="85" t="s">
        <v>83</v>
      </c>
      <c r="D148" s="84" t="s">
        <v>75</v>
      </c>
      <c r="E148" s="84">
        <v>3</v>
      </c>
      <c r="F148" s="3">
        <v>0.26618492295224444</v>
      </c>
      <c r="G148" s="3">
        <v>0.26665290597082925</v>
      </c>
      <c r="H148" s="3">
        <v>0.2673063019966197</v>
      </c>
      <c r="I148" s="3">
        <v>0.26809046456291824</v>
      </c>
      <c r="J148" s="3">
        <v>0.26877795558738893</v>
      </c>
      <c r="K148" s="3">
        <v>0.26915527737297856</v>
      </c>
      <c r="L148" s="3">
        <v>0.26916447275010907</v>
      </c>
      <c r="M148" s="3">
        <v>0.26878995980146997</v>
      </c>
      <c r="N148" s="3">
        <v>0.26813239647032711</v>
      </c>
      <c r="O148" s="3">
        <v>0.2673727385373908</v>
      </c>
      <c r="P148" s="3">
        <v>0.26664596056806611</v>
      </c>
    </row>
    <row r="149" spans="1:16">
      <c r="A149" s="84" t="s">
        <v>371</v>
      </c>
      <c r="B149" s="85" t="s">
        <v>370</v>
      </c>
      <c r="C149" s="85" t="s">
        <v>92</v>
      </c>
      <c r="D149" s="84" t="s">
        <v>87</v>
      </c>
      <c r="E149" s="84">
        <v>1</v>
      </c>
      <c r="F149" s="3">
        <v>0</v>
      </c>
      <c r="G149" s="3">
        <v>0</v>
      </c>
      <c r="H149" s="3">
        <v>0</v>
      </c>
      <c r="I149" s="3">
        <v>0</v>
      </c>
      <c r="J149" s="3">
        <v>0</v>
      </c>
      <c r="K149" s="3">
        <v>0</v>
      </c>
      <c r="L149" s="3">
        <v>0</v>
      </c>
      <c r="M149" s="3">
        <v>0</v>
      </c>
      <c r="N149" s="3">
        <v>0</v>
      </c>
      <c r="O149" s="3">
        <v>0</v>
      </c>
      <c r="P149" s="3">
        <v>0</v>
      </c>
    </row>
    <row r="150" spans="1:16">
      <c r="A150" s="84" t="s">
        <v>373</v>
      </c>
      <c r="B150" s="85" t="s">
        <v>372</v>
      </c>
      <c r="C150" s="85" t="s">
        <v>92</v>
      </c>
      <c r="D150" s="84" t="s">
        <v>80</v>
      </c>
      <c r="E150" s="84">
        <v>1</v>
      </c>
      <c r="F150" s="3">
        <v>0.20160509710224839</v>
      </c>
      <c r="G150" s="3">
        <v>0.19856400403950827</v>
      </c>
      <c r="H150" s="3">
        <v>0.19622534025189164</v>
      </c>
      <c r="I150" s="3">
        <v>0.19459011696707731</v>
      </c>
      <c r="J150" s="3">
        <v>0.19354960014038958</v>
      </c>
      <c r="K150" s="3">
        <v>0.19295268138801261</v>
      </c>
      <c r="L150" s="3">
        <v>0.19285278878390733</v>
      </c>
      <c r="M150" s="3">
        <v>0.1931450633461603</v>
      </c>
      <c r="N150" s="3">
        <v>0.19362043109718027</v>
      </c>
      <c r="O150" s="3">
        <v>0.19405355302475419</v>
      </c>
      <c r="P150" s="3">
        <v>0.19423821557066093</v>
      </c>
    </row>
    <row r="151" spans="1:16">
      <c r="A151" s="84" t="s">
        <v>375</v>
      </c>
      <c r="B151" s="85" t="s">
        <v>374</v>
      </c>
      <c r="C151" s="85" t="s">
        <v>92</v>
      </c>
      <c r="D151" s="84" t="s">
        <v>80</v>
      </c>
      <c r="E151" s="84">
        <v>1</v>
      </c>
      <c r="F151" s="3">
        <v>0.23249853692006547</v>
      </c>
      <c r="G151" s="3">
        <v>0.23048481533256351</v>
      </c>
      <c r="H151" s="3">
        <v>0.22826904698969119</v>
      </c>
      <c r="I151" s="3">
        <v>0.2259719855949236</v>
      </c>
      <c r="J151" s="3">
        <v>0.22377486358936557</v>
      </c>
      <c r="K151" s="3">
        <v>0.22189461572442701</v>
      </c>
      <c r="L151" s="3">
        <v>0.22049193007786327</v>
      </c>
      <c r="M151" s="3">
        <v>0.21938643446569273</v>
      </c>
      <c r="N151" s="3">
        <v>0.21856383918824782</v>
      </c>
      <c r="O151" s="3">
        <v>0.21770766998298341</v>
      </c>
      <c r="P151" s="3">
        <v>0.21671193514896658</v>
      </c>
    </row>
    <row r="152" spans="1:16">
      <c r="A152" s="84" t="s">
        <v>377</v>
      </c>
      <c r="B152" s="85" t="s">
        <v>376</v>
      </c>
      <c r="C152" s="85" t="s">
        <v>99</v>
      </c>
      <c r="D152" s="84" t="s">
        <v>80</v>
      </c>
      <c r="E152" s="84">
        <v>2</v>
      </c>
      <c r="F152" s="3">
        <v>0.26449715305762111</v>
      </c>
      <c r="G152" s="3">
        <v>0.26716696495832709</v>
      </c>
      <c r="H152" s="3">
        <v>0.27105437271225746</v>
      </c>
      <c r="I152" s="3">
        <v>0.27587851654553275</v>
      </c>
      <c r="J152" s="3">
        <v>0.28042449515063483</v>
      </c>
      <c r="K152" s="3">
        <v>0.28343441384919238</v>
      </c>
      <c r="L152" s="3">
        <v>0.28478964401294493</v>
      </c>
      <c r="M152" s="3">
        <v>0.2840239932701803</v>
      </c>
      <c r="N152" s="3">
        <v>0.28138373105098996</v>
      </c>
      <c r="O152" s="3">
        <v>0.27781098731196041</v>
      </c>
      <c r="P152" s="3">
        <v>0.2742887695769376</v>
      </c>
    </row>
    <row r="153" spans="1:16">
      <c r="A153" s="84" t="s">
        <v>379</v>
      </c>
      <c r="B153" s="85" t="s">
        <v>378</v>
      </c>
      <c r="C153" s="85" t="s">
        <v>79</v>
      </c>
      <c r="D153" s="84" t="s">
        <v>87</v>
      </c>
      <c r="E153" s="84">
        <v>1</v>
      </c>
      <c r="F153" s="3">
        <v>0</v>
      </c>
      <c r="G153" s="3">
        <v>0</v>
      </c>
      <c r="H153" s="3">
        <v>0</v>
      </c>
      <c r="I153" s="3">
        <v>0</v>
      </c>
      <c r="J153" s="3">
        <v>0</v>
      </c>
      <c r="K153" s="3">
        <v>0</v>
      </c>
      <c r="L153" s="3">
        <v>0</v>
      </c>
      <c r="M153" s="3">
        <v>0</v>
      </c>
      <c r="N153" s="3">
        <v>0</v>
      </c>
      <c r="O153" s="3">
        <v>0</v>
      </c>
      <c r="P153" s="3">
        <v>0</v>
      </c>
    </row>
    <row r="154" spans="1:16">
      <c r="A154" s="84" t="s">
        <v>381</v>
      </c>
      <c r="B154" s="85" t="s">
        <v>380</v>
      </c>
      <c r="C154" s="85" t="s">
        <v>83</v>
      </c>
      <c r="D154" s="84" t="s">
        <v>84</v>
      </c>
      <c r="E154" s="84">
        <v>3</v>
      </c>
      <c r="F154" s="3">
        <v>0.28321832330054325</v>
      </c>
      <c r="G154" s="3">
        <v>0.28354488876767536</v>
      </c>
      <c r="H154" s="3">
        <v>0.28304879498380436</v>
      </c>
      <c r="I154" s="3">
        <v>0.28187525734503727</v>
      </c>
      <c r="J154" s="3">
        <v>0.28019976477233333</v>
      </c>
      <c r="K154" s="3">
        <v>0.27820078912757551</v>
      </c>
      <c r="L154" s="3">
        <v>0.27601177943827498</v>
      </c>
      <c r="M154" s="3">
        <v>0.27348959317549881</v>
      </c>
      <c r="N154" s="3">
        <v>0.27078389514967971</v>
      </c>
      <c r="O154" s="3">
        <v>0.26813153990253652</v>
      </c>
      <c r="P154" s="3">
        <v>0.26576224961528294</v>
      </c>
    </row>
    <row r="155" spans="1:16">
      <c r="A155" s="84" t="s">
        <v>383</v>
      </c>
      <c r="B155" s="85" t="s">
        <v>382</v>
      </c>
      <c r="C155" s="85" t="s">
        <v>74</v>
      </c>
      <c r="D155" s="84" t="s">
        <v>87</v>
      </c>
      <c r="E155" s="84">
        <v>1</v>
      </c>
      <c r="F155" s="3">
        <v>0.20925415403957892</v>
      </c>
      <c r="G155" s="3">
        <v>0.21259543857095353</v>
      </c>
      <c r="H155" s="3">
        <v>0.21584527563882377</v>
      </c>
      <c r="I155" s="3">
        <v>0.21867085040915835</v>
      </c>
      <c r="J155" s="3">
        <v>0.22079754284975159</v>
      </c>
      <c r="K155" s="3">
        <v>0.22211251038013174</v>
      </c>
      <c r="L155" s="3">
        <v>0.22358625742796367</v>
      </c>
      <c r="M155" s="3">
        <v>0.22448135194198487</v>
      </c>
      <c r="N155" s="3">
        <v>0.22467697031594788</v>
      </c>
      <c r="O155" s="3">
        <v>0.22415103662916466</v>
      </c>
      <c r="P155" s="3">
        <v>0.22294857561355491</v>
      </c>
    </row>
    <row r="156" spans="1:16">
      <c r="A156" s="84" t="s">
        <v>385</v>
      </c>
      <c r="B156" s="85" t="s">
        <v>384</v>
      </c>
      <c r="C156" s="85" t="s">
        <v>83</v>
      </c>
      <c r="D156" s="84" t="s">
        <v>84</v>
      </c>
      <c r="E156" s="84">
        <v>3</v>
      </c>
      <c r="F156" s="3">
        <v>0.27053868635541523</v>
      </c>
      <c r="G156" s="3">
        <v>0.27181128999117998</v>
      </c>
      <c r="H156" s="3">
        <v>0.2728339422677033</v>
      </c>
      <c r="I156" s="3">
        <v>0.27355026552539968</v>
      </c>
      <c r="J156" s="3">
        <v>0.27392121524808838</v>
      </c>
      <c r="K156" s="3">
        <v>0.27396241232243401</v>
      </c>
      <c r="L156" s="3">
        <v>0.2736651726699269</v>
      </c>
      <c r="M156" s="3">
        <v>0.27307707328487701</v>
      </c>
      <c r="N156" s="3">
        <v>0.27222796388842874</v>
      </c>
      <c r="O156" s="3">
        <v>0.27116194894051737</v>
      </c>
      <c r="P156" s="3">
        <v>0.26992650763726694</v>
      </c>
    </row>
    <row r="157" spans="1:16">
      <c r="A157" s="84" t="s">
        <v>387</v>
      </c>
      <c r="B157" s="85" t="s">
        <v>386</v>
      </c>
      <c r="C157" s="85" t="s">
        <v>79</v>
      </c>
      <c r="D157" s="84" t="s">
        <v>80</v>
      </c>
      <c r="E157" s="84">
        <v>1</v>
      </c>
      <c r="F157" s="3">
        <v>0.19928975469788524</v>
      </c>
      <c r="G157" s="3">
        <v>0.19799220847897223</v>
      </c>
      <c r="H157" s="3">
        <v>0.19671195493349408</v>
      </c>
      <c r="I157" s="3">
        <v>0.19549893936715579</v>
      </c>
      <c r="J157" s="3">
        <v>0.19434968115829149</v>
      </c>
      <c r="K157" s="3">
        <v>0.19322264174388865</v>
      </c>
      <c r="L157" s="3">
        <v>0.19204421556239587</v>
      </c>
      <c r="M157" s="3">
        <v>0.19077581295587268</v>
      </c>
      <c r="N157" s="3">
        <v>0.18951717483912647</v>
      </c>
      <c r="O157" s="3">
        <v>0.1884185902811493</v>
      </c>
      <c r="P157" s="3">
        <v>0.18758953526227012</v>
      </c>
    </row>
    <row r="158" spans="1:16">
      <c r="A158" s="84" t="s">
        <v>389</v>
      </c>
      <c r="B158" s="85" t="s">
        <v>388</v>
      </c>
      <c r="C158" s="85" t="s">
        <v>83</v>
      </c>
      <c r="D158" s="84" t="s">
        <v>87</v>
      </c>
      <c r="E158" s="84">
        <v>1</v>
      </c>
      <c r="F158" s="3">
        <v>0.21248718994148691</v>
      </c>
      <c r="G158" s="3">
        <v>0.21647513812154701</v>
      </c>
      <c r="H158" s="3">
        <v>0.2206178941069569</v>
      </c>
      <c r="I158" s="3">
        <v>0.22462970987921821</v>
      </c>
      <c r="J158" s="3">
        <v>0.22827116604072184</v>
      </c>
      <c r="K158" s="3">
        <v>0.23118369719530049</v>
      </c>
      <c r="L158" s="3">
        <v>0.2334226727821202</v>
      </c>
      <c r="M158" s="3">
        <v>0.23482546755789621</v>
      </c>
      <c r="N158" s="3">
        <v>0.23532999051361969</v>
      </c>
      <c r="O158" s="3">
        <v>0.23529478445197641</v>
      </c>
      <c r="P158" s="3">
        <v>0.2348175373516459</v>
      </c>
    </row>
    <row r="159" spans="1:16">
      <c r="A159" s="84" t="s">
        <v>391</v>
      </c>
      <c r="B159" s="85" t="s">
        <v>390</v>
      </c>
      <c r="C159" s="85" t="s">
        <v>83</v>
      </c>
      <c r="D159" s="84" t="s">
        <v>75</v>
      </c>
      <c r="E159" s="84">
        <v>3</v>
      </c>
      <c r="F159" s="3">
        <v>0.2774240397436793</v>
      </c>
      <c r="G159" s="3">
        <v>0.27744268510305448</v>
      </c>
      <c r="H159" s="3">
        <v>0.27736615847600349</v>
      </c>
      <c r="I159" s="3">
        <v>0.27718648543695629</v>
      </c>
      <c r="J159" s="3">
        <v>0.27686415625553396</v>
      </c>
      <c r="K159" s="3">
        <v>0.27636367388067157</v>
      </c>
      <c r="L159" s="3">
        <v>0.27559508584880732</v>
      </c>
      <c r="M159" s="3">
        <v>0.27464218927490197</v>
      </c>
      <c r="N159" s="3">
        <v>0.27357484808406785</v>
      </c>
      <c r="O159" s="3">
        <v>0.2724807590214498</v>
      </c>
      <c r="P159" s="3">
        <v>0.2714138601596261</v>
      </c>
    </row>
    <row r="160" spans="1:16">
      <c r="A160" s="84" t="s">
        <v>393</v>
      </c>
      <c r="B160" s="85" t="s">
        <v>392</v>
      </c>
      <c r="C160" s="85" t="s">
        <v>99</v>
      </c>
      <c r="D160" s="84" t="s">
        <v>87</v>
      </c>
      <c r="E160" s="84">
        <v>1</v>
      </c>
      <c r="F160" s="3">
        <v>0.15842665253389912</v>
      </c>
      <c r="G160" s="3">
        <v>0.15706329652942688</v>
      </c>
      <c r="H160" s="3">
        <v>0.15750475542673906</v>
      </c>
      <c r="I160" s="3">
        <v>0.15934091970674447</v>
      </c>
      <c r="J160" s="3">
        <v>0.16171688343769283</v>
      </c>
      <c r="K160" s="3">
        <v>0.16391830362087068</v>
      </c>
      <c r="L160" s="3">
        <v>0.16615505294482663</v>
      </c>
      <c r="M160" s="3">
        <v>0.16822641245044445</v>
      </c>
      <c r="N160" s="3">
        <v>0.17019486341186793</v>
      </c>
      <c r="O160" s="3">
        <v>0.17229657558438907</v>
      </c>
      <c r="P160" s="3">
        <v>0.17464903868423182</v>
      </c>
    </row>
    <row r="161" spans="1:16">
      <c r="A161" s="84" t="s">
        <v>395</v>
      </c>
      <c r="B161" s="85" t="s">
        <v>394</v>
      </c>
      <c r="C161" s="85" t="s">
        <v>79</v>
      </c>
      <c r="D161" s="84" t="s">
        <v>87</v>
      </c>
      <c r="E161" s="84">
        <v>1</v>
      </c>
      <c r="F161" s="3">
        <v>0.17829373632660989</v>
      </c>
      <c r="G161" s="3">
        <v>0.18031582284287012</v>
      </c>
      <c r="H161" s="3">
        <v>0.18259680429190955</v>
      </c>
      <c r="I161" s="3">
        <v>0.18495879503411244</v>
      </c>
      <c r="J161" s="3">
        <v>0.18715396458687078</v>
      </c>
      <c r="K161" s="3">
        <v>0.18900679314048635</v>
      </c>
      <c r="L161" s="3">
        <v>0.19065770147661162</v>
      </c>
      <c r="M161" s="3">
        <v>0.19184993687828744</v>
      </c>
      <c r="N161" s="3">
        <v>0.19267073753280015</v>
      </c>
      <c r="O161" s="3">
        <v>0.19332686926211401</v>
      </c>
      <c r="P161" s="3">
        <v>0.19396729331235185</v>
      </c>
    </row>
    <row r="162" spans="1:16">
      <c r="A162" s="84" t="s">
        <v>397</v>
      </c>
      <c r="B162" s="85" t="s">
        <v>396</v>
      </c>
      <c r="C162" s="85" t="s">
        <v>79</v>
      </c>
      <c r="D162" s="84" t="s">
        <v>87</v>
      </c>
      <c r="E162" s="84">
        <v>1</v>
      </c>
      <c r="F162" s="3">
        <v>0.18661505140493151</v>
      </c>
      <c r="G162" s="3">
        <v>0.19043847077507067</v>
      </c>
      <c r="H162" s="3">
        <v>0.19417594478734768</v>
      </c>
      <c r="I162" s="3">
        <v>0.1975981387345703</v>
      </c>
      <c r="J162" s="3">
        <v>0.20043571976714908</v>
      </c>
      <c r="K162" s="3">
        <v>0.2025177387654486</v>
      </c>
      <c r="L162" s="3">
        <v>0.20397235815235218</v>
      </c>
      <c r="M162" s="3">
        <v>0.20465815430347242</v>
      </c>
      <c r="N162" s="3">
        <v>0.20462053610894632</v>
      </c>
      <c r="O162" s="3">
        <v>0.20405921108924441</v>
      </c>
      <c r="P162" s="3">
        <v>0.2031502913285298</v>
      </c>
    </row>
    <row r="163" spans="1:16">
      <c r="A163" s="84" t="s">
        <v>399</v>
      </c>
      <c r="B163" s="85" t="s">
        <v>398</v>
      </c>
      <c r="C163" s="85" t="s">
        <v>74</v>
      </c>
      <c r="D163" s="84" t="s">
        <v>75</v>
      </c>
      <c r="E163" s="84">
        <v>3</v>
      </c>
      <c r="F163" s="3">
        <v>0.2689672021833438</v>
      </c>
      <c r="G163" s="3">
        <v>0.2680109409352387</v>
      </c>
      <c r="H163" s="3">
        <v>0.26734572146838809</v>
      </c>
      <c r="I163" s="3">
        <v>0.26692991174566505</v>
      </c>
      <c r="J163" s="3">
        <v>0.26668483167639201</v>
      </c>
      <c r="K163" s="3">
        <v>0.26656941515019678</v>
      </c>
      <c r="L163" s="3">
        <v>0.26628974366673336</v>
      </c>
      <c r="M163" s="3">
        <v>0.26614174025930493</v>
      </c>
      <c r="N163" s="3">
        <v>0.26618452443905916</v>
      </c>
      <c r="O163" s="3">
        <v>0.26647903844414472</v>
      </c>
      <c r="P163" s="3">
        <v>0.26703588978573611</v>
      </c>
    </row>
    <row r="164" spans="1:16">
      <c r="A164" s="84" t="s">
        <v>401</v>
      </c>
      <c r="B164" s="85" t="s">
        <v>400</v>
      </c>
      <c r="C164" s="85" t="s">
        <v>99</v>
      </c>
      <c r="D164" s="84" t="s">
        <v>84</v>
      </c>
      <c r="E164" s="84">
        <v>4</v>
      </c>
      <c r="F164" s="3">
        <v>0.25819621755676447</v>
      </c>
      <c r="G164" s="3">
        <v>0.25964862176033737</v>
      </c>
      <c r="H164" s="3">
        <v>0.26107999699454981</v>
      </c>
      <c r="I164" s="3">
        <v>0.26251453664480096</v>
      </c>
      <c r="J164" s="3">
        <v>0.26389559208752589</v>
      </c>
      <c r="K164" s="3">
        <v>0.26516071714022565</v>
      </c>
      <c r="L164" s="3">
        <v>0.2662520017143844</v>
      </c>
      <c r="M164" s="3">
        <v>0.2671497433001872</v>
      </c>
      <c r="N164" s="3">
        <v>0.2677421241002379</v>
      </c>
      <c r="O164" s="3">
        <v>0.26792020520502396</v>
      </c>
      <c r="P164" s="3">
        <v>0.26768402473757352</v>
      </c>
    </row>
    <row r="165" spans="1:16">
      <c r="A165" s="84" t="s">
        <v>403</v>
      </c>
      <c r="B165" s="85" t="s">
        <v>402</v>
      </c>
      <c r="C165" s="85" t="s">
        <v>83</v>
      </c>
      <c r="D165" s="84" t="s">
        <v>80</v>
      </c>
      <c r="E165" s="84" t="s">
        <v>76</v>
      </c>
      <c r="F165" s="3">
        <v>0.24523548268311926</v>
      </c>
      <c r="G165" s="3">
        <v>0.24650898475618135</v>
      </c>
      <c r="H165" s="3">
        <v>0.24774776458290262</v>
      </c>
      <c r="I165" s="3">
        <v>0.24876255614047182</v>
      </c>
      <c r="J165" s="3">
        <v>0.24935331572380157</v>
      </c>
      <c r="K165" s="3">
        <v>0.2494258099334391</v>
      </c>
      <c r="L165" s="3">
        <v>0.24914464342362641</v>
      </c>
      <c r="M165" s="3">
        <v>0.24840808898337816</v>
      </c>
      <c r="N165" s="3">
        <v>0.24727419000827672</v>
      </c>
      <c r="O165" s="3">
        <v>0.24586127165712574</v>
      </c>
      <c r="P165" s="3">
        <v>0.24425617717266815</v>
      </c>
    </row>
    <row r="166" spans="1:16">
      <c r="A166" s="84" t="s">
        <v>405</v>
      </c>
      <c r="B166" s="85" t="s">
        <v>404</v>
      </c>
      <c r="C166" s="85" t="s">
        <v>79</v>
      </c>
      <c r="D166" s="84" t="s">
        <v>87</v>
      </c>
      <c r="E166" s="84">
        <v>1</v>
      </c>
      <c r="F166" s="3">
        <v>0.18886987590703253</v>
      </c>
      <c r="G166" s="3">
        <v>0.19053685740870038</v>
      </c>
      <c r="H166" s="3">
        <v>0.19202179167115299</v>
      </c>
      <c r="I166" s="3">
        <v>0.19309897330442322</v>
      </c>
      <c r="J166" s="3">
        <v>0.19353038754421389</v>
      </c>
      <c r="K166" s="3">
        <v>0.19322480206292003</v>
      </c>
      <c r="L166" s="3">
        <v>0.19244173534112391</v>
      </c>
      <c r="M166" s="3">
        <v>0.19097258774823064</v>
      </c>
      <c r="N166" s="3">
        <v>0.18906175690153554</v>
      </c>
      <c r="O166" s="3">
        <v>0.18713664592128937</v>
      </c>
      <c r="P166" s="3">
        <v>0.18548903787437637</v>
      </c>
    </row>
    <row r="167" spans="1:16">
      <c r="A167" s="84" t="s">
        <v>407</v>
      </c>
      <c r="B167" s="85" t="s">
        <v>406</v>
      </c>
      <c r="C167" s="85" t="s">
        <v>110</v>
      </c>
      <c r="D167" s="84" t="s">
        <v>84</v>
      </c>
      <c r="E167" s="84">
        <v>2</v>
      </c>
      <c r="F167" s="3">
        <v>0.23276424222504641</v>
      </c>
      <c r="G167" s="3">
        <v>0.23327190410959486</v>
      </c>
      <c r="H167" s="3">
        <v>0.2334757803926302</v>
      </c>
      <c r="I167" s="3">
        <v>0.23350076946904266</v>
      </c>
      <c r="J167" s="3">
        <v>0.23339996031455901</v>
      </c>
      <c r="K167" s="3">
        <v>0.23315947188218364</v>
      </c>
      <c r="L167" s="3">
        <v>0.23216904021825296</v>
      </c>
      <c r="M167" s="3">
        <v>0.23080021758705926</v>
      </c>
      <c r="N167" s="3">
        <v>0.22918419061108172</v>
      </c>
      <c r="O167" s="3">
        <v>0.22756576755232263</v>
      </c>
      <c r="P167" s="3">
        <v>0.22619463527802769</v>
      </c>
    </row>
    <row r="168" spans="1:16">
      <c r="A168" s="84" t="s">
        <v>409</v>
      </c>
      <c r="B168" s="85" t="s">
        <v>408</v>
      </c>
      <c r="C168" s="85" t="s">
        <v>74</v>
      </c>
      <c r="D168" s="84" t="s">
        <v>75</v>
      </c>
      <c r="E168" s="84">
        <v>3</v>
      </c>
      <c r="F168" s="3">
        <v>0.27138338121972327</v>
      </c>
      <c r="G168" s="3">
        <v>0.27040642020354999</v>
      </c>
      <c r="H168" s="3">
        <v>0.26936007294378944</v>
      </c>
      <c r="I168" s="3">
        <v>0.26826959529868877</v>
      </c>
      <c r="J168" s="3">
        <v>0.26715878513511121</v>
      </c>
      <c r="K168" s="3">
        <v>0.26605042926817063</v>
      </c>
      <c r="L168" s="3">
        <v>0.26497226680408964</v>
      </c>
      <c r="M168" s="3">
        <v>0.26391030279017141</v>
      </c>
      <c r="N168" s="3">
        <v>0.26288726587631073</v>
      </c>
      <c r="O168" s="3">
        <v>0.26194063047264299</v>
      </c>
      <c r="P168" s="3">
        <v>0.26110136776379261</v>
      </c>
    </row>
    <row r="169" spans="1:16">
      <c r="A169" s="84" t="s">
        <v>411</v>
      </c>
      <c r="B169" s="85" t="s">
        <v>410</v>
      </c>
      <c r="C169" s="85" t="s">
        <v>74</v>
      </c>
      <c r="D169" s="84" t="s">
        <v>75</v>
      </c>
      <c r="E169" s="84">
        <v>3</v>
      </c>
      <c r="F169" s="3">
        <v>0.27126624208235611</v>
      </c>
      <c r="G169" s="3">
        <v>0.27131355031506033</v>
      </c>
      <c r="H169" s="3">
        <v>0.27138074313537069</v>
      </c>
      <c r="I169" s="3">
        <v>0.27141040829422836</v>
      </c>
      <c r="J169" s="3">
        <v>0.27135724232260827</v>
      </c>
      <c r="K169" s="3">
        <v>0.27121546239740879</v>
      </c>
      <c r="L169" s="3">
        <v>0.27082748317740429</v>
      </c>
      <c r="M169" s="3">
        <v>0.27041223530562891</v>
      </c>
      <c r="N169" s="3">
        <v>0.26999633354649138</v>
      </c>
      <c r="O169" s="3">
        <v>0.26959494717281651</v>
      </c>
      <c r="P169" s="3">
        <v>0.26919785165420618</v>
      </c>
    </row>
    <row r="170" spans="1:16">
      <c r="A170" s="84" t="s">
        <v>413</v>
      </c>
      <c r="B170" s="85" t="s">
        <v>412</v>
      </c>
      <c r="C170" s="85" t="s">
        <v>92</v>
      </c>
      <c r="D170" s="84" t="s">
        <v>80</v>
      </c>
      <c r="E170" s="84">
        <v>1</v>
      </c>
      <c r="F170" s="3">
        <v>0.24238519090501184</v>
      </c>
      <c r="G170" s="3">
        <v>0.24233921903413436</v>
      </c>
      <c r="H170" s="3">
        <v>0.24207135649341327</v>
      </c>
      <c r="I170" s="3">
        <v>0.2416064517688162</v>
      </c>
      <c r="J170" s="3">
        <v>0.24106580265744806</v>
      </c>
      <c r="K170" s="3">
        <v>0.2405590537926961</v>
      </c>
      <c r="L170" s="3">
        <v>0.24019397697380826</v>
      </c>
      <c r="M170" s="3">
        <v>0.23982065514306317</v>
      </c>
      <c r="N170" s="3">
        <v>0.2394529605634671</v>
      </c>
      <c r="O170" s="3">
        <v>0.23898755825388016</v>
      </c>
      <c r="P170" s="3">
        <v>0.23832872184614443</v>
      </c>
    </row>
    <row r="171" spans="1:16">
      <c r="A171" s="84" t="s">
        <v>415</v>
      </c>
      <c r="B171" s="85" t="s">
        <v>414</v>
      </c>
      <c r="C171" s="85" t="s">
        <v>83</v>
      </c>
      <c r="D171" s="84" t="s">
        <v>84</v>
      </c>
      <c r="E171" s="84">
        <v>3</v>
      </c>
      <c r="F171" s="3">
        <v>0.28331552117729569</v>
      </c>
      <c r="G171" s="3">
        <v>0.28497813940087618</v>
      </c>
      <c r="H171" s="3">
        <v>0.28680951993396037</v>
      </c>
      <c r="I171" s="3">
        <v>0.28845663897724588</v>
      </c>
      <c r="J171" s="3">
        <v>0.28938625318838768</v>
      </c>
      <c r="K171" s="3">
        <v>0.28921459592514792</v>
      </c>
      <c r="L171" s="3">
        <v>0.28770368018733694</v>
      </c>
      <c r="M171" s="3">
        <v>0.28530084160281388</v>
      </c>
      <c r="N171" s="3">
        <v>0.28218652312780323</v>
      </c>
      <c r="O171" s="3">
        <v>0.27878384522072763</v>
      </c>
      <c r="P171" s="3">
        <v>0.27541842265771194</v>
      </c>
    </row>
    <row r="172" spans="1:16">
      <c r="A172" s="84" t="s">
        <v>417</v>
      </c>
      <c r="B172" s="85" t="s">
        <v>416</v>
      </c>
      <c r="C172" s="85" t="s">
        <v>79</v>
      </c>
      <c r="D172" s="84" t="s">
        <v>87</v>
      </c>
      <c r="E172" s="84">
        <v>1</v>
      </c>
      <c r="F172" s="3">
        <v>0.20440337459103444</v>
      </c>
      <c r="G172" s="3">
        <v>0.20661774705726263</v>
      </c>
      <c r="H172" s="3">
        <v>0.20865650074767084</v>
      </c>
      <c r="I172" s="3">
        <v>0.2104534071254964</v>
      </c>
      <c r="J172" s="3">
        <v>0.21199777601436709</v>
      </c>
      <c r="K172" s="3">
        <v>0.21323984050208716</v>
      </c>
      <c r="L172" s="3">
        <v>0.21426398987110601</v>
      </c>
      <c r="M172" s="3">
        <v>0.21492681159506083</v>
      </c>
      <c r="N172" s="3">
        <v>0.21530516981535916</v>
      </c>
      <c r="O172" s="3">
        <v>0.21549914563279673</v>
      </c>
      <c r="P172" s="3">
        <v>0.21552002914315924</v>
      </c>
    </row>
    <row r="173" spans="1:16">
      <c r="A173" s="84" t="s">
        <v>419</v>
      </c>
      <c r="B173" s="85" t="s">
        <v>418</v>
      </c>
      <c r="C173" s="85" t="s">
        <v>79</v>
      </c>
      <c r="D173" s="84" t="s">
        <v>87</v>
      </c>
      <c r="E173" s="84">
        <v>1</v>
      </c>
      <c r="F173" s="3">
        <v>0.18662136287857023</v>
      </c>
      <c r="G173" s="3">
        <v>0.18803403991988801</v>
      </c>
      <c r="H173" s="3">
        <v>0.18980883640028923</v>
      </c>
      <c r="I173" s="3">
        <v>0.1918411502091332</v>
      </c>
      <c r="J173" s="3">
        <v>0.19394121925956959</v>
      </c>
      <c r="K173" s="3">
        <v>0.19588968165209072</v>
      </c>
      <c r="L173" s="3">
        <v>0.19783838559187183</v>
      </c>
      <c r="M173" s="3">
        <v>0.19967831057559279</v>
      </c>
      <c r="N173" s="3">
        <v>0.20128605531288918</v>
      </c>
      <c r="O173" s="3">
        <v>0.20258039252886315</v>
      </c>
      <c r="P173" s="3">
        <v>0.20351734577515335</v>
      </c>
    </row>
    <row r="174" spans="1:16">
      <c r="A174" s="84" t="s">
        <v>421</v>
      </c>
      <c r="B174" s="85" t="s">
        <v>420</v>
      </c>
      <c r="C174" s="85" t="s">
        <v>74</v>
      </c>
      <c r="D174" s="84" t="s">
        <v>75</v>
      </c>
      <c r="E174" s="84">
        <v>2</v>
      </c>
      <c r="F174" s="3">
        <v>0.21106141662710012</v>
      </c>
      <c r="G174" s="3">
        <v>0.21539607954759535</v>
      </c>
      <c r="H174" s="3">
        <v>0.22101331193097304</v>
      </c>
      <c r="I174" s="3">
        <v>0.22765886582841649</v>
      </c>
      <c r="J174" s="3">
        <v>0.23457878496181414</v>
      </c>
      <c r="K174" s="3">
        <v>0.24097230747711179</v>
      </c>
      <c r="L174" s="3">
        <v>0.24609859649172303</v>
      </c>
      <c r="M174" s="3">
        <v>0.25041922833128066</v>
      </c>
      <c r="N174" s="3">
        <v>0.2539279477825051</v>
      </c>
      <c r="O174" s="3">
        <v>0.25668714714784158</v>
      </c>
      <c r="P174" s="3">
        <v>0.25874436287663355</v>
      </c>
    </row>
    <row r="175" spans="1:16">
      <c r="A175" s="84" t="s">
        <v>423</v>
      </c>
      <c r="B175" s="85" t="s">
        <v>422</v>
      </c>
      <c r="C175" s="85" t="s">
        <v>83</v>
      </c>
      <c r="D175" s="84" t="s">
        <v>84</v>
      </c>
      <c r="E175" s="84" t="s">
        <v>76</v>
      </c>
      <c r="F175" s="3">
        <v>0.26603551402699105</v>
      </c>
      <c r="G175" s="3">
        <v>0.2663755838341556</v>
      </c>
      <c r="H175" s="3">
        <v>0.26649057630603568</v>
      </c>
      <c r="I175" s="3">
        <v>0.26639727804653557</v>
      </c>
      <c r="J175" s="3">
        <v>0.26613262945692284</v>
      </c>
      <c r="K175" s="3">
        <v>0.26573391444074612</v>
      </c>
      <c r="L175" s="3">
        <v>0.2652235902832642</v>
      </c>
      <c r="M175" s="3">
        <v>0.264600831081238</v>
      </c>
      <c r="N175" s="3">
        <v>0.26393049444261979</v>
      </c>
      <c r="O175" s="3">
        <v>0.26330018321459514</v>
      </c>
      <c r="P175" s="3">
        <v>0.26276687246470137</v>
      </c>
    </row>
    <row r="176" spans="1:16">
      <c r="A176" s="84" t="s">
        <v>425</v>
      </c>
      <c r="B176" s="85" t="s">
        <v>424</v>
      </c>
      <c r="C176" s="85" t="s">
        <v>79</v>
      </c>
      <c r="D176" s="84" t="s">
        <v>75</v>
      </c>
      <c r="E176" s="84">
        <v>2</v>
      </c>
      <c r="F176" s="3">
        <v>0.2411737860078014</v>
      </c>
      <c r="G176" s="3">
        <v>0.24570971587814808</v>
      </c>
      <c r="H176" s="3">
        <v>0.25075564606026557</v>
      </c>
      <c r="I176" s="3">
        <v>0.25605128463730109</v>
      </c>
      <c r="J176" s="3">
        <v>0.26099525757634057</v>
      </c>
      <c r="K176" s="3">
        <v>0.26505996929756354</v>
      </c>
      <c r="L176" s="3">
        <v>0.26794209548878695</v>
      </c>
      <c r="M176" s="3">
        <v>0.2698718344389322</v>
      </c>
      <c r="N176" s="3">
        <v>0.27075175166491233</v>
      </c>
      <c r="O176" s="3">
        <v>0.27056529527675199</v>
      </c>
      <c r="P176" s="3">
        <v>0.2694288813548516</v>
      </c>
    </row>
    <row r="177" spans="1:16">
      <c r="A177" s="84" t="s">
        <v>427</v>
      </c>
      <c r="B177" s="85" t="s">
        <v>426</v>
      </c>
      <c r="C177" s="85" t="s">
        <v>110</v>
      </c>
      <c r="D177" s="84" t="s">
        <v>80</v>
      </c>
      <c r="E177" s="84">
        <v>1</v>
      </c>
      <c r="F177" s="3">
        <v>0.20095235452986118</v>
      </c>
      <c r="G177" s="3">
        <v>0.20000184189328385</v>
      </c>
      <c r="H177" s="3">
        <v>0.19932746410042074</v>
      </c>
      <c r="I177" s="3">
        <v>0.19885937721608912</v>
      </c>
      <c r="J177" s="3">
        <v>0.19843117118035483</v>
      </c>
      <c r="K177" s="3">
        <v>0.19790671783778363</v>
      </c>
      <c r="L177" s="3">
        <v>0.19741053491415655</v>
      </c>
      <c r="M177" s="3">
        <v>0.19680980608309978</v>
      </c>
      <c r="N177" s="3">
        <v>0.19610887205872393</v>
      </c>
      <c r="O177" s="3">
        <v>0.19534577395516178</v>
      </c>
      <c r="P177" s="3">
        <v>0.19455818037910702</v>
      </c>
    </row>
    <row r="178" spans="1:16">
      <c r="A178" s="84" t="s">
        <v>429</v>
      </c>
      <c r="B178" s="85" t="s">
        <v>428</v>
      </c>
      <c r="C178" s="85" t="s">
        <v>110</v>
      </c>
      <c r="D178" s="84" t="s">
        <v>84</v>
      </c>
      <c r="E178" s="84">
        <v>4</v>
      </c>
      <c r="F178" s="3">
        <v>0.27218183862274598</v>
      </c>
      <c r="G178" s="3">
        <v>0.26954248228893907</v>
      </c>
      <c r="H178" s="3">
        <v>0.26721222682134183</v>
      </c>
      <c r="I178" s="3">
        <v>0.26546414424659515</v>
      </c>
      <c r="J178" s="3">
        <v>0.26441380646248708</v>
      </c>
      <c r="K178" s="3">
        <v>0.2639635976497392</v>
      </c>
      <c r="L178" s="3">
        <v>0.2636407947052351</v>
      </c>
      <c r="M178" s="3">
        <v>0.26358814499998173</v>
      </c>
      <c r="N178" s="3">
        <v>0.26385863479978017</v>
      </c>
      <c r="O178" s="3">
        <v>0.26442930691850197</v>
      </c>
      <c r="P178" s="3">
        <v>0.2652450193770548</v>
      </c>
    </row>
    <row r="179" spans="1:16">
      <c r="A179" s="84" t="s">
        <v>431</v>
      </c>
      <c r="B179" s="85" t="s">
        <v>430</v>
      </c>
      <c r="C179" s="85" t="s">
        <v>83</v>
      </c>
      <c r="D179" s="84" t="s">
        <v>75</v>
      </c>
      <c r="E179" s="84">
        <v>3</v>
      </c>
      <c r="F179" s="3">
        <v>0.26997527606972049</v>
      </c>
      <c r="G179" s="3">
        <v>0.26983736309664613</v>
      </c>
      <c r="H179" s="3">
        <v>0.26941352859333434</v>
      </c>
      <c r="I179" s="3">
        <v>0.26873201038857752</v>
      </c>
      <c r="J179" s="3">
        <v>0.26785520449620315</v>
      </c>
      <c r="K179" s="3">
        <v>0.26685342936848383</v>
      </c>
      <c r="L179" s="3">
        <v>0.26575691687141179</v>
      </c>
      <c r="M179" s="3">
        <v>0.26456852744995057</v>
      </c>
      <c r="N179" s="3">
        <v>0.26335481612542033</v>
      </c>
      <c r="O179" s="3">
        <v>0.26220540725359842</v>
      </c>
      <c r="P179" s="3">
        <v>0.26118227492615248</v>
      </c>
    </row>
    <row r="180" spans="1:16">
      <c r="A180" s="84" t="s">
        <v>433</v>
      </c>
      <c r="B180" s="85" t="s">
        <v>432</v>
      </c>
      <c r="C180" s="85" t="s">
        <v>99</v>
      </c>
      <c r="D180" s="84" t="s">
        <v>80</v>
      </c>
      <c r="E180" s="84">
        <v>1</v>
      </c>
      <c r="F180" s="3">
        <v>0.27643197156773397</v>
      </c>
      <c r="G180" s="3">
        <v>0.27553613543704403</v>
      </c>
      <c r="H180" s="3">
        <v>0.27408960534437066</v>
      </c>
      <c r="I180" s="3">
        <v>0.27224625923922829</v>
      </c>
      <c r="J180" s="3">
        <v>0.27022695733918262</v>
      </c>
      <c r="K180" s="3">
        <v>0.26824345351887241</v>
      </c>
      <c r="L180" s="3">
        <v>0.26622625345544793</v>
      </c>
      <c r="M180" s="3">
        <v>0.26409781855500103</v>
      </c>
      <c r="N180" s="3">
        <v>0.26197008893185963</v>
      </c>
      <c r="O180" s="3">
        <v>0.25977407189565099</v>
      </c>
      <c r="P180" s="3">
        <v>0.25768847501889897</v>
      </c>
    </row>
    <row r="181" spans="1:16">
      <c r="A181" s="84" t="s">
        <v>435</v>
      </c>
      <c r="B181" s="85" t="s">
        <v>434</v>
      </c>
      <c r="C181" s="85" t="s">
        <v>92</v>
      </c>
      <c r="D181" s="84" t="s">
        <v>87</v>
      </c>
      <c r="E181" s="84">
        <v>1</v>
      </c>
      <c r="F181" s="3">
        <v>0.214753590659789</v>
      </c>
      <c r="G181" s="3">
        <v>0.21687809686875761</v>
      </c>
      <c r="H181" s="3">
        <v>0.21837546910939837</v>
      </c>
      <c r="I181" s="3">
        <v>0.2191881644738396</v>
      </c>
      <c r="J181" s="3">
        <v>0.21934508304001421</v>
      </c>
      <c r="K181" s="3">
        <v>0.21893042817226208</v>
      </c>
      <c r="L181" s="3">
        <v>0.21809878491076359</v>
      </c>
      <c r="M181" s="3">
        <v>0.21669018999878234</v>
      </c>
      <c r="N181" s="3">
        <v>0.2147711599610265</v>
      </c>
      <c r="O181" s="3">
        <v>0.21248193718252076</v>
      </c>
      <c r="P181" s="3">
        <v>0.20994851664396405</v>
      </c>
    </row>
    <row r="182" spans="1:16">
      <c r="A182" s="84" t="s">
        <v>437</v>
      </c>
      <c r="B182" s="85" t="s">
        <v>436</v>
      </c>
      <c r="C182" s="85" t="s">
        <v>74</v>
      </c>
      <c r="D182" s="84" t="s">
        <v>84</v>
      </c>
      <c r="E182" s="84">
        <v>3</v>
      </c>
      <c r="F182" s="3">
        <v>0.21470428962385779</v>
      </c>
      <c r="G182" s="3">
        <v>0.21875061676865531</v>
      </c>
      <c r="H182" s="3">
        <v>0.22282859724383575</v>
      </c>
      <c r="I182" s="3">
        <v>0.22681585775521279</v>
      </c>
      <c r="J182" s="3">
        <v>0.23052044677991099</v>
      </c>
      <c r="K182" s="3">
        <v>0.2337717831711765</v>
      </c>
      <c r="L182" s="3">
        <v>0.23657790286242961</v>
      </c>
      <c r="M182" s="3">
        <v>0.23881471384598121</v>
      </c>
      <c r="N182" s="3">
        <v>0.24026992374130759</v>
      </c>
      <c r="O182" s="3">
        <v>0.24073636003346685</v>
      </c>
      <c r="P182" s="3">
        <v>0.24015868674447532</v>
      </c>
    </row>
    <row r="183" spans="1:16">
      <c r="A183" s="84" t="s">
        <v>439</v>
      </c>
      <c r="B183" s="85" t="s">
        <v>438</v>
      </c>
      <c r="C183" s="85" t="s">
        <v>79</v>
      </c>
      <c r="D183" s="84" t="s">
        <v>80</v>
      </c>
      <c r="E183" s="84">
        <v>1</v>
      </c>
      <c r="F183" s="3">
        <v>0.22812528487835393</v>
      </c>
      <c r="G183" s="3">
        <v>0.22709546568087044</v>
      </c>
      <c r="H183" s="3">
        <v>0.22623971722056252</v>
      </c>
      <c r="I183" s="3">
        <v>0.22557659001409766</v>
      </c>
      <c r="J183" s="3">
        <v>0.22506732996552756</v>
      </c>
      <c r="K183" s="3">
        <v>0.22464198874663147</v>
      </c>
      <c r="L183" s="3">
        <v>0.22415793484677365</v>
      </c>
      <c r="M183" s="3">
        <v>0.22363704387868108</v>
      </c>
      <c r="N183" s="3">
        <v>0.22304935777927953</v>
      </c>
      <c r="O183" s="3">
        <v>0.22236272582746641</v>
      </c>
      <c r="P183" s="3">
        <v>0.22157851836535059</v>
      </c>
    </row>
    <row r="184" spans="1:16">
      <c r="A184" s="84" t="s">
        <v>441</v>
      </c>
      <c r="B184" s="85" t="s">
        <v>440</v>
      </c>
      <c r="C184" s="85" t="s">
        <v>79</v>
      </c>
      <c r="D184" s="84" t="s">
        <v>80</v>
      </c>
      <c r="E184" s="84">
        <v>1</v>
      </c>
      <c r="F184" s="3">
        <v>0.23888061735572486</v>
      </c>
      <c r="G184" s="3">
        <v>0.2437932141268393</v>
      </c>
      <c r="H184" s="3">
        <v>0.24792294571177964</v>
      </c>
      <c r="I184" s="3">
        <v>0.2513357597541222</v>
      </c>
      <c r="J184" s="3">
        <v>0.25429920665828998</v>
      </c>
      <c r="K184" s="3">
        <v>0.25701872704263035</v>
      </c>
      <c r="L184" s="3">
        <v>0.259528851883222</v>
      </c>
      <c r="M184" s="3">
        <v>0.26174468886030328</v>
      </c>
      <c r="N184" s="3">
        <v>0.26327288721025421</v>
      </c>
      <c r="O184" s="3">
        <v>0.2635814889336015</v>
      </c>
      <c r="P184" s="3">
        <v>0.26241194699011794</v>
      </c>
    </row>
    <row r="185" spans="1:16">
      <c r="A185" s="84" t="s">
        <v>443</v>
      </c>
      <c r="B185" s="85" t="s">
        <v>442</v>
      </c>
      <c r="C185" s="85" t="s">
        <v>99</v>
      </c>
      <c r="D185" s="84" t="s">
        <v>80</v>
      </c>
      <c r="E185" s="84">
        <v>4</v>
      </c>
      <c r="F185" s="3">
        <v>0</v>
      </c>
      <c r="G185" s="3">
        <v>0</v>
      </c>
      <c r="H185" s="3">
        <v>0</v>
      </c>
      <c r="I185" s="3">
        <v>0</v>
      </c>
      <c r="J185" s="3">
        <v>0</v>
      </c>
      <c r="K185" s="3">
        <v>0</v>
      </c>
      <c r="L185" s="3">
        <v>0</v>
      </c>
      <c r="M185" s="3">
        <v>0</v>
      </c>
      <c r="N185" s="3">
        <v>0</v>
      </c>
      <c r="O185" s="3">
        <v>0</v>
      </c>
      <c r="P185" s="3">
        <v>0</v>
      </c>
    </row>
    <row r="186" spans="1:16">
      <c r="A186" s="84" t="s">
        <v>445</v>
      </c>
      <c r="B186" s="85" t="s">
        <v>444</v>
      </c>
      <c r="C186" s="85" t="s">
        <v>83</v>
      </c>
      <c r="D186" s="84" t="s">
        <v>75</v>
      </c>
      <c r="E186" s="84" t="s">
        <v>76</v>
      </c>
      <c r="F186" s="3">
        <v>0.28378106480720866</v>
      </c>
      <c r="G186" s="3">
        <v>0.28459205454204117</v>
      </c>
      <c r="H186" s="3">
        <v>0.28528689463607365</v>
      </c>
      <c r="I186" s="3">
        <v>0.28582908687719144</v>
      </c>
      <c r="J186" s="3">
        <v>0.28612081747986445</v>
      </c>
      <c r="K186" s="3">
        <v>0.28609055575391101</v>
      </c>
      <c r="L186" s="3">
        <v>0.28576920821178531</v>
      </c>
      <c r="M186" s="3">
        <v>0.28514163645737239</v>
      </c>
      <c r="N186" s="3">
        <v>0.28422124832214735</v>
      </c>
      <c r="O186" s="3">
        <v>0.28308949446429477</v>
      </c>
      <c r="P186" s="3">
        <v>0.28184459557857916</v>
      </c>
    </row>
    <row r="187" spans="1:16">
      <c r="A187" s="84" t="s">
        <v>447</v>
      </c>
      <c r="B187" s="85" t="s">
        <v>446</v>
      </c>
      <c r="C187" s="85" t="s">
        <v>79</v>
      </c>
      <c r="D187" s="84" t="s">
        <v>84</v>
      </c>
      <c r="E187" s="84">
        <v>1</v>
      </c>
      <c r="F187" s="3">
        <v>0.19177162056282002</v>
      </c>
      <c r="G187" s="3">
        <v>0.19620808126737219</v>
      </c>
      <c r="H187" s="3">
        <v>0.20025051668682617</v>
      </c>
      <c r="I187" s="3">
        <v>0.20352320063801904</v>
      </c>
      <c r="J187" s="3">
        <v>0.20573038662542312</v>
      </c>
      <c r="K187" s="3">
        <v>0.20682929112761519</v>
      </c>
      <c r="L187" s="3">
        <v>0.20712105605778894</v>
      </c>
      <c r="M187" s="3">
        <v>0.20635315360937564</v>
      </c>
      <c r="N187" s="3">
        <v>0.20467053645596048</v>
      </c>
      <c r="O187" s="3">
        <v>0.2023871236478591</v>
      </c>
      <c r="P187" s="3">
        <v>0.19974563898966552</v>
      </c>
    </row>
    <row r="188" spans="1:16">
      <c r="A188" s="84" t="s">
        <v>449</v>
      </c>
      <c r="B188" s="85" t="s">
        <v>448</v>
      </c>
      <c r="C188" s="85" t="s">
        <v>74</v>
      </c>
      <c r="D188" s="84" t="s">
        <v>87</v>
      </c>
      <c r="E188" s="84">
        <v>1</v>
      </c>
      <c r="F188" s="3">
        <v>0.25529033159173675</v>
      </c>
      <c r="G188" s="3">
        <v>0.25750660292779531</v>
      </c>
      <c r="H188" s="3">
        <v>0.26130255252544621</v>
      </c>
      <c r="I188" s="3">
        <v>0.26486941487982862</v>
      </c>
      <c r="J188" s="3">
        <v>0.2670098344645187</v>
      </c>
      <c r="K188" s="3">
        <v>0.26712111124255716</v>
      </c>
      <c r="L188" s="3">
        <v>0.26883096855676542</v>
      </c>
      <c r="M188" s="3">
        <v>0.27187041293072622</v>
      </c>
      <c r="N188" s="3">
        <v>0.27466108719069449</v>
      </c>
      <c r="O188" s="3">
        <v>0.27607139257929481</v>
      </c>
      <c r="P188" s="3">
        <v>0.27537904942216235</v>
      </c>
    </row>
    <row r="189" spans="1:16">
      <c r="A189" s="84" t="s">
        <v>451</v>
      </c>
      <c r="B189" s="85" t="s">
        <v>450</v>
      </c>
      <c r="C189" s="85" t="s">
        <v>79</v>
      </c>
      <c r="D189" s="84" t="s">
        <v>87</v>
      </c>
      <c r="E189" s="84">
        <v>1</v>
      </c>
      <c r="F189" s="3">
        <v>0.2051679324684908</v>
      </c>
      <c r="G189" s="3">
        <v>0.20716065447442586</v>
      </c>
      <c r="H189" s="3">
        <v>0.20921050778173583</v>
      </c>
      <c r="I189" s="3">
        <v>0.21107966844437995</v>
      </c>
      <c r="J189" s="3">
        <v>0.21253741683846533</v>
      </c>
      <c r="K189" s="3">
        <v>0.21348048554987031</v>
      </c>
      <c r="L189" s="3">
        <v>0.21415655633967862</v>
      </c>
      <c r="M189" s="3">
        <v>0.214415376701382</v>
      </c>
      <c r="N189" s="3">
        <v>0.21427914313561663</v>
      </c>
      <c r="O189" s="3">
        <v>0.2138244399892005</v>
      </c>
      <c r="P189" s="3">
        <v>0.21309005414767673</v>
      </c>
    </row>
    <row r="190" spans="1:16">
      <c r="A190" s="84" t="s">
        <v>453</v>
      </c>
      <c r="B190" s="85" t="s">
        <v>452</v>
      </c>
      <c r="C190" s="85" t="s">
        <v>92</v>
      </c>
      <c r="D190" s="84" t="s">
        <v>87</v>
      </c>
      <c r="E190" s="84" t="s">
        <v>76</v>
      </c>
      <c r="F190" s="3">
        <v>0.21912686074133036</v>
      </c>
      <c r="G190" s="3">
        <v>0.21831766399747379</v>
      </c>
      <c r="H190" s="3">
        <v>0.21745994352001741</v>
      </c>
      <c r="I190" s="3">
        <v>0.21647270725439854</v>
      </c>
      <c r="J190" s="3">
        <v>0.21533226226027344</v>
      </c>
      <c r="K190" s="3">
        <v>0.21405868748296711</v>
      </c>
      <c r="L190" s="3">
        <v>0.21289893624798473</v>
      </c>
      <c r="M190" s="3">
        <v>0.21174384607405877</v>
      </c>
      <c r="N190" s="3">
        <v>0.2106607867445579</v>
      </c>
      <c r="O190" s="3">
        <v>0.20975252144108406</v>
      </c>
      <c r="P190" s="3">
        <v>0.2090468016166005</v>
      </c>
    </row>
    <row r="191" spans="1:16">
      <c r="A191" s="84" t="s">
        <v>455</v>
      </c>
      <c r="B191" s="85" t="s">
        <v>454</v>
      </c>
      <c r="C191" s="85" t="s">
        <v>92</v>
      </c>
      <c r="D191" s="84" t="s">
        <v>87</v>
      </c>
      <c r="E191" s="84">
        <v>1</v>
      </c>
      <c r="F191" s="3">
        <v>0.21932487765236899</v>
      </c>
      <c r="G191" s="3">
        <v>0.21837584600057414</v>
      </c>
      <c r="H191" s="3">
        <v>0.21752482355788069</v>
      </c>
      <c r="I191" s="3">
        <v>0.21681175599590227</v>
      </c>
      <c r="J191" s="3">
        <v>0.21628686970123132</v>
      </c>
      <c r="K191" s="3">
        <v>0.21598458227724482</v>
      </c>
      <c r="L191" s="3">
        <v>0.21597812503452277</v>
      </c>
      <c r="M191" s="3">
        <v>0.21614545537428226</v>
      </c>
      <c r="N191" s="3">
        <v>0.21639647854554345</v>
      </c>
      <c r="O191" s="3">
        <v>0.21661150669152515</v>
      </c>
      <c r="P191" s="3">
        <v>0.21672074363873389</v>
      </c>
    </row>
    <row r="192" spans="1:16">
      <c r="A192" s="84" t="s">
        <v>457</v>
      </c>
      <c r="B192" s="85" t="s">
        <v>456</v>
      </c>
      <c r="C192" s="85" t="s">
        <v>79</v>
      </c>
      <c r="D192" s="84" t="s">
        <v>84</v>
      </c>
      <c r="E192" s="84">
        <v>2</v>
      </c>
      <c r="F192" s="3">
        <v>0.22938724514692915</v>
      </c>
      <c r="G192" s="3">
        <v>0.23253119392237795</v>
      </c>
      <c r="H192" s="3">
        <v>0.23622467612896222</v>
      </c>
      <c r="I192" s="3">
        <v>0.24015556080430336</v>
      </c>
      <c r="J192" s="3">
        <v>0.24372189626512208</v>
      </c>
      <c r="K192" s="3">
        <v>0.2464307307688505</v>
      </c>
      <c r="L192" s="3">
        <v>0.24825143914922099</v>
      </c>
      <c r="M192" s="3">
        <v>0.24909823745794779</v>
      </c>
      <c r="N192" s="3">
        <v>0.24898363888125011</v>
      </c>
      <c r="O192" s="3">
        <v>0.24806827990465188</v>
      </c>
      <c r="P192" s="3">
        <v>0.24653765384190274</v>
      </c>
    </row>
    <row r="193" spans="1:16">
      <c r="A193" s="84" t="s">
        <v>459</v>
      </c>
      <c r="B193" s="85" t="s">
        <v>458</v>
      </c>
      <c r="C193" s="85" t="s">
        <v>99</v>
      </c>
      <c r="D193" s="84" t="s">
        <v>84</v>
      </c>
      <c r="E193" s="84">
        <v>4</v>
      </c>
      <c r="F193" s="3">
        <v>0.26343943173191636</v>
      </c>
      <c r="G193" s="3">
        <v>0.26468836892780623</v>
      </c>
      <c r="H193" s="3">
        <v>0.26592069827646875</v>
      </c>
      <c r="I193" s="3">
        <v>0.26694833975708238</v>
      </c>
      <c r="J193" s="3">
        <v>0.26745315334984604</v>
      </c>
      <c r="K193" s="3">
        <v>0.26719501142722052</v>
      </c>
      <c r="L193" s="3">
        <v>0.26629666246866612</v>
      </c>
      <c r="M193" s="3">
        <v>0.26463881394581795</v>
      </c>
      <c r="N193" s="3">
        <v>0.26253261274692496</v>
      </c>
      <c r="O193" s="3">
        <v>0.26040363329437133</v>
      </c>
      <c r="P193" s="3">
        <v>0.25859237207212249</v>
      </c>
    </row>
    <row r="194" spans="1:16">
      <c r="A194" s="84" t="s">
        <v>461</v>
      </c>
      <c r="B194" s="85" t="s">
        <v>460</v>
      </c>
      <c r="C194" s="85" t="s">
        <v>92</v>
      </c>
      <c r="D194" s="84" t="s">
        <v>80</v>
      </c>
      <c r="E194" s="84">
        <v>1</v>
      </c>
      <c r="F194" s="3">
        <v>0.25240536802338992</v>
      </c>
      <c r="G194" s="3">
        <v>0.25131260713539227</v>
      </c>
      <c r="H194" s="3">
        <v>0.24918101869036202</v>
      </c>
      <c r="I194" s="3">
        <v>0.24605717676813935</v>
      </c>
      <c r="J194" s="3">
        <v>0.24238260267286255</v>
      </c>
      <c r="K194" s="3">
        <v>0.23870246305207074</v>
      </c>
      <c r="L194" s="3">
        <v>0.2354049274813399</v>
      </c>
      <c r="M194" s="3">
        <v>0.23228077369532277</v>
      </c>
      <c r="N194" s="3">
        <v>0.2293581771511928</v>
      </c>
      <c r="O194" s="3">
        <v>0.22661322136372691</v>
      </c>
      <c r="P194" s="3">
        <v>0.22402440378342151</v>
      </c>
    </row>
    <row r="195" spans="1:16">
      <c r="A195" s="84" t="s">
        <v>463</v>
      </c>
      <c r="B195" s="85" t="s">
        <v>462</v>
      </c>
      <c r="C195" s="85" t="s">
        <v>99</v>
      </c>
      <c r="D195" s="84" t="s">
        <v>84</v>
      </c>
      <c r="E195" s="84">
        <v>4</v>
      </c>
      <c r="F195" s="3">
        <v>0.20638597835918007</v>
      </c>
      <c r="G195" s="3">
        <v>0.2088450982014726</v>
      </c>
      <c r="H195" s="3">
        <v>0.21173315499236281</v>
      </c>
      <c r="I195" s="3">
        <v>0.21488582409962864</v>
      </c>
      <c r="J195" s="3">
        <v>0.2179548465270803</v>
      </c>
      <c r="K195" s="3">
        <v>0.22062143747610732</v>
      </c>
      <c r="L195" s="3">
        <v>0.22290320560896862</v>
      </c>
      <c r="M195" s="3">
        <v>0.22446167061404693</v>
      </c>
      <c r="N195" s="3">
        <v>0.22536502897069149</v>
      </c>
      <c r="O195" s="3">
        <v>0.2258500012798291</v>
      </c>
      <c r="P195" s="3">
        <v>0.22611369610788767</v>
      </c>
    </row>
    <row r="196" spans="1:16">
      <c r="A196" s="84" t="s">
        <v>465</v>
      </c>
      <c r="B196" s="85" t="s">
        <v>464</v>
      </c>
      <c r="C196" s="85" t="s">
        <v>74</v>
      </c>
      <c r="D196" s="84" t="s">
        <v>75</v>
      </c>
      <c r="E196" s="84">
        <v>3</v>
      </c>
      <c r="F196" s="3">
        <v>0.27209854382651427</v>
      </c>
      <c r="G196" s="3">
        <v>0.27226086186476439</v>
      </c>
      <c r="H196" s="3">
        <v>0.27225865261914389</v>
      </c>
      <c r="I196" s="3">
        <v>0.27208414679623583</v>
      </c>
      <c r="J196" s="3">
        <v>0.2717551995191525</v>
      </c>
      <c r="K196" s="3">
        <v>0.27129503449984366</v>
      </c>
      <c r="L196" s="3">
        <v>0.27084171004294405</v>
      </c>
      <c r="M196" s="3">
        <v>0.27024135247761338</v>
      </c>
      <c r="N196" s="3">
        <v>0.26945348012719517</v>
      </c>
      <c r="O196" s="3">
        <v>0.26842594030537248</v>
      </c>
      <c r="P196" s="3">
        <v>0.26714534769647208</v>
      </c>
    </row>
    <row r="197" spans="1:16">
      <c r="A197" s="84" t="s">
        <v>467</v>
      </c>
      <c r="B197" s="85" t="s">
        <v>466</v>
      </c>
      <c r="C197" s="85" t="s">
        <v>83</v>
      </c>
      <c r="D197" s="84" t="s">
        <v>84</v>
      </c>
      <c r="E197" s="84">
        <v>3</v>
      </c>
      <c r="F197" s="3">
        <v>0.27697826468686232</v>
      </c>
      <c r="G197" s="3">
        <v>0.27625470119214723</v>
      </c>
      <c r="H197" s="3">
        <v>0.27506267073976615</v>
      </c>
      <c r="I197" s="3">
        <v>0.2734891304736638</v>
      </c>
      <c r="J197" s="3">
        <v>0.27178462581992724</v>
      </c>
      <c r="K197" s="3">
        <v>0.2701912525790075</v>
      </c>
      <c r="L197" s="3">
        <v>0.26876252371359655</v>
      </c>
      <c r="M197" s="3">
        <v>0.26751924159972984</v>
      </c>
      <c r="N197" s="3">
        <v>0.2664544702312665</v>
      </c>
      <c r="O197" s="3">
        <v>0.26551437735050054</v>
      </c>
      <c r="P197" s="3">
        <v>0.26464875290877682</v>
      </c>
    </row>
    <row r="198" spans="1:16">
      <c r="A198" s="84" t="s">
        <v>469</v>
      </c>
      <c r="B198" s="85" t="s">
        <v>468</v>
      </c>
      <c r="C198" s="85" t="s">
        <v>83</v>
      </c>
      <c r="D198" s="84" t="s">
        <v>84</v>
      </c>
      <c r="E198" s="84">
        <v>3</v>
      </c>
      <c r="F198" s="3">
        <v>0.29739385858312162</v>
      </c>
      <c r="G198" s="3">
        <v>0.30027642815068079</v>
      </c>
      <c r="H198" s="3">
        <v>0.30196047754875477</v>
      </c>
      <c r="I198" s="3">
        <v>0.30238658344429531</v>
      </c>
      <c r="J198" s="3">
        <v>0.3017375928884316</v>
      </c>
      <c r="K198" s="3">
        <v>0.3003225596360477</v>
      </c>
      <c r="L198" s="3">
        <v>0.29823538595255045</v>
      </c>
      <c r="M198" s="3">
        <v>0.29566784006246533</v>
      </c>
      <c r="N198" s="3">
        <v>0.29253869550451106</v>
      </c>
      <c r="O198" s="3">
        <v>0.28879855352213263</v>
      </c>
      <c r="P198" s="3">
        <v>0.2845210374732563</v>
      </c>
    </row>
  </sheetData>
  <autoFilter ref="A4:P198" xr:uid="{1BE26F4C-1587-7C4D-887A-C69327E2A75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9C45-C90D-3243-97E2-1A313059C94F}">
  <sheetPr>
    <tabColor theme="7" tint="0.79998168889431442"/>
  </sheetPr>
  <dimension ref="A1:P205"/>
  <sheetViews>
    <sheetView zoomScale="117" zoomScaleNormal="25" workbookViewId="0">
      <selection activeCell="I21" sqref="I21"/>
    </sheetView>
  </sheetViews>
  <sheetFormatPr defaultColWidth="10.85546875" defaultRowHeight="15"/>
  <cols>
    <col min="6" max="16" width="13.7109375" bestFit="1" customWidth="1"/>
  </cols>
  <sheetData>
    <row r="1" spans="1:16">
      <c r="A1" t="s">
        <v>470</v>
      </c>
      <c r="B1" t="s">
        <v>479</v>
      </c>
    </row>
    <row r="2" spans="1:16">
      <c r="A2" t="s">
        <v>471</v>
      </c>
      <c r="B2" t="s">
        <v>472</v>
      </c>
    </row>
    <row r="4" spans="1:16" s="88" customFormat="1">
      <c r="A4" s="86" t="s">
        <v>473</v>
      </c>
      <c r="B4" s="87" t="s">
        <v>64</v>
      </c>
      <c r="C4" s="86" t="s">
        <v>66</v>
      </c>
      <c r="D4" s="86" t="s">
        <v>67</v>
      </c>
      <c r="E4" s="86" t="s">
        <v>68</v>
      </c>
      <c r="F4" s="88">
        <v>2030</v>
      </c>
      <c r="G4" s="88">
        <v>2031</v>
      </c>
      <c r="H4" s="88">
        <v>2032</v>
      </c>
      <c r="I4" s="88">
        <v>2033</v>
      </c>
      <c r="J4" s="88">
        <v>2034</v>
      </c>
      <c r="K4" s="88">
        <v>2035</v>
      </c>
      <c r="L4" s="88">
        <v>2036</v>
      </c>
      <c r="M4" s="88">
        <v>2037</v>
      </c>
      <c r="N4" s="88">
        <v>2038</v>
      </c>
      <c r="O4" s="88">
        <v>2039</v>
      </c>
      <c r="P4" s="88">
        <v>2040</v>
      </c>
    </row>
    <row r="5" spans="1:16">
      <c r="A5" s="84" t="s">
        <v>73</v>
      </c>
      <c r="B5" s="85" t="s">
        <v>72</v>
      </c>
      <c r="C5" s="85" t="s">
        <v>74</v>
      </c>
      <c r="D5" s="84" t="s">
        <v>75</v>
      </c>
      <c r="E5" s="84" t="s">
        <v>76</v>
      </c>
      <c r="F5" s="2">
        <v>5892526</v>
      </c>
      <c r="G5" s="2">
        <v>5905645</v>
      </c>
      <c r="H5" s="2">
        <v>5913871</v>
      </c>
      <c r="I5" s="2">
        <v>5918083.0000000009</v>
      </c>
      <c r="J5" s="2">
        <v>5919136</v>
      </c>
      <c r="K5" s="2">
        <v>5918288</v>
      </c>
      <c r="L5" s="2">
        <v>5922727</v>
      </c>
      <c r="M5" s="2">
        <v>5919827.9999999991</v>
      </c>
      <c r="N5" s="2">
        <v>5911137.0000000009</v>
      </c>
      <c r="O5" s="2">
        <v>5898714</v>
      </c>
      <c r="P5" s="2">
        <v>5884704</v>
      </c>
    </row>
    <row r="6" spans="1:16">
      <c r="A6" s="84" t="s">
        <v>78</v>
      </c>
      <c r="B6" s="85" t="s">
        <v>77</v>
      </c>
      <c r="C6" s="85" t="s">
        <v>79</v>
      </c>
      <c r="D6" s="84" t="s">
        <v>80</v>
      </c>
      <c r="E6" s="84">
        <v>1</v>
      </c>
      <c r="F6" s="2">
        <v>132405</v>
      </c>
      <c r="G6" s="2">
        <v>127839.99999999999</v>
      </c>
      <c r="H6" s="2">
        <v>123794.00000000001</v>
      </c>
      <c r="I6" s="2">
        <v>120225.00000000001</v>
      </c>
      <c r="J6" s="2">
        <v>116958</v>
      </c>
      <c r="K6" s="2">
        <v>113906</v>
      </c>
      <c r="L6" s="2">
        <v>111528</v>
      </c>
      <c r="M6" s="2">
        <v>109283.99999999999</v>
      </c>
      <c r="N6" s="2">
        <v>107185</v>
      </c>
      <c r="O6" s="2">
        <v>105293</v>
      </c>
      <c r="P6" s="2">
        <v>103705</v>
      </c>
    </row>
    <row r="7" spans="1:16">
      <c r="A7" s="84" t="s">
        <v>82</v>
      </c>
      <c r="B7" s="85" t="s">
        <v>81</v>
      </c>
      <c r="C7" s="85" t="s">
        <v>83</v>
      </c>
      <c r="D7" s="84" t="s">
        <v>84</v>
      </c>
      <c r="E7" s="84">
        <v>2</v>
      </c>
      <c r="F7" s="2">
        <v>4143430.0000000005</v>
      </c>
      <c r="G7" s="2">
        <v>4117938</v>
      </c>
      <c r="H7" s="2">
        <v>4078807.0000000009</v>
      </c>
      <c r="I7" s="2">
        <v>4031983.9999999995</v>
      </c>
      <c r="J7" s="2">
        <v>3995061.0000000005</v>
      </c>
      <c r="K7" s="2">
        <v>3981144</v>
      </c>
      <c r="L7" s="2">
        <v>3994686.0000000005</v>
      </c>
      <c r="M7" s="2">
        <v>4017278.0000000005</v>
      </c>
      <c r="N7" s="2">
        <v>4049933</v>
      </c>
      <c r="O7" s="2">
        <v>4089236.0000000009</v>
      </c>
      <c r="P7" s="2">
        <v>4134100.0000000005</v>
      </c>
    </row>
    <row r="8" spans="1:16">
      <c r="A8" s="84" t="s">
        <v>86</v>
      </c>
      <c r="B8" s="85" t="s">
        <v>85</v>
      </c>
      <c r="C8" s="85" t="s">
        <v>79</v>
      </c>
      <c r="D8" s="84" t="s">
        <v>87</v>
      </c>
      <c r="E8" s="84">
        <v>1</v>
      </c>
      <c r="F8" s="2">
        <v>0</v>
      </c>
      <c r="G8" s="2">
        <v>0</v>
      </c>
      <c r="H8" s="2">
        <v>0</v>
      </c>
      <c r="I8" s="2">
        <v>0</v>
      </c>
      <c r="J8" s="2">
        <v>0</v>
      </c>
      <c r="K8" s="2">
        <v>0</v>
      </c>
      <c r="L8" s="2">
        <v>0</v>
      </c>
      <c r="M8" s="2">
        <v>0</v>
      </c>
      <c r="N8" s="2">
        <v>0</v>
      </c>
      <c r="O8" s="2">
        <v>0</v>
      </c>
      <c r="P8" s="2">
        <v>0</v>
      </c>
    </row>
    <row r="9" spans="1:16">
      <c r="A9" s="84" t="s">
        <v>89</v>
      </c>
      <c r="B9" s="85" t="s">
        <v>88</v>
      </c>
      <c r="C9" s="85" t="s">
        <v>83</v>
      </c>
      <c r="D9" s="84" t="s">
        <v>84</v>
      </c>
      <c r="E9" s="84">
        <v>3</v>
      </c>
      <c r="F9" s="2">
        <v>7363393.0000000009</v>
      </c>
      <c r="G9" s="2">
        <v>7544666.0000000009</v>
      </c>
      <c r="H9" s="2">
        <v>7721337</v>
      </c>
      <c r="I9" s="2">
        <v>7895525</v>
      </c>
      <c r="J9" s="2">
        <v>8068088</v>
      </c>
      <c r="K9" s="2">
        <v>8240558.9999999991</v>
      </c>
      <c r="L9" s="2">
        <v>8419428.0000000019</v>
      </c>
      <c r="M9" s="2">
        <v>8591341</v>
      </c>
      <c r="N9" s="2">
        <v>8758872.0000000019</v>
      </c>
      <c r="O9" s="2">
        <v>8925524.0000000019</v>
      </c>
      <c r="P9" s="2">
        <v>9094253</v>
      </c>
    </row>
    <row r="10" spans="1:16">
      <c r="A10" s="84" t="s">
        <v>91</v>
      </c>
      <c r="B10" s="85" t="s">
        <v>90</v>
      </c>
      <c r="C10" s="85" t="s">
        <v>92</v>
      </c>
      <c r="D10" s="84" t="s">
        <v>87</v>
      </c>
      <c r="E10" s="84">
        <v>1</v>
      </c>
      <c r="F10" s="2">
        <v>0</v>
      </c>
      <c r="G10" s="2">
        <v>6773</v>
      </c>
      <c r="H10" s="2">
        <v>6721</v>
      </c>
      <c r="I10" s="2">
        <v>6657</v>
      </c>
      <c r="J10" s="2">
        <v>6596.9999999999991</v>
      </c>
      <c r="K10" s="2">
        <v>6547</v>
      </c>
      <c r="L10" s="2">
        <v>6505</v>
      </c>
      <c r="M10" s="2">
        <v>6476</v>
      </c>
      <c r="N10" s="2">
        <v>6457.9999999999991</v>
      </c>
      <c r="O10" s="2">
        <v>6442</v>
      </c>
      <c r="P10" s="2">
        <v>6423</v>
      </c>
    </row>
    <row r="11" spans="1:16">
      <c r="A11" s="84" t="s">
        <v>94</v>
      </c>
      <c r="B11" s="85" t="s">
        <v>93</v>
      </c>
      <c r="C11" s="85" t="s">
        <v>92</v>
      </c>
      <c r="D11" s="84" t="s">
        <v>80</v>
      </c>
      <c r="E11" s="84">
        <v>1</v>
      </c>
      <c r="F11" s="2">
        <v>3664582.9999999995</v>
      </c>
      <c r="G11" s="2">
        <v>3659828</v>
      </c>
      <c r="H11" s="2">
        <v>3650141</v>
      </c>
      <c r="I11" s="2">
        <v>3637083</v>
      </c>
      <c r="J11" s="2">
        <v>3623227.0000000005</v>
      </c>
      <c r="K11" s="2">
        <v>3610466.9999999995</v>
      </c>
      <c r="L11" s="2">
        <v>3598952</v>
      </c>
      <c r="M11" s="2">
        <v>3589415</v>
      </c>
      <c r="N11" s="2">
        <v>3581093</v>
      </c>
      <c r="O11" s="2">
        <v>3572182</v>
      </c>
      <c r="P11" s="2">
        <v>3561506.0000000005</v>
      </c>
    </row>
    <row r="12" spans="1:16">
      <c r="A12" s="84" t="s">
        <v>96</v>
      </c>
      <c r="B12" s="85" t="s">
        <v>95</v>
      </c>
      <c r="C12" s="85" t="s">
        <v>79</v>
      </c>
      <c r="D12" s="84" t="s">
        <v>80</v>
      </c>
      <c r="E12" s="84">
        <v>1</v>
      </c>
      <c r="F12" s="2">
        <v>158152</v>
      </c>
      <c r="G12" s="2">
        <v>155692</v>
      </c>
      <c r="H12" s="2">
        <v>153501.99999999997</v>
      </c>
      <c r="I12" s="2">
        <v>151640</v>
      </c>
      <c r="J12" s="2">
        <v>150231</v>
      </c>
      <c r="K12" s="2">
        <v>149416.00000000003</v>
      </c>
      <c r="L12" s="2">
        <v>149827.99999999997</v>
      </c>
      <c r="M12" s="2">
        <v>150234</v>
      </c>
      <c r="N12" s="2">
        <v>150696</v>
      </c>
      <c r="O12" s="2">
        <v>151274</v>
      </c>
      <c r="P12" s="2">
        <v>152057.00000000003</v>
      </c>
    </row>
    <row r="13" spans="1:16">
      <c r="A13" s="84" t="s">
        <v>98</v>
      </c>
      <c r="B13" s="85" t="s">
        <v>97</v>
      </c>
      <c r="C13" s="85" t="s">
        <v>99</v>
      </c>
      <c r="D13" s="84" t="s">
        <v>87</v>
      </c>
      <c r="E13" s="84">
        <v>1</v>
      </c>
      <c r="F13" s="2">
        <v>1632367</v>
      </c>
      <c r="G13" s="2">
        <v>1637690</v>
      </c>
      <c r="H13" s="2">
        <v>1639942.0000000002</v>
      </c>
      <c r="I13" s="2">
        <v>1639924</v>
      </c>
      <c r="J13" s="2">
        <v>1640368</v>
      </c>
      <c r="K13" s="2">
        <v>1643108</v>
      </c>
      <c r="L13" s="2">
        <v>1650517.9999999998</v>
      </c>
      <c r="M13" s="2">
        <v>1658752</v>
      </c>
      <c r="N13" s="2">
        <v>1668084.9999999998</v>
      </c>
      <c r="O13" s="2">
        <v>1678224</v>
      </c>
      <c r="P13" s="2">
        <v>1689076</v>
      </c>
    </row>
    <row r="14" spans="1:16">
      <c r="A14" s="84" t="s">
        <v>101</v>
      </c>
      <c r="B14" s="85" t="s">
        <v>100</v>
      </c>
      <c r="C14" s="85" t="s">
        <v>79</v>
      </c>
      <c r="D14" s="84" t="s">
        <v>87</v>
      </c>
      <c r="E14" s="84">
        <v>1</v>
      </c>
      <c r="F14" s="2">
        <v>439105</v>
      </c>
      <c r="G14" s="2">
        <v>435030</v>
      </c>
      <c r="H14" s="2">
        <v>431083</v>
      </c>
      <c r="I14" s="2">
        <v>427081</v>
      </c>
      <c r="J14" s="2">
        <v>423098</v>
      </c>
      <c r="K14" s="2">
        <v>419086.00000000006</v>
      </c>
      <c r="L14" s="2">
        <v>415007</v>
      </c>
      <c r="M14" s="2">
        <v>411550</v>
      </c>
      <c r="N14" s="2">
        <v>408615</v>
      </c>
      <c r="O14" s="2">
        <v>406094.00000000006</v>
      </c>
      <c r="P14" s="2">
        <v>403856</v>
      </c>
    </row>
    <row r="15" spans="1:16">
      <c r="A15" s="84" t="s">
        <v>103</v>
      </c>
      <c r="B15" s="85" t="s">
        <v>102</v>
      </c>
      <c r="C15" s="85" t="s">
        <v>79</v>
      </c>
      <c r="D15" s="84" t="s">
        <v>80</v>
      </c>
      <c r="E15" s="84">
        <v>1</v>
      </c>
      <c r="F15" s="2">
        <v>637424</v>
      </c>
      <c r="G15" s="2">
        <v>638170.99999999988</v>
      </c>
      <c r="H15" s="2">
        <v>638198</v>
      </c>
      <c r="I15" s="2">
        <v>638111</v>
      </c>
      <c r="J15" s="2">
        <v>638559</v>
      </c>
      <c r="K15" s="2">
        <v>640340</v>
      </c>
      <c r="L15" s="2">
        <v>647379</v>
      </c>
      <c r="M15" s="2">
        <v>651113</v>
      </c>
      <c r="N15" s="2">
        <v>652560</v>
      </c>
      <c r="O15" s="2">
        <v>652538</v>
      </c>
      <c r="P15" s="2">
        <v>651721</v>
      </c>
    </row>
    <row r="16" spans="1:16">
      <c r="A16" s="84" t="s">
        <v>105</v>
      </c>
      <c r="B16" s="85" t="s">
        <v>104</v>
      </c>
      <c r="C16" s="85" t="s">
        <v>92</v>
      </c>
      <c r="D16" s="84" t="s">
        <v>87</v>
      </c>
      <c r="E16" s="84">
        <v>1</v>
      </c>
      <c r="F16" s="2">
        <v>27436</v>
      </c>
      <c r="G16" s="2">
        <v>27408</v>
      </c>
      <c r="H16" s="2">
        <v>27328</v>
      </c>
      <c r="I16" s="2">
        <v>27186.999999999996</v>
      </c>
      <c r="J16" s="2">
        <v>27026.000000000004</v>
      </c>
      <c r="K16" s="2">
        <v>26868</v>
      </c>
      <c r="L16" s="2">
        <v>26670</v>
      </c>
      <c r="M16" s="2">
        <v>26512</v>
      </c>
      <c r="N16" s="2">
        <v>26386.000000000004</v>
      </c>
      <c r="O16" s="2">
        <v>26265</v>
      </c>
      <c r="P16" s="2">
        <v>26141</v>
      </c>
    </row>
    <row r="17" spans="1:16">
      <c r="A17" s="84" t="s">
        <v>107</v>
      </c>
      <c r="B17" s="85" t="s">
        <v>106</v>
      </c>
      <c r="C17" s="85" t="s">
        <v>74</v>
      </c>
      <c r="D17" s="84" t="s">
        <v>87</v>
      </c>
      <c r="E17" s="84">
        <v>1</v>
      </c>
      <c r="F17" s="2">
        <v>111683</v>
      </c>
      <c r="G17" s="2">
        <v>111473.00000000001</v>
      </c>
      <c r="H17" s="2">
        <v>111622</v>
      </c>
      <c r="I17" s="2">
        <v>112003.99999999999</v>
      </c>
      <c r="J17" s="2">
        <v>112163</v>
      </c>
      <c r="K17" s="2">
        <v>111802</v>
      </c>
      <c r="L17" s="2">
        <v>111597</v>
      </c>
      <c r="M17" s="2">
        <v>110719.99999999999</v>
      </c>
      <c r="N17" s="2">
        <v>109339.99999999999</v>
      </c>
      <c r="O17" s="2">
        <v>107839</v>
      </c>
      <c r="P17" s="2">
        <v>106440.00000000001</v>
      </c>
    </row>
    <row r="18" spans="1:16">
      <c r="A18" s="84" t="s">
        <v>109</v>
      </c>
      <c r="B18" s="85" t="s">
        <v>108</v>
      </c>
      <c r="C18" s="85" t="s">
        <v>110</v>
      </c>
      <c r="D18" s="84" t="s">
        <v>84</v>
      </c>
      <c r="E18" s="84" t="s">
        <v>76</v>
      </c>
      <c r="F18" s="2">
        <v>12967341</v>
      </c>
      <c r="G18" s="2">
        <v>12790459</v>
      </c>
      <c r="H18" s="2">
        <v>12625106.999999998</v>
      </c>
      <c r="I18" s="2">
        <v>12467092</v>
      </c>
      <c r="J18" s="2">
        <v>12309781</v>
      </c>
      <c r="K18" s="2">
        <v>12149607</v>
      </c>
      <c r="L18" s="2">
        <v>12011220.000000002</v>
      </c>
      <c r="M18" s="2">
        <v>11862134.999999998</v>
      </c>
      <c r="N18" s="2">
        <v>11706289.999999998</v>
      </c>
      <c r="O18" s="2">
        <v>11551474</v>
      </c>
      <c r="P18" s="2">
        <v>11404433</v>
      </c>
    </row>
    <row r="19" spans="1:16">
      <c r="A19" s="84" t="s">
        <v>112</v>
      </c>
      <c r="B19" s="85" t="s">
        <v>111</v>
      </c>
      <c r="C19" s="85" t="s">
        <v>92</v>
      </c>
      <c r="D19" s="84" t="s">
        <v>87</v>
      </c>
      <c r="E19" s="84">
        <v>1</v>
      </c>
      <c r="F19" s="2">
        <v>14975</v>
      </c>
      <c r="G19" s="2">
        <v>14952</v>
      </c>
      <c r="H19" s="2">
        <v>14912.999999999998</v>
      </c>
      <c r="I19" s="2">
        <v>14851</v>
      </c>
      <c r="J19" s="2">
        <v>14767</v>
      </c>
      <c r="K19" s="2">
        <v>14670.000000000002</v>
      </c>
      <c r="L19" s="2">
        <v>14571.000000000002</v>
      </c>
      <c r="M19" s="2">
        <v>14457.000000000002</v>
      </c>
      <c r="N19" s="2">
        <v>14322.000000000002</v>
      </c>
      <c r="O19" s="2">
        <v>14176.000000000002</v>
      </c>
      <c r="P19" s="2">
        <v>14017.000000000002</v>
      </c>
    </row>
    <row r="20" spans="1:16">
      <c r="A20" s="84" t="s">
        <v>114</v>
      </c>
      <c r="B20" s="85" t="s">
        <v>113</v>
      </c>
      <c r="C20" s="85" t="s">
        <v>79</v>
      </c>
      <c r="D20" s="84" t="s">
        <v>80</v>
      </c>
      <c r="E20" s="84">
        <v>2</v>
      </c>
      <c r="F20" s="2">
        <v>454755</v>
      </c>
      <c r="G20" s="2">
        <v>440710.00000000006</v>
      </c>
      <c r="H20" s="2">
        <v>432111.00000000006</v>
      </c>
      <c r="I20" s="2">
        <v>428239.00000000006</v>
      </c>
      <c r="J20" s="2">
        <v>426284</v>
      </c>
      <c r="K20" s="2">
        <v>424489</v>
      </c>
      <c r="L20" s="2">
        <v>425193</v>
      </c>
      <c r="M20" s="2">
        <v>426455.00000000006</v>
      </c>
      <c r="N20" s="2">
        <v>428133.00000000006</v>
      </c>
      <c r="O20" s="2">
        <v>430768</v>
      </c>
      <c r="P20" s="2">
        <v>434724</v>
      </c>
    </row>
    <row r="21" spans="1:16">
      <c r="A21" s="84" t="s">
        <v>116</v>
      </c>
      <c r="B21" s="85" t="s">
        <v>115</v>
      </c>
      <c r="C21" s="85" t="s">
        <v>79</v>
      </c>
      <c r="D21" s="84" t="s">
        <v>87</v>
      </c>
      <c r="E21" s="84">
        <v>1</v>
      </c>
      <c r="F21" s="2">
        <v>609688</v>
      </c>
      <c r="G21" s="2">
        <v>606188</v>
      </c>
      <c r="H21" s="2">
        <v>604504</v>
      </c>
      <c r="I21" s="2">
        <v>604253</v>
      </c>
      <c r="J21" s="2">
        <v>604473</v>
      </c>
      <c r="K21" s="2">
        <v>604482</v>
      </c>
      <c r="L21" s="2">
        <v>605419</v>
      </c>
      <c r="M21" s="2">
        <v>606674</v>
      </c>
      <c r="N21" s="2">
        <v>608021.99999999988</v>
      </c>
      <c r="O21" s="2">
        <v>609446</v>
      </c>
      <c r="P21" s="2">
        <v>610899</v>
      </c>
    </row>
    <row r="22" spans="1:16">
      <c r="A22" s="84" t="s">
        <v>118</v>
      </c>
      <c r="B22" s="85" t="s">
        <v>117</v>
      </c>
      <c r="C22" s="85" t="s">
        <v>92</v>
      </c>
      <c r="D22" s="84" t="s">
        <v>80</v>
      </c>
      <c r="E22" s="84">
        <v>1</v>
      </c>
      <c r="F22" s="2">
        <v>40336</v>
      </c>
      <c r="G22" s="2">
        <v>40045</v>
      </c>
      <c r="H22" s="2">
        <v>39841</v>
      </c>
      <c r="I22" s="2">
        <v>39692</v>
      </c>
      <c r="J22" s="2">
        <v>39542</v>
      </c>
      <c r="K22" s="2">
        <v>39335</v>
      </c>
      <c r="L22" s="2">
        <v>39123</v>
      </c>
      <c r="M22" s="2">
        <v>38913</v>
      </c>
      <c r="N22" s="2">
        <v>38693</v>
      </c>
      <c r="O22" s="2">
        <v>38468</v>
      </c>
      <c r="P22" s="2">
        <v>38243</v>
      </c>
    </row>
    <row r="23" spans="1:16">
      <c r="A23" s="84" t="s">
        <v>120</v>
      </c>
      <c r="B23" s="85" t="s">
        <v>119</v>
      </c>
      <c r="C23" s="85" t="s">
        <v>83</v>
      </c>
      <c r="D23" s="84" t="s">
        <v>84</v>
      </c>
      <c r="E23" s="84">
        <v>3</v>
      </c>
      <c r="F23" s="2">
        <v>2277731</v>
      </c>
      <c r="G23" s="2">
        <v>2317986</v>
      </c>
      <c r="H23" s="2">
        <v>2355590</v>
      </c>
      <c r="I23" s="2">
        <v>2391543</v>
      </c>
      <c r="J23" s="2">
        <v>2426815</v>
      </c>
      <c r="K23" s="2">
        <v>2462483</v>
      </c>
      <c r="L23" s="2">
        <v>2501103</v>
      </c>
      <c r="M23" s="2">
        <v>2537097</v>
      </c>
      <c r="N23" s="2">
        <v>2571293</v>
      </c>
      <c r="O23" s="2">
        <v>2604551.9999999995</v>
      </c>
      <c r="P23" s="2">
        <v>2637825</v>
      </c>
    </row>
    <row r="24" spans="1:16">
      <c r="A24" s="84" t="s">
        <v>122</v>
      </c>
      <c r="B24" s="85" t="s">
        <v>121</v>
      </c>
      <c r="C24" s="85" t="s">
        <v>110</v>
      </c>
      <c r="D24" s="84" t="s">
        <v>84</v>
      </c>
      <c r="E24" s="84">
        <v>2</v>
      </c>
      <c r="F24" s="2">
        <v>56408</v>
      </c>
      <c r="G24" s="2">
        <v>55517.999999999993</v>
      </c>
      <c r="H24" s="2">
        <v>54537</v>
      </c>
      <c r="I24" s="2">
        <v>53463</v>
      </c>
      <c r="J24" s="2">
        <v>52391</v>
      </c>
      <c r="K24" s="2">
        <v>51368</v>
      </c>
      <c r="L24" s="2">
        <v>50462</v>
      </c>
      <c r="M24" s="2">
        <v>49556</v>
      </c>
      <c r="N24" s="2">
        <v>48676.999999999993</v>
      </c>
      <c r="O24" s="2">
        <v>47850</v>
      </c>
      <c r="P24" s="2">
        <v>47099</v>
      </c>
    </row>
    <row r="25" spans="1:16">
      <c r="A25" s="84" t="s">
        <v>124</v>
      </c>
      <c r="B25" s="85" t="s">
        <v>123</v>
      </c>
      <c r="C25" s="85" t="s">
        <v>92</v>
      </c>
      <c r="D25" s="84" t="s">
        <v>84</v>
      </c>
      <c r="E25" s="84">
        <v>2</v>
      </c>
      <c r="F25" s="2">
        <v>1209305</v>
      </c>
      <c r="G25" s="2">
        <v>1207841</v>
      </c>
      <c r="H25" s="2">
        <v>1206125</v>
      </c>
      <c r="I25" s="2">
        <v>1204347</v>
      </c>
      <c r="J25" s="2">
        <v>1202188</v>
      </c>
      <c r="K25" s="2">
        <v>1199509</v>
      </c>
      <c r="L25" s="2">
        <v>1196937.9999999998</v>
      </c>
      <c r="M25" s="2">
        <v>1194366</v>
      </c>
      <c r="N25" s="2">
        <v>1191550.0000000002</v>
      </c>
      <c r="O25" s="2">
        <v>1188230</v>
      </c>
      <c r="P25" s="2">
        <v>1184273.0000000002</v>
      </c>
    </row>
    <row r="26" spans="1:16">
      <c r="A26" s="84" t="s">
        <v>126</v>
      </c>
      <c r="B26" s="85" t="s">
        <v>125</v>
      </c>
      <c r="C26" s="85" t="s">
        <v>79</v>
      </c>
      <c r="D26" s="84" t="s">
        <v>80</v>
      </c>
      <c r="E26" s="84">
        <v>1</v>
      </c>
      <c r="F26" s="2">
        <v>113918.99999999999</v>
      </c>
      <c r="G26" s="2">
        <v>112835.00000000001</v>
      </c>
      <c r="H26" s="2">
        <v>112251</v>
      </c>
      <c r="I26" s="2">
        <v>112090</v>
      </c>
      <c r="J26" s="2">
        <v>112009</v>
      </c>
      <c r="K26" s="2">
        <v>111779</v>
      </c>
      <c r="L26" s="2">
        <v>111664</v>
      </c>
      <c r="M26" s="2">
        <v>111393.99999999999</v>
      </c>
      <c r="N26" s="2">
        <v>110955.99999999999</v>
      </c>
      <c r="O26" s="2">
        <v>110436</v>
      </c>
      <c r="P26" s="2">
        <v>109876</v>
      </c>
    </row>
    <row r="27" spans="1:16">
      <c r="A27" s="84" t="s">
        <v>128</v>
      </c>
      <c r="B27" s="85" t="s">
        <v>127</v>
      </c>
      <c r="C27" s="85" t="s">
        <v>83</v>
      </c>
      <c r="D27" s="84" t="s">
        <v>80</v>
      </c>
      <c r="E27" s="84">
        <v>2</v>
      </c>
      <c r="F27" s="2">
        <v>266806</v>
      </c>
      <c r="G27" s="2">
        <v>268407.99999999994</v>
      </c>
      <c r="H27" s="2">
        <v>269478</v>
      </c>
      <c r="I27" s="2">
        <v>270190.00000000006</v>
      </c>
      <c r="J27" s="2">
        <v>270845</v>
      </c>
      <c r="K27" s="2">
        <v>271684</v>
      </c>
      <c r="L27" s="2">
        <v>272940</v>
      </c>
      <c r="M27" s="2">
        <v>274026</v>
      </c>
      <c r="N27" s="2">
        <v>274970</v>
      </c>
      <c r="O27" s="2">
        <v>275704</v>
      </c>
      <c r="P27" s="2">
        <v>276191.00000000006</v>
      </c>
    </row>
    <row r="28" spans="1:16">
      <c r="A28" s="84" t="s">
        <v>130</v>
      </c>
      <c r="B28" s="85" t="s">
        <v>129</v>
      </c>
      <c r="C28" s="85" t="s">
        <v>92</v>
      </c>
      <c r="D28" s="84" t="s">
        <v>80</v>
      </c>
      <c r="E28" s="84" t="s">
        <v>76</v>
      </c>
      <c r="F28" s="2">
        <v>12796400.000000002</v>
      </c>
      <c r="G28" s="2">
        <v>12670753</v>
      </c>
      <c r="H28" s="2">
        <v>12537914.999999998</v>
      </c>
      <c r="I28" s="2">
        <v>12397078.000000002</v>
      </c>
      <c r="J28" s="2">
        <v>12255297</v>
      </c>
      <c r="K28" s="2">
        <v>12117767</v>
      </c>
      <c r="L28" s="2">
        <v>12010743.999999998</v>
      </c>
      <c r="M28" s="2">
        <v>11887408</v>
      </c>
      <c r="N28" s="2">
        <v>11755699</v>
      </c>
      <c r="O28" s="2">
        <v>11624613.000000002</v>
      </c>
      <c r="P28" s="2">
        <v>11501387</v>
      </c>
    </row>
    <row r="29" spans="1:16">
      <c r="A29" s="84" t="s">
        <v>132</v>
      </c>
      <c r="B29" s="85" t="s">
        <v>131</v>
      </c>
      <c r="C29" s="85" t="s">
        <v>99</v>
      </c>
      <c r="D29" s="84" t="s">
        <v>87</v>
      </c>
      <c r="E29" s="84">
        <v>1</v>
      </c>
      <c r="F29" s="2">
        <v>27712.999999999996</v>
      </c>
      <c r="G29" s="2">
        <v>27338</v>
      </c>
      <c r="H29" s="2">
        <v>27003.999999999996</v>
      </c>
      <c r="I29" s="2">
        <v>26729</v>
      </c>
      <c r="J29" s="2">
        <v>26472</v>
      </c>
      <c r="K29" s="2">
        <v>26214</v>
      </c>
      <c r="L29" s="2">
        <v>25993</v>
      </c>
      <c r="M29" s="2">
        <v>25798</v>
      </c>
      <c r="N29" s="2">
        <v>25625.999999999996</v>
      </c>
      <c r="O29" s="2">
        <v>25468</v>
      </c>
      <c r="P29" s="2">
        <v>25329</v>
      </c>
    </row>
    <row r="30" spans="1:16">
      <c r="A30" s="84" t="s">
        <v>134</v>
      </c>
      <c r="B30" s="85" t="s">
        <v>133</v>
      </c>
      <c r="C30" s="85" t="s">
        <v>79</v>
      </c>
      <c r="D30" s="84" t="s">
        <v>80</v>
      </c>
      <c r="E30" s="84">
        <v>1</v>
      </c>
      <c r="F30" s="2">
        <v>274288</v>
      </c>
      <c r="G30" s="2">
        <v>271691</v>
      </c>
      <c r="H30" s="2">
        <v>269253</v>
      </c>
      <c r="I30" s="2">
        <v>266966</v>
      </c>
      <c r="J30" s="2">
        <v>264963</v>
      </c>
      <c r="K30" s="2">
        <v>263337</v>
      </c>
      <c r="L30" s="2">
        <v>262145.99999999994</v>
      </c>
      <c r="M30" s="2">
        <v>261178</v>
      </c>
      <c r="N30" s="2">
        <v>260387.99999999997</v>
      </c>
      <c r="O30" s="2">
        <v>259704</v>
      </c>
      <c r="P30" s="2">
        <v>259102.00000000003</v>
      </c>
    </row>
    <row r="31" spans="1:16">
      <c r="A31" s="84" t="s">
        <v>136</v>
      </c>
      <c r="B31" s="85" t="s">
        <v>135</v>
      </c>
      <c r="C31" s="85" t="s">
        <v>83</v>
      </c>
      <c r="D31" s="84" t="s">
        <v>75</v>
      </c>
      <c r="E31" s="84">
        <v>3</v>
      </c>
      <c r="F31" s="2">
        <v>4158616</v>
      </c>
      <c r="G31" s="2">
        <v>4236338</v>
      </c>
      <c r="H31" s="2">
        <v>4308246</v>
      </c>
      <c r="I31" s="2">
        <v>4376156</v>
      </c>
      <c r="J31" s="2">
        <v>4442294</v>
      </c>
      <c r="K31" s="2">
        <v>4508831</v>
      </c>
      <c r="L31" s="2">
        <v>4579067.0000000009</v>
      </c>
      <c r="M31" s="2">
        <v>4644829.0000000009</v>
      </c>
      <c r="N31" s="2">
        <v>4707277</v>
      </c>
      <c r="O31" s="2">
        <v>4767356.0000000009</v>
      </c>
      <c r="P31" s="2">
        <v>4826206</v>
      </c>
    </row>
    <row r="32" spans="1:16">
      <c r="A32" s="84" t="s">
        <v>138</v>
      </c>
      <c r="B32" s="85" t="s">
        <v>137</v>
      </c>
      <c r="C32" s="85" t="s">
        <v>83</v>
      </c>
      <c r="D32" s="84" t="s">
        <v>75</v>
      </c>
      <c r="E32" s="84">
        <v>3</v>
      </c>
      <c r="F32" s="2">
        <v>2394640</v>
      </c>
      <c r="G32" s="2">
        <v>2430770</v>
      </c>
      <c r="H32" s="2">
        <v>2467545</v>
      </c>
      <c r="I32" s="2">
        <v>2505226</v>
      </c>
      <c r="J32" s="2">
        <v>2543624.9999999995</v>
      </c>
      <c r="K32" s="2">
        <v>2582818</v>
      </c>
      <c r="L32" s="2">
        <v>2625048</v>
      </c>
      <c r="M32" s="2">
        <v>2666268</v>
      </c>
      <c r="N32" s="2">
        <v>2706867</v>
      </c>
      <c r="O32" s="2">
        <v>2747408</v>
      </c>
      <c r="P32" s="2">
        <v>2788444.0000000005</v>
      </c>
    </row>
    <row r="33" spans="1:16">
      <c r="A33" s="84" t="s">
        <v>140</v>
      </c>
      <c r="B33" s="85" t="s">
        <v>139</v>
      </c>
      <c r="C33" s="85" t="s">
        <v>99</v>
      </c>
      <c r="D33" s="84" t="s">
        <v>84</v>
      </c>
      <c r="E33" s="84">
        <v>4</v>
      </c>
      <c r="F33" s="2">
        <v>1664504.0000000002</v>
      </c>
      <c r="G33" s="2">
        <v>1661503.0000000002</v>
      </c>
      <c r="H33" s="2">
        <v>1659363</v>
      </c>
      <c r="I33" s="2">
        <v>1657854</v>
      </c>
      <c r="J33" s="2">
        <v>1656985.9999999998</v>
      </c>
      <c r="K33" s="2">
        <v>1656991</v>
      </c>
      <c r="L33" s="2">
        <v>1662190</v>
      </c>
      <c r="M33" s="2">
        <v>1664511.0000000002</v>
      </c>
      <c r="N33" s="2">
        <v>1664565</v>
      </c>
      <c r="O33" s="2">
        <v>1662955</v>
      </c>
      <c r="P33" s="2">
        <v>1660301</v>
      </c>
    </row>
    <row r="34" spans="1:16">
      <c r="A34" s="84" t="s">
        <v>142</v>
      </c>
      <c r="B34" s="85" t="s">
        <v>141</v>
      </c>
      <c r="C34" s="85" t="s">
        <v>83</v>
      </c>
      <c r="D34" s="84" t="s">
        <v>84</v>
      </c>
      <c r="E34" s="84">
        <v>3</v>
      </c>
      <c r="F34" s="2">
        <v>4734045.9999999991</v>
      </c>
      <c r="G34" s="2">
        <v>4803927</v>
      </c>
      <c r="H34" s="2">
        <v>4867219</v>
      </c>
      <c r="I34" s="2">
        <v>4926436</v>
      </c>
      <c r="J34" s="2">
        <v>4984469</v>
      </c>
      <c r="K34" s="2">
        <v>5044073</v>
      </c>
      <c r="L34" s="2">
        <v>5108633.0000000009</v>
      </c>
      <c r="M34" s="2">
        <v>5170232</v>
      </c>
      <c r="N34" s="2">
        <v>5229853.9999999991</v>
      </c>
      <c r="O34" s="2">
        <v>5288044.9999999991</v>
      </c>
      <c r="P34" s="2">
        <v>5345780.0000000009</v>
      </c>
    </row>
    <row r="35" spans="1:16">
      <c r="A35" s="84" t="s">
        <v>144</v>
      </c>
      <c r="B35" s="85" t="s">
        <v>143</v>
      </c>
      <c r="C35" s="85" t="s">
        <v>92</v>
      </c>
      <c r="D35" s="84" t="s">
        <v>87</v>
      </c>
      <c r="E35" s="84">
        <v>1</v>
      </c>
      <c r="F35" s="2">
        <v>2019527</v>
      </c>
      <c r="G35" s="2">
        <v>2020662</v>
      </c>
      <c r="H35" s="2">
        <v>2023991</v>
      </c>
      <c r="I35" s="2">
        <v>2028535.9999999998</v>
      </c>
      <c r="J35" s="2">
        <v>2034032</v>
      </c>
      <c r="K35" s="2">
        <v>2039198.9999999998</v>
      </c>
      <c r="L35" s="2">
        <v>2040275</v>
      </c>
      <c r="M35" s="2">
        <v>2047616</v>
      </c>
      <c r="N35" s="2">
        <v>2059217</v>
      </c>
      <c r="O35" s="2">
        <v>2072158</v>
      </c>
      <c r="P35" s="2">
        <v>2083430.0000000002</v>
      </c>
    </row>
    <row r="36" spans="1:16">
      <c r="A36" s="84" t="s">
        <v>146</v>
      </c>
      <c r="B36" s="85" t="s">
        <v>145</v>
      </c>
      <c r="C36" s="85" t="s">
        <v>83</v>
      </c>
      <c r="D36" s="84" t="s">
        <v>84</v>
      </c>
      <c r="E36" s="84">
        <v>2</v>
      </c>
      <c r="F36" s="2">
        <v>46137</v>
      </c>
      <c r="G36" s="2">
        <v>45697</v>
      </c>
      <c r="H36" s="2">
        <v>45262</v>
      </c>
      <c r="I36" s="2">
        <v>44849.999999999993</v>
      </c>
      <c r="J36" s="2">
        <v>44450.999999999993</v>
      </c>
      <c r="K36" s="2">
        <v>44080.999999999993</v>
      </c>
      <c r="L36" s="2">
        <v>43914</v>
      </c>
      <c r="M36" s="2">
        <v>43644</v>
      </c>
      <c r="N36" s="2">
        <v>43313</v>
      </c>
      <c r="O36" s="2">
        <v>42971</v>
      </c>
      <c r="P36" s="2">
        <v>42669</v>
      </c>
    </row>
    <row r="37" spans="1:16">
      <c r="A37" s="84" t="s">
        <v>148</v>
      </c>
      <c r="B37" s="85" t="s">
        <v>147</v>
      </c>
      <c r="C37" s="85" t="s">
        <v>83</v>
      </c>
      <c r="D37" s="84" t="s">
        <v>75</v>
      </c>
      <c r="E37" s="84">
        <v>3</v>
      </c>
      <c r="F37" s="2">
        <v>863148</v>
      </c>
      <c r="G37" s="2">
        <v>873784</v>
      </c>
      <c r="H37" s="2">
        <v>882431</v>
      </c>
      <c r="I37" s="2">
        <v>889666</v>
      </c>
      <c r="J37" s="2">
        <v>895618.99999999988</v>
      </c>
      <c r="K37" s="2">
        <v>900566</v>
      </c>
      <c r="L37" s="2">
        <v>904858</v>
      </c>
      <c r="M37" s="2">
        <v>907634</v>
      </c>
      <c r="N37" s="2">
        <v>909225.99999999988</v>
      </c>
      <c r="O37" s="2">
        <v>910075</v>
      </c>
      <c r="P37" s="2">
        <v>910611</v>
      </c>
    </row>
    <row r="38" spans="1:16">
      <c r="A38" s="84" t="s">
        <v>150</v>
      </c>
      <c r="B38" s="85" t="s">
        <v>149</v>
      </c>
      <c r="C38" s="85" t="s">
        <v>83</v>
      </c>
      <c r="D38" s="84" t="s">
        <v>75</v>
      </c>
      <c r="E38" s="84" t="s">
        <v>76</v>
      </c>
      <c r="F38" s="2">
        <v>3497732.9999999995</v>
      </c>
      <c r="G38" s="2">
        <v>3554171</v>
      </c>
      <c r="H38" s="2">
        <v>3605597</v>
      </c>
      <c r="I38" s="2">
        <v>3653718.0000000005</v>
      </c>
      <c r="J38" s="2">
        <v>3700147</v>
      </c>
      <c r="K38" s="2">
        <v>3746796.9999999995</v>
      </c>
      <c r="L38" s="2">
        <v>3798094.0000000005</v>
      </c>
      <c r="M38" s="2">
        <v>3842906</v>
      </c>
      <c r="N38" s="2">
        <v>3883536</v>
      </c>
      <c r="O38" s="2">
        <v>3922806</v>
      </c>
      <c r="P38" s="2">
        <v>3963488.0000000005</v>
      </c>
    </row>
    <row r="39" spans="1:16">
      <c r="A39" s="84" t="s">
        <v>152</v>
      </c>
      <c r="B39" s="85" t="s">
        <v>151</v>
      </c>
      <c r="C39" s="85" t="s">
        <v>92</v>
      </c>
      <c r="D39" s="84" t="s">
        <v>87</v>
      </c>
      <c r="E39" s="84">
        <v>2</v>
      </c>
      <c r="F39" s="2">
        <v>1039413</v>
      </c>
      <c r="G39" s="2">
        <v>1024568</v>
      </c>
      <c r="H39" s="2">
        <v>1016601</v>
      </c>
      <c r="I39" s="2">
        <v>1013970</v>
      </c>
      <c r="J39" s="2">
        <v>1012118.9999999999</v>
      </c>
      <c r="K39" s="2">
        <v>1007824</v>
      </c>
      <c r="L39" s="2">
        <v>1005195</v>
      </c>
      <c r="M39" s="2">
        <v>999977.00000000012</v>
      </c>
      <c r="N39" s="2">
        <v>992782</v>
      </c>
      <c r="O39" s="2">
        <v>985628.99999999988</v>
      </c>
      <c r="P39" s="2">
        <v>979724</v>
      </c>
    </row>
    <row r="40" spans="1:16">
      <c r="A40" s="84" t="s">
        <v>154</v>
      </c>
      <c r="B40" s="85" t="s">
        <v>153</v>
      </c>
      <c r="C40" s="85" t="s">
        <v>99</v>
      </c>
      <c r="D40" s="84" t="s">
        <v>80</v>
      </c>
      <c r="E40" s="84">
        <v>1</v>
      </c>
      <c r="F40" s="2">
        <v>71032779</v>
      </c>
      <c r="G40" s="2">
        <v>70661226</v>
      </c>
      <c r="H40" s="2">
        <v>70174565</v>
      </c>
      <c r="I40" s="2">
        <v>69617057</v>
      </c>
      <c r="J40" s="2">
        <v>69086352</v>
      </c>
      <c r="K40" s="2">
        <v>68661008</v>
      </c>
      <c r="L40" s="2">
        <v>68504313</v>
      </c>
      <c r="M40" s="2">
        <v>68263297</v>
      </c>
      <c r="N40" s="2">
        <v>67987208</v>
      </c>
      <c r="O40" s="2">
        <v>67713310</v>
      </c>
      <c r="P40" s="2">
        <v>67474084.999999985</v>
      </c>
    </row>
    <row r="41" spans="1:16">
      <c r="A41" s="84" t="s">
        <v>156</v>
      </c>
      <c r="B41" s="85" t="s">
        <v>155</v>
      </c>
      <c r="C41" s="85" t="s">
        <v>92</v>
      </c>
      <c r="D41" s="84" t="s">
        <v>80</v>
      </c>
      <c r="E41" s="84">
        <v>2</v>
      </c>
      <c r="F41" s="2">
        <v>3255369</v>
      </c>
      <c r="G41" s="2">
        <v>3226153</v>
      </c>
      <c r="H41" s="2">
        <v>3193046.0000000005</v>
      </c>
      <c r="I41" s="2">
        <v>3155975</v>
      </c>
      <c r="J41" s="2">
        <v>3118808</v>
      </c>
      <c r="K41" s="2">
        <v>3084220.0000000005</v>
      </c>
      <c r="L41" s="2">
        <v>3057277</v>
      </c>
      <c r="M41" s="2">
        <v>3027654</v>
      </c>
      <c r="N41" s="2">
        <v>2996983.9999999995</v>
      </c>
      <c r="O41" s="2">
        <v>2966519.9999999995</v>
      </c>
      <c r="P41" s="2">
        <v>2937387</v>
      </c>
    </row>
    <row r="42" spans="1:16">
      <c r="A42" s="84" t="s">
        <v>158</v>
      </c>
      <c r="B42" s="85" t="s">
        <v>157</v>
      </c>
      <c r="C42" s="85" t="s">
        <v>83</v>
      </c>
      <c r="D42" s="84" t="s">
        <v>84</v>
      </c>
      <c r="E42" s="84">
        <v>3</v>
      </c>
      <c r="F42" s="2">
        <v>134400</v>
      </c>
      <c r="G42" s="2">
        <v>135662</v>
      </c>
      <c r="H42" s="2">
        <v>136862.00000000003</v>
      </c>
      <c r="I42" s="2">
        <v>138033</v>
      </c>
      <c r="J42" s="2">
        <v>139184</v>
      </c>
      <c r="K42" s="2">
        <v>140340</v>
      </c>
      <c r="L42" s="2">
        <v>141678</v>
      </c>
      <c r="M42" s="2">
        <v>142873.00000000003</v>
      </c>
      <c r="N42" s="2">
        <v>143964</v>
      </c>
      <c r="O42" s="2">
        <v>145014</v>
      </c>
      <c r="P42" s="2">
        <v>146073</v>
      </c>
    </row>
    <row r="43" spans="1:16">
      <c r="A43" s="84" t="s">
        <v>160</v>
      </c>
      <c r="B43" s="85" t="s">
        <v>159</v>
      </c>
      <c r="C43" s="85" t="s">
        <v>83</v>
      </c>
      <c r="D43" s="84" t="s">
        <v>84</v>
      </c>
      <c r="E43" s="84">
        <v>3</v>
      </c>
      <c r="F43" s="2">
        <v>968197.00000000012</v>
      </c>
      <c r="G43" s="2">
        <v>987449.00000000012</v>
      </c>
      <c r="H43" s="2">
        <v>1005989</v>
      </c>
      <c r="I43" s="2">
        <v>1024100.0000000001</v>
      </c>
      <c r="J43" s="2">
        <v>1041813.0000000001</v>
      </c>
      <c r="K43" s="2">
        <v>1059268</v>
      </c>
      <c r="L43" s="2">
        <v>1077507</v>
      </c>
      <c r="M43" s="2">
        <v>1094646</v>
      </c>
      <c r="N43" s="2">
        <v>1110940</v>
      </c>
      <c r="O43" s="2">
        <v>1126717</v>
      </c>
      <c r="P43" s="2">
        <v>1142227.9999999998</v>
      </c>
    </row>
    <row r="44" spans="1:16">
      <c r="A44" s="84" t="s">
        <v>162</v>
      </c>
      <c r="B44" s="85" t="s">
        <v>161</v>
      </c>
      <c r="C44" s="85" t="s">
        <v>99</v>
      </c>
      <c r="D44" s="84" t="e">
        <v>#N/A</v>
      </c>
      <c r="E44" s="84">
        <v>1</v>
      </c>
      <c r="F44" s="2">
        <v>0</v>
      </c>
      <c r="G44" s="2">
        <v>0</v>
      </c>
      <c r="H44" s="2">
        <v>0</v>
      </c>
      <c r="I44" s="2">
        <v>0</v>
      </c>
      <c r="J44" s="2">
        <v>0</v>
      </c>
      <c r="K44" s="2">
        <v>0</v>
      </c>
      <c r="L44" s="2">
        <v>0</v>
      </c>
      <c r="M44" s="2">
        <v>0</v>
      </c>
      <c r="N44" s="2">
        <v>0</v>
      </c>
      <c r="O44" s="2">
        <v>0</v>
      </c>
      <c r="P44" s="2">
        <v>0</v>
      </c>
    </row>
    <row r="45" spans="1:16">
      <c r="A45" s="84" t="s">
        <v>164</v>
      </c>
      <c r="B45" s="85" t="s">
        <v>163</v>
      </c>
      <c r="C45" s="85" t="s">
        <v>92</v>
      </c>
      <c r="D45" s="84" t="s">
        <v>80</v>
      </c>
      <c r="E45" s="84">
        <v>2</v>
      </c>
      <c r="F45" s="2">
        <v>306784.99999999994</v>
      </c>
      <c r="G45" s="2">
        <v>303657.00000000006</v>
      </c>
      <c r="H45" s="2">
        <v>300967</v>
      </c>
      <c r="I45" s="2">
        <v>298586</v>
      </c>
      <c r="J45" s="2">
        <v>296287.99999999994</v>
      </c>
      <c r="K45" s="2">
        <v>293959</v>
      </c>
      <c r="L45" s="2">
        <v>292671.99999999994</v>
      </c>
      <c r="M45" s="2">
        <v>290740</v>
      </c>
      <c r="N45" s="2">
        <v>288400.00000000006</v>
      </c>
      <c r="O45" s="2">
        <v>286017</v>
      </c>
      <c r="P45" s="2">
        <v>283861</v>
      </c>
    </row>
    <row r="46" spans="1:16">
      <c r="A46" s="84" t="s">
        <v>166</v>
      </c>
      <c r="B46" s="85" t="s">
        <v>165</v>
      </c>
      <c r="C46" s="85" t="s">
        <v>83</v>
      </c>
      <c r="D46" s="84" t="s">
        <v>84</v>
      </c>
      <c r="E46" s="84">
        <v>3</v>
      </c>
      <c r="F46" s="2">
        <v>4897039</v>
      </c>
      <c r="G46" s="2">
        <v>4974440</v>
      </c>
      <c r="H46" s="2">
        <v>5045759.9999999991</v>
      </c>
      <c r="I46" s="2">
        <v>5113050</v>
      </c>
      <c r="J46" s="2">
        <v>5179399</v>
      </c>
      <c r="K46" s="2">
        <v>5247575</v>
      </c>
      <c r="L46" s="2">
        <v>5321164.0000000009</v>
      </c>
      <c r="M46" s="2">
        <v>5392402</v>
      </c>
      <c r="N46" s="2">
        <v>5462276</v>
      </c>
      <c r="O46" s="2">
        <v>5531354</v>
      </c>
      <c r="P46" s="2">
        <v>5600718</v>
      </c>
    </row>
    <row r="47" spans="1:16">
      <c r="A47" s="84" t="s">
        <v>168</v>
      </c>
      <c r="B47" s="85" t="s">
        <v>167</v>
      </c>
      <c r="C47" s="85" t="s">
        <v>79</v>
      </c>
      <c r="D47" s="84" t="s">
        <v>87</v>
      </c>
      <c r="E47" s="84">
        <v>1</v>
      </c>
      <c r="F47" s="2">
        <v>156542</v>
      </c>
      <c r="G47" s="2">
        <v>155206.00000000003</v>
      </c>
      <c r="H47" s="2">
        <v>153735</v>
      </c>
      <c r="I47" s="2">
        <v>152228</v>
      </c>
      <c r="J47" s="2">
        <v>150785</v>
      </c>
      <c r="K47" s="2">
        <v>149493</v>
      </c>
      <c r="L47" s="2">
        <v>148439</v>
      </c>
      <c r="M47" s="2">
        <v>147404</v>
      </c>
      <c r="N47" s="2">
        <v>146416</v>
      </c>
      <c r="O47" s="2">
        <v>145507</v>
      </c>
      <c r="P47" s="2">
        <v>144706.00000000003</v>
      </c>
    </row>
    <row r="48" spans="1:16">
      <c r="A48" s="84" t="s">
        <v>170</v>
      </c>
      <c r="B48" s="85" t="s">
        <v>169</v>
      </c>
      <c r="C48" s="85" t="s">
        <v>92</v>
      </c>
      <c r="D48" s="84" t="s">
        <v>80</v>
      </c>
      <c r="E48" s="84">
        <v>1</v>
      </c>
      <c r="F48" s="2">
        <v>490741.99999999994</v>
      </c>
      <c r="G48" s="2">
        <v>484966</v>
      </c>
      <c r="H48" s="2">
        <v>479890</v>
      </c>
      <c r="I48" s="2">
        <v>475645.99999999994</v>
      </c>
      <c r="J48" s="2">
        <v>471604.00000000006</v>
      </c>
      <c r="K48" s="2">
        <v>467455</v>
      </c>
      <c r="L48" s="2">
        <v>464338</v>
      </c>
      <c r="M48" s="2">
        <v>460918</v>
      </c>
      <c r="N48" s="2">
        <v>457219</v>
      </c>
      <c r="O48" s="2">
        <v>453368</v>
      </c>
      <c r="P48" s="2">
        <v>449450</v>
      </c>
    </row>
    <row r="49" spans="1:16">
      <c r="A49" s="84" t="s">
        <v>172</v>
      </c>
      <c r="B49" s="85" t="s">
        <v>171</v>
      </c>
      <c r="C49" s="85" t="s">
        <v>79</v>
      </c>
      <c r="D49" s="84" t="s">
        <v>87</v>
      </c>
      <c r="E49" s="84">
        <v>1</v>
      </c>
      <c r="F49" s="2">
        <v>55937</v>
      </c>
      <c r="G49" s="2">
        <v>55884</v>
      </c>
      <c r="H49" s="2">
        <v>55819</v>
      </c>
      <c r="I49" s="2">
        <v>55750</v>
      </c>
      <c r="J49" s="2">
        <v>55741</v>
      </c>
      <c r="K49" s="2">
        <v>55828.999999999993</v>
      </c>
      <c r="L49" s="2">
        <v>56054</v>
      </c>
      <c r="M49" s="2">
        <v>56291.000000000007</v>
      </c>
      <c r="N49" s="2">
        <v>56540</v>
      </c>
      <c r="O49" s="2">
        <v>56772.999999999993</v>
      </c>
      <c r="P49" s="2">
        <v>56959</v>
      </c>
    </row>
    <row r="50" spans="1:16">
      <c r="A50" s="84" t="s">
        <v>174</v>
      </c>
      <c r="B50" s="85" t="s">
        <v>173</v>
      </c>
      <c r="C50" s="85" t="s">
        <v>79</v>
      </c>
      <c r="D50" s="84" t="s">
        <v>87</v>
      </c>
      <c r="E50" s="84">
        <v>1</v>
      </c>
      <c r="F50" s="2">
        <v>492611.99999999994</v>
      </c>
      <c r="G50" s="2">
        <v>490303.00000000006</v>
      </c>
      <c r="H50" s="2">
        <v>487651.00000000006</v>
      </c>
      <c r="I50" s="2">
        <v>484760.99999999994</v>
      </c>
      <c r="J50" s="2">
        <v>482825.00000000006</v>
      </c>
      <c r="K50" s="2">
        <v>482580.99999999994</v>
      </c>
      <c r="L50" s="2">
        <v>483789.00000000006</v>
      </c>
      <c r="M50" s="2">
        <v>486512</v>
      </c>
      <c r="N50" s="2">
        <v>490462.00000000006</v>
      </c>
      <c r="O50" s="2">
        <v>494907</v>
      </c>
      <c r="P50" s="2">
        <v>499348.00000000006</v>
      </c>
    </row>
    <row r="51" spans="1:16">
      <c r="A51" s="84" t="s">
        <v>176</v>
      </c>
      <c r="B51" s="85" t="s">
        <v>175</v>
      </c>
      <c r="C51" s="85" t="s">
        <v>110</v>
      </c>
      <c r="D51" s="84" t="s">
        <v>75</v>
      </c>
      <c r="E51" s="84">
        <v>4</v>
      </c>
      <c r="F51" s="2">
        <v>1682448</v>
      </c>
      <c r="G51" s="2">
        <v>1667235.9999999998</v>
      </c>
      <c r="H51" s="2">
        <v>1647291</v>
      </c>
      <c r="I51" s="2">
        <v>1623753</v>
      </c>
      <c r="J51" s="2">
        <v>1599245</v>
      </c>
      <c r="K51" s="2">
        <v>1575501</v>
      </c>
      <c r="L51" s="2">
        <v>1550446</v>
      </c>
      <c r="M51" s="2">
        <v>1528428.9999999998</v>
      </c>
      <c r="N51" s="2">
        <v>1509132</v>
      </c>
      <c r="O51" s="2">
        <v>1491691</v>
      </c>
      <c r="P51" s="2">
        <v>1475598</v>
      </c>
    </row>
    <row r="52" spans="1:16">
      <c r="A52" s="84" t="s">
        <v>178</v>
      </c>
      <c r="B52" s="85" t="s">
        <v>177</v>
      </c>
      <c r="C52" s="85" t="s">
        <v>83</v>
      </c>
      <c r="D52" s="84" t="s">
        <v>75</v>
      </c>
      <c r="E52" s="84" t="s">
        <v>76</v>
      </c>
      <c r="F52" s="2">
        <v>19158415</v>
      </c>
      <c r="G52" s="2">
        <v>19539066.000000004</v>
      </c>
      <c r="H52" s="2">
        <v>19890529</v>
      </c>
      <c r="I52" s="2">
        <v>20222233</v>
      </c>
      <c r="J52" s="2">
        <v>20543575</v>
      </c>
      <c r="K52" s="2">
        <v>20865748.000000004</v>
      </c>
      <c r="L52" s="2">
        <v>21218619.000000004</v>
      </c>
      <c r="M52" s="2">
        <v>21529971</v>
      </c>
      <c r="N52" s="2">
        <v>21812399</v>
      </c>
      <c r="O52" s="2">
        <v>22080608.999999996</v>
      </c>
      <c r="P52" s="2">
        <v>22348893</v>
      </c>
    </row>
    <row r="53" spans="1:16">
      <c r="A53" s="84" t="s">
        <v>180</v>
      </c>
      <c r="B53" s="85" t="s">
        <v>179</v>
      </c>
      <c r="C53" s="85" t="s">
        <v>79</v>
      </c>
      <c r="D53" s="84" t="s">
        <v>87</v>
      </c>
      <c r="E53" s="84">
        <v>1</v>
      </c>
      <c r="F53" s="2">
        <v>339156</v>
      </c>
      <c r="G53" s="2">
        <v>339587</v>
      </c>
      <c r="H53" s="2">
        <v>339558</v>
      </c>
      <c r="I53" s="2">
        <v>339008</v>
      </c>
      <c r="J53" s="2">
        <v>338122</v>
      </c>
      <c r="K53" s="2">
        <v>336943</v>
      </c>
      <c r="L53" s="2">
        <v>335184</v>
      </c>
      <c r="M53" s="2">
        <v>333763.00000000006</v>
      </c>
      <c r="N53" s="2">
        <v>332518</v>
      </c>
      <c r="O53" s="2">
        <v>331219</v>
      </c>
      <c r="P53" s="2">
        <v>329676</v>
      </c>
    </row>
    <row r="54" spans="1:16">
      <c r="A54" s="84" t="s">
        <v>182</v>
      </c>
      <c r="B54" s="85" t="s">
        <v>181</v>
      </c>
      <c r="C54" s="85" t="s">
        <v>74</v>
      </c>
      <c r="D54" s="84" t="s">
        <v>84</v>
      </c>
      <c r="E54" s="84">
        <v>3</v>
      </c>
      <c r="F54" s="2">
        <v>92289</v>
      </c>
      <c r="G54" s="2">
        <v>91563</v>
      </c>
      <c r="H54" s="2">
        <v>90832</v>
      </c>
      <c r="I54" s="2">
        <v>90136.000000000015</v>
      </c>
      <c r="J54" s="2">
        <v>89477</v>
      </c>
      <c r="K54" s="2">
        <v>88872.999999999985</v>
      </c>
      <c r="L54" s="2">
        <v>88428</v>
      </c>
      <c r="M54" s="2">
        <v>88021.000000000015</v>
      </c>
      <c r="N54" s="2">
        <v>87661</v>
      </c>
      <c r="O54" s="2">
        <v>87359.000000000015</v>
      </c>
      <c r="P54" s="2">
        <v>87127.000000000015</v>
      </c>
    </row>
    <row r="55" spans="1:16">
      <c r="A55" s="84" t="s">
        <v>184</v>
      </c>
      <c r="B55" s="85" t="s">
        <v>183</v>
      </c>
      <c r="C55" s="85" t="s">
        <v>92</v>
      </c>
      <c r="D55" s="84" t="s">
        <v>80</v>
      </c>
      <c r="E55" s="84">
        <v>2</v>
      </c>
      <c r="F55" s="2">
        <v>922242</v>
      </c>
      <c r="G55" s="2">
        <v>915973.99999999988</v>
      </c>
      <c r="H55" s="2">
        <v>908602.99999999988</v>
      </c>
      <c r="I55" s="2">
        <v>900447.99999999988</v>
      </c>
      <c r="J55" s="2">
        <v>892207.00000000012</v>
      </c>
      <c r="K55" s="2">
        <v>884527</v>
      </c>
      <c r="L55" s="2">
        <v>878982</v>
      </c>
      <c r="M55" s="2">
        <v>872571</v>
      </c>
      <c r="N55" s="2">
        <v>865655</v>
      </c>
      <c r="O55" s="2">
        <v>858584</v>
      </c>
      <c r="P55" s="2">
        <v>851768</v>
      </c>
    </row>
    <row r="56" spans="1:16">
      <c r="A56" s="84" t="s">
        <v>184</v>
      </c>
      <c r="B56" s="85" t="s">
        <v>185</v>
      </c>
      <c r="C56" s="85" t="s">
        <v>92</v>
      </c>
      <c r="D56" s="84" t="s">
        <v>80</v>
      </c>
      <c r="E56" s="84">
        <v>2</v>
      </c>
      <c r="F56" s="2">
        <v>922242</v>
      </c>
      <c r="G56" s="2">
        <v>915973.99999999988</v>
      </c>
      <c r="H56" s="2">
        <v>908602.99999999988</v>
      </c>
      <c r="I56" s="2">
        <v>900447.99999999988</v>
      </c>
      <c r="J56" s="2">
        <v>892207.00000000012</v>
      </c>
      <c r="K56" s="2">
        <v>884527</v>
      </c>
      <c r="L56" s="2">
        <v>878982</v>
      </c>
      <c r="M56" s="2">
        <v>872571</v>
      </c>
      <c r="N56" s="2">
        <v>865655</v>
      </c>
      <c r="O56" s="2">
        <v>858584</v>
      </c>
      <c r="P56" s="2">
        <v>851768</v>
      </c>
    </row>
    <row r="57" spans="1:16">
      <c r="A57" s="84" t="s">
        <v>187</v>
      </c>
      <c r="B57" s="85" t="s">
        <v>186</v>
      </c>
      <c r="C57" s="85" t="s">
        <v>92</v>
      </c>
      <c r="D57" s="84" t="s">
        <v>80</v>
      </c>
      <c r="E57" s="84">
        <v>2</v>
      </c>
      <c r="F57" s="2">
        <v>1622552.0000000002</v>
      </c>
      <c r="G57" s="2">
        <v>1616944</v>
      </c>
      <c r="H57" s="2">
        <v>1611250</v>
      </c>
      <c r="I57" s="2">
        <v>1605253</v>
      </c>
      <c r="J57" s="2">
        <v>1599137</v>
      </c>
      <c r="K57" s="2">
        <v>1593062</v>
      </c>
      <c r="L57" s="2">
        <v>1589206</v>
      </c>
      <c r="M57" s="2">
        <v>1584193.0000000002</v>
      </c>
      <c r="N57" s="2">
        <v>1578370.9999999998</v>
      </c>
      <c r="O57" s="2">
        <v>1572135.0000000002</v>
      </c>
      <c r="P57" s="2">
        <v>1565842</v>
      </c>
    </row>
    <row r="58" spans="1:16">
      <c r="A58" s="84" t="s">
        <v>189</v>
      </c>
      <c r="B58" s="85" t="s">
        <v>188</v>
      </c>
      <c r="C58" s="85" t="s">
        <v>74</v>
      </c>
      <c r="D58" s="84" t="s">
        <v>84</v>
      </c>
      <c r="E58" s="84">
        <v>2</v>
      </c>
      <c r="F58" s="2">
        <v>12465978.000000002</v>
      </c>
      <c r="G58" s="2">
        <v>12561955.000000002</v>
      </c>
      <c r="H58" s="2">
        <v>12686344.000000002</v>
      </c>
      <c r="I58" s="2">
        <v>12837484</v>
      </c>
      <c r="J58" s="2">
        <v>13002069</v>
      </c>
      <c r="K58" s="2">
        <v>13174650</v>
      </c>
      <c r="L58" s="2">
        <v>13402747.000000002</v>
      </c>
      <c r="M58" s="2">
        <v>13600121.000000002</v>
      </c>
      <c r="N58" s="2">
        <v>13772038.000000002</v>
      </c>
      <c r="O58" s="2">
        <v>13925014</v>
      </c>
      <c r="P58" s="2">
        <v>14064838.000000002</v>
      </c>
    </row>
    <row r="59" spans="1:16">
      <c r="A59" s="84" t="s">
        <v>191</v>
      </c>
      <c r="B59" s="85" t="s">
        <v>190</v>
      </c>
      <c r="C59" s="85" t="s">
        <v>92</v>
      </c>
      <c r="D59" s="84" t="s">
        <v>84</v>
      </c>
      <c r="E59" s="84">
        <v>1</v>
      </c>
      <c r="F59" s="2">
        <v>515716</v>
      </c>
      <c r="G59" s="2">
        <v>507635.00000000006</v>
      </c>
      <c r="H59" s="2">
        <v>499640.99999999994</v>
      </c>
      <c r="I59" s="2">
        <v>491669</v>
      </c>
      <c r="J59" s="2">
        <v>483844</v>
      </c>
      <c r="K59" s="2">
        <v>476312</v>
      </c>
      <c r="L59" s="2">
        <v>469443.99999999994</v>
      </c>
      <c r="M59" s="2">
        <v>462584</v>
      </c>
      <c r="N59" s="2">
        <v>455817</v>
      </c>
      <c r="O59" s="2">
        <v>449264</v>
      </c>
      <c r="P59" s="2">
        <v>443073</v>
      </c>
    </row>
    <row r="60" spans="1:16">
      <c r="A60" s="84" t="s">
        <v>193</v>
      </c>
      <c r="B60" s="85" t="s">
        <v>192</v>
      </c>
      <c r="C60" s="85" t="s">
        <v>83</v>
      </c>
      <c r="D60" s="84" t="s">
        <v>80</v>
      </c>
      <c r="E60" s="84">
        <v>3</v>
      </c>
      <c r="F60" s="2">
        <v>243356.99999999997</v>
      </c>
      <c r="G60" s="2">
        <v>246649</v>
      </c>
      <c r="H60" s="2">
        <v>249798</v>
      </c>
      <c r="I60" s="2">
        <v>252820</v>
      </c>
      <c r="J60" s="2">
        <v>255726.99999999997</v>
      </c>
      <c r="K60" s="2">
        <v>258515</v>
      </c>
      <c r="L60" s="2">
        <v>261105.00000000003</v>
      </c>
      <c r="M60" s="2">
        <v>263755</v>
      </c>
      <c r="N60" s="2">
        <v>266424</v>
      </c>
      <c r="O60" s="2">
        <v>269054</v>
      </c>
      <c r="P60" s="2">
        <v>271577</v>
      </c>
    </row>
    <row r="61" spans="1:16">
      <c r="A61" s="84" t="s">
        <v>195</v>
      </c>
      <c r="B61" s="85" t="s">
        <v>194</v>
      </c>
      <c r="C61" s="85" t="s">
        <v>83</v>
      </c>
      <c r="D61" s="84" t="s">
        <v>75</v>
      </c>
      <c r="E61" s="84">
        <v>3</v>
      </c>
      <c r="F61" s="2">
        <v>530524</v>
      </c>
      <c r="G61" s="2">
        <v>540663</v>
      </c>
      <c r="H61" s="2">
        <v>549305</v>
      </c>
      <c r="I61" s="2">
        <v>556724</v>
      </c>
      <c r="J61" s="2">
        <v>563833</v>
      </c>
      <c r="K61" s="2">
        <v>571305</v>
      </c>
      <c r="L61" s="2">
        <v>579459.00000000012</v>
      </c>
      <c r="M61" s="2">
        <v>586653</v>
      </c>
      <c r="N61" s="2">
        <v>593086</v>
      </c>
      <c r="O61" s="2">
        <v>598771</v>
      </c>
      <c r="P61" s="2">
        <v>603769</v>
      </c>
    </row>
    <row r="62" spans="1:16">
      <c r="A62" s="84" t="s">
        <v>197</v>
      </c>
      <c r="B62" s="85" t="s">
        <v>196</v>
      </c>
      <c r="C62" s="85" t="s">
        <v>79</v>
      </c>
      <c r="D62" s="84" t="s">
        <v>87</v>
      </c>
      <c r="E62" s="84">
        <v>1</v>
      </c>
      <c r="F62" s="2">
        <v>58632.999999999993</v>
      </c>
      <c r="G62" s="2">
        <v>57265</v>
      </c>
      <c r="H62" s="2">
        <v>56242.999999999993</v>
      </c>
      <c r="I62" s="2">
        <v>55521</v>
      </c>
      <c r="J62" s="2">
        <v>54971</v>
      </c>
      <c r="K62" s="2">
        <v>54515</v>
      </c>
      <c r="L62" s="2">
        <v>54280</v>
      </c>
      <c r="M62" s="2">
        <v>54193</v>
      </c>
      <c r="N62" s="2">
        <v>54211</v>
      </c>
      <c r="O62" s="2">
        <v>54317.000000000007</v>
      </c>
      <c r="P62" s="2">
        <v>54504.999999999993</v>
      </c>
    </row>
    <row r="63" spans="1:16">
      <c r="A63" s="84" t="s">
        <v>199</v>
      </c>
      <c r="B63" s="85" t="s">
        <v>198</v>
      </c>
      <c r="C63" s="85" t="s">
        <v>83</v>
      </c>
      <c r="D63" s="84" t="s">
        <v>75</v>
      </c>
      <c r="E63" s="84" t="s">
        <v>76</v>
      </c>
      <c r="F63" s="2">
        <v>18495913.999999996</v>
      </c>
      <c r="G63" s="2">
        <v>18587300</v>
      </c>
      <c r="H63" s="2">
        <v>18670899</v>
      </c>
      <c r="I63" s="2">
        <v>18747700</v>
      </c>
      <c r="J63" s="2">
        <v>18817992.000000004</v>
      </c>
      <c r="K63" s="2">
        <v>18882668</v>
      </c>
      <c r="L63" s="2">
        <v>18953144.999999996</v>
      </c>
      <c r="M63" s="2">
        <v>19015558</v>
      </c>
      <c r="N63" s="2">
        <v>19072707.000000004</v>
      </c>
      <c r="O63" s="2">
        <v>19129609</v>
      </c>
      <c r="P63" s="2">
        <v>19190735.999999996</v>
      </c>
    </row>
    <row r="64" spans="1:16">
      <c r="A64" s="84" t="s">
        <v>201</v>
      </c>
      <c r="B64" s="85" t="s">
        <v>200</v>
      </c>
      <c r="C64" s="85" t="s">
        <v>99</v>
      </c>
      <c r="D64" s="84" t="s">
        <v>80</v>
      </c>
      <c r="E64" s="84">
        <v>4</v>
      </c>
      <c r="F64" s="2">
        <v>84999</v>
      </c>
      <c r="G64" s="2">
        <v>84985.000000000015</v>
      </c>
      <c r="H64" s="2">
        <v>84967</v>
      </c>
      <c r="I64" s="2">
        <v>84939</v>
      </c>
      <c r="J64" s="2">
        <v>84901</v>
      </c>
      <c r="K64" s="2">
        <v>84870</v>
      </c>
      <c r="L64" s="2">
        <v>85095.000000000015</v>
      </c>
      <c r="M64" s="2">
        <v>85111</v>
      </c>
      <c r="N64" s="2">
        <v>84982</v>
      </c>
      <c r="O64" s="2">
        <v>84788</v>
      </c>
      <c r="P64" s="2">
        <v>84599</v>
      </c>
    </row>
    <row r="65" spans="1:16">
      <c r="A65" s="84" t="s">
        <v>203</v>
      </c>
      <c r="B65" s="85" t="s">
        <v>202</v>
      </c>
      <c r="C65" s="85" t="s">
        <v>79</v>
      </c>
      <c r="D65" s="84" t="s">
        <v>87</v>
      </c>
      <c r="E65" s="84">
        <v>1</v>
      </c>
      <c r="F65" s="2">
        <v>243060</v>
      </c>
      <c r="G65" s="2">
        <v>244149</v>
      </c>
      <c r="H65" s="2">
        <v>245113</v>
      </c>
      <c r="I65" s="2">
        <v>246134</v>
      </c>
      <c r="J65" s="2">
        <v>247146.00000000003</v>
      </c>
      <c r="K65" s="2">
        <v>248124</v>
      </c>
      <c r="L65" s="2">
        <v>249192</v>
      </c>
      <c r="M65" s="2">
        <v>250343.99999999997</v>
      </c>
      <c r="N65" s="2">
        <v>251484</v>
      </c>
      <c r="O65" s="2">
        <v>252491</v>
      </c>
      <c r="P65" s="2">
        <v>253241</v>
      </c>
    </row>
    <row r="66" spans="1:16">
      <c r="A66" s="84" t="s">
        <v>205</v>
      </c>
      <c r="B66" s="85" t="s">
        <v>204</v>
      </c>
      <c r="C66" s="85" t="s">
        <v>79</v>
      </c>
      <c r="D66" s="84" t="s">
        <v>87</v>
      </c>
      <c r="E66" s="84">
        <v>1</v>
      </c>
      <c r="F66" s="2">
        <v>3509047.0000000005</v>
      </c>
      <c r="G66" s="2">
        <v>3502708</v>
      </c>
      <c r="H66" s="2">
        <v>3502232</v>
      </c>
      <c r="I66" s="2">
        <v>3507456</v>
      </c>
      <c r="J66" s="2">
        <v>3512941</v>
      </c>
      <c r="K66" s="2">
        <v>3516435.0000000005</v>
      </c>
      <c r="L66" s="2">
        <v>3536316</v>
      </c>
      <c r="M66" s="2">
        <v>3546806</v>
      </c>
      <c r="N66" s="2">
        <v>3549447.0000000005</v>
      </c>
      <c r="O66" s="2">
        <v>3548021.0000000005</v>
      </c>
      <c r="P66" s="2">
        <v>3546306.9999999995</v>
      </c>
    </row>
    <row r="67" spans="1:16">
      <c r="A67" s="84" t="s">
        <v>207</v>
      </c>
      <c r="B67" s="85" t="s">
        <v>206</v>
      </c>
      <c r="C67" s="85" t="s">
        <v>83</v>
      </c>
      <c r="D67" s="84" t="s">
        <v>80</v>
      </c>
      <c r="E67" s="84">
        <v>3</v>
      </c>
      <c r="F67" s="2">
        <v>322971</v>
      </c>
      <c r="G67" s="2">
        <v>325653</v>
      </c>
      <c r="H67" s="2">
        <v>327476.00000000006</v>
      </c>
      <c r="I67" s="2">
        <v>328704</v>
      </c>
      <c r="J67" s="2">
        <v>330108.00000000006</v>
      </c>
      <c r="K67" s="2">
        <v>332274</v>
      </c>
      <c r="L67" s="2">
        <v>335529</v>
      </c>
      <c r="M67" s="2">
        <v>338832</v>
      </c>
      <c r="N67" s="2">
        <v>342315</v>
      </c>
      <c r="O67" s="2">
        <v>345952</v>
      </c>
      <c r="P67" s="2">
        <v>349783</v>
      </c>
    </row>
    <row r="68" spans="1:16">
      <c r="A68" s="84" t="s">
        <v>209</v>
      </c>
      <c r="B68" s="85" t="s">
        <v>208</v>
      </c>
      <c r="C68" s="85" t="s">
        <v>83</v>
      </c>
      <c r="D68" s="84" t="s">
        <v>75</v>
      </c>
      <c r="E68" s="84">
        <v>3</v>
      </c>
      <c r="F68" s="2">
        <v>478744</v>
      </c>
      <c r="G68" s="2">
        <v>485137.00000000006</v>
      </c>
      <c r="H68" s="2">
        <v>490840.99999999994</v>
      </c>
      <c r="I68" s="2">
        <v>496081</v>
      </c>
      <c r="J68" s="2">
        <v>501161</v>
      </c>
      <c r="K68" s="2">
        <v>506350</v>
      </c>
      <c r="L68" s="2">
        <v>511909</v>
      </c>
      <c r="M68" s="2">
        <v>517101</v>
      </c>
      <c r="N68" s="2">
        <v>522035.99999999994</v>
      </c>
      <c r="O68" s="2">
        <v>526776.00000000012</v>
      </c>
      <c r="P68" s="2">
        <v>531431</v>
      </c>
    </row>
    <row r="69" spans="1:16">
      <c r="A69" s="84" t="s">
        <v>211</v>
      </c>
      <c r="B69" s="85" t="s">
        <v>210</v>
      </c>
      <c r="C69" s="85" t="s">
        <v>79</v>
      </c>
      <c r="D69" s="84" t="s">
        <v>80</v>
      </c>
      <c r="E69" s="84">
        <v>1</v>
      </c>
      <c r="F69" s="2">
        <v>217587</v>
      </c>
      <c r="G69" s="2">
        <v>216075.00000000003</v>
      </c>
      <c r="H69" s="2">
        <v>214512.99999999997</v>
      </c>
      <c r="I69" s="2">
        <v>213125.00000000003</v>
      </c>
      <c r="J69" s="2">
        <v>212054.00000000003</v>
      </c>
      <c r="K69" s="2">
        <v>211491</v>
      </c>
      <c r="L69" s="2">
        <v>212070</v>
      </c>
      <c r="M69" s="2">
        <v>212364</v>
      </c>
      <c r="N69" s="2">
        <v>212504</v>
      </c>
      <c r="O69" s="2">
        <v>212609.99999999997</v>
      </c>
      <c r="P69" s="2">
        <v>212821</v>
      </c>
    </row>
    <row r="70" spans="1:16">
      <c r="A70" s="84" t="s">
        <v>213</v>
      </c>
      <c r="B70" s="85" t="s">
        <v>212</v>
      </c>
      <c r="C70" s="85" t="s">
        <v>79</v>
      </c>
      <c r="D70" s="84" t="s">
        <v>87</v>
      </c>
      <c r="E70" s="84">
        <v>1</v>
      </c>
      <c r="F70" s="2">
        <v>3813404.9999999995</v>
      </c>
      <c r="G70" s="2">
        <v>3808700</v>
      </c>
      <c r="H70" s="2">
        <v>3788096</v>
      </c>
      <c r="I70" s="2">
        <v>3754695</v>
      </c>
      <c r="J70" s="2">
        <v>3720302</v>
      </c>
      <c r="K70" s="2">
        <v>3692020</v>
      </c>
      <c r="L70" s="2">
        <v>3665517</v>
      </c>
      <c r="M70" s="2">
        <v>3644946</v>
      </c>
      <c r="N70" s="2">
        <v>3629578</v>
      </c>
      <c r="O70" s="2">
        <v>3615490.0000000005</v>
      </c>
      <c r="P70" s="2">
        <v>3600087</v>
      </c>
    </row>
    <row r="71" spans="1:16">
      <c r="A71" s="84" t="s">
        <v>215</v>
      </c>
      <c r="B71" s="85" t="s">
        <v>214</v>
      </c>
      <c r="C71" s="85" t="s">
        <v>83</v>
      </c>
      <c r="D71" s="84" t="s">
        <v>84</v>
      </c>
      <c r="E71" s="84">
        <v>3</v>
      </c>
      <c r="F71" s="2">
        <v>4557788</v>
      </c>
      <c r="G71" s="2">
        <v>4599561</v>
      </c>
      <c r="H71" s="2">
        <v>4640007</v>
      </c>
      <c r="I71" s="2">
        <v>4679985.0000000009</v>
      </c>
      <c r="J71" s="2">
        <v>4719487.9999999991</v>
      </c>
      <c r="K71" s="2">
        <v>4758992</v>
      </c>
      <c r="L71" s="2">
        <v>4803947</v>
      </c>
      <c r="M71" s="2">
        <v>4845742</v>
      </c>
      <c r="N71" s="2">
        <v>4885256</v>
      </c>
      <c r="O71" s="2">
        <v>4923688</v>
      </c>
      <c r="P71" s="2">
        <v>4962176</v>
      </c>
    </row>
    <row r="72" spans="1:16">
      <c r="A72" s="84" t="s">
        <v>217</v>
      </c>
      <c r="B72" s="85" t="s">
        <v>216</v>
      </c>
      <c r="C72" s="85" t="s">
        <v>79</v>
      </c>
      <c r="D72" s="84" t="s">
        <v>87</v>
      </c>
      <c r="E72" s="84">
        <v>1</v>
      </c>
      <c r="F72" s="2">
        <v>332558.99999999994</v>
      </c>
      <c r="G72" s="2">
        <v>333238</v>
      </c>
      <c r="H72" s="2">
        <v>334479</v>
      </c>
      <c r="I72" s="2">
        <v>336146.99999999994</v>
      </c>
      <c r="J72" s="2">
        <v>338188</v>
      </c>
      <c r="K72" s="2">
        <v>340519</v>
      </c>
      <c r="L72" s="2">
        <v>344236</v>
      </c>
      <c r="M72" s="2">
        <v>347121.99999999994</v>
      </c>
      <c r="N72" s="2">
        <v>349333</v>
      </c>
      <c r="O72" s="2">
        <v>351086</v>
      </c>
      <c r="P72" s="2">
        <v>352520</v>
      </c>
    </row>
    <row r="73" spans="1:16">
      <c r="A73" s="84" t="s">
        <v>219</v>
      </c>
      <c r="B73" s="85" t="s">
        <v>218</v>
      </c>
      <c r="C73" s="85" t="s">
        <v>92</v>
      </c>
      <c r="D73" s="84" t="s">
        <v>80</v>
      </c>
      <c r="E73" s="84">
        <v>1</v>
      </c>
      <c r="F73" s="2">
        <v>7526</v>
      </c>
      <c r="G73" s="2">
        <v>7380.0000000000009</v>
      </c>
      <c r="H73" s="2">
        <v>7264</v>
      </c>
      <c r="I73" s="2">
        <v>7167.0000000000009</v>
      </c>
      <c r="J73" s="2">
        <v>7088</v>
      </c>
      <c r="K73" s="2">
        <v>7026.9999999999991</v>
      </c>
      <c r="L73" s="2">
        <v>7004</v>
      </c>
      <c r="M73" s="2">
        <v>6983</v>
      </c>
      <c r="N73" s="2">
        <v>6966.9999999999991</v>
      </c>
      <c r="O73" s="2">
        <v>6952</v>
      </c>
      <c r="P73" s="2">
        <v>6946</v>
      </c>
    </row>
    <row r="74" spans="1:16">
      <c r="A74" s="84" t="s">
        <v>221</v>
      </c>
      <c r="B74" s="85" t="s">
        <v>220</v>
      </c>
      <c r="C74" s="85" t="s">
        <v>92</v>
      </c>
      <c r="D74" s="84" t="s">
        <v>80</v>
      </c>
      <c r="E74" s="84">
        <v>1</v>
      </c>
      <c r="F74" s="2">
        <v>2115996</v>
      </c>
      <c r="G74" s="2">
        <v>2114669</v>
      </c>
      <c r="H74" s="2">
        <v>2113244</v>
      </c>
      <c r="I74" s="2">
        <v>2111258</v>
      </c>
      <c r="J74" s="2">
        <v>2108113</v>
      </c>
      <c r="K74" s="2">
        <v>2103420</v>
      </c>
      <c r="L74" s="2">
        <v>2099632</v>
      </c>
      <c r="M74" s="2">
        <v>2093411</v>
      </c>
      <c r="N74" s="2">
        <v>2085471</v>
      </c>
      <c r="O74" s="2">
        <v>2077036</v>
      </c>
      <c r="P74" s="2">
        <v>2069019.0000000002</v>
      </c>
    </row>
    <row r="75" spans="1:16">
      <c r="A75" s="84" t="s">
        <v>223</v>
      </c>
      <c r="B75" s="85" t="s">
        <v>222</v>
      </c>
      <c r="C75" s="85" t="s">
        <v>83</v>
      </c>
      <c r="D75" s="84" t="s">
        <v>75</v>
      </c>
      <c r="E75" s="84">
        <v>3</v>
      </c>
      <c r="F75" s="2">
        <v>2471080</v>
      </c>
      <c r="G75" s="2">
        <v>2504827</v>
      </c>
      <c r="H75" s="2">
        <v>2535823</v>
      </c>
      <c r="I75" s="2">
        <v>2564848.9999999995</v>
      </c>
      <c r="J75" s="2">
        <v>2592748</v>
      </c>
      <c r="K75" s="2">
        <v>2620394</v>
      </c>
      <c r="L75" s="2">
        <v>2649591.9999999995</v>
      </c>
      <c r="M75" s="2">
        <v>2676627.9999999995</v>
      </c>
      <c r="N75" s="2">
        <v>2702134</v>
      </c>
      <c r="O75" s="2">
        <v>2726791</v>
      </c>
      <c r="P75" s="2">
        <v>2751356</v>
      </c>
    </row>
    <row r="76" spans="1:16">
      <c r="A76" s="84" t="s">
        <v>225</v>
      </c>
      <c r="B76" s="85" t="s">
        <v>224</v>
      </c>
      <c r="C76" s="85" t="s">
        <v>83</v>
      </c>
      <c r="D76" s="84" t="s">
        <v>75</v>
      </c>
      <c r="E76" s="84">
        <v>3</v>
      </c>
      <c r="F76" s="2">
        <v>336227</v>
      </c>
      <c r="G76" s="2">
        <v>340007.00000000006</v>
      </c>
      <c r="H76" s="2">
        <v>343473</v>
      </c>
      <c r="I76" s="2">
        <v>346748.00000000006</v>
      </c>
      <c r="J76" s="2">
        <v>349953</v>
      </c>
      <c r="K76" s="2">
        <v>353234.99999999994</v>
      </c>
      <c r="L76" s="2">
        <v>357003</v>
      </c>
      <c r="M76" s="2">
        <v>360328</v>
      </c>
      <c r="N76" s="2">
        <v>363392.00000000006</v>
      </c>
      <c r="O76" s="2">
        <v>366418</v>
      </c>
      <c r="P76" s="2">
        <v>369606</v>
      </c>
    </row>
    <row r="77" spans="1:16">
      <c r="A77" s="84" t="s">
        <v>227</v>
      </c>
      <c r="B77" s="85" t="s">
        <v>226</v>
      </c>
      <c r="C77" s="85" t="s">
        <v>92</v>
      </c>
      <c r="D77" s="84" t="s">
        <v>80</v>
      </c>
      <c r="E77" s="84">
        <v>2</v>
      </c>
      <c r="F77" s="2">
        <v>67889</v>
      </c>
      <c r="G77" s="2">
        <v>67251</v>
      </c>
      <c r="H77" s="2">
        <v>66556</v>
      </c>
      <c r="I77" s="2">
        <v>65829</v>
      </c>
      <c r="J77" s="2">
        <v>65068</v>
      </c>
      <c r="K77" s="2">
        <v>64288</v>
      </c>
      <c r="L77" s="2">
        <v>63695</v>
      </c>
      <c r="M77" s="2">
        <v>62950</v>
      </c>
      <c r="N77" s="2">
        <v>62104</v>
      </c>
      <c r="O77" s="2">
        <v>61239.000000000007</v>
      </c>
      <c r="P77" s="2">
        <v>60440</v>
      </c>
    </row>
    <row r="78" spans="1:16">
      <c r="A78" s="84" t="s">
        <v>229</v>
      </c>
      <c r="B78" s="85" t="s">
        <v>228</v>
      </c>
      <c r="C78" s="85" t="s">
        <v>92</v>
      </c>
      <c r="D78" s="84" t="s">
        <v>75</v>
      </c>
      <c r="E78" s="84">
        <v>2</v>
      </c>
      <c r="F78" s="2">
        <v>1221958</v>
      </c>
      <c r="G78" s="2">
        <v>1219028</v>
      </c>
      <c r="H78" s="2">
        <v>1214545</v>
      </c>
      <c r="I78" s="2">
        <v>1209175</v>
      </c>
      <c r="J78" s="2">
        <v>1203632.9999999998</v>
      </c>
      <c r="K78" s="2">
        <v>1198698</v>
      </c>
      <c r="L78" s="2">
        <v>1195891</v>
      </c>
      <c r="M78" s="2">
        <v>1191787</v>
      </c>
      <c r="N78" s="2">
        <v>1186867</v>
      </c>
      <c r="O78" s="2">
        <v>1181622</v>
      </c>
      <c r="P78" s="2">
        <v>1176617.0000000002</v>
      </c>
    </row>
    <row r="79" spans="1:16">
      <c r="A79" s="84" t="s">
        <v>231</v>
      </c>
      <c r="B79" s="85" t="s">
        <v>230</v>
      </c>
      <c r="C79" s="85" t="s">
        <v>92</v>
      </c>
      <c r="D79" s="84" t="s">
        <v>84</v>
      </c>
      <c r="E79" s="84">
        <v>1</v>
      </c>
      <c r="F79" s="2">
        <v>1017103.9999999999</v>
      </c>
      <c r="G79" s="2">
        <v>1012399.9999999999</v>
      </c>
      <c r="H79" s="2">
        <v>1007023</v>
      </c>
      <c r="I79" s="2">
        <v>1000896.9999999999</v>
      </c>
      <c r="J79" s="2">
        <v>994346</v>
      </c>
      <c r="K79" s="2">
        <v>987539.00000000012</v>
      </c>
      <c r="L79" s="2">
        <v>980789.00000000012</v>
      </c>
      <c r="M79" s="2">
        <v>974161</v>
      </c>
      <c r="N79" s="2">
        <v>967549.00000000012</v>
      </c>
      <c r="O79" s="2">
        <v>960739.99999999988</v>
      </c>
      <c r="P79" s="2">
        <v>953650</v>
      </c>
    </row>
    <row r="80" spans="1:16">
      <c r="A80" s="84" t="s">
        <v>233</v>
      </c>
      <c r="B80" s="85" t="s">
        <v>232</v>
      </c>
      <c r="C80" s="85" t="s">
        <v>79</v>
      </c>
      <c r="D80" s="84" t="s">
        <v>87</v>
      </c>
      <c r="E80" s="84">
        <v>1</v>
      </c>
      <c r="F80" s="2">
        <v>428585</v>
      </c>
      <c r="G80" s="2">
        <v>426847</v>
      </c>
      <c r="H80" s="2">
        <v>423533</v>
      </c>
      <c r="I80" s="2">
        <v>418899</v>
      </c>
      <c r="J80" s="2">
        <v>414227</v>
      </c>
      <c r="K80" s="2">
        <v>410318</v>
      </c>
      <c r="L80" s="2">
        <v>406517.00000000006</v>
      </c>
      <c r="M80" s="2">
        <v>403504</v>
      </c>
      <c r="N80" s="2">
        <v>401195</v>
      </c>
      <c r="O80" s="2">
        <v>399165</v>
      </c>
      <c r="P80" s="2">
        <v>397133</v>
      </c>
    </row>
    <row r="81" spans="1:16">
      <c r="A81" s="84" t="s">
        <v>235</v>
      </c>
      <c r="B81" s="85" t="s">
        <v>234</v>
      </c>
      <c r="C81" s="85" t="s">
        <v>79</v>
      </c>
      <c r="D81" s="84" t="s">
        <v>87</v>
      </c>
      <c r="E81" s="84">
        <v>1</v>
      </c>
      <c r="F81" s="2">
        <v>19577</v>
      </c>
      <c r="G81" s="2">
        <v>19390</v>
      </c>
      <c r="H81" s="2">
        <v>19311</v>
      </c>
      <c r="I81" s="2">
        <v>19312</v>
      </c>
      <c r="J81" s="2">
        <v>19330.000000000004</v>
      </c>
      <c r="K81" s="2">
        <v>19310.000000000004</v>
      </c>
      <c r="L81" s="2">
        <v>19304.000000000004</v>
      </c>
      <c r="M81" s="2">
        <v>19297</v>
      </c>
      <c r="N81" s="2">
        <v>19275.000000000004</v>
      </c>
      <c r="O81" s="2">
        <v>19244</v>
      </c>
      <c r="P81" s="2">
        <v>19213</v>
      </c>
    </row>
    <row r="82" spans="1:16">
      <c r="A82" s="84" t="s">
        <v>237</v>
      </c>
      <c r="B82" s="85" t="s">
        <v>236</v>
      </c>
      <c r="C82" s="85" t="s">
        <v>110</v>
      </c>
      <c r="D82" s="84" t="s">
        <v>84</v>
      </c>
      <c r="E82" s="84" t="s">
        <v>76</v>
      </c>
      <c r="F82" s="2">
        <v>114636777.99999999</v>
      </c>
      <c r="G82" s="2">
        <v>114184655</v>
      </c>
      <c r="H82" s="2">
        <v>113654762</v>
      </c>
      <c r="I82" s="2">
        <v>113024034</v>
      </c>
      <c r="J82" s="2">
        <v>112284614</v>
      </c>
      <c r="K82" s="2">
        <v>111425159</v>
      </c>
      <c r="L82" s="2">
        <v>110553350</v>
      </c>
      <c r="M82" s="2">
        <v>109537896.00000001</v>
      </c>
      <c r="N82" s="2">
        <v>108416636.00000001</v>
      </c>
      <c r="O82" s="2">
        <v>107249427.99999999</v>
      </c>
      <c r="P82" s="2">
        <v>106078182.99999999</v>
      </c>
    </row>
    <row r="83" spans="1:16">
      <c r="A83" s="84" t="s">
        <v>239</v>
      </c>
      <c r="B83" s="85" t="s">
        <v>238</v>
      </c>
      <c r="C83" s="85" t="s">
        <v>110</v>
      </c>
      <c r="D83" s="84" t="s">
        <v>80</v>
      </c>
      <c r="E83" s="84" t="s">
        <v>76</v>
      </c>
      <c r="F83" s="2">
        <v>22723076.999999996</v>
      </c>
      <c r="G83" s="2">
        <v>22662286</v>
      </c>
      <c r="H83" s="2">
        <v>22593889</v>
      </c>
      <c r="I83" s="2">
        <v>22526719</v>
      </c>
      <c r="J83" s="2">
        <v>22454742.000000004</v>
      </c>
      <c r="K83" s="2">
        <v>22377259</v>
      </c>
      <c r="L83" s="2">
        <v>22319509</v>
      </c>
      <c r="M83" s="2">
        <v>22253240</v>
      </c>
      <c r="N83" s="2">
        <v>22178426</v>
      </c>
      <c r="O83" s="2">
        <v>22095612</v>
      </c>
      <c r="P83" s="2">
        <v>22005650.999999996</v>
      </c>
    </row>
    <row r="84" spans="1:16">
      <c r="A84" s="84" t="s">
        <v>241</v>
      </c>
      <c r="B84" s="85" t="s">
        <v>240</v>
      </c>
      <c r="C84" s="85" t="s">
        <v>74</v>
      </c>
      <c r="D84" s="84" t="s">
        <v>80</v>
      </c>
      <c r="E84" s="84">
        <v>2</v>
      </c>
      <c r="F84" s="2">
        <v>6305471</v>
      </c>
      <c r="G84" s="2">
        <v>6259576.9999999991</v>
      </c>
      <c r="H84" s="2">
        <v>6183192.9999999991</v>
      </c>
      <c r="I84" s="2">
        <v>6084850</v>
      </c>
      <c r="J84" s="2">
        <v>5995755.9999999991</v>
      </c>
      <c r="K84" s="2">
        <v>5938251.9999999991</v>
      </c>
      <c r="L84" s="2">
        <v>5918223.0000000009</v>
      </c>
      <c r="M84" s="2">
        <v>5907558.0000000009</v>
      </c>
      <c r="N84" s="2">
        <v>5909098</v>
      </c>
      <c r="O84" s="2">
        <v>5918135</v>
      </c>
      <c r="P84" s="2">
        <v>5933502</v>
      </c>
    </row>
    <row r="85" spans="1:16">
      <c r="A85" s="84" t="s">
        <v>243</v>
      </c>
      <c r="B85" s="85" t="s">
        <v>242</v>
      </c>
      <c r="C85" s="85" t="s">
        <v>74</v>
      </c>
      <c r="D85" s="84" t="s">
        <v>80</v>
      </c>
      <c r="E85" s="84">
        <v>2</v>
      </c>
      <c r="F85" s="2">
        <v>6055813.9999999991</v>
      </c>
      <c r="G85" s="2">
        <v>6104403</v>
      </c>
      <c r="H85" s="2">
        <v>6160127</v>
      </c>
      <c r="I85" s="2">
        <v>6222806.0000000009</v>
      </c>
      <c r="J85" s="2">
        <v>6284861.0000000009</v>
      </c>
      <c r="K85" s="2">
        <v>6341499</v>
      </c>
      <c r="L85" s="2">
        <v>6398024</v>
      </c>
      <c r="M85" s="2">
        <v>6453152</v>
      </c>
      <c r="N85" s="2">
        <v>6505572</v>
      </c>
      <c r="O85" s="2">
        <v>6555277</v>
      </c>
      <c r="P85" s="2">
        <v>6602047</v>
      </c>
    </row>
    <row r="86" spans="1:16">
      <c r="A86" s="84" t="s">
        <v>245</v>
      </c>
      <c r="B86" s="85" t="s">
        <v>244</v>
      </c>
      <c r="C86" s="85" t="s">
        <v>79</v>
      </c>
      <c r="D86" s="84" t="s">
        <v>87</v>
      </c>
      <c r="E86" s="84">
        <v>1</v>
      </c>
      <c r="F86" s="2">
        <v>270780.00000000006</v>
      </c>
      <c r="G86" s="2">
        <v>269515.99999999994</v>
      </c>
      <c r="H86" s="2">
        <v>270008.00000000006</v>
      </c>
      <c r="I86" s="2">
        <v>271955.99999999994</v>
      </c>
      <c r="J86" s="2">
        <v>274467.99999999994</v>
      </c>
      <c r="K86" s="2">
        <v>276962.99999999994</v>
      </c>
      <c r="L86" s="2">
        <v>280592</v>
      </c>
      <c r="M86" s="2">
        <v>283794</v>
      </c>
      <c r="N86" s="2">
        <v>286620</v>
      </c>
      <c r="O86" s="2">
        <v>289304.99999999994</v>
      </c>
      <c r="P86" s="2">
        <v>291977</v>
      </c>
    </row>
    <row r="87" spans="1:16">
      <c r="A87" s="84" t="s">
        <v>247</v>
      </c>
      <c r="B87" s="85" t="s">
        <v>246</v>
      </c>
      <c r="C87" s="85" t="s">
        <v>79</v>
      </c>
      <c r="D87" s="84" t="s">
        <v>87</v>
      </c>
      <c r="E87" s="84">
        <v>1</v>
      </c>
      <c r="F87" s="2">
        <v>868688.00000000012</v>
      </c>
      <c r="G87" s="2">
        <v>875999</v>
      </c>
      <c r="H87" s="2">
        <v>883214</v>
      </c>
      <c r="I87" s="2">
        <v>890487</v>
      </c>
      <c r="J87" s="2">
        <v>897994</v>
      </c>
      <c r="K87" s="2">
        <v>905915.99999999988</v>
      </c>
      <c r="L87" s="2">
        <v>915564.00000000012</v>
      </c>
      <c r="M87" s="2">
        <v>924816</v>
      </c>
      <c r="N87" s="2">
        <v>933808</v>
      </c>
      <c r="O87" s="2">
        <v>942668</v>
      </c>
      <c r="P87" s="2">
        <v>951484.99999999988</v>
      </c>
    </row>
    <row r="88" spans="1:16">
      <c r="A88" s="84" t="s">
        <v>249</v>
      </c>
      <c r="B88" s="85" t="s">
        <v>248</v>
      </c>
      <c r="C88" s="85" t="s">
        <v>79</v>
      </c>
      <c r="D88" s="84" t="s">
        <v>87</v>
      </c>
      <c r="E88" s="84">
        <v>1</v>
      </c>
      <c r="F88" s="2">
        <v>2086942.9999999998</v>
      </c>
      <c r="G88" s="2">
        <v>2093174</v>
      </c>
      <c r="H88" s="2">
        <v>2098487</v>
      </c>
      <c r="I88" s="2">
        <v>2103902</v>
      </c>
      <c r="J88" s="2">
        <v>2109523</v>
      </c>
      <c r="K88" s="2">
        <v>2115154.9999999995</v>
      </c>
      <c r="L88" s="2">
        <v>2120999.0000000005</v>
      </c>
      <c r="M88" s="2">
        <v>2127573.0000000005</v>
      </c>
      <c r="N88" s="2">
        <v>2133862</v>
      </c>
      <c r="O88" s="2">
        <v>2138397</v>
      </c>
      <c r="P88" s="2">
        <v>2139648</v>
      </c>
    </row>
    <row r="89" spans="1:16">
      <c r="A89" s="84" t="s">
        <v>251</v>
      </c>
      <c r="B89" s="85" t="s">
        <v>250</v>
      </c>
      <c r="C89" s="85" t="s">
        <v>92</v>
      </c>
      <c r="D89" s="84" t="s">
        <v>80</v>
      </c>
      <c r="E89" s="84">
        <v>1</v>
      </c>
      <c r="F89" s="2">
        <v>204422.00000000003</v>
      </c>
      <c r="G89" s="2">
        <v>201563</v>
      </c>
      <c r="H89" s="2">
        <v>198635</v>
      </c>
      <c r="I89" s="2">
        <v>195707</v>
      </c>
      <c r="J89" s="2">
        <v>192787.99999999997</v>
      </c>
      <c r="K89" s="2">
        <v>189950</v>
      </c>
      <c r="L89" s="2">
        <v>187744</v>
      </c>
      <c r="M89" s="2">
        <v>185293</v>
      </c>
      <c r="N89" s="2">
        <v>182702</v>
      </c>
      <c r="O89" s="2">
        <v>180129.00000000003</v>
      </c>
      <c r="P89" s="2">
        <v>177736</v>
      </c>
    </row>
    <row r="90" spans="1:16">
      <c r="A90" s="84" t="s">
        <v>253</v>
      </c>
      <c r="B90" s="85" t="s">
        <v>252</v>
      </c>
      <c r="C90" s="85" t="s">
        <v>99</v>
      </c>
      <c r="D90" s="84" t="s">
        <v>87</v>
      </c>
      <c r="E90" s="84">
        <v>4</v>
      </c>
      <c r="F90" s="2">
        <v>4241623</v>
      </c>
      <c r="G90" s="2">
        <v>4229643</v>
      </c>
      <c r="H90" s="2">
        <v>4220977</v>
      </c>
      <c r="I90" s="2">
        <v>4216369</v>
      </c>
      <c r="J90" s="2">
        <v>4211733</v>
      </c>
      <c r="K90" s="2">
        <v>4204607</v>
      </c>
      <c r="L90" s="2">
        <v>4203793</v>
      </c>
      <c r="M90" s="2">
        <v>4200505</v>
      </c>
      <c r="N90" s="2">
        <v>4194489</v>
      </c>
      <c r="O90" s="2">
        <v>4186300.9999999995</v>
      </c>
      <c r="P90" s="2">
        <v>4175680.9999999995</v>
      </c>
    </row>
    <row r="91" spans="1:16">
      <c r="A91" s="84" t="s">
        <v>255</v>
      </c>
      <c r="B91" s="85" t="s">
        <v>254</v>
      </c>
      <c r="C91" s="85" t="s">
        <v>74</v>
      </c>
      <c r="D91" s="84" t="s">
        <v>80</v>
      </c>
      <c r="E91" s="84">
        <v>2</v>
      </c>
      <c r="F91" s="2">
        <v>979060.99999999988</v>
      </c>
      <c r="G91" s="2">
        <v>969344</v>
      </c>
      <c r="H91" s="2">
        <v>965916</v>
      </c>
      <c r="I91" s="2">
        <v>967983.99999999988</v>
      </c>
      <c r="J91" s="2">
        <v>971365.00000000012</v>
      </c>
      <c r="K91" s="2">
        <v>973222</v>
      </c>
      <c r="L91" s="2">
        <v>973906.99999999988</v>
      </c>
      <c r="M91" s="2">
        <v>973015.00000000012</v>
      </c>
      <c r="N91" s="2">
        <v>970408</v>
      </c>
      <c r="O91" s="2">
        <v>966782</v>
      </c>
      <c r="P91" s="2">
        <v>962349</v>
      </c>
    </row>
    <row r="92" spans="1:16">
      <c r="A92" s="84" t="s">
        <v>257</v>
      </c>
      <c r="B92" s="85" t="s">
        <v>256</v>
      </c>
      <c r="C92" s="85" t="s">
        <v>79</v>
      </c>
      <c r="D92" s="84" t="s">
        <v>80</v>
      </c>
      <c r="E92" s="84">
        <v>2</v>
      </c>
      <c r="F92" s="2">
        <v>1612382.9999999998</v>
      </c>
      <c r="G92" s="2">
        <v>1624686.0000000002</v>
      </c>
      <c r="H92" s="2">
        <v>1634848</v>
      </c>
      <c r="I92" s="2">
        <v>1644603</v>
      </c>
      <c r="J92" s="2">
        <v>1657009</v>
      </c>
      <c r="K92" s="2">
        <v>1674761</v>
      </c>
      <c r="L92" s="2">
        <v>1703340</v>
      </c>
      <c r="M92" s="2">
        <v>1728830.0000000002</v>
      </c>
      <c r="N92" s="2">
        <v>1752340.0000000002</v>
      </c>
      <c r="O92" s="2">
        <v>1774065.9999999998</v>
      </c>
      <c r="P92" s="2">
        <v>1794420.9999999998</v>
      </c>
    </row>
    <row r="93" spans="1:16">
      <c r="A93" s="84" t="s">
        <v>259</v>
      </c>
      <c r="B93" s="85" t="s">
        <v>258</v>
      </c>
      <c r="C93" s="85" t="s">
        <v>83</v>
      </c>
      <c r="D93" s="84" t="s">
        <v>84</v>
      </c>
      <c r="E93" s="84">
        <v>3</v>
      </c>
      <c r="F93" s="2">
        <v>7952624</v>
      </c>
      <c r="G93" s="2">
        <v>8016045</v>
      </c>
      <c r="H93" s="2">
        <v>8087222.9999999991</v>
      </c>
      <c r="I93" s="2">
        <v>8163174</v>
      </c>
      <c r="J93" s="2">
        <v>8231404</v>
      </c>
      <c r="K93" s="2">
        <v>8283585.0000000009</v>
      </c>
      <c r="L93" s="2">
        <v>8332679</v>
      </c>
      <c r="M93" s="2">
        <v>8365275</v>
      </c>
      <c r="N93" s="2">
        <v>8384143</v>
      </c>
      <c r="O93" s="2">
        <v>8396587</v>
      </c>
      <c r="P93" s="2">
        <v>8407415</v>
      </c>
    </row>
    <row r="94" spans="1:16">
      <c r="A94" s="84" t="s">
        <v>261</v>
      </c>
      <c r="B94" s="85" t="s">
        <v>260</v>
      </c>
      <c r="C94" s="85" t="s">
        <v>99</v>
      </c>
      <c r="D94" s="84" t="s">
        <v>84</v>
      </c>
      <c r="E94" s="84">
        <v>4</v>
      </c>
      <c r="F94" s="2">
        <v>15139</v>
      </c>
      <c r="G94" s="2">
        <v>15130.999999999998</v>
      </c>
      <c r="H94" s="2">
        <v>15122</v>
      </c>
      <c r="I94" s="2">
        <v>15120</v>
      </c>
      <c r="J94" s="2">
        <v>15137</v>
      </c>
      <c r="K94" s="2">
        <v>15181.000000000002</v>
      </c>
      <c r="L94" s="2">
        <v>15272.000000000002</v>
      </c>
      <c r="M94" s="2">
        <v>15384</v>
      </c>
      <c r="N94" s="2">
        <v>15514.000000000004</v>
      </c>
      <c r="O94" s="2">
        <v>15655.000000000002</v>
      </c>
      <c r="P94" s="2">
        <v>15817.000000000002</v>
      </c>
    </row>
    <row r="95" spans="1:16">
      <c r="A95" s="84" t="s">
        <v>263</v>
      </c>
      <c r="B95" s="85" t="s">
        <v>262</v>
      </c>
      <c r="C95" s="85" t="s">
        <v>99</v>
      </c>
      <c r="D95" s="84" t="s">
        <v>87</v>
      </c>
      <c r="E95" s="84">
        <v>1</v>
      </c>
      <c r="F95" s="2">
        <v>1707481.9999999998</v>
      </c>
      <c r="G95" s="2">
        <v>1708180.9999999998</v>
      </c>
      <c r="H95" s="2">
        <v>1713043.9999999998</v>
      </c>
      <c r="I95" s="2">
        <v>1720661</v>
      </c>
      <c r="J95" s="2">
        <v>1723293.9999999998</v>
      </c>
      <c r="K95" s="2">
        <v>1715967.9999999998</v>
      </c>
      <c r="L95" s="2">
        <v>1709010</v>
      </c>
      <c r="M95" s="2">
        <v>1687034</v>
      </c>
      <c r="N95" s="2">
        <v>1655177.0000000002</v>
      </c>
      <c r="O95" s="2">
        <v>1622776.0000000002</v>
      </c>
      <c r="P95" s="2">
        <v>1595598</v>
      </c>
    </row>
    <row r="96" spans="1:16">
      <c r="A96" s="84" t="s">
        <v>265</v>
      </c>
      <c r="B96" s="85" t="s">
        <v>264</v>
      </c>
      <c r="C96" s="85" t="s">
        <v>74</v>
      </c>
      <c r="D96" s="84" t="s">
        <v>87</v>
      </c>
      <c r="E96" s="84">
        <v>1</v>
      </c>
      <c r="F96" s="2">
        <v>256089.99999999997</v>
      </c>
      <c r="G96" s="2">
        <v>265031</v>
      </c>
      <c r="H96" s="2">
        <v>271013.00000000006</v>
      </c>
      <c r="I96" s="2">
        <v>274957</v>
      </c>
      <c r="J96" s="2">
        <v>278655.00000000006</v>
      </c>
      <c r="K96" s="2">
        <v>283406</v>
      </c>
      <c r="L96" s="2">
        <v>288923</v>
      </c>
      <c r="M96" s="2">
        <v>294347.00000000006</v>
      </c>
      <c r="N96" s="2">
        <v>299709</v>
      </c>
      <c r="O96" s="2">
        <v>304513.00000000006</v>
      </c>
      <c r="P96" s="2">
        <v>308396</v>
      </c>
    </row>
    <row r="97" spans="1:16">
      <c r="A97" s="84" t="s">
        <v>267</v>
      </c>
      <c r="B97" s="85" t="s">
        <v>266</v>
      </c>
      <c r="C97" s="85" t="s">
        <v>79</v>
      </c>
      <c r="D97" s="84" t="s">
        <v>84</v>
      </c>
      <c r="E97" s="84">
        <v>1</v>
      </c>
      <c r="F97" s="2">
        <v>692574.99999999988</v>
      </c>
      <c r="G97" s="2">
        <v>693402</v>
      </c>
      <c r="H97" s="2">
        <v>696536</v>
      </c>
      <c r="I97" s="2">
        <v>701876</v>
      </c>
      <c r="J97" s="2">
        <v>708265</v>
      </c>
      <c r="K97" s="2">
        <v>715196</v>
      </c>
      <c r="L97" s="2">
        <v>726183</v>
      </c>
      <c r="M97" s="2">
        <v>735173</v>
      </c>
      <c r="N97" s="2">
        <v>742620</v>
      </c>
      <c r="O97" s="2">
        <v>749253</v>
      </c>
      <c r="P97" s="2">
        <v>755675.99999999988</v>
      </c>
    </row>
    <row r="98" spans="1:16">
      <c r="A98" s="84" t="s">
        <v>269</v>
      </c>
      <c r="B98" s="85" t="s">
        <v>268</v>
      </c>
      <c r="C98" s="85" t="s">
        <v>99</v>
      </c>
      <c r="D98" s="84" t="s">
        <v>84</v>
      </c>
      <c r="E98" s="84">
        <v>4</v>
      </c>
      <c r="F98" s="2">
        <v>746961</v>
      </c>
      <c r="G98" s="2">
        <v>743095</v>
      </c>
      <c r="H98" s="2">
        <v>737740</v>
      </c>
      <c r="I98" s="2">
        <v>731254</v>
      </c>
      <c r="J98" s="2">
        <v>724689.99999999988</v>
      </c>
      <c r="K98" s="2">
        <v>718858.99999999988</v>
      </c>
      <c r="L98" s="2">
        <v>714510</v>
      </c>
      <c r="M98" s="2">
        <v>709904</v>
      </c>
      <c r="N98" s="2">
        <v>705194</v>
      </c>
      <c r="O98" s="2">
        <v>700313</v>
      </c>
      <c r="P98" s="2">
        <v>695361</v>
      </c>
    </row>
    <row r="99" spans="1:16">
      <c r="A99" s="84" t="s">
        <v>271</v>
      </c>
      <c r="B99" s="85" t="s">
        <v>270</v>
      </c>
      <c r="C99" s="85" t="s">
        <v>79</v>
      </c>
      <c r="D99" s="84" t="s">
        <v>87</v>
      </c>
      <c r="E99" s="84">
        <v>1</v>
      </c>
      <c r="F99" s="2">
        <v>75475</v>
      </c>
      <c r="G99" s="2">
        <v>77574.999999999985</v>
      </c>
      <c r="H99" s="2">
        <v>76648</v>
      </c>
      <c r="I99" s="2">
        <v>73514</v>
      </c>
      <c r="J99" s="2">
        <v>70415</v>
      </c>
      <c r="K99" s="2">
        <v>68890</v>
      </c>
      <c r="L99" s="2">
        <v>67761</v>
      </c>
      <c r="M99" s="2">
        <v>67662</v>
      </c>
      <c r="N99" s="2">
        <v>68519</v>
      </c>
      <c r="O99" s="2">
        <v>69637</v>
      </c>
      <c r="P99" s="2">
        <v>70594</v>
      </c>
    </row>
    <row r="100" spans="1:16">
      <c r="A100" s="84" t="s">
        <v>273</v>
      </c>
      <c r="B100" s="85" t="s">
        <v>272</v>
      </c>
      <c r="C100" s="85" t="s">
        <v>74</v>
      </c>
      <c r="D100" s="84" t="s">
        <v>80</v>
      </c>
      <c r="E100" s="84">
        <v>2</v>
      </c>
      <c r="F100" s="2">
        <v>434809</v>
      </c>
      <c r="G100" s="2">
        <v>420969.00000000006</v>
      </c>
      <c r="H100" s="2">
        <v>410114.00000000006</v>
      </c>
      <c r="I100" s="2">
        <v>402223</v>
      </c>
      <c r="J100" s="2">
        <v>395700.99999999994</v>
      </c>
      <c r="K100" s="2">
        <v>389433</v>
      </c>
      <c r="L100" s="2">
        <v>382347.00000000006</v>
      </c>
      <c r="M100" s="2">
        <v>376046.99999999994</v>
      </c>
      <c r="N100" s="2">
        <v>370303</v>
      </c>
      <c r="O100" s="2">
        <v>365219.00000000006</v>
      </c>
      <c r="P100" s="2">
        <v>360756</v>
      </c>
    </row>
    <row r="101" spans="1:16">
      <c r="A101" s="84" t="s">
        <v>275</v>
      </c>
      <c r="B101" s="85" t="s">
        <v>274</v>
      </c>
      <c r="C101" s="85" t="s">
        <v>83</v>
      </c>
      <c r="D101" s="84" t="s">
        <v>84</v>
      </c>
      <c r="E101" s="84">
        <v>3</v>
      </c>
      <c r="F101" s="2">
        <v>242691</v>
      </c>
      <c r="G101" s="2">
        <v>243260.00000000003</v>
      </c>
      <c r="H101" s="2">
        <v>242620</v>
      </c>
      <c r="I101" s="2">
        <v>241156.99999999997</v>
      </c>
      <c r="J101" s="2">
        <v>239626.99999999997</v>
      </c>
      <c r="K101" s="2">
        <v>238670.99999999997</v>
      </c>
      <c r="L101" s="2">
        <v>238421</v>
      </c>
      <c r="M101" s="2">
        <v>238030</v>
      </c>
      <c r="N101" s="2">
        <v>237626.99999999997</v>
      </c>
      <c r="O101" s="2">
        <v>237215.99999999997</v>
      </c>
      <c r="P101" s="2">
        <v>236887.99999999997</v>
      </c>
    </row>
    <row r="102" spans="1:16">
      <c r="A102" s="84" t="s">
        <v>277</v>
      </c>
      <c r="B102" s="85" t="s">
        <v>276</v>
      </c>
      <c r="C102" s="85" t="s">
        <v>83</v>
      </c>
      <c r="D102" s="84" t="s">
        <v>75</v>
      </c>
      <c r="E102" s="84">
        <v>3</v>
      </c>
      <c r="F102" s="2">
        <v>861337</v>
      </c>
      <c r="G102" s="2">
        <v>872686.00000000012</v>
      </c>
      <c r="H102" s="2">
        <v>883545</v>
      </c>
      <c r="I102" s="2">
        <v>894079.00000000023</v>
      </c>
      <c r="J102" s="2">
        <v>904267</v>
      </c>
      <c r="K102" s="2">
        <v>914169.00000000012</v>
      </c>
      <c r="L102" s="2">
        <v>924495.99999999988</v>
      </c>
      <c r="M102" s="2">
        <v>934103.00000000012</v>
      </c>
      <c r="N102" s="2">
        <v>943144</v>
      </c>
      <c r="O102" s="2">
        <v>951834.00000000012</v>
      </c>
      <c r="P102" s="2">
        <v>960397.99999999988</v>
      </c>
    </row>
    <row r="103" spans="1:16">
      <c r="A103" s="84" t="s">
        <v>279</v>
      </c>
      <c r="B103" s="85" t="s">
        <v>278</v>
      </c>
      <c r="C103" s="85" t="s">
        <v>74</v>
      </c>
      <c r="D103" s="84" t="s">
        <v>80</v>
      </c>
      <c r="E103" s="84">
        <v>2</v>
      </c>
      <c r="F103" s="2">
        <v>550035</v>
      </c>
      <c r="G103" s="2">
        <v>544294</v>
      </c>
      <c r="H103" s="2">
        <v>539627.99999999988</v>
      </c>
      <c r="I103" s="2">
        <v>536137</v>
      </c>
      <c r="J103" s="2">
        <v>533452</v>
      </c>
      <c r="K103" s="2">
        <v>531413</v>
      </c>
      <c r="L103" s="2">
        <v>530886.00000000012</v>
      </c>
      <c r="M103" s="2">
        <v>530973.99999999988</v>
      </c>
      <c r="N103" s="2">
        <v>531483.00000000012</v>
      </c>
      <c r="O103" s="2">
        <v>532223</v>
      </c>
      <c r="P103" s="2">
        <v>533085</v>
      </c>
    </row>
    <row r="104" spans="1:16">
      <c r="A104" s="84" t="s">
        <v>281</v>
      </c>
      <c r="B104" s="85" t="s">
        <v>280</v>
      </c>
      <c r="C104" s="85" t="s">
        <v>79</v>
      </c>
      <c r="D104" s="84" t="s">
        <v>87</v>
      </c>
      <c r="E104" s="84">
        <v>1</v>
      </c>
      <c r="F104" s="2">
        <v>111312</v>
      </c>
      <c r="G104" s="2">
        <v>109083.99999999999</v>
      </c>
      <c r="H104" s="2">
        <v>106072</v>
      </c>
      <c r="I104" s="2">
        <v>102801.99999999999</v>
      </c>
      <c r="J104" s="2">
        <v>99802</v>
      </c>
      <c r="K104" s="2">
        <v>97507</v>
      </c>
      <c r="L104" s="2">
        <v>95241.999999999985</v>
      </c>
      <c r="M104" s="2">
        <v>94112</v>
      </c>
      <c r="N104" s="2">
        <v>93923</v>
      </c>
      <c r="O104" s="2">
        <v>94283.000000000015</v>
      </c>
      <c r="P104" s="2">
        <v>94942</v>
      </c>
    </row>
    <row r="105" spans="1:16">
      <c r="A105" s="84" t="s">
        <v>283</v>
      </c>
      <c r="B105" s="85" t="s">
        <v>282</v>
      </c>
      <c r="C105" s="85" t="s">
        <v>79</v>
      </c>
      <c r="D105" s="84" t="s">
        <v>87</v>
      </c>
      <c r="E105" s="84">
        <v>1</v>
      </c>
      <c r="F105" s="2">
        <v>34471.999999999993</v>
      </c>
      <c r="G105" s="2">
        <v>34464</v>
      </c>
      <c r="H105" s="2">
        <v>34555</v>
      </c>
      <c r="I105" s="2">
        <v>34713</v>
      </c>
      <c r="J105" s="2">
        <v>34877</v>
      </c>
      <c r="K105" s="2">
        <v>35002</v>
      </c>
      <c r="L105" s="2">
        <v>35216</v>
      </c>
      <c r="M105" s="2">
        <v>35359</v>
      </c>
      <c r="N105" s="2">
        <v>35461.999999999993</v>
      </c>
      <c r="O105" s="2">
        <v>35562</v>
      </c>
      <c r="P105" s="2">
        <v>35698</v>
      </c>
    </row>
    <row r="106" spans="1:16">
      <c r="A106" s="84" t="s">
        <v>285</v>
      </c>
      <c r="B106" s="85" t="s">
        <v>284</v>
      </c>
      <c r="C106" s="85" t="s">
        <v>79</v>
      </c>
      <c r="D106" s="84" t="s">
        <v>80</v>
      </c>
      <c r="E106" s="84">
        <v>1</v>
      </c>
      <c r="F106" s="2">
        <v>95186</v>
      </c>
      <c r="G106" s="2">
        <v>93991</v>
      </c>
      <c r="H106" s="2">
        <v>92605.000000000015</v>
      </c>
      <c r="I106" s="2">
        <v>91116</v>
      </c>
      <c r="J106" s="2">
        <v>89663.999999999985</v>
      </c>
      <c r="K106" s="2">
        <v>88356</v>
      </c>
      <c r="L106" s="2">
        <v>87213</v>
      </c>
      <c r="M106" s="2">
        <v>86169</v>
      </c>
      <c r="N106" s="2">
        <v>85240</v>
      </c>
      <c r="O106" s="2">
        <v>84407.999999999985</v>
      </c>
      <c r="P106" s="2">
        <v>83672</v>
      </c>
    </row>
    <row r="107" spans="1:16">
      <c r="A107" s="84" t="s">
        <v>287</v>
      </c>
      <c r="B107" s="85" t="s">
        <v>286</v>
      </c>
      <c r="C107" s="85" t="s">
        <v>83</v>
      </c>
      <c r="D107" s="84" t="s">
        <v>75</v>
      </c>
      <c r="E107" s="84">
        <v>3</v>
      </c>
      <c r="F107" s="2">
        <v>4880474</v>
      </c>
      <c r="G107" s="2">
        <v>4945375</v>
      </c>
      <c r="H107" s="2">
        <v>5006339</v>
      </c>
      <c r="I107" s="2">
        <v>5064367</v>
      </c>
      <c r="J107" s="2">
        <v>5121394.9999999991</v>
      </c>
      <c r="K107" s="2">
        <v>5178761</v>
      </c>
      <c r="L107" s="2">
        <v>5236337.9999999991</v>
      </c>
      <c r="M107" s="2">
        <v>5296254.9999999991</v>
      </c>
      <c r="N107" s="2">
        <v>5357580</v>
      </c>
      <c r="O107" s="2">
        <v>5418630.9999999991</v>
      </c>
      <c r="P107" s="2">
        <v>5478387.9999999991</v>
      </c>
    </row>
    <row r="108" spans="1:16">
      <c r="A108" s="84" t="s">
        <v>289</v>
      </c>
      <c r="B108" s="85" t="s">
        <v>288</v>
      </c>
      <c r="C108" s="85" t="s">
        <v>83</v>
      </c>
      <c r="D108" s="84" t="s">
        <v>75</v>
      </c>
      <c r="E108" s="84">
        <v>3</v>
      </c>
      <c r="F108" s="2">
        <v>3539960</v>
      </c>
      <c r="G108" s="2">
        <v>3586584</v>
      </c>
      <c r="H108" s="2">
        <v>3633091</v>
      </c>
      <c r="I108" s="2">
        <v>3679647</v>
      </c>
      <c r="J108" s="2">
        <v>3724203</v>
      </c>
      <c r="K108" s="2">
        <v>3765359</v>
      </c>
      <c r="L108" s="2">
        <v>3803323.0000000005</v>
      </c>
      <c r="M108" s="2">
        <v>3840724</v>
      </c>
      <c r="N108" s="2">
        <v>3877097.9999999995</v>
      </c>
      <c r="O108" s="2">
        <v>3912549</v>
      </c>
      <c r="P108" s="2">
        <v>3947072</v>
      </c>
    </row>
    <row r="109" spans="1:16">
      <c r="A109" s="84" t="s">
        <v>291</v>
      </c>
      <c r="B109" s="85" t="s">
        <v>290</v>
      </c>
      <c r="C109" s="85" t="s">
        <v>99</v>
      </c>
      <c r="D109" s="84" t="s">
        <v>80</v>
      </c>
      <c r="E109" s="84">
        <v>2</v>
      </c>
      <c r="F109" s="2">
        <v>2558145.9999999995</v>
      </c>
      <c r="G109" s="2">
        <v>2531541</v>
      </c>
      <c r="H109" s="2">
        <v>2505034</v>
      </c>
      <c r="I109" s="2">
        <v>2477885</v>
      </c>
      <c r="J109" s="2">
        <v>2450025</v>
      </c>
      <c r="K109" s="2">
        <v>2421134.9999999995</v>
      </c>
      <c r="L109" s="2">
        <v>2392798</v>
      </c>
      <c r="M109" s="2">
        <v>2365288</v>
      </c>
      <c r="N109" s="2">
        <v>2338960</v>
      </c>
      <c r="O109" s="2">
        <v>2314526</v>
      </c>
      <c r="P109" s="2">
        <v>2292441.0000000005</v>
      </c>
    </row>
    <row r="110" spans="1:16">
      <c r="A110" s="84" t="s">
        <v>293</v>
      </c>
      <c r="B110" s="85" t="s">
        <v>292</v>
      </c>
      <c r="C110" s="85" t="s">
        <v>110</v>
      </c>
      <c r="D110" s="84" t="s">
        <v>80</v>
      </c>
      <c r="E110" s="84">
        <v>2</v>
      </c>
      <c r="F110" s="2">
        <v>27675</v>
      </c>
      <c r="G110" s="2">
        <v>26880.000000000004</v>
      </c>
      <c r="H110" s="2">
        <v>26421</v>
      </c>
      <c r="I110" s="2">
        <v>26224.000000000004</v>
      </c>
      <c r="J110" s="2">
        <v>26171</v>
      </c>
      <c r="K110" s="2">
        <v>26171</v>
      </c>
      <c r="L110" s="2">
        <v>26332</v>
      </c>
      <c r="M110" s="2">
        <v>26512.999999999996</v>
      </c>
      <c r="N110" s="2">
        <v>26710</v>
      </c>
      <c r="O110" s="2">
        <v>26935.999999999996</v>
      </c>
      <c r="P110" s="2">
        <v>27192.999999999996</v>
      </c>
    </row>
    <row r="111" spans="1:16">
      <c r="A111" s="84" t="s">
        <v>295</v>
      </c>
      <c r="B111" s="85" t="s">
        <v>294</v>
      </c>
      <c r="C111" s="85" t="s">
        <v>83</v>
      </c>
      <c r="D111" s="84" t="s">
        <v>75</v>
      </c>
      <c r="E111" s="84">
        <v>3</v>
      </c>
      <c r="F111" s="2">
        <v>4413563</v>
      </c>
      <c r="G111" s="2">
        <v>4503134</v>
      </c>
      <c r="H111" s="2">
        <v>4582437</v>
      </c>
      <c r="I111" s="2">
        <v>4654938</v>
      </c>
      <c r="J111" s="2">
        <v>4724956</v>
      </c>
      <c r="K111" s="2">
        <v>4796494</v>
      </c>
      <c r="L111" s="2">
        <v>4871479</v>
      </c>
      <c r="M111" s="2">
        <v>4942274</v>
      </c>
      <c r="N111" s="2">
        <v>5009671</v>
      </c>
      <c r="O111" s="2">
        <v>5073429</v>
      </c>
      <c r="P111" s="2">
        <v>5134196.9999999991</v>
      </c>
    </row>
    <row r="112" spans="1:16">
      <c r="A112" s="84" t="s">
        <v>297</v>
      </c>
      <c r="B112" s="85" t="s">
        <v>296</v>
      </c>
      <c r="C112" s="85" t="s">
        <v>79</v>
      </c>
      <c r="D112" s="84" t="s">
        <v>87</v>
      </c>
      <c r="E112" s="84">
        <v>1</v>
      </c>
      <c r="F112" s="2">
        <v>20680</v>
      </c>
      <c r="G112" s="2">
        <v>20326</v>
      </c>
      <c r="H112" s="2">
        <v>20008</v>
      </c>
      <c r="I112" s="2">
        <v>19722</v>
      </c>
      <c r="J112" s="2">
        <v>19444</v>
      </c>
      <c r="K112" s="2">
        <v>19157</v>
      </c>
      <c r="L112" s="2">
        <v>18872</v>
      </c>
      <c r="M112" s="2">
        <v>18634.999999999996</v>
      </c>
      <c r="N112" s="2">
        <v>18435</v>
      </c>
      <c r="O112" s="2">
        <v>18264</v>
      </c>
      <c r="P112" s="2">
        <v>18119</v>
      </c>
    </row>
    <row r="113" spans="1:16">
      <c r="A113" s="84" t="s">
        <v>299</v>
      </c>
      <c r="B113" s="85" t="s">
        <v>298</v>
      </c>
      <c r="C113" s="85" t="s">
        <v>99</v>
      </c>
      <c r="D113" s="84" t="s">
        <v>80</v>
      </c>
      <c r="E113" s="84">
        <v>1</v>
      </c>
      <c r="F113" s="2">
        <v>0</v>
      </c>
      <c r="G113" s="2">
        <v>0</v>
      </c>
      <c r="H113" s="2">
        <v>0</v>
      </c>
      <c r="I113" s="2">
        <v>0</v>
      </c>
      <c r="J113" s="2">
        <v>0</v>
      </c>
      <c r="K113" s="2">
        <v>0</v>
      </c>
      <c r="L113" s="2">
        <v>0</v>
      </c>
      <c r="M113" s="2">
        <v>0</v>
      </c>
      <c r="N113" s="2">
        <v>0</v>
      </c>
      <c r="O113" s="2">
        <v>0</v>
      </c>
      <c r="P113" s="2">
        <v>0</v>
      </c>
    </row>
    <row r="114" spans="1:16">
      <c r="A114" s="84" t="s">
        <v>301</v>
      </c>
      <c r="B114" s="85" t="s">
        <v>300</v>
      </c>
      <c r="C114" s="85" t="s">
        <v>83</v>
      </c>
      <c r="D114" s="84" t="s">
        <v>84</v>
      </c>
      <c r="E114" s="84">
        <v>3</v>
      </c>
      <c r="F114" s="2">
        <v>802987</v>
      </c>
      <c r="G114" s="2">
        <v>815438.00000000012</v>
      </c>
      <c r="H114" s="2">
        <v>827060.00000000012</v>
      </c>
      <c r="I114" s="2">
        <v>838243</v>
      </c>
      <c r="J114" s="2">
        <v>849412</v>
      </c>
      <c r="K114" s="2">
        <v>860988</v>
      </c>
      <c r="L114" s="2">
        <v>873882.00000000012</v>
      </c>
      <c r="M114" s="2">
        <v>886419</v>
      </c>
      <c r="N114" s="2">
        <v>898733.00000000012</v>
      </c>
      <c r="O114" s="2">
        <v>910874</v>
      </c>
      <c r="P114" s="2">
        <v>922991</v>
      </c>
    </row>
    <row r="115" spans="1:16">
      <c r="A115" s="84" t="s">
        <v>303</v>
      </c>
      <c r="B115" s="85" t="s">
        <v>302</v>
      </c>
      <c r="C115" s="85" t="s">
        <v>83</v>
      </c>
      <c r="D115" s="84" t="s">
        <v>87</v>
      </c>
      <c r="E115" s="84">
        <v>1</v>
      </c>
      <c r="F115" s="2">
        <v>60684</v>
      </c>
      <c r="G115" s="2">
        <v>60275.999999999993</v>
      </c>
      <c r="H115" s="2">
        <v>59965</v>
      </c>
      <c r="I115" s="2">
        <v>59682.999999999993</v>
      </c>
      <c r="J115" s="2">
        <v>59339</v>
      </c>
      <c r="K115" s="2">
        <v>58864.000000000007</v>
      </c>
      <c r="L115" s="2">
        <v>58411</v>
      </c>
      <c r="M115" s="2">
        <v>57785</v>
      </c>
      <c r="N115" s="2">
        <v>57022.999999999993</v>
      </c>
      <c r="O115" s="2">
        <v>56200</v>
      </c>
      <c r="P115" s="2">
        <v>55365</v>
      </c>
    </row>
    <row r="116" spans="1:16">
      <c r="A116" s="84" t="s">
        <v>305</v>
      </c>
      <c r="B116" s="85" t="s">
        <v>304</v>
      </c>
      <c r="C116" s="85" t="s">
        <v>92</v>
      </c>
      <c r="D116" s="84" t="s">
        <v>80</v>
      </c>
      <c r="E116" s="84">
        <v>2</v>
      </c>
      <c r="F116" s="2">
        <v>10243032</v>
      </c>
      <c r="G116" s="2">
        <v>10164521</v>
      </c>
      <c r="H116" s="2">
        <v>10087751</v>
      </c>
      <c r="I116" s="2">
        <v>10012786</v>
      </c>
      <c r="J116" s="2">
        <v>9936990.9999999981</v>
      </c>
      <c r="K116" s="2">
        <v>9859200</v>
      </c>
      <c r="L116" s="2">
        <v>9791942</v>
      </c>
      <c r="M116" s="2">
        <v>9721286</v>
      </c>
      <c r="N116" s="2">
        <v>9648036.0000000019</v>
      </c>
      <c r="O116" s="2">
        <v>9573894</v>
      </c>
      <c r="P116" s="2">
        <v>9500306</v>
      </c>
    </row>
    <row r="117" spans="1:16">
      <c r="A117" s="84" t="s">
        <v>307</v>
      </c>
      <c r="B117" s="85" t="s">
        <v>306</v>
      </c>
      <c r="C117" s="85" t="s">
        <v>99</v>
      </c>
      <c r="D117" s="84" t="s">
        <v>84</v>
      </c>
      <c r="E117" s="84">
        <v>1</v>
      </c>
      <c r="F117" s="2">
        <v>12701</v>
      </c>
      <c r="G117" s="2">
        <v>12645</v>
      </c>
      <c r="H117" s="2">
        <v>12559.000000000002</v>
      </c>
      <c r="I117" s="2">
        <v>12443.000000000002</v>
      </c>
      <c r="J117" s="2">
        <v>12307</v>
      </c>
      <c r="K117" s="2">
        <v>12163</v>
      </c>
      <c r="L117" s="2">
        <v>12014</v>
      </c>
      <c r="M117" s="2">
        <v>11858</v>
      </c>
      <c r="N117" s="2">
        <v>11698</v>
      </c>
      <c r="O117" s="2">
        <v>11542</v>
      </c>
      <c r="P117" s="2">
        <v>11396.999999999998</v>
      </c>
    </row>
    <row r="118" spans="1:16">
      <c r="A118" s="84" t="s">
        <v>309</v>
      </c>
      <c r="B118" s="85" t="s">
        <v>308</v>
      </c>
      <c r="C118" s="85" t="s">
        <v>79</v>
      </c>
      <c r="D118" s="84" t="s">
        <v>84</v>
      </c>
      <c r="E118" s="84">
        <v>1</v>
      </c>
      <c r="F118" s="2">
        <v>165000.99999999997</v>
      </c>
      <c r="G118" s="2">
        <v>160964</v>
      </c>
      <c r="H118" s="2">
        <v>157813.00000000003</v>
      </c>
      <c r="I118" s="2">
        <v>155440</v>
      </c>
      <c r="J118" s="2">
        <v>153428.00000000003</v>
      </c>
      <c r="K118" s="2">
        <v>151524.99999999997</v>
      </c>
      <c r="L118" s="2">
        <v>150258</v>
      </c>
      <c r="M118" s="2">
        <v>149057.00000000003</v>
      </c>
      <c r="N118" s="2">
        <v>147918.99999999997</v>
      </c>
      <c r="O118" s="2">
        <v>146940</v>
      </c>
      <c r="P118" s="2">
        <v>146197.99999999997</v>
      </c>
    </row>
    <row r="119" spans="1:16">
      <c r="A119" s="84" t="s">
        <v>311</v>
      </c>
      <c r="B119" s="85" t="s">
        <v>310</v>
      </c>
      <c r="C119" s="85" t="s">
        <v>79</v>
      </c>
      <c r="D119" s="84" t="s">
        <v>87</v>
      </c>
      <c r="E119" s="84">
        <v>1</v>
      </c>
      <c r="F119" s="2">
        <v>0</v>
      </c>
      <c r="G119" s="2">
        <v>0</v>
      </c>
      <c r="H119" s="2">
        <v>0</v>
      </c>
      <c r="I119" s="2">
        <v>0</v>
      </c>
      <c r="J119" s="2">
        <v>0</v>
      </c>
      <c r="K119" s="2">
        <v>0</v>
      </c>
      <c r="L119" s="2">
        <v>0</v>
      </c>
      <c r="M119" s="2">
        <v>0</v>
      </c>
      <c r="N119" s="2">
        <v>0</v>
      </c>
      <c r="O119" s="2">
        <v>0</v>
      </c>
      <c r="P119" s="2">
        <v>0</v>
      </c>
    </row>
    <row r="120" spans="1:16">
      <c r="A120" s="84" t="s">
        <v>313</v>
      </c>
      <c r="B120" s="85" t="s">
        <v>312</v>
      </c>
      <c r="C120" s="85" t="s">
        <v>99</v>
      </c>
      <c r="D120" s="84" t="s">
        <v>84</v>
      </c>
      <c r="E120" s="84">
        <v>2</v>
      </c>
      <c r="F120" s="2">
        <v>322308.99999999994</v>
      </c>
      <c r="G120" s="2">
        <v>322973</v>
      </c>
      <c r="H120" s="2">
        <v>322806</v>
      </c>
      <c r="I120" s="2">
        <v>322252.99999999994</v>
      </c>
      <c r="J120" s="2">
        <v>322112.99999999994</v>
      </c>
      <c r="K120" s="2">
        <v>323057</v>
      </c>
      <c r="L120" s="2">
        <v>325823.99999999994</v>
      </c>
      <c r="M120" s="2">
        <v>328452</v>
      </c>
      <c r="N120" s="2">
        <v>331155.00000000006</v>
      </c>
      <c r="O120" s="2">
        <v>333940</v>
      </c>
      <c r="P120" s="2">
        <v>336883</v>
      </c>
    </row>
    <row r="121" spans="1:16">
      <c r="A121" s="84" t="s">
        <v>315</v>
      </c>
      <c r="B121" s="85" t="s">
        <v>314</v>
      </c>
      <c r="C121" s="85" t="s">
        <v>79</v>
      </c>
      <c r="D121" s="84" t="s">
        <v>80</v>
      </c>
      <c r="E121" s="84">
        <v>1</v>
      </c>
      <c r="F121" s="2">
        <v>33674</v>
      </c>
      <c r="G121" s="2">
        <v>33443</v>
      </c>
      <c r="H121" s="2">
        <v>33156</v>
      </c>
      <c r="I121" s="2">
        <v>32822</v>
      </c>
      <c r="J121" s="2">
        <v>32487.000000000004</v>
      </c>
      <c r="K121" s="2">
        <v>32185.000000000004</v>
      </c>
      <c r="L121" s="2">
        <v>31930</v>
      </c>
      <c r="M121" s="2">
        <v>31680</v>
      </c>
      <c r="N121" s="2">
        <v>31436</v>
      </c>
      <c r="O121" s="2">
        <v>31198.999999999996</v>
      </c>
      <c r="P121" s="2">
        <v>30964.999999999996</v>
      </c>
    </row>
    <row r="122" spans="1:16">
      <c r="A122" s="84" t="s">
        <v>317</v>
      </c>
      <c r="B122" s="85" t="s">
        <v>316</v>
      </c>
      <c r="C122" s="85" t="s">
        <v>74</v>
      </c>
      <c r="D122" s="84" t="s">
        <v>84</v>
      </c>
      <c r="E122" s="84">
        <v>3</v>
      </c>
      <c r="F122" s="2">
        <v>3092999.0000000005</v>
      </c>
      <c r="G122" s="2">
        <v>3071498</v>
      </c>
      <c r="H122" s="2">
        <v>3052992</v>
      </c>
      <c r="I122" s="2">
        <v>3038249</v>
      </c>
      <c r="J122" s="2">
        <v>3024841</v>
      </c>
      <c r="K122" s="2">
        <v>3011739</v>
      </c>
      <c r="L122" s="2">
        <v>3004225</v>
      </c>
      <c r="M122" s="2">
        <v>2996191</v>
      </c>
      <c r="N122" s="2">
        <v>2987658.0000000005</v>
      </c>
      <c r="O122" s="2">
        <v>2979169</v>
      </c>
      <c r="P122" s="2">
        <v>2971241</v>
      </c>
    </row>
    <row r="123" spans="1:16">
      <c r="A123" s="84" t="s">
        <v>319</v>
      </c>
      <c r="B123" s="85" t="s">
        <v>318</v>
      </c>
      <c r="C123" s="85" t="s">
        <v>83</v>
      </c>
      <c r="D123" s="84" t="s">
        <v>75</v>
      </c>
      <c r="E123" s="84" t="s">
        <v>76</v>
      </c>
      <c r="F123" s="2">
        <v>6253326.9999999991</v>
      </c>
      <c r="G123" s="2">
        <v>6354600</v>
      </c>
      <c r="H123" s="2">
        <v>6451611</v>
      </c>
      <c r="I123" s="2">
        <v>6545626</v>
      </c>
      <c r="J123" s="2">
        <v>6637630</v>
      </c>
      <c r="K123" s="2">
        <v>6728750</v>
      </c>
      <c r="L123" s="2">
        <v>6822169</v>
      </c>
      <c r="M123" s="2">
        <v>6912585.9999999991</v>
      </c>
      <c r="N123" s="2">
        <v>7000175.0000000009</v>
      </c>
      <c r="O123" s="2">
        <v>7084865.0000000009</v>
      </c>
      <c r="P123" s="2">
        <v>7167035</v>
      </c>
    </row>
    <row r="124" spans="1:16">
      <c r="A124" s="84" t="s">
        <v>321</v>
      </c>
      <c r="B124" s="85" t="s">
        <v>320</v>
      </c>
      <c r="C124" s="85" t="s">
        <v>110</v>
      </c>
      <c r="D124" s="84" t="s">
        <v>84</v>
      </c>
      <c r="E124" s="84">
        <v>4</v>
      </c>
      <c r="F124" s="2">
        <v>4445619.0000000009</v>
      </c>
      <c r="G124" s="2">
        <v>4437939</v>
      </c>
      <c r="H124" s="2">
        <v>4423151</v>
      </c>
      <c r="I124" s="2">
        <v>4401512</v>
      </c>
      <c r="J124" s="2">
        <v>4375171</v>
      </c>
      <c r="K124" s="2">
        <v>4345561.0000000009</v>
      </c>
      <c r="L124" s="2">
        <v>4316749</v>
      </c>
      <c r="M124" s="2">
        <v>4282472</v>
      </c>
      <c r="N124" s="2">
        <v>4244395</v>
      </c>
      <c r="O124" s="2">
        <v>4204563</v>
      </c>
      <c r="P124" s="2">
        <v>4164570.0000000005</v>
      </c>
    </row>
    <row r="125" spans="1:16">
      <c r="A125" s="84" t="s">
        <v>323</v>
      </c>
      <c r="B125" s="85" t="s">
        <v>322</v>
      </c>
      <c r="C125" s="85" t="s">
        <v>83</v>
      </c>
      <c r="D125" s="84" t="s">
        <v>80</v>
      </c>
      <c r="E125" s="84">
        <v>3</v>
      </c>
      <c r="F125" s="2">
        <v>342899</v>
      </c>
      <c r="G125" s="2">
        <v>344451</v>
      </c>
      <c r="H125" s="2">
        <v>346027.00000000006</v>
      </c>
      <c r="I125" s="2">
        <v>347674.00000000006</v>
      </c>
      <c r="J125" s="2">
        <v>349389</v>
      </c>
      <c r="K125" s="2">
        <v>351226</v>
      </c>
      <c r="L125" s="2">
        <v>353753</v>
      </c>
      <c r="M125" s="2">
        <v>355878.99999999994</v>
      </c>
      <c r="N125" s="2">
        <v>357744</v>
      </c>
      <c r="O125" s="2">
        <v>359533</v>
      </c>
      <c r="P125" s="2">
        <v>361418</v>
      </c>
    </row>
    <row r="126" spans="1:16">
      <c r="A126" s="84" t="s">
        <v>325</v>
      </c>
      <c r="B126" s="85" t="s">
        <v>324</v>
      </c>
      <c r="C126" s="85" t="s">
        <v>99</v>
      </c>
      <c r="D126" s="84" t="s">
        <v>87</v>
      </c>
      <c r="E126" s="84">
        <v>1</v>
      </c>
      <c r="F126" s="2">
        <v>0</v>
      </c>
      <c r="G126" s="2">
        <v>0</v>
      </c>
      <c r="H126" s="2">
        <v>0</v>
      </c>
      <c r="I126" s="2">
        <v>0</v>
      </c>
      <c r="J126" s="2">
        <v>0</v>
      </c>
      <c r="K126" s="2">
        <v>0</v>
      </c>
      <c r="L126" s="2">
        <v>0</v>
      </c>
      <c r="M126" s="2">
        <v>0</v>
      </c>
      <c r="N126" s="2">
        <v>0</v>
      </c>
      <c r="O126" s="2">
        <v>0</v>
      </c>
      <c r="P126" s="2">
        <v>0</v>
      </c>
    </row>
    <row r="127" spans="1:16">
      <c r="A127" s="84" t="s">
        <v>327</v>
      </c>
      <c r="B127" s="85" t="s">
        <v>326</v>
      </c>
      <c r="C127" s="85" t="s">
        <v>110</v>
      </c>
      <c r="D127" s="84" t="s">
        <v>84</v>
      </c>
      <c r="E127" s="84">
        <v>4</v>
      </c>
      <c r="F127" s="2">
        <v>2511596</v>
      </c>
      <c r="G127" s="2">
        <v>2442041</v>
      </c>
      <c r="H127" s="2">
        <v>2389269</v>
      </c>
      <c r="I127" s="2">
        <v>2348404</v>
      </c>
      <c r="J127" s="2">
        <v>2308494</v>
      </c>
      <c r="K127" s="2">
        <v>2262186</v>
      </c>
      <c r="L127" s="2">
        <v>2221123</v>
      </c>
      <c r="M127" s="2">
        <v>2174388</v>
      </c>
      <c r="N127" s="2">
        <v>2123591</v>
      </c>
      <c r="O127" s="2">
        <v>2074539.0000000002</v>
      </c>
      <c r="P127" s="2">
        <v>2031602</v>
      </c>
    </row>
    <row r="128" spans="1:16">
      <c r="A128" s="84" t="s">
        <v>329</v>
      </c>
      <c r="B128" s="85" t="s">
        <v>328</v>
      </c>
      <c r="C128" s="85" t="s">
        <v>79</v>
      </c>
      <c r="D128" s="84" t="s">
        <v>87</v>
      </c>
      <c r="E128" s="84">
        <v>1</v>
      </c>
      <c r="F128" s="2">
        <v>880427.99999999988</v>
      </c>
      <c r="G128" s="2">
        <v>875651.99999999988</v>
      </c>
      <c r="H128" s="2">
        <v>873262</v>
      </c>
      <c r="I128" s="2">
        <v>872416</v>
      </c>
      <c r="J128" s="2">
        <v>871107.00000000012</v>
      </c>
      <c r="K128" s="2">
        <v>867859.00000000012</v>
      </c>
      <c r="L128" s="2">
        <v>864059</v>
      </c>
      <c r="M128" s="2">
        <v>859789.00000000012</v>
      </c>
      <c r="N128" s="2">
        <v>854820.99999999988</v>
      </c>
      <c r="O128" s="2">
        <v>849380.00000000012</v>
      </c>
      <c r="P128" s="2">
        <v>843483.00000000012</v>
      </c>
    </row>
    <row r="129" spans="1:16">
      <c r="A129" s="84" t="s">
        <v>331</v>
      </c>
      <c r="B129" s="85" t="s">
        <v>330</v>
      </c>
      <c r="C129" s="85" t="s">
        <v>99</v>
      </c>
      <c r="D129" s="84" t="s">
        <v>87</v>
      </c>
      <c r="E129" s="84">
        <v>1</v>
      </c>
      <c r="F129" s="2">
        <v>301132</v>
      </c>
      <c r="G129" s="2">
        <v>300183</v>
      </c>
      <c r="H129" s="2">
        <v>299505</v>
      </c>
      <c r="I129" s="2">
        <v>299057</v>
      </c>
      <c r="J129" s="2">
        <v>298597</v>
      </c>
      <c r="K129" s="2">
        <v>297951</v>
      </c>
      <c r="L129" s="2">
        <v>297563</v>
      </c>
      <c r="M129" s="2">
        <v>297247</v>
      </c>
      <c r="N129" s="2">
        <v>296929</v>
      </c>
      <c r="O129" s="2">
        <v>296595</v>
      </c>
      <c r="P129" s="2">
        <v>296237</v>
      </c>
    </row>
    <row r="130" spans="1:16">
      <c r="A130" s="84" t="s">
        <v>333</v>
      </c>
      <c r="B130" s="85" t="s">
        <v>332</v>
      </c>
      <c r="C130" s="85" t="s">
        <v>92</v>
      </c>
      <c r="D130" s="84" t="s">
        <v>84</v>
      </c>
      <c r="E130" s="84">
        <v>2</v>
      </c>
      <c r="F130" s="2">
        <v>606533</v>
      </c>
      <c r="G130" s="2">
        <v>603950</v>
      </c>
      <c r="H130" s="2">
        <v>601001</v>
      </c>
      <c r="I130" s="2">
        <v>597768</v>
      </c>
      <c r="J130" s="2">
        <v>594500</v>
      </c>
      <c r="K130" s="2">
        <v>591406</v>
      </c>
      <c r="L130" s="2">
        <v>589069.99999999988</v>
      </c>
      <c r="M130" s="2">
        <v>586397.99999999988</v>
      </c>
      <c r="N130" s="2">
        <v>583519</v>
      </c>
      <c r="O130" s="2">
        <v>580511</v>
      </c>
      <c r="P130" s="2">
        <v>577443</v>
      </c>
    </row>
    <row r="131" spans="1:16">
      <c r="A131" s="84" t="s">
        <v>335</v>
      </c>
      <c r="B131" s="85" t="s">
        <v>334</v>
      </c>
      <c r="C131" s="85" t="s">
        <v>83</v>
      </c>
      <c r="D131" s="84" t="s">
        <v>75</v>
      </c>
      <c r="E131" s="84">
        <v>3</v>
      </c>
      <c r="F131" s="2">
        <v>6442182</v>
      </c>
      <c r="G131" s="2">
        <v>6629653</v>
      </c>
      <c r="H131" s="2">
        <v>6811389</v>
      </c>
      <c r="I131" s="2">
        <v>6989858</v>
      </c>
      <c r="J131" s="2">
        <v>7167455.9999999991</v>
      </c>
      <c r="K131" s="2">
        <v>7346990.0000000009</v>
      </c>
      <c r="L131" s="2">
        <v>7534759</v>
      </c>
      <c r="M131" s="2">
        <v>7714621.9999999991</v>
      </c>
      <c r="N131" s="2">
        <v>7889229</v>
      </c>
      <c r="O131" s="2">
        <v>8061598</v>
      </c>
      <c r="P131" s="2">
        <v>8234816.9999999991</v>
      </c>
    </row>
    <row r="132" spans="1:16">
      <c r="A132" s="84" t="s">
        <v>337</v>
      </c>
      <c r="B132" s="85" t="s">
        <v>336</v>
      </c>
      <c r="C132" s="85" t="s">
        <v>83</v>
      </c>
      <c r="D132" s="84" t="s">
        <v>84</v>
      </c>
      <c r="E132" s="84" t="s">
        <v>76</v>
      </c>
      <c r="F132" s="2">
        <v>39848916</v>
      </c>
      <c r="G132" s="2">
        <v>40529359.000000007</v>
      </c>
      <c r="H132" s="2">
        <v>41158133</v>
      </c>
      <c r="I132" s="2">
        <v>41755526</v>
      </c>
      <c r="J132" s="2">
        <v>42342414.999999993</v>
      </c>
      <c r="K132" s="2">
        <v>42941310.000000007</v>
      </c>
      <c r="L132" s="2">
        <v>43587667</v>
      </c>
      <c r="M132" s="2">
        <v>44183079.000000007</v>
      </c>
      <c r="N132" s="2">
        <v>44743890</v>
      </c>
      <c r="O132" s="2">
        <v>45286476</v>
      </c>
      <c r="P132" s="2">
        <v>45828914.999999993</v>
      </c>
    </row>
    <row r="133" spans="1:16">
      <c r="A133" s="84" t="s">
        <v>339</v>
      </c>
      <c r="B133" s="85" t="s">
        <v>338</v>
      </c>
      <c r="C133" s="85" t="s">
        <v>99</v>
      </c>
      <c r="D133" s="84" t="e">
        <v>#N/A</v>
      </c>
      <c r="E133" s="84">
        <v>1</v>
      </c>
      <c r="F133" s="2">
        <v>0</v>
      </c>
      <c r="G133" s="2">
        <v>0</v>
      </c>
      <c r="H133" s="2">
        <v>0</v>
      </c>
      <c r="I133" s="2">
        <v>0</v>
      </c>
      <c r="J133" s="2">
        <v>0</v>
      </c>
      <c r="K133" s="2">
        <v>0</v>
      </c>
      <c r="L133" s="2">
        <v>0</v>
      </c>
      <c r="M133" s="2">
        <v>0</v>
      </c>
      <c r="N133" s="2">
        <v>0</v>
      </c>
      <c r="O133" s="2">
        <v>0</v>
      </c>
      <c r="P133" s="2">
        <v>0</v>
      </c>
    </row>
    <row r="134" spans="1:16">
      <c r="A134" s="84" t="s">
        <v>341</v>
      </c>
      <c r="B134" s="85" t="s">
        <v>340</v>
      </c>
      <c r="C134" s="85" t="s">
        <v>79</v>
      </c>
      <c r="D134" s="84" t="s">
        <v>87</v>
      </c>
      <c r="E134" s="84">
        <v>1</v>
      </c>
      <c r="F134" s="2">
        <v>325916</v>
      </c>
      <c r="G134" s="2">
        <v>325291.00000000006</v>
      </c>
      <c r="H134" s="2">
        <v>326174.99999999994</v>
      </c>
      <c r="I134" s="2">
        <v>328101.00000000006</v>
      </c>
      <c r="J134" s="2">
        <v>330089</v>
      </c>
      <c r="K134" s="2">
        <v>331325.99999999994</v>
      </c>
      <c r="L134" s="2">
        <v>331832</v>
      </c>
      <c r="M134" s="2">
        <v>332722.99999999994</v>
      </c>
      <c r="N134" s="2">
        <v>333717.99999999994</v>
      </c>
      <c r="O134" s="2">
        <v>334659</v>
      </c>
      <c r="P134" s="2">
        <v>335299</v>
      </c>
    </row>
    <row r="135" spans="1:16">
      <c r="A135" s="84" t="s">
        <v>343</v>
      </c>
      <c r="B135" s="85" t="s">
        <v>342</v>
      </c>
      <c r="C135" s="85" t="s">
        <v>74</v>
      </c>
      <c r="D135" s="84" t="s">
        <v>87</v>
      </c>
      <c r="E135" s="84">
        <v>1</v>
      </c>
      <c r="F135" s="2">
        <v>378000</v>
      </c>
      <c r="G135" s="2">
        <v>374719.00000000006</v>
      </c>
      <c r="H135" s="2">
        <v>369024</v>
      </c>
      <c r="I135" s="2">
        <v>361494</v>
      </c>
      <c r="J135" s="2">
        <v>354599.00000000006</v>
      </c>
      <c r="K135" s="2">
        <v>350014</v>
      </c>
      <c r="L135" s="2">
        <v>347443</v>
      </c>
      <c r="M135" s="2">
        <v>346154.00000000006</v>
      </c>
      <c r="N135" s="2">
        <v>346208.00000000006</v>
      </c>
      <c r="O135" s="2">
        <v>347069</v>
      </c>
      <c r="P135" s="2">
        <v>348500</v>
      </c>
    </row>
    <row r="136" spans="1:16">
      <c r="A136" s="84" t="s">
        <v>345</v>
      </c>
      <c r="B136" s="85" t="s">
        <v>344</v>
      </c>
      <c r="C136" s="85" t="s">
        <v>74</v>
      </c>
      <c r="D136" s="84" t="s">
        <v>84</v>
      </c>
      <c r="E136" s="84" t="s">
        <v>76</v>
      </c>
      <c r="F136" s="2">
        <v>28308655.000000004</v>
      </c>
      <c r="G136" s="2">
        <v>28376390</v>
      </c>
      <c r="H136" s="2">
        <v>28380499</v>
      </c>
      <c r="I136" s="2">
        <v>28340058</v>
      </c>
      <c r="J136" s="2">
        <v>28302404.000000004</v>
      </c>
      <c r="K136" s="2">
        <v>28303781</v>
      </c>
      <c r="L136" s="2">
        <v>28361847</v>
      </c>
      <c r="M136" s="2">
        <v>28427981</v>
      </c>
      <c r="N136" s="2">
        <v>28505729.000000004</v>
      </c>
      <c r="O136" s="2">
        <v>28589037</v>
      </c>
      <c r="P136" s="2">
        <v>28678640</v>
      </c>
    </row>
    <row r="137" spans="1:16">
      <c r="A137" s="84" t="s">
        <v>347</v>
      </c>
      <c r="B137" s="85" t="s">
        <v>346</v>
      </c>
      <c r="C137" s="85" t="s">
        <v>99</v>
      </c>
      <c r="D137" s="84" t="s">
        <v>87</v>
      </c>
      <c r="E137" s="84">
        <v>1</v>
      </c>
      <c r="F137" s="2">
        <v>0</v>
      </c>
      <c r="G137" s="2">
        <v>0</v>
      </c>
      <c r="H137" s="2">
        <v>0</v>
      </c>
      <c r="I137" s="2">
        <v>0</v>
      </c>
      <c r="J137" s="2">
        <v>0</v>
      </c>
      <c r="K137" s="2">
        <v>0</v>
      </c>
      <c r="L137" s="2">
        <v>0</v>
      </c>
      <c r="M137" s="2">
        <v>0</v>
      </c>
      <c r="N137" s="2">
        <v>0</v>
      </c>
      <c r="O137" s="2">
        <v>0</v>
      </c>
      <c r="P137" s="2">
        <v>0</v>
      </c>
    </row>
    <row r="138" spans="1:16">
      <c r="A138" s="84" t="s">
        <v>349</v>
      </c>
      <c r="B138" s="85" t="s">
        <v>348</v>
      </c>
      <c r="C138" s="85" t="s">
        <v>92</v>
      </c>
      <c r="D138" s="84" t="s">
        <v>87</v>
      </c>
      <c r="E138" s="84">
        <v>1</v>
      </c>
      <c r="F138" s="2">
        <v>396023</v>
      </c>
      <c r="G138" s="2">
        <v>395724</v>
      </c>
      <c r="H138" s="2">
        <v>395550</v>
      </c>
      <c r="I138" s="2">
        <v>395465</v>
      </c>
      <c r="J138" s="2">
        <v>395221</v>
      </c>
      <c r="K138" s="2">
        <v>394670</v>
      </c>
      <c r="L138" s="2">
        <v>394453.00000000006</v>
      </c>
      <c r="M138" s="2">
        <v>393908</v>
      </c>
      <c r="N138" s="2">
        <v>393078.00000000006</v>
      </c>
      <c r="O138" s="2">
        <v>392085</v>
      </c>
      <c r="P138" s="2">
        <v>391018</v>
      </c>
    </row>
    <row r="139" spans="1:16">
      <c r="A139" s="84" t="s">
        <v>351</v>
      </c>
      <c r="B139" s="85" t="s">
        <v>350</v>
      </c>
      <c r="C139" s="85" t="s">
        <v>99</v>
      </c>
      <c r="D139" s="84" t="s">
        <v>84</v>
      </c>
      <c r="E139" s="84">
        <v>4</v>
      </c>
      <c r="F139" s="2">
        <v>1219586</v>
      </c>
      <c r="G139" s="2">
        <v>1230380</v>
      </c>
      <c r="H139" s="2">
        <v>1240397.0000000002</v>
      </c>
      <c r="I139" s="2">
        <v>1249682</v>
      </c>
      <c r="J139" s="2">
        <v>1258194</v>
      </c>
      <c r="K139" s="2">
        <v>1265959.9999999998</v>
      </c>
      <c r="L139" s="2">
        <v>1274443</v>
      </c>
      <c r="M139" s="2">
        <v>1281462</v>
      </c>
      <c r="N139" s="2">
        <v>1287434</v>
      </c>
      <c r="O139" s="2">
        <v>1292987</v>
      </c>
      <c r="P139" s="2">
        <v>1298609</v>
      </c>
    </row>
    <row r="140" spans="1:16">
      <c r="A140" s="84" t="s">
        <v>353</v>
      </c>
      <c r="B140" s="85" t="s">
        <v>352</v>
      </c>
      <c r="C140" s="85" t="s">
        <v>92</v>
      </c>
      <c r="D140" s="84" t="s">
        <v>80</v>
      </c>
      <c r="E140" s="84">
        <v>1</v>
      </c>
      <c r="F140" s="2">
        <v>683972</v>
      </c>
      <c r="G140" s="2">
        <v>680141.99999999988</v>
      </c>
      <c r="H140" s="2">
        <v>676415.99999999988</v>
      </c>
      <c r="I140" s="2">
        <v>672656.00000000012</v>
      </c>
      <c r="J140" s="2">
        <v>668864</v>
      </c>
      <c r="K140" s="2">
        <v>665021</v>
      </c>
      <c r="L140" s="2">
        <v>661712</v>
      </c>
      <c r="M140" s="2">
        <v>658352</v>
      </c>
      <c r="N140" s="2">
        <v>654931</v>
      </c>
      <c r="O140" s="2">
        <v>651444</v>
      </c>
      <c r="P140" s="2">
        <v>647917.99999999988</v>
      </c>
    </row>
    <row r="141" spans="1:16">
      <c r="A141" s="84" t="s">
        <v>355</v>
      </c>
      <c r="B141" s="85" t="s">
        <v>354</v>
      </c>
      <c r="C141" s="85" t="s">
        <v>92</v>
      </c>
      <c r="D141" s="84" t="s">
        <v>80</v>
      </c>
      <c r="E141" s="84">
        <v>2</v>
      </c>
      <c r="F141" s="2">
        <v>2689094</v>
      </c>
      <c r="G141" s="2">
        <v>2665908.9999999995</v>
      </c>
      <c r="H141" s="2">
        <v>2643063</v>
      </c>
      <c r="I141" s="2">
        <v>2618759.9999999995</v>
      </c>
      <c r="J141" s="2">
        <v>2594920</v>
      </c>
      <c r="K141" s="2">
        <v>2572547</v>
      </c>
      <c r="L141" s="2">
        <v>2556639</v>
      </c>
      <c r="M141" s="2">
        <v>2538328.0000000005</v>
      </c>
      <c r="N141" s="2">
        <v>2518978</v>
      </c>
      <c r="O141" s="2">
        <v>2500149</v>
      </c>
      <c r="P141" s="2">
        <v>2483312</v>
      </c>
    </row>
    <row r="142" spans="1:16">
      <c r="A142" s="84" t="s">
        <v>357</v>
      </c>
      <c r="B142" s="85" t="s">
        <v>356</v>
      </c>
      <c r="C142" s="85" t="s">
        <v>99</v>
      </c>
      <c r="D142" s="84" t="s">
        <v>84</v>
      </c>
      <c r="E142" s="84" t="s">
        <v>76</v>
      </c>
      <c r="F142" s="2">
        <v>10936148</v>
      </c>
      <c r="G142" s="2">
        <v>10886800</v>
      </c>
      <c r="H142" s="2">
        <v>10873571</v>
      </c>
      <c r="I142" s="2">
        <v>10890195.999999998</v>
      </c>
      <c r="J142" s="2">
        <v>10900445</v>
      </c>
      <c r="K142" s="2">
        <v>10880938</v>
      </c>
      <c r="L142" s="2">
        <v>10856703</v>
      </c>
      <c r="M142" s="2">
        <v>10812633.000000002</v>
      </c>
      <c r="N142" s="2">
        <v>10751019.999999998</v>
      </c>
      <c r="O142" s="2">
        <v>10685235.999999998</v>
      </c>
      <c r="P142" s="2">
        <v>10623719.000000002</v>
      </c>
    </row>
    <row r="143" spans="1:16">
      <c r="A143" s="84" t="s">
        <v>359</v>
      </c>
      <c r="B143" s="85" t="s">
        <v>358</v>
      </c>
      <c r="C143" s="85" t="s">
        <v>79</v>
      </c>
      <c r="D143" s="84" t="s">
        <v>87</v>
      </c>
      <c r="E143" s="84">
        <v>1</v>
      </c>
      <c r="F143" s="2">
        <v>1557253</v>
      </c>
      <c r="G143" s="2">
        <v>1537335</v>
      </c>
      <c r="H143" s="2">
        <v>1514995</v>
      </c>
      <c r="I143" s="2">
        <v>1491059.0000000002</v>
      </c>
      <c r="J143" s="2">
        <v>1469659</v>
      </c>
      <c r="K143" s="2">
        <v>1453571.0000000002</v>
      </c>
      <c r="L143" s="2">
        <v>1444177.0000000002</v>
      </c>
      <c r="M143" s="2">
        <v>1437986</v>
      </c>
      <c r="N143" s="2">
        <v>1434657</v>
      </c>
      <c r="O143" s="2">
        <v>1432809</v>
      </c>
      <c r="P143" s="2">
        <v>1431883</v>
      </c>
    </row>
    <row r="144" spans="1:16">
      <c r="A144" s="84" t="s">
        <v>361</v>
      </c>
      <c r="B144" s="85" t="s">
        <v>360</v>
      </c>
      <c r="C144" s="85" t="s">
        <v>79</v>
      </c>
      <c r="D144" s="84" t="s">
        <v>87</v>
      </c>
      <c r="E144" s="84">
        <v>1</v>
      </c>
      <c r="F144" s="2">
        <v>386143</v>
      </c>
      <c r="G144" s="2">
        <v>385322</v>
      </c>
      <c r="H144" s="2">
        <v>385470</v>
      </c>
      <c r="I144" s="2">
        <v>386230.99999999994</v>
      </c>
      <c r="J144" s="2">
        <v>386866</v>
      </c>
      <c r="K144" s="2">
        <v>386815.99999999994</v>
      </c>
      <c r="L144" s="2">
        <v>386766</v>
      </c>
      <c r="M144" s="2">
        <v>386203.00000000006</v>
      </c>
      <c r="N144" s="2">
        <v>385092.00000000006</v>
      </c>
      <c r="O144" s="2">
        <v>383544</v>
      </c>
      <c r="P144" s="2">
        <v>381558.99999999994</v>
      </c>
    </row>
    <row r="145" spans="1:16">
      <c r="A145" s="84" t="s">
        <v>363</v>
      </c>
      <c r="B145" s="85" t="s">
        <v>362</v>
      </c>
      <c r="C145" s="85" t="s">
        <v>74</v>
      </c>
      <c r="D145" s="84" t="s">
        <v>87</v>
      </c>
      <c r="E145" s="84">
        <v>1</v>
      </c>
      <c r="F145" s="2">
        <v>134379</v>
      </c>
      <c r="G145" s="2">
        <v>133398</v>
      </c>
      <c r="H145" s="2">
        <v>132823</v>
      </c>
      <c r="I145" s="2">
        <v>132543</v>
      </c>
      <c r="J145" s="2">
        <v>132358.99999999997</v>
      </c>
      <c r="K145" s="2">
        <v>131969</v>
      </c>
      <c r="L145" s="2">
        <v>130762</v>
      </c>
      <c r="M145" s="2">
        <v>130336.00000000001</v>
      </c>
      <c r="N145" s="2">
        <v>130374</v>
      </c>
      <c r="O145" s="2">
        <v>130574.99999999999</v>
      </c>
      <c r="P145" s="2">
        <v>130725</v>
      </c>
    </row>
    <row r="146" spans="1:16">
      <c r="A146" s="84" t="s">
        <v>365</v>
      </c>
      <c r="B146" s="85" t="s">
        <v>364</v>
      </c>
      <c r="C146" s="85" t="s">
        <v>79</v>
      </c>
      <c r="D146" s="84" t="s">
        <v>87</v>
      </c>
      <c r="E146" s="84">
        <v>2</v>
      </c>
      <c r="F146" s="2">
        <v>835032</v>
      </c>
      <c r="G146" s="2">
        <v>833250</v>
      </c>
      <c r="H146" s="2">
        <v>829475.00000000012</v>
      </c>
      <c r="I146" s="2">
        <v>824012.99999999988</v>
      </c>
      <c r="J146" s="2">
        <v>818836</v>
      </c>
      <c r="K146" s="2">
        <v>815220</v>
      </c>
      <c r="L146" s="2">
        <v>813347</v>
      </c>
      <c r="M146" s="2">
        <v>811608</v>
      </c>
      <c r="N146" s="2">
        <v>810016</v>
      </c>
      <c r="O146" s="2">
        <v>808099</v>
      </c>
      <c r="P146" s="2">
        <v>805656.99999999988</v>
      </c>
    </row>
    <row r="147" spans="1:16">
      <c r="A147" s="84" t="s">
        <v>367</v>
      </c>
      <c r="B147" s="85" t="s">
        <v>366</v>
      </c>
      <c r="C147" s="85" t="s">
        <v>79</v>
      </c>
      <c r="D147" s="84" t="s">
        <v>80</v>
      </c>
      <c r="E147" s="84">
        <v>2</v>
      </c>
      <c r="F147" s="2">
        <v>7369580</v>
      </c>
      <c r="G147" s="2">
        <v>7292714</v>
      </c>
      <c r="H147" s="2">
        <v>7215625</v>
      </c>
      <c r="I147" s="2">
        <v>7145610.0000000009</v>
      </c>
      <c r="J147" s="2">
        <v>7097812.9999999991</v>
      </c>
      <c r="K147" s="2">
        <v>7083810</v>
      </c>
      <c r="L147" s="2">
        <v>7113918</v>
      </c>
      <c r="M147" s="2">
        <v>7160313</v>
      </c>
      <c r="N147" s="2">
        <v>7222325</v>
      </c>
      <c r="O147" s="2">
        <v>7295105.0000000009</v>
      </c>
      <c r="P147" s="2">
        <v>7377049.0000000009</v>
      </c>
    </row>
    <row r="148" spans="1:16">
      <c r="A148" s="84" t="s">
        <v>369</v>
      </c>
      <c r="B148" s="85" t="s">
        <v>368</v>
      </c>
      <c r="C148" s="85" t="s">
        <v>83</v>
      </c>
      <c r="D148" s="84" t="s">
        <v>75</v>
      </c>
      <c r="E148" s="84">
        <v>3</v>
      </c>
      <c r="F148" s="2">
        <v>2021843</v>
      </c>
      <c r="G148" s="2">
        <v>2043002</v>
      </c>
      <c r="H148" s="2">
        <v>2059065</v>
      </c>
      <c r="I148" s="2">
        <v>2070929</v>
      </c>
      <c r="J148" s="2">
        <v>2082156</v>
      </c>
      <c r="K148" s="2">
        <v>2095313.9999999998</v>
      </c>
      <c r="L148" s="2">
        <v>2111377</v>
      </c>
      <c r="M148" s="2">
        <v>2126514</v>
      </c>
      <c r="N148" s="2">
        <v>2141285</v>
      </c>
      <c r="O148" s="2">
        <v>2155614</v>
      </c>
      <c r="P148" s="2">
        <v>2169670</v>
      </c>
    </row>
    <row r="149" spans="1:16">
      <c r="A149" s="84" t="s">
        <v>371</v>
      </c>
      <c r="B149" s="85" t="s">
        <v>370</v>
      </c>
      <c r="C149" s="85" t="s">
        <v>92</v>
      </c>
      <c r="D149" s="84" t="s">
        <v>87</v>
      </c>
      <c r="E149" s="84">
        <v>1</v>
      </c>
      <c r="F149" s="2">
        <v>0</v>
      </c>
      <c r="G149" s="2">
        <v>0</v>
      </c>
      <c r="H149" s="2">
        <v>0</v>
      </c>
      <c r="I149" s="2">
        <v>0</v>
      </c>
      <c r="J149" s="2">
        <v>0</v>
      </c>
      <c r="K149" s="2">
        <v>0</v>
      </c>
      <c r="L149" s="2">
        <v>0</v>
      </c>
      <c r="M149" s="2">
        <v>0</v>
      </c>
      <c r="N149" s="2">
        <v>0</v>
      </c>
      <c r="O149" s="2">
        <v>0</v>
      </c>
      <c r="P149" s="2">
        <v>0</v>
      </c>
    </row>
    <row r="150" spans="1:16">
      <c r="A150" s="84" t="s">
        <v>373</v>
      </c>
      <c r="B150" s="85" t="s">
        <v>372</v>
      </c>
      <c r="C150" s="85" t="s">
        <v>92</v>
      </c>
      <c r="D150" s="84" t="s">
        <v>80</v>
      </c>
      <c r="E150" s="84">
        <v>1</v>
      </c>
      <c r="F150" s="2">
        <v>9236</v>
      </c>
      <c r="G150" s="2">
        <v>9049</v>
      </c>
      <c r="H150" s="2">
        <v>8878</v>
      </c>
      <c r="I150" s="2">
        <v>8721</v>
      </c>
      <c r="J150" s="2">
        <v>8568.9999999999982</v>
      </c>
      <c r="K150" s="2">
        <v>8422</v>
      </c>
      <c r="L150" s="2">
        <v>8299.9999999999982</v>
      </c>
      <c r="M150" s="2">
        <v>8173.9999999999991</v>
      </c>
      <c r="N150" s="2">
        <v>8048</v>
      </c>
      <c r="O150" s="2">
        <v>7930.9999999999991</v>
      </c>
      <c r="P150" s="2">
        <v>7821.9999999999991</v>
      </c>
    </row>
    <row r="151" spans="1:16">
      <c r="A151" s="84" t="s">
        <v>375</v>
      </c>
      <c r="B151" s="85" t="s">
        <v>374</v>
      </c>
      <c r="C151" s="85" t="s">
        <v>92</v>
      </c>
      <c r="D151" s="84" t="s">
        <v>80</v>
      </c>
      <c r="E151" s="84">
        <v>1</v>
      </c>
      <c r="F151" s="2">
        <v>7051</v>
      </c>
      <c r="G151" s="2">
        <v>6958</v>
      </c>
      <c r="H151" s="2">
        <v>6878</v>
      </c>
      <c r="I151" s="2">
        <v>6806</v>
      </c>
      <c r="J151" s="2">
        <v>6735</v>
      </c>
      <c r="K151" s="2">
        <v>6657.9999999999991</v>
      </c>
      <c r="L151" s="2">
        <v>6587</v>
      </c>
      <c r="M151" s="2">
        <v>6511</v>
      </c>
      <c r="N151" s="2">
        <v>6427</v>
      </c>
      <c r="O151" s="2">
        <v>6346.9999999999991</v>
      </c>
      <c r="P151" s="2">
        <v>6268</v>
      </c>
    </row>
    <row r="152" spans="1:16">
      <c r="A152" s="84" t="s">
        <v>377</v>
      </c>
      <c r="B152" s="85" t="s">
        <v>376</v>
      </c>
      <c r="C152" s="85" t="s">
        <v>99</v>
      </c>
      <c r="D152" s="84" t="s">
        <v>80</v>
      </c>
      <c r="E152" s="84">
        <v>2</v>
      </c>
      <c r="F152" s="2">
        <v>23711.000000000004</v>
      </c>
      <c r="G152" s="2">
        <v>24733.000000000004</v>
      </c>
      <c r="H152" s="2">
        <v>25070.999999999996</v>
      </c>
      <c r="I152" s="2">
        <v>24924.000000000004</v>
      </c>
      <c r="J152" s="2">
        <v>24712</v>
      </c>
      <c r="K152" s="2">
        <v>24752</v>
      </c>
      <c r="L152" s="2">
        <v>24812.000000000004</v>
      </c>
      <c r="M152" s="2">
        <v>25021</v>
      </c>
      <c r="N152" s="2">
        <v>25366</v>
      </c>
      <c r="O152" s="2">
        <v>25714.000000000004</v>
      </c>
      <c r="P152" s="2">
        <v>25987</v>
      </c>
    </row>
    <row r="153" spans="1:16">
      <c r="A153" s="84" t="s">
        <v>379</v>
      </c>
      <c r="B153" s="85" t="s">
        <v>378</v>
      </c>
      <c r="C153" s="85" t="s">
        <v>79</v>
      </c>
      <c r="D153" s="84" t="s">
        <v>87</v>
      </c>
      <c r="E153" s="84">
        <v>1</v>
      </c>
      <c r="F153" s="2">
        <v>0</v>
      </c>
      <c r="G153" s="2">
        <v>0</v>
      </c>
      <c r="H153" s="2">
        <v>0</v>
      </c>
      <c r="I153" s="2">
        <v>0</v>
      </c>
      <c r="J153" s="2">
        <v>0</v>
      </c>
      <c r="K153" s="2">
        <v>0</v>
      </c>
      <c r="L153" s="2">
        <v>0</v>
      </c>
      <c r="M153" s="2">
        <v>0</v>
      </c>
      <c r="N153" s="2">
        <v>0</v>
      </c>
      <c r="O153" s="2">
        <v>0</v>
      </c>
      <c r="P153" s="2">
        <v>0</v>
      </c>
    </row>
    <row r="154" spans="1:16">
      <c r="A154" s="84" t="s">
        <v>381</v>
      </c>
      <c r="B154" s="85" t="s">
        <v>380</v>
      </c>
      <c r="C154" s="85" t="s">
        <v>83</v>
      </c>
      <c r="D154" s="84" t="s">
        <v>84</v>
      </c>
      <c r="E154" s="84">
        <v>3</v>
      </c>
      <c r="F154" s="2">
        <v>36304</v>
      </c>
      <c r="G154" s="2">
        <v>36974.999999999993</v>
      </c>
      <c r="H154" s="2">
        <v>37548</v>
      </c>
      <c r="I154" s="2">
        <v>38049</v>
      </c>
      <c r="J154" s="2">
        <v>38517</v>
      </c>
      <c r="K154" s="2">
        <v>38985</v>
      </c>
      <c r="L154" s="2">
        <v>39443</v>
      </c>
      <c r="M154" s="2">
        <v>39870.000000000007</v>
      </c>
      <c r="N154" s="2">
        <v>40283</v>
      </c>
      <c r="O154" s="2">
        <v>40681.000000000007</v>
      </c>
      <c r="P154" s="2">
        <v>41072</v>
      </c>
    </row>
    <row r="155" spans="1:16">
      <c r="A155" s="84" t="s">
        <v>383</v>
      </c>
      <c r="B155" s="85" t="s">
        <v>382</v>
      </c>
      <c r="C155" s="85" t="s">
        <v>74</v>
      </c>
      <c r="D155" s="84" t="s">
        <v>87</v>
      </c>
      <c r="E155" s="84">
        <v>1</v>
      </c>
      <c r="F155" s="2">
        <v>2574785</v>
      </c>
      <c r="G155" s="2">
        <v>2534750</v>
      </c>
      <c r="H155" s="2">
        <v>2501064.0000000005</v>
      </c>
      <c r="I155" s="2">
        <v>2473465</v>
      </c>
      <c r="J155" s="2">
        <v>2450104</v>
      </c>
      <c r="K155" s="2">
        <v>2429859</v>
      </c>
      <c r="L155" s="2">
        <v>2419491</v>
      </c>
      <c r="M155" s="2">
        <v>2410959</v>
      </c>
      <c r="N155" s="2">
        <v>2404306</v>
      </c>
      <c r="O155" s="2">
        <v>2400114</v>
      </c>
      <c r="P155" s="2">
        <v>2399045</v>
      </c>
    </row>
    <row r="156" spans="1:16">
      <c r="A156" s="84" t="s">
        <v>385</v>
      </c>
      <c r="B156" s="85" t="s">
        <v>384</v>
      </c>
      <c r="C156" s="85" t="s">
        <v>83</v>
      </c>
      <c r="D156" s="84" t="s">
        <v>84</v>
      </c>
      <c r="E156" s="84">
        <v>3</v>
      </c>
      <c r="F156" s="2">
        <v>3002654.9999999995</v>
      </c>
      <c r="G156" s="2">
        <v>3049129.9999999995</v>
      </c>
      <c r="H156" s="2">
        <v>3095365</v>
      </c>
      <c r="I156" s="2">
        <v>3142008</v>
      </c>
      <c r="J156" s="2">
        <v>3189026.0000000005</v>
      </c>
      <c r="K156" s="2">
        <v>3236739</v>
      </c>
      <c r="L156" s="2">
        <v>3287955.9999999995</v>
      </c>
      <c r="M156" s="2">
        <v>3337791</v>
      </c>
      <c r="N156" s="2">
        <v>3386313</v>
      </c>
      <c r="O156" s="2">
        <v>3433443</v>
      </c>
      <c r="P156" s="2">
        <v>3479302</v>
      </c>
    </row>
    <row r="157" spans="1:16">
      <c r="A157" s="84" t="s">
        <v>387</v>
      </c>
      <c r="B157" s="85" t="s">
        <v>386</v>
      </c>
      <c r="C157" s="85" t="s">
        <v>79</v>
      </c>
      <c r="D157" s="84" t="s">
        <v>80</v>
      </c>
      <c r="E157" s="84">
        <v>1</v>
      </c>
      <c r="F157" s="2">
        <v>361022.99999999994</v>
      </c>
      <c r="G157" s="2">
        <v>357928</v>
      </c>
      <c r="H157" s="2">
        <v>354354</v>
      </c>
      <c r="I157" s="2">
        <v>350340.00000000006</v>
      </c>
      <c r="J157" s="2">
        <v>346385.99999999994</v>
      </c>
      <c r="K157" s="2">
        <v>342850</v>
      </c>
      <c r="L157" s="2">
        <v>340163</v>
      </c>
      <c r="M157" s="2">
        <v>337105</v>
      </c>
      <c r="N157" s="2">
        <v>333851</v>
      </c>
      <c r="O157" s="2">
        <v>330507.00000000006</v>
      </c>
      <c r="P157" s="2">
        <v>327206</v>
      </c>
    </row>
    <row r="158" spans="1:16">
      <c r="A158" s="84" t="s">
        <v>389</v>
      </c>
      <c r="B158" s="85" t="s">
        <v>388</v>
      </c>
      <c r="C158" s="85" t="s">
        <v>83</v>
      </c>
      <c r="D158" s="84" t="s">
        <v>87</v>
      </c>
      <c r="E158" s="84">
        <v>1</v>
      </c>
      <c r="F158" s="2">
        <v>6965.9999999999991</v>
      </c>
      <c r="G158" s="2">
        <v>6975</v>
      </c>
      <c r="H158" s="2">
        <v>6958</v>
      </c>
      <c r="I158" s="2">
        <v>6925</v>
      </c>
      <c r="J158" s="2">
        <v>6890.0000000000009</v>
      </c>
      <c r="K158" s="2">
        <v>6879</v>
      </c>
      <c r="L158" s="2">
        <v>6888.9999999999991</v>
      </c>
      <c r="M158" s="2">
        <v>6896.0000000000009</v>
      </c>
      <c r="N158" s="2">
        <v>6900</v>
      </c>
      <c r="O158" s="2">
        <v>6899</v>
      </c>
      <c r="P158" s="2">
        <v>6893</v>
      </c>
    </row>
    <row r="159" spans="1:16">
      <c r="A159" s="84" t="s">
        <v>391</v>
      </c>
      <c r="B159" s="85" t="s">
        <v>390</v>
      </c>
      <c r="C159" s="85" t="s">
        <v>83</v>
      </c>
      <c r="D159" s="84" t="s">
        <v>75</v>
      </c>
      <c r="E159" s="84">
        <v>3</v>
      </c>
      <c r="F159" s="2">
        <v>1228644</v>
      </c>
      <c r="G159" s="2">
        <v>1235895</v>
      </c>
      <c r="H159" s="2">
        <v>1241621.9999999998</v>
      </c>
      <c r="I159" s="2">
        <v>1246229</v>
      </c>
      <c r="J159" s="2">
        <v>1250302</v>
      </c>
      <c r="K159" s="2">
        <v>1254436.0000000002</v>
      </c>
      <c r="L159" s="2">
        <v>1260108</v>
      </c>
      <c r="M159" s="2">
        <v>1263914</v>
      </c>
      <c r="N159" s="2">
        <v>1266507</v>
      </c>
      <c r="O159" s="2">
        <v>1268688</v>
      </c>
      <c r="P159" s="2">
        <v>1271200</v>
      </c>
    </row>
    <row r="160" spans="1:16">
      <c r="A160" s="84" t="s">
        <v>393</v>
      </c>
      <c r="B160" s="85" t="s">
        <v>392</v>
      </c>
      <c r="C160" s="85" t="s">
        <v>99</v>
      </c>
      <c r="D160" s="84" t="s">
        <v>87</v>
      </c>
      <c r="E160" s="84">
        <v>1</v>
      </c>
      <c r="F160" s="2">
        <v>247341.99999999997</v>
      </c>
      <c r="G160" s="2">
        <v>246150.99999999994</v>
      </c>
      <c r="H160" s="2">
        <v>243310</v>
      </c>
      <c r="I160" s="2">
        <v>238972.00000000003</v>
      </c>
      <c r="J160" s="2">
        <v>234424.99999999997</v>
      </c>
      <c r="K160" s="2">
        <v>230383</v>
      </c>
      <c r="L160" s="2">
        <v>225898.99999999997</v>
      </c>
      <c r="M160" s="2">
        <v>222411</v>
      </c>
      <c r="N160" s="2">
        <v>219780</v>
      </c>
      <c r="O160" s="2">
        <v>217520.99999999997</v>
      </c>
      <c r="P160" s="2">
        <v>215247</v>
      </c>
    </row>
    <row r="161" spans="1:16">
      <c r="A161" s="84" t="s">
        <v>395</v>
      </c>
      <c r="B161" s="85" t="s">
        <v>394</v>
      </c>
      <c r="C161" s="85" t="s">
        <v>79</v>
      </c>
      <c r="D161" s="84" t="s">
        <v>87</v>
      </c>
      <c r="E161" s="84">
        <v>1</v>
      </c>
      <c r="F161" s="2">
        <v>246921</v>
      </c>
      <c r="G161" s="2">
        <v>243830</v>
      </c>
      <c r="H161" s="2">
        <v>240477.99999999994</v>
      </c>
      <c r="I161" s="2">
        <v>236983.99999999997</v>
      </c>
      <c r="J161" s="2">
        <v>233774</v>
      </c>
      <c r="K161" s="2">
        <v>231138.99999999997</v>
      </c>
      <c r="L161" s="2">
        <v>229123</v>
      </c>
      <c r="M161" s="2">
        <v>227659</v>
      </c>
      <c r="N161" s="2">
        <v>226696.00000000003</v>
      </c>
      <c r="O161" s="2">
        <v>226061</v>
      </c>
      <c r="P161" s="2">
        <v>225660</v>
      </c>
    </row>
    <row r="162" spans="1:16">
      <c r="A162" s="84" t="s">
        <v>397</v>
      </c>
      <c r="B162" s="85" t="s">
        <v>396</v>
      </c>
      <c r="C162" s="85" t="s">
        <v>79</v>
      </c>
      <c r="D162" s="84" t="s">
        <v>87</v>
      </c>
      <c r="E162" s="84">
        <v>1</v>
      </c>
      <c r="F162" s="2">
        <v>86496.999999999985</v>
      </c>
      <c r="G162" s="2">
        <v>85586</v>
      </c>
      <c r="H162" s="2">
        <v>85063</v>
      </c>
      <c r="I162" s="2">
        <v>84880.999999999985</v>
      </c>
      <c r="J162" s="2">
        <v>84900</v>
      </c>
      <c r="K162" s="2">
        <v>85033.999999999985</v>
      </c>
      <c r="L162" s="2">
        <v>85544</v>
      </c>
      <c r="M162" s="2">
        <v>86113</v>
      </c>
      <c r="N162" s="2">
        <v>86715</v>
      </c>
      <c r="O162" s="2">
        <v>87352</v>
      </c>
      <c r="P162" s="2">
        <v>88013.999999999985</v>
      </c>
    </row>
    <row r="163" spans="1:16">
      <c r="A163" s="84" t="s">
        <v>399</v>
      </c>
      <c r="B163" s="85" t="s">
        <v>398</v>
      </c>
      <c r="C163" s="85" t="s">
        <v>74</v>
      </c>
      <c r="D163" s="84" t="s">
        <v>75</v>
      </c>
      <c r="E163" s="84">
        <v>3</v>
      </c>
      <c r="F163" s="2">
        <v>3603319</v>
      </c>
      <c r="G163" s="2">
        <v>3680798</v>
      </c>
      <c r="H163" s="2">
        <v>3750006</v>
      </c>
      <c r="I163" s="2">
        <v>3813404</v>
      </c>
      <c r="J163" s="2">
        <v>3874157</v>
      </c>
      <c r="K163" s="2">
        <v>3935258</v>
      </c>
      <c r="L163" s="2">
        <v>3998520</v>
      </c>
      <c r="M163" s="2">
        <v>4057354.0000000005</v>
      </c>
      <c r="N163" s="2">
        <v>4113630</v>
      </c>
      <c r="O163" s="2">
        <v>4169180.0000000005</v>
      </c>
      <c r="P163" s="2">
        <v>4226054</v>
      </c>
    </row>
    <row r="164" spans="1:16">
      <c r="A164" s="84" t="s">
        <v>401</v>
      </c>
      <c r="B164" s="85" t="s">
        <v>400</v>
      </c>
      <c r="C164" s="85" t="s">
        <v>99</v>
      </c>
      <c r="D164" s="84" t="s">
        <v>84</v>
      </c>
      <c r="E164" s="84">
        <v>4</v>
      </c>
      <c r="F164" s="2">
        <v>114499.00000000001</v>
      </c>
      <c r="G164" s="2">
        <v>116527</v>
      </c>
      <c r="H164" s="2">
        <v>118375.00000000001</v>
      </c>
      <c r="I164" s="2">
        <v>120103</v>
      </c>
      <c r="J164" s="2">
        <v>121839.99999999999</v>
      </c>
      <c r="K164" s="2">
        <v>123696</v>
      </c>
      <c r="L164" s="2">
        <v>125823.00000000001</v>
      </c>
      <c r="M164" s="2">
        <v>127851</v>
      </c>
      <c r="N164" s="2">
        <v>129805.99999999999</v>
      </c>
      <c r="O164" s="2">
        <v>131668</v>
      </c>
      <c r="P164" s="2">
        <v>133442</v>
      </c>
    </row>
    <row r="165" spans="1:16">
      <c r="A165" s="84" t="s">
        <v>403</v>
      </c>
      <c r="B165" s="85" t="s">
        <v>402</v>
      </c>
      <c r="C165" s="85" t="s">
        <v>83</v>
      </c>
      <c r="D165" s="84" t="s">
        <v>80</v>
      </c>
      <c r="E165" s="84" t="s">
        <v>76</v>
      </c>
      <c r="F165" s="2">
        <v>5592693.9999999991</v>
      </c>
      <c r="G165" s="2">
        <v>5588444</v>
      </c>
      <c r="H165" s="2">
        <v>5584980</v>
      </c>
      <c r="I165" s="2">
        <v>5582858</v>
      </c>
      <c r="J165" s="2">
        <v>5580937</v>
      </c>
      <c r="K165" s="2">
        <v>5578786</v>
      </c>
      <c r="L165" s="2">
        <v>5583440</v>
      </c>
      <c r="M165" s="2">
        <v>5585686.0000000009</v>
      </c>
      <c r="N165" s="2">
        <v>5585348</v>
      </c>
      <c r="O165" s="2">
        <v>5581963</v>
      </c>
      <c r="P165" s="2">
        <v>5575291.9999999991</v>
      </c>
    </row>
    <row r="166" spans="1:16">
      <c r="A166" s="84" t="s">
        <v>405</v>
      </c>
      <c r="B166" s="85" t="s">
        <v>404</v>
      </c>
      <c r="C166" s="85" t="s">
        <v>79</v>
      </c>
      <c r="D166" s="84" t="s">
        <v>87</v>
      </c>
      <c r="E166" s="84">
        <v>1</v>
      </c>
      <c r="F166" s="2">
        <v>1748659.9999999998</v>
      </c>
      <c r="G166" s="2">
        <v>1735605</v>
      </c>
      <c r="H166" s="2">
        <v>1730043.9999999998</v>
      </c>
      <c r="I166" s="2">
        <v>1730029</v>
      </c>
      <c r="J166" s="2">
        <v>1732347.0000000002</v>
      </c>
      <c r="K166" s="2">
        <v>1734726</v>
      </c>
      <c r="L166" s="2">
        <v>1742010.0000000002</v>
      </c>
      <c r="M166" s="2">
        <v>1748873</v>
      </c>
      <c r="N166" s="2">
        <v>1755139.0000000002</v>
      </c>
      <c r="O166" s="2">
        <v>1761259</v>
      </c>
      <c r="P166" s="2">
        <v>1767253.0000000002</v>
      </c>
    </row>
    <row r="167" spans="1:16">
      <c r="A167" s="84" t="s">
        <v>407</v>
      </c>
      <c r="B167" s="85" t="s">
        <v>406</v>
      </c>
      <c r="C167" s="85" t="s">
        <v>110</v>
      </c>
      <c r="D167" s="84" t="s">
        <v>84</v>
      </c>
      <c r="E167" s="84">
        <v>2</v>
      </c>
      <c r="F167" s="2">
        <v>1481930.9999999998</v>
      </c>
      <c r="G167" s="2">
        <v>1483513</v>
      </c>
      <c r="H167" s="2">
        <v>1479144.0000000002</v>
      </c>
      <c r="I167" s="2">
        <v>1470456.9999999998</v>
      </c>
      <c r="J167" s="2">
        <v>1460952</v>
      </c>
      <c r="K167" s="2">
        <v>1453293</v>
      </c>
      <c r="L167" s="2">
        <v>1448959</v>
      </c>
      <c r="M167" s="2">
        <v>1442519</v>
      </c>
      <c r="N167" s="2">
        <v>1434679.9999999998</v>
      </c>
      <c r="O167" s="2">
        <v>1425339</v>
      </c>
      <c r="P167" s="2">
        <v>1414674</v>
      </c>
    </row>
    <row r="168" spans="1:16">
      <c r="A168" s="84" t="s">
        <v>409</v>
      </c>
      <c r="B168" s="85" t="s">
        <v>408</v>
      </c>
      <c r="C168" s="85" t="s">
        <v>74</v>
      </c>
      <c r="D168" s="84" t="s">
        <v>75</v>
      </c>
      <c r="E168" s="84">
        <v>3</v>
      </c>
      <c r="F168" s="2">
        <v>7362635.9999999991</v>
      </c>
      <c r="G168" s="2">
        <v>7476425.9999999991</v>
      </c>
      <c r="H168" s="2">
        <v>7577633</v>
      </c>
      <c r="I168" s="2">
        <v>7669673.0000000009</v>
      </c>
      <c r="J168" s="2">
        <v>7757327.9999999991</v>
      </c>
      <c r="K168" s="2">
        <v>7844629.9999999991</v>
      </c>
      <c r="L168" s="2">
        <v>7934479</v>
      </c>
      <c r="M168" s="2">
        <v>8019892</v>
      </c>
      <c r="N168" s="2">
        <v>8101773.9999999991</v>
      </c>
      <c r="O168" s="2">
        <v>8180051</v>
      </c>
      <c r="P168" s="2">
        <v>8255182.0000000009</v>
      </c>
    </row>
    <row r="169" spans="1:16">
      <c r="A169" s="84" t="s">
        <v>411</v>
      </c>
      <c r="B169" s="85" t="s">
        <v>410</v>
      </c>
      <c r="C169" s="85" t="s">
        <v>74</v>
      </c>
      <c r="D169" s="84" t="s">
        <v>75</v>
      </c>
      <c r="E169" s="84">
        <v>3</v>
      </c>
      <c r="F169" s="2">
        <v>1927292</v>
      </c>
      <c r="G169" s="2">
        <v>1947863</v>
      </c>
      <c r="H169" s="2">
        <v>1968215</v>
      </c>
      <c r="I169" s="2">
        <v>1988599.0000000002</v>
      </c>
      <c r="J169" s="2">
        <v>2008423</v>
      </c>
      <c r="K169" s="2">
        <v>2027524</v>
      </c>
      <c r="L169" s="2">
        <v>2048858.0000000002</v>
      </c>
      <c r="M169" s="2">
        <v>2066679</v>
      </c>
      <c r="N169" s="2">
        <v>2082043.0000000002</v>
      </c>
      <c r="O169" s="2">
        <v>2096616</v>
      </c>
      <c r="P169" s="2">
        <v>2111882</v>
      </c>
    </row>
    <row r="170" spans="1:16">
      <c r="A170" s="84" t="s">
        <v>413</v>
      </c>
      <c r="B170" s="85" t="s">
        <v>412</v>
      </c>
      <c r="C170" s="85" t="s">
        <v>92</v>
      </c>
      <c r="D170" s="84" t="s">
        <v>80</v>
      </c>
      <c r="E170" s="84">
        <v>1</v>
      </c>
      <c r="F170" s="2">
        <v>49942</v>
      </c>
      <c r="G170" s="2">
        <v>49719</v>
      </c>
      <c r="H170" s="2">
        <v>49473</v>
      </c>
      <c r="I170" s="2">
        <v>49209.999999999993</v>
      </c>
      <c r="J170" s="2">
        <v>48932</v>
      </c>
      <c r="K170" s="2">
        <v>48640</v>
      </c>
      <c r="L170" s="2">
        <v>48412</v>
      </c>
      <c r="M170" s="2">
        <v>48140</v>
      </c>
      <c r="N170" s="2">
        <v>47837</v>
      </c>
      <c r="O170" s="2">
        <v>47519.000000000007</v>
      </c>
      <c r="P170" s="2">
        <v>47206</v>
      </c>
    </row>
    <row r="171" spans="1:16">
      <c r="A171" s="84" t="s">
        <v>415</v>
      </c>
      <c r="B171" s="85" t="s">
        <v>414</v>
      </c>
      <c r="C171" s="85" t="s">
        <v>83</v>
      </c>
      <c r="D171" s="84" t="s">
        <v>84</v>
      </c>
      <c r="E171" s="84">
        <v>3</v>
      </c>
      <c r="F171" s="2">
        <v>138885</v>
      </c>
      <c r="G171" s="2">
        <v>140365</v>
      </c>
      <c r="H171" s="2">
        <v>141529</v>
      </c>
      <c r="I171" s="2">
        <v>142475</v>
      </c>
      <c r="J171" s="2">
        <v>143436</v>
      </c>
      <c r="K171" s="2">
        <v>144574</v>
      </c>
      <c r="L171" s="2">
        <v>145905</v>
      </c>
      <c r="M171" s="2">
        <v>147070</v>
      </c>
      <c r="N171" s="2">
        <v>148109</v>
      </c>
      <c r="O171" s="2">
        <v>148977</v>
      </c>
      <c r="P171" s="2">
        <v>149653</v>
      </c>
    </row>
    <row r="172" spans="1:16">
      <c r="A172" s="84" t="s">
        <v>417</v>
      </c>
      <c r="B172" s="85" t="s">
        <v>416</v>
      </c>
      <c r="C172" s="85" t="s">
        <v>79</v>
      </c>
      <c r="D172" s="84" t="s">
        <v>87</v>
      </c>
      <c r="E172" s="84">
        <v>1</v>
      </c>
      <c r="F172" s="2">
        <v>592211</v>
      </c>
      <c r="G172" s="2">
        <v>585978.00000000012</v>
      </c>
      <c r="H172" s="2">
        <v>582355</v>
      </c>
      <c r="I172" s="2">
        <v>580680</v>
      </c>
      <c r="J172" s="2">
        <v>579998</v>
      </c>
      <c r="K172" s="2">
        <v>579494</v>
      </c>
      <c r="L172" s="2">
        <v>579539</v>
      </c>
      <c r="M172" s="2">
        <v>581135</v>
      </c>
      <c r="N172" s="2">
        <v>583768</v>
      </c>
      <c r="O172" s="2">
        <v>586954</v>
      </c>
      <c r="P172" s="2">
        <v>590271.00000000012</v>
      </c>
    </row>
    <row r="173" spans="1:16">
      <c r="A173" s="84" t="s">
        <v>419</v>
      </c>
      <c r="B173" s="85" t="s">
        <v>418</v>
      </c>
      <c r="C173" s="85" t="s">
        <v>79</v>
      </c>
      <c r="D173" s="84" t="s">
        <v>87</v>
      </c>
      <c r="E173" s="84">
        <v>1</v>
      </c>
      <c r="F173" s="2">
        <v>447986</v>
      </c>
      <c r="G173" s="2">
        <v>445952</v>
      </c>
      <c r="H173" s="2">
        <v>444230</v>
      </c>
      <c r="I173" s="2">
        <v>442653</v>
      </c>
      <c r="J173" s="2">
        <v>441231</v>
      </c>
      <c r="K173" s="2">
        <v>439809</v>
      </c>
      <c r="L173" s="2">
        <v>438045</v>
      </c>
      <c r="M173" s="2">
        <v>437330.00000000006</v>
      </c>
      <c r="N173" s="2">
        <v>437421.00000000006</v>
      </c>
      <c r="O173" s="2">
        <v>437946</v>
      </c>
      <c r="P173" s="2">
        <v>438512</v>
      </c>
    </row>
    <row r="174" spans="1:16">
      <c r="A174" s="84" t="s">
        <v>421</v>
      </c>
      <c r="B174" s="85" t="s">
        <v>420</v>
      </c>
      <c r="C174" s="85" t="s">
        <v>74</v>
      </c>
      <c r="D174" s="84" t="s">
        <v>75</v>
      </c>
      <c r="E174" s="84">
        <v>2</v>
      </c>
      <c r="F174" s="2">
        <v>2375361</v>
      </c>
      <c r="G174" s="2">
        <v>2339062</v>
      </c>
      <c r="H174" s="2">
        <v>2307495</v>
      </c>
      <c r="I174" s="2">
        <v>2276425</v>
      </c>
      <c r="J174" s="2">
        <v>2248499</v>
      </c>
      <c r="K174" s="2">
        <v>2226968</v>
      </c>
      <c r="L174" s="2">
        <v>2231701</v>
      </c>
      <c r="M174" s="2">
        <v>2236591</v>
      </c>
      <c r="N174" s="2">
        <v>2243489</v>
      </c>
      <c r="O174" s="2">
        <v>2253060.9999999995</v>
      </c>
      <c r="P174" s="2">
        <v>2266203.9999999995</v>
      </c>
    </row>
    <row r="175" spans="1:16">
      <c r="A175" s="84" t="s">
        <v>423</v>
      </c>
      <c r="B175" s="85" t="s">
        <v>422</v>
      </c>
      <c r="C175" s="85" t="s">
        <v>83</v>
      </c>
      <c r="D175" s="84" t="s">
        <v>84</v>
      </c>
      <c r="E175" s="84" t="s">
        <v>76</v>
      </c>
      <c r="F175" s="2">
        <v>12018475.999999998</v>
      </c>
      <c r="G175" s="2">
        <v>12272392</v>
      </c>
      <c r="H175" s="2">
        <v>12519875</v>
      </c>
      <c r="I175" s="2">
        <v>12762441</v>
      </c>
      <c r="J175" s="2">
        <v>13001525</v>
      </c>
      <c r="K175" s="2">
        <v>13238878.999999998</v>
      </c>
      <c r="L175" s="2">
        <v>13483973.000000002</v>
      </c>
      <c r="M175" s="2">
        <v>13718437</v>
      </c>
      <c r="N175" s="2">
        <v>13945442</v>
      </c>
      <c r="O175" s="2">
        <v>14168954</v>
      </c>
      <c r="P175" s="2">
        <v>14392285</v>
      </c>
    </row>
    <row r="176" spans="1:16">
      <c r="A176" s="84" t="s">
        <v>425</v>
      </c>
      <c r="B176" s="85" t="s">
        <v>424</v>
      </c>
      <c r="C176" s="85" t="s">
        <v>79</v>
      </c>
      <c r="D176" s="84" t="s">
        <v>75</v>
      </c>
      <c r="E176" s="84">
        <v>2</v>
      </c>
      <c r="F176" s="2">
        <v>1315901</v>
      </c>
      <c r="G176" s="2">
        <v>1336566.0000000002</v>
      </c>
      <c r="H176" s="2">
        <v>1360386.9999999998</v>
      </c>
      <c r="I176" s="2">
        <v>1386526</v>
      </c>
      <c r="J176" s="2">
        <v>1415110</v>
      </c>
      <c r="K176" s="2">
        <v>1446631</v>
      </c>
      <c r="L176" s="2">
        <v>1489263.0000000002</v>
      </c>
      <c r="M176" s="2">
        <v>1525788.0000000002</v>
      </c>
      <c r="N176" s="2">
        <v>1557448</v>
      </c>
      <c r="O176" s="2">
        <v>1585303.9999999998</v>
      </c>
      <c r="P176" s="2">
        <v>1610516.9999999998</v>
      </c>
    </row>
    <row r="177" spans="1:16">
      <c r="A177" s="84" t="s">
        <v>427</v>
      </c>
      <c r="B177" s="85" t="s">
        <v>426</v>
      </c>
      <c r="C177" s="85" t="s">
        <v>110</v>
      </c>
      <c r="D177" s="84" t="s">
        <v>80</v>
      </c>
      <c r="E177" s="84">
        <v>1</v>
      </c>
      <c r="F177" s="2">
        <v>3101431.0000000005</v>
      </c>
      <c r="G177" s="2">
        <v>3071242</v>
      </c>
      <c r="H177" s="2">
        <v>3039969</v>
      </c>
      <c r="I177" s="2">
        <v>3007976</v>
      </c>
      <c r="J177" s="2">
        <v>2976901.9999999995</v>
      </c>
      <c r="K177" s="2">
        <v>2947856</v>
      </c>
      <c r="L177" s="2">
        <v>2924841</v>
      </c>
      <c r="M177" s="2">
        <v>2901902</v>
      </c>
      <c r="N177" s="2">
        <v>2878940</v>
      </c>
      <c r="O177" s="2">
        <v>2855162.9999999995</v>
      </c>
      <c r="P177" s="2">
        <v>2830081</v>
      </c>
    </row>
    <row r="178" spans="1:16">
      <c r="A178" s="84" t="s">
        <v>429</v>
      </c>
      <c r="B178" s="85" t="s">
        <v>428</v>
      </c>
      <c r="C178" s="85" t="s">
        <v>110</v>
      </c>
      <c r="D178" s="84" t="s">
        <v>84</v>
      </c>
      <c r="E178" s="84">
        <v>4</v>
      </c>
      <c r="F178" s="2">
        <v>188039.00000000003</v>
      </c>
      <c r="G178" s="2">
        <v>188616</v>
      </c>
      <c r="H178" s="2">
        <v>188408</v>
      </c>
      <c r="I178" s="2">
        <v>187523</v>
      </c>
      <c r="J178" s="2">
        <v>186441</v>
      </c>
      <c r="K178" s="2">
        <v>185493.99999999997</v>
      </c>
      <c r="L178" s="2">
        <v>184654</v>
      </c>
      <c r="M178" s="2">
        <v>183757</v>
      </c>
      <c r="N178" s="2">
        <v>182880</v>
      </c>
      <c r="O178" s="2">
        <v>182024</v>
      </c>
      <c r="P178" s="2">
        <v>181225</v>
      </c>
    </row>
    <row r="179" spans="1:16">
      <c r="A179" s="84" t="s">
        <v>431</v>
      </c>
      <c r="B179" s="85" t="s">
        <v>430</v>
      </c>
      <c r="C179" s="85" t="s">
        <v>83</v>
      </c>
      <c r="D179" s="84" t="s">
        <v>75</v>
      </c>
      <c r="E179" s="84">
        <v>3</v>
      </c>
      <c r="F179" s="2">
        <v>1420316</v>
      </c>
      <c r="G179" s="2">
        <v>1443610.0000000002</v>
      </c>
      <c r="H179" s="2">
        <v>1465000</v>
      </c>
      <c r="I179" s="2">
        <v>1485087</v>
      </c>
      <c r="J179" s="2">
        <v>1504481.0000000002</v>
      </c>
      <c r="K179" s="2">
        <v>1523782</v>
      </c>
      <c r="L179" s="2">
        <v>1544047</v>
      </c>
      <c r="M179" s="2">
        <v>1562955.0000000002</v>
      </c>
      <c r="N179" s="2">
        <v>1580824</v>
      </c>
      <c r="O179" s="2">
        <v>1597904</v>
      </c>
      <c r="P179" s="2">
        <v>1614497</v>
      </c>
    </row>
    <row r="180" spans="1:16">
      <c r="A180" s="84" t="s">
        <v>433</v>
      </c>
      <c r="B180" s="85" t="s">
        <v>432</v>
      </c>
      <c r="C180" s="85" t="s">
        <v>99</v>
      </c>
      <c r="D180" s="84" t="s">
        <v>80</v>
      </c>
      <c r="E180" s="84">
        <v>1</v>
      </c>
      <c r="F180" s="2">
        <v>12504</v>
      </c>
      <c r="G180" s="2">
        <v>12609.000000000002</v>
      </c>
      <c r="H180" s="2">
        <v>12687.000000000002</v>
      </c>
      <c r="I180" s="2">
        <v>12749</v>
      </c>
      <c r="J180" s="2">
        <v>12797</v>
      </c>
      <c r="K180" s="2">
        <v>12840.000000000002</v>
      </c>
      <c r="L180" s="2">
        <v>12899</v>
      </c>
      <c r="M180" s="2">
        <v>12926</v>
      </c>
      <c r="N180" s="2">
        <v>12932</v>
      </c>
      <c r="O180" s="2">
        <v>12923</v>
      </c>
      <c r="P180" s="2">
        <v>12907</v>
      </c>
    </row>
    <row r="181" spans="1:16">
      <c r="A181" s="84" t="s">
        <v>435</v>
      </c>
      <c r="B181" s="85" t="s">
        <v>434</v>
      </c>
      <c r="C181" s="85" t="s">
        <v>92</v>
      </c>
      <c r="D181" s="84" t="s">
        <v>87</v>
      </c>
      <c r="E181" s="84">
        <v>1</v>
      </c>
      <c r="F181" s="2">
        <v>72935</v>
      </c>
      <c r="G181" s="2">
        <v>72571</v>
      </c>
      <c r="H181" s="2">
        <v>72191</v>
      </c>
      <c r="I181" s="2">
        <v>71830.999999999985</v>
      </c>
      <c r="J181" s="2">
        <v>71523</v>
      </c>
      <c r="K181" s="2">
        <v>71320</v>
      </c>
      <c r="L181" s="2">
        <v>71431</v>
      </c>
      <c r="M181" s="2">
        <v>71422.000000000015</v>
      </c>
      <c r="N181" s="2">
        <v>71329.000000000015</v>
      </c>
      <c r="O181" s="2">
        <v>71170</v>
      </c>
      <c r="P181" s="2">
        <v>70973</v>
      </c>
    </row>
    <row r="182" spans="1:16">
      <c r="A182" s="84" t="s">
        <v>437</v>
      </c>
      <c r="B182" s="85" t="s">
        <v>436</v>
      </c>
      <c r="C182" s="85" t="s">
        <v>74</v>
      </c>
      <c r="D182" s="84" t="s">
        <v>84</v>
      </c>
      <c r="E182" s="84">
        <v>3</v>
      </c>
      <c r="F182" s="2">
        <v>831606</v>
      </c>
      <c r="G182" s="2">
        <v>820134</v>
      </c>
      <c r="H182" s="2">
        <v>809809.00000000012</v>
      </c>
      <c r="I182" s="2">
        <v>801074</v>
      </c>
      <c r="J182" s="2">
        <v>794173</v>
      </c>
      <c r="K182" s="2">
        <v>789533</v>
      </c>
      <c r="L182" s="2">
        <v>789263</v>
      </c>
      <c r="M182" s="2">
        <v>789849</v>
      </c>
      <c r="N182" s="2">
        <v>791380</v>
      </c>
      <c r="O182" s="2">
        <v>793836</v>
      </c>
      <c r="P182" s="2">
        <v>797335</v>
      </c>
    </row>
    <row r="183" spans="1:16">
      <c r="A183" s="84" t="s">
        <v>439</v>
      </c>
      <c r="B183" s="85" t="s">
        <v>438</v>
      </c>
      <c r="C183" s="85" t="s">
        <v>79</v>
      </c>
      <c r="D183" s="84" t="s">
        <v>80</v>
      </c>
      <c r="E183" s="84">
        <v>1</v>
      </c>
      <c r="F183" s="2">
        <v>6024215</v>
      </c>
      <c r="G183" s="2">
        <v>5978442.9999999991</v>
      </c>
      <c r="H183" s="2">
        <v>5936777</v>
      </c>
      <c r="I183" s="2">
        <v>5898225</v>
      </c>
      <c r="J183" s="2">
        <v>5860130</v>
      </c>
      <c r="K183" s="2">
        <v>5821330</v>
      </c>
      <c r="L183" s="2">
        <v>5794639</v>
      </c>
      <c r="M183" s="2">
        <v>5758957</v>
      </c>
      <c r="N183" s="2">
        <v>5717472</v>
      </c>
      <c r="O183" s="2">
        <v>5674882</v>
      </c>
      <c r="P183" s="2">
        <v>5634928.9999999991</v>
      </c>
    </row>
    <row r="184" spans="1:16">
      <c r="A184" s="84" t="s">
        <v>441</v>
      </c>
      <c r="B184" s="85" t="s">
        <v>440</v>
      </c>
      <c r="C184" s="85" t="s">
        <v>79</v>
      </c>
      <c r="D184" s="84" t="s">
        <v>80</v>
      </c>
      <c r="E184" s="84">
        <v>1</v>
      </c>
      <c r="F184" s="2">
        <v>583408</v>
      </c>
      <c r="G184" s="2">
        <v>580322</v>
      </c>
      <c r="H184" s="2">
        <v>579394</v>
      </c>
      <c r="I184" s="2">
        <v>580650</v>
      </c>
      <c r="J184" s="2">
        <v>583095</v>
      </c>
      <c r="K184" s="2">
        <v>586310</v>
      </c>
      <c r="L184" s="2">
        <v>593100</v>
      </c>
      <c r="M184" s="2">
        <v>598923</v>
      </c>
      <c r="N184" s="2">
        <v>604013</v>
      </c>
      <c r="O184" s="2">
        <v>608824.00000000012</v>
      </c>
      <c r="P184" s="2">
        <v>613758</v>
      </c>
    </row>
    <row r="185" spans="1:16">
      <c r="A185" s="84" t="s">
        <v>443</v>
      </c>
      <c r="B185" s="85" t="s">
        <v>442</v>
      </c>
      <c r="C185" s="85" t="s">
        <v>99</v>
      </c>
      <c r="D185" s="84" t="s">
        <v>80</v>
      </c>
      <c r="E185" s="84">
        <v>4</v>
      </c>
      <c r="F185" s="2">
        <v>0</v>
      </c>
      <c r="G185" s="2">
        <v>0</v>
      </c>
      <c r="H185" s="2">
        <v>0</v>
      </c>
      <c r="I185" s="2">
        <v>0</v>
      </c>
      <c r="J185" s="2">
        <v>0</v>
      </c>
      <c r="K185" s="2">
        <v>0</v>
      </c>
      <c r="L185" s="2">
        <v>0</v>
      </c>
      <c r="M185" s="2">
        <v>0</v>
      </c>
      <c r="N185" s="2">
        <v>0</v>
      </c>
      <c r="O185" s="2">
        <v>0</v>
      </c>
      <c r="P185" s="2">
        <v>0</v>
      </c>
    </row>
    <row r="186" spans="1:16">
      <c r="A186" s="84" t="s">
        <v>445</v>
      </c>
      <c r="B186" s="85" t="s">
        <v>444</v>
      </c>
      <c r="C186" s="85" t="s">
        <v>83</v>
      </c>
      <c r="D186" s="84" t="s">
        <v>75</v>
      </c>
      <c r="E186" s="84" t="s">
        <v>76</v>
      </c>
      <c r="F186" s="2">
        <v>8593382.0000000019</v>
      </c>
      <c r="G186" s="2">
        <v>8709635</v>
      </c>
      <c r="H186" s="2">
        <v>8793640</v>
      </c>
      <c r="I186" s="2">
        <v>8854110</v>
      </c>
      <c r="J186" s="2">
        <v>8906248</v>
      </c>
      <c r="K186" s="2">
        <v>8961907.0000000019</v>
      </c>
      <c r="L186" s="2">
        <v>9015981</v>
      </c>
      <c r="M186" s="2">
        <v>9067482</v>
      </c>
      <c r="N186" s="2">
        <v>9118016</v>
      </c>
      <c r="O186" s="2">
        <v>9165971</v>
      </c>
      <c r="P186" s="2">
        <v>9210710</v>
      </c>
    </row>
    <row r="187" spans="1:16">
      <c r="A187" s="84" t="s">
        <v>447</v>
      </c>
      <c r="B187" s="85" t="s">
        <v>446</v>
      </c>
      <c r="C187" s="85" t="s">
        <v>79</v>
      </c>
      <c r="D187" s="84" t="s">
        <v>84</v>
      </c>
      <c r="E187" s="84">
        <v>1</v>
      </c>
      <c r="F187" s="2">
        <v>1703833</v>
      </c>
      <c r="G187" s="2">
        <v>1691001</v>
      </c>
      <c r="H187" s="2">
        <v>1682165</v>
      </c>
      <c r="I187" s="2">
        <v>1678206.9999999998</v>
      </c>
      <c r="J187" s="2">
        <v>1676798</v>
      </c>
      <c r="K187" s="2">
        <v>1676819</v>
      </c>
      <c r="L187" s="2">
        <v>1681349.0000000002</v>
      </c>
      <c r="M187" s="2">
        <v>1684684.0000000002</v>
      </c>
      <c r="N187" s="2">
        <v>1686993</v>
      </c>
      <c r="O187" s="2">
        <v>1688897</v>
      </c>
      <c r="P187" s="2">
        <v>1690773</v>
      </c>
    </row>
    <row r="188" spans="1:16">
      <c r="A188" s="84" t="s">
        <v>449</v>
      </c>
      <c r="B188" s="85" t="s">
        <v>448</v>
      </c>
      <c r="C188" s="85" t="s">
        <v>74</v>
      </c>
      <c r="D188" s="84" t="s">
        <v>87</v>
      </c>
      <c r="E188" s="84">
        <v>1</v>
      </c>
      <c r="F188" s="2">
        <v>492124</v>
      </c>
      <c r="G188" s="2">
        <v>486956</v>
      </c>
      <c r="H188" s="2">
        <v>484535</v>
      </c>
      <c r="I188" s="2">
        <v>484364</v>
      </c>
      <c r="J188" s="2">
        <v>484736</v>
      </c>
      <c r="K188" s="2">
        <v>484424</v>
      </c>
      <c r="L188" s="2">
        <v>484696</v>
      </c>
      <c r="M188" s="2">
        <v>485457.99999999994</v>
      </c>
      <c r="N188" s="2">
        <v>486617.99999999994</v>
      </c>
      <c r="O188" s="2">
        <v>488536.00000000006</v>
      </c>
      <c r="P188" s="2">
        <v>491289</v>
      </c>
    </row>
    <row r="189" spans="1:16">
      <c r="A189" s="84" t="s">
        <v>451</v>
      </c>
      <c r="B189" s="85" t="s">
        <v>450</v>
      </c>
      <c r="C189" s="85" t="s">
        <v>79</v>
      </c>
      <c r="D189" s="84" t="s">
        <v>87</v>
      </c>
      <c r="E189" s="84">
        <v>1</v>
      </c>
      <c r="F189" s="2">
        <v>3804810</v>
      </c>
      <c r="G189" s="2">
        <v>3768551</v>
      </c>
      <c r="H189" s="2">
        <v>3748714</v>
      </c>
      <c r="I189" s="2">
        <v>3742624</v>
      </c>
      <c r="J189" s="2">
        <v>3741323</v>
      </c>
      <c r="K189" s="2">
        <v>3738277.0000000005</v>
      </c>
      <c r="L189" s="2">
        <v>3735854.0000000005</v>
      </c>
      <c r="M189" s="2">
        <v>3741086</v>
      </c>
      <c r="N189" s="2">
        <v>3750821</v>
      </c>
      <c r="O189" s="2">
        <v>3763109</v>
      </c>
      <c r="P189" s="2">
        <v>3775859.9999999995</v>
      </c>
    </row>
    <row r="190" spans="1:16">
      <c r="A190" s="84" t="s">
        <v>453</v>
      </c>
      <c r="B190" s="85" t="s">
        <v>452</v>
      </c>
      <c r="C190" s="85" t="s">
        <v>92</v>
      </c>
      <c r="D190" s="84" t="s">
        <v>87</v>
      </c>
      <c r="E190" s="84" t="s">
        <v>76</v>
      </c>
      <c r="F190" s="2">
        <v>20808154.000000004</v>
      </c>
      <c r="G190" s="2">
        <v>20798464</v>
      </c>
      <c r="H190" s="2">
        <v>20818703.999999996</v>
      </c>
      <c r="I190" s="2">
        <v>20857537</v>
      </c>
      <c r="J190" s="2">
        <v>20892078.999999996</v>
      </c>
      <c r="K190" s="2">
        <v>20900568</v>
      </c>
      <c r="L190" s="2">
        <v>20869690</v>
      </c>
      <c r="M190" s="2">
        <v>20868199</v>
      </c>
      <c r="N190" s="2">
        <v>20879957.000000004</v>
      </c>
      <c r="O190" s="2">
        <v>20888351</v>
      </c>
      <c r="P190" s="2">
        <v>20876637.000000004</v>
      </c>
    </row>
    <row r="191" spans="1:16">
      <c r="A191" s="84" t="s">
        <v>455</v>
      </c>
      <c r="B191" s="85" t="s">
        <v>454</v>
      </c>
      <c r="C191" s="85" t="s">
        <v>92</v>
      </c>
      <c r="D191" s="84" t="s">
        <v>87</v>
      </c>
      <c r="E191" s="84">
        <v>1</v>
      </c>
      <c r="F191" s="2">
        <v>222741</v>
      </c>
      <c r="G191" s="2">
        <v>221626</v>
      </c>
      <c r="H191" s="2">
        <v>220079</v>
      </c>
      <c r="I191" s="2">
        <v>218218.00000000003</v>
      </c>
      <c r="J191" s="2">
        <v>216283</v>
      </c>
      <c r="K191" s="2">
        <v>214453</v>
      </c>
      <c r="L191" s="2">
        <v>212692.99999999997</v>
      </c>
      <c r="M191" s="2">
        <v>211062</v>
      </c>
      <c r="N191" s="2">
        <v>209548</v>
      </c>
      <c r="O191" s="2">
        <v>208075</v>
      </c>
      <c r="P191" s="2">
        <v>206590</v>
      </c>
    </row>
    <row r="192" spans="1:16">
      <c r="A192" s="84" t="s">
        <v>457</v>
      </c>
      <c r="B192" s="85" t="s">
        <v>456</v>
      </c>
      <c r="C192" s="85" t="s">
        <v>79</v>
      </c>
      <c r="D192" s="84" t="s">
        <v>84</v>
      </c>
      <c r="E192" s="84">
        <v>2</v>
      </c>
      <c r="F192" s="2">
        <v>2934052</v>
      </c>
      <c r="G192" s="2">
        <v>2938336.0000000005</v>
      </c>
      <c r="H192" s="2">
        <v>2940635</v>
      </c>
      <c r="I192" s="2">
        <v>2941393</v>
      </c>
      <c r="J192" s="2">
        <v>2945622.0000000005</v>
      </c>
      <c r="K192" s="2">
        <v>2957468</v>
      </c>
      <c r="L192" s="2">
        <v>2990391</v>
      </c>
      <c r="M192" s="2">
        <v>3014131.9999999995</v>
      </c>
      <c r="N192" s="2">
        <v>3031611.0000000005</v>
      </c>
      <c r="O192" s="2">
        <v>3044513</v>
      </c>
      <c r="P192" s="2">
        <v>3054730</v>
      </c>
    </row>
    <row r="193" spans="1:16">
      <c r="A193" s="84" t="s">
        <v>459</v>
      </c>
      <c r="B193" s="85" t="s">
        <v>458</v>
      </c>
      <c r="C193" s="85" t="s">
        <v>99</v>
      </c>
      <c r="D193" s="84" t="s">
        <v>84</v>
      </c>
      <c r="E193" s="84">
        <v>4</v>
      </c>
      <c r="F193" s="2">
        <v>47019</v>
      </c>
      <c r="G193" s="2">
        <v>47709</v>
      </c>
      <c r="H193" s="2">
        <v>48363</v>
      </c>
      <c r="I193" s="2">
        <v>48983</v>
      </c>
      <c r="J193" s="2">
        <v>49599.000000000007</v>
      </c>
      <c r="K193" s="2">
        <v>50232</v>
      </c>
      <c r="L193" s="2">
        <v>50930</v>
      </c>
      <c r="M193" s="2">
        <v>51595</v>
      </c>
      <c r="N193" s="2">
        <v>52234</v>
      </c>
      <c r="O193" s="2">
        <v>52849.000000000007</v>
      </c>
      <c r="P193" s="2">
        <v>53446.999999999993</v>
      </c>
    </row>
    <row r="194" spans="1:16">
      <c r="A194" s="84" t="s">
        <v>461</v>
      </c>
      <c r="B194" s="85" t="s">
        <v>460</v>
      </c>
      <c r="C194" s="85" t="s">
        <v>92</v>
      </c>
      <c r="D194" s="84" t="s">
        <v>80</v>
      </c>
      <c r="E194" s="84">
        <v>1</v>
      </c>
      <c r="F194" s="2">
        <v>2639866.9999999995</v>
      </c>
      <c r="G194" s="2">
        <v>2641200.0000000005</v>
      </c>
      <c r="H194" s="2">
        <v>2637169</v>
      </c>
      <c r="I194" s="2">
        <v>2631154.9999999995</v>
      </c>
      <c r="J194" s="2">
        <v>2619540</v>
      </c>
      <c r="K194" s="2">
        <v>2600261.0000000005</v>
      </c>
      <c r="L194" s="2">
        <v>2568151</v>
      </c>
      <c r="M194" s="2">
        <v>2541854.9999999995</v>
      </c>
      <c r="N194" s="2">
        <v>2518241</v>
      </c>
      <c r="O194" s="2">
        <v>2494396</v>
      </c>
      <c r="P194" s="2">
        <v>2467741</v>
      </c>
    </row>
    <row r="195" spans="1:16">
      <c r="A195" s="84" t="s">
        <v>463</v>
      </c>
      <c r="B195" s="85" t="s">
        <v>462</v>
      </c>
      <c r="C195" s="85" t="s">
        <v>99</v>
      </c>
      <c r="D195" s="84" t="s">
        <v>84</v>
      </c>
      <c r="E195" s="84">
        <v>4</v>
      </c>
      <c r="F195" s="2">
        <v>6974468</v>
      </c>
      <c r="G195" s="2">
        <v>6932219</v>
      </c>
      <c r="H195" s="2">
        <v>6818555</v>
      </c>
      <c r="I195" s="2">
        <v>6658780.0000000009</v>
      </c>
      <c r="J195" s="2">
        <v>6504341</v>
      </c>
      <c r="K195" s="2">
        <v>6390748</v>
      </c>
      <c r="L195" s="2">
        <v>6268618</v>
      </c>
      <c r="M195" s="2">
        <v>6212780.0000000009</v>
      </c>
      <c r="N195" s="2">
        <v>6207561</v>
      </c>
      <c r="O195" s="2">
        <v>6219040</v>
      </c>
      <c r="P195" s="2">
        <v>6224867</v>
      </c>
    </row>
    <row r="196" spans="1:16">
      <c r="A196" s="84" t="s">
        <v>465</v>
      </c>
      <c r="B196" s="85" t="s">
        <v>464</v>
      </c>
      <c r="C196" s="85" t="s">
        <v>74</v>
      </c>
      <c r="D196" s="84" t="s">
        <v>75</v>
      </c>
      <c r="E196" s="84">
        <v>3</v>
      </c>
      <c r="F196" s="2">
        <v>4223620</v>
      </c>
      <c r="G196" s="2">
        <v>4230434</v>
      </c>
      <c r="H196" s="2">
        <v>4236683</v>
      </c>
      <c r="I196" s="2">
        <v>4242285</v>
      </c>
      <c r="J196" s="2">
        <v>4245650</v>
      </c>
      <c r="K196" s="2">
        <v>4246150</v>
      </c>
      <c r="L196" s="2">
        <v>4251058.9999999991</v>
      </c>
      <c r="M196" s="2">
        <v>4247855</v>
      </c>
      <c r="N196" s="2">
        <v>4238822</v>
      </c>
      <c r="O196" s="2">
        <v>4227626</v>
      </c>
      <c r="P196" s="2">
        <v>4217117</v>
      </c>
    </row>
    <row r="197" spans="1:16">
      <c r="A197" s="84" t="s">
        <v>467</v>
      </c>
      <c r="B197" s="85" t="s">
        <v>466</v>
      </c>
      <c r="C197" s="85" t="s">
        <v>83</v>
      </c>
      <c r="D197" s="84" t="s">
        <v>84</v>
      </c>
      <c r="E197" s="84">
        <v>3</v>
      </c>
      <c r="F197" s="2">
        <v>3654810.0000000005</v>
      </c>
      <c r="G197" s="2">
        <v>3720011.9999999995</v>
      </c>
      <c r="H197" s="2">
        <v>3787291</v>
      </c>
      <c r="I197" s="2">
        <v>3856435.9999999995</v>
      </c>
      <c r="J197" s="2">
        <v>3924254.9999999995</v>
      </c>
      <c r="K197" s="2">
        <v>3988804</v>
      </c>
      <c r="L197" s="2">
        <v>4054124</v>
      </c>
      <c r="M197" s="2">
        <v>4115720.0000000005</v>
      </c>
      <c r="N197" s="2">
        <v>4174270.0000000005</v>
      </c>
      <c r="O197" s="2">
        <v>4231656</v>
      </c>
      <c r="P197" s="2">
        <v>4289259</v>
      </c>
    </row>
    <row r="198" spans="1:16">
      <c r="A198" s="84" t="s">
        <v>469</v>
      </c>
      <c r="B198" s="85" t="s">
        <v>468</v>
      </c>
      <c r="C198" s="85" t="s">
        <v>83</v>
      </c>
      <c r="D198" s="84" t="s">
        <v>84</v>
      </c>
      <c r="E198" s="84">
        <v>3</v>
      </c>
      <c r="F198" s="2">
        <v>2122634</v>
      </c>
      <c r="G198" s="2">
        <v>2147227.0000000005</v>
      </c>
      <c r="H198" s="2">
        <v>2171782</v>
      </c>
      <c r="I198" s="2">
        <v>2197584</v>
      </c>
      <c r="J198" s="2">
        <v>2222695</v>
      </c>
      <c r="K198" s="2">
        <v>2246481</v>
      </c>
      <c r="L198" s="2">
        <v>2272774</v>
      </c>
      <c r="M198" s="2">
        <v>2294258</v>
      </c>
      <c r="N198" s="2">
        <v>2311515.9999999995</v>
      </c>
      <c r="O198" s="2">
        <v>2325514</v>
      </c>
      <c r="P198" s="2">
        <v>2336933</v>
      </c>
    </row>
    <row r="199" spans="1:16">
      <c r="E199" s="2"/>
      <c r="F199" s="2"/>
      <c r="G199" s="2"/>
      <c r="H199" s="2"/>
      <c r="I199" s="2"/>
      <c r="J199" s="2"/>
      <c r="K199" s="2"/>
      <c r="L199" s="2"/>
      <c r="M199" s="2"/>
      <c r="N199" s="2"/>
      <c r="O199" s="2"/>
      <c r="P199" s="2"/>
    </row>
    <row r="200" spans="1:16">
      <c r="E200" s="2"/>
      <c r="F200" s="2"/>
      <c r="G200" s="2"/>
      <c r="H200" s="2"/>
      <c r="I200" s="2"/>
      <c r="J200" s="2"/>
      <c r="K200" s="2"/>
      <c r="L200" s="2"/>
      <c r="M200" s="2"/>
      <c r="N200" s="2"/>
      <c r="O200" s="2"/>
      <c r="P200" s="2"/>
    </row>
    <row r="201" spans="1:16">
      <c r="E201" s="2"/>
      <c r="F201" s="2"/>
      <c r="G201" s="2"/>
      <c r="H201" s="2"/>
      <c r="I201" s="2"/>
      <c r="J201" s="2"/>
      <c r="K201" s="2"/>
      <c r="L201" s="2"/>
      <c r="M201" s="2"/>
      <c r="N201" s="2"/>
      <c r="O201" s="2"/>
      <c r="P201" s="2"/>
    </row>
    <row r="202" spans="1:16">
      <c r="E202" s="2"/>
      <c r="F202" s="2"/>
      <c r="G202" s="2"/>
      <c r="H202" s="2"/>
      <c r="I202" s="2"/>
      <c r="J202" s="2"/>
      <c r="K202" s="2"/>
      <c r="L202" s="2"/>
      <c r="M202" s="2"/>
      <c r="N202" s="2"/>
      <c r="O202" s="2"/>
      <c r="P202" s="2"/>
    </row>
    <row r="203" spans="1:16">
      <c r="E203" s="2"/>
      <c r="F203" s="2"/>
      <c r="G203" s="2"/>
      <c r="H203" s="2"/>
      <c r="I203" s="2"/>
      <c r="J203" s="2"/>
      <c r="K203" s="2"/>
      <c r="L203" s="2"/>
      <c r="M203" s="2"/>
      <c r="N203" s="2"/>
      <c r="O203" s="2"/>
      <c r="P203" s="2"/>
    </row>
    <row r="204" spans="1:16">
      <c r="E204" s="94"/>
      <c r="F204" s="2"/>
      <c r="G204" s="2"/>
      <c r="H204" s="2"/>
      <c r="I204" s="2"/>
      <c r="J204" s="2"/>
      <c r="K204" s="2"/>
      <c r="L204" s="2"/>
      <c r="M204" s="2"/>
      <c r="N204" s="2"/>
      <c r="O204" s="2"/>
      <c r="P204" s="2"/>
    </row>
    <row r="205" spans="1:16">
      <c r="F205" s="3"/>
      <c r="G205" s="3"/>
      <c r="H205" s="3"/>
      <c r="I205" s="3"/>
      <c r="J205" s="3"/>
      <c r="K205" s="3"/>
      <c r="L205" s="3"/>
      <c r="M205" s="3"/>
      <c r="N205" s="3"/>
      <c r="O205" s="3"/>
      <c r="P205" s="3"/>
    </row>
  </sheetData>
  <autoFilter ref="A4:P205" xr:uid="{1BE26F4C-1587-7C4D-887A-C69327E2A75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ACF4C-36CC-1847-82BE-E6E5D164541D}">
  <sheetPr>
    <tabColor theme="4" tint="0.79998168889431442"/>
  </sheetPr>
  <dimension ref="A1:P198"/>
  <sheetViews>
    <sheetView zoomScale="117" zoomScaleNormal="117" workbookViewId="0">
      <selection activeCell="M22" sqref="M22"/>
    </sheetView>
  </sheetViews>
  <sheetFormatPr defaultColWidth="10.85546875" defaultRowHeight="15"/>
  <sheetData>
    <row r="1" spans="1:16">
      <c r="A1" t="s">
        <v>470</v>
      </c>
      <c r="B1" t="s">
        <v>480</v>
      </c>
    </row>
    <row r="2" spans="1:16">
      <c r="A2" t="s">
        <v>471</v>
      </c>
      <c r="B2" t="s">
        <v>481</v>
      </c>
    </row>
    <row r="4" spans="1:16">
      <c r="A4" s="86" t="s">
        <v>473</v>
      </c>
      <c r="B4" s="87" t="s">
        <v>64</v>
      </c>
      <c r="C4" s="86" t="s">
        <v>66</v>
      </c>
      <c r="D4" s="86" t="s">
        <v>67</v>
      </c>
      <c r="E4" s="86" t="s">
        <v>68</v>
      </c>
      <c r="F4" s="91">
        <v>2030</v>
      </c>
      <c r="G4" s="91">
        <v>2031</v>
      </c>
      <c r="H4" s="91">
        <v>2032</v>
      </c>
      <c r="I4" s="91">
        <v>2033</v>
      </c>
      <c r="J4" s="91">
        <v>2034</v>
      </c>
      <c r="K4" s="91">
        <v>2035</v>
      </c>
      <c r="L4" s="91">
        <v>2036</v>
      </c>
      <c r="M4" s="91">
        <v>2037</v>
      </c>
      <c r="N4" s="91">
        <v>2038</v>
      </c>
      <c r="O4" s="91">
        <v>2039</v>
      </c>
      <c r="P4" s="91">
        <v>2040</v>
      </c>
    </row>
    <row r="5" spans="1:16">
      <c r="A5" s="84" t="s">
        <v>73</v>
      </c>
      <c r="B5" s="85" t="s">
        <v>72</v>
      </c>
      <c r="C5" s="85" t="s">
        <v>74</v>
      </c>
      <c r="D5" s="84" t="s">
        <v>75</v>
      </c>
      <c r="E5" s="84" t="s">
        <v>76</v>
      </c>
      <c r="F5">
        <v>0.02</v>
      </c>
      <c r="G5">
        <v>0.02</v>
      </c>
      <c r="H5">
        <v>0.02</v>
      </c>
      <c r="I5">
        <v>0.02</v>
      </c>
      <c r="J5">
        <v>0.02</v>
      </c>
      <c r="K5">
        <v>0.02</v>
      </c>
      <c r="L5">
        <v>0.02</v>
      </c>
      <c r="M5">
        <v>0.02</v>
      </c>
      <c r="N5">
        <v>0.02</v>
      </c>
      <c r="O5">
        <v>0.02</v>
      </c>
      <c r="P5">
        <v>0.02</v>
      </c>
    </row>
    <row r="6" spans="1:16">
      <c r="A6" s="84" t="s">
        <v>78</v>
      </c>
      <c r="B6" s="85" t="s">
        <v>77</v>
      </c>
      <c r="C6" s="85" t="s">
        <v>79</v>
      </c>
      <c r="D6" s="84" t="s">
        <v>80</v>
      </c>
      <c r="E6" s="84">
        <v>1</v>
      </c>
      <c r="F6">
        <v>0.02</v>
      </c>
      <c r="G6">
        <v>0.02</v>
      </c>
      <c r="H6">
        <v>0.02</v>
      </c>
      <c r="I6">
        <v>0.02</v>
      </c>
      <c r="J6">
        <v>0.02</v>
      </c>
      <c r="K6">
        <v>0.02</v>
      </c>
      <c r="L6">
        <v>0.02</v>
      </c>
      <c r="M6">
        <v>0.02</v>
      </c>
      <c r="N6">
        <v>0.02</v>
      </c>
      <c r="O6">
        <v>0.02</v>
      </c>
      <c r="P6">
        <v>0.02</v>
      </c>
    </row>
    <row r="7" spans="1:16">
      <c r="A7" s="84" t="s">
        <v>82</v>
      </c>
      <c r="B7" s="85" t="s">
        <v>81</v>
      </c>
      <c r="C7" s="85" t="s">
        <v>83</v>
      </c>
      <c r="D7" s="84" t="s">
        <v>84</v>
      </c>
      <c r="E7" s="84">
        <v>2</v>
      </c>
      <c r="F7">
        <v>0.02</v>
      </c>
      <c r="G7">
        <v>0.02</v>
      </c>
      <c r="H7">
        <v>0.02</v>
      </c>
      <c r="I7">
        <v>0.02</v>
      </c>
      <c r="J7">
        <v>0.02</v>
      </c>
      <c r="K7">
        <v>0.02</v>
      </c>
      <c r="L7">
        <v>0.02</v>
      </c>
      <c r="M7">
        <v>0.02</v>
      </c>
      <c r="N7">
        <v>0.02</v>
      </c>
      <c r="O7">
        <v>0.02</v>
      </c>
      <c r="P7">
        <v>0.02</v>
      </c>
    </row>
    <row r="8" spans="1:16">
      <c r="A8" s="84" t="s">
        <v>86</v>
      </c>
      <c r="B8" s="85" t="s">
        <v>85</v>
      </c>
      <c r="C8" s="85" t="s">
        <v>79</v>
      </c>
      <c r="D8" s="84" t="s">
        <v>87</v>
      </c>
      <c r="E8" s="84">
        <v>1</v>
      </c>
      <c r="F8">
        <v>0.02</v>
      </c>
      <c r="G8">
        <v>0.02</v>
      </c>
      <c r="H8">
        <v>0.02</v>
      </c>
      <c r="I8">
        <v>0.02</v>
      </c>
      <c r="J8">
        <v>0.02</v>
      </c>
      <c r="K8">
        <v>0.02</v>
      </c>
      <c r="L8">
        <v>0.02</v>
      </c>
      <c r="M8">
        <v>0.02</v>
      </c>
      <c r="N8">
        <v>0.02</v>
      </c>
      <c r="O8">
        <v>0.02</v>
      </c>
      <c r="P8">
        <v>0.02</v>
      </c>
    </row>
    <row r="9" spans="1:16">
      <c r="A9" s="84" t="s">
        <v>89</v>
      </c>
      <c r="B9" s="85" t="s">
        <v>88</v>
      </c>
      <c r="C9" s="85" t="s">
        <v>83</v>
      </c>
      <c r="D9" s="84" t="s">
        <v>84</v>
      </c>
      <c r="E9" s="84">
        <v>3</v>
      </c>
      <c r="F9">
        <v>0.02</v>
      </c>
      <c r="G9">
        <v>0.02</v>
      </c>
      <c r="H9">
        <v>0.02</v>
      </c>
      <c r="I9">
        <v>0.02</v>
      </c>
      <c r="J9">
        <v>0.02</v>
      </c>
      <c r="K9">
        <v>0.02</v>
      </c>
      <c r="L9">
        <v>0.02</v>
      </c>
      <c r="M9">
        <v>0.02</v>
      </c>
      <c r="N9">
        <v>0.02</v>
      </c>
      <c r="O9">
        <v>0.02</v>
      </c>
      <c r="P9">
        <v>0.02</v>
      </c>
    </row>
    <row r="10" spans="1:16">
      <c r="A10" s="84" t="s">
        <v>91</v>
      </c>
      <c r="B10" s="85" t="s">
        <v>90</v>
      </c>
      <c r="C10" s="85" t="s">
        <v>92</v>
      </c>
      <c r="D10" s="84" t="s">
        <v>87</v>
      </c>
      <c r="E10" s="84">
        <v>1</v>
      </c>
      <c r="F10">
        <v>0.02</v>
      </c>
      <c r="G10">
        <v>0.02</v>
      </c>
      <c r="H10">
        <v>0.02</v>
      </c>
      <c r="I10">
        <v>0.02</v>
      </c>
      <c r="J10">
        <v>0.02</v>
      </c>
      <c r="K10">
        <v>0.02</v>
      </c>
      <c r="L10">
        <v>0.02</v>
      </c>
      <c r="M10">
        <v>0.02</v>
      </c>
      <c r="N10">
        <v>0.02</v>
      </c>
      <c r="O10">
        <v>0.02</v>
      </c>
      <c r="P10">
        <v>0.02</v>
      </c>
    </row>
    <row r="11" spans="1:16">
      <c r="A11" s="84" t="s">
        <v>94</v>
      </c>
      <c r="B11" s="85" t="s">
        <v>93</v>
      </c>
      <c r="C11" s="85" t="s">
        <v>92</v>
      </c>
      <c r="D11" s="84" t="s">
        <v>80</v>
      </c>
      <c r="E11" s="84">
        <v>1</v>
      </c>
      <c r="F11">
        <v>0.02</v>
      </c>
      <c r="G11">
        <v>0.02</v>
      </c>
      <c r="H11">
        <v>0.02</v>
      </c>
      <c r="I11">
        <v>0.02</v>
      </c>
      <c r="J11">
        <v>0.02</v>
      </c>
      <c r="K11">
        <v>0.02</v>
      </c>
      <c r="L11">
        <v>0.02</v>
      </c>
      <c r="M11">
        <v>0.02</v>
      </c>
      <c r="N11">
        <v>0.02</v>
      </c>
      <c r="O11">
        <v>0.02</v>
      </c>
      <c r="P11">
        <v>0.02</v>
      </c>
    </row>
    <row r="12" spans="1:16">
      <c r="A12" s="84" t="s">
        <v>96</v>
      </c>
      <c r="B12" s="85" t="s">
        <v>95</v>
      </c>
      <c r="C12" s="85" t="s">
        <v>79</v>
      </c>
      <c r="D12" s="84" t="s">
        <v>80</v>
      </c>
      <c r="E12" s="84">
        <v>1</v>
      </c>
      <c r="F12">
        <v>0.02</v>
      </c>
      <c r="G12">
        <v>0.02</v>
      </c>
      <c r="H12">
        <v>0.02</v>
      </c>
      <c r="I12">
        <v>0.02</v>
      </c>
      <c r="J12">
        <v>0.02</v>
      </c>
      <c r="K12">
        <v>0.02</v>
      </c>
      <c r="L12">
        <v>0.02</v>
      </c>
      <c r="M12">
        <v>0.02</v>
      </c>
      <c r="N12">
        <v>0.02</v>
      </c>
      <c r="O12">
        <v>0.02</v>
      </c>
      <c r="P12">
        <v>0.02</v>
      </c>
    </row>
    <row r="13" spans="1:16">
      <c r="A13" s="84" t="s">
        <v>98</v>
      </c>
      <c r="B13" s="85" t="s">
        <v>97</v>
      </c>
      <c r="C13" s="85" t="s">
        <v>99</v>
      </c>
      <c r="D13" s="84" t="s">
        <v>87</v>
      </c>
      <c r="E13" s="84">
        <v>1</v>
      </c>
      <c r="F13">
        <v>0.02</v>
      </c>
      <c r="G13">
        <v>0.02</v>
      </c>
      <c r="H13">
        <v>0.02</v>
      </c>
      <c r="I13">
        <v>0.02</v>
      </c>
      <c r="J13">
        <v>0.02</v>
      </c>
      <c r="K13">
        <v>0.02</v>
      </c>
      <c r="L13">
        <v>0.02</v>
      </c>
      <c r="M13">
        <v>0.02</v>
      </c>
      <c r="N13">
        <v>0.02</v>
      </c>
      <c r="O13">
        <v>0.02</v>
      </c>
      <c r="P13">
        <v>0.02</v>
      </c>
    </row>
    <row r="14" spans="1:16">
      <c r="A14" s="84" t="s">
        <v>101</v>
      </c>
      <c r="B14" s="85" t="s">
        <v>100</v>
      </c>
      <c r="C14" s="85" t="s">
        <v>79</v>
      </c>
      <c r="D14" s="84" t="s">
        <v>87</v>
      </c>
      <c r="E14" s="84">
        <v>1</v>
      </c>
      <c r="F14">
        <v>0.02</v>
      </c>
      <c r="G14">
        <v>0.02</v>
      </c>
      <c r="H14">
        <v>0.02</v>
      </c>
      <c r="I14">
        <v>0.02</v>
      </c>
      <c r="J14">
        <v>0.02</v>
      </c>
      <c r="K14">
        <v>0.02</v>
      </c>
      <c r="L14">
        <v>0.02</v>
      </c>
      <c r="M14">
        <v>0.02</v>
      </c>
      <c r="N14">
        <v>0.02</v>
      </c>
      <c r="O14">
        <v>0.02</v>
      </c>
      <c r="P14">
        <v>0.02</v>
      </c>
    </row>
    <row r="15" spans="1:16">
      <c r="A15" s="84" t="s">
        <v>103</v>
      </c>
      <c r="B15" s="85" t="s">
        <v>102</v>
      </c>
      <c r="C15" s="85" t="s">
        <v>79</v>
      </c>
      <c r="D15" s="84" t="s">
        <v>80</v>
      </c>
      <c r="E15" s="84">
        <v>1</v>
      </c>
      <c r="F15">
        <v>0.02</v>
      </c>
      <c r="G15">
        <v>0.02</v>
      </c>
      <c r="H15">
        <v>0.02</v>
      </c>
      <c r="I15">
        <v>0.02</v>
      </c>
      <c r="J15">
        <v>0.02</v>
      </c>
      <c r="K15">
        <v>0.02</v>
      </c>
      <c r="L15">
        <v>0.02</v>
      </c>
      <c r="M15">
        <v>0.02</v>
      </c>
      <c r="N15">
        <v>0.02</v>
      </c>
      <c r="O15">
        <v>0.02</v>
      </c>
      <c r="P15">
        <v>0.02</v>
      </c>
    </row>
    <row r="16" spans="1:16">
      <c r="A16" s="84" t="s">
        <v>105</v>
      </c>
      <c r="B16" s="85" t="s">
        <v>104</v>
      </c>
      <c r="C16" s="85" t="s">
        <v>92</v>
      </c>
      <c r="D16" s="84" t="s">
        <v>87</v>
      </c>
      <c r="E16" s="84">
        <v>1</v>
      </c>
      <c r="F16">
        <v>0.02</v>
      </c>
      <c r="G16">
        <v>0.02</v>
      </c>
      <c r="H16">
        <v>0.02</v>
      </c>
      <c r="I16">
        <v>0.02</v>
      </c>
      <c r="J16">
        <v>0.02</v>
      </c>
      <c r="K16">
        <v>0.02</v>
      </c>
      <c r="L16">
        <v>0.02</v>
      </c>
      <c r="M16">
        <v>0.02</v>
      </c>
      <c r="N16">
        <v>0.02</v>
      </c>
      <c r="O16">
        <v>0.02</v>
      </c>
      <c r="P16">
        <v>0.02</v>
      </c>
    </row>
    <row r="17" spans="1:16">
      <c r="A17" s="84" t="s">
        <v>107</v>
      </c>
      <c r="B17" s="85" t="s">
        <v>106</v>
      </c>
      <c r="C17" s="85" t="s">
        <v>74</v>
      </c>
      <c r="D17" s="84" t="s">
        <v>87</v>
      </c>
      <c r="E17" s="84">
        <v>1</v>
      </c>
      <c r="F17">
        <v>0.02</v>
      </c>
      <c r="G17">
        <v>0.02</v>
      </c>
      <c r="H17">
        <v>0.02</v>
      </c>
      <c r="I17">
        <v>0.02</v>
      </c>
      <c r="J17">
        <v>0.02</v>
      </c>
      <c r="K17">
        <v>0.02</v>
      </c>
      <c r="L17">
        <v>0.02</v>
      </c>
      <c r="M17">
        <v>0.02</v>
      </c>
      <c r="N17">
        <v>0.02</v>
      </c>
      <c r="O17">
        <v>0.02</v>
      </c>
      <c r="P17">
        <v>0.02</v>
      </c>
    </row>
    <row r="18" spans="1:16">
      <c r="A18" s="84" t="s">
        <v>109</v>
      </c>
      <c r="B18" s="85" t="s">
        <v>108</v>
      </c>
      <c r="C18" s="85" t="s">
        <v>110</v>
      </c>
      <c r="D18" s="84" t="s">
        <v>84</v>
      </c>
      <c r="E18" s="84" t="s">
        <v>76</v>
      </c>
      <c r="F18">
        <v>0.02</v>
      </c>
      <c r="G18">
        <v>0.02</v>
      </c>
      <c r="H18">
        <v>0.02</v>
      </c>
      <c r="I18">
        <v>0.02</v>
      </c>
      <c r="J18">
        <v>0.02</v>
      </c>
      <c r="K18">
        <v>0.02</v>
      </c>
      <c r="L18">
        <v>0.02</v>
      </c>
      <c r="M18">
        <v>0.02</v>
      </c>
      <c r="N18">
        <v>0.02</v>
      </c>
      <c r="O18">
        <v>0.02</v>
      </c>
      <c r="P18">
        <v>0.02</v>
      </c>
    </row>
    <row r="19" spans="1:16">
      <c r="A19" s="84" t="s">
        <v>112</v>
      </c>
      <c r="B19" s="85" t="s">
        <v>111</v>
      </c>
      <c r="C19" s="85" t="s">
        <v>92</v>
      </c>
      <c r="D19" s="84" t="s">
        <v>87</v>
      </c>
      <c r="E19" s="84">
        <v>1</v>
      </c>
      <c r="F19">
        <v>0.02</v>
      </c>
      <c r="G19">
        <v>0.02</v>
      </c>
      <c r="H19">
        <v>0.02</v>
      </c>
      <c r="I19">
        <v>0.02</v>
      </c>
      <c r="J19">
        <v>0.02</v>
      </c>
      <c r="K19">
        <v>0.02</v>
      </c>
      <c r="L19">
        <v>0.02</v>
      </c>
      <c r="M19">
        <v>0.02</v>
      </c>
      <c r="N19">
        <v>0.02</v>
      </c>
      <c r="O19">
        <v>0.02</v>
      </c>
      <c r="P19">
        <v>0.02</v>
      </c>
    </row>
    <row r="20" spans="1:16">
      <c r="A20" s="84" t="s">
        <v>114</v>
      </c>
      <c r="B20" s="85" t="s">
        <v>113</v>
      </c>
      <c r="C20" s="85" t="s">
        <v>79</v>
      </c>
      <c r="D20" s="84" t="s">
        <v>80</v>
      </c>
      <c r="E20" s="84">
        <v>2</v>
      </c>
      <c r="F20">
        <v>0.02</v>
      </c>
      <c r="G20">
        <v>0.02</v>
      </c>
      <c r="H20">
        <v>0.02</v>
      </c>
      <c r="I20">
        <v>0.02</v>
      </c>
      <c r="J20">
        <v>0.02</v>
      </c>
      <c r="K20">
        <v>0.02</v>
      </c>
      <c r="L20">
        <v>0.02</v>
      </c>
      <c r="M20">
        <v>0.02</v>
      </c>
      <c r="N20">
        <v>0.02</v>
      </c>
      <c r="O20">
        <v>0.02</v>
      </c>
      <c r="P20">
        <v>0.02</v>
      </c>
    </row>
    <row r="21" spans="1:16">
      <c r="A21" s="84" t="s">
        <v>116</v>
      </c>
      <c r="B21" s="85" t="s">
        <v>115</v>
      </c>
      <c r="C21" s="85" t="s">
        <v>79</v>
      </c>
      <c r="D21" s="84" t="s">
        <v>87</v>
      </c>
      <c r="E21" s="84">
        <v>1</v>
      </c>
      <c r="F21">
        <v>0.02</v>
      </c>
      <c r="G21">
        <v>0.02</v>
      </c>
      <c r="H21">
        <v>0.02</v>
      </c>
      <c r="I21">
        <v>0.02</v>
      </c>
      <c r="J21">
        <v>0.02</v>
      </c>
      <c r="K21">
        <v>0.02</v>
      </c>
      <c r="L21">
        <v>0.02</v>
      </c>
      <c r="M21">
        <v>0.02</v>
      </c>
      <c r="N21">
        <v>0.02</v>
      </c>
      <c r="O21">
        <v>0.02</v>
      </c>
      <c r="P21">
        <v>0.02</v>
      </c>
    </row>
    <row r="22" spans="1:16">
      <c r="A22" s="84" t="s">
        <v>118</v>
      </c>
      <c r="B22" s="85" t="s">
        <v>117</v>
      </c>
      <c r="C22" s="85" t="s">
        <v>92</v>
      </c>
      <c r="D22" s="84" t="s">
        <v>80</v>
      </c>
      <c r="E22" s="84">
        <v>1</v>
      </c>
      <c r="F22">
        <v>0.02</v>
      </c>
      <c r="G22">
        <v>0.02</v>
      </c>
      <c r="H22">
        <v>0.02</v>
      </c>
      <c r="I22">
        <v>0.02</v>
      </c>
      <c r="J22">
        <v>0.02</v>
      </c>
      <c r="K22">
        <v>0.02</v>
      </c>
      <c r="L22">
        <v>0.02</v>
      </c>
      <c r="M22">
        <v>0.02</v>
      </c>
      <c r="N22">
        <v>0.02</v>
      </c>
      <c r="O22">
        <v>0.02</v>
      </c>
      <c r="P22">
        <v>0.02</v>
      </c>
    </row>
    <row r="23" spans="1:16">
      <c r="A23" s="84" t="s">
        <v>120</v>
      </c>
      <c r="B23" s="85" t="s">
        <v>119</v>
      </c>
      <c r="C23" s="85" t="s">
        <v>83</v>
      </c>
      <c r="D23" s="84" t="s">
        <v>84</v>
      </c>
      <c r="E23" s="84">
        <v>3</v>
      </c>
      <c r="F23">
        <v>0.02</v>
      </c>
      <c r="G23">
        <v>0.02</v>
      </c>
      <c r="H23">
        <v>0.02</v>
      </c>
      <c r="I23">
        <v>0.02</v>
      </c>
      <c r="J23">
        <v>0.02</v>
      </c>
      <c r="K23">
        <v>0.02</v>
      </c>
      <c r="L23">
        <v>0.02</v>
      </c>
      <c r="M23">
        <v>0.02</v>
      </c>
      <c r="N23">
        <v>0.02</v>
      </c>
      <c r="O23">
        <v>0.02</v>
      </c>
      <c r="P23">
        <v>0.02</v>
      </c>
    </row>
    <row r="24" spans="1:16">
      <c r="A24" s="84" t="s">
        <v>122</v>
      </c>
      <c r="B24" s="85" t="s">
        <v>121</v>
      </c>
      <c r="C24" s="85" t="s">
        <v>110</v>
      </c>
      <c r="D24" s="84" t="s">
        <v>84</v>
      </c>
      <c r="E24" s="84">
        <v>2</v>
      </c>
      <c r="F24">
        <v>0.02</v>
      </c>
      <c r="G24">
        <v>0.02</v>
      </c>
      <c r="H24">
        <v>0.02</v>
      </c>
      <c r="I24">
        <v>0.02</v>
      </c>
      <c r="J24">
        <v>0.02</v>
      </c>
      <c r="K24">
        <v>0.02</v>
      </c>
      <c r="L24">
        <v>0.02</v>
      </c>
      <c r="M24">
        <v>0.02</v>
      </c>
      <c r="N24">
        <v>0.02</v>
      </c>
      <c r="O24">
        <v>0.02</v>
      </c>
      <c r="P24">
        <v>0.02</v>
      </c>
    </row>
    <row r="25" spans="1:16">
      <c r="A25" s="84" t="s">
        <v>124</v>
      </c>
      <c r="B25" s="85" t="s">
        <v>123</v>
      </c>
      <c r="C25" s="85" t="s">
        <v>92</v>
      </c>
      <c r="D25" s="84" t="s">
        <v>84</v>
      </c>
      <c r="E25" s="84">
        <v>2</v>
      </c>
      <c r="F25">
        <v>0.02</v>
      </c>
      <c r="G25">
        <v>0.02</v>
      </c>
      <c r="H25">
        <v>0.02</v>
      </c>
      <c r="I25">
        <v>0.02</v>
      </c>
      <c r="J25">
        <v>0.02</v>
      </c>
      <c r="K25">
        <v>0.02</v>
      </c>
      <c r="L25">
        <v>0.02</v>
      </c>
      <c r="M25">
        <v>0.02</v>
      </c>
      <c r="N25">
        <v>0.02</v>
      </c>
      <c r="O25">
        <v>0.02</v>
      </c>
      <c r="P25">
        <v>0.02</v>
      </c>
    </row>
    <row r="26" spans="1:16">
      <c r="A26" s="84" t="s">
        <v>126</v>
      </c>
      <c r="B26" s="85" t="s">
        <v>125</v>
      </c>
      <c r="C26" s="85" t="s">
        <v>79</v>
      </c>
      <c r="D26" s="84" t="s">
        <v>80</v>
      </c>
      <c r="E26" s="84">
        <v>1</v>
      </c>
      <c r="F26">
        <v>0.02</v>
      </c>
      <c r="G26">
        <v>0.02</v>
      </c>
      <c r="H26">
        <v>0.02</v>
      </c>
      <c r="I26">
        <v>0.02</v>
      </c>
      <c r="J26">
        <v>0.02</v>
      </c>
      <c r="K26">
        <v>0.02</v>
      </c>
      <c r="L26">
        <v>0.02</v>
      </c>
      <c r="M26">
        <v>0.02</v>
      </c>
      <c r="N26">
        <v>0.02</v>
      </c>
      <c r="O26">
        <v>0.02</v>
      </c>
      <c r="P26">
        <v>0.02</v>
      </c>
    </row>
    <row r="27" spans="1:16">
      <c r="A27" s="84" t="s">
        <v>128</v>
      </c>
      <c r="B27" s="85" t="s">
        <v>127</v>
      </c>
      <c r="C27" s="85" t="s">
        <v>83</v>
      </c>
      <c r="D27" s="84" t="s">
        <v>80</v>
      </c>
      <c r="E27" s="84">
        <v>2</v>
      </c>
      <c r="F27">
        <v>0.02</v>
      </c>
      <c r="G27">
        <v>0.02</v>
      </c>
      <c r="H27">
        <v>0.02</v>
      </c>
      <c r="I27">
        <v>0.02</v>
      </c>
      <c r="J27">
        <v>0.02</v>
      </c>
      <c r="K27">
        <v>0.02</v>
      </c>
      <c r="L27">
        <v>0.02</v>
      </c>
      <c r="M27">
        <v>0.02</v>
      </c>
      <c r="N27">
        <v>0.02</v>
      </c>
      <c r="O27">
        <v>0.02</v>
      </c>
      <c r="P27">
        <v>0.02</v>
      </c>
    </row>
    <row r="28" spans="1:16">
      <c r="A28" s="84" t="s">
        <v>130</v>
      </c>
      <c r="B28" s="85" t="s">
        <v>129</v>
      </c>
      <c r="C28" s="85" t="s">
        <v>92</v>
      </c>
      <c r="D28" s="84" t="s">
        <v>80</v>
      </c>
      <c r="E28" s="84" t="s">
        <v>76</v>
      </c>
      <c r="F28">
        <v>0.02</v>
      </c>
      <c r="G28">
        <v>0.02</v>
      </c>
      <c r="H28">
        <v>0.02</v>
      </c>
      <c r="I28">
        <v>0.02</v>
      </c>
      <c r="J28">
        <v>0.02</v>
      </c>
      <c r="K28">
        <v>0.02</v>
      </c>
      <c r="L28">
        <v>0.02</v>
      </c>
      <c r="M28">
        <v>0.02</v>
      </c>
      <c r="N28">
        <v>0.02</v>
      </c>
      <c r="O28">
        <v>0.02</v>
      </c>
      <c r="P28">
        <v>0.02</v>
      </c>
    </row>
    <row r="29" spans="1:16">
      <c r="A29" s="84" t="s">
        <v>132</v>
      </c>
      <c r="B29" s="85" t="s">
        <v>131</v>
      </c>
      <c r="C29" s="85" t="s">
        <v>99</v>
      </c>
      <c r="D29" s="84" t="s">
        <v>87</v>
      </c>
      <c r="E29" s="84">
        <v>1</v>
      </c>
      <c r="F29">
        <v>0.02</v>
      </c>
      <c r="G29">
        <v>0.02</v>
      </c>
      <c r="H29">
        <v>0.02</v>
      </c>
      <c r="I29">
        <v>0.02</v>
      </c>
      <c r="J29">
        <v>0.02</v>
      </c>
      <c r="K29">
        <v>0.02</v>
      </c>
      <c r="L29">
        <v>0.02</v>
      </c>
      <c r="M29">
        <v>0.02</v>
      </c>
      <c r="N29">
        <v>0.02</v>
      </c>
      <c r="O29">
        <v>0.02</v>
      </c>
      <c r="P29">
        <v>0.02</v>
      </c>
    </row>
    <row r="30" spans="1:16">
      <c r="A30" s="84" t="s">
        <v>134</v>
      </c>
      <c r="B30" s="85" t="s">
        <v>133</v>
      </c>
      <c r="C30" s="85" t="s">
        <v>79</v>
      </c>
      <c r="D30" s="84" t="s">
        <v>80</v>
      </c>
      <c r="E30" s="84">
        <v>1</v>
      </c>
      <c r="F30">
        <v>0.02</v>
      </c>
      <c r="G30">
        <v>0.02</v>
      </c>
      <c r="H30">
        <v>0.02</v>
      </c>
      <c r="I30">
        <v>0.02</v>
      </c>
      <c r="J30">
        <v>0.02</v>
      </c>
      <c r="K30">
        <v>0.02</v>
      </c>
      <c r="L30">
        <v>0.02</v>
      </c>
      <c r="M30">
        <v>0.02</v>
      </c>
      <c r="N30">
        <v>0.02</v>
      </c>
      <c r="O30">
        <v>0.02</v>
      </c>
      <c r="P30">
        <v>0.02</v>
      </c>
    </row>
    <row r="31" spans="1:16">
      <c r="A31" s="84" t="s">
        <v>136</v>
      </c>
      <c r="B31" s="85" t="s">
        <v>135</v>
      </c>
      <c r="C31" s="85" t="s">
        <v>83</v>
      </c>
      <c r="D31" s="84" t="s">
        <v>75</v>
      </c>
      <c r="E31" s="84">
        <v>3</v>
      </c>
      <c r="F31">
        <v>0.02</v>
      </c>
      <c r="G31">
        <v>0.02</v>
      </c>
      <c r="H31">
        <v>0.02</v>
      </c>
      <c r="I31">
        <v>0.02</v>
      </c>
      <c r="J31">
        <v>0.02</v>
      </c>
      <c r="K31">
        <v>0.02</v>
      </c>
      <c r="L31">
        <v>0.02</v>
      </c>
      <c r="M31">
        <v>0.02</v>
      </c>
      <c r="N31">
        <v>0.02</v>
      </c>
      <c r="O31">
        <v>0.02</v>
      </c>
      <c r="P31">
        <v>0.02</v>
      </c>
    </row>
    <row r="32" spans="1:16">
      <c r="A32" s="84" t="s">
        <v>138</v>
      </c>
      <c r="B32" s="85" t="s">
        <v>137</v>
      </c>
      <c r="C32" s="85" t="s">
        <v>83</v>
      </c>
      <c r="D32" s="84" t="s">
        <v>75</v>
      </c>
      <c r="E32" s="84">
        <v>3</v>
      </c>
      <c r="F32">
        <v>0.02</v>
      </c>
      <c r="G32">
        <v>0.02</v>
      </c>
      <c r="H32">
        <v>0.02</v>
      </c>
      <c r="I32">
        <v>0.02</v>
      </c>
      <c r="J32">
        <v>0.02</v>
      </c>
      <c r="K32">
        <v>0.02</v>
      </c>
      <c r="L32">
        <v>0.02</v>
      </c>
      <c r="M32">
        <v>0.02</v>
      </c>
      <c r="N32">
        <v>0.02</v>
      </c>
      <c r="O32">
        <v>0.02</v>
      </c>
      <c r="P32">
        <v>0.02</v>
      </c>
    </row>
    <row r="33" spans="1:16">
      <c r="A33" s="84" t="s">
        <v>140</v>
      </c>
      <c r="B33" s="85" t="s">
        <v>139</v>
      </c>
      <c r="C33" s="85" t="s">
        <v>99</v>
      </c>
      <c r="D33" s="84" t="s">
        <v>84</v>
      </c>
      <c r="E33" s="84">
        <v>4</v>
      </c>
      <c r="F33">
        <v>0.02</v>
      </c>
      <c r="G33">
        <v>0.02</v>
      </c>
      <c r="H33">
        <v>0.02</v>
      </c>
      <c r="I33">
        <v>0.02</v>
      </c>
      <c r="J33">
        <v>0.02</v>
      </c>
      <c r="K33">
        <v>0.02</v>
      </c>
      <c r="L33">
        <v>0.02</v>
      </c>
      <c r="M33">
        <v>0.02</v>
      </c>
      <c r="N33">
        <v>0.02</v>
      </c>
      <c r="O33">
        <v>0.02</v>
      </c>
      <c r="P33">
        <v>0.02</v>
      </c>
    </row>
    <row r="34" spans="1:16">
      <c r="A34" s="84" t="s">
        <v>142</v>
      </c>
      <c r="B34" s="85" t="s">
        <v>141</v>
      </c>
      <c r="C34" s="85" t="s">
        <v>83</v>
      </c>
      <c r="D34" s="84" t="s">
        <v>84</v>
      </c>
      <c r="E34" s="84">
        <v>3</v>
      </c>
      <c r="F34">
        <v>0.02</v>
      </c>
      <c r="G34">
        <v>0.02</v>
      </c>
      <c r="H34">
        <v>0.02</v>
      </c>
      <c r="I34">
        <v>0.02</v>
      </c>
      <c r="J34">
        <v>0.02</v>
      </c>
      <c r="K34">
        <v>0.02</v>
      </c>
      <c r="L34">
        <v>0.02</v>
      </c>
      <c r="M34">
        <v>0.02</v>
      </c>
      <c r="N34">
        <v>0.02</v>
      </c>
      <c r="O34">
        <v>0.02</v>
      </c>
      <c r="P34">
        <v>0.02</v>
      </c>
    </row>
    <row r="35" spans="1:16">
      <c r="A35" s="84" t="s">
        <v>144</v>
      </c>
      <c r="B35" s="85" t="s">
        <v>143</v>
      </c>
      <c r="C35" s="85" t="s">
        <v>92</v>
      </c>
      <c r="D35" s="84" t="s">
        <v>87</v>
      </c>
      <c r="E35" s="84">
        <v>1</v>
      </c>
      <c r="F35">
        <v>0.02</v>
      </c>
      <c r="G35">
        <v>0.02</v>
      </c>
      <c r="H35">
        <v>0.02</v>
      </c>
      <c r="I35">
        <v>0.02</v>
      </c>
      <c r="J35">
        <v>0.02</v>
      </c>
      <c r="K35">
        <v>0.02</v>
      </c>
      <c r="L35">
        <v>0.02</v>
      </c>
      <c r="M35">
        <v>0.02</v>
      </c>
      <c r="N35">
        <v>0.02</v>
      </c>
      <c r="O35">
        <v>0.02</v>
      </c>
      <c r="P35">
        <v>0.02</v>
      </c>
    </row>
    <row r="36" spans="1:16">
      <c r="A36" s="84" t="s">
        <v>146</v>
      </c>
      <c r="B36" s="85" t="s">
        <v>145</v>
      </c>
      <c r="C36" s="85" t="s">
        <v>83</v>
      </c>
      <c r="D36" s="84" t="s">
        <v>84</v>
      </c>
      <c r="E36" s="84">
        <v>2</v>
      </c>
      <c r="F36">
        <v>0.02</v>
      </c>
      <c r="G36">
        <v>0.02</v>
      </c>
      <c r="H36">
        <v>0.02</v>
      </c>
      <c r="I36">
        <v>0.02</v>
      </c>
      <c r="J36">
        <v>0.02</v>
      </c>
      <c r="K36">
        <v>0.02</v>
      </c>
      <c r="L36">
        <v>0.02</v>
      </c>
      <c r="M36">
        <v>0.02</v>
      </c>
      <c r="N36">
        <v>0.02</v>
      </c>
      <c r="O36">
        <v>0.02</v>
      </c>
      <c r="P36">
        <v>0.02</v>
      </c>
    </row>
    <row r="37" spans="1:16">
      <c r="A37" s="84" t="s">
        <v>148</v>
      </c>
      <c r="B37" s="85" t="s">
        <v>147</v>
      </c>
      <c r="C37" s="85" t="s">
        <v>83</v>
      </c>
      <c r="D37" s="84" t="s">
        <v>75</v>
      </c>
      <c r="E37" s="84">
        <v>3</v>
      </c>
      <c r="F37">
        <v>0.02</v>
      </c>
      <c r="G37">
        <v>0.02</v>
      </c>
      <c r="H37">
        <v>0.02</v>
      </c>
      <c r="I37">
        <v>0.02</v>
      </c>
      <c r="J37">
        <v>0.02</v>
      </c>
      <c r="K37">
        <v>0.02</v>
      </c>
      <c r="L37">
        <v>0.02</v>
      </c>
      <c r="M37">
        <v>0.02</v>
      </c>
      <c r="N37">
        <v>0.02</v>
      </c>
      <c r="O37">
        <v>0.02</v>
      </c>
      <c r="P37">
        <v>0.02</v>
      </c>
    </row>
    <row r="38" spans="1:16">
      <c r="A38" s="84" t="s">
        <v>150</v>
      </c>
      <c r="B38" s="85" t="s">
        <v>149</v>
      </c>
      <c r="C38" s="85" t="s">
        <v>83</v>
      </c>
      <c r="D38" s="84" t="s">
        <v>75</v>
      </c>
      <c r="E38" s="84" t="s">
        <v>76</v>
      </c>
      <c r="F38">
        <v>0.02</v>
      </c>
      <c r="G38">
        <v>0.02</v>
      </c>
      <c r="H38">
        <v>0.02</v>
      </c>
      <c r="I38">
        <v>0.02</v>
      </c>
      <c r="J38">
        <v>0.02</v>
      </c>
      <c r="K38">
        <v>0.02</v>
      </c>
      <c r="L38">
        <v>0.02</v>
      </c>
      <c r="M38">
        <v>0.02</v>
      </c>
      <c r="N38">
        <v>0.02</v>
      </c>
      <c r="O38">
        <v>0.02</v>
      </c>
      <c r="P38">
        <v>0.02</v>
      </c>
    </row>
    <row r="39" spans="1:16">
      <c r="A39" s="84" t="s">
        <v>152</v>
      </c>
      <c r="B39" s="85" t="s">
        <v>151</v>
      </c>
      <c r="C39" s="85" t="s">
        <v>92</v>
      </c>
      <c r="D39" s="84" t="s">
        <v>87</v>
      </c>
      <c r="E39" s="84">
        <v>2</v>
      </c>
      <c r="F39">
        <v>0.02</v>
      </c>
      <c r="G39">
        <v>0.02</v>
      </c>
      <c r="H39">
        <v>0.02</v>
      </c>
      <c r="I39">
        <v>0.02</v>
      </c>
      <c r="J39">
        <v>0.02</v>
      </c>
      <c r="K39">
        <v>0.02</v>
      </c>
      <c r="L39">
        <v>0.02</v>
      </c>
      <c r="M39">
        <v>0.02</v>
      </c>
      <c r="N39">
        <v>0.02</v>
      </c>
      <c r="O39">
        <v>0.02</v>
      </c>
      <c r="P39">
        <v>0.02</v>
      </c>
    </row>
    <row r="40" spans="1:16">
      <c r="A40" s="84" t="s">
        <v>154</v>
      </c>
      <c r="B40" s="85" t="s">
        <v>153</v>
      </c>
      <c r="C40" s="85" t="s">
        <v>99</v>
      </c>
      <c r="D40" s="84" t="s">
        <v>80</v>
      </c>
      <c r="E40" s="84">
        <v>1</v>
      </c>
      <c r="F40">
        <v>0.02</v>
      </c>
      <c r="G40">
        <v>0.02</v>
      </c>
      <c r="H40">
        <v>0.02</v>
      </c>
      <c r="I40">
        <v>0.02</v>
      </c>
      <c r="J40">
        <v>0.02</v>
      </c>
      <c r="K40">
        <v>0.02</v>
      </c>
      <c r="L40">
        <v>0.02</v>
      </c>
      <c r="M40">
        <v>0.02</v>
      </c>
      <c r="N40">
        <v>0.02</v>
      </c>
      <c r="O40">
        <v>0.02</v>
      </c>
      <c r="P40">
        <v>0.02</v>
      </c>
    </row>
    <row r="41" spans="1:16">
      <c r="A41" s="84" t="s">
        <v>156</v>
      </c>
      <c r="B41" s="85" t="s">
        <v>155</v>
      </c>
      <c r="C41" s="85" t="s">
        <v>92</v>
      </c>
      <c r="D41" s="84" t="s">
        <v>80</v>
      </c>
      <c r="E41" s="84">
        <v>2</v>
      </c>
      <c r="F41">
        <v>0.02</v>
      </c>
      <c r="G41">
        <v>0.02</v>
      </c>
      <c r="H41">
        <v>0.02</v>
      </c>
      <c r="I41">
        <v>0.02</v>
      </c>
      <c r="J41">
        <v>0.02</v>
      </c>
      <c r="K41">
        <v>0.02</v>
      </c>
      <c r="L41">
        <v>0.02</v>
      </c>
      <c r="M41">
        <v>0.02</v>
      </c>
      <c r="N41">
        <v>0.02</v>
      </c>
      <c r="O41">
        <v>0.02</v>
      </c>
      <c r="P41">
        <v>0.02</v>
      </c>
    </row>
    <row r="42" spans="1:16">
      <c r="A42" s="84" t="s">
        <v>158</v>
      </c>
      <c r="B42" s="85" t="s">
        <v>157</v>
      </c>
      <c r="C42" s="85" t="s">
        <v>83</v>
      </c>
      <c r="D42" s="84" t="s">
        <v>84</v>
      </c>
      <c r="E42" s="84">
        <v>3</v>
      </c>
      <c r="F42">
        <v>0.02</v>
      </c>
      <c r="G42">
        <v>0.02</v>
      </c>
      <c r="H42">
        <v>0.02</v>
      </c>
      <c r="I42">
        <v>0.02</v>
      </c>
      <c r="J42">
        <v>0.02</v>
      </c>
      <c r="K42">
        <v>0.02</v>
      </c>
      <c r="L42">
        <v>0.02</v>
      </c>
      <c r="M42">
        <v>0.02</v>
      </c>
      <c r="N42">
        <v>0.02</v>
      </c>
      <c r="O42">
        <v>0.02</v>
      </c>
      <c r="P42">
        <v>0.02</v>
      </c>
    </row>
    <row r="43" spans="1:16">
      <c r="A43" s="84" t="s">
        <v>160</v>
      </c>
      <c r="B43" s="85" t="s">
        <v>159</v>
      </c>
      <c r="C43" s="85" t="s">
        <v>83</v>
      </c>
      <c r="D43" s="84" t="s">
        <v>84</v>
      </c>
      <c r="E43" s="84">
        <v>3</v>
      </c>
      <c r="F43">
        <v>0.02</v>
      </c>
      <c r="G43">
        <v>0.02</v>
      </c>
      <c r="H43">
        <v>0.02</v>
      </c>
      <c r="I43">
        <v>0.02</v>
      </c>
      <c r="J43">
        <v>0.02</v>
      </c>
      <c r="K43">
        <v>0.02</v>
      </c>
      <c r="L43">
        <v>0.02</v>
      </c>
      <c r="M43">
        <v>0.02</v>
      </c>
      <c r="N43">
        <v>0.02</v>
      </c>
      <c r="O43">
        <v>0.02</v>
      </c>
      <c r="P43">
        <v>0.02</v>
      </c>
    </row>
    <row r="44" spans="1:16">
      <c r="A44" s="84" t="s">
        <v>162</v>
      </c>
      <c r="B44" s="85" t="s">
        <v>161</v>
      </c>
      <c r="C44" s="85" t="s">
        <v>99</v>
      </c>
      <c r="D44" s="84" t="e">
        <v>#N/A</v>
      </c>
      <c r="E44" s="84">
        <v>1</v>
      </c>
      <c r="F44">
        <v>0.02</v>
      </c>
      <c r="G44">
        <v>0.02</v>
      </c>
      <c r="H44">
        <v>0.02</v>
      </c>
      <c r="I44">
        <v>0.02</v>
      </c>
      <c r="J44">
        <v>0.02</v>
      </c>
      <c r="K44">
        <v>0.02</v>
      </c>
      <c r="L44">
        <v>0.02</v>
      </c>
      <c r="M44">
        <v>0.02</v>
      </c>
      <c r="N44">
        <v>0.02</v>
      </c>
      <c r="O44">
        <v>0.02</v>
      </c>
      <c r="P44">
        <v>0.02</v>
      </c>
    </row>
    <row r="45" spans="1:16">
      <c r="A45" s="84" t="s">
        <v>164</v>
      </c>
      <c r="B45" s="85" t="s">
        <v>163</v>
      </c>
      <c r="C45" s="85" t="s">
        <v>92</v>
      </c>
      <c r="D45" s="84" t="s">
        <v>80</v>
      </c>
      <c r="E45" s="84">
        <v>2</v>
      </c>
      <c r="F45">
        <v>0.02</v>
      </c>
      <c r="G45">
        <v>0.02</v>
      </c>
      <c r="H45">
        <v>0.02</v>
      </c>
      <c r="I45">
        <v>0.02</v>
      </c>
      <c r="J45">
        <v>0.02</v>
      </c>
      <c r="K45">
        <v>0.02</v>
      </c>
      <c r="L45">
        <v>0.02</v>
      </c>
      <c r="M45">
        <v>0.02</v>
      </c>
      <c r="N45">
        <v>0.02</v>
      </c>
      <c r="O45">
        <v>0.02</v>
      </c>
      <c r="P45">
        <v>0.02</v>
      </c>
    </row>
    <row r="46" spans="1:16">
      <c r="A46" s="84" t="s">
        <v>166</v>
      </c>
      <c r="B46" s="85" t="s">
        <v>165</v>
      </c>
      <c r="C46" s="85" t="s">
        <v>83</v>
      </c>
      <c r="D46" s="84" t="s">
        <v>84</v>
      </c>
      <c r="E46" s="84">
        <v>3</v>
      </c>
      <c r="F46">
        <v>0.02</v>
      </c>
      <c r="G46">
        <v>0.02</v>
      </c>
      <c r="H46">
        <v>0.02</v>
      </c>
      <c r="I46">
        <v>0.02</v>
      </c>
      <c r="J46">
        <v>0.02</v>
      </c>
      <c r="K46">
        <v>0.02</v>
      </c>
      <c r="L46">
        <v>0.02</v>
      </c>
      <c r="M46">
        <v>0.02</v>
      </c>
      <c r="N46">
        <v>0.02</v>
      </c>
      <c r="O46">
        <v>0.02</v>
      </c>
      <c r="P46">
        <v>0.02</v>
      </c>
    </row>
    <row r="47" spans="1:16">
      <c r="A47" s="84" t="s">
        <v>168</v>
      </c>
      <c r="B47" s="85" t="s">
        <v>167</v>
      </c>
      <c r="C47" s="85" t="s">
        <v>79</v>
      </c>
      <c r="D47" s="84" t="s">
        <v>87</v>
      </c>
      <c r="E47" s="84">
        <v>1</v>
      </c>
      <c r="F47">
        <v>0.02</v>
      </c>
      <c r="G47">
        <v>0.02</v>
      </c>
      <c r="H47">
        <v>0.02</v>
      </c>
      <c r="I47">
        <v>0.02</v>
      </c>
      <c r="J47">
        <v>0.02</v>
      </c>
      <c r="K47">
        <v>0.02</v>
      </c>
      <c r="L47">
        <v>0.02</v>
      </c>
      <c r="M47">
        <v>0.02</v>
      </c>
      <c r="N47">
        <v>0.02</v>
      </c>
      <c r="O47">
        <v>0.02</v>
      </c>
      <c r="P47">
        <v>0.02</v>
      </c>
    </row>
    <row r="48" spans="1:16">
      <c r="A48" s="84" t="s">
        <v>170</v>
      </c>
      <c r="B48" s="85" t="s">
        <v>169</v>
      </c>
      <c r="C48" s="85" t="s">
        <v>92</v>
      </c>
      <c r="D48" s="84" t="s">
        <v>80</v>
      </c>
      <c r="E48" s="84">
        <v>1</v>
      </c>
      <c r="F48">
        <v>0.02</v>
      </c>
      <c r="G48">
        <v>0.02</v>
      </c>
      <c r="H48">
        <v>0.02</v>
      </c>
      <c r="I48">
        <v>0.02</v>
      </c>
      <c r="J48">
        <v>0.02</v>
      </c>
      <c r="K48">
        <v>0.02</v>
      </c>
      <c r="L48">
        <v>0.02</v>
      </c>
      <c r="M48">
        <v>0.02</v>
      </c>
      <c r="N48">
        <v>0.02</v>
      </c>
      <c r="O48">
        <v>0.02</v>
      </c>
      <c r="P48">
        <v>0.02</v>
      </c>
    </row>
    <row r="49" spans="1:16">
      <c r="A49" s="84" t="s">
        <v>172</v>
      </c>
      <c r="B49" s="85" t="s">
        <v>171</v>
      </c>
      <c r="C49" s="85" t="s">
        <v>79</v>
      </c>
      <c r="D49" s="84" t="s">
        <v>87</v>
      </c>
      <c r="E49" s="84">
        <v>1</v>
      </c>
      <c r="F49">
        <v>0.02</v>
      </c>
      <c r="G49">
        <v>0.02</v>
      </c>
      <c r="H49">
        <v>0.02</v>
      </c>
      <c r="I49">
        <v>0.02</v>
      </c>
      <c r="J49">
        <v>0.02</v>
      </c>
      <c r="K49">
        <v>0.02</v>
      </c>
      <c r="L49">
        <v>0.02</v>
      </c>
      <c r="M49">
        <v>0.02</v>
      </c>
      <c r="N49">
        <v>0.02</v>
      </c>
      <c r="O49">
        <v>0.02</v>
      </c>
      <c r="P49">
        <v>0.02</v>
      </c>
    </row>
    <row r="50" spans="1:16">
      <c r="A50" s="84" t="s">
        <v>174</v>
      </c>
      <c r="B50" s="85" t="s">
        <v>173</v>
      </c>
      <c r="C50" s="85" t="s">
        <v>79</v>
      </c>
      <c r="D50" s="84" t="s">
        <v>87</v>
      </c>
      <c r="E50" s="84">
        <v>1</v>
      </c>
      <c r="F50">
        <v>0.02</v>
      </c>
      <c r="G50">
        <v>0.02</v>
      </c>
      <c r="H50">
        <v>0.02</v>
      </c>
      <c r="I50">
        <v>0.02</v>
      </c>
      <c r="J50">
        <v>0.02</v>
      </c>
      <c r="K50">
        <v>0.02</v>
      </c>
      <c r="L50">
        <v>0.02</v>
      </c>
      <c r="M50">
        <v>0.02</v>
      </c>
      <c r="N50">
        <v>0.02</v>
      </c>
      <c r="O50">
        <v>0.02</v>
      </c>
      <c r="P50">
        <v>0.02</v>
      </c>
    </row>
    <row r="51" spans="1:16">
      <c r="A51" s="84" t="s">
        <v>176</v>
      </c>
      <c r="B51" s="85" t="s">
        <v>175</v>
      </c>
      <c r="C51" s="85" t="s">
        <v>110</v>
      </c>
      <c r="D51" s="84" t="s">
        <v>75</v>
      </c>
      <c r="E51" s="84">
        <v>4</v>
      </c>
      <c r="F51">
        <v>0.02</v>
      </c>
      <c r="G51">
        <v>0.02</v>
      </c>
      <c r="H51">
        <v>0.02</v>
      </c>
      <c r="I51">
        <v>0.02</v>
      </c>
      <c r="J51">
        <v>0.02</v>
      </c>
      <c r="K51">
        <v>0.02</v>
      </c>
      <c r="L51">
        <v>0.02</v>
      </c>
      <c r="M51">
        <v>0.02</v>
      </c>
      <c r="N51">
        <v>0.02</v>
      </c>
      <c r="O51">
        <v>0.02</v>
      </c>
      <c r="P51">
        <v>0.02</v>
      </c>
    </row>
    <row r="52" spans="1:16">
      <c r="A52" s="84" t="s">
        <v>178</v>
      </c>
      <c r="B52" s="85" t="s">
        <v>177</v>
      </c>
      <c r="C52" s="85" t="s">
        <v>83</v>
      </c>
      <c r="D52" s="84" t="s">
        <v>75</v>
      </c>
      <c r="E52" s="84" t="s">
        <v>76</v>
      </c>
      <c r="F52">
        <v>0.02</v>
      </c>
      <c r="G52">
        <v>0.02</v>
      </c>
      <c r="H52">
        <v>0.02</v>
      </c>
      <c r="I52">
        <v>0.02</v>
      </c>
      <c r="J52">
        <v>0.02</v>
      </c>
      <c r="K52">
        <v>0.02</v>
      </c>
      <c r="L52">
        <v>0.02</v>
      </c>
      <c r="M52">
        <v>0.02</v>
      </c>
      <c r="N52">
        <v>0.02</v>
      </c>
      <c r="O52">
        <v>0.02</v>
      </c>
      <c r="P52">
        <v>0.02</v>
      </c>
    </row>
    <row r="53" spans="1:16">
      <c r="A53" s="84" t="s">
        <v>180</v>
      </c>
      <c r="B53" s="85" t="s">
        <v>179</v>
      </c>
      <c r="C53" s="85" t="s">
        <v>79</v>
      </c>
      <c r="D53" s="84" t="s">
        <v>87</v>
      </c>
      <c r="E53" s="84">
        <v>1</v>
      </c>
      <c r="F53">
        <v>0.02</v>
      </c>
      <c r="G53">
        <v>0.02</v>
      </c>
      <c r="H53">
        <v>0.02</v>
      </c>
      <c r="I53">
        <v>0.02</v>
      </c>
      <c r="J53">
        <v>0.02</v>
      </c>
      <c r="K53">
        <v>0.02</v>
      </c>
      <c r="L53">
        <v>0.02</v>
      </c>
      <c r="M53">
        <v>0.02</v>
      </c>
      <c r="N53">
        <v>0.02</v>
      </c>
      <c r="O53">
        <v>0.02</v>
      </c>
      <c r="P53">
        <v>0.02</v>
      </c>
    </row>
    <row r="54" spans="1:16">
      <c r="A54" s="84" t="s">
        <v>182</v>
      </c>
      <c r="B54" s="85" t="s">
        <v>181</v>
      </c>
      <c r="C54" s="85" t="s">
        <v>74</v>
      </c>
      <c r="D54" s="84" t="s">
        <v>84</v>
      </c>
      <c r="E54" s="84">
        <v>3</v>
      </c>
      <c r="F54">
        <v>0.02</v>
      </c>
      <c r="G54">
        <v>0.02</v>
      </c>
      <c r="H54">
        <v>0.02</v>
      </c>
      <c r="I54">
        <v>0.02</v>
      </c>
      <c r="J54">
        <v>0.02</v>
      </c>
      <c r="K54">
        <v>0.02</v>
      </c>
      <c r="L54">
        <v>0.02</v>
      </c>
      <c r="M54">
        <v>0.02</v>
      </c>
      <c r="N54">
        <v>0.02</v>
      </c>
      <c r="O54">
        <v>0.02</v>
      </c>
      <c r="P54">
        <v>0.02</v>
      </c>
    </row>
    <row r="55" spans="1:16">
      <c r="A55" s="84" t="s">
        <v>184</v>
      </c>
      <c r="B55" s="85" t="s">
        <v>183</v>
      </c>
      <c r="C55" s="85" t="s">
        <v>92</v>
      </c>
      <c r="D55" s="84" t="s">
        <v>80</v>
      </c>
      <c r="E55" s="84">
        <v>2</v>
      </c>
      <c r="F55">
        <v>0.02</v>
      </c>
      <c r="G55">
        <v>0.02</v>
      </c>
      <c r="H55">
        <v>0.02</v>
      </c>
      <c r="I55">
        <v>0.02</v>
      </c>
      <c r="J55">
        <v>0.02</v>
      </c>
      <c r="K55">
        <v>0.02</v>
      </c>
      <c r="L55">
        <v>0.02</v>
      </c>
      <c r="M55">
        <v>0.02</v>
      </c>
      <c r="N55">
        <v>0.02</v>
      </c>
      <c r="O55">
        <v>0.02</v>
      </c>
      <c r="P55">
        <v>0.02</v>
      </c>
    </row>
    <row r="56" spans="1:16">
      <c r="A56" s="84" t="s">
        <v>184</v>
      </c>
      <c r="B56" s="85" t="s">
        <v>185</v>
      </c>
      <c r="C56" s="85" t="s">
        <v>92</v>
      </c>
      <c r="D56" s="84" t="s">
        <v>80</v>
      </c>
      <c r="E56" s="84">
        <v>2</v>
      </c>
      <c r="F56">
        <v>0.02</v>
      </c>
      <c r="G56">
        <v>0.02</v>
      </c>
      <c r="H56">
        <v>0.02</v>
      </c>
      <c r="I56">
        <v>0.02</v>
      </c>
      <c r="J56">
        <v>0.02</v>
      </c>
      <c r="K56">
        <v>0.02</v>
      </c>
      <c r="L56">
        <v>0.02</v>
      </c>
      <c r="M56">
        <v>0.02</v>
      </c>
      <c r="N56">
        <v>0.02</v>
      </c>
      <c r="O56">
        <v>0.02</v>
      </c>
      <c r="P56">
        <v>0.02</v>
      </c>
    </row>
    <row r="57" spans="1:16">
      <c r="A57" s="84" t="s">
        <v>187</v>
      </c>
      <c r="B57" s="85" t="s">
        <v>186</v>
      </c>
      <c r="C57" s="85" t="s">
        <v>92</v>
      </c>
      <c r="D57" s="84" t="s">
        <v>80</v>
      </c>
      <c r="E57" s="84">
        <v>2</v>
      </c>
      <c r="F57">
        <v>0.02</v>
      </c>
      <c r="G57">
        <v>0.02</v>
      </c>
      <c r="H57">
        <v>0.02</v>
      </c>
      <c r="I57">
        <v>0.02</v>
      </c>
      <c r="J57">
        <v>0.02</v>
      </c>
      <c r="K57">
        <v>0.02</v>
      </c>
      <c r="L57">
        <v>0.02</v>
      </c>
      <c r="M57">
        <v>0.02</v>
      </c>
      <c r="N57">
        <v>0.02</v>
      </c>
      <c r="O57">
        <v>0.02</v>
      </c>
      <c r="P57">
        <v>0.02</v>
      </c>
    </row>
    <row r="58" spans="1:16">
      <c r="A58" s="84" t="s">
        <v>189</v>
      </c>
      <c r="B58" s="85" t="s">
        <v>188</v>
      </c>
      <c r="C58" s="85" t="s">
        <v>74</v>
      </c>
      <c r="D58" s="84" t="s">
        <v>84</v>
      </c>
      <c r="E58" s="84">
        <v>2</v>
      </c>
      <c r="F58">
        <v>0.02</v>
      </c>
      <c r="G58">
        <v>0.02</v>
      </c>
      <c r="H58">
        <v>0.02</v>
      </c>
      <c r="I58">
        <v>0.02</v>
      </c>
      <c r="J58">
        <v>0.02</v>
      </c>
      <c r="K58">
        <v>0.02</v>
      </c>
      <c r="L58">
        <v>0.02</v>
      </c>
      <c r="M58">
        <v>0.02</v>
      </c>
      <c r="N58">
        <v>0.02</v>
      </c>
      <c r="O58">
        <v>0.02</v>
      </c>
      <c r="P58">
        <v>0.02</v>
      </c>
    </row>
    <row r="59" spans="1:16">
      <c r="A59" s="84" t="s">
        <v>191</v>
      </c>
      <c r="B59" s="85" t="s">
        <v>190</v>
      </c>
      <c r="C59" s="85" t="s">
        <v>92</v>
      </c>
      <c r="D59" s="84" t="s">
        <v>84</v>
      </c>
      <c r="E59" s="84">
        <v>1</v>
      </c>
      <c r="F59">
        <v>0.02</v>
      </c>
      <c r="G59">
        <v>0.02</v>
      </c>
      <c r="H59">
        <v>0.02</v>
      </c>
      <c r="I59">
        <v>0.02</v>
      </c>
      <c r="J59">
        <v>0.02</v>
      </c>
      <c r="K59">
        <v>0.02</v>
      </c>
      <c r="L59">
        <v>0.02</v>
      </c>
      <c r="M59">
        <v>0.02</v>
      </c>
      <c r="N59">
        <v>0.02</v>
      </c>
      <c r="O59">
        <v>0.02</v>
      </c>
      <c r="P59">
        <v>0.02</v>
      </c>
    </row>
    <row r="60" spans="1:16">
      <c r="A60" s="84" t="s">
        <v>193</v>
      </c>
      <c r="B60" s="85" t="s">
        <v>192</v>
      </c>
      <c r="C60" s="85" t="s">
        <v>83</v>
      </c>
      <c r="D60" s="84" t="s">
        <v>80</v>
      </c>
      <c r="E60" s="84">
        <v>3</v>
      </c>
      <c r="F60">
        <v>0.02</v>
      </c>
      <c r="G60">
        <v>0.02</v>
      </c>
      <c r="H60">
        <v>0.02</v>
      </c>
      <c r="I60">
        <v>0.02</v>
      </c>
      <c r="J60">
        <v>0.02</v>
      </c>
      <c r="K60">
        <v>0.02</v>
      </c>
      <c r="L60">
        <v>0.02</v>
      </c>
      <c r="M60">
        <v>0.02</v>
      </c>
      <c r="N60">
        <v>0.02</v>
      </c>
      <c r="O60">
        <v>0.02</v>
      </c>
      <c r="P60">
        <v>0.02</v>
      </c>
    </row>
    <row r="61" spans="1:16">
      <c r="A61" s="84" t="s">
        <v>195</v>
      </c>
      <c r="B61" s="85" t="s">
        <v>194</v>
      </c>
      <c r="C61" s="85" t="s">
        <v>83</v>
      </c>
      <c r="D61" s="84" t="s">
        <v>75</v>
      </c>
      <c r="E61" s="84">
        <v>3</v>
      </c>
      <c r="F61">
        <v>0.02</v>
      </c>
      <c r="G61">
        <v>0.02</v>
      </c>
      <c r="H61">
        <v>0.02</v>
      </c>
      <c r="I61">
        <v>0.02</v>
      </c>
      <c r="J61">
        <v>0.02</v>
      </c>
      <c r="K61">
        <v>0.02</v>
      </c>
      <c r="L61">
        <v>0.02</v>
      </c>
      <c r="M61">
        <v>0.02</v>
      </c>
      <c r="N61">
        <v>0.02</v>
      </c>
      <c r="O61">
        <v>0.02</v>
      </c>
      <c r="P61">
        <v>0.02</v>
      </c>
    </row>
    <row r="62" spans="1:16">
      <c r="A62" s="84" t="s">
        <v>197</v>
      </c>
      <c r="B62" s="85" t="s">
        <v>196</v>
      </c>
      <c r="C62" s="85" t="s">
        <v>79</v>
      </c>
      <c r="D62" s="84" t="s">
        <v>87</v>
      </c>
      <c r="E62" s="84">
        <v>1</v>
      </c>
      <c r="F62">
        <v>0.02</v>
      </c>
      <c r="G62">
        <v>0.02</v>
      </c>
      <c r="H62">
        <v>0.02</v>
      </c>
      <c r="I62">
        <v>0.02</v>
      </c>
      <c r="J62">
        <v>0.02</v>
      </c>
      <c r="K62">
        <v>0.02</v>
      </c>
      <c r="L62">
        <v>0.02</v>
      </c>
      <c r="M62">
        <v>0.02</v>
      </c>
      <c r="N62">
        <v>0.02</v>
      </c>
      <c r="O62">
        <v>0.02</v>
      </c>
      <c r="P62">
        <v>0.02</v>
      </c>
    </row>
    <row r="63" spans="1:16">
      <c r="A63" s="84" t="s">
        <v>199</v>
      </c>
      <c r="B63" s="85" t="s">
        <v>198</v>
      </c>
      <c r="C63" s="85" t="s">
        <v>83</v>
      </c>
      <c r="D63" s="84" t="s">
        <v>75</v>
      </c>
      <c r="E63" s="84" t="s">
        <v>76</v>
      </c>
      <c r="F63">
        <v>0.02</v>
      </c>
      <c r="G63">
        <v>0.02</v>
      </c>
      <c r="H63">
        <v>0.02</v>
      </c>
      <c r="I63">
        <v>0.02</v>
      </c>
      <c r="J63">
        <v>0.02</v>
      </c>
      <c r="K63">
        <v>0.02</v>
      </c>
      <c r="L63">
        <v>0.02</v>
      </c>
      <c r="M63">
        <v>0.02</v>
      </c>
      <c r="N63">
        <v>0.02</v>
      </c>
      <c r="O63">
        <v>0.02</v>
      </c>
      <c r="P63">
        <v>0.02</v>
      </c>
    </row>
    <row r="64" spans="1:16">
      <c r="A64" s="84" t="s">
        <v>201</v>
      </c>
      <c r="B64" s="85" t="s">
        <v>200</v>
      </c>
      <c r="C64" s="85" t="s">
        <v>99</v>
      </c>
      <c r="D64" s="84" t="s">
        <v>80</v>
      </c>
      <c r="E64" s="84">
        <v>4</v>
      </c>
      <c r="F64">
        <v>0.02</v>
      </c>
      <c r="G64">
        <v>0.02</v>
      </c>
      <c r="H64">
        <v>0.02</v>
      </c>
      <c r="I64">
        <v>0.02</v>
      </c>
      <c r="J64">
        <v>0.02</v>
      </c>
      <c r="K64">
        <v>0.02</v>
      </c>
      <c r="L64">
        <v>0.02</v>
      </c>
      <c r="M64">
        <v>0.02</v>
      </c>
      <c r="N64">
        <v>0.02</v>
      </c>
      <c r="O64">
        <v>0.02</v>
      </c>
      <c r="P64">
        <v>0.02</v>
      </c>
    </row>
    <row r="65" spans="1:16">
      <c r="A65" s="84" t="s">
        <v>203</v>
      </c>
      <c r="B65" s="85" t="s">
        <v>202</v>
      </c>
      <c r="C65" s="85" t="s">
        <v>79</v>
      </c>
      <c r="D65" s="84" t="s">
        <v>87</v>
      </c>
      <c r="E65" s="84">
        <v>1</v>
      </c>
      <c r="F65">
        <v>0.02</v>
      </c>
      <c r="G65">
        <v>0.02</v>
      </c>
      <c r="H65">
        <v>0.02</v>
      </c>
      <c r="I65">
        <v>0.02</v>
      </c>
      <c r="J65">
        <v>0.02</v>
      </c>
      <c r="K65">
        <v>0.02</v>
      </c>
      <c r="L65">
        <v>0.02</v>
      </c>
      <c r="M65">
        <v>0.02</v>
      </c>
      <c r="N65">
        <v>0.02</v>
      </c>
      <c r="O65">
        <v>0.02</v>
      </c>
      <c r="P65">
        <v>0.02</v>
      </c>
    </row>
    <row r="66" spans="1:16">
      <c r="A66" s="84" t="s">
        <v>205</v>
      </c>
      <c r="B66" s="85" t="s">
        <v>204</v>
      </c>
      <c r="C66" s="85" t="s">
        <v>79</v>
      </c>
      <c r="D66" s="84" t="s">
        <v>87</v>
      </c>
      <c r="E66" s="84">
        <v>1</v>
      </c>
      <c r="F66">
        <v>0.02</v>
      </c>
      <c r="G66">
        <v>0.02</v>
      </c>
      <c r="H66">
        <v>0.02</v>
      </c>
      <c r="I66">
        <v>0.02</v>
      </c>
      <c r="J66">
        <v>0.02</v>
      </c>
      <c r="K66">
        <v>0.02</v>
      </c>
      <c r="L66">
        <v>0.02</v>
      </c>
      <c r="M66">
        <v>0.02</v>
      </c>
      <c r="N66">
        <v>0.02</v>
      </c>
      <c r="O66">
        <v>0.02</v>
      </c>
      <c r="P66">
        <v>0.02</v>
      </c>
    </row>
    <row r="67" spans="1:16">
      <c r="A67" s="84" t="s">
        <v>207</v>
      </c>
      <c r="B67" s="85" t="s">
        <v>206</v>
      </c>
      <c r="C67" s="85" t="s">
        <v>83</v>
      </c>
      <c r="D67" s="84" t="s">
        <v>80</v>
      </c>
      <c r="E67" s="84">
        <v>3</v>
      </c>
      <c r="F67">
        <v>0.02</v>
      </c>
      <c r="G67">
        <v>0.02</v>
      </c>
      <c r="H67">
        <v>0.02</v>
      </c>
      <c r="I67">
        <v>0.02</v>
      </c>
      <c r="J67">
        <v>0.02</v>
      </c>
      <c r="K67">
        <v>0.02</v>
      </c>
      <c r="L67">
        <v>0.02</v>
      </c>
      <c r="M67">
        <v>0.02</v>
      </c>
      <c r="N67">
        <v>0.02</v>
      </c>
      <c r="O67">
        <v>0.02</v>
      </c>
      <c r="P67">
        <v>0.02</v>
      </c>
    </row>
    <row r="68" spans="1:16">
      <c r="A68" s="84" t="s">
        <v>209</v>
      </c>
      <c r="B68" s="85" t="s">
        <v>208</v>
      </c>
      <c r="C68" s="85" t="s">
        <v>83</v>
      </c>
      <c r="D68" s="84" t="s">
        <v>75</v>
      </c>
      <c r="E68" s="84">
        <v>3</v>
      </c>
      <c r="F68">
        <v>0.02</v>
      </c>
      <c r="G68">
        <v>0.02</v>
      </c>
      <c r="H68">
        <v>0.02</v>
      </c>
      <c r="I68">
        <v>0.02</v>
      </c>
      <c r="J68">
        <v>0.02</v>
      </c>
      <c r="K68">
        <v>0.02</v>
      </c>
      <c r="L68">
        <v>0.02</v>
      </c>
      <c r="M68">
        <v>0.02</v>
      </c>
      <c r="N68">
        <v>0.02</v>
      </c>
      <c r="O68">
        <v>0.02</v>
      </c>
      <c r="P68">
        <v>0.02</v>
      </c>
    </row>
    <row r="69" spans="1:16">
      <c r="A69" s="84" t="s">
        <v>211</v>
      </c>
      <c r="B69" s="85" t="s">
        <v>210</v>
      </c>
      <c r="C69" s="85" t="s">
        <v>79</v>
      </c>
      <c r="D69" s="84" t="s">
        <v>80</v>
      </c>
      <c r="E69" s="84">
        <v>1</v>
      </c>
      <c r="F69">
        <v>0.02</v>
      </c>
      <c r="G69">
        <v>0.02</v>
      </c>
      <c r="H69">
        <v>0.02</v>
      </c>
      <c r="I69">
        <v>0.02</v>
      </c>
      <c r="J69">
        <v>0.02</v>
      </c>
      <c r="K69">
        <v>0.02</v>
      </c>
      <c r="L69">
        <v>0.02</v>
      </c>
      <c r="M69">
        <v>0.02</v>
      </c>
      <c r="N69">
        <v>0.02</v>
      </c>
      <c r="O69">
        <v>0.02</v>
      </c>
      <c r="P69">
        <v>0.02</v>
      </c>
    </row>
    <row r="70" spans="1:16">
      <c r="A70" s="84" t="s">
        <v>213</v>
      </c>
      <c r="B70" s="85" t="s">
        <v>212</v>
      </c>
      <c r="C70" s="85" t="s">
        <v>79</v>
      </c>
      <c r="D70" s="84" t="s">
        <v>87</v>
      </c>
      <c r="E70" s="84">
        <v>1</v>
      </c>
      <c r="F70">
        <v>0.02</v>
      </c>
      <c r="G70">
        <v>0.02</v>
      </c>
      <c r="H70">
        <v>0.02</v>
      </c>
      <c r="I70">
        <v>0.02</v>
      </c>
      <c r="J70">
        <v>0.02</v>
      </c>
      <c r="K70">
        <v>0.02</v>
      </c>
      <c r="L70">
        <v>0.02</v>
      </c>
      <c r="M70">
        <v>0.02</v>
      </c>
      <c r="N70">
        <v>0.02</v>
      </c>
      <c r="O70">
        <v>0.02</v>
      </c>
      <c r="P70">
        <v>0.02</v>
      </c>
    </row>
    <row r="71" spans="1:16">
      <c r="A71" s="84" t="s">
        <v>215</v>
      </c>
      <c r="B71" s="85" t="s">
        <v>214</v>
      </c>
      <c r="C71" s="85" t="s">
        <v>83</v>
      </c>
      <c r="D71" s="84" t="s">
        <v>84</v>
      </c>
      <c r="E71" s="84">
        <v>3</v>
      </c>
      <c r="F71">
        <v>0.02</v>
      </c>
      <c r="G71">
        <v>0.02</v>
      </c>
      <c r="H71">
        <v>0.02</v>
      </c>
      <c r="I71">
        <v>0.02</v>
      </c>
      <c r="J71">
        <v>0.02</v>
      </c>
      <c r="K71">
        <v>0.02</v>
      </c>
      <c r="L71">
        <v>0.02</v>
      </c>
      <c r="M71">
        <v>0.02</v>
      </c>
      <c r="N71">
        <v>0.02</v>
      </c>
      <c r="O71">
        <v>0.02</v>
      </c>
      <c r="P71">
        <v>0.02</v>
      </c>
    </row>
    <row r="72" spans="1:16">
      <c r="A72" s="84" t="s">
        <v>217</v>
      </c>
      <c r="B72" s="85" t="s">
        <v>216</v>
      </c>
      <c r="C72" s="85" t="s">
        <v>79</v>
      </c>
      <c r="D72" s="84" t="s">
        <v>87</v>
      </c>
      <c r="E72" s="84">
        <v>1</v>
      </c>
      <c r="F72">
        <v>0.02</v>
      </c>
      <c r="G72">
        <v>0.02</v>
      </c>
      <c r="H72">
        <v>0.02</v>
      </c>
      <c r="I72">
        <v>0.02</v>
      </c>
      <c r="J72">
        <v>0.02</v>
      </c>
      <c r="K72">
        <v>0.02</v>
      </c>
      <c r="L72">
        <v>0.02</v>
      </c>
      <c r="M72">
        <v>0.02</v>
      </c>
      <c r="N72">
        <v>0.02</v>
      </c>
      <c r="O72">
        <v>0.02</v>
      </c>
      <c r="P72">
        <v>0.02</v>
      </c>
    </row>
    <row r="73" spans="1:16">
      <c r="A73" s="84" t="s">
        <v>219</v>
      </c>
      <c r="B73" s="85" t="s">
        <v>218</v>
      </c>
      <c r="C73" s="85" t="s">
        <v>92</v>
      </c>
      <c r="D73" s="84" t="s">
        <v>80</v>
      </c>
      <c r="E73" s="84">
        <v>1</v>
      </c>
      <c r="F73">
        <v>0.02</v>
      </c>
      <c r="G73">
        <v>0.02</v>
      </c>
      <c r="H73">
        <v>0.02</v>
      </c>
      <c r="I73">
        <v>0.02</v>
      </c>
      <c r="J73">
        <v>0.02</v>
      </c>
      <c r="K73">
        <v>0.02</v>
      </c>
      <c r="L73">
        <v>0.02</v>
      </c>
      <c r="M73">
        <v>0.02</v>
      </c>
      <c r="N73">
        <v>0.02</v>
      </c>
      <c r="O73">
        <v>0.02</v>
      </c>
      <c r="P73">
        <v>0.02</v>
      </c>
    </row>
    <row r="74" spans="1:16">
      <c r="A74" s="84" t="s">
        <v>221</v>
      </c>
      <c r="B74" s="85" t="s">
        <v>220</v>
      </c>
      <c r="C74" s="85" t="s">
        <v>92</v>
      </c>
      <c r="D74" s="84" t="s">
        <v>80</v>
      </c>
      <c r="E74" s="84">
        <v>1</v>
      </c>
      <c r="F74">
        <v>0.02</v>
      </c>
      <c r="G74">
        <v>0.02</v>
      </c>
      <c r="H74">
        <v>0.02</v>
      </c>
      <c r="I74">
        <v>0.02</v>
      </c>
      <c r="J74">
        <v>0.02</v>
      </c>
      <c r="K74">
        <v>0.02</v>
      </c>
      <c r="L74">
        <v>0.02</v>
      </c>
      <c r="M74">
        <v>0.02</v>
      </c>
      <c r="N74">
        <v>0.02</v>
      </c>
      <c r="O74">
        <v>0.02</v>
      </c>
      <c r="P74">
        <v>0.02</v>
      </c>
    </row>
    <row r="75" spans="1:16">
      <c r="A75" s="84" t="s">
        <v>223</v>
      </c>
      <c r="B75" s="85" t="s">
        <v>222</v>
      </c>
      <c r="C75" s="85" t="s">
        <v>83</v>
      </c>
      <c r="D75" s="84" t="s">
        <v>75</v>
      </c>
      <c r="E75" s="84">
        <v>3</v>
      </c>
      <c r="F75">
        <v>0.02</v>
      </c>
      <c r="G75">
        <v>0.02</v>
      </c>
      <c r="H75">
        <v>0.02</v>
      </c>
      <c r="I75">
        <v>0.02</v>
      </c>
      <c r="J75">
        <v>0.02</v>
      </c>
      <c r="K75">
        <v>0.02</v>
      </c>
      <c r="L75">
        <v>0.02</v>
      </c>
      <c r="M75">
        <v>0.02</v>
      </c>
      <c r="N75">
        <v>0.02</v>
      </c>
      <c r="O75">
        <v>0.02</v>
      </c>
      <c r="P75">
        <v>0.02</v>
      </c>
    </row>
    <row r="76" spans="1:16">
      <c r="A76" s="84" t="s">
        <v>225</v>
      </c>
      <c r="B76" s="85" t="s">
        <v>224</v>
      </c>
      <c r="C76" s="85" t="s">
        <v>83</v>
      </c>
      <c r="D76" s="84" t="s">
        <v>75</v>
      </c>
      <c r="E76" s="84">
        <v>3</v>
      </c>
      <c r="F76">
        <v>0.02</v>
      </c>
      <c r="G76">
        <v>0.02</v>
      </c>
      <c r="H76">
        <v>0.02</v>
      </c>
      <c r="I76">
        <v>0.02</v>
      </c>
      <c r="J76">
        <v>0.02</v>
      </c>
      <c r="K76">
        <v>0.02</v>
      </c>
      <c r="L76">
        <v>0.02</v>
      </c>
      <c r="M76">
        <v>0.02</v>
      </c>
      <c r="N76">
        <v>0.02</v>
      </c>
      <c r="O76">
        <v>0.02</v>
      </c>
      <c r="P76">
        <v>0.02</v>
      </c>
    </row>
    <row r="77" spans="1:16">
      <c r="A77" s="84" t="s">
        <v>227</v>
      </c>
      <c r="B77" s="85" t="s">
        <v>226</v>
      </c>
      <c r="C77" s="85" t="s">
        <v>92</v>
      </c>
      <c r="D77" s="84" t="s">
        <v>80</v>
      </c>
      <c r="E77" s="84">
        <v>2</v>
      </c>
      <c r="F77">
        <v>0.02</v>
      </c>
      <c r="G77">
        <v>0.02</v>
      </c>
      <c r="H77">
        <v>0.02</v>
      </c>
      <c r="I77">
        <v>0.02</v>
      </c>
      <c r="J77">
        <v>0.02</v>
      </c>
      <c r="K77">
        <v>0.02</v>
      </c>
      <c r="L77">
        <v>0.02</v>
      </c>
      <c r="M77">
        <v>0.02</v>
      </c>
      <c r="N77">
        <v>0.02</v>
      </c>
      <c r="O77">
        <v>0.02</v>
      </c>
      <c r="P77">
        <v>0.02</v>
      </c>
    </row>
    <row r="78" spans="1:16">
      <c r="A78" s="84" t="s">
        <v>229</v>
      </c>
      <c r="B78" s="85" t="s">
        <v>228</v>
      </c>
      <c r="C78" s="85" t="s">
        <v>92</v>
      </c>
      <c r="D78" s="84" t="s">
        <v>75</v>
      </c>
      <c r="E78" s="84">
        <v>2</v>
      </c>
      <c r="F78">
        <v>0.02</v>
      </c>
      <c r="G78">
        <v>0.02</v>
      </c>
      <c r="H78">
        <v>0.02</v>
      </c>
      <c r="I78">
        <v>0.02</v>
      </c>
      <c r="J78">
        <v>0.02</v>
      </c>
      <c r="K78">
        <v>0.02</v>
      </c>
      <c r="L78">
        <v>0.02</v>
      </c>
      <c r="M78">
        <v>0.02</v>
      </c>
      <c r="N78">
        <v>0.02</v>
      </c>
      <c r="O78">
        <v>0.02</v>
      </c>
      <c r="P78">
        <v>0.02</v>
      </c>
    </row>
    <row r="79" spans="1:16">
      <c r="A79" s="84" t="s">
        <v>231</v>
      </c>
      <c r="B79" s="85" t="s">
        <v>230</v>
      </c>
      <c r="C79" s="85" t="s">
        <v>92</v>
      </c>
      <c r="D79" s="84" t="s">
        <v>84</v>
      </c>
      <c r="E79" s="84">
        <v>1</v>
      </c>
      <c r="F79">
        <v>0.02</v>
      </c>
      <c r="G79">
        <v>0.02</v>
      </c>
      <c r="H79">
        <v>0.02</v>
      </c>
      <c r="I79">
        <v>0.02</v>
      </c>
      <c r="J79">
        <v>0.02</v>
      </c>
      <c r="K79">
        <v>0.02</v>
      </c>
      <c r="L79">
        <v>0.02</v>
      </c>
      <c r="M79">
        <v>0.02</v>
      </c>
      <c r="N79">
        <v>0.02</v>
      </c>
      <c r="O79">
        <v>0.02</v>
      </c>
      <c r="P79">
        <v>0.02</v>
      </c>
    </row>
    <row r="80" spans="1:16">
      <c r="A80" s="84" t="s">
        <v>233</v>
      </c>
      <c r="B80" s="85" t="s">
        <v>232</v>
      </c>
      <c r="C80" s="85" t="s">
        <v>79</v>
      </c>
      <c r="D80" s="84" t="s">
        <v>87</v>
      </c>
      <c r="E80" s="84">
        <v>1</v>
      </c>
      <c r="F80">
        <v>0.02</v>
      </c>
      <c r="G80">
        <v>0.02</v>
      </c>
      <c r="H80">
        <v>0.02</v>
      </c>
      <c r="I80">
        <v>0.02</v>
      </c>
      <c r="J80">
        <v>0.02</v>
      </c>
      <c r="K80">
        <v>0.02</v>
      </c>
      <c r="L80">
        <v>0.02</v>
      </c>
      <c r="M80">
        <v>0.02</v>
      </c>
      <c r="N80">
        <v>0.02</v>
      </c>
      <c r="O80">
        <v>0.02</v>
      </c>
      <c r="P80">
        <v>0.02</v>
      </c>
    </row>
    <row r="81" spans="1:16">
      <c r="A81" s="84" t="s">
        <v>235</v>
      </c>
      <c r="B81" s="85" t="s">
        <v>234</v>
      </c>
      <c r="C81" s="85" t="s">
        <v>79</v>
      </c>
      <c r="D81" s="84" t="s">
        <v>87</v>
      </c>
      <c r="E81" s="84">
        <v>1</v>
      </c>
      <c r="F81">
        <v>0.02</v>
      </c>
      <c r="G81">
        <v>0.02</v>
      </c>
      <c r="H81">
        <v>0.02</v>
      </c>
      <c r="I81">
        <v>0.02</v>
      </c>
      <c r="J81">
        <v>0.02</v>
      </c>
      <c r="K81">
        <v>0.02</v>
      </c>
      <c r="L81">
        <v>0.02</v>
      </c>
      <c r="M81">
        <v>0.02</v>
      </c>
      <c r="N81">
        <v>0.02</v>
      </c>
      <c r="O81">
        <v>0.02</v>
      </c>
      <c r="P81">
        <v>0.02</v>
      </c>
    </row>
    <row r="82" spans="1:16">
      <c r="A82" s="84" t="s">
        <v>237</v>
      </c>
      <c r="B82" s="85" t="s">
        <v>236</v>
      </c>
      <c r="C82" s="85" t="s">
        <v>110</v>
      </c>
      <c r="D82" s="84" t="s">
        <v>84</v>
      </c>
      <c r="E82" s="84" t="s">
        <v>76</v>
      </c>
      <c r="F82">
        <v>0.02</v>
      </c>
      <c r="G82">
        <v>0.02</v>
      </c>
      <c r="H82">
        <v>0.02</v>
      </c>
      <c r="I82">
        <v>0.02</v>
      </c>
      <c r="J82">
        <v>0.02</v>
      </c>
      <c r="K82">
        <v>0.02</v>
      </c>
      <c r="L82">
        <v>0.02</v>
      </c>
      <c r="M82">
        <v>0.02</v>
      </c>
      <c r="N82">
        <v>0.02</v>
      </c>
      <c r="O82">
        <v>0.02</v>
      </c>
      <c r="P82">
        <v>0.02</v>
      </c>
    </row>
    <row r="83" spans="1:16">
      <c r="A83" s="84" t="s">
        <v>239</v>
      </c>
      <c r="B83" s="85" t="s">
        <v>238</v>
      </c>
      <c r="C83" s="85" t="s">
        <v>110</v>
      </c>
      <c r="D83" s="84" t="s">
        <v>80</v>
      </c>
      <c r="E83" s="84" t="s">
        <v>76</v>
      </c>
      <c r="F83">
        <v>0.02</v>
      </c>
      <c r="G83">
        <v>0.02</v>
      </c>
      <c r="H83">
        <v>0.02</v>
      </c>
      <c r="I83">
        <v>0.02</v>
      </c>
      <c r="J83">
        <v>0.02</v>
      </c>
      <c r="K83">
        <v>0.02</v>
      </c>
      <c r="L83">
        <v>0.02</v>
      </c>
      <c r="M83">
        <v>0.02</v>
      </c>
      <c r="N83">
        <v>0.02</v>
      </c>
      <c r="O83">
        <v>0.02</v>
      </c>
      <c r="P83">
        <v>0.02</v>
      </c>
    </row>
    <row r="84" spans="1:16">
      <c r="A84" s="84" t="s">
        <v>241</v>
      </c>
      <c r="B84" s="85" t="s">
        <v>240</v>
      </c>
      <c r="C84" s="85" t="s">
        <v>74</v>
      </c>
      <c r="D84" s="84" t="s">
        <v>80</v>
      </c>
      <c r="E84" s="84">
        <v>2</v>
      </c>
      <c r="F84">
        <v>0.02</v>
      </c>
      <c r="G84">
        <v>0.02</v>
      </c>
      <c r="H84">
        <v>0.02</v>
      </c>
      <c r="I84">
        <v>0.02</v>
      </c>
      <c r="J84">
        <v>0.02</v>
      </c>
      <c r="K84">
        <v>0.02</v>
      </c>
      <c r="L84">
        <v>0.02</v>
      </c>
      <c r="M84">
        <v>0.02</v>
      </c>
      <c r="N84">
        <v>0.02</v>
      </c>
      <c r="O84">
        <v>0.02</v>
      </c>
      <c r="P84">
        <v>0.02</v>
      </c>
    </row>
    <row r="85" spans="1:16">
      <c r="A85" s="84" t="s">
        <v>243</v>
      </c>
      <c r="B85" s="85" t="s">
        <v>242</v>
      </c>
      <c r="C85" s="85" t="s">
        <v>74</v>
      </c>
      <c r="D85" s="84" t="s">
        <v>80</v>
      </c>
      <c r="E85" s="84">
        <v>2</v>
      </c>
      <c r="F85">
        <v>0.02</v>
      </c>
      <c r="G85">
        <v>0.02</v>
      </c>
      <c r="H85">
        <v>0.02</v>
      </c>
      <c r="I85">
        <v>0.02</v>
      </c>
      <c r="J85">
        <v>0.02</v>
      </c>
      <c r="K85">
        <v>0.02</v>
      </c>
      <c r="L85">
        <v>0.02</v>
      </c>
      <c r="M85">
        <v>0.02</v>
      </c>
      <c r="N85">
        <v>0.02</v>
      </c>
      <c r="O85">
        <v>0.02</v>
      </c>
      <c r="P85">
        <v>0.02</v>
      </c>
    </row>
    <row r="86" spans="1:16">
      <c r="A86" s="84" t="s">
        <v>245</v>
      </c>
      <c r="B86" s="85" t="s">
        <v>244</v>
      </c>
      <c r="C86" s="85" t="s">
        <v>79</v>
      </c>
      <c r="D86" s="84" t="s">
        <v>87</v>
      </c>
      <c r="E86" s="84">
        <v>1</v>
      </c>
      <c r="F86">
        <v>0.02</v>
      </c>
      <c r="G86">
        <v>0.02</v>
      </c>
      <c r="H86">
        <v>0.02</v>
      </c>
      <c r="I86">
        <v>0.02</v>
      </c>
      <c r="J86">
        <v>0.02</v>
      </c>
      <c r="K86">
        <v>0.02</v>
      </c>
      <c r="L86">
        <v>0.02</v>
      </c>
      <c r="M86">
        <v>0.02</v>
      </c>
      <c r="N86">
        <v>0.02</v>
      </c>
      <c r="O86">
        <v>0.02</v>
      </c>
      <c r="P86">
        <v>0.02</v>
      </c>
    </row>
    <row r="87" spans="1:16">
      <c r="A87" s="84" t="s">
        <v>247</v>
      </c>
      <c r="B87" s="85" t="s">
        <v>246</v>
      </c>
      <c r="C87" s="85" t="s">
        <v>79</v>
      </c>
      <c r="D87" s="84" t="s">
        <v>87</v>
      </c>
      <c r="E87" s="84">
        <v>1</v>
      </c>
      <c r="F87">
        <v>0.02</v>
      </c>
      <c r="G87">
        <v>0.02</v>
      </c>
      <c r="H87">
        <v>0.02</v>
      </c>
      <c r="I87">
        <v>0.02</v>
      </c>
      <c r="J87">
        <v>0.02</v>
      </c>
      <c r="K87">
        <v>0.02</v>
      </c>
      <c r="L87">
        <v>0.02</v>
      </c>
      <c r="M87">
        <v>0.02</v>
      </c>
      <c r="N87">
        <v>0.02</v>
      </c>
      <c r="O87">
        <v>0.02</v>
      </c>
      <c r="P87">
        <v>0.02</v>
      </c>
    </row>
    <row r="88" spans="1:16">
      <c r="A88" s="84" t="s">
        <v>249</v>
      </c>
      <c r="B88" s="85" t="s">
        <v>248</v>
      </c>
      <c r="C88" s="85" t="s">
        <v>79</v>
      </c>
      <c r="D88" s="84" t="s">
        <v>87</v>
      </c>
      <c r="E88" s="84">
        <v>1</v>
      </c>
      <c r="F88">
        <v>0.02</v>
      </c>
      <c r="G88">
        <v>0.02</v>
      </c>
      <c r="H88">
        <v>0.02</v>
      </c>
      <c r="I88">
        <v>0.02</v>
      </c>
      <c r="J88">
        <v>0.02</v>
      </c>
      <c r="K88">
        <v>0.02</v>
      </c>
      <c r="L88">
        <v>0.02</v>
      </c>
      <c r="M88">
        <v>0.02</v>
      </c>
      <c r="N88">
        <v>0.02</v>
      </c>
      <c r="O88">
        <v>0.02</v>
      </c>
      <c r="P88">
        <v>0.02</v>
      </c>
    </row>
    <row r="89" spans="1:16">
      <c r="A89" s="84" t="s">
        <v>251</v>
      </c>
      <c r="B89" s="85" t="s">
        <v>250</v>
      </c>
      <c r="C89" s="85" t="s">
        <v>92</v>
      </c>
      <c r="D89" s="84" t="s">
        <v>80</v>
      </c>
      <c r="E89" s="84">
        <v>1</v>
      </c>
      <c r="F89">
        <v>0.02</v>
      </c>
      <c r="G89">
        <v>0.02</v>
      </c>
      <c r="H89">
        <v>0.02</v>
      </c>
      <c r="I89">
        <v>0.02</v>
      </c>
      <c r="J89">
        <v>0.02</v>
      </c>
      <c r="K89">
        <v>0.02</v>
      </c>
      <c r="L89">
        <v>0.02</v>
      </c>
      <c r="M89">
        <v>0.02</v>
      </c>
      <c r="N89">
        <v>0.02</v>
      </c>
      <c r="O89">
        <v>0.02</v>
      </c>
      <c r="P89">
        <v>0.02</v>
      </c>
    </row>
    <row r="90" spans="1:16">
      <c r="A90" s="84" t="s">
        <v>253</v>
      </c>
      <c r="B90" s="85" t="s">
        <v>252</v>
      </c>
      <c r="C90" s="85" t="s">
        <v>99</v>
      </c>
      <c r="D90" s="84" t="s">
        <v>87</v>
      </c>
      <c r="E90" s="84">
        <v>4</v>
      </c>
      <c r="F90">
        <v>0.02</v>
      </c>
      <c r="G90">
        <v>0.02</v>
      </c>
      <c r="H90">
        <v>0.02</v>
      </c>
      <c r="I90">
        <v>0.02</v>
      </c>
      <c r="J90">
        <v>0.02</v>
      </c>
      <c r="K90">
        <v>0.02</v>
      </c>
      <c r="L90">
        <v>0.02</v>
      </c>
      <c r="M90">
        <v>0.02</v>
      </c>
      <c r="N90">
        <v>0.02</v>
      </c>
      <c r="O90">
        <v>0.02</v>
      </c>
      <c r="P90">
        <v>0.02</v>
      </c>
    </row>
    <row r="91" spans="1:16">
      <c r="A91" s="84" t="s">
        <v>255</v>
      </c>
      <c r="B91" s="85" t="s">
        <v>254</v>
      </c>
      <c r="C91" s="85" t="s">
        <v>74</v>
      </c>
      <c r="D91" s="84" t="s">
        <v>80</v>
      </c>
      <c r="E91" s="84">
        <v>2</v>
      </c>
      <c r="F91">
        <v>0.02</v>
      </c>
      <c r="G91">
        <v>0.02</v>
      </c>
      <c r="H91">
        <v>0.02</v>
      </c>
      <c r="I91">
        <v>0.02</v>
      </c>
      <c r="J91">
        <v>0.02</v>
      </c>
      <c r="K91">
        <v>0.02</v>
      </c>
      <c r="L91">
        <v>0.02</v>
      </c>
      <c r="M91">
        <v>0.02</v>
      </c>
      <c r="N91">
        <v>0.02</v>
      </c>
      <c r="O91">
        <v>0.02</v>
      </c>
      <c r="P91">
        <v>0.02</v>
      </c>
    </row>
    <row r="92" spans="1:16">
      <c r="A92" s="84" t="s">
        <v>257</v>
      </c>
      <c r="B92" s="85" t="s">
        <v>256</v>
      </c>
      <c r="C92" s="85" t="s">
        <v>79</v>
      </c>
      <c r="D92" s="84" t="s">
        <v>80</v>
      </c>
      <c r="E92" s="84">
        <v>2</v>
      </c>
      <c r="F92">
        <v>0.02</v>
      </c>
      <c r="G92">
        <v>0.02</v>
      </c>
      <c r="H92">
        <v>0.02</v>
      </c>
      <c r="I92">
        <v>0.02</v>
      </c>
      <c r="J92">
        <v>0.02</v>
      </c>
      <c r="K92">
        <v>0.02</v>
      </c>
      <c r="L92">
        <v>0.02</v>
      </c>
      <c r="M92">
        <v>0.02</v>
      </c>
      <c r="N92">
        <v>0.02</v>
      </c>
      <c r="O92">
        <v>0.02</v>
      </c>
      <c r="P92">
        <v>0.02</v>
      </c>
    </row>
    <row r="93" spans="1:16">
      <c r="A93" s="84" t="s">
        <v>259</v>
      </c>
      <c r="B93" s="85" t="s">
        <v>258</v>
      </c>
      <c r="C93" s="85" t="s">
        <v>83</v>
      </c>
      <c r="D93" s="84" t="s">
        <v>84</v>
      </c>
      <c r="E93" s="84">
        <v>3</v>
      </c>
      <c r="F93">
        <v>0.02</v>
      </c>
      <c r="G93">
        <v>0.02</v>
      </c>
      <c r="H93">
        <v>0.02</v>
      </c>
      <c r="I93">
        <v>0.02</v>
      </c>
      <c r="J93">
        <v>0.02</v>
      </c>
      <c r="K93">
        <v>0.02</v>
      </c>
      <c r="L93">
        <v>0.02</v>
      </c>
      <c r="M93">
        <v>0.02</v>
      </c>
      <c r="N93">
        <v>0.02</v>
      </c>
      <c r="O93">
        <v>0.02</v>
      </c>
      <c r="P93">
        <v>0.02</v>
      </c>
    </row>
    <row r="94" spans="1:16">
      <c r="A94" s="84" t="s">
        <v>261</v>
      </c>
      <c r="B94" s="85" t="s">
        <v>260</v>
      </c>
      <c r="C94" s="85" t="s">
        <v>99</v>
      </c>
      <c r="D94" s="84" t="s">
        <v>84</v>
      </c>
      <c r="E94" s="84">
        <v>4</v>
      </c>
      <c r="F94">
        <v>0.02</v>
      </c>
      <c r="G94">
        <v>0.02</v>
      </c>
      <c r="H94">
        <v>0.02</v>
      </c>
      <c r="I94">
        <v>0.02</v>
      </c>
      <c r="J94">
        <v>0.02</v>
      </c>
      <c r="K94">
        <v>0.02</v>
      </c>
      <c r="L94">
        <v>0.02</v>
      </c>
      <c r="M94">
        <v>0.02</v>
      </c>
      <c r="N94">
        <v>0.02</v>
      </c>
      <c r="O94">
        <v>0.02</v>
      </c>
      <c r="P94">
        <v>0.02</v>
      </c>
    </row>
    <row r="95" spans="1:16">
      <c r="A95" s="84" t="s">
        <v>263</v>
      </c>
      <c r="B95" s="85" t="s">
        <v>262</v>
      </c>
      <c r="C95" s="85" t="s">
        <v>99</v>
      </c>
      <c r="D95" s="84" t="s">
        <v>87</v>
      </c>
      <c r="E95" s="84">
        <v>1</v>
      </c>
      <c r="F95">
        <v>0.02</v>
      </c>
      <c r="G95">
        <v>0.02</v>
      </c>
      <c r="H95">
        <v>0.02</v>
      </c>
      <c r="I95">
        <v>0.02</v>
      </c>
      <c r="J95">
        <v>0.02</v>
      </c>
      <c r="K95">
        <v>0.02</v>
      </c>
      <c r="L95">
        <v>0.02</v>
      </c>
      <c r="M95">
        <v>0.02</v>
      </c>
      <c r="N95">
        <v>0.02</v>
      </c>
      <c r="O95">
        <v>0.02</v>
      </c>
      <c r="P95">
        <v>0.02</v>
      </c>
    </row>
    <row r="96" spans="1:16">
      <c r="A96" s="84" t="s">
        <v>265</v>
      </c>
      <c r="B96" s="85" t="s">
        <v>264</v>
      </c>
      <c r="C96" s="85" t="s">
        <v>74</v>
      </c>
      <c r="D96" s="84" t="s">
        <v>87</v>
      </c>
      <c r="E96" s="84">
        <v>1</v>
      </c>
      <c r="F96">
        <v>0.02</v>
      </c>
      <c r="G96">
        <v>0.02</v>
      </c>
      <c r="H96">
        <v>0.02</v>
      </c>
      <c r="I96">
        <v>0.02</v>
      </c>
      <c r="J96">
        <v>0.02</v>
      </c>
      <c r="K96">
        <v>0.02</v>
      </c>
      <c r="L96">
        <v>0.02</v>
      </c>
      <c r="M96">
        <v>0.02</v>
      </c>
      <c r="N96">
        <v>0.02</v>
      </c>
      <c r="O96">
        <v>0.02</v>
      </c>
      <c r="P96">
        <v>0.02</v>
      </c>
    </row>
    <row r="97" spans="1:16">
      <c r="A97" s="84" t="s">
        <v>267</v>
      </c>
      <c r="B97" s="85" t="s">
        <v>266</v>
      </c>
      <c r="C97" s="85" t="s">
        <v>79</v>
      </c>
      <c r="D97" s="84" t="s">
        <v>84</v>
      </c>
      <c r="E97" s="84">
        <v>1</v>
      </c>
      <c r="F97">
        <v>0.02</v>
      </c>
      <c r="G97">
        <v>0.02</v>
      </c>
      <c r="H97">
        <v>0.02</v>
      </c>
      <c r="I97">
        <v>0.02</v>
      </c>
      <c r="J97">
        <v>0.02</v>
      </c>
      <c r="K97">
        <v>0.02</v>
      </c>
      <c r="L97">
        <v>0.02</v>
      </c>
      <c r="M97">
        <v>0.02</v>
      </c>
      <c r="N97">
        <v>0.02</v>
      </c>
      <c r="O97">
        <v>0.02</v>
      </c>
      <c r="P97">
        <v>0.02</v>
      </c>
    </row>
    <row r="98" spans="1:16">
      <c r="A98" s="84" t="s">
        <v>269</v>
      </c>
      <c r="B98" s="85" t="s">
        <v>268</v>
      </c>
      <c r="C98" s="85" t="s">
        <v>99</v>
      </c>
      <c r="D98" s="84" t="s">
        <v>84</v>
      </c>
      <c r="E98" s="84">
        <v>4</v>
      </c>
      <c r="F98">
        <v>0.02</v>
      </c>
      <c r="G98">
        <v>0.02</v>
      </c>
      <c r="H98">
        <v>0.02</v>
      </c>
      <c r="I98">
        <v>0.02</v>
      </c>
      <c r="J98">
        <v>0.02</v>
      </c>
      <c r="K98">
        <v>0.02</v>
      </c>
      <c r="L98">
        <v>0.02</v>
      </c>
      <c r="M98">
        <v>0.02</v>
      </c>
      <c r="N98">
        <v>0.02</v>
      </c>
      <c r="O98">
        <v>0.02</v>
      </c>
      <c r="P98">
        <v>0.02</v>
      </c>
    </row>
    <row r="99" spans="1:16">
      <c r="A99" s="84" t="s">
        <v>271</v>
      </c>
      <c r="B99" s="85" t="s">
        <v>270</v>
      </c>
      <c r="C99" s="85" t="s">
        <v>79</v>
      </c>
      <c r="D99" s="84" t="s">
        <v>87</v>
      </c>
      <c r="E99" s="84">
        <v>1</v>
      </c>
      <c r="F99">
        <v>0.02</v>
      </c>
      <c r="G99">
        <v>0.02</v>
      </c>
      <c r="H99">
        <v>0.02</v>
      </c>
      <c r="I99">
        <v>0.02</v>
      </c>
      <c r="J99">
        <v>0.02</v>
      </c>
      <c r="K99">
        <v>0.02</v>
      </c>
      <c r="L99">
        <v>0.02</v>
      </c>
      <c r="M99">
        <v>0.02</v>
      </c>
      <c r="N99">
        <v>0.02</v>
      </c>
      <c r="O99">
        <v>0.02</v>
      </c>
      <c r="P99">
        <v>0.02</v>
      </c>
    </row>
    <row r="100" spans="1:16">
      <c r="A100" s="84" t="s">
        <v>273</v>
      </c>
      <c r="B100" s="85" t="s">
        <v>272</v>
      </c>
      <c r="C100" s="85" t="s">
        <v>74</v>
      </c>
      <c r="D100" s="84" t="s">
        <v>80</v>
      </c>
      <c r="E100" s="84">
        <v>2</v>
      </c>
      <c r="F100">
        <v>0.02</v>
      </c>
      <c r="G100">
        <v>0.02</v>
      </c>
      <c r="H100">
        <v>0.02</v>
      </c>
      <c r="I100">
        <v>0.02</v>
      </c>
      <c r="J100">
        <v>0.02</v>
      </c>
      <c r="K100">
        <v>0.02</v>
      </c>
      <c r="L100">
        <v>0.02</v>
      </c>
      <c r="M100">
        <v>0.02</v>
      </c>
      <c r="N100">
        <v>0.02</v>
      </c>
      <c r="O100">
        <v>0.02</v>
      </c>
      <c r="P100">
        <v>0.02</v>
      </c>
    </row>
    <row r="101" spans="1:16">
      <c r="A101" s="84" t="s">
        <v>275</v>
      </c>
      <c r="B101" s="85" t="s">
        <v>274</v>
      </c>
      <c r="C101" s="85" t="s">
        <v>83</v>
      </c>
      <c r="D101" s="84" t="s">
        <v>84</v>
      </c>
      <c r="E101" s="84">
        <v>3</v>
      </c>
      <c r="F101">
        <v>0.02</v>
      </c>
      <c r="G101">
        <v>0.02</v>
      </c>
      <c r="H101">
        <v>0.02</v>
      </c>
      <c r="I101">
        <v>0.02</v>
      </c>
      <c r="J101">
        <v>0.02</v>
      </c>
      <c r="K101">
        <v>0.02</v>
      </c>
      <c r="L101">
        <v>0.02</v>
      </c>
      <c r="M101">
        <v>0.02</v>
      </c>
      <c r="N101">
        <v>0.02</v>
      </c>
      <c r="O101">
        <v>0.02</v>
      </c>
      <c r="P101">
        <v>0.02</v>
      </c>
    </row>
    <row r="102" spans="1:16">
      <c r="A102" s="84" t="s">
        <v>277</v>
      </c>
      <c r="B102" s="85" t="s">
        <v>276</v>
      </c>
      <c r="C102" s="85" t="s">
        <v>83</v>
      </c>
      <c r="D102" s="84" t="s">
        <v>75</v>
      </c>
      <c r="E102" s="84">
        <v>3</v>
      </c>
      <c r="F102">
        <v>0.02</v>
      </c>
      <c r="G102">
        <v>0.02</v>
      </c>
      <c r="H102">
        <v>0.02</v>
      </c>
      <c r="I102">
        <v>0.02</v>
      </c>
      <c r="J102">
        <v>0.02</v>
      </c>
      <c r="K102">
        <v>0.02</v>
      </c>
      <c r="L102">
        <v>0.02</v>
      </c>
      <c r="M102">
        <v>0.02</v>
      </c>
      <c r="N102">
        <v>0.02</v>
      </c>
      <c r="O102">
        <v>0.02</v>
      </c>
      <c r="P102">
        <v>0.02</v>
      </c>
    </row>
    <row r="103" spans="1:16">
      <c r="A103" s="84" t="s">
        <v>279</v>
      </c>
      <c r="B103" s="85" t="s">
        <v>278</v>
      </c>
      <c r="C103" s="85" t="s">
        <v>74</v>
      </c>
      <c r="D103" s="84" t="s">
        <v>80</v>
      </c>
      <c r="E103" s="84">
        <v>2</v>
      </c>
      <c r="F103">
        <v>0.02</v>
      </c>
      <c r="G103">
        <v>0.02</v>
      </c>
      <c r="H103">
        <v>0.02</v>
      </c>
      <c r="I103">
        <v>0.02</v>
      </c>
      <c r="J103">
        <v>0.02</v>
      </c>
      <c r="K103">
        <v>0.02</v>
      </c>
      <c r="L103">
        <v>0.02</v>
      </c>
      <c r="M103">
        <v>0.02</v>
      </c>
      <c r="N103">
        <v>0.02</v>
      </c>
      <c r="O103">
        <v>0.02</v>
      </c>
      <c r="P103">
        <v>0.02</v>
      </c>
    </row>
    <row r="104" spans="1:16">
      <c r="A104" s="84" t="s">
        <v>281</v>
      </c>
      <c r="B104" s="85" t="s">
        <v>280</v>
      </c>
      <c r="C104" s="85" t="s">
        <v>79</v>
      </c>
      <c r="D104" s="84" t="s">
        <v>87</v>
      </c>
      <c r="E104" s="84">
        <v>1</v>
      </c>
      <c r="F104">
        <v>0.02</v>
      </c>
      <c r="G104">
        <v>0.02</v>
      </c>
      <c r="H104">
        <v>0.02</v>
      </c>
      <c r="I104">
        <v>0.02</v>
      </c>
      <c r="J104">
        <v>0.02</v>
      </c>
      <c r="K104">
        <v>0.02</v>
      </c>
      <c r="L104">
        <v>0.02</v>
      </c>
      <c r="M104">
        <v>0.02</v>
      </c>
      <c r="N104">
        <v>0.02</v>
      </c>
      <c r="O104">
        <v>0.02</v>
      </c>
      <c r="P104">
        <v>0.02</v>
      </c>
    </row>
    <row r="105" spans="1:16">
      <c r="A105" s="84" t="s">
        <v>283</v>
      </c>
      <c r="B105" s="85" t="s">
        <v>282</v>
      </c>
      <c r="C105" s="85" t="s">
        <v>79</v>
      </c>
      <c r="D105" s="84" t="s">
        <v>87</v>
      </c>
      <c r="E105" s="84">
        <v>1</v>
      </c>
      <c r="F105">
        <v>0.02</v>
      </c>
      <c r="G105">
        <v>0.02</v>
      </c>
      <c r="H105">
        <v>0.02</v>
      </c>
      <c r="I105">
        <v>0.02</v>
      </c>
      <c r="J105">
        <v>0.02</v>
      </c>
      <c r="K105">
        <v>0.02</v>
      </c>
      <c r="L105">
        <v>0.02</v>
      </c>
      <c r="M105">
        <v>0.02</v>
      </c>
      <c r="N105">
        <v>0.02</v>
      </c>
      <c r="O105">
        <v>0.02</v>
      </c>
      <c r="P105">
        <v>0.02</v>
      </c>
    </row>
    <row r="106" spans="1:16">
      <c r="A106" s="84" t="s">
        <v>285</v>
      </c>
      <c r="B106" s="85" t="s">
        <v>284</v>
      </c>
      <c r="C106" s="85" t="s">
        <v>79</v>
      </c>
      <c r="D106" s="84" t="s">
        <v>80</v>
      </c>
      <c r="E106" s="84">
        <v>1</v>
      </c>
      <c r="F106">
        <v>0.02</v>
      </c>
      <c r="G106">
        <v>0.02</v>
      </c>
      <c r="H106">
        <v>0.02</v>
      </c>
      <c r="I106">
        <v>0.02</v>
      </c>
      <c r="J106">
        <v>0.02</v>
      </c>
      <c r="K106">
        <v>0.02</v>
      </c>
      <c r="L106">
        <v>0.02</v>
      </c>
      <c r="M106">
        <v>0.02</v>
      </c>
      <c r="N106">
        <v>0.02</v>
      </c>
      <c r="O106">
        <v>0.02</v>
      </c>
      <c r="P106">
        <v>0.02</v>
      </c>
    </row>
    <row r="107" spans="1:16">
      <c r="A107" s="84" t="s">
        <v>287</v>
      </c>
      <c r="B107" s="85" t="s">
        <v>286</v>
      </c>
      <c r="C107" s="85" t="s">
        <v>83</v>
      </c>
      <c r="D107" s="84" t="s">
        <v>75</v>
      </c>
      <c r="E107" s="84">
        <v>3</v>
      </c>
      <c r="F107">
        <v>0.02</v>
      </c>
      <c r="G107">
        <v>0.02</v>
      </c>
      <c r="H107">
        <v>0.02</v>
      </c>
      <c r="I107">
        <v>0.02</v>
      </c>
      <c r="J107">
        <v>0.02</v>
      </c>
      <c r="K107">
        <v>0.02</v>
      </c>
      <c r="L107">
        <v>0.02</v>
      </c>
      <c r="M107">
        <v>0.02</v>
      </c>
      <c r="N107">
        <v>0.02</v>
      </c>
      <c r="O107">
        <v>0.02</v>
      </c>
      <c r="P107">
        <v>0.02</v>
      </c>
    </row>
    <row r="108" spans="1:16">
      <c r="A108" s="84" t="s">
        <v>289</v>
      </c>
      <c r="B108" s="85" t="s">
        <v>288</v>
      </c>
      <c r="C108" s="85" t="s">
        <v>83</v>
      </c>
      <c r="D108" s="84" t="s">
        <v>75</v>
      </c>
      <c r="E108" s="84">
        <v>3</v>
      </c>
      <c r="F108">
        <v>0.02</v>
      </c>
      <c r="G108">
        <v>0.02</v>
      </c>
      <c r="H108">
        <v>0.02</v>
      </c>
      <c r="I108">
        <v>0.02</v>
      </c>
      <c r="J108">
        <v>0.02</v>
      </c>
      <c r="K108">
        <v>0.02</v>
      </c>
      <c r="L108">
        <v>0.02</v>
      </c>
      <c r="M108">
        <v>0.02</v>
      </c>
      <c r="N108">
        <v>0.02</v>
      </c>
      <c r="O108">
        <v>0.02</v>
      </c>
      <c r="P108">
        <v>0.02</v>
      </c>
    </row>
    <row r="109" spans="1:16">
      <c r="A109" s="84" t="s">
        <v>291</v>
      </c>
      <c r="B109" s="85" t="s">
        <v>290</v>
      </c>
      <c r="C109" s="85" t="s">
        <v>99</v>
      </c>
      <c r="D109" s="84" t="s">
        <v>80</v>
      </c>
      <c r="E109" s="84">
        <v>2</v>
      </c>
      <c r="F109">
        <v>0.02</v>
      </c>
      <c r="G109">
        <v>0.02</v>
      </c>
      <c r="H109">
        <v>0.02</v>
      </c>
      <c r="I109">
        <v>0.02</v>
      </c>
      <c r="J109">
        <v>0.02</v>
      </c>
      <c r="K109">
        <v>0.02</v>
      </c>
      <c r="L109">
        <v>0.02</v>
      </c>
      <c r="M109">
        <v>0.02</v>
      </c>
      <c r="N109">
        <v>0.02</v>
      </c>
      <c r="O109">
        <v>0.02</v>
      </c>
      <c r="P109">
        <v>0.02</v>
      </c>
    </row>
    <row r="110" spans="1:16">
      <c r="A110" s="84" t="s">
        <v>293</v>
      </c>
      <c r="B110" s="85" t="s">
        <v>292</v>
      </c>
      <c r="C110" s="85" t="s">
        <v>110</v>
      </c>
      <c r="D110" s="84" t="s">
        <v>80</v>
      </c>
      <c r="E110" s="84">
        <v>2</v>
      </c>
      <c r="F110">
        <v>0.02</v>
      </c>
      <c r="G110">
        <v>0.02</v>
      </c>
      <c r="H110">
        <v>0.02</v>
      </c>
      <c r="I110">
        <v>0.02</v>
      </c>
      <c r="J110">
        <v>0.02</v>
      </c>
      <c r="K110">
        <v>0.02</v>
      </c>
      <c r="L110">
        <v>0.02</v>
      </c>
      <c r="M110">
        <v>0.02</v>
      </c>
      <c r="N110">
        <v>0.02</v>
      </c>
      <c r="O110">
        <v>0.02</v>
      </c>
      <c r="P110">
        <v>0.02</v>
      </c>
    </row>
    <row r="111" spans="1:16">
      <c r="A111" s="84" t="s">
        <v>295</v>
      </c>
      <c r="B111" s="85" t="s">
        <v>294</v>
      </c>
      <c r="C111" s="85" t="s">
        <v>83</v>
      </c>
      <c r="D111" s="84" t="s">
        <v>75</v>
      </c>
      <c r="E111" s="84">
        <v>3</v>
      </c>
      <c r="F111">
        <v>0.02</v>
      </c>
      <c r="G111">
        <v>0.02</v>
      </c>
      <c r="H111">
        <v>0.02</v>
      </c>
      <c r="I111">
        <v>0.02</v>
      </c>
      <c r="J111">
        <v>0.02</v>
      </c>
      <c r="K111">
        <v>0.02</v>
      </c>
      <c r="L111">
        <v>0.02</v>
      </c>
      <c r="M111">
        <v>0.02</v>
      </c>
      <c r="N111">
        <v>0.02</v>
      </c>
      <c r="O111">
        <v>0.02</v>
      </c>
      <c r="P111">
        <v>0.02</v>
      </c>
    </row>
    <row r="112" spans="1:16">
      <c r="A112" s="84" t="s">
        <v>297</v>
      </c>
      <c r="B112" s="85" t="s">
        <v>296</v>
      </c>
      <c r="C112" s="85" t="s">
        <v>79</v>
      </c>
      <c r="D112" s="84" t="s">
        <v>87</v>
      </c>
      <c r="E112" s="84">
        <v>1</v>
      </c>
      <c r="F112">
        <v>0.02</v>
      </c>
      <c r="G112">
        <v>0.02</v>
      </c>
      <c r="H112">
        <v>0.02</v>
      </c>
      <c r="I112">
        <v>0.02</v>
      </c>
      <c r="J112">
        <v>0.02</v>
      </c>
      <c r="K112">
        <v>0.02</v>
      </c>
      <c r="L112">
        <v>0.02</v>
      </c>
      <c r="M112">
        <v>0.02</v>
      </c>
      <c r="N112">
        <v>0.02</v>
      </c>
      <c r="O112">
        <v>0.02</v>
      </c>
      <c r="P112">
        <v>0.02</v>
      </c>
    </row>
    <row r="113" spans="1:16">
      <c r="A113" s="84" t="s">
        <v>299</v>
      </c>
      <c r="B113" s="85" t="s">
        <v>298</v>
      </c>
      <c r="C113" s="85" t="s">
        <v>99</v>
      </c>
      <c r="D113" s="84" t="s">
        <v>80</v>
      </c>
      <c r="E113" s="84">
        <v>1</v>
      </c>
      <c r="F113">
        <v>0.02</v>
      </c>
      <c r="G113">
        <v>0.02</v>
      </c>
      <c r="H113">
        <v>0.02</v>
      </c>
      <c r="I113">
        <v>0.02</v>
      </c>
      <c r="J113">
        <v>0.02</v>
      </c>
      <c r="K113">
        <v>0.02</v>
      </c>
      <c r="L113">
        <v>0.02</v>
      </c>
      <c r="M113">
        <v>0.02</v>
      </c>
      <c r="N113">
        <v>0.02</v>
      </c>
      <c r="O113">
        <v>0.02</v>
      </c>
      <c r="P113">
        <v>0.02</v>
      </c>
    </row>
    <row r="114" spans="1:16">
      <c r="A114" s="84" t="s">
        <v>301</v>
      </c>
      <c r="B114" s="85" t="s">
        <v>300</v>
      </c>
      <c r="C114" s="85" t="s">
        <v>83</v>
      </c>
      <c r="D114" s="84" t="s">
        <v>84</v>
      </c>
      <c r="E114" s="84">
        <v>3</v>
      </c>
      <c r="F114">
        <v>0.02</v>
      </c>
      <c r="G114">
        <v>0.02</v>
      </c>
      <c r="H114">
        <v>0.02</v>
      </c>
      <c r="I114">
        <v>0.02</v>
      </c>
      <c r="J114">
        <v>0.02</v>
      </c>
      <c r="K114">
        <v>0.02</v>
      </c>
      <c r="L114">
        <v>0.02</v>
      </c>
      <c r="M114">
        <v>0.02</v>
      </c>
      <c r="N114">
        <v>0.02</v>
      </c>
      <c r="O114">
        <v>0.02</v>
      </c>
      <c r="P114">
        <v>0.02</v>
      </c>
    </row>
    <row r="115" spans="1:16">
      <c r="A115" s="84" t="s">
        <v>303</v>
      </c>
      <c r="B115" s="85" t="s">
        <v>302</v>
      </c>
      <c r="C115" s="85" t="s">
        <v>83</v>
      </c>
      <c r="D115" s="84" t="s">
        <v>87</v>
      </c>
      <c r="E115" s="84">
        <v>1</v>
      </c>
      <c r="F115">
        <v>0.02</v>
      </c>
      <c r="G115">
        <v>0.02</v>
      </c>
      <c r="H115">
        <v>0.02</v>
      </c>
      <c r="I115">
        <v>0.02</v>
      </c>
      <c r="J115">
        <v>0.02</v>
      </c>
      <c r="K115">
        <v>0.02</v>
      </c>
      <c r="L115">
        <v>0.02</v>
      </c>
      <c r="M115">
        <v>0.02</v>
      </c>
      <c r="N115">
        <v>0.02</v>
      </c>
      <c r="O115">
        <v>0.02</v>
      </c>
      <c r="P115">
        <v>0.02</v>
      </c>
    </row>
    <row r="116" spans="1:16">
      <c r="A116" s="84" t="s">
        <v>305</v>
      </c>
      <c r="B116" s="85" t="s">
        <v>304</v>
      </c>
      <c r="C116" s="85" t="s">
        <v>92</v>
      </c>
      <c r="D116" s="84" t="s">
        <v>80</v>
      </c>
      <c r="E116" s="84">
        <v>2</v>
      </c>
      <c r="F116">
        <v>0.02</v>
      </c>
      <c r="G116">
        <v>0.02</v>
      </c>
      <c r="H116">
        <v>0.02</v>
      </c>
      <c r="I116">
        <v>0.02</v>
      </c>
      <c r="J116">
        <v>0.02</v>
      </c>
      <c r="K116">
        <v>0.02</v>
      </c>
      <c r="L116">
        <v>0.02</v>
      </c>
      <c r="M116">
        <v>0.02</v>
      </c>
      <c r="N116">
        <v>0.02</v>
      </c>
      <c r="O116">
        <v>0.02</v>
      </c>
      <c r="P116">
        <v>0.02</v>
      </c>
    </row>
    <row r="117" spans="1:16">
      <c r="A117" s="84" t="s">
        <v>307</v>
      </c>
      <c r="B117" s="85" t="s">
        <v>306</v>
      </c>
      <c r="C117" s="85" t="s">
        <v>99</v>
      </c>
      <c r="D117" s="84" t="s">
        <v>84</v>
      </c>
      <c r="E117" s="84">
        <v>1</v>
      </c>
      <c r="F117">
        <v>0.02</v>
      </c>
      <c r="G117">
        <v>0.02</v>
      </c>
      <c r="H117">
        <v>0.02</v>
      </c>
      <c r="I117">
        <v>0.02</v>
      </c>
      <c r="J117">
        <v>0.02</v>
      </c>
      <c r="K117">
        <v>0.02</v>
      </c>
      <c r="L117">
        <v>0.02</v>
      </c>
      <c r="M117">
        <v>0.02</v>
      </c>
      <c r="N117">
        <v>0.02</v>
      </c>
      <c r="O117">
        <v>0.02</v>
      </c>
      <c r="P117">
        <v>0.02</v>
      </c>
    </row>
    <row r="118" spans="1:16">
      <c r="A118" s="84" t="s">
        <v>309</v>
      </c>
      <c r="B118" s="85" t="s">
        <v>308</v>
      </c>
      <c r="C118" s="85" t="s">
        <v>79</v>
      </c>
      <c r="D118" s="84" t="s">
        <v>84</v>
      </c>
      <c r="E118" s="84">
        <v>1</v>
      </c>
      <c r="F118">
        <v>0.02</v>
      </c>
      <c r="G118">
        <v>0.02</v>
      </c>
      <c r="H118">
        <v>0.02</v>
      </c>
      <c r="I118">
        <v>0.02</v>
      </c>
      <c r="J118">
        <v>0.02</v>
      </c>
      <c r="K118">
        <v>0.02</v>
      </c>
      <c r="L118">
        <v>0.02</v>
      </c>
      <c r="M118">
        <v>0.02</v>
      </c>
      <c r="N118">
        <v>0.02</v>
      </c>
      <c r="O118">
        <v>0.02</v>
      </c>
      <c r="P118">
        <v>0.02</v>
      </c>
    </row>
    <row r="119" spans="1:16">
      <c r="A119" s="84" t="s">
        <v>311</v>
      </c>
      <c r="B119" s="85" t="s">
        <v>310</v>
      </c>
      <c r="C119" s="85" t="s">
        <v>79</v>
      </c>
      <c r="D119" s="84" t="s">
        <v>87</v>
      </c>
      <c r="E119" s="84">
        <v>1</v>
      </c>
      <c r="F119">
        <v>0.02</v>
      </c>
      <c r="G119">
        <v>0.02</v>
      </c>
      <c r="H119">
        <v>0.02</v>
      </c>
      <c r="I119">
        <v>0.02</v>
      </c>
      <c r="J119">
        <v>0.02</v>
      </c>
      <c r="K119">
        <v>0.02</v>
      </c>
      <c r="L119">
        <v>0.02</v>
      </c>
      <c r="M119">
        <v>0.02</v>
      </c>
      <c r="N119">
        <v>0.02</v>
      </c>
      <c r="O119">
        <v>0.02</v>
      </c>
      <c r="P119">
        <v>0.02</v>
      </c>
    </row>
    <row r="120" spans="1:16">
      <c r="A120" s="84" t="s">
        <v>313</v>
      </c>
      <c r="B120" s="85" t="s">
        <v>312</v>
      </c>
      <c r="C120" s="85" t="s">
        <v>99</v>
      </c>
      <c r="D120" s="84" t="s">
        <v>84</v>
      </c>
      <c r="E120" s="84">
        <v>2</v>
      </c>
      <c r="F120">
        <v>0.02</v>
      </c>
      <c r="G120">
        <v>0.02</v>
      </c>
      <c r="H120">
        <v>0.02</v>
      </c>
      <c r="I120">
        <v>0.02</v>
      </c>
      <c r="J120">
        <v>0.02</v>
      </c>
      <c r="K120">
        <v>0.02</v>
      </c>
      <c r="L120">
        <v>0.02</v>
      </c>
      <c r="M120">
        <v>0.02</v>
      </c>
      <c r="N120">
        <v>0.02</v>
      </c>
      <c r="O120">
        <v>0.02</v>
      </c>
      <c r="P120">
        <v>0.02</v>
      </c>
    </row>
    <row r="121" spans="1:16">
      <c r="A121" s="84" t="s">
        <v>315</v>
      </c>
      <c r="B121" s="85" t="s">
        <v>314</v>
      </c>
      <c r="C121" s="85" t="s">
        <v>79</v>
      </c>
      <c r="D121" s="84" t="s">
        <v>80</v>
      </c>
      <c r="E121" s="84">
        <v>1</v>
      </c>
      <c r="F121">
        <v>0.02</v>
      </c>
      <c r="G121">
        <v>0.02</v>
      </c>
      <c r="H121">
        <v>0.02</v>
      </c>
      <c r="I121">
        <v>0.02</v>
      </c>
      <c r="J121">
        <v>0.02</v>
      </c>
      <c r="K121">
        <v>0.02</v>
      </c>
      <c r="L121">
        <v>0.02</v>
      </c>
      <c r="M121">
        <v>0.02</v>
      </c>
      <c r="N121">
        <v>0.02</v>
      </c>
      <c r="O121">
        <v>0.02</v>
      </c>
      <c r="P121">
        <v>0.02</v>
      </c>
    </row>
    <row r="122" spans="1:16">
      <c r="A122" s="84" t="s">
        <v>317</v>
      </c>
      <c r="B122" s="85" t="s">
        <v>316</v>
      </c>
      <c r="C122" s="85" t="s">
        <v>74</v>
      </c>
      <c r="D122" s="84" t="s">
        <v>84</v>
      </c>
      <c r="E122" s="84">
        <v>3</v>
      </c>
      <c r="F122">
        <v>0.02</v>
      </c>
      <c r="G122">
        <v>0.02</v>
      </c>
      <c r="H122">
        <v>0.02</v>
      </c>
      <c r="I122">
        <v>0.02</v>
      </c>
      <c r="J122">
        <v>0.02</v>
      </c>
      <c r="K122">
        <v>0.02</v>
      </c>
      <c r="L122">
        <v>0.02</v>
      </c>
      <c r="M122">
        <v>0.02</v>
      </c>
      <c r="N122">
        <v>0.02</v>
      </c>
      <c r="O122">
        <v>0.02</v>
      </c>
      <c r="P122">
        <v>0.02</v>
      </c>
    </row>
    <row r="123" spans="1:16">
      <c r="A123" s="84" t="s">
        <v>319</v>
      </c>
      <c r="B123" s="85" t="s">
        <v>318</v>
      </c>
      <c r="C123" s="85" t="s">
        <v>83</v>
      </c>
      <c r="D123" s="84" t="s">
        <v>75</v>
      </c>
      <c r="E123" s="84" t="s">
        <v>76</v>
      </c>
      <c r="F123">
        <v>0.02</v>
      </c>
      <c r="G123">
        <v>0.02</v>
      </c>
      <c r="H123">
        <v>0.02</v>
      </c>
      <c r="I123">
        <v>0.02</v>
      </c>
      <c r="J123">
        <v>0.02</v>
      </c>
      <c r="K123">
        <v>0.02</v>
      </c>
      <c r="L123">
        <v>0.02</v>
      </c>
      <c r="M123">
        <v>0.02</v>
      </c>
      <c r="N123">
        <v>0.02</v>
      </c>
      <c r="O123">
        <v>0.02</v>
      </c>
      <c r="P123">
        <v>0.02</v>
      </c>
    </row>
    <row r="124" spans="1:16">
      <c r="A124" s="84" t="s">
        <v>321</v>
      </c>
      <c r="B124" s="85" t="s">
        <v>320</v>
      </c>
      <c r="C124" s="85" t="s">
        <v>110</v>
      </c>
      <c r="D124" s="84" t="s">
        <v>84</v>
      </c>
      <c r="E124" s="84">
        <v>4</v>
      </c>
      <c r="F124">
        <v>0.02</v>
      </c>
      <c r="G124">
        <v>0.02</v>
      </c>
      <c r="H124">
        <v>0.02</v>
      </c>
      <c r="I124">
        <v>0.02</v>
      </c>
      <c r="J124">
        <v>0.02</v>
      </c>
      <c r="K124">
        <v>0.02</v>
      </c>
      <c r="L124">
        <v>0.02</v>
      </c>
      <c r="M124">
        <v>0.02</v>
      </c>
      <c r="N124">
        <v>0.02</v>
      </c>
      <c r="O124">
        <v>0.02</v>
      </c>
      <c r="P124">
        <v>0.02</v>
      </c>
    </row>
    <row r="125" spans="1:16">
      <c r="A125" s="84" t="s">
        <v>323</v>
      </c>
      <c r="B125" s="85" t="s">
        <v>322</v>
      </c>
      <c r="C125" s="85" t="s">
        <v>83</v>
      </c>
      <c r="D125" s="84" t="s">
        <v>80</v>
      </c>
      <c r="E125" s="84">
        <v>3</v>
      </c>
      <c r="F125">
        <v>0.02</v>
      </c>
      <c r="G125">
        <v>0.02</v>
      </c>
      <c r="H125">
        <v>0.02</v>
      </c>
      <c r="I125">
        <v>0.02</v>
      </c>
      <c r="J125">
        <v>0.02</v>
      </c>
      <c r="K125">
        <v>0.02</v>
      </c>
      <c r="L125">
        <v>0.02</v>
      </c>
      <c r="M125">
        <v>0.02</v>
      </c>
      <c r="N125">
        <v>0.02</v>
      </c>
      <c r="O125">
        <v>0.02</v>
      </c>
      <c r="P125">
        <v>0.02</v>
      </c>
    </row>
    <row r="126" spans="1:16">
      <c r="A126" s="84" t="s">
        <v>325</v>
      </c>
      <c r="B126" s="85" t="s">
        <v>324</v>
      </c>
      <c r="C126" s="85" t="s">
        <v>99</v>
      </c>
      <c r="D126" s="84" t="s">
        <v>87</v>
      </c>
      <c r="E126" s="84">
        <v>1</v>
      </c>
      <c r="F126">
        <v>0.02</v>
      </c>
      <c r="G126">
        <v>0.02</v>
      </c>
      <c r="H126">
        <v>0.02</v>
      </c>
      <c r="I126">
        <v>0.02</v>
      </c>
      <c r="J126">
        <v>0.02</v>
      </c>
      <c r="K126">
        <v>0.02</v>
      </c>
      <c r="L126">
        <v>0.02</v>
      </c>
      <c r="M126">
        <v>0.02</v>
      </c>
      <c r="N126">
        <v>0.02</v>
      </c>
      <c r="O126">
        <v>0.02</v>
      </c>
      <c r="P126">
        <v>0.02</v>
      </c>
    </row>
    <row r="127" spans="1:16">
      <c r="A127" s="84" t="s">
        <v>327</v>
      </c>
      <c r="B127" s="85" t="s">
        <v>326</v>
      </c>
      <c r="C127" s="85" t="s">
        <v>110</v>
      </c>
      <c r="D127" s="84" t="s">
        <v>84</v>
      </c>
      <c r="E127" s="84">
        <v>4</v>
      </c>
      <c r="F127">
        <v>0.02</v>
      </c>
      <c r="G127">
        <v>0.02</v>
      </c>
      <c r="H127">
        <v>0.02</v>
      </c>
      <c r="I127">
        <v>0.02</v>
      </c>
      <c r="J127">
        <v>0.02</v>
      </c>
      <c r="K127">
        <v>0.02</v>
      </c>
      <c r="L127">
        <v>0.02</v>
      </c>
      <c r="M127">
        <v>0.02</v>
      </c>
      <c r="N127">
        <v>0.02</v>
      </c>
      <c r="O127">
        <v>0.02</v>
      </c>
      <c r="P127">
        <v>0.02</v>
      </c>
    </row>
    <row r="128" spans="1:16">
      <c r="A128" s="84" t="s">
        <v>329</v>
      </c>
      <c r="B128" s="85" t="s">
        <v>328</v>
      </c>
      <c r="C128" s="85" t="s">
        <v>79</v>
      </c>
      <c r="D128" s="84" t="s">
        <v>87</v>
      </c>
      <c r="E128" s="84">
        <v>1</v>
      </c>
      <c r="F128">
        <v>0.02</v>
      </c>
      <c r="G128">
        <v>0.02</v>
      </c>
      <c r="H128">
        <v>0.02</v>
      </c>
      <c r="I128">
        <v>0.02</v>
      </c>
      <c r="J128">
        <v>0.02</v>
      </c>
      <c r="K128">
        <v>0.02</v>
      </c>
      <c r="L128">
        <v>0.02</v>
      </c>
      <c r="M128">
        <v>0.02</v>
      </c>
      <c r="N128">
        <v>0.02</v>
      </c>
      <c r="O128">
        <v>0.02</v>
      </c>
      <c r="P128">
        <v>0.02</v>
      </c>
    </row>
    <row r="129" spans="1:16">
      <c r="A129" s="84" t="s">
        <v>331</v>
      </c>
      <c r="B129" s="85" t="s">
        <v>330</v>
      </c>
      <c r="C129" s="85" t="s">
        <v>99</v>
      </c>
      <c r="D129" s="84" t="s">
        <v>87</v>
      </c>
      <c r="E129" s="84">
        <v>1</v>
      </c>
      <c r="F129">
        <v>0.02</v>
      </c>
      <c r="G129">
        <v>0.02</v>
      </c>
      <c r="H129">
        <v>0.02</v>
      </c>
      <c r="I129">
        <v>0.02</v>
      </c>
      <c r="J129">
        <v>0.02</v>
      </c>
      <c r="K129">
        <v>0.02</v>
      </c>
      <c r="L129">
        <v>0.02</v>
      </c>
      <c r="M129">
        <v>0.02</v>
      </c>
      <c r="N129">
        <v>0.02</v>
      </c>
      <c r="O129">
        <v>0.02</v>
      </c>
      <c r="P129">
        <v>0.02</v>
      </c>
    </row>
    <row r="130" spans="1:16">
      <c r="A130" s="84" t="s">
        <v>333</v>
      </c>
      <c r="B130" s="85" t="s">
        <v>332</v>
      </c>
      <c r="C130" s="85" t="s">
        <v>92</v>
      </c>
      <c r="D130" s="84" t="s">
        <v>84</v>
      </c>
      <c r="E130" s="84">
        <v>2</v>
      </c>
      <c r="F130">
        <v>0.02</v>
      </c>
      <c r="G130">
        <v>0.02</v>
      </c>
      <c r="H130">
        <v>0.02</v>
      </c>
      <c r="I130">
        <v>0.02</v>
      </c>
      <c r="J130">
        <v>0.02</v>
      </c>
      <c r="K130">
        <v>0.02</v>
      </c>
      <c r="L130">
        <v>0.02</v>
      </c>
      <c r="M130">
        <v>0.02</v>
      </c>
      <c r="N130">
        <v>0.02</v>
      </c>
      <c r="O130">
        <v>0.02</v>
      </c>
      <c r="P130">
        <v>0.02</v>
      </c>
    </row>
    <row r="131" spans="1:16">
      <c r="A131" s="84" t="s">
        <v>335</v>
      </c>
      <c r="B131" s="85" t="s">
        <v>334</v>
      </c>
      <c r="C131" s="85" t="s">
        <v>83</v>
      </c>
      <c r="D131" s="84" t="s">
        <v>75</v>
      </c>
      <c r="E131" s="84">
        <v>3</v>
      </c>
      <c r="F131">
        <v>0.02</v>
      </c>
      <c r="G131">
        <v>0.02</v>
      </c>
      <c r="H131">
        <v>0.02</v>
      </c>
      <c r="I131">
        <v>0.02</v>
      </c>
      <c r="J131">
        <v>0.02</v>
      </c>
      <c r="K131">
        <v>0.02</v>
      </c>
      <c r="L131">
        <v>0.02</v>
      </c>
      <c r="M131">
        <v>0.02</v>
      </c>
      <c r="N131">
        <v>0.02</v>
      </c>
      <c r="O131">
        <v>0.02</v>
      </c>
      <c r="P131">
        <v>0.02</v>
      </c>
    </row>
    <row r="132" spans="1:16">
      <c r="A132" s="84" t="s">
        <v>337</v>
      </c>
      <c r="B132" s="85" t="s">
        <v>336</v>
      </c>
      <c r="C132" s="85" t="s">
        <v>83</v>
      </c>
      <c r="D132" s="84" t="s">
        <v>84</v>
      </c>
      <c r="E132" s="84" t="s">
        <v>76</v>
      </c>
      <c r="F132">
        <v>0.02</v>
      </c>
      <c r="G132">
        <v>0.02</v>
      </c>
      <c r="H132">
        <v>0.02</v>
      </c>
      <c r="I132">
        <v>0.02</v>
      </c>
      <c r="J132">
        <v>0.02</v>
      </c>
      <c r="K132">
        <v>0.02</v>
      </c>
      <c r="L132">
        <v>0.02</v>
      </c>
      <c r="M132">
        <v>0.02</v>
      </c>
      <c r="N132">
        <v>0.02</v>
      </c>
      <c r="O132">
        <v>0.02</v>
      </c>
      <c r="P132">
        <v>0.02</v>
      </c>
    </row>
    <row r="133" spans="1:16">
      <c r="A133" s="84" t="s">
        <v>339</v>
      </c>
      <c r="B133" s="85" t="s">
        <v>338</v>
      </c>
      <c r="C133" s="85" t="s">
        <v>99</v>
      </c>
      <c r="D133" s="84" t="e">
        <v>#N/A</v>
      </c>
      <c r="E133" s="84">
        <v>1</v>
      </c>
      <c r="F133">
        <v>0.02</v>
      </c>
      <c r="G133">
        <v>0.02</v>
      </c>
      <c r="H133">
        <v>0.02</v>
      </c>
      <c r="I133">
        <v>0.02</v>
      </c>
      <c r="J133">
        <v>0.02</v>
      </c>
      <c r="K133">
        <v>0.02</v>
      </c>
      <c r="L133">
        <v>0.02</v>
      </c>
      <c r="M133">
        <v>0.02</v>
      </c>
      <c r="N133">
        <v>0.02</v>
      </c>
      <c r="O133">
        <v>0.02</v>
      </c>
      <c r="P133">
        <v>0.02</v>
      </c>
    </row>
    <row r="134" spans="1:16">
      <c r="A134" s="84" t="s">
        <v>341</v>
      </c>
      <c r="B134" s="85" t="s">
        <v>340</v>
      </c>
      <c r="C134" s="85" t="s">
        <v>79</v>
      </c>
      <c r="D134" s="84" t="s">
        <v>87</v>
      </c>
      <c r="E134" s="84">
        <v>1</v>
      </c>
      <c r="F134">
        <v>0.02</v>
      </c>
      <c r="G134">
        <v>0.02</v>
      </c>
      <c r="H134">
        <v>0.02</v>
      </c>
      <c r="I134">
        <v>0.02</v>
      </c>
      <c r="J134">
        <v>0.02</v>
      </c>
      <c r="K134">
        <v>0.02</v>
      </c>
      <c r="L134">
        <v>0.02</v>
      </c>
      <c r="M134">
        <v>0.02</v>
      </c>
      <c r="N134">
        <v>0.02</v>
      </c>
      <c r="O134">
        <v>0.02</v>
      </c>
      <c r="P134">
        <v>0.02</v>
      </c>
    </row>
    <row r="135" spans="1:16">
      <c r="A135" s="84" t="s">
        <v>343</v>
      </c>
      <c r="B135" s="85" t="s">
        <v>342</v>
      </c>
      <c r="C135" s="85" t="s">
        <v>74</v>
      </c>
      <c r="D135" s="84" t="s">
        <v>87</v>
      </c>
      <c r="E135" s="84">
        <v>1</v>
      </c>
      <c r="F135">
        <v>0.02</v>
      </c>
      <c r="G135">
        <v>0.02</v>
      </c>
      <c r="H135">
        <v>0.02</v>
      </c>
      <c r="I135">
        <v>0.02</v>
      </c>
      <c r="J135">
        <v>0.02</v>
      </c>
      <c r="K135">
        <v>0.02</v>
      </c>
      <c r="L135">
        <v>0.02</v>
      </c>
      <c r="M135">
        <v>0.02</v>
      </c>
      <c r="N135">
        <v>0.02</v>
      </c>
      <c r="O135">
        <v>0.02</v>
      </c>
      <c r="P135">
        <v>0.02</v>
      </c>
    </row>
    <row r="136" spans="1:16">
      <c r="A136" s="84" t="s">
        <v>345</v>
      </c>
      <c r="B136" s="85" t="s">
        <v>344</v>
      </c>
      <c r="C136" s="85" t="s">
        <v>74</v>
      </c>
      <c r="D136" s="84" t="s">
        <v>84</v>
      </c>
      <c r="E136" s="84" t="s">
        <v>76</v>
      </c>
      <c r="F136">
        <v>0.02</v>
      </c>
      <c r="G136">
        <v>0.02</v>
      </c>
      <c r="H136">
        <v>0.02</v>
      </c>
      <c r="I136">
        <v>0.02</v>
      </c>
      <c r="J136">
        <v>0.02</v>
      </c>
      <c r="K136">
        <v>0.02</v>
      </c>
      <c r="L136">
        <v>0.02</v>
      </c>
      <c r="M136">
        <v>0.02</v>
      </c>
      <c r="N136">
        <v>0.02</v>
      </c>
      <c r="O136">
        <v>0.02</v>
      </c>
      <c r="P136">
        <v>0.02</v>
      </c>
    </row>
    <row r="137" spans="1:16">
      <c r="A137" s="84" t="s">
        <v>347</v>
      </c>
      <c r="B137" s="85" t="s">
        <v>346</v>
      </c>
      <c r="C137" s="85" t="s">
        <v>99</v>
      </c>
      <c r="D137" s="84" t="s">
        <v>87</v>
      </c>
      <c r="E137" s="84">
        <v>1</v>
      </c>
      <c r="F137">
        <v>0.02</v>
      </c>
      <c r="G137">
        <v>0.02</v>
      </c>
      <c r="H137">
        <v>0.02</v>
      </c>
      <c r="I137">
        <v>0.02</v>
      </c>
      <c r="J137">
        <v>0.02</v>
      </c>
      <c r="K137">
        <v>0.02</v>
      </c>
      <c r="L137">
        <v>0.02</v>
      </c>
      <c r="M137">
        <v>0.02</v>
      </c>
      <c r="N137">
        <v>0.02</v>
      </c>
      <c r="O137">
        <v>0.02</v>
      </c>
      <c r="P137">
        <v>0.02</v>
      </c>
    </row>
    <row r="138" spans="1:16">
      <c r="A138" s="84" t="s">
        <v>349</v>
      </c>
      <c r="B138" s="85" t="s">
        <v>348</v>
      </c>
      <c r="C138" s="85" t="s">
        <v>92</v>
      </c>
      <c r="D138" s="84" t="s">
        <v>87</v>
      </c>
      <c r="E138" s="84">
        <v>1</v>
      </c>
      <c r="F138">
        <v>0.02</v>
      </c>
      <c r="G138">
        <v>0.02</v>
      </c>
      <c r="H138">
        <v>0.02</v>
      </c>
      <c r="I138">
        <v>0.02</v>
      </c>
      <c r="J138">
        <v>0.02</v>
      </c>
      <c r="K138">
        <v>0.02</v>
      </c>
      <c r="L138">
        <v>0.02</v>
      </c>
      <c r="M138">
        <v>0.02</v>
      </c>
      <c r="N138">
        <v>0.02</v>
      </c>
      <c r="O138">
        <v>0.02</v>
      </c>
      <c r="P138">
        <v>0.02</v>
      </c>
    </row>
    <row r="139" spans="1:16">
      <c r="A139" s="84" t="s">
        <v>351</v>
      </c>
      <c r="B139" s="85" t="s">
        <v>350</v>
      </c>
      <c r="C139" s="85" t="s">
        <v>99</v>
      </c>
      <c r="D139" s="84" t="s">
        <v>84</v>
      </c>
      <c r="E139" s="84">
        <v>4</v>
      </c>
      <c r="F139">
        <v>0.02</v>
      </c>
      <c r="G139">
        <v>0.02</v>
      </c>
      <c r="H139">
        <v>0.02</v>
      </c>
      <c r="I139">
        <v>0.02</v>
      </c>
      <c r="J139">
        <v>0.02</v>
      </c>
      <c r="K139">
        <v>0.02</v>
      </c>
      <c r="L139">
        <v>0.02</v>
      </c>
      <c r="M139">
        <v>0.02</v>
      </c>
      <c r="N139">
        <v>0.02</v>
      </c>
      <c r="O139">
        <v>0.02</v>
      </c>
      <c r="P139">
        <v>0.02</v>
      </c>
    </row>
    <row r="140" spans="1:16">
      <c r="A140" s="84" t="s">
        <v>353</v>
      </c>
      <c r="B140" s="85" t="s">
        <v>352</v>
      </c>
      <c r="C140" s="85" t="s">
        <v>92</v>
      </c>
      <c r="D140" s="84" t="s">
        <v>80</v>
      </c>
      <c r="E140" s="84">
        <v>1</v>
      </c>
      <c r="F140">
        <v>0.02</v>
      </c>
      <c r="G140">
        <v>0.02</v>
      </c>
      <c r="H140">
        <v>0.02</v>
      </c>
      <c r="I140">
        <v>0.02</v>
      </c>
      <c r="J140">
        <v>0.02</v>
      </c>
      <c r="K140">
        <v>0.02</v>
      </c>
      <c r="L140">
        <v>0.02</v>
      </c>
      <c r="M140">
        <v>0.02</v>
      </c>
      <c r="N140">
        <v>0.02</v>
      </c>
      <c r="O140">
        <v>0.02</v>
      </c>
      <c r="P140">
        <v>0.02</v>
      </c>
    </row>
    <row r="141" spans="1:16">
      <c r="A141" s="84" t="s">
        <v>355</v>
      </c>
      <c r="B141" s="85" t="s">
        <v>354</v>
      </c>
      <c r="C141" s="85" t="s">
        <v>92</v>
      </c>
      <c r="D141" s="84" t="s">
        <v>80</v>
      </c>
      <c r="E141" s="84">
        <v>2</v>
      </c>
      <c r="F141">
        <v>0.02</v>
      </c>
      <c r="G141">
        <v>0.02</v>
      </c>
      <c r="H141">
        <v>0.02</v>
      </c>
      <c r="I141">
        <v>0.02</v>
      </c>
      <c r="J141">
        <v>0.02</v>
      </c>
      <c r="K141">
        <v>0.02</v>
      </c>
      <c r="L141">
        <v>0.02</v>
      </c>
      <c r="M141">
        <v>0.02</v>
      </c>
      <c r="N141">
        <v>0.02</v>
      </c>
      <c r="O141">
        <v>0.02</v>
      </c>
      <c r="P141">
        <v>0.02</v>
      </c>
    </row>
    <row r="142" spans="1:16">
      <c r="A142" s="84" t="s">
        <v>357</v>
      </c>
      <c r="B142" s="85" t="s">
        <v>356</v>
      </c>
      <c r="C142" s="85" t="s">
        <v>99</v>
      </c>
      <c r="D142" s="84" t="s">
        <v>84</v>
      </c>
      <c r="E142" s="84" t="s">
        <v>76</v>
      </c>
      <c r="F142">
        <v>0.02</v>
      </c>
      <c r="G142">
        <v>0.02</v>
      </c>
      <c r="H142">
        <v>0.02</v>
      </c>
      <c r="I142">
        <v>0.02</v>
      </c>
      <c r="J142">
        <v>0.02</v>
      </c>
      <c r="K142">
        <v>0.02</v>
      </c>
      <c r="L142">
        <v>0.02</v>
      </c>
      <c r="M142">
        <v>0.02</v>
      </c>
      <c r="N142">
        <v>0.02</v>
      </c>
      <c r="O142">
        <v>0.02</v>
      </c>
      <c r="P142">
        <v>0.02</v>
      </c>
    </row>
    <row r="143" spans="1:16">
      <c r="A143" s="84" t="s">
        <v>359</v>
      </c>
      <c r="B143" s="85" t="s">
        <v>358</v>
      </c>
      <c r="C143" s="85" t="s">
        <v>79</v>
      </c>
      <c r="D143" s="84" t="s">
        <v>87</v>
      </c>
      <c r="E143" s="84">
        <v>1</v>
      </c>
      <c r="F143">
        <v>0.02</v>
      </c>
      <c r="G143">
        <v>0.02</v>
      </c>
      <c r="H143">
        <v>0.02</v>
      </c>
      <c r="I143">
        <v>0.02</v>
      </c>
      <c r="J143">
        <v>0.02</v>
      </c>
      <c r="K143">
        <v>0.02</v>
      </c>
      <c r="L143">
        <v>0.02</v>
      </c>
      <c r="M143">
        <v>0.02</v>
      </c>
      <c r="N143">
        <v>0.02</v>
      </c>
      <c r="O143">
        <v>0.02</v>
      </c>
      <c r="P143">
        <v>0.02</v>
      </c>
    </row>
    <row r="144" spans="1:16">
      <c r="A144" s="84" t="s">
        <v>361</v>
      </c>
      <c r="B144" s="85" t="s">
        <v>360</v>
      </c>
      <c r="C144" s="85" t="s">
        <v>79</v>
      </c>
      <c r="D144" s="84" t="s">
        <v>87</v>
      </c>
      <c r="E144" s="84">
        <v>1</v>
      </c>
      <c r="F144">
        <v>0.02</v>
      </c>
      <c r="G144">
        <v>0.02</v>
      </c>
      <c r="H144">
        <v>0.02</v>
      </c>
      <c r="I144">
        <v>0.02</v>
      </c>
      <c r="J144">
        <v>0.02</v>
      </c>
      <c r="K144">
        <v>0.02</v>
      </c>
      <c r="L144">
        <v>0.02</v>
      </c>
      <c r="M144">
        <v>0.02</v>
      </c>
      <c r="N144">
        <v>0.02</v>
      </c>
      <c r="O144">
        <v>0.02</v>
      </c>
      <c r="P144">
        <v>0.02</v>
      </c>
    </row>
    <row r="145" spans="1:16">
      <c r="A145" s="84" t="s">
        <v>363</v>
      </c>
      <c r="B145" s="85" t="s">
        <v>362</v>
      </c>
      <c r="C145" s="85" t="s">
        <v>74</v>
      </c>
      <c r="D145" s="84" t="s">
        <v>87</v>
      </c>
      <c r="E145" s="84">
        <v>1</v>
      </c>
      <c r="F145">
        <v>0.02</v>
      </c>
      <c r="G145">
        <v>0.02</v>
      </c>
      <c r="H145">
        <v>0.02</v>
      </c>
      <c r="I145">
        <v>0.02</v>
      </c>
      <c r="J145">
        <v>0.02</v>
      </c>
      <c r="K145">
        <v>0.02</v>
      </c>
      <c r="L145">
        <v>0.02</v>
      </c>
      <c r="M145">
        <v>0.02</v>
      </c>
      <c r="N145">
        <v>0.02</v>
      </c>
      <c r="O145">
        <v>0.02</v>
      </c>
      <c r="P145">
        <v>0.02</v>
      </c>
    </row>
    <row r="146" spans="1:16">
      <c r="A146" s="84" t="s">
        <v>365</v>
      </c>
      <c r="B146" s="85" t="s">
        <v>364</v>
      </c>
      <c r="C146" s="85" t="s">
        <v>79</v>
      </c>
      <c r="D146" s="84" t="s">
        <v>87</v>
      </c>
      <c r="E146" s="84">
        <v>2</v>
      </c>
      <c r="F146">
        <v>0.02</v>
      </c>
      <c r="G146">
        <v>0.02</v>
      </c>
      <c r="H146">
        <v>0.02</v>
      </c>
      <c r="I146">
        <v>0.02</v>
      </c>
      <c r="J146">
        <v>0.02</v>
      </c>
      <c r="K146">
        <v>0.02</v>
      </c>
      <c r="L146">
        <v>0.02</v>
      </c>
      <c r="M146">
        <v>0.02</v>
      </c>
      <c r="N146">
        <v>0.02</v>
      </c>
      <c r="O146">
        <v>0.02</v>
      </c>
      <c r="P146">
        <v>0.02</v>
      </c>
    </row>
    <row r="147" spans="1:16">
      <c r="A147" s="84" t="s">
        <v>367</v>
      </c>
      <c r="B147" s="85" t="s">
        <v>366</v>
      </c>
      <c r="C147" s="85" t="s">
        <v>79</v>
      </c>
      <c r="D147" s="84" t="s">
        <v>80</v>
      </c>
      <c r="E147" s="84">
        <v>2</v>
      </c>
      <c r="F147">
        <v>0.02</v>
      </c>
      <c r="G147">
        <v>0.02</v>
      </c>
      <c r="H147">
        <v>0.02</v>
      </c>
      <c r="I147">
        <v>0.02</v>
      </c>
      <c r="J147">
        <v>0.02</v>
      </c>
      <c r="K147">
        <v>0.02</v>
      </c>
      <c r="L147">
        <v>0.02</v>
      </c>
      <c r="M147">
        <v>0.02</v>
      </c>
      <c r="N147">
        <v>0.02</v>
      </c>
      <c r="O147">
        <v>0.02</v>
      </c>
      <c r="P147">
        <v>0.02</v>
      </c>
    </row>
    <row r="148" spans="1:16">
      <c r="A148" s="84" t="s">
        <v>369</v>
      </c>
      <c r="B148" s="85" t="s">
        <v>368</v>
      </c>
      <c r="C148" s="85" t="s">
        <v>83</v>
      </c>
      <c r="D148" s="84" t="s">
        <v>75</v>
      </c>
      <c r="E148" s="84">
        <v>3</v>
      </c>
      <c r="F148">
        <v>0.02</v>
      </c>
      <c r="G148">
        <v>0.02</v>
      </c>
      <c r="H148">
        <v>0.02</v>
      </c>
      <c r="I148">
        <v>0.02</v>
      </c>
      <c r="J148">
        <v>0.02</v>
      </c>
      <c r="K148">
        <v>0.02</v>
      </c>
      <c r="L148">
        <v>0.02</v>
      </c>
      <c r="M148">
        <v>0.02</v>
      </c>
      <c r="N148">
        <v>0.02</v>
      </c>
      <c r="O148">
        <v>0.02</v>
      </c>
      <c r="P148">
        <v>0.02</v>
      </c>
    </row>
    <row r="149" spans="1:16">
      <c r="A149" s="84" t="s">
        <v>371</v>
      </c>
      <c r="B149" s="85" t="s">
        <v>370</v>
      </c>
      <c r="C149" s="85" t="s">
        <v>92</v>
      </c>
      <c r="D149" s="84" t="s">
        <v>87</v>
      </c>
      <c r="E149" s="84">
        <v>1</v>
      </c>
      <c r="F149">
        <v>0.02</v>
      </c>
      <c r="G149">
        <v>0.02</v>
      </c>
      <c r="H149">
        <v>0.02</v>
      </c>
      <c r="I149">
        <v>0.02</v>
      </c>
      <c r="J149">
        <v>0.02</v>
      </c>
      <c r="K149">
        <v>0.02</v>
      </c>
      <c r="L149">
        <v>0.02</v>
      </c>
      <c r="M149">
        <v>0.02</v>
      </c>
      <c r="N149">
        <v>0.02</v>
      </c>
      <c r="O149">
        <v>0.02</v>
      </c>
      <c r="P149">
        <v>0.02</v>
      </c>
    </row>
    <row r="150" spans="1:16">
      <c r="A150" s="84" t="s">
        <v>373</v>
      </c>
      <c r="B150" s="85" t="s">
        <v>372</v>
      </c>
      <c r="C150" s="85" t="s">
        <v>92</v>
      </c>
      <c r="D150" s="84" t="s">
        <v>80</v>
      </c>
      <c r="E150" s="84">
        <v>1</v>
      </c>
      <c r="F150">
        <v>0.02</v>
      </c>
      <c r="G150">
        <v>0.02</v>
      </c>
      <c r="H150">
        <v>0.02</v>
      </c>
      <c r="I150">
        <v>0.02</v>
      </c>
      <c r="J150">
        <v>0.02</v>
      </c>
      <c r="K150">
        <v>0.02</v>
      </c>
      <c r="L150">
        <v>0.02</v>
      </c>
      <c r="M150">
        <v>0.02</v>
      </c>
      <c r="N150">
        <v>0.02</v>
      </c>
      <c r="O150">
        <v>0.02</v>
      </c>
      <c r="P150">
        <v>0.02</v>
      </c>
    </row>
    <row r="151" spans="1:16">
      <c r="A151" s="84" t="s">
        <v>375</v>
      </c>
      <c r="B151" s="85" t="s">
        <v>374</v>
      </c>
      <c r="C151" s="85" t="s">
        <v>92</v>
      </c>
      <c r="D151" s="84" t="s">
        <v>80</v>
      </c>
      <c r="E151" s="84">
        <v>1</v>
      </c>
      <c r="F151">
        <v>0.02</v>
      </c>
      <c r="G151">
        <v>0.02</v>
      </c>
      <c r="H151">
        <v>0.02</v>
      </c>
      <c r="I151">
        <v>0.02</v>
      </c>
      <c r="J151">
        <v>0.02</v>
      </c>
      <c r="K151">
        <v>0.02</v>
      </c>
      <c r="L151">
        <v>0.02</v>
      </c>
      <c r="M151">
        <v>0.02</v>
      </c>
      <c r="N151">
        <v>0.02</v>
      </c>
      <c r="O151">
        <v>0.02</v>
      </c>
      <c r="P151">
        <v>0.02</v>
      </c>
    </row>
    <row r="152" spans="1:16">
      <c r="A152" s="84" t="s">
        <v>377</v>
      </c>
      <c r="B152" s="85" t="s">
        <v>376</v>
      </c>
      <c r="C152" s="85" t="s">
        <v>99</v>
      </c>
      <c r="D152" s="84" t="s">
        <v>80</v>
      </c>
      <c r="E152" s="84">
        <v>2</v>
      </c>
      <c r="F152">
        <v>0.02</v>
      </c>
      <c r="G152">
        <v>0.02</v>
      </c>
      <c r="H152">
        <v>0.02</v>
      </c>
      <c r="I152">
        <v>0.02</v>
      </c>
      <c r="J152">
        <v>0.02</v>
      </c>
      <c r="K152">
        <v>0.02</v>
      </c>
      <c r="L152">
        <v>0.02</v>
      </c>
      <c r="M152">
        <v>0.02</v>
      </c>
      <c r="N152">
        <v>0.02</v>
      </c>
      <c r="O152">
        <v>0.02</v>
      </c>
      <c r="P152">
        <v>0.02</v>
      </c>
    </row>
    <row r="153" spans="1:16">
      <c r="A153" s="84" t="s">
        <v>379</v>
      </c>
      <c r="B153" s="85" t="s">
        <v>378</v>
      </c>
      <c r="C153" s="85" t="s">
        <v>79</v>
      </c>
      <c r="D153" s="84" t="s">
        <v>87</v>
      </c>
      <c r="E153" s="84">
        <v>1</v>
      </c>
      <c r="F153">
        <v>0.02</v>
      </c>
      <c r="G153">
        <v>0.02</v>
      </c>
      <c r="H153">
        <v>0.02</v>
      </c>
      <c r="I153">
        <v>0.02</v>
      </c>
      <c r="J153">
        <v>0.02</v>
      </c>
      <c r="K153">
        <v>0.02</v>
      </c>
      <c r="L153">
        <v>0.02</v>
      </c>
      <c r="M153">
        <v>0.02</v>
      </c>
      <c r="N153">
        <v>0.02</v>
      </c>
      <c r="O153">
        <v>0.02</v>
      </c>
      <c r="P153">
        <v>0.02</v>
      </c>
    </row>
    <row r="154" spans="1:16">
      <c r="A154" s="84" t="s">
        <v>381</v>
      </c>
      <c r="B154" s="85" t="s">
        <v>380</v>
      </c>
      <c r="C154" s="85" t="s">
        <v>83</v>
      </c>
      <c r="D154" s="84" t="s">
        <v>84</v>
      </c>
      <c r="E154" s="84">
        <v>3</v>
      </c>
      <c r="F154">
        <v>0.02</v>
      </c>
      <c r="G154">
        <v>0.02</v>
      </c>
      <c r="H154">
        <v>0.02</v>
      </c>
      <c r="I154">
        <v>0.02</v>
      </c>
      <c r="J154">
        <v>0.02</v>
      </c>
      <c r="K154">
        <v>0.02</v>
      </c>
      <c r="L154">
        <v>0.02</v>
      </c>
      <c r="M154">
        <v>0.02</v>
      </c>
      <c r="N154">
        <v>0.02</v>
      </c>
      <c r="O154">
        <v>0.02</v>
      </c>
      <c r="P154">
        <v>0.02</v>
      </c>
    </row>
    <row r="155" spans="1:16">
      <c r="A155" s="84" t="s">
        <v>383</v>
      </c>
      <c r="B155" s="85" t="s">
        <v>382</v>
      </c>
      <c r="C155" s="85" t="s">
        <v>74</v>
      </c>
      <c r="D155" s="84" t="s">
        <v>87</v>
      </c>
      <c r="E155" s="84">
        <v>1</v>
      </c>
      <c r="F155">
        <v>0.02</v>
      </c>
      <c r="G155">
        <v>0.02</v>
      </c>
      <c r="H155">
        <v>0.02</v>
      </c>
      <c r="I155">
        <v>0.02</v>
      </c>
      <c r="J155">
        <v>0.02</v>
      </c>
      <c r="K155">
        <v>0.02</v>
      </c>
      <c r="L155">
        <v>0.02</v>
      </c>
      <c r="M155">
        <v>0.02</v>
      </c>
      <c r="N155">
        <v>0.02</v>
      </c>
      <c r="O155">
        <v>0.02</v>
      </c>
      <c r="P155">
        <v>0.02</v>
      </c>
    </row>
    <row r="156" spans="1:16">
      <c r="A156" s="84" t="s">
        <v>385</v>
      </c>
      <c r="B156" s="85" t="s">
        <v>384</v>
      </c>
      <c r="C156" s="85" t="s">
        <v>83</v>
      </c>
      <c r="D156" s="84" t="s">
        <v>84</v>
      </c>
      <c r="E156" s="84">
        <v>3</v>
      </c>
      <c r="F156">
        <v>0.02</v>
      </c>
      <c r="G156">
        <v>0.02</v>
      </c>
      <c r="H156">
        <v>0.02</v>
      </c>
      <c r="I156">
        <v>0.02</v>
      </c>
      <c r="J156">
        <v>0.02</v>
      </c>
      <c r="K156">
        <v>0.02</v>
      </c>
      <c r="L156">
        <v>0.02</v>
      </c>
      <c r="M156">
        <v>0.02</v>
      </c>
      <c r="N156">
        <v>0.02</v>
      </c>
      <c r="O156">
        <v>0.02</v>
      </c>
      <c r="P156">
        <v>0.02</v>
      </c>
    </row>
    <row r="157" spans="1:16">
      <c r="A157" s="84" t="s">
        <v>387</v>
      </c>
      <c r="B157" s="85" t="s">
        <v>386</v>
      </c>
      <c r="C157" s="85" t="s">
        <v>79</v>
      </c>
      <c r="D157" s="84" t="s">
        <v>80</v>
      </c>
      <c r="E157" s="84">
        <v>1</v>
      </c>
      <c r="F157">
        <v>0.02</v>
      </c>
      <c r="G157">
        <v>0.02</v>
      </c>
      <c r="H157">
        <v>0.02</v>
      </c>
      <c r="I157">
        <v>0.02</v>
      </c>
      <c r="J157">
        <v>0.02</v>
      </c>
      <c r="K157">
        <v>0.02</v>
      </c>
      <c r="L157">
        <v>0.02</v>
      </c>
      <c r="M157">
        <v>0.02</v>
      </c>
      <c r="N157">
        <v>0.02</v>
      </c>
      <c r="O157">
        <v>0.02</v>
      </c>
      <c r="P157">
        <v>0.02</v>
      </c>
    </row>
    <row r="158" spans="1:16">
      <c r="A158" s="84" t="s">
        <v>389</v>
      </c>
      <c r="B158" s="85" t="s">
        <v>388</v>
      </c>
      <c r="C158" s="85" t="s">
        <v>83</v>
      </c>
      <c r="D158" s="84" t="s">
        <v>87</v>
      </c>
      <c r="E158" s="84">
        <v>1</v>
      </c>
      <c r="F158">
        <v>0.02</v>
      </c>
      <c r="G158">
        <v>0.02</v>
      </c>
      <c r="H158">
        <v>0.02</v>
      </c>
      <c r="I158">
        <v>0.02</v>
      </c>
      <c r="J158">
        <v>0.02</v>
      </c>
      <c r="K158">
        <v>0.02</v>
      </c>
      <c r="L158">
        <v>0.02</v>
      </c>
      <c r="M158">
        <v>0.02</v>
      </c>
      <c r="N158">
        <v>0.02</v>
      </c>
      <c r="O158">
        <v>0.02</v>
      </c>
      <c r="P158">
        <v>0.02</v>
      </c>
    </row>
    <row r="159" spans="1:16">
      <c r="A159" s="84" t="s">
        <v>391</v>
      </c>
      <c r="B159" s="85" t="s">
        <v>390</v>
      </c>
      <c r="C159" s="85" t="s">
        <v>83</v>
      </c>
      <c r="D159" s="84" t="s">
        <v>75</v>
      </c>
      <c r="E159" s="84">
        <v>3</v>
      </c>
      <c r="F159">
        <v>0.02</v>
      </c>
      <c r="G159">
        <v>0.02</v>
      </c>
      <c r="H159">
        <v>0.02</v>
      </c>
      <c r="I159">
        <v>0.02</v>
      </c>
      <c r="J159">
        <v>0.02</v>
      </c>
      <c r="K159">
        <v>0.02</v>
      </c>
      <c r="L159">
        <v>0.02</v>
      </c>
      <c r="M159">
        <v>0.02</v>
      </c>
      <c r="N159">
        <v>0.02</v>
      </c>
      <c r="O159">
        <v>0.02</v>
      </c>
      <c r="P159">
        <v>0.02</v>
      </c>
    </row>
    <row r="160" spans="1:16">
      <c r="A160" s="84" t="s">
        <v>393</v>
      </c>
      <c r="B160" s="85" t="s">
        <v>392</v>
      </c>
      <c r="C160" s="85" t="s">
        <v>99</v>
      </c>
      <c r="D160" s="84" t="s">
        <v>87</v>
      </c>
      <c r="E160" s="84">
        <v>1</v>
      </c>
      <c r="F160">
        <v>0.02</v>
      </c>
      <c r="G160">
        <v>0.02</v>
      </c>
      <c r="H160">
        <v>0.02</v>
      </c>
      <c r="I160">
        <v>0.02</v>
      </c>
      <c r="J160">
        <v>0.02</v>
      </c>
      <c r="K160">
        <v>0.02</v>
      </c>
      <c r="L160">
        <v>0.02</v>
      </c>
      <c r="M160">
        <v>0.02</v>
      </c>
      <c r="N160">
        <v>0.02</v>
      </c>
      <c r="O160">
        <v>0.02</v>
      </c>
      <c r="P160">
        <v>0.02</v>
      </c>
    </row>
    <row r="161" spans="1:16">
      <c r="A161" s="84" t="s">
        <v>395</v>
      </c>
      <c r="B161" s="85" t="s">
        <v>394</v>
      </c>
      <c r="C161" s="85" t="s">
        <v>79</v>
      </c>
      <c r="D161" s="84" t="s">
        <v>87</v>
      </c>
      <c r="E161" s="84">
        <v>1</v>
      </c>
      <c r="F161">
        <v>0.02</v>
      </c>
      <c r="G161">
        <v>0.02</v>
      </c>
      <c r="H161">
        <v>0.02</v>
      </c>
      <c r="I161">
        <v>0.02</v>
      </c>
      <c r="J161">
        <v>0.02</v>
      </c>
      <c r="K161">
        <v>0.02</v>
      </c>
      <c r="L161">
        <v>0.02</v>
      </c>
      <c r="M161">
        <v>0.02</v>
      </c>
      <c r="N161">
        <v>0.02</v>
      </c>
      <c r="O161">
        <v>0.02</v>
      </c>
      <c r="P161">
        <v>0.02</v>
      </c>
    </row>
    <row r="162" spans="1:16">
      <c r="A162" s="84" t="s">
        <v>397</v>
      </c>
      <c r="B162" s="85" t="s">
        <v>396</v>
      </c>
      <c r="C162" s="85" t="s">
        <v>79</v>
      </c>
      <c r="D162" s="84" t="s">
        <v>87</v>
      </c>
      <c r="E162" s="84">
        <v>1</v>
      </c>
      <c r="F162">
        <v>0.02</v>
      </c>
      <c r="G162">
        <v>0.02</v>
      </c>
      <c r="H162">
        <v>0.02</v>
      </c>
      <c r="I162">
        <v>0.02</v>
      </c>
      <c r="J162">
        <v>0.02</v>
      </c>
      <c r="K162">
        <v>0.02</v>
      </c>
      <c r="L162">
        <v>0.02</v>
      </c>
      <c r="M162">
        <v>0.02</v>
      </c>
      <c r="N162">
        <v>0.02</v>
      </c>
      <c r="O162">
        <v>0.02</v>
      </c>
      <c r="P162">
        <v>0.02</v>
      </c>
    </row>
    <row r="163" spans="1:16">
      <c r="A163" s="84" t="s">
        <v>399</v>
      </c>
      <c r="B163" s="85" t="s">
        <v>398</v>
      </c>
      <c r="C163" s="85" t="s">
        <v>74</v>
      </c>
      <c r="D163" s="84" t="s">
        <v>75</v>
      </c>
      <c r="E163" s="84">
        <v>3</v>
      </c>
      <c r="F163">
        <v>0.02</v>
      </c>
      <c r="G163">
        <v>0.02</v>
      </c>
      <c r="H163">
        <v>0.02</v>
      </c>
      <c r="I163">
        <v>0.02</v>
      </c>
      <c r="J163">
        <v>0.02</v>
      </c>
      <c r="K163">
        <v>0.02</v>
      </c>
      <c r="L163">
        <v>0.02</v>
      </c>
      <c r="M163">
        <v>0.02</v>
      </c>
      <c r="N163">
        <v>0.02</v>
      </c>
      <c r="O163">
        <v>0.02</v>
      </c>
      <c r="P163">
        <v>0.02</v>
      </c>
    </row>
    <row r="164" spans="1:16">
      <c r="A164" s="84" t="s">
        <v>401</v>
      </c>
      <c r="B164" s="85" t="s">
        <v>400</v>
      </c>
      <c r="C164" s="85" t="s">
        <v>99</v>
      </c>
      <c r="D164" s="84" t="s">
        <v>84</v>
      </c>
      <c r="E164" s="84">
        <v>4</v>
      </c>
      <c r="F164">
        <v>0.02</v>
      </c>
      <c r="G164">
        <v>0.02</v>
      </c>
      <c r="H164">
        <v>0.02</v>
      </c>
      <c r="I164">
        <v>0.02</v>
      </c>
      <c r="J164">
        <v>0.02</v>
      </c>
      <c r="K164">
        <v>0.02</v>
      </c>
      <c r="L164">
        <v>0.02</v>
      </c>
      <c r="M164">
        <v>0.02</v>
      </c>
      <c r="N164">
        <v>0.02</v>
      </c>
      <c r="O164">
        <v>0.02</v>
      </c>
      <c r="P164">
        <v>0.02</v>
      </c>
    </row>
    <row r="165" spans="1:16">
      <c r="A165" s="84" t="s">
        <v>403</v>
      </c>
      <c r="B165" s="85" t="s">
        <v>402</v>
      </c>
      <c r="C165" s="85" t="s">
        <v>83</v>
      </c>
      <c r="D165" s="84" t="s">
        <v>80</v>
      </c>
      <c r="E165" s="84" t="s">
        <v>76</v>
      </c>
      <c r="F165">
        <v>0.02</v>
      </c>
      <c r="G165">
        <v>0.02</v>
      </c>
      <c r="H165">
        <v>0.02</v>
      </c>
      <c r="I165">
        <v>0.02</v>
      </c>
      <c r="J165">
        <v>0.02</v>
      </c>
      <c r="K165">
        <v>0.02</v>
      </c>
      <c r="L165">
        <v>0.02</v>
      </c>
      <c r="M165">
        <v>0.02</v>
      </c>
      <c r="N165">
        <v>0.02</v>
      </c>
      <c r="O165">
        <v>0.02</v>
      </c>
      <c r="P165">
        <v>0.02</v>
      </c>
    </row>
    <row r="166" spans="1:16">
      <c r="A166" s="84" t="s">
        <v>405</v>
      </c>
      <c r="B166" s="85" t="s">
        <v>404</v>
      </c>
      <c r="C166" s="85" t="s">
        <v>79</v>
      </c>
      <c r="D166" s="84" t="s">
        <v>87</v>
      </c>
      <c r="E166" s="84">
        <v>1</v>
      </c>
      <c r="F166">
        <v>0.02</v>
      </c>
      <c r="G166">
        <v>0.02</v>
      </c>
      <c r="H166">
        <v>0.02</v>
      </c>
      <c r="I166">
        <v>0.02</v>
      </c>
      <c r="J166">
        <v>0.02</v>
      </c>
      <c r="K166">
        <v>0.02</v>
      </c>
      <c r="L166">
        <v>0.02</v>
      </c>
      <c r="M166">
        <v>0.02</v>
      </c>
      <c r="N166">
        <v>0.02</v>
      </c>
      <c r="O166">
        <v>0.02</v>
      </c>
      <c r="P166">
        <v>0.02</v>
      </c>
    </row>
    <row r="167" spans="1:16">
      <c r="A167" s="84" t="s">
        <v>407</v>
      </c>
      <c r="B167" s="85" t="s">
        <v>406</v>
      </c>
      <c r="C167" s="85" t="s">
        <v>110</v>
      </c>
      <c r="D167" s="84" t="s">
        <v>84</v>
      </c>
      <c r="E167" s="84">
        <v>2</v>
      </c>
      <c r="F167">
        <v>0.02</v>
      </c>
      <c r="G167">
        <v>0.02</v>
      </c>
      <c r="H167">
        <v>0.02</v>
      </c>
      <c r="I167">
        <v>0.02</v>
      </c>
      <c r="J167">
        <v>0.02</v>
      </c>
      <c r="K167">
        <v>0.02</v>
      </c>
      <c r="L167">
        <v>0.02</v>
      </c>
      <c r="M167">
        <v>0.02</v>
      </c>
      <c r="N167">
        <v>0.02</v>
      </c>
      <c r="O167">
        <v>0.02</v>
      </c>
      <c r="P167">
        <v>0.02</v>
      </c>
    </row>
    <row r="168" spans="1:16">
      <c r="A168" s="84" t="s">
        <v>409</v>
      </c>
      <c r="B168" s="85" t="s">
        <v>408</v>
      </c>
      <c r="C168" s="85" t="s">
        <v>74</v>
      </c>
      <c r="D168" s="84" t="s">
        <v>75</v>
      </c>
      <c r="E168" s="84">
        <v>3</v>
      </c>
      <c r="F168">
        <v>0.02</v>
      </c>
      <c r="G168">
        <v>0.02</v>
      </c>
      <c r="H168">
        <v>0.02</v>
      </c>
      <c r="I168">
        <v>0.02</v>
      </c>
      <c r="J168">
        <v>0.02</v>
      </c>
      <c r="K168">
        <v>0.02</v>
      </c>
      <c r="L168">
        <v>0.02</v>
      </c>
      <c r="M168">
        <v>0.02</v>
      </c>
      <c r="N168">
        <v>0.02</v>
      </c>
      <c r="O168">
        <v>0.02</v>
      </c>
      <c r="P168">
        <v>0.02</v>
      </c>
    </row>
    <row r="169" spans="1:16">
      <c r="A169" s="84" t="s">
        <v>411</v>
      </c>
      <c r="B169" s="85" t="s">
        <v>410</v>
      </c>
      <c r="C169" s="85" t="s">
        <v>74</v>
      </c>
      <c r="D169" s="84" t="s">
        <v>75</v>
      </c>
      <c r="E169" s="84">
        <v>3</v>
      </c>
      <c r="F169">
        <v>0.02</v>
      </c>
      <c r="G169">
        <v>0.02</v>
      </c>
      <c r="H169">
        <v>0.02</v>
      </c>
      <c r="I169">
        <v>0.02</v>
      </c>
      <c r="J169">
        <v>0.02</v>
      </c>
      <c r="K169">
        <v>0.02</v>
      </c>
      <c r="L169">
        <v>0.02</v>
      </c>
      <c r="M169">
        <v>0.02</v>
      </c>
      <c r="N169">
        <v>0.02</v>
      </c>
      <c r="O169">
        <v>0.02</v>
      </c>
      <c r="P169">
        <v>0.02</v>
      </c>
    </row>
    <row r="170" spans="1:16">
      <c r="A170" s="84" t="s">
        <v>413</v>
      </c>
      <c r="B170" s="85" t="s">
        <v>412</v>
      </c>
      <c r="C170" s="85" t="s">
        <v>92</v>
      </c>
      <c r="D170" s="84" t="s">
        <v>80</v>
      </c>
      <c r="E170" s="84">
        <v>1</v>
      </c>
      <c r="F170">
        <v>0.02</v>
      </c>
      <c r="G170">
        <v>0.02</v>
      </c>
      <c r="H170">
        <v>0.02</v>
      </c>
      <c r="I170">
        <v>0.02</v>
      </c>
      <c r="J170">
        <v>0.02</v>
      </c>
      <c r="K170">
        <v>0.02</v>
      </c>
      <c r="L170">
        <v>0.02</v>
      </c>
      <c r="M170">
        <v>0.02</v>
      </c>
      <c r="N170">
        <v>0.02</v>
      </c>
      <c r="O170">
        <v>0.02</v>
      </c>
      <c r="P170">
        <v>0.02</v>
      </c>
    </row>
    <row r="171" spans="1:16">
      <c r="A171" s="84" t="s">
        <v>415</v>
      </c>
      <c r="B171" s="85" t="s">
        <v>414</v>
      </c>
      <c r="C171" s="85" t="s">
        <v>83</v>
      </c>
      <c r="D171" s="84" t="s">
        <v>84</v>
      </c>
      <c r="E171" s="84">
        <v>3</v>
      </c>
      <c r="F171">
        <v>0.02</v>
      </c>
      <c r="G171">
        <v>0.02</v>
      </c>
      <c r="H171">
        <v>0.02</v>
      </c>
      <c r="I171">
        <v>0.02</v>
      </c>
      <c r="J171">
        <v>0.02</v>
      </c>
      <c r="K171">
        <v>0.02</v>
      </c>
      <c r="L171">
        <v>0.02</v>
      </c>
      <c r="M171">
        <v>0.02</v>
      </c>
      <c r="N171">
        <v>0.02</v>
      </c>
      <c r="O171">
        <v>0.02</v>
      </c>
      <c r="P171">
        <v>0.02</v>
      </c>
    </row>
    <row r="172" spans="1:16">
      <c r="A172" s="84" t="s">
        <v>417</v>
      </c>
      <c r="B172" s="85" t="s">
        <v>416</v>
      </c>
      <c r="C172" s="85" t="s">
        <v>79</v>
      </c>
      <c r="D172" s="84" t="s">
        <v>87</v>
      </c>
      <c r="E172" s="84">
        <v>1</v>
      </c>
      <c r="F172">
        <v>0.02</v>
      </c>
      <c r="G172">
        <v>0.02</v>
      </c>
      <c r="H172">
        <v>0.02</v>
      </c>
      <c r="I172">
        <v>0.02</v>
      </c>
      <c r="J172">
        <v>0.02</v>
      </c>
      <c r="K172">
        <v>0.02</v>
      </c>
      <c r="L172">
        <v>0.02</v>
      </c>
      <c r="M172">
        <v>0.02</v>
      </c>
      <c r="N172">
        <v>0.02</v>
      </c>
      <c r="O172">
        <v>0.02</v>
      </c>
      <c r="P172">
        <v>0.02</v>
      </c>
    </row>
    <row r="173" spans="1:16">
      <c r="A173" s="84" t="s">
        <v>419</v>
      </c>
      <c r="B173" s="85" t="s">
        <v>418</v>
      </c>
      <c r="C173" s="85" t="s">
        <v>79</v>
      </c>
      <c r="D173" s="84" t="s">
        <v>87</v>
      </c>
      <c r="E173" s="84">
        <v>1</v>
      </c>
      <c r="F173">
        <v>0.02</v>
      </c>
      <c r="G173">
        <v>0.02</v>
      </c>
      <c r="H173">
        <v>0.02</v>
      </c>
      <c r="I173">
        <v>0.02</v>
      </c>
      <c r="J173">
        <v>0.02</v>
      </c>
      <c r="K173">
        <v>0.02</v>
      </c>
      <c r="L173">
        <v>0.02</v>
      </c>
      <c r="M173">
        <v>0.02</v>
      </c>
      <c r="N173">
        <v>0.02</v>
      </c>
      <c r="O173">
        <v>0.02</v>
      </c>
      <c r="P173">
        <v>0.02</v>
      </c>
    </row>
    <row r="174" spans="1:16">
      <c r="A174" s="84" t="s">
        <v>421</v>
      </c>
      <c r="B174" s="85" t="s">
        <v>420</v>
      </c>
      <c r="C174" s="85" t="s">
        <v>74</v>
      </c>
      <c r="D174" s="84" t="s">
        <v>75</v>
      </c>
      <c r="E174" s="84">
        <v>2</v>
      </c>
      <c r="F174">
        <v>0.02</v>
      </c>
      <c r="G174">
        <v>0.02</v>
      </c>
      <c r="H174">
        <v>0.02</v>
      </c>
      <c r="I174">
        <v>0.02</v>
      </c>
      <c r="J174">
        <v>0.02</v>
      </c>
      <c r="K174">
        <v>0.02</v>
      </c>
      <c r="L174">
        <v>0.02</v>
      </c>
      <c r="M174">
        <v>0.02</v>
      </c>
      <c r="N174">
        <v>0.02</v>
      </c>
      <c r="O174">
        <v>0.02</v>
      </c>
      <c r="P174">
        <v>0.02</v>
      </c>
    </row>
    <row r="175" spans="1:16">
      <c r="A175" s="84" t="s">
        <v>423</v>
      </c>
      <c r="B175" s="85" t="s">
        <v>422</v>
      </c>
      <c r="C175" s="85" t="s">
        <v>83</v>
      </c>
      <c r="D175" s="84" t="s">
        <v>84</v>
      </c>
      <c r="E175" s="84" t="s">
        <v>76</v>
      </c>
      <c r="F175">
        <v>0.02</v>
      </c>
      <c r="G175">
        <v>0.02</v>
      </c>
      <c r="H175">
        <v>0.02</v>
      </c>
      <c r="I175">
        <v>0.02</v>
      </c>
      <c r="J175">
        <v>0.02</v>
      </c>
      <c r="K175">
        <v>0.02</v>
      </c>
      <c r="L175">
        <v>0.02</v>
      </c>
      <c r="M175">
        <v>0.02</v>
      </c>
      <c r="N175">
        <v>0.02</v>
      </c>
      <c r="O175">
        <v>0.02</v>
      </c>
      <c r="P175">
        <v>0.02</v>
      </c>
    </row>
    <row r="176" spans="1:16">
      <c r="A176" s="84" t="s">
        <v>425</v>
      </c>
      <c r="B176" s="85" t="s">
        <v>424</v>
      </c>
      <c r="C176" s="85" t="s">
        <v>79</v>
      </c>
      <c r="D176" s="84" t="s">
        <v>75</v>
      </c>
      <c r="E176" s="84">
        <v>2</v>
      </c>
      <c r="F176">
        <v>0.02</v>
      </c>
      <c r="G176">
        <v>0.02</v>
      </c>
      <c r="H176">
        <v>0.02</v>
      </c>
      <c r="I176">
        <v>0.02</v>
      </c>
      <c r="J176">
        <v>0.02</v>
      </c>
      <c r="K176">
        <v>0.02</v>
      </c>
      <c r="L176">
        <v>0.02</v>
      </c>
      <c r="M176">
        <v>0.02</v>
      </c>
      <c r="N176">
        <v>0.02</v>
      </c>
      <c r="O176">
        <v>0.02</v>
      </c>
      <c r="P176">
        <v>0.02</v>
      </c>
    </row>
    <row r="177" spans="1:16">
      <c r="A177" s="84" t="s">
        <v>427</v>
      </c>
      <c r="B177" s="85" t="s">
        <v>426</v>
      </c>
      <c r="C177" s="85" t="s">
        <v>110</v>
      </c>
      <c r="D177" s="84" t="s">
        <v>80</v>
      </c>
      <c r="E177" s="84">
        <v>1</v>
      </c>
      <c r="F177">
        <v>0.02</v>
      </c>
      <c r="G177">
        <v>0.02</v>
      </c>
      <c r="H177">
        <v>0.02</v>
      </c>
      <c r="I177">
        <v>0.02</v>
      </c>
      <c r="J177">
        <v>0.02</v>
      </c>
      <c r="K177">
        <v>0.02</v>
      </c>
      <c r="L177">
        <v>0.02</v>
      </c>
      <c r="M177">
        <v>0.02</v>
      </c>
      <c r="N177">
        <v>0.02</v>
      </c>
      <c r="O177">
        <v>0.02</v>
      </c>
      <c r="P177">
        <v>0.02</v>
      </c>
    </row>
    <row r="178" spans="1:16">
      <c r="A178" s="84" t="s">
        <v>429</v>
      </c>
      <c r="B178" s="85" t="s">
        <v>428</v>
      </c>
      <c r="C178" s="85" t="s">
        <v>110</v>
      </c>
      <c r="D178" s="84" t="s">
        <v>84</v>
      </c>
      <c r="E178" s="84">
        <v>4</v>
      </c>
      <c r="F178">
        <v>0.02</v>
      </c>
      <c r="G178">
        <v>0.02</v>
      </c>
      <c r="H178">
        <v>0.02</v>
      </c>
      <c r="I178">
        <v>0.02</v>
      </c>
      <c r="J178">
        <v>0.02</v>
      </c>
      <c r="K178">
        <v>0.02</v>
      </c>
      <c r="L178">
        <v>0.02</v>
      </c>
      <c r="M178">
        <v>0.02</v>
      </c>
      <c r="N178">
        <v>0.02</v>
      </c>
      <c r="O178">
        <v>0.02</v>
      </c>
      <c r="P178">
        <v>0.02</v>
      </c>
    </row>
    <row r="179" spans="1:16">
      <c r="A179" s="84" t="s">
        <v>431</v>
      </c>
      <c r="B179" s="85" t="s">
        <v>430</v>
      </c>
      <c r="C179" s="85" t="s">
        <v>83</v>
      </c>
      <c r="D179" s="84" t="s">
        <v>75</v>
      </c>
      <c r="E179" s="84">
        <v>3</v>
      </c>
      <c r="F179">
        <v>0.02</v>
      </c>
      <c r="G179">
        <v>0.02</v>
      </c>
      <c r="H179">
        <v>0.02</v>
      </c>
      <c r="I179">
        <v>0.02</v>
      </c>
      <c r="J179">
        <v>0.02</v>
      </c>
      <c r="K179">
        <v>0.02</v>
      </c>
      <c r="L179">
        <v>0.02</v>
      </c>
      <c r="M179">
        <v>0.02</v>
      </c>
      <c r="N179">
        <v>0.02</v>
      </c>
      <c r="O179">
        <v>0.02</v>
      </c>
      <c r="P179">
        <v>0.02</v>
      </c>
    </row>
    <row r="180" spans="1:16">
      <c r="A180" s="84" t="s">
        <v>433</v>
      </c>
      <c r="B180" s="85" t="s">
        <v>432</v>
      </c>
      <c r="C180" s="85" t="s">
        <v>99</v>
      </c>
      <c r="D180" s="84" t="s">
        <v>80</v>
      </c>
      <c r="E180" s="84">
        <v>1</v>
      </c>
      <c r="F180">
        <v>0.02</v>
      </c>
      <c r="G180">
        <v>0.02</v>
      </c>
      <c r="H180">
        <v>0.02</v>
      </c>
      <c r="I180">
        <v>0.02</v>
      </c>
      <c r="J180">
        <v>0.02</v>
      </c>
      <c r="K180">
        <v>0.02</v>
      </c>
      <c r="L180">
        <v>0.02</v>
      </c>
      <c r="M180">
        <v>0.02</v>
      </c>
      <c r="N180">
        <v>0.02</v>
      </c>
      <c r="O180">
        <v>0.02</v>
      </c>
      <c r="P180">
        <v>0.02</v>
      </c>
    </row>
    <row r="181" spans="1:16">
      <c r="A181" s="84" t="s">
        <v>435</v>
      </c>
      <c r="B181" s="85" t="s">
        <v>434</v>
      </c>
      <c r="C181" s="85" t="s">
        <v>92</v>
      </c>
      <c r="D181" s="84" t="s">
        <v>87</v>
      </c>
      <c r="E181" s="84">
        <v>1</v>
      </c>
      <c r="F181">
        <v>0.02</v>
      </c>
      <c r="G181">
        <v>0.02</v>
      </c>
      <c r="H181">
        <v>0.02</v>
      </c>
      <c r="I181">
        <v>0.02</v>
      </c>
      <c r="J181">
        <v>0.02</v>
      </c>
      <c r="K181">
        <v>0.02</v>
      </c>
      <c r="L181">
        <v>0.02</v>
      </c>
      <c r="M181">
        <v>0.02</v>
      </c>
      <c r="N181">
        <v>0.02</v>
      </c>
      <c r="O181">
        <v>0.02</v>
      </c>
      <c r="P181">
        <v>0.02</v>
      </c>
    </row>
    <row r="182" spans="1:16">
      <c r="A182" s="84" t="s">
        <v>437</v>
      </c>
      <c r="B182" s="85" t="s">
        <v>436</v>
      </c>
      <c r="C182" s="85" t="s">
        <v>74</v>
      </c>
      <c r="D182" s="84" t="s">
        <v>84</v>
      </c>
      <c r="E182" s="84">
        <v>3</v>
      </c>
      <c r="F182">
        <v>0.02</v>
      </c>
      <c r="G182">
        <v>0.02</v>
      </c>
      <c r="H182">
        <v>0.02</v>
      </c>
      <c r="I182">
        <v>0.02</v>
      </c>
      <c r="J182">
        <v>0.02</v>
      </c>
      <c r="K182">
        <v>0.02</v>
      </c>
      <c r="L182">
        <v>0.02</v>
      </c>
      <c r="M182">
        <v>0.02</v>
      </c>
      <c r="N182">
        <v>0.02</v>
      </c>
      <c r="O182">
        <v>0.02</v>
      </c>
      <c r="P182">
        <v>0.02</v>
      </c>
    </row>
    <row r="183" spans="1:16">
      <c r="A183" s="84" t="s">
        <v>439</v>
      </c>
      <c r="B183" s="85" t="s">
        <v>438</v>
      </c>
      <c r="C183" s="85" t="s">
        <v>79</v>
      </c>
      <c r="D183" s="84" t="s">
        <v>80</v>
      </c>
      <c r="E183" s="84">
        <v>1</v>
      </c>
      <c r="F183">
        <v>0.02</v>
      </c>
      <c r="G183">
        <v>0.02</v>
      </c>
      <c r="H183">
        <v>0.02</v>
      </c>
      <c r="I183">
        <v>0.02</v>
      </c>
      <c r="J183">
        <v>0.02</v>
      </c>
      <c r="K183">
        <v>0.02</v>
      </c>
      <c r="L183">
        <v>0.02</v>
      </c>
      <c r="M183">
        <v>0.02</v>
      </c>
      <c r="N183">
        <v>0.02</v>
      </c>
      <c r="O183">
        <v>0.02</v>
      </c>
      <c r="P183">
        <v>0.02</v>
      </c>
    </row>
    <row r="184" spans="1:16">
      <c r="A184" s="84" t="s">
        <v>441</v>
      </c>
      <c r="B184" s="85" t="s">
        <v>440</v>
      </c>
      <c r="C184" s="85" t="s">
        <v>79</v>
      </c>
      <c r="D184" s="84" t="s">
        <v>80</v>
      </c>
      <c r="E184" s="84">
        <v>1</v>
      </c>
      <c r="F184">
        <v>0.02</v>
      </c>
      <c r="G184">
        <v>0.02</v>
      </c>
      <c r="H184">
        <v>0.02</v>
      </c>
      <c r="I184">
        <v>0.02</v>
      </c>
      <c r="J184">
        <v>0.02</v>
      </c>
      <c r="K184">
        <v>0.02</v>
      </c>
      <c r="L184">
        <v>0.02</v>
      </c>
      <c r="M184">
        <v>0.02</v>
      </c>
      <c r="N184">
        <v>0.02</v>
      </c>
      <c r="O184">
        <v>0.02</v>
      </c>
      <c r="P184">
        <v>0.02</v>
      </c>
    </row>
    <row r="185" spans="1:16">
      <c r="A185" s="84" t="s">
        <v>443</v>
      </c>
      <c r="B185" s="85" t="s">
        <v>442</v>
      </c>
      <c r="C185" s="85" t="s">
        <v>99</v>
      </c>
      <c r="D185" s="84" t="s">
        <v>80</v>
      </c>
      <c r="E185" s="84">
        <v>4</v>
      </c>
      <c r="F185">
        <v>0.02</v>
      </c>
      <c r="G185">
        <v>0.02</v>
      </c>
      <c r="H185">
        <v>0.02</v>
      </c>
      <c r="I185">
        <v>0.02</v>
      </c>
      <c r="J185">
        <v>0.02</v>
      </c>
      <c r="K185">
        <v>0.02</v>
      </c>
      <c r="L185">
        <v>0.02</v>
      </c>
      <c r="M185">
        <v>0.02</v>
      </c>
      <c r="N185">
        <v>0.02</v>
      </c>
      <c r="O185">
        <v>0.02</v>
      </c>
      <c r="P185">
        <v>0.02</v>
      </c>
    </row>
    <row r="186" spans="1:16">
      <c r="A186" s="84" t="s">
        <v>445</v>
      </c>
      <c r="B186" s="85" t="s">
        <v>444</v>
      </c>
      <c r="C186" s="85" t="s">
        <v>83</v>
      </c>
      <c r="D186" s="84" t="s">
        <v>75</v>
      </c>
      <c r="E186" s="84" t="s">
        <v>76</v>
      </c>
      <c r="F186">
        <v>0.02</v>
      </c>
      <c r="G186">
        <v>0.02</v>
      </c>
      <c r="H186">
        <v>0.02</v>
      </c>
      <c r="I186">
        <v>0.02</v>
      </c>
      <c r="J186">
        <v>0.02</v>
      </c>
      <c r="K186">
        <v>0.02</v>
      </c>
      <c r="L186">
        <v>0.02</v>
      </c>
      <c r="M186">
        <v>0.02</v>
      </c>
      <c r="N186">
        <v>0.02</v>
      </c>
      <c r="O186">
        <v>0.02</v>
      </c>
      <c r="P186">
        <v>0.02</v>
      </c>
    </row>
    <row r="187" spans="1:16">
      <c r="A187" s="84" t="s">
        <v>447</v>
      </c>
      <c r="B187" s="85" t="s">
        <v>446</v>
      </c>
      <c r="C187" s="85" t="s">
        <v>79</v>
      </c>
      <c r="D187" s="84" t="s">
        <v>84</v>
      </c>
      <c r="E187" s="84">
        <v>1</v>
      </c>
      <c r="F187">
        <v>0.02</v>
      </c>
      <c r="G187">
        <v>0.02</v>
      </c>
      <c r="H187">
        <v>0.02</v>
      </c>
      <c r="I187">
        <v>0.02</v>
      </c>
      <c r="J187">
        <v>0.02</v>
      </c>
      <c r="K187">
        <v>0.02</v>
      </c>
      <c r="L187">
        <v>0.02</v>
      </c>
      <c r="M187">
        <v>0.02</v>
      </c>
      <c r="N187">
        <v>0.02</v>
      </c>
      <c r="O187">
        <v>0.02</v>
      </c>
      <c r="P187">
        <v>0.02</v>
      </c>
    </row>
    <row r="188" spans="1:16">
      <c r="A188" s="84" t="s">
        <v>449</v>
      </c>
      <c r="B188" s="85" t="s">
        <v>448</v>
      </c>
      <c r="C188" s="85" t="s">
        <v>74</v>
      </c>
      <c r="D188" s="84" t="s">
        <v>87</v>
      </c>
      <c r="E188" s="84">
        <v>1</v>
      </c>
      <c r="F188">
        <v>0.02</v>
      </c>
      <c r="G188">
        <v>0.02</v>
      </c>
      <c r="H188">
        <v>0.02</v>
      </c>
      <c r="I188">
        <v>0.02</v>
      </c>
      <c r="J188">
        <v>0.02</v>
      </c>
      <c r="K188">
        <v>0.02</v>
      </c>
      <c r="L188">
        <v>0.02</v>
      </c>
      <c r="M188">
        <v>0.02</v>
      </c>
      <c r="N188">
        <v>0.02</v>
      </c>
      <c r="O188">
        <v>0.02</v>
      </c>
      <c r="P188">
        <v>0.02</v>
      </c>
    </row>
    <row r="189" spans="1:16">
      <c r="A189" s="84" t="s">
        <v>451</v>
      </c>
      <c r="B189" s="85" t="s">
        <v>450</v>
      </c>
      <c r="C189" s="85" t="s">
        <v>79</v>
      </c>
      <c r="D189" s="84" t="s">
        <v>87</v>
      </c>
      <c r="E189" s="84">
        <v>1</v>
      </c>
      <c r="F189">
        <v>0.02</v>
      </c>
      <c r="G189">
        <v>0.02</v>
      </c>
      <c r="H189">
        <v>0.02</v>
      </c>
      <c r="I189">
        <v>0.02</v>
      </c>
      <c r="J189">
        <v>0.02</v>
      </c>
      <c r="K189">
        <v>0.02</v>
      </c>
      <c r="L189">
        <v>0.02</v>
      </c>
      <c r="M189">
        <v>0.02</v>
      </c>
      <c r="N189">
        <v>0.02</v>
      </c>
      <c r="O189">
        <v>0.02</v>
      </c>
      <c r="P189">
        <v>0.02</v>
      </c>
    </row>
    <row r="190" spans="1:16">
      <c r="A190" s="84" t="s">
        <v>453</v>
      </c>
      <c r="B190" s="85" t="s">
        <v>452</v>
      </c>
      <c r="C190" s="85" t="s">
        <v>92</v>
      </c>
      <c r="D190" s="84" t="s">
        <v>87</v>
      </c>
      <c r="E190" s="84" t="s">
        <v>76</v>
      </c>
      <c r="F190">
        <v>0.02</v>
      </c>
      <c r="G190">
        <v>0.02</v>
      </c>
      <c r="H190">
        <v>0.02</v>
      </c>
      <c r="I190">
        <v>0.02</v>
      </c>
      <c r="J190">
        <v>0.02</v>
      </c>
      <c r="K190">
        <v>0.02</v>
      </c>
      <c r="L190">
        <v>0.02</v>
      </c>
      <c r="M190">
        <v>0.02</v>
      </c>
      <c r="N190">
        <v>0.02</v>
      </c>
      <c r="O190">
        <v>0.02</v>
      </c>
      <c r="P190">
        <v>0.02</v>
      </c>
    </row>
    <row r="191" spans="1:16">
      <c r="A191" s="84" t="s">
        <v>455</v>
      </c>
      <c r="B191" s="85" t="s">
        <v>454</v>
      </c>
      <c r="C191" s="85" t="s">
        <v>92</v>
      </c>
      <c r="D191" s="84" t="s">
        <v>87</v>
      </c>
      <c r="E191" s="84">
        <v>1</v>
      </c>
      <c r="F191">
        <v>0.02</v>
      </c>
      <c r="G191">
        <v>0.02</v>
      </c>
      <c r="H191">
        <v>0.02</v>
      </c>
      <c r="I191">
        <v>0.02</v>
      </c>
      <c r="J191">
        <v>0.02</v>
      </c>
      <c r="K191">
        <v>0.02</v>
      </c>
      <c r="L191">
        <v>0.02</v>
      </c>
      <c r="M191">
        <v>0.02</v>
      </c>
      <c r="N191">
        <v>0.02</v>
      </c>
      <c r="O191">
        <v>0.02</v>
      </c>
      <c r="P191">
        <v>0.02</v>
      </c>
    </row>
    <row r="192" spans="1:16">
      <c r="A192" s="84" t="s">
        <v>457</v>
      </c>
      <c r="B192" s="85" t="s">
        <v>456</v>
      </c>
      <c r="C192" s="85" t="s">
        <v>79</v>
      </c>
      <c r="D192" s="84" t="s">
        <v>84</v>
      </c>
      <c r="E192" s="84">
        <v>2</v>
      </c>
      <c r="F192">
        <v>0.02</v>
      </c>
      <c r="G192">
        <v>0.02</v>
      </c>
      <c r="H192">
        <v>0.02</v>
      </c>
      <c r="I192">
        <v>0.02</v>
      </c>
      <c r="J192">
        <v>0.02</v>
      </c>
      <c r="K192">
        <v>0.02</v>
      </c>
      <c r="L192">
        <v>0.02</v>
      </c>
      <c r="M192">
        <v>0.02</v>
      </c>
      <c r="N192">
        <v>0.02</v>
      </c>
      <c r="O192">
        <v>0.02</v>
      </c>
      <c r="P192">
        <v>0.02</v>
      </c>
    </row>
    <row r="193" spans="1:16">
      <c r="A193" s="84" t="s">
        <v>459</v>
      </c>
      <c r="B193" s="85" t="s">
        <v>458</v>
      </c>
      <c r="C193" s="85" t="s">
        <v>99</v>
      </c>
      <c r="D193" s="84" t="s">
        <v>84</v>
      </c>
      <c r="E193" s="84">
        <v>4</v>
      </c>
      <c r="F193">
        <v>0.02</v>
      </c>
      <c r="G193">
        <v>0.02</v>
      </c>
      <c r="H193">
        <v>0.02</v>
      </c>
      <c r="I193">
        <v>0.02</v>
      </c>
      <c r="J193">
        <v>0.02</v>
      </c>
      <c r="K193">
        <v>0.02</v>
      </c>
      <c r="L193">
        <v>0.02</v>
      </c>
      <c r="M193">
        <v>0.02</v>
      </c>
      <c r="N193">
        <v>0.02</v>
      </c>
      <c r="O193">
        <v>0.02</v>
      </c>
      <c r="P193">
        <v>0.02</v>
      </c>
    </row>
    <row r="194" spans="1:16">
      <c r="A194" s="84" t="s">
        <v>461</v>
      </c>
      <c r="B194" s="85" t="s">
        <v>460</v>
      </c>
      <c r="C194" s="85" t="s">
        <v>92</v>
      </c>
      <c r="D194" s="84" t="s">
        <v>80</v>
      </c>
      <c r="E194" s="84">
        <v>1</v>
      </c>
      <c r="F194">
        <v>0.02</v>
      </c>
      <c r="G194">
        <v>0.02</v>
      </c>
      <c r="H194">
        <v>0.02</v>
      </c>
      <c r="I194">
        <v>0.02</v>
      </c>
      <c r="J194">
        <v>0.02</v>
      </c>
      <c r="K194">
        <v>0.02</v>
      </c>
      <c r="L194">
        <v>0.02</v>
      </c>
      <c r="M194">
        <v>0.02</v>
      </c>
      <c r="N194">
        <v>0.02</v>
      </c>
      <c r="O194">
        <v>0.02</v>
      </c>
      <c r="P194">
        <v>0.02</v>
      </c>
    </row>
    <row r="195" spans="1:16">
      <c r="A195" s="84" t="s">
        <v>463</v>
      </c>
      <c r="B195" s="85" t="s">
        <v>462</v>
      </c>
      <c r="C195" s="85" t="s">
        <v>99</v>
      </c>
      <c r="D195" s="84" t="s">
        <v>84</v>
      </c>
      <c r="E195" s="84">
        <v>4</v>
      </c>
      <c r="F195">
        <v>0.02</v>
      </c>
      <c r="G195">
        <v>0.02</v>
      </c>
      <c r="H195">
        <v>0.02</v>
      </c>
      <c r="I195">
        <v>0.02</v>
      </c>
      <c r="J195">
        <v>0.02</v>
      </c>
      <c r="K195">
        <v>0.02</v>
      </c>
      <c r="L195">
        <v>0.02</v>
      </c>
      <c r="M195">
        <v>0.02</v>
      </c>
      <c r="N195">
        <v>0.02</v>
      </c>
      <c r="O195">
        <v>0.02</v>
      </c>
      <c r="P195">
        <v>0.02</v>
      </c>
    </row>
    <row r="196" spans="1:16">
      <c r="A196" s="84" t="s">
        <v>465</v>
      </c>
      <c r="B196" s="85" t="s">
        <v>464</v>
      </c>
      <c r="C196" s="85" t="s">
        <v>74</v>
      </c>
      <c r="D196" s="84" t="s">
        <v>75</v>
      </c>
      <c r="E196" s="84">
        <v>3</v>
      </c>
      <c r="F196">
        <v>0.02</v>
      </c>
      <c r="G196">
        <v>0.02</v>
      </c>
      <c r="H196">
        <v>0.02</v>
      </c>
      <c r="I196">
        <v>0.02</v>
      </c>
      <c r="J196">
        <v>0.02</v>
      </c>
      <c r="K196">
        <v>0.02</v>
      </c>
      <c r="L196">
        <v>0.02</v>
      </c>
      <c r="M196">
        <v>0.02</v>
      </c>
      <c r="N196">
        <v>0.02</v>
      </c>
      <c r="O196">
        <v>0.02</v>
      </c>
      <c r="P196">
        <v>0.02</v>
      </c>
    </row>
    <row r="197" spans="1:16">
      <c r="A197" s="84" t="s">
        <v>467</v>
      </c>
      <c r="B197" s="85" t="s">
        <v>466</v>
      </c>
      <c r="C197" s="85" t="s">
        <v>83</v>
      </c>
      <c r="D197" s="84" t="s">
        <v>84</v>
      </c>
      <c r="E197" s="84">
        <v>3</v>
      </c>
      <c r="F197">
        <v>0.02</v>
      </c>
      <c r="G197">
        <v>0.02</v>
      </c>
      <c r="H197">
        <v>0.02</v>
      </c>
      <c r="I197">
        <v>0.02</v>
      </c>
      <c r="J197">
        <v>0.02</v>
      </c>
      <c r="K197">
        <v>0.02</v>
      </c>
      <c r="L197">
        <v>0.02</v>
      </c>
      <c r="M197">
        <v>0.02</v>
      </c>
      <c r="N197">
        <v>0.02</v>
      </c>
      <c r="O197">
        <v>0.02</v>
      </c>
      <c r="P197">
        <v>0.02</v>
      </c>
    </row>
    <row r="198" spans="1:16">
      <c r="A198" s="84" t="s">
        <v>469</v>
      </c>
      <c r="B198" s="85" t="s">
        <v>468</v>
      </c>
      <c r="C198" s="85" t="s">
        <v>83</v>
      </c>
      <c r="D198" s="84" t="s">
        <v>84</v>
      </c>
      <c r="E198" s="84">
        <v>3</v>
      </c>
      <c r="F198">
        <v>0.02</v>
      </c>
      <c r="G198">
        <v>0.02</v>
      </c>
      <c r="H198">
        <v>0.02</v>
      </c>
      <c r="I198">
        <v>0.02</v>
      </c>
      <c r="J198">
        <v>0.02</v>
      </c>
      <c r="K198">
        <v>0.02</v>
      </c>
      <c r="L198">
        <v>0.02</v>
      </c>
      <c r="M198">
        <v>0.02</v>
      </c>
      <c r="N198">
        <v>0.02</v>
      </c>
      <c r="O198">
        <v>0.02</v>
      </c>
      <c r="P198">
        <v>0.02</v>
      </c>
    </row>
  </sheetData>
  <autoFilter ref="A4:P198" xr:uid="{749EDA8B-4F94-E64E-B1EF-169D3CC89108}"/>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890C-11E5-EA43-9F9A-A2F482C1EEA6}">
  <sheetPr>
    <tabColor theme="4" tint="0.79998168889431442"/>
  </sheetPr>
  <dimension ref="A1:AA204"/>
  <sheetViews>
    <sheetView zoomScaleNormal="25" workbookViewId="0">
      <selection activeCell="F195" sqref="F195"/>
    </sheetView>
  </sheetViews>
  <sheetFormatPr defaultColWidth="10.85546875" defaultRowHeight="15"/>
  <cols>
    <col min="4" max="5" width="11" bestFit="1" customWidth="1"/>
    <col min="6" max="6" width="12.140625" style="61" bestFit="1" customWidth="1"/>
    <col min="7" max="27" width="12.140625" bestFit="1" customWidth="1"/>
  </cols>
  <sheetData>
    <row r="1" spans="1:27">
      <c r="A1" t="s">
        <v>470</v>
      </c>
      <c r="B1" t="s">
        <v>21</v>
      </c>
    </row>
    <row r="2" spans="1:27">
      <c r="A2" t="s">
        <v>471</v>
      </c>
      <c r="B2" t="s">
        <v>482</v>
      </c>
    </row>
    <row r="4" spans="1:27" s="91" customFormat="1">
      <c r="A4" s="86" t="s">
        <v>473</v>
      </c>
      <c r="B4" s="87" t="s">
        <v>64</v>
      </c>
      <c r="C4" s="86" t="s">
        <v>66</v>
      </c>
      <c r="D4" s="86" t="s">
        <v>67</v>
      </c>
      <c r="E4" s="86" t="s">
        <v>68</v>
      </c>
      <c r="F4" s="90">
        <v>2019</v>
      </c>
      <c r="G4" s="91">
        <f t="shared" ref="G4:AA4" si="0">F4+1</f>
        <v>2020</v>
      </c>
      <c r="H4" s="91">
        <f t="shared" si="0"/>
        <v>2021</v>
      </c>
      <c r="I4" s="91">
        <f t="shared" si="0"/>
        <v>2022</v>
      </c>
      <c r="J4" s="91">
        <f t="shared" si="0"/>
        <v>2023</v>
      </c>
      <c r="K4" s="91">
        <f t="shared" si="0"/>
        <v>2024</v>
      </c>
      <c r="L4" s="91">
        <f t="shared" si="0"/>
        <v>2025</v>
      </c>
      <c r="M4" s="91">
        <f t="shared" si="0"/>
        <v>2026</v>
      </c>
      <c r="N4" s="91">
        <f t="shared" si="0"/>
        <v>2027</v>
      </c>
      <c r="O4" s="91">
        <f t="shared" si="0"/>
        <v>2028</v>
      </c>
      <c r="P4" s="91">
        <f t="shared" si="0"/>
        <v>2029</v>
      </c>
      <c r="Q4" s="91">
        <f t="shared" si="0"/>
        <v>2030</v>
      </c>
      <c r="R4" s="91">
        <f t="shared" si="0"/>
        <v>2031</v>
      </c>
      <c r="S4" s="91">
        <f t="shared" si="0"/>
        <v>2032</v>
      </c>
      <c r="T4" s="91">
        <f t="shared" si="0"/>
        <v>2033</v>
      </c>
      <c r="U4" s="91">
        <f t="shared" si="0"/>
        <v>2034</v>
      </c>
      <c r="V4" s="91">
        <f t="shared" si="0"/>
        <v>2035</v>
      </c>
      <c r="W4" s="91">
        <f t="shared" si="0"/>
        <v>2036</v>
      </c>
      <c r="X4" s="91">
        <f t="shared" si="0"/>
        <v>2037</v>
      </c>
      <c r="Y4" s="91">
        <f t="shared" si="0"/>
        <v>2038</v>
      </c>
      <c r="Z4" s="91">
        <f t="shared" si="0"/>
        <v>2039</v>
      </c>
      <c r="AA4" s="91">
        <f t="shared" si="0"/>
        <v>2040</v>
      </c>
    </row>
    <row r="5" spans="1:27">
      <c r="A5" s="84" t="s">
        <v>73</v>
      </c>
      <c r="B5" s="85" t="s">
        <v>72</v>
      </c>
      <c r="C5" s="85" t="s">
        <v>74</v>
      </c>
      <c r="D5" s="84" t="s">
        <v>75</v>
      </c>
      <c r="E5" s="84" t="str">
        <f>VLOOKUP(A5,'2a. SI Pop'!$A$5:$E$198,5,FALSE)</f>
        <v>Key</v>
      </c>
      <c r="F5" s="89">
        <v>3072957</v>
      </c>
      <c r="G5" s="1">
        <f>F5</f>
        <v>3072957</v>
      </c>
      <c r="H5" s="1">
        <f t="shared" ref="H5:AA5" si="1">G5</f>
        <v>3072957</v>
      </c>
      <c r="I5" s="1">
        <f t="shared" si="1"/>
        <v>3072957</v>
      </c>
      <c r="J5" s="1">
        <f t="shared" si="1"/>
        <v>3072957</v>
      </c>
      <c r="K5" s="1">
        <f t="shared" si="1"/>
        <v>3072957</v>
      </c>
      <c r="L5" s="1">
        <f t="shared" si="1"/>
        <v>3072957</v>
      </c>
      <c r="M5" s="1">
        <f t="shared" si="1"/>
        <v>3072957</v>
      </c>
      <c r="N5" s="1">
        <f t="shared" si="1"/>
        <v>3072957</v>
      </c>
      <c r="O5" s="1">
        <f t="shared" si="1"/>
        <v>3072957</v>
      </c>
      <c r="P5" s="1">
        <f t="shared" si="1"/>
        <v>3072957</v>
      </c>
      <c r="Q5" s="1">
        <f t="shared" si="1"/>
        <v>3072957</v>
      </c>
      <c r="R5" s="1">
        <f t="shared" si="1"/>
        <v>3072957</v>
      </c>
      <c r="S5" s="1">
        <f t="shared" si="1"/>
        <v>3072957</v>
      </c>
      <c r="T5" s="1">
        <f t="shared" si="1"/>
        <v>3072957</v>
      </c>
      <c r="U5" s="1">
        <f t="shared" si="1"/>
        <v>3072957</v>
      </c>
      <c r="V5" s="1">
        <f t="shared" si="1"/>
        <v>3072957</v>
      </c>
      <c r="W5" s="1">
        <f t="shared" si="1"/>
        <v>3072957</v>
      </c>
      <c r="X5" s="1">
        <f t="shared" si="1"/>
        <v>3072957</v>
      </c>
      <c r="Y5" s="1">
        <f t="shared" si="1"/>
        <v>3072957</v>
      </c>
      <c r="Z5" s="1">
        <f t="shared" si="1"/>
        <v>3072957</v>
      </c>
      <c r="AA5" s="1">
        <f t="shared" si="1"/>
        <v>3072957</v>
      </c>
    </row>
    <row r="6" spans="1:27">
      <c r="A6" s="84" t="s">
        <v>78</v>
      </c>
      <c r="B6" s="85" t="s">
        <v>77</v>
      </c>
      <c r="C6" s="85" t="s">
        <v>79</v>
      </c>
      <c r="D6" s="84" t="s">
        <v>80</v>
      </c>
      <c r="E6" s="84">
        <f>VLOOKUP(A6,'2a. SI Pop'!$A$5:$E$198,5,FALSE)</f>
        <v>1</v>
      </c>
      <c r="F6" s="89">
        <v>3965</v>
      </c>
      <c r="G6" s="1">
        <f t="shared" ref="G6:AA6" si="2">F6</f>
        <v>3965</v>
      </c>
      <c r="H6" s="1">
        <f t="shared" si="2"/>
        <v>3965</v>
      </c>
      <c r="I6" s="1">
        <f t="shared" si="2"/>
        <v>3965</v>
      </c>
      <c r="J6" s="1">
        <f t="shared" si="2"/>
        <v>3965</v>
      </c>
      <c r="K6" s="1">
        <f t="shared" si="2"/>
        <v>3965</v>
      </c>
      <c r="L6" s="1">
        <f t="shared" si="2"/>
        <v>3965</v>
      </c>
      <c r="M6" s="1">
        <f t="shared" si="2"/>
        <v>3965</v>
      </c>
      <c r="N6" s="1">
        <f t="shared" si="2"/>
        <v>3965</v>
      </c>
      <c r="O6" s="1">
        <f t="shared" si="2"/>
        <v>3965</v>
      </c>
      <c r="P6" s="1">
        <f t="shared" si="2"/>
        <v>3965</v>
      </c>
      <c r="Q6" s="1">
        <f t="shared" si="2"/>
        <v>3965</v>
      </c>
      <c r="R6" s="1">
        <f t="shared" si="2"/>
        <v>3965</v>
      </c>
      <c r="S6" s="1">
        <f t="shared" si="2"/>
        <v>3965</v>
      </c>
      <c r="T6" s="1">
        <f t="shared" si="2"/>
        <v>3965</v>
      </c>
      <c r="U6" s="1">
        <f t="shared" si="2"/>
        <v>3965</v>
      </c>
      <c r="V6" s="1">
        <f t="shared" si="2"/>
        <v>3965</v>
      </c>
      <c r="W6" s="1">
        <f t="shared" si="2"/>
        <v>3965</v>
      </c>
      <c r="X6" s="1">
        <f t="shared" si="2"/>
        <v>3965</v>
      </c>
      <c r="Y6" s="1">
        <f t="shared" si="2"/>
        <v>3965</v>
      </c>
      <c r="Z6" s="1">
        <f t="shared" si="2"/>
        <v>3965</v>
      </c>
      <c r="AA6" s="1">
        <f t="shared" si="2"/>
        <v>3965</v>
      </c>
    </row>
    <row r="7" spans="1:27">
      <c r="A7" s="84" t="s">
        <v>82</v>
      </c>
      <c r="B7" s="85" t="s">
        <v>81</v>
      </c>
      <c r="C7" s="85" t="s">
        <v>83</v>
      </c>
      <c r="D7" s="84" t="s">
        <v>84</v>
      </c>
      <c r="E7" s="84">
        <f>VLOOKUP(A7,'2a. SI Pop'!$A$5:$E$198,5,FALSE)</f>
        <v>2</v>
      </c>
      <c r="F7" s="89">
        <v>100248</v>
      </c>
      <c r="G7" s="1">
        <f t="shared" ref="G7:AA7" si="3">F7</f>
        <v>100248</v>
      </c>
      <c r="H7" s="1">
        <f t="shared" si="3"/>
        <v>100248</v>
      </c>
      <c r="I7" s="1">
        <f t="shared" si="3"/>
        <v>100248</v>
      </c>
      <c r="J7" s="1">
        <f t="shared" si="3"/>
        <v>100248</v>
      </c>
      <c r="K7" s="1">
        <f t="shared" si="3"/>
        <v>100248</v>
      </c>
      <c r="L7" s="1">
        <f t="shared" si="3"/>
        <v>100248</v>
      </c>
      <c r="M7" s="1">
        <f t="shared" si="3"/>
        <v>100248</v>
      </c>
      <c r="N7" s="1">
        <f t="shared" si="3"/>
        <v>100248</v>
      </c>
      <c r="O7" s="1">
        <f t="shared" si="3"/>
        <v>100248</v>
      </c>
      <c r="P7" s="1">
        <f t="shared" si="3"/>
        <v>100248</v>
      </c>
      <c r="Q7" s="1">
        <f t="shared" si="3"/>
        <v>100248</v>
      </c>
      <c r="R7" s="1">
        <f t="shared" si="3"/>
        <v>100248</v>
      </c>
      <c r="S7" s="1">
        <f t="shared" si="3"/>
        <v>100248</v>
      </c>
      <c r="T7" s="1">
        <f t="shared" si="3"/>
        <v>100248</v>
      </c>
      <c r="U7" s="1">
        <f t="shared" si="3"/>
        <v>100248</v>
      </c>
      <c r="V7" s="1">
        <f t="shared" si="3"/>
        <v>100248</v>
      </c>
      <c r="W7" s="1">
        <f t="shared" si="3"/>
        <v>100248</v>
      </c>
      <c r="X7" s="1">
        <f t="shared" si="3"/>
        <v>100248</v>
      </c>
      <c r="Y7" s="1">
        <f t="shared" si="3"/>
        <v>100248</v>
      </c>
      <c r="Z7" s="1">
        <f t="shared" si="3"/>
        <v>100248</v>
      </c>
      <c r="AA7" s="1">
        <f t="shared" si="3"/>
        <v>100248</v>
      </c>
    </row>
    <row r="8" spans="1:27">
      <c r="A8" s="84" t="s">
        <v>86</v>
      </c>
      <c r="B8" s="85" t="s">
        <v>85</v>
      </c>
      <c r="C8" s="85" t="s">
        <v>79</v>
      </c>
      <c r="D8" s="84" t="s">
        <v>87</v>
      </c>
      <c r="E8" s="84">
        <f>VLOOKUP(A8,'2a. SI Pop'!$A$5:$E$198,5,FALSE)</f>
        <v>1</v>
      </c>
      <c r="F8" s="89">
        <v>0</v>
      </c>
      <c r="G8" s="1">
        <f t="shared" ref="G8:AA8" si="4">F8</f>
        <v>0</v>
      </c>
      <c r="H8" s="1">
        <f t="shared" si="4"/>
        <v>0</v>
      </c>
      <c r="I8" s="1">
        <f t="shared" si="4"/>
        <v>0</v>
      </c>
      <c r="J8" s="1">
        <f t="shared" si="4"/>
        <v>0</v>
      </c>
      <c r="K8" s="1">
        <f t="shared" si="4"/>
        <v>0</v>
      </c>
      <c r="L8" s="1">
        <f t="shared" si="4"/>
        <v>0</v>
      </c>
      <c r="M8" s="1">
        <f t="shared" si="4"/>
        <v>0</v>
      </c>
      <c r="N8" s="1">
        <f t="shared" si="4"/>
        <v>0</v>
      </c>
      <c r="O8" s="1">
        <f t="shared" si="4"/>
        <v>0</v>
      </c>
      <c r="P8" s="1">
        <f t="shared" si="4"/>
        <v>0</v>
      </c>
      <c r="Q8" s="1">
        <f t="shared" si="4"/>
        <v>0</v>
      </c>
      <c r="R8" s="1">
        <f t="shared" si="4"/>
        <v>0</v>
      </c>
      <c r="S8" s="1">
        <f t="shared" si="4"/>
        <v>0</v>
      </c>
      <c r="T8" s="1">
        <f t="shared" si="4"/>
        <v>0</v>
      </c>
      <c r="U8" s="1">
        <f t="shared" si="4"/>
        <v>0</v>
      </c>
      <c r="V8" s="1">
        <f t="shared" si="4"/>
        <v>0</v>
      </c>
      <c r="W8" s="1">
        <f t="shared" si="4"/>
        <v>0</v>
      </c>
      <c r="X8" s="1">
        <f t="shared" si="4"/>
        <v>0</v>
      </c>
      <c r="Y8" s="1">
        <f t="shared" si="4"/>
        <v>0</v>
      </c>
      <c r="Z8" s="1">
        <f t="shared" si="4"/>
        <v>0</v>
      </c>
      <c r="AA8" s="1">
        <f t="shared" si="4"/>
        <v>0</v>
      </c>
    </row>
    <row r="9" spans="1:27">
      <c r="A9" s="84" t="s">
        <v>89</v>
      </c>
      <c r="B9" s="85" t="s">
        <v>88</v>
      </c>
      <c r="C9" s="85" t="s">
        <v>83</v>
      </c>
      <c r="D9" s="84" t="s">
        <v>84</v>
      </c>
      <c r="E9" s="84">
        <f>VLOOKUP(A9,'2a. SI Pop'!$A$5:$E$198,5,FALSE)</f>
        <v>3</v>
      </c>
      <c r="F9" s="89">
        <v>56031</v>
      </c>
      <c r="G9" s="1">
        <f t="shared" ref="G9:AA9" si="5">F9</f>
        <v>56031</v>
      </c>
      <c r="H9" s="1">
        <f t="shared" si="5"/>
        <v>56031</v>
      </c>
      <c r="I9" s="1">
        <f t="shared" si="5"/>
        <v>56031</v>
      </c>
      <c r="J9" s="1">
        <f t="shared" si="5"/>
        <v>56031</v>
      </c>
      <c r="K9" s="1">
        <f t="shared" si="5"/>
        <v>56031</v>
      </c>
      <c r="L9" s="1">
        <f t="shared" si="5"/>
        <v>56031</v>
      </c>
      <c r="M9" s="1">
        <f t="shared" si="5"/>
        <v>56031</v>
      </c>
      <c r="N9" s="1">
        <f t="shared" si="5"/>
        <v>56031</v>
      </c>
      <c r="O9" s="1">
        <f t="shared" si="5"/>
        <v>56031</v>
      </c>
      <c r="P9" s="1">
        <f t="shared" si="5"/>
        <v>56031</v>
      </c>
      <c r="Q9" s="1">
        <f t="shared" si="5"/>
        <v>56031</v>
      </c>
      <c r="R9" s="1">
        <f t="shared" si="5"/>
        <v>56031</v>
      </c>
      <c r="S9" s="1">
        <f t="shared" si="5"/>
        <v>56031</v>
      </c>
      <c r="T9" s="1">
        <f t="shared" si="5"/>
        <v>56031</v>
      </c>
      <c r="U9" s="1">
        <f t="shared" si="5"/>
        <v>56031</v>
      </c>
      <c r="V9" s="1">
        <f t="shared" si="5"/>
        <v>56031</v>
      </c>
      <c r="W9" s="1">
        <f t="shared" si="5"/>
        <v>56031</v>
      </c>
      <c r="X9" s="1">
        <f t="shared" si="5"/>
        <v>56031</v>
      </c>
      <c r="Y9" s="1">
        <f t="shared" si="5"/>
        <v>56031</v>
      </c>
      <c r="Z9" s="1">
        <f t="shared" si="5"/>
        <v>56031</v>
      </c>
      <c r="AA9" s="1">
        <f t="shared" si="5"/>
        <v>56031</v>
      </c>
    </row>
    <row r="10" spans="1:27">
      <c r="A10" s="84" t="s">
        <v>91</v>
      </c>
      <c r="B10" s="85" t="s">
        <v>90</v>
      </c>
      <c r="C10" s="85" t="s">
        <v>92</v>
      </c>
      <c r="D10" s="84" t="s">
        <v>87</v>
      </c>
      <c r="E10" s="84">
        <f>VLOOKUP(A10,'2a. SI Pop'!$A$5:$E$198,5,FALSE)</f>
        <v>1</v>
      </c>
      <c r="F10" s="89">
        <v>0</v>
      </c>
      <c r="G10" s="1">
        <f t="shared" ref="G10:AA10" si="6">F10</f>
        <v>0</v>
      </c>
      <c r="H10" s="1">
        <f t="shared" si="6"/>
        <v>0</v>
      </c>
      <c r="I10" s="1">
        <f t="shared" si="6"/>
        <v>0</v>
      </c>
      <c r="J10" s="1">
        <f t="shared" si="6"/>
        <v>0</v>
      </c>
      <c r="K10" s="1">
        <f t="shared" si="6"/>
        <v>0</v>
      </c>
      <c r="L10" s="1">
        <f t="shared" si="6"/>
        <v>0</v>
      </c>
      <c r="M10" s="1">
        <f t="shared" si="6"/>
        <v>0</v>
      </c>
      <c r="N10" s="1">
        <f t="shared" si="6"/>
        <v>0</v>
      </c>
      <c r="O10" s="1">
        <f t="shared" si="6"/>
        <v>0</v>
      </c>
      <c r="P10" s="1">
        <f t="shared" si="6"/>
        <v>0</v>
      </c>
      <c r="Q10" s="1">
        <f t="shared" si="6"/>
        <v>0</v>
      </c>
      <c r="R10" s="1">
        <f t="shared" si="6"/>
        <v>0</v>
      </c>
      <c r="S10" s="1">
        <f t="shared" si="6"/>
        <v>0</v>
      </c>
      <c r="T10" s="1">
        <f t="shared" si="6"/>
        <v>0</v>
      </c>
      <c r="U10" s="1">
        <f t="shared" si="6"/>
        <v>0</v>
      </c>
      <c r="V10" s="1">
        <f t="shared" si="6"/>
        <v>0</v>
      </c>
      <c r="W10" s="1">
        <f t="shared" si="6"/>
        <v>0</v>
      </c>
      <c r="X10" s="1">
        <f t="shared" si="6"/>
        <v>0</v>
      </c>
      <c r="Y10" s="1">
        <f t="shared" si="6"/>
        <v>0</v>
      </c>
      <c r="Z10" s="1">
        <f t="shared" si="6"/>
        <v>0</v>
      </c>
      <c r="AA10" s="1">
        <f t="shared" si="6"/>
        <v>0</v>
      </c>
    </row>
    <row r="11" spans="1:27">
      <c r="A11" s="84" t="s">
        <v>94</v>
      </c>
      <c r="B11" s="85" t="s">
        <v>93</v>
      </c>
      <c r="C11" s="85" t="s">
        <v>92</v>
      </c>
      <c r="D11" s="84" t="s">
        <v>80</v>
      </c>
      <c r="E11" s="84">
        <f>VLOOKUP(A11,'2a. SI Pop'!$A$5:$E$198,5,FALSE)</f>
        <v>1</v>
      </c>
      <c r="F11" s="89">
        <v>185633</v>
      </c>
      <c r="G11" s="1">
        <f t="shared" ref="G11:AA11" si="7">F11</f>
        <v>185633</v>
      </c>
      <c r="H11" s="1">
        <f t="shared" si="7"/>
        <v>185633</v>
      </c>
      <c r="I11" s="1">
        <f t="shared" si="7"/>
        <v>185633</v>
      </c>
      <c r="J11" s="1">
        <f t="shared" si="7"/>
        <v>185633</v>
      </c>
      <c r="K11" s="1">
        <f t="shared" si="7"/>
        <v>185633</v>
      </c>
      <c r="L11" s="1">
        <f t="shared" si="7"/>
        <v>185633</v>
      </c>
      <c r="M11" s="1">
        <f t="shared" si="7"/>
        <v>185633</v>
      </c>
      <c r="N11" s="1">
        <f t="shared" si="7"/>
        <v>185633</v>
      </c>
      <c r="O11" s="1">
        <f t="shared" si="7"/>
        <v>185633</v>
      </c>
      <c r="P11" s="1">
        <f t="shared" si="7"/>
        <v>185633</v>
      </c>
      <c r="Q11" s="1">
        <f t="shared" si="7"/>
        <v>185633</v>
      </c>
      <c r="R11" s="1">
        <f t="shared" si="7"/>
        <v>185633</v>
      </c>
      <c r="S11" s="1">
        <f t="shared" si="7"/>
        <v>185633</v>
      </c>
      <c r="T11" s="1">
        <f t="shared" si="7"/>
        <v>185633</v>
      </c>
      <c r="U11" s="1">
        <f t="shared" si="7"/>
        <v>185633</v>
      </c>
      <c r="V11" s="1">
        <f t="shared" si="7"/>
        <v>185633</v>
      </c>
      <c r="W11" s="1">
        <f t="shared" si="7"/>
        <v>185633</v>
      </c>
      <c r="X11" s="1">
        <f t="shared" si="7"/>
        <v>185633</v>
      </c>
      <c r="Y11" s="1">
        <f t="shared" si="7"/>
        <v>185633</v>
      </c>
      <c r="Z11" s="1">
        <f t="shared" si="7"/>
        <v>185633</v>
      </c>
      <c r="AA11" s="1">
        <f t="shared" si="7"/>
        <v>185633</v>
      </c>
    </row>
    <row r="12" spans="1:27">
      <c r="A12" s="84" t="s">
        <v>96</v>
      </c>
      <c r="B12" s="85" t="s">
        <v>95</v>
      </c>
      <c r="C12" s="85" t="s">
        <v>79</v>
      </c>
      <c r="D12" s="84" t="s">
        <v>80</v>
      </c>
      <c r="E12" s="84">
        <f>VLOOKUP(A12,'2a. SI Pop'!$A$5:$E$198,5,FALSE)</f>
        <v>1</v>
      </c>
      <c r="F12" s="89">
        <v>19099</v>
      </c>
      <c r="G12" s="1">
        <f t="shared" ref="G12:AA12" si="8">F12</f>
        <v>19099</v>
      </c>
      <c r="H12" s="1">
        <f t="shared" si="8"/>
        <v>19099</v>
      </c>
      <c r="I12" s="1">
        <f t="shared" si="8"/>
        <v>19099</v>
      </c>
      <c r="J12" s="1">
        <f t="shared" si="8"/>
        <v>19099</v>
      </c>
      <c r="K12" s="1">
        <f t="shared" si="8"/>
        <v>19099</v>
      </c>
      <c r="L12" s="1">
        <f t="shared" si="8"/>
        <v>19099</v>
      </c>
      <c r="M12" s="1">
        <f t="shared" si="8"/>
        <v>19099</v>
      </c>
      <c r="N12" s="1">
        <f t="shared" si="8"/>
        <v>19099</v>
      </c>
      <c r="O12" s="1">
        <f t="shared" si="8"/>
        <v>19099</v>
      </c>
      <c r="P12" s="1">
        <f t="shared" si="8"/>
        <v>19099</v>
      </c>
      <c r="Q12" s="1">
        <f t="shared" si="8"/>
        <v>19099</v>
      </c>
      <c r="R12" s="1">
        <f t="shared" si="8"/>
        <v>19099</v>
      </c>
      <c r="S12" s="1">
        <f t="shared" si="8"/>
        <v>19099</v>
      </c>
      <c r="T12" s="1">
        <f t="shared" si="8"/>
        <v>19099</v>
      </c>
      <c r="U12" s="1">
        <f t="shared" si="8"/>
        <v>19099</v>
      </c>
      <c r="V12" s="1">
        <f t="shared" si="8"/>
        <v>19099</v>
      </c>
      <c r="W12" s="1">
        <f t="shared" si="8"/>
        <v>19099</v>
      </c>
      <c r="X12" s="1">
        <f t="shared" si="8"/>
        <v>19099</v>
      </c>
      <c r="Y12" s="1">
        <f t="shared" si="8"/>
        <v>19099</v>
      </c>
      <c r="Z12" s="1">
        <f t="shared" si="8"/>
        <v>19099</v>
      </c>
      <c r="AA12" s="1">
        <f t="shared" si="8"/>
        <v>19099</v>
      </c>
    </row>
    <row r="13" spans="1:27">
      <c r="A13" s="84" t="s">
        <v>98</v>
      </c>
      <c r="B13" s="85" t="s">
        <v>97</v>
      </c>
      <c r="C13" s="85" t="s">
        <v>99</v>
      </c>
      <c r="D13" s="84" t="s">
        <v>87</v>
      </c>
      <c r="E13" s="84">
        <f>VLOOKUP(A13,'2a. SI Pop'!$A$5:$E$198,5,FALSE)</f>
        <v>1</v>
      </c>
      <c r="F13" s="89">
        <v>154129</v>
      </c>
      <c r="G13" s="1">
        <f t="shared" ref="G13:AA13" si="9">F13</f>
        <v>154129</v>
      </c>
      <c r="H13" s="1">
        <f t="shared" si="9"/>
        <v>154129</v>
      </c>
      <c r="I13" s="1">
        <f t="shared" si="9"/>
        <v>154129</v>
      </c>
      <c r="J13" s="1">
        <f t="shared" si="9"/>
        <v>154129</v>
      </c>
      <c r="K13" s="1">
        <f t="shared" si="9"/>
        <v>154129</v>
      </c>
      <c r="L13" s="1">
        <f t="shared" si="9"/>
        <v>154129</v>
      </c>
      <c r="M13" s="1">
        <f t="shared" si="9"/>
        <v>154129</v>
      </c>
      <c r="N13" s="1">
        <f t="shared" si="9"/>
        <v>154129</v>
      </c>
      <c r="O13" s="1">
        <f t="shared" si="9"/>
        <v>154129</v>
      </c>
      <c r="P13" s="1">
        <f t="shared" si="9"/>
        <v>154129</v>
      </c>
      <c r="Q13" s="1">
        <f t="shared" si="9"/>
        <v>154129</v>
      </c>
      <c r="R13" s="1">
        <f t="shared" si="9"/>
        <v>154129</v>
      </c>
      <c r="S13" s="1">
        <f t="shared" si="9"/>
        <v>154129</v>
      </c>
      <c r="T13" s="1">
        <f t="shared" si="9"/>
        <v>154129</v>
      </c>
      <c r="U13" s="1">
        <f t="shared" si="9"/>
        <v>154129</v>
      </c>
      <c r="V13" s="1">
        <f t="shared" si="9"/>
        <v>154129</v>
      </c>
      <c r="W13" s="1">
        <f t="shared" si="9"/>
        <v>154129</v>
      </c>
      <c r="X13" s="1">
        <f t="shared" si="9"/>
        <v>154129</v>
      </c>
      <c r="Y13" s="1">
        <f t="shared" si="9"/>
        <v>154129</v>
      </c>
      <c r="Z13" s="1">
        <f t="shared" si="9"/>
        <v>154129</v>
      </c>
      <c r="AA13" s="1">
        <f t="shared" si="9"/>
        <v>154129</v>
      </c>
    </row>
    <row r="14" spans="1:27">
      <c r="A14" s="84" t="s">
        <v>101</v>
      </c>
      <c r="B14" s="85" t="s">
        <v>100</v>
      </c>
      <c r="C14" s="85" t="s">
        <v>79</v>
      </c>
      <c r="D14" s="84" t="s">
        <v>87</v>
      </c>
      <c r="E14" s="84">
        <f>VLOOKUP(A14,'2a. SI Pop'!$A$5:$E$198,5,FALSE)</f>
        <v>1</v>
      </c>
      <c r="F14" s="89">
        <v>163776</v>
      </c>
      <c r="G14" s="1">
        <f t="shared" ref="G14:AA14" si="10">F14</f>
        <v>163776</v>
      </c>
      <c r="H14" s="1">
        <f t="shared" si="10"/>
        <v>163776</v>
      </c>
      <c r="I14" s="1">
        <f t="shared" si="10"/>
        <v>163776</v>
      </c>
      <c r="J14" s="1">
        <f t="shared" si="10"/>
        <v>163776</v>
      </c>
      <c r="K14" s="1">
        <f t="shared" si="10"/>
        <v>163776</v>
      </c>
      <c r="L14" s="1">
        <f t="shared" si="10"/>
        <v>163776</v>
      </c>
      <c r="M14" s="1">
        <f t="shared" si="10"/>
        <v>163776</v>
      </c>
      <c r="N14" s="1">
        <f t="shared" si="10"/>
        <v>163776</v>
      </c>
      <c r="O14" s="1">
        <f t="shared" si="10"/>
        <v>163776</v>
      </c>
      <c r="P14" s="1">
        <f t="shared" si="10"/>
        <v>163776</v>
      </c>
      <c r="Q14" s="1">
        <f t="shared" si="10"/>
        <v>163776</v>
      </c>
      <c r="R14" s="1">
        <f t="shared" si="10"/>
        <v>163776</v>
      </c>
      <c r="S14" s="1">
        <f t="shared" si="10"/>
        <v>163776</v>
      </c>
      <c r="T14" s="1">
        <f t="shared" si="10"/>
        <v>163776</v>
      </c>
      <c r="U14" s="1">
        <f t="shared" si="10"/>
        <v>163776</v>
      </c>
      <c r="V14" s="1">
        <f t="shared" si="10"/>
        <v>163776</v>
      </c>
      <c r="W14" s="1">
        <f t="shared" si="10"/>
        <v>163776</v>
      </c>
      <c r="X14" s="1">
        <f t="shared" si="10"/>
        <v>163776</v>
      </c>
      <c r="Y14" s="1">
        <f t="shared" si="10"/>
        <v>163776</v>
      </c>
      <c r="Z14" s="1">
        <f t="shared" si="10"/>
        <v>163776</v>
      </c>
      <c r="AA14" s="1">
        <f t="shared" si="10"/>
        <v>163776</v>
      </c>
    </row>
    <row r="15" spans="1:27">
      <c r="A15" s="84" t="s">
        <v>103</v>
      </c>
      <c r="B15" s="85" t="s">
        <v>102</v>
      </c>
      <c r="C15" s="85" t="s">
        <v>79</v>
      </c>
      <c r="D15" s="84" t="s">
        <v>80</v>
      </c>
      <c r="E15" s="84">
        <f>VLOOKUP(A15,'2a. SI Pop'!$A$5:$E$198,5,FALSE)</f>
        <v>1</v>
      </c>
      <c r="F15" s="89">
        <v>657198</v>
      </c>
      <c r="G15" s="1">
        <f t="shared" ref="G15:AA15" si="11">F15</f>
        <v>657198</v>
      </c>
      <c r="H15" s="1">
        <f t="shared" si="11"/>
        <v>657198</v>
      </c>
      <c r="I15" s="1">
        <f t="shared" si="11"/>
        <v>657198</v>
      </c>
      <c r="J15" s="1">
        <f t="shared" si="11"/>
        <v>657198</v>
      </c>
      <c r="K15" s="1">
        <f t="shared" si="11"/>
        <v>657198</v>
      </c>
      <c r="L15" s="1">
        <f t="shared" si="11"/>
        <v>657198</v>
      </c>
      <c r="M15" s="1">
        <f t="shared" si="11"/>
        <v>657198</v>
      </c>
      <c r="N15" s="1">
        <f t="shared" si="11"/>
        <v>657198</v>
      </c>
      <c r="O15" s="1">
        <f t="shared" si="11"/>
        <v>657198</v>
      </c>
      <c r="P15" s="1">
        <f t="shared" si="11"/>
        <v>657198</v>
      </c>
      <c r="Q15" s="1">
        <f t="shared" si="11"/>
        <v>657198</v>
      </c>
      <c r="R15" s="1">
        <f t="shared" si="11"/>
        <v>657198</v>
      </c>
      <c r="S15" s="1">
        <f t="shared" si="11"/>
        <v>657198</v>
      </c>
      <c r="T15" s="1">
        <f t="shared" si="11"/>
        <v>657198</v>
      </c>
      <c r="U15" s="1">
        <f t="shared" si="11"/>
        <v>657198</v>
      </c>
      <c r="V15" s="1">
        <f t="shared" si="11"/>
        <v>657198</v>
      </c>
      <c r="W15" s="1">
        <f t="shared" si="11"/>
        <v>657198</v>
      </c>
      <c r="X15" s="1">
        <f t="shared" si="11"/>
        <v>657198</v>
      </c>
      <c r="Y15" s="1">
        <f t="shared" si="11"/>
        <v>657198</v>
      </c>
      <c r="Z15" s="1">
        <f t="shared" si="11"/>
        <v>657198</v>
      </c>
      <c r="AA15" s="1">
        <f t="shared" si="11"/>
        <v>657198</v>
      </c>
    </row>
    <row r="16" spans="1:27">
      <c r="A16" s="84" t="s">
        <v>105</v>
      </c>
      <c r="B16" s="85" t="s">
        <v>104</v>
      </c>
      <c r="C16" s="85" t="s">
        <v>92</v>
      </c>
      <c r="D16" s="84" t="s">
        <v>87</v>
      </c>
      <c r="E16" s="84">
        <f>VLOOKUP(A16,'2a. SI Pop'!$A$5:$E$198,5,FALSE)</f>
        <v>1</v>
      </c>
      <c r="F16" s="89">
        <v>25</v>
      </c>
      <c r="G16" s="1">
        <f t="shared" ref="G16:AA16" si="12">F16</f>
        <v>25</v>
      </c>
      <c r="H16" s="1">
        <f t="shared" si="12"/>
        <v>25</v>
      </c>
      <c r="I16" s="1">
        <f t="shared" si="12"/>
        <v>25</v>
      </c>
      <c r="J16" s="1">
        <f t="shared" si="12"/>
        <v>25</v>
      </c>
      <c r="K16" s="1">
        <f t="shared" si="12"/>
        <v>25</v>
      </c>
      <c r="L16" s="1">
        <f t="shared" si="12"/>
        <v>25</v>
      </c>
      <c r="M16" s="1">
        <f t="shared" si="12"/>
        <v>25</v>
      </c>
      <c r="N16" s="1">
        <f t="shared" si="12"/>
        <v>25</v>
      </c>
      <c r="O16" s="1">
        <f t="shared" si="12"/>
        <v>25</v>
      </c>
      <c r="P16" s="1">
        <f t="shared" si="12"/>
        <v>25</v>
      </c>
      <c r="Q16" s="1">
        <f t="shared" si="12"/>
        <v>25</v>
      </c>
      <c r="R16" s="1">
        <f t="shared" si="12"/>
        <v>25</v>
      </c>
      <c r="S16" s="1">
        <f t="shared" si="12"/>
        <v>25</v>
      </c>
      <c r="T16" s="1">
        <f t="shared" si="12"/>
        <v>25</v>
      </c>
      <c r="U16" s="1">
        <f t="shared" si="12"/>
        <v>25</v>
      </c>
      <c r="V16" s="1">
        <f t="shared" si="12"/>
        <v>25</v>
      </c>
      <c r="W16" s="1">
        <f t="shared" si="12"/>
        <v>25</v>
      </c>
      <c r="X16" s="1">
        <f t="shared" si="12"/>
        <v>25</v>
      </c>
      <c r="Y16" s="1">
        <f t="shared" si="12"/>
        <v>25</v>
      </c>
      <c r="Z16" s="1">
        <f t="shared" si="12"/>
        <v>25</v>
      </c>
      <c r="AA16" s="1">
        <f t="shared" si="12"/>
        <v>25</v>
      </c>
    </row>
    <row r="17" spans="1:27">
      <c r="A17" s="84" t="s">
        <v>107</v>
      </c>
      <c r="B17" s="85" t="s">
        <v>106</v>
      </c>
      <c r="C17" s="85" t="s">
        <v>74</v>
      </c>
      <c r="D17" s="84" t="s">
        <v>87</v>
      </c>
      <c r="E17" s="84">
        <f>VLOOKUP(A17,'2a. SI Pop'!$A$5:$E$198,5,FALSE)</f>
        <v>1</v>
      </c>
      <c r="F17" s="89">
        <v>309</v>
      </c>
      <c r="G17" s="1">
        <f t="shared" ref="G17:AA17" si="13">F17</f>
        <v>309</v>
      </c>
      <c r="H17" s="1">
        <f t="shared" si="13"/>
        <v>309</v>
      </c>
      <c r="I17" s="1">
        <f t="shared" si="13"/>
        <v>309</v>
      </c>
      <c r="J17" s="1">
        <f t="shared" si="13"/>
        <v>309</v>
      </c>
      <c r="K17" s="1">
        <f t="shared" si="13"/>
        <v>309</v>
      </c>
      <c r="L17" s="1">
        <f t="shared" si="13"/>
        <v>309</v>
      </c>
      <c r="M17" s="1">
        <f t="shared" si="13"/>
        <v>309</v>
      </c>
      <c r="N17" s="1">
        <f t="shared" si="13"/>
        <v>309</v>
      </c>
      <c r="O17" s="1">
        <f t="shared" si="13"/>
        <v>309</v>
      </c>
      <c r="P17" s="1">
        <f t="shared" si="13"/>
        <v>309</v>
      </c>
      <c r="Q17" s="1">
        <f t="shared" si="13"/>
        <v>309</v>
      </c>
      <c r="R17" s="1">
        <f t="shared" si="13"/>
        <v>309</v>
      </c>
      <c r="S17" s="1">
        <f t="shared" si="13"/>
        <v>309</v>
      </c>
      <c r="T17" s="1">
        <f t="shared" si="13"/>
        <v>309</v>
      </c>
      <c r="U17" s="1">
        <f t="shared" si="13"/>
        <v>309</v>
      </c>
      <c r="V17" s="1">
        <f t="shared" si="13"/>
        <v>309</v>
      </c>
      <c r="W17" s="1">
        <f t="shared" si="13"/>
        <v>309</v>
      </c>
      <c r="X17" s="1">
        <f t="shared" si="13"/>
        <v>309</v>
      </c>
      <c r="Y17" s="1">
        <f t="shared" si="13"/>
        <v>309</v>
      </c>
      <c r="Z17" s="1">
        <f t="shared" si="13"/>
        <v>309</v>
      </c>
      <c r="AA17" s="1">
        <f t="shared" si="13"/>
        <v>309</v>
      </c>
    </row>
    <row r="18" spans="1:27">
      <c r="A18" s="84" t="s">
        <v>109</v>
      </c>
      <c r="B18" s="85" t="s">
        <v>108</v>
      </c>
      <c r="C18" s="85" t="s">
        <v>110</v>
      </c>
      <c r="D18" s="84" t="s">
        <v>84</v>
      </c>
      <c r="E18" s="84" t="str">
        <f>VLOOKUP(A18,'2a. SI Pop'!$A$5:$E$198,5,FALSE)</f>
        <v>Key</v>
      </c>
      <c r="F18" s="89">
        <v>1709517</v>
      </c>
      <c r="G18" s="1">
        <f t="shared" ref="G18:AA18" si="14">F18</f>
        <v>1709517</v>
      </c>
      <c r="H18" s="1">
        <f t="shared" si="14"/>
        <v>1709517</v>
      </c>
      <c r="I18" s="1">
        <f t="shared" si="14"/>
        <v>1709517</v>
      </c>
      <c r="J18" s="1">
        <f t="shared" si="14"/>
        <v>1709517</v>
      </c>
      <c r="K18" s="1">
        <f t="shared" si="14"/>
        <v>1709517</v>
      </c>
      <c r="L18" s="1">
        <f t="shared" si="14"/>
        <v>1709517</v>
      </c>
      <c r="M18" s="1">
        <f t="shared" si="14"/>
        <v>1709517</v>
      </c>
      <c r="N18" s="1">
        <f t="shared" si="14"/>
        <v>1709517</v>
      </c>
      <c r="O18" s="1">
        <f t="shared" si="14"/>
        <v>1709517</v>
      </c>
      <c r="P18" s="1">
        <f t="shared" si="14"/>
        <v>1709517</v>
      </c>
      <c r="Q18" s="1">
        <f t="shared" si="14"/>
        <v>1709517</v>
      </c>
      <c r="R18" s="1">
        <f t="shared" si="14"/>
        <v>1709517</v>
      </c>
      <c r="S18" s="1">
        <f t="shared" si="14"/>
        <v>1709517</v>
      </c>
      <c r="T18" s="1">
        <f t="shared" si="14"/>
        <v>1709517</v>
      </c>
      <c r="U18" s="1">
        <f t="shared" si="14"/>
        <v>1709517</v>
      </c>
      <c r="V18" s="1">
        <f t="shared" si="14"/>
        <v>1709517</v>
      </c>
      <c r="W18" s="1">
        <f t="shared" si="14"/>
        <v>1709517</v>
      </c>
      <c r="X18" s="1">
        <f t="shared" si="14"/>
        <v>1709517</v>
      </c>
      <c r="Y18" s="1">
        <f t="shared" si="14"/>
        <v>1709517</v>
      </c>
      <c r="Z18" s="1">
        <f t="shared" si="14"/>
        <v>1709517</v>
      </c>
      <c r="AA18" s="1">
        <f t="shared" si="14"/>
        <v>1709517</v>
      </c>
    </row>
    <row r="19" spans="1:27">
      <c r="A19" s="84" t="s">
        <v>112</v>
      </c>
      <c r="B19" s="85" t="s">
        <v>111</v>
      </c>
      <c r="C19" s="85" t="s">
        <v>92</v>
      </c>
      <c r="D19" s="84" t="s">
        <v>87</v>
      </c>
      <c r="E19" s="84">
        <f>VLOOKUP(A19,'2a. SI Pop'!$A$5:$E$198,5,FALSE)</f>
        <v>1</v>
      </c>
      <c r="F19" s="89">
        <v>10</v>
      </c>
      <c r="G19" s="1">
        <f t="shared" ref="G19:AA19" si="15">F19</f>
        <v>10</v>
      </c>
      <c r="H19" s="1">
        <f t="shared" si="15"/>
        <v>10</v>
      </c>
      <c r="I19" s="1">
        <f t="shared" si="15"/>
        <v>10</v>
      </c>
      <c r="J19" s="1">
        <f t="shared" si="15"/>
        <v>10</v>
      </c>
      <c r="K19" s="1">
        <f t="shared" si="15"/>
        <v>10</v>
      </c>
      <c r="L19" s="1">
        <f t="shared" si="15"/>
        <v>10</v>
      </c>
      <c r="M19" s="1">
        <f t="shared" si="15"/>
        <v>10</v>
      </c>
      <c r="N19" s="1">
        <f t="shared" si="15"/>
        <v>10</v>
      </c>
      <c r="O19" s="1">
        <f t="shared" si="15"/>
        <v>10</v>
      </c>
      <c r="P19" s="1">
        <f t="shared" si="15"/>
        <v>10</v>
      </c>
      <c r="Q19" s="1">
        <f t="shared" si="15"/>
        <v>10</v>
      </c>
      <c r="R19" s="1">
        <f t="shared" si="15"/>
        <v>10</v>
      </c>
      <c r="S19" s="1">
        <f t="shared" si="15"/>
        <v>10</v>
      </c>
      <c r="T19" s="1">
        <f t="shared" si="15"/>
        <v>10</v>
      </c>
      <c r="U19" s="1">
        <f t="shared" si="15"/>
        <v>10</v>
      </c>
      <c r="V19" s="1">
        <f t="shared" si="15"/>
        <v>10</v>
      </c>
      <c r="W19" s="1">
        <f t="shared" si="15"/>
        <v>10</v>
      </c>
      <c r="X19" s="1">
        <f t="shared" si="15"/>
        <v>10</v>
      </c>
      <c r="Y19" s="1">
        <f t="shared" si="15"/>
        <v>10</v>
      </c>
      <c r="Z19" s="1">
        <f t="shared" si="15"/>
        <v>10</v>
      </c>
      <c r="AA19" s="1">
        <f t="shared" si="15"/>
        <v>10</v>
      </c>
    </row>
    <row r="20" spans="1:27">
      <c r="A20" s="84" t="s">
        <v>114</v>
      </c>
      <c r="B20" s="85" t="s">
        <v>113</v>
      </c>
      <c r="C20" s="85" t="s">
        <v>79</v>
      </c>
      <c r="D20" s="84" t="s">
        <v>80</v>
      </c>
      <c r="E20" s="84">
        <f>VLOOKUP(A20,'2a. SI Pop'!$A$5:$E$198,5,FALSE)</f>
        <v>2</v>
      </c>
      <c r="F20" s="89">
        <v>9324</v>
      </c>
      <c r="G20" s="1">
        <f t="shared" ref="G20:AA20" si="16">F20</f>
        <v>9324</v>
      </c>
      <c r="H20" s="1">
        <f t="shared" si="16"/>
        <v>9324</v>
      </c>
      <c r="I20" s="1">
        <f t="shared" si="16"/>
        <v>9324</v>
      </c>
      <c r="J20" s="1">
        <f t="shared" si="16"/>
        <v>9324</v>
      </c>
      <c r="K20" s="1">
        <f t="shared" si="16"/>
        <v>9324</v>
      </c>
      <c r="L20" s="1">
        <f t="shared" si="16"/>
        <v>9324</v>
      </c>
      <c r="M20" s="1">
        <f t="shared" si="16"/>
        <v>9324</v>
      </c>
      <c r="N20" s="1">
        <f t="shared" si="16"/>
        <v>9324</v>
      </c>
      <c r="O20" s="1">
        <f t="shared" si="16"/>
        <v>9324</v>
      </c>
      <c r="P20" s="1">
        <f t="shared" si="16"/>
        <v>9324</v>
      </c>
      <c r="Q20" s="1">
        <f t="shared" si="16"/>
        <v>9324</v>
      </c>
      <c r="R20" s="1">
        <f t="shared" si="16"/>
        <v>9324</v>
      </c>
      <c r="S20" s="1">
        <f t="shared" si="16"/>
        <v>9324</v>
      </c>
      <c r="T20" s="1">
        <f t="shared" si="16"/>
        <v>9324</v>
      </c>
      <c r="U20" s="1">
        <f t="shared" si="16"/>
        <v>9324</v>
      </c>
      <c r="V20" s="1">
        <f t="shared" si="16"/>
        <v>9324</v>
      </c>
      <c r="W20" s="1">
        <f t="shared" si="16"/>
        <v>9324</v>
      </c>
      <c r="X20" s="1">
        <f t="shared" si="16"/>
        <v>9324</v>
      </c>
      <c r="Y20" s="1">
        <f t="shared" si="16"/>
        <v>9324</v>
      </c>
      <c r="Z20" s="1">
        <f t="shared" si="16"/>
        <v>9324</v>
      </c>
      <c r="AA20" s="1">
        <f t="shared" si="16"/>
        <v>9324</v>
      </c>
    </row>
    <row r="21" spans="1:27">
      <c r="A21" s="84" t="s">
        <v>116</v>
      </c>
      <c r="B21" s="85" t="s">
        <v>115</v>
      </c>
      <c r="C21" s="85" t="s">
        <v>79</v>
      </c>
      <c r="D21" s="84" t="s">
        <v>87</v>
      </c>
      <c r="E21" s="84">
        <f>VLOOKUP(A21,'2a. SI Pop'!$A$5:$E$198,5,FALSE)</f>
        <v>1</v>
      </c>
      <c r="F21" s="89">
        <v>83453</v>
      </c>
      <c r="G21" s="1">
        <f t="shared" ref="G21:AA21" si="17">F21</f>
        <v>83453</v>
      </c>
      <c r="H21" s="1">
        <f t="shared" si="17"/>
        <v>83453</v>
      </c>
      <c r="I21" s="1">
        <f t="shared" si="17"/>
        <v>83453</v>
      </c>
      <c r="J21" s="1">
        <f t="shared" si="17"/>
        <v>83453</v>
      </c>
      <c r="K21" s="1">
        <f t="shared" si="17"/>
        <v>83453</v>
      </c>
      <c r="L21" s="1">
        <f t="shared" si="17"/>
        <v>83453</v>
      </c>
      <c r="M21" s="1">
        <f t="shared" si="17"/>
        <v>83453</v>
      </c>
      <c r="N21" s="1">
        <f t="shared" si="17"/>
        <v>83453</v>
      </c>
      <c r="O21" s="1">
        <f t="shared" si="17"/>
        <v>83453</v>
      </c>
      <c r="P21" s="1">
        <f t="shared" si="17"/>
        <v>83453</v>
      </c>
      <c r="Q21" s="1">
        <f t="shared" si="17"/>
        <v>83453</v>
      </c>
      <c r="R21" s="1">
        <f t="shared" si="17"/>
        <v>83453</v>
      </c>
      <c r="S21" s="1">
        <f t="shared" si="17"/>
        <v>83453</v>
      </c>
      <c r="T21" s="1">
        <f t="shared" si="17"/>
        <v>83453</v>
      </c>
      <c r="U21" s="1">
        <f t="shared" si="17"/>
        <v>83453</v>
      </c>
      <c r="V21" s="1">
        <f t="shared" si="17"/>
        <v>83453</v>
      </c>
      <c r="W21" s="1">
        <f t="shared" si="17"/>
        <v>83453</v>
      </c>
      <c r="X21" s="1">
        <f t="shared" si="17"/>
        <v>83453</v>
      </c>
      <c r="Y21" s="1">
        <f t="shared" si="17"/>
        <v>83453</v>
      </c>
      <c r="Z21" s="1">
        <f t="shared" si="17"/>
        <v>83453</v>
      </c>
      <c r="AA21" s="1">
        <f t="shared" si="17"/>
        <v>83453</v>
      </c>
    </row>
    <row r="22" spans="1:27">
      <c r="A22" s="84" t="s">
        <v>118</v>
      </c>
      <c r="B22" s="85" t="s">
        <v>117</v>
      </c>
      <c r="C22" s="85" t="s">
        <v>92</v>
      </c>
      <c r="D22" s="84" t="s">
        <v>80</v>
      </c>
      <c r="E22" s="84">
        <f>VLOOKUP(A22,'2a. SI Pop'!$A$5:$E$198,5,FALSE)</f>
        <v>1</v>
      </c>
      <c r="F22" s="89">
        <v>5563</v>
      </c>
      <c r="G22" s="1">
        <f t="shared" ref="G22:AA22" si="18">F22</f>
        <v>5563</v>
      </c>
      <c r="H22" s="1">
        <f t="shared" si="18"/>
        <v>5563</v>
      </c>
      <c r="I22" s="1">
        <f t="shared" si="18"/>
        <v>5563</v>
      </c>
      <c r="J22" s="1">
        <f t="shared" si="18"/>
        <v>5563</v>
      </c>
      <c r="K22" s="1">
        <f t="shared" si="18"/>
        <v>5563</v>
      </c>
      <c r="L22" s="1">
        <f t="shared" si="18"/>
        <v>5563</v>
      </c>
      <c r="M22" s="1">
        <f t="shared" si="18"/>
        <v>5563</v>
      </c>
      <c r="N22" s="1">
        <f t="shared" si="18"/>
        <v>5563</v>
      </c>
      <c r="O22" s="1">
        <f t="shared" si="18"/>
        <v>5563</v>
      </c>
      <c r="P22" s="1">
        <f t="shared" si="18"/>
        <v>5563</v>
      </c>
      <c r="Q22" s="1">
        <f t="shared" si="18"/>
        <v>5563</v>
      </c>
      <c r="R22" s="1">
        <f t="shared" si="18"/>
        <v>5563</v>
      </c>
      <c r="S22" s="1">
        <f t="shared" si="18"/>
        <v>5563</v>
      </c>
      <c r="T22" s="1">
        <f t="shared" si="18"/>
        <v>5563</v>
      </c>
      <c r="U22" s="1">
        <f t="shared" si="18"/>
        <v>5563</v>
      </c>
      <c r="V22" s="1">
        <f t="shared" si="18"/>
        <v>5563</v>
      </c>
      <c r="W22" s="1">
        <f t="shared" si="18"/>
        <v>5563</v>
      </c>
      <c r="X22" s="1">
        <f t="shared" si="18"/>
        <v>5563</v>
      </c>
      <c r="Y22" s="1">
        <f t="shared" si="18"/>
        <v>5563</v>
      </c>
      <c r="Z22" s="1">
        <f t="shared" si="18"/>
        <v>5563</v>
      </c>
      <c r="AA22" s="1">
        <f t="shared" si="18"/>
        <v>5563</v>
      </c>
    </row>
    <row r="23" spans="1:27">
      <c r="A23" s="84" t="s">
        <v>120</v>
      </c>
      <c r="B23" s="85" t="s">
        <v>119</v>
      </c>
      <c r="C23" s="85" t="s">
        <v>83</v>
      </c>
      <c r="D23" s="84" t="s">
        <v>84</v>
      </c>
      <c r="E23" s="84">
        <f>VLOOKUP(A23,'2a. SI Pop'!$A$5:$E$198,5,FALSE)</f>
        <v>3</v>
      </c>
      <c r="F23" s="89">
        <v>1611</v>
      </c>
      <c r="G23" s="1">
        <f t="shared" ref="G23:AA23" si="19">F23</f>
        <v>1611</v>
      </c>
      <c r="H23" s="1">
        <f t="shared" si="19"/>
        <v>1611</v>
      </c>
      <c r="I23" s="1">
        <f t="shared" si="19"/>
        <v>1611</v>
      </c>
      <c r="J23" s="1">
        <f t="shared" si="19"/>
        <v>1611</v>
      </c>
      <c r="K23" s="1">
        <f t="shared" si="19"/>
        <v>1611</v>
      </c>
      <c r="L23" s="1">
        <f t="shared" si="19"/>
        <v>1611</v>
      </c>
      <c r="M23" s="1">
        <f t="shared" si="19"/>
        <v>1611</v>
      </c>
      <c r="N23" s="1">
        <f t="shared" si="19"/>
        <v>1611</v>
      </c>
      <c r="O23" s="1">
        <f t="shared" si="19"/>
        <v>1611</v>
      </c>
      <c r="P23" s="1">
        <f t="shared" si="19"/>
        <v>1611</v>
      </c>
      <c r="Q23" s="1">
        <f t="shared" si="19"/>
        <v>1611</v>
      </c>
      <c r="R23" s="1">
        <f t="shared" si="19"/>
        <v>1611</v>
      </c>
      <c r="S23" s="1">
        <f t="shared" si="19"/>
        <v>1611</v>
      </c>
      <c r="T23" s="1">
        <f t="shared" si="19"/>
        <v>1611</v>
      </c>
      <c r="U23" s="1">
        <f t="shared" si="19"/>
        <v>1611</v>
      </c>
      <c r="V23" s="1">
        <f t="shared" si="19"/>
        <v>1611</v>
      </c>
      <c r="W23" s="1">
        <f t="shared" si="19"/>
        <v>1611</v>
      </c>
      <c r="X23" s="1">
        <f t="shared" si="19"/>
        <v>1611</v>
      </c>
      <c r="Y23" s="1">
        <f t="shared" si="19"/>
        <v>1611</v>
      </c>
      <c r="Z23" s="1">
        <f t="shared" si="19"/>
        <v>1611</v>
      </c>
      <c r="AA23" s="1">
        <f t="shared" si="19"/>
        <v>1611</v>
      </c>
    </row>
    <row r="24" spans="1:27">
      <c r="A24" s="84" t="s">
        <v>122</v>
      </c>
      <c r="B24" s="85" t="s">
        <v>121</v>
      </c>
      <c r="C24" s="85" t="s">
        <v>110</v>
      </c>
      <c r="D24" s="84" t="s">
        <v>84</v>
      </c>
      <c r="E24" s="84">
        <f>VLOOKUP(A24,'2a. SI Pop'!$A$5:$E$198,5,FALSE)</f>
        <v>2</v>
      </c>
      <c r="F24" s="89">
        <v>0</v>
      </c>
      <c r="G24" s="1">
        <f t="shared" ref="G24:AA24" si="20">F24</f>
        <v>0</v>
      </c>
      <c r="H24" s="1">
        <f t="shared" si="20"/>
        <v>0</v>
      </c>
      <c r="I24" s="1">
        <f t="shared" si="20"/>
        <v>0</v>
      </c>
      <c r="J24" s="1">
        <f t="shared" si="20"/>
        <v>0</v>
      </c>
      <c r="K24" s="1">
        <f t="shared" si="20"/>
        <v>0</v>
      </c>
      <c r="L24" s="1">
        <f t="shared" si="20"/>
        <v>0</v>
      </c>
      <c r="M24" s="1">
        <f t="shared" si="20"/>
        <v>0</v>
      </c>
      <c r="N24" s="1">
        <f t="shared" si="20"/>
        <v>0</v>
      </c>
      <c r="O24" s="1">
        <f t="shared" si="20"/>
        <v>0</v>
      </c>
      <c r="P24" s="1">
        <f t="shared" si="20"/>
        <v>0</v>
      </c>
      <c r="Q24" s="1">
        <f t="shared" si="20"/>
        <v>0</v>
      </c>
      <c r="R24" s="1">
        <f t="shared" si="20"/>
        <v>0</v>
      </c>
      <c r="S24" s="1">
        <f t="shared" si="20"/>
        <v>0</v>
      </c>
      <c r="T24" s="1">
        <f t="shared" si="20"/>
        <v>0</v>
      </c>
      <c r="U24" s="1">
        <f t="shared" si="20"/>
        <v>0</v>
      </c>
      <c r="V24" s="1">
        <f t="shared" si="20"/>
        <v>0</v>
      </c>
      <c r="W24" s="1">
        <f t="shared" si="20"/>
        <v>0</v>
      </c>
      <c r="X24" s="1">
        <f t="shared" si="20"/>
        <v>0</v>
      </c>
      <c r="Y24" s="1">
        <f t="shared" si="20"/>
        <v>0</v>
      </c>
      <c r="Z24" s="1">
        <f t="shared" si="20"/>
        <v>0</v>
      </c>
      <c r="AA24" s="1">
        <f t="shared" si="20"/>
        <v>0</v>
      </c>
    </row>
    <row r="25" spans="1:27">
      <c r="A25" s="84" t="s">
        <v>124</v>
      </c>
      <c r="B25" s="85" t="s">
        <v>123</v>
      </c>
      <c r="C25" s="85" t="s">
        <v>92</v>
      </c>
      <c r="D25" s="84" t="s">
        <v>84</v>
      </c>
      <c r="E25" s="84">
        <f>VLOOKUP(A25,'2a. SI Pop'!$A$5:$E$198,5,FALSE)</f>
        <v>2</v>
      </c>
      <c r="F25" s="89">
        <v>6575</v>
      </c>
      <c r="G25" s="1">
        <f t="shared" ref="G25:AA25" si="21">F25</f>
        <v>6575</v>
      </c>
      <c r="H25" s="1">
        <f t="shared" si="21"/>
        <v>6575</v>
      </c>
      <c r="I25" s="1">
        <f t="shared" si="21"/>
        <v>6575</v>
      </c>
      <c r="J25" s="1">
        <f t="shared" si="21"/>
        <v>6575</v>
      </c>
      <c r="K25" s="1">
        <f t="shared" si="21"/>
        <v>6575</v>
      </c>
      <c r="L25" s="1">
        <f t="shared" si="21"/>
        <v>6575</v>
      </c>
      <c r="M25" s="1">
        <f t="shared" si="21"/>
        <v>6575</v>
      </c>
      <c r="N25" s="1">
        <f t="shared" si="21"/>
        <v>6575</v>
      </c>
      <c r="O25" s="1">
        <f t="shared" si="21"/>
        <v>6575</v>
      </c>
      <c r="P25" s="1">
        <f t="shared" si="21"/>
        <v>6575</v>
      </c>
      <c r="Q25" s="1">
        <f t="shared" si="21"/>
        <v>6575</v>
      </c>
      <c r="R25" s="1">
        <f t="shared" si="21"/>
        <v>6575</v>
      </c>
      <c r="S25" s="1">
        <f t="shared" si="21"/>
        <v>6575</v>
      </c>
      <c r="T25" s="1">
        <f t="shared" si="21"/>
        <v>6575</v>
      </c>
      <c r="U25" s="1">
        <f t="shared" si="21"/>
        <v>6575</v>
      </c>
      <c r="V25" s="1">
        <f t="shared" si="21"/>
        <v>6575</v>
      </c>
      <c r="W25" s="1">
        <f t="shared" si="21"/>
        <v>6575</v>
      </c>
      <c r="X25" s="1">
        <f t="shared" si="21"/>
        <v>6575</v>
      </c>
      <c r="Y25" s="1">
        <f t="shared" si="21"/>
        <v>6575</v>
      </c>
      <c r="Z25" s="1">
        <f t="shared" si="21"/>
        <v>6575</v>
      </c>
      <c r="AA25" s="1">
        <f t="shared" si="21"/>
        <v>6575</v>
      </c>
    </row>
    <row r="26" spans="1:27">
      <c r="A26" s="84" t="s">
        <v>126</v>
      </c>
      <c r="B26" s="85" t="s">
        <v>125</v>
      </c>
      <c r="C26" s="85" t="s">
        <v>79</v>
      </c>
      <c r="D26" s="84" t="s">
        <v>80</v>
      </c>
      <c r="E26" s="84">
        <f>VLOOKUP(A26,'2a. SI Pop'!$A$5:$E$198,5,FALSE)</f>
        <v>1</v>
      </c>
      <c r="F26" s="89">
        <v>156188</v>
      </c>
      <c r="G26" s="1">
        <f t="shared" ref="G26:AA26" si="22">F26</f>
        <v>156188</v>
      </c>
      <c r="H26" s="1">
        <f t="shared" si="22"/>
        <v>156188</v>
      </c>
      <c r="I26" s="1">
        <f t="shared" si="22"/>
        <v>156188</v>
      </c>
      <c r="J26" s="1">
        <f t="shared" si="22"/>
        <v>156188</v>
      </c>
      <c r="K26" s="1">
        <f t="shared" si="22"/>
        <v>156188</v>
      </c>
      <c r="L26" s="1">
        <f t="shared" si="22"/>
        <v>156188</v>
      </c>
      <c r="M26" s="1">
        <f t="shared" si="22"/>
        <v>156188</v>
      </c>
      <c r="N26" s="1">
        <f t="shared" si="22"/>
        <v>156188</v>
      </c>
      <c r="O26" s="1">
        <f t="shared" si="22"/>
        <v>156188</v>
      </c>
      <c r="P26" s="1">
        <f t="shared" si="22"/>
        <v>156188</v>
      </c>
      <c r="Q26" s="1">
        <f t="shared" si="22"/>
        <v>156188</v>
      </c>
      <c r="R26" s="1">
        <f t="shared" si="22"/>
        <v>156188</v>
      </c>
      <c r="S26" s="1">
        <f t="shared" si="22"/>
        <v>156188</v>
      </c>
      <c r="T26" s="1">
        <f t="shared" si="22"/>
        <v>156188</v>
      </c>
      <c r="U26" s="1">
        <f t="shared" si="22"/>
        <v>156188</v>
      </c>
      <c r="V26" s="1">
        <f t="shared" si="22"/>
        <v>156188</v>
      </c>
      <c r="W26" s="1">
        <f t="shared" si="22"/>
        <v>156188</v>
      </c>
      <c r="X26" s="1">
        <f t="shared" si="22"/>
        <v>156188</v>
      </c>
      <c r="Y26" s="1">
        <f t="shared" si="22"/>
        <v>156188</v>
      </c>
      <c r="Z26" s="1">
        <f t="shared" si="22"/>
        <v>156188</v>
      </c>
      <c r="AA26" s="1">
        <f t="shared" si="22"/>
        <v>156188</v>
      </c>
    </row>
    <row r="27" spans="1:27">
      <c r="A27" s="84" t="s">
        <v>128</v>
      </c>
      <c r="B27" s="85" t="s">
        <v>127</v>
      </c>
      <c r="C27" s="85" t="s">
        <v>83</v>
      </c>
      <c r="D27" s="84" t="s">
        <v>80</v>
      </c>
      <c r="E27" s="84">
        <f>VLOOKUP(A27,'2a. SI Pop'!$A$5:$E$198,5,FALSE)</f>
        <v>2</v>
      </c>
      <c r="F27" s="89">
        <v>1269</v>
      </c>
      <c r="G27" s="1">
        <f t="shared" ref="G27:AA27" si="23">F27</f>
        <v>1269</v>
      </c>
      <c r="H27" s="1">
        <f t="shared" si="23"/>
        <v>1269</v>
      </c>
      <c r="I27" s="1">
        <f t="shared" si="23"/>
        <v>1269</v>
      </c>
      <c r="J27" s="1">
        <f t="shared" si="23"/>
        <v>1269</v>
      </c>
      <c r="K27" s="1">
        <f t="shared" si="23"/>
        <v>1269</v>
      </c>
      <c r="L27" s="1">
        <f t="shared" si="23"/>
        <v>1269</v>
      </c>
      <c r="M27" s="1">
        <f t="shared" si="23"/>
        <v>1269</v>
      </c>
      <c r="N27" s="1">
        <f t="shared" si="23"/>
        <v>1269</v>
      </c>
      <c r="O27" s="1">
        <f t="shared" si="23"/>
        <v>1269</v>
      </c>
      <c r="P27" s="1">
        <f t="shared" si="23"/>
        <v>1269</v>
      </c>
      <c r="Q27" s="1">
        <f t="shared" si="23"/>
        <v>1269</v>
      </c>
      <c r="R27" s="1">
        <f t="shared" si="23"/>
        <v>1269</v>
      </c>
      <c r="S27" s="1">
        <f t="shared" si="23"/>
        <v>1269</v>
      </c>
      <c r="T27" s="1">
        <f t="shared" si="23"/>
        <v>1269</v>
      </c>
      <c r="U27" s="1">
        <f t="shared" si="23"/>
        <v>1269</v>
      </c>
      <c r="V27" s="1">
        <f t="shared" si="23"/>
        <v>1269</v>
      </c>
      <c r="W27" s="1">
        <f t="shared" si="23"/>
        <v>1269</v>
      </c>
      <c r="X27" s="1">
        <f t="shared" si="23"/>
        <v>1269</v>
      </c>
      <c r="Y27" s="1">
        <f t="shared" si="23"/>
        <v>1269</v>
      </c>
      <c r="Z27" s="1">
        <f t="shared" si="23"/>
        <v>1269</v>
      </c>
      <c r="AA27" s="1">
        <f t="shared" si="23"/>
        <v>1269</v>
      </c>
    </row>
    <row r="28" spans="1:27">
      <c r="A28" s="84" t="s">
        <v>130</v>
      </c>
      <c r="B28" s="85" t="s">
        <v>129</v>
      </c>
      <c r="C28" s="85" t="s">
        <v>92</v>
      </c>
      <c r="D28" s="84" t="s">
        <v>80</v>
      </c>
      <c r="E28" s="84" t="str">
        <f>VLOOKUP(A28,'2a. SI Pop'!$A$5:$E$198,5,FALSE)</f>
        <v>Key</v>
      </c>
      <c r="F28" s="89">
        <v>363634</v>
      </c>
      <c r="G28" s="1">
        <f t="shared" ref="G28:AA28" si="24">F28</f>
        <v>363634</v>
      </c>
      <c r="H28" s="1">
        <f t="shared" si="24"/>
        <v>363634</v>
      </c>
      <c r="I28" s="1">
        <f t="shared" si="24"/>
        <v>363634</v>
      </c>
      <c r="J28" s="1">
        <f t="shared" si="24"/>
        <v>363634</v>
      </c>
      <c r="K28" s="1">
        <f t="shared" si="24"/>
        <v>363634</v>
      </c>
      <c r="L28" s="1">
        <f t="shared" si="24"/>
        <v>363634</v>
      </c>
      <c r="M28" s="1">
        <f t="shared" si="24"/>
        <v>363634</v>
      </c>
      <c r="N28" s="1">
        <f t="shared" si="24"/>
        <v>363634</v>
      </c>
      <c r="O28" s="1">
        <f t="shared" si="24"/>
        <v>363634</v>
      </c>
      <c r="P28" s="1">
        <f t="shared" si="24"/>
        <v>363634</v>
      </c>
      <c r="Q28" s="1">
        <f t="shared" si="24"/>
        <v>363634</v>
      </c>
      <c r="R28" s="1">
        <f t="shared" si="24"/>
        <v>363634</v>
      </c>
      <c r="S28" s="1">
        <f t="shared" si="24"/>
        <v>363634</v>
      </c>
      <c r="T28" s="1">
        <f t="shared" si="24"/>
        <v>363634</v>
      </c>
      <c r="U28" s="1">
        <f t="shared" si="24"/>
        <v>363634</v>
      </c>
      <c r="V28" s="1">
        <f t="shared" si="24"/>
        <v>363634</v>
      </c>
      <c r="W28" s="1">
        <f t="shared" si="24"/>
        <v>363634</v>
      </c>
      <c r="X28" s="1">
        <f t="shared" si="24"/>
        <v>363634</v>
      </c>
      <c r="Y28" s="1">
        <f t="shared" si="24"/>
        <v>363634</v>
      </c>
      <c r="Z28" s="1">
        <f t="shared" si="24"/>
        <v>363634</v>
      </c>
      <c r="AA28" s="1">
        <f t="shared" si="24"/>
        <v>363634</v>
      </c>
    </row>
    <row r="29" spans="1:27">
      <c r="A29" s="84" t="s">
        <v>132</v>
      </c>
      <c r="B29" s="85" t="s">
        <v>131</v>
      </c>
      <c r="C29" s="85" t="s">
        <v>99</v>
      </c>
      <c r="D29" s="84" t="s">
        <v>87</v>
      </c>
      <c r="E29" s="84">
        <f>VLOOKUP(A29,'2a. SI Pop'!$A$5:$E$198,5,FALSE)</f>
        <v>1</v>
      </c>
      <c r="F29" s="89">
        <v>20863</v>
      </c>
      <c r="G29" s="1">
        <f t="shared" ref="G29:AA29" si="25">F29</f>
        <v>20863</v>
      </c>
      <c r="H29" s="1">
        <f t="shared" si="25"/>
        <v>20863</v>
      </c>
      <c r="I29" s="1">
        <f t="shared" si="25"/>
        <v>20863</v>
      </c>
      <c r="J29" s="1">
        <f t="shared" si="25"/>
        <v>20863</v>
      </c>
      <c r="K29" s="1">
        <f t="shared" si="25"/>
        <v>20863</v>
      </c>
      <c r="L29" s="1">
        <f t="shared" si="25"/>
        <v>20863</v>
      </c>
      <c r="M29" s="1">
        <f t="shared" si="25"/>
        <v>20863</v>
      </c>
      <c r="N29" s="1">
        <f t="shared" si="25"/>
        <v>20863</v>
      </c>
      <c r="O29" s="1">
        <f t="shared" si="25"/>
        <v>20863</v>
      </c>
      <c r="P29" s="1">
        <f t="shared" si="25"/>
        <v>20863</v>
      </c>
      <c r="Q29" s="1">
        <f t="shared" si="25"/>
        <v>20863</v>
      </c>
      <c r="R29" s="1">
        <f t="shared" si="25"/>
        <v>20863</v>
      </c>
      <c r="S29" s="1">
        <f t="shared" si="25"/>
        <v>20863</v>
      </c>
      <c r="T29" s="1">
        <f t="shared" si="25"/>
        <v>20863</v>
      </c>
      <c r="U29" s="1">
        <f t="shared" si="25"/>
        <v>20863</v>
      </c>
      <c r="V29" s="1">
        <f t="shared" si="25"/>
        <v>20863</v>
      </c>
      <c r="W29" s="1">
        <f t="shared" si="25"/>
        <v>20863</v>
      </c>
      <c r="X29" s="1">
        <f t="shared" si="25"/>
        <v>20863</v>
      </c>
      <c r="Y29" s="1">
        <f t="shared" si="25"/>
        <v>20863</v>
      </c>
      <c r="Z29" s="1">
        <f t="shared" si="25"/>
        <v>20863</v>
      </c>
      <c r="AA29" s="1">
        <f t="shared" si="25"/>
        <v>20863</v>
      </c>
    </row>
    <row r="30" spans="1:27">
      <c r="A30" s="84" t="s">
        <v>134</v>
      </c>
      <c r="B30" s="85" t="s">
        <v>133</v>
      </c>
      <c r="C30" s="85" t="s">
        <v>79</v>
      </c>
      <c r="D30" s="84" t="s">
        <v>80</v>
      </c>
      <c r="E30" s="84">
        <f>VLOOKUP(A30,'2a. SI Pop'!$A$5:$E$198,5,FALSE)</f>
        <v>1</v>
      </c>
      <c r="F30" s="89">
        <v>21599</v>
      </c>
      <c r="G30" s="1">
        <f t="shared" ref="G30:AA30" si="26">F30</f>
        <v>21599</v>
      </c>
      <c r="H30" s="1">
        <f t="shared" si="26"/>
        <v>21599</v>
      </c>
      <c r="I30" s="1">
        <f t="shared" si="26"/>
        <v>21599</v>
      </c>
      <c r="J30" s="1">
        <f t="shared" si="26"/>
        <v>21599</v>
      </c>
      <c r="K30" s="1">
        <f t="shared" si="26"/>
        <v>21599</v>
      </c>
      <c r="L30" s="1">
        <f t="shared" si="26"/>
        <v>21599</v>
      </c>
      <c r="M30" s="1">
        <f t="shared" si="26"/>
        <v>21599</v>
      </c>
      <c r="N30" s="1">
        <f t="shared" si="26"/>
        <v>21599</v>
      </c>
      <c r="O30" s="1">
        <f t="shared" si="26"/>
        <v>21599</v>
      </c>
      <c r="P30" s="1">
        <f t="shared" si="26"/>
        <v>21599</v>
      </c>
      <c r="Q30" s="1">
        <f t="shared" si="26"/>
        <v>21599</v>
      </c>
      <c r="R30" s="1">
        <f t="shared" si="26"/>
        <v>21599</v>
      </c>
      <c r="S30" s="1">
        <f t="shared" si="26"/>
        <v>21599</v>
      </c>
      <c r="T30" s="1">
        <f t="shared" si="26"/>
        <v>21599</v>
      </c>
      <c r="U30" s="1">
        <f t="shared" si="26"/>
        <v>21599</v>
      </c>
      <c r="V30" s="1">
        <f t="shared" si="26"/>
        <v>21599</v>
      </c>
      <c r="W30" s="1">
        <f t="shared" si="26"/>
        <v>21599</v>
      </c>
      <c r="X30" s="1">
        <f t="shared" si="26"/>
        <v>21599</v>
      </c>
      <c r="Y30" s="1">
        <f t="shared" si="26"/>
        <v>21599</v>
      </c>
      <c r="Z30" s="1">
        <f t="shared" si="26"/>
        <v>21599</v>
      </c>
      <c r="AA30" s="1">
        <f t="shared" si="26"/>
        <v>21599</v>
      </c>
    </row>
    <row r="31" spans="1:27">
      <c r="A31" s="84" t="s">
        <v>136</v>
      </c>
      <c r="B31" s="85" t="s">
        <v>135</v>
      </c>
      <c r="C31" s="85" t="s">
        <v>83</v>
      </c>
      <c r="D31" s="84" t="s">
        <v>75</v>
      </c>
      <c r="E31" s="84">
        <f>VLOOKUP(A31,'2a. SI Pop'!$A$5:$E$198,5,FALSE)</f>
        <v>3</v>
      </c>
      <c r="F31" s="89">
        <v>585931</v>
      </c>
      <c r="G31" s="1">
        <f t="shared" ref="G31:AA31" si="27">F31</f>
        <v>585931</v>
      </c>
      <c r="H31" s="1">
        <f t="shared" si="27"/>
        <v>585931</v>
      </c>
      <c r="I31" s="1">
        <f t="shared" si="27"/>
        <v>585931</v>
      </c>
      <c r="J31" s="1">
        <f t="shared" si="27"/>
        <v>585931</v>
      </c>
      <c r="K31" s="1">
        <f t="shared" si="27"/>
        <v>585931</v>
      </c>
      <c r="L31" s="1">
        <f t="shared" si="27"/>
        <v>585931</v>
      </c>
      <c r="M31" s="1">
        <f t="shared" si="27"/>
        <v>585931</v>
      </c>
      <c r="N31" s="1">
        <f t="shared" si="27"/>
        <v>585931</v>
      </c>
      <c r="O31" s="1">
        <f t="shared" si="27"/>
        <v>585931</v>
      </c>
      <c r="P31" s="1">
        <f t="shared" si="27"/>
        <v>585931</v>
      </c>
      <c r="Q31" s="1">
        <f t="shared" si="27"/>
        <v>585931</v>
      </c>
      <c r="R31" s="1">
        <f t="shared" si="27"/>
        <v>585931</v>
      </c>
      <c r="S31" s="1">
        <f t="shared" si="27"/>
        <v>585931</v>
      </c>
      <c r="T31" s="1">
        <f t="shared" si="27"/>
        <v>585931</v>
      </c>
      <c r="U31" s="1">
        <f t="shared" si="27"/>
        <v>585931</v>
      </c>
      <c r="V31" s="1">
        <f t="shared" si="27"/>
        <v>585931</v>
      </c>
      <c r="W31" s="1">
        <f t="shared" si="27"/>
        <v>585931</v>
      </c>
      <c r="X31" s="1">
        <f t="shared" si="27"/>
        <v>585931</v>
      </c>
      <c r="Y31" s="1">
        <f t="shared" si="27"/>
        <v>585931</v>
      </c>
      <c r="Z31" s="1">
        <f t="shared" si="27"/>
        <v>585931</v>
      </c>
      <c r="AA31" s="1">
        <f t="shared" si="27"/>
        <v>585931</v>
      </c>
    </row>
    <row r="32" spans="1:27">
      <c r="A32" s="84" t="s">
        <v>138</v>
      </c>
      <c r="B32" s="85" t="s">
        <v>137</v>
      </c>
      <c r="C32" s="85" t="s">
        <v>83</v>
      </c>
      <c r="D32" s="84" t="s">
        <v>75</v>
      </c>
      <c r="E32" s="84">
        <f>VLOOKUP(A32,'2a. SI Pop'!$A$5:$E$198,5,FALSE)</f>
        <v>3</v>
      </c>
      <c r="F32" s="89">
        <v>123594</v>
      </c>
      <c r="G32" s="1">
        <f t="shared" ref="G32:AA32" si="28">F32</f>
        <v>123594</v>
      </c>
      <c r="H32" s="1">
        <f t="shared" si="28"/>
        <v>123594</v>
      </c>
      <c r="I32" s="1">
        <f t="shared" si="28"/>
        <v>123594</v>
      </c>
      <c r="J32" s="1">
        <f t="shared" si="28"/>
        <v>123594</v>
      </c>
      <c r="K32" s="1">
        <f t="shared" si="28"/>
        <v>123594</v>
      </c>
      <c r="L32" s="1">
        <f t="shared" si="28"/>
        <v>123594</v>
      </c>
      <c r="M32" s="1">
        <f t="shared" si="28"/>
        <v>123594</v>
      </c>
      <c r="N32" s="1">
        <f t="shared" si="28"/>
        <v>123594</v>
      </c>
      <c r="O32" s="1">
        <f t="shared" si="28"/>
        <v>123594</v>
      </c>
      <c r="P32" s="1">
        <f t="shared" si="28"/>
        <v>123594</v>
      </c>
      <c r="Q32" s="1">
        <f t="shared" si="28"/>
        <v>123594</v>
      </c>
      <c r="R32" s="1">
        <f t="shared" si="28"/>
        <v>123594</v>
      </c>
      <c r="S32" s="1">
        <f t="shared" si="28"/>
        <v>123594</v>
      </c>
      <c r="T32" s="1">
        <f t="shared" si="28"/>
        <v>123594</v>
      </c>
      <c r="U32" s="1">
        <f t="shared" si="28"/>
        <v>123594</v>
      </c>
      <c r="V32" s="1">
        <f t="shared" si="28"/>
        <v>123594</v>
      </c>
      <c r="W32" s="1">
        <f t="shared" si="28"/>
        <v>123594</v>
      </c>
      <c r="X32" s="1">
        <f t="shared" si="28"/>
        <v>123594</v>
      </c>
      <c r="Y32" s="1">
        <f t="shared" si="28"/>
        <v>123594</v>
      </c>
      <c r="Z32" s="1">
        <f t="shared" si="28"/>
        <v>123594</v>
      </c>
      <c r="AA32" s="1">
        <f t="shared" si="28"/>
        <v>123594</v>
      </c>
    </row>
    <row r="33" spans="1:27">
      <c r="A33" s="84" t="s">
        <v>140</v>
      </c>
      <c r="B33" s="85" t="s">
        <v>139</v>
      </c>
      <c r="C33" s="85" t="s">
        <v>99</v>
      </c>
      <c r="D33" s="84" t="s">
        <v>84</v>
      </c>
      <c r="E33" s="84">
        <f>VLOOKUP(A33,'2a. SI Pop'!$A$5:$E$198,5,FALSE)</f>
        <v>4</v>
      </c>
      <c r="F33" s="89">
        <v>57471</v>
      </c>
      <c r="G33" s="1">
        <f t="shared" ref="G33:AA33" si="29">F33</f>
        <v>57471</v>
      </c>
      <c r="H33" s="1">
        <f t="shared" si="29"/>
        <v>57471</v>
      </c>
      <c r="I33" s="1">
        <f t="shared" si="29"/>
        <v>57471</v>
      </c>
      <c r="J33" s="1">
        <f t="shared" si="29"/>
        <v>57471</v>
      </c>
      <c r="K33" s="1">
        <f t="shared" si="29"/>
        <v>57471</v>
      </c>
      <c r="L33" s="1">
        <f t="shared" si="29"/>
        <v>57471</v>
      </c>
      <c r="M33" s="1">
        <f t="shared" si="29"/>
        <v>57471</v>
      </c>
      <c r="N33" s="1">
        <f t="shared" si="29"/>
        <v>57471</v>
      </c>
      <c r="O33" s="1">
        <f t="shared" si="29"/>
        <v>57471</v>
      </c>
      <c r="P33" s="1">
        <f t="shared" si="29"/>
        <v>57471</v>
      </c>
      <c r="Q33" s="1">
        <f t="shared" si="29"/>
        <v>57471</v>
      </c>
      <c r="R33" s="1">
        <f t="shared" si="29"/>
        <v>57471</v>
      </c>
      <c r="S33" s="1">
        <f t="shared" si="29"/>
        <v>57471</v>
      </c>
      <c r="T33" s="1">
        <f t="shared" si="29"/>
        <v>57471</v>
      </c>
      <c r="U33" s="1">
        <f t="shared" si="29"/>
        <v>57471</v>
      </c>
      <c r="V33" s="1">
        <f t="shared" si="29"/>
        <v>57471</v>
      </c>
      <c r="W33" s="1">
        <f t="shared" si="29"/>
        <v>57471</v>
      </c>
      <c r="X33" s="1">
        <f t="shared" si="29"/>
        <v>57471</v>
      </c>
      <c r="Y33" s="1">
        <f t="shared" si="29"/>
        <v>57471</v>
      </c>
      <c r="Z33" s="1">
        <f t="shared" si="29"/>
        <v>57471</v>
      </c>
      <c r="AA33" s="1">
        <f t="shared" si="29"/>
        <v>57471</v>
      </c>
    </row>
    <row r="34" spans="1:27">
      <c r="A34" s="84" t="s">
        <v>142</v>
      </c>
      <c r="B34" s="85" t="s">
        <v>141</v>
      </c>
      <c r="C34" s="85" t="s">
        <v>83</v>
      </c>
      <c r="D34" s="84" t="s">
        <v>84</v>
      </c>
      <c r="E34" s="84">
        <f>VLOOKUP(A34,'2a. SI Pop'!$A$5:$E$198,5,FALSE)</f>
        <v>3</v>
      </c>
      <c r="F34" s="89">
        <v>1366469</v>
      </c>
      <c r="G34" s="1">
        <f t="shared" ref="G34:AA34" si="30">F34</f>
        <v>1366469</v>
      </c>
      <c r="H34" s="1">
        <f t="shared" si="30"/>
        <v>1366469</v>
      </c>
      <c r="I34" s="1">
        <f t="shared" si="30"/>
        <v>1366469</v>
      </c>
      <c r="J34" s="1">
        <f t="shared" si="30"/>
        <v>1366469</v>
      </c>
      <c r="K34" s="1">
        <f t="shared" si="30"/>
        <v>1366469</v>
      </c>
      <c r="L34" s="1">
        <f t="shared" si="30"/>
        <v>1366469</v>
      </c>
      <c r="M34" s="1">
        <f t="shared" si="30"/>
        <v>1366469</v>
      </c>
      <c r="N34" s="1">
        <f t="shared" si="30"/>
        <v>1366469</v>
      </c>
      <c r="O34" s="1">
        <f t="shared" si="30"/>
        <v>1366469</v>
      </c>
      <c r="P34" s="1">
        <f t="shared" si="30"/>
        <v>1366469</v>
      </c>
      <c r="Q34" s="1">
        <f t="shared" si="30"/>
        <v>1366469</v>
      </c>
      <c r="R34" s="1">
        <f t="shared" si="30"/>
        <v>1366469</v>
      </c>
      <c r="S34" s="1">
        <f t="shared" si="30"/>
        <v>1366469</v>
      </c>
      <c r="T34" s="1">
        <f t="shared" si="30"/>
        <v>1366469</v>
      </c>
      <c r="U34" s="1">
        <f t="shared" si="30"/>
        <v>1366469</v>
      </c>
      <c r="V34" s="1">
        <f t="shared" si="30"/>
        <v>1366469</v>
      </c>
      <c r="W34" s="1">
        <f t="shared" si="30"/>
        <v>1366469</v>
      </c>
      <c r="X34" s="1">
        <f t="shared" si="30"/>
        <v>1366469</v>
      </c>
      <c r="Y34" s="1">
        <f t="shared" si="30"/>
        <v>1366469</v>
      </c>
      <c r="Z34" s="1">
        <f t="shared" si="30"/>
        <v>1366469</v>
      </c>
      <c r="AA34" s="1">
        <f t="shared" si="30"/>
        <v>1366469</v>
      </c>
    </row>
    <row r="35" spans="1:27">
      <c r="A35" s="84" t="s">
        <v>144</v>
      </c>
      <c r="B35" s="85" t="s">
        <v>143</v>
      </c>
      <c r="C35" s="85" t="s">
        <v>92</v>
      </c>
      <c r="D35" s="84" t="s">
        <v>87</v>
      </c>
      <c r="E35" s="84">
        <f>VLOOKUP(A35,'2a. SI Pop'!$A$5:$E$198,5,FALSE)</f>
        <v>1</v>
      </c>
      <c r="F35" s="89">
        <v>202533</v>
      </c>
      <c r="G35" s="1">
        <f t="shared" ref="G35:AA35" si="31">F35</f>
        <v>202533</v>
      </c>
      <c r="H35" s="1">
        <f t="shared" si="31"/>
        <v>202533</v>
      </c>
      <c r="I35" s="1">
        <f t="shared" si="31"/>
        <v>202533</v>
      </c>
      <c r="J35" s="1">
        <f t="shared" si="31"/>
        <v>202533</v>
      </c>
      <c r="K35" s="1">
        <f t="shared" si="31"/>
        <v>202533</v>
      </c>
      <c r="L35" s="1">
        <f t="shared" si="31"/>
        <v>202533</v>
      </c>
      <c r="M35" s="1">
        <f t="shared" si="31"/>
        <v>202533</v>
      </c>
      <c r="N35" s="1">
        <f t="shared" si="31"/>
        <v>202533</v>
      </c>
      <c r="O35" s="1">
        <f t="shared" si="31"/>
        <v>202533</v>
      </c>
      <c r="P35" s="1">
        <f t="shared" si="31"/>
        <v>202533</v>
      </c>
      <c r="Q35" s="1">
        <f t="shared" si="31"/>
        <v>202533</v>
      </c>
      <c r="R35" s="1">
        <f t="shared" si="31"/>
        <v>202533</v>
      </c>
      <c r="S35" s="1">
        <f t="shared" si="31"/>
        <v>202533</v>
      </c>
      <c r="T35" s="1">
        <f t="shared" si="31"/>
        <v>202533</v>
      </c>
      <c r="U35" s="1">
        <f t="shared" si="31"/>
        <v>202533</v>
      </c>
      <c r="V35" s="1">
        <f t="shared" si="31"/>
        <v>202533</v>
      </c>
      <c r="W35" s="1">
        <f t="shared" si="31"/>
        <v>202533</v>
      </c>
      <c r="X35" s="1">
        <f t="shared" si="31"/>
        <v>202533</v>
      </c>
      <c r="Y35" s="1">
        <f t="shared" si="31"/>
        <v>202533</v>
      </c>
      <c r="Z35" s="1">
        <f t="shared" si="31"/>
        <v>202533</v>
      </c>
      <c r="AA35" s="1">
        <f t="shared" si="31"/>
        <v>202533</v>
      </c>
    </row>
    <row r="36" spans="1:27">
      <c r="A36" s="84" t="s">
        <v>146</v>
      </c>
      <c r="B36" s="85" t="s">
        <v>145</v>
      </c>
      <c r="C36" s="85" t="s">
        <v>83</v>
      </c>
      <c r="D36" s="84" t="s">
        <v>84</v>
      </c>
      <c r="E36" s="84">
        <f>VLOOKUP(A36,'2a. SI Pop'!$A$5:$E$198,5,FALSE)</f>
        <v>2</v>
      </c>
      <c r="F36" s="89">
        <v>115</v>
      </c>
      <c r="G36" s="1">
        <f t="shared" ref="G36:AA36" si="32">F36</f>
        <v>115</v>
      </c>
      <c r="H36" s="1">
        <f t="shared" si="32"/>
        <v>115</v>
      </c>
      <c r="I36" s="1">
        <f t="shared" si="32"/>
        <v>115</v>
      </c>
      <c r="J36" s="1">
        <f t="shared" si="32"/>
        <v>115</v>
      </c>
      <c r="K36" s="1">
        <f t="shared" si="32"/>
        <v>115</v>
      </c>
      <c r="L36" s="1">
        <f t="shared" si="32"/>
        <v>115</v>
      </c>
      <c r="M36" s="1">
        <f t="shared" si="32"/>
        <v>115</v>
      </c>
      <c r="N36" s="1">
        <f t="shared" si="32"/>
        <v>115</v>
      </c>
      <c r="O36" s="1">
        <f t="shared" si="32"/>
        <v>115</v>
      </c>
      <c r="P36" s="1">
        <f t="shared" si="32"/>
        <v>115</v>
      </c>
      <c r="Q36" s="1">
        <f t="shared" si="32"/>
        <v>115</v>
      </c>
      <c r="R36" s="1">
        <f t="shared" si="32"/>
        <v>115</v>
      </c>
      <c r="S36" s="1">
        <f t="shared" si="32"/>
        <v>115</v>
      </c>
      <c r="T36" s="1">
        <f t="shared" si="32"/>
        <v>115</v>
      </c>
      <c r="U36" s="1">
        <f t="shared" si="32"/>
        <v>115</v>
      </c>
      <c r="V36" s="1">
        <f t="shared" si="32"/>
        <v>115</v>
      </c>
      <c r="W36" s="1">
        <f t="shared" si="32"/>
        <v>115</v>
      </c>
      <c r="X36" s="1">
        <f t="shared" si="32"/>
        <v>115</v>
      </c>
      <c r="Y36" s="1">
        <f t="shared" si="32"/>
        <v>115</v>
      </c>
      <c r="Z36" s="1">
        <f t="shared" si="32"/>
        <v>115</v>
      </c>
      <c r="AA36" s="1">
        <f t="shared" si="32"/>
        <v>115</v>
      </c>
    </row>
    <row r="37" spans="1:27">
      <c r="A37" s="84" t="s">
        <v>148</v>
      </c>
      <c r="B37" s="85" t="s">
        <v>147</v>
      </c>
      <c r="C37" s="85" t="s">
        <v>83</v>
      </c>
      <c r="D37" s="84" t="s">
        <v>75</v>
      </c>
      <c r="E37" s="84">
        <f>VLOOKUP(A37,'2a. SI Pop'!$A$5:$E$198,5,FALSE)</f>
        <v>3</v>
      </c>
      <c r="F37" s="89">
        <v>677387</v>
      </c>
      <c r="G37" s="1">
        <f t="shared" ref="G37:AA37" si="33">F37</f>
        <v>677387</v>
      </c>
      <c r="H37" s="1">
        <f t="shared" si="33"/>
        <v>677387</v>
      </c>
      <c r="I37" s="1">
        <f t="shared" si="33"/>
        <v>677387</v>
      </c>
      <c r="J37" s="1">
        <f t="shared" si="33"/>
        <v>677387</v>
      </c>
      <c r="K37" s="1">
        <f t="shared" si="33"/>
        <v>677387</v>
      </c>
      <c r="L37" s="1">
        <f t="shared" si="33"/>
        <v>677387</v>
      </c>
      <c r="M37" s="1">
        <f t="shared" si="33"/>
        <v>677387</v>
      </c>
      <c r="N37" s="1">
        <f t="shared" si="33"/>
        <v>677387</v>
      </c>
      <c r="O37" s="1">
        <f t="shared" si="33"/>
        <v>677387</v>
      </c>
      <c r="P37" s="1">
        <f t="shared" si="33"/>
        <v>677387</v>
      </c>
      <c r="Q37" s="1">
        <f t="shared" si="33"/>
        <v>677387</v>
      </c>
      <c r="R37" s="1">
        <f t="shared" si="33"/>
        <v>677387</v>
      </c>
      <c r="S37" s="1">
        <f t="shared" si="33"/>
        <v>677387</v>
      </c>
      <c r="T37" s="1">
        <f t="shared" si="33"/>
        <v>677387</v>
      </c>
      <c r="U37" s="1">
        <f t="shared" si="33"/>
        <v>677387</v>
      </c>
      <c r="V37" s="1">
        <f t="shared" si="33"/>
        <v>677387</v>
      </c>
      <c r="W37" s="1">
        <f t="shared" si="33"/>
        <v>677387</v>
      </c>
      <c r="X37" s="1">
        <f t="shared" si="33"/>
        <v>677387</v>
      </c>
      <c r="Y37" s="1">
        <f t="shared" si="33"/>
        <v>677387</v>
      </c>
      <c r="Z37" s="1">
        <f t="shared" si="33"/>
        <v>677387</v>
      </c>
      <c r="AA37" s="1">
        <f t="shared" si="33"/>
        <v>677387</v>
      </c>
    </row>
    <row r="38" spans="1:27">
      <c r="A38" s="84" t="s">
        <v>150</v>
      </c>
      <c r="B38" s="85" t="s">
        <v>149</v>
      </c>
      <c r="C38" s="85" t="s">
        <v>83</v>
      </c>
      <c r="D38" s="84" t="s">
        <v>75</v>
      </c>
      <c r="E38" s="84" t="str">
        <f>VLOOKUP(A38,'2a. SI Pop'!$A$5:$E$198,5,FALSE)</f>
        <v>Key</v>
      </c>
      <c r="F38" s="89">
        <v>739065</v>
      </c>
      <c r="G38" s="1">
        <f t="shared" ref="G38:AA38" si="34">F38</f>
        <v>739065</v>
      </c>
      <c r="H38" s="1">
        <f t="shared" si="34"/>
        <v>739065</v>
      </c>
      <c r="I38" s="1">
        <f t="shared" si="34"/>
        <v>739065</v>
      </c>
      <c r="J38" s="1">
        <f t="shared" si="34"/>
        <v>739065</v>
      </c>
      <c r="K38" s="1">
        <f t="shared" si="34"/>
        <v>739065</v>
      </c>
      <c r="L38" s="1">
        <f t="shared" si="34"/>
        <v>739065</v>
      </c>
      <c r="M38" s="1">
        <f t="shared" si="34"/>
        <v>739065</v>
      </c>
      <c r="N38" s="1">
        <f t="shared" si="34"/>
        <v>739065</v>
      </c>
      <c r="O38" s="1">
        <f t="shared" si="34"/>
        <v>739065</v>
      </c>
      <c r="P38" s="1">
        <f t="shared" si="34"/>
        <v>739065</v>
      </c>
      <c r="Q38" s="1">
        <f t="shared" si="34"/>
        <v>739065</v>
      </c>
      <c r="R38" s="1">
        <f t="shared" si="34"/>
        <v>739065</v>
      </c>
      <c r="S38" s="1">
        <f t="shared" si="34"/>
        <v>739065</v>
      </c>
      <c r="T38" s="1">
        <f t="shared" si="34"/>
        <v>739065</v>
      </c>
      <c r="U38" s="1">
        <f t="shared" si="34"/>
        <v>739065</v>
      </c>
      <c r="V38" s="1">
        <f t="shared" si="34"/>
        <v>739065</v>
      </c>
      <c r="W38" s="1">
        <f t="shared" si="34"/>
        <v>739065</v>
      </c>
      <c r="X38" s="1">
        <f t="shared" si="34"/>
        <v>739065</v>
      </c>
      <c r="Y38" s="1">
        <f t="shared" si="34"/>
        <v>739065</v>
      </c>
      <c r="Z38" s="1">
        <f t="shared" si="34"/>
        <v>739065</v>
      </c>
      <c r="AA38" s="1">
        <f t="shared" si="34"/>
        <v>739065</v>
      </c>
    </row>
    <row r="39" spans="1:27">
      <c r="A39" s="84" t="s">
        <v>152</v>
      </c>
      <c r="B39" s="85" t="s">
        <v>151</v>
      </c>
      <c r="C39" s="85" t="s">
        <v>92</v>
      </c>
      <c r="D39" s="84" t="s">
        <v>87</v>
      </c>
      <c r="E39" s="84">
        <f>VLOOKUP(A39,'2a. SI Pop'!$A$5:$E$198,5,FALSE)</f>
        <v>2</v>
      </c>
      <c r="F39" s="89">
        <v>465346</v>
      </c>
      <c r="G39" s="1">
        <f t="shared" ref="G39:AA39" si="35">F39</f>
        <v>465346</v>
      </c>
      <c r="H39" s="1">
        <f t="shared" si="35"/>
        <v>465346</v>
      </c>
      <c r="I39" s="1">
        <f t="shared" si="35"/>
        <v>465346</v>
      </c>
      <c r="J39" s="1">
        <f t="shared" si="35"/>
        <v>465346</v>
      </c>
      <c r="K39" s="1">
        <f t="shared" si="35"/>
        <v>465346</v>
      </c>
      <c r="L39" s="1">
        <f t="shared" si="35"/>
        <v>465346</v>
      </c>
      <c r="M39" s="1">
        <f t="shared" si="35"/>
        <v>465346</v>
      </c>
      <c r="N39" s="1">
        <f t="shared" si="35"/>
        <v>465346</v>
      </c>
      <c r="O39" s="1">
        <f t="shared" si="35"/>
        <v>465346</v>
      </c>
      <c r="P39" s="1">
        <f t="shared" si="35"/>
        <v>465346</v>
      </c>
      <c r="Q39" s="1">
        <f t="shared" si="35"/>
        <v>465346</v>
      </c>
      <c r="R39" s="1">
        <f t="shared" si="35"/>
        <v>465346</v>
      </c>
      <c r="S39" s="1">
        <f t="shared" si="35"/>
        <v>465346</v>
      </c>
      <c r="T39" s="1">
        <f t="shared" si="35"/>
        <v>465346</v>
      </c>
      <c r="U39" s="1">
        <f t="shared" si="35"/>
        <v>465346</v>
      </c>
      <c r="V39" s="1">
        <f t="shared" si="35"/>
        <v>465346</v>
      </c>
      <c r="W39" s="1">
        <f t="shared" si="35"/>
        <v>465346</v>
      </c>
      <c r="X39" s="1">
        <f t="shared" si="35"/>
        <v>465346</v>
      </c>
      <c r="Y39" s="1">
        <f t="shared" si="35"/>
        <v>465346</v>
      </c>
      <c r="Z39" s="1">
        <f t="shared" si="35"/>
        <v>465346</v>
      </c>
      <c r="AA39" s="1">
        <f t="shared" si="35"/>
        <v>465346</v>
      </c>
    </row>
    <row r="40" spans="1:27">
      <c r="A40" s="84" t="s">
        <v>154</v>
      </c>
      <c r="B40" s="85" t="s">
        <v>153</v>
      </c>
      <c r="C40" s="85" t="s">
        <v>99</v>
      </c>
      <c r="D40" s="84" t="s">
        <v>80</v>
      </c>
      <c r="E40" s="84">
        <f>VLOOKUP(A40,'2a. SI Pop'!$A$5:$E$198,5,FALSE)</f>
        <v>1</v>
      </c>
      <c r="F40" s="89">
        <v>304019</v>
      </c>
      <c r="G40" s="1">
        <f t="shared" ref="G40:AA40" si="36">F40</f>
        <v>304019</v>
      </c>
      <c r="H40" s="1">
        <f t="shared" si="36"/>
        <v>304019</v>
      </c>
      <c r="I40" s="1">
        <f t="shared" si="36"/>
        <v>304019</v>
      </c>
      <c r="J40" s="1">
        <f t="shared" si="36"/>
        <v>304019</v>
      </c>
      <c r="K40" s="1">
        <f t="shared" si="36"/>
        <v>304019</v>
      </c>
      <c r="L40" s="1">
        <f t="shared" si="36"/>
        <v>304019</v>
      </c>
      <c r="M40" s="1">
        <f t="shared" si="36"/>
        <v>304019</v>
      </c>
      <c r="N40" s="1">
        <f t="shared" si="36"/>
        <v>304019</v>
      </c>
      <c r="O40" s="1">
        <f t="shared" si="36"/>
        <v>304019</v>
      </c>
      <c r="P40" s="1">
        <f t="shared" si="36"/>
        <v>304019</v>
      </c>
      <c r="Q40" s="1">
        <f t="shared" si="36"/>
        <v>304019</v>
      </c>
      <c r="R40" s="1">
        <f t="shared" si="36"/>
        <v>304019</v>
      </c>
      <c r="S40" s="1">
        <f t="shared" si="36"/>
        <v>304019</v>
      </c>
      <c r="T40" s="1">
        <f t="shared" si="36"/>
        <v>304019</v>
      </c>
      <c r="U40" s="1">
        <f t="shared" si="36"/>
        <v>304019</v>
      </c>
      <c r="V40" s="1">
        <f t="shared" si="36"/>
        <v>304019</v>
      </c>
      <c r="W40" s="1">
        <f t="shared" si="36"/>
        <v>304019</v>
      </c>
      <c r="X40" s="1">
        <f t="shared" si="36"/>
        <v>304019</v>
      </c>
      <c r="Y40" s="1">
        <f t="shared" si="36"/>
        <v>304019</v>
      </c>
      <c r="Z40" s="1">
        <f t="shared" si="36"/>
        <v>304019</v>
      </c>
      <c r="AA40" s="1">
        <f t="shared" si="36"/>
        <v>304019</v>
      </c>
    </row>
    <row r="41" spans="1:27">
      <c r="A41" s="84" t="s">
        <v>156</v>
      </c>
      <c r="B41" s="85" t="s">
        <v>155</v>
      </c>
      <c r="C41" s="85" t="s">
        <v>92</v>
      </c>
      <c r="D41" s="84" t="s">
        <v>80</v>
      </c>
      <c r="E41" s="84">
        <f>VLOOKUP(A41,'2a. SI Pop'!$A$5:$E$198,5,FALSE)</f>
        <v>2</v>
      </c>
      <c r="F41" s="89">
        <v>10157387</v>
      </c>
      <c r="G41" s="1">
        <f t="shared" ref="G41:AA41" si="37">F41</f>
        <v>10157387</v>
      </c>
      <c r="H41" s="1">
        <f t="shared" si="37"/>
        <v>10157387</v>
      </c>
      <c r="I41" s="1">
        <f t="shared" si="37"/>
        <v>10157387</v>
      </c>
      <c r="J41" s="1">
        <f t="shared" si="37"/>
        <v>10157387</v>
      </c>
      <c r="K41" s="1">
        <f t="shared" si="37"/>
        <v>10157387</v>
      </c>
      <c r="L41" s="1">
        <f t="shared" si="37"/>
        <v>10157387</v>
      </c>
      <c r="M41" s="1">
        <f t="shared" si="37"/>
        <v>10157387</v>
      </c>
      <c r="N41" s="1">
        <f t="shared" si="37"/>
        <v>10157387</v>
      </c>
      <c r="O41" s="1">
        <f t="shared" si="37"/>
        <v>10157387</v>
      </c>
      <c r="P41" s="1">
        <f t="shared" si="37"/>
        <v>10157387</v>
      </c>
      <c r="Q41" s="1">
        <f t="shared" si="37"/>
        <v>10157387</v>
      </c>
      <c r="R41" s="1">
        <f t="shared" si="37"/>
        <v>10157387</v>
      </c>
      <c r="S41" s="1">
        <f t="shared" si="37"/>
        <v>10157387</v>
      </c>
      <c r="T41" s="1">
        <f t="shared" si="37"/>
        <v>10157387</v>
      </c>
      <c r="U41" s="1">
        <f t="shared" si="37"/>
        <v>10157387</v>
      </c>
      <c r="V41" s="1">
        <f t="shared" si="37"/>
        <v>10157387</v>
      </c>
      <c r="W41" s="1">
        <f t="shared" si="37"/>
        <v>10157387</v>
      </c>
      <c r="X41" s="1">
        <f t="shared" si="37"/>
        <v>10157387</v>
      </c>
      <c r="Y41" s="1">
        <f t="shared" si="37"/>
        <v>10157387</v>
      </c>
      <c r="Z41" s="1">
        <f t="shared" si="37"/>
        <v>10157387</v>
      </c>
      <c r="AA41" s="1">
        <f t="shared" si="37"/>
        <v>10157387</v>
      </c>
    </row>
    <row r="42" spans="1:27">
      <c r="A42" s="84" t="s">
        <v>158</v>
      </c>
      <c r="B42" s="85" t="s">
        <v>157</v>
      </c>
      <c r="C42" s="85" t="s">
        <v>83</v>
      </c>
      <c r="D42" s="84" t="s">
        <v>84</v>
      </c>
      <c r="E42" s="84">
        <f>VLOOKUP(A42,'2a. SI Pop'!$A$5:$E$198,5,FALSE)</f>
        <v>3</v>
      </c>
      <c r="F42" s="89">
        <v>0</v>
      </c>
      <c r="G42" s="1">
        <f t="shared" ref="G42:AA42" si="38">F42</f>
        <v>0</v>
      </c>
      <c r="H42" s="1">
        <f t="shared" si="38"/>
        <v>0</v>
      </c>
      <c r="I42" s="1">
        <f t="shared" si="38"/>
        <v>0</v>
      </c>
      <c r="J42" s="1">
        <f t="shared" si="38"/>
        <v>0</v>
      </c>
      <c r="K42" s="1">
        <f t="shared" si="38"/>
        <v>0</v>
      </c>
      <c r="L42" s="1">
        <f t="shared" si="38"/>
        <v>0</v>
      </c>
      <c r="M42" s="1">
        <f t="shared" si="38"/>
        <v>0</v>
      </c>
      <c r="N42" s="1">
        <f t="shared" si="38"/>
        <v>0</v>
      </c>
      <c r="O42" s="1">
        <f t="shared" si="38"/>
        <v>0</v>
      </c>
      <c r="P42" s="1">
        <f t="shared" si="38"/>
        <v>0</v>
      </c>
      <c r="Q42" s="1">
        <f t="shared" si="38"/>
        <v>0</v>
      </c>
      <c r="R42" s="1">
        <f t="shared" si="38"/>
        <v>0</v>
      </c>
      <c r="S42" s="1">
        <f t="shared" si="38"/>
        <v>0</v>
      </c>
      <c r="T42" s="1">
        <f t="shared" si="38"/>
        <v>0</v>
      </c>
      <c r="U42" s="1">
        <f t="shared" si="38"/>
        <v>0</v>
      </c>
      <c r="V42" s="1">
        <f t="shared" si="38"/>
        <v>0</v>
      </c>
      <c r="W42" s="1">
        <f t="shared" si="38"/>
        <v>0</v>
      </c>
      <c r="X42" s="1">
        <f t="shared" si="38"/>
        <v>0</v>
      </c>
      <c r="Y42" s="1">
        <f t="shared" si="38"/>
        <v>0</v>
      </c>
      <c r="Z42" s="1">
        <f t="shared" si="38"/>
        <v>0</v>
      </c>
      <c r="AA42" s="1">
        <f t="shared" si="38"/>
        <v>0</v>
      </c>
    </row>
    <row r="43" spans="1:27">
      <c r="A43" s="84" t="s">
        <v>160</v>
      </c>
      <c r="B43" s="85" t="s">
        <v>159</v>
      </c>
      <c r="C43" s="85" t="s">
        <v>83</v>
      </c>
      <c r="D43" s="84" t="s">
        <v>84</v>
      </c>
      <c r="E43" s="84">
        <f>VLOOKUP(A43,'2a. SI Pop'!$A$5:$E$198,5,FALSE)</f>
        <v>3</v>
      </c>
      <c r="F43" s="89">
        <v>186287</v>
      </c>
      <c r="G43" s="1">
        <f t="shared" ref="G43:AA43" si="39">F43</f>
        <v>186287</v>
      </c>
      <c r="H43" s="1">
        <f t="shared" si="39"/>
        <v>186287</v>
      </c>
      <c r="I43" s="1">
        <f t="shared" si="39"/>
        <v>186287</v>
      </c>
      <c r="J43" s="1">
        <f t="shared" si="39"/>
        <v>186287</v>
      </c>
      <c r="K43" s="1">
        <f t="shared" si="39"/>
        <v>186287</v>
      </c>
      <c r="L43" s="1">
        <f t="shared" si="39"/>
        <v>186287</v>
      </c>
      <c r="M43" s="1">
        <f t="shared" si="39"/>
        <v>186287</v>
      </c>
      <c r="N43" s="1">
        <f t="shared" si="39"/>
        <v>186287</v>
      </c>
      <c r="O43" s="1">
        <f t="shared" si="39"/>
        <v>186287</v>
      </c>
      <c r="P43" s="1">
        <f t="shared" si="39"/>
        <v>186287</v>
      </c>
      <c r="Q43" s="1">
        <f t="shared" si="39"/>
        <v>186287</v>
      </c>
      <c r="R43" s="1">
        <f t="shared" si="39"/>
        <v>186287</v>
      </c>
      <c r="S43" s="1">
        <f t="shared" si="39"/>
        <v>186287</v>
      </c>
      <c r="T43" s="1">
        <f t="shared" si="39"/>
        <v>186287</v>
      </c>
      <c r="U43" s="1">
        <f t="shared" si="39"/>
        <v>186287</v>
      </c>
      <c r="V43" s="1">
        <f t="shared" si="39"/>
        <v>186287</v>
      </c>
      <c r="W43" s="1">
        <f t="shared" si="39"/>
        <v>186287</v>
      </c>
      <c r="X43" s="1">
        <f t="shared" si="39"/>
        <v>186287</v>
      </c>
      <c r="Y43" s="1">
        <f t="shared" si="39"/>
        <v>186287</v>
      </c>
      <c r="Z43" s="1">
        <f t="shared" si="39"/>
        <v>186287</v>
      </c>
      <c r="AA43" s="1">
        <f t="shared" si="39"/>
        <v>186287</v>
      </c>
    </row>
    <row r="44" spans="1:27">
      <c r="A44" s="84" t="s">
        <v>162</v>
      </c>
      <c r="B44" s="85" t="s">
        <v>161</v>
      </c>
      <c r="C44" s="85" t="s">
        <v>99</v>
      </c>
      <c r="D44" s="84" t="e">
        <v>#N/A</v>
      </c>
      <c r="E44" s="84">
        <f>VLOOKUP(A44,'2a. SI Pop'!$A$5:$E$198,5,FALSE)</f>
        <v>1</v>
      </c>
      <c r="F44" s="89">
        <v>0</v>
      </c>
      <c r="G44" s="1">
        <f t="shared" ref="G44:AA44" si="40">F44</f>
        <v>0</v>
      </c>
      <c r="H44" s="1">
        <f t="shared" si="40"/>
        <v>0</v>
      </c>
      <c r="I44" s="1">
        <f t="shared" si="40"/>
        <v>0</v>
      </c>
      <c r="J44" s="1">
        <f t="shared" si="40"/>
        <v>0</v>
      </c>
      <c r="K44" s="1">
        <f t="shared" si="40"/>
        <v>0</v>
      </c>
      <c r="L44" s="1">
        <f t="shared" si="40"/>
        <v>0</v>
      </c>
      <c r="M44" s="1">
        <f t="shared" si="40"/>
        <v>0</v>
      </c>
      <c r="N44" s="1">
        <f t="shared" si="40"/>
        <v>0</v>
      </c>
      <c r="O44" s="1">
        <f t="shared" si="40"/>
        <v>0</v>
      </c>
      <c r="P44" s="1">
        <f t="shared" si="40"/>
        <v>0</v>
      </c>
      <c r="Q44" s="1">
        <f t="shared" si="40"/>
        <v>0</v>
      </c>
      <c r="R44" s="1">
        <f t="shared" si="40"/>
        <v>0</v>
      </c>
      <c r="S44" s="1">
        <f t="shared" si="40"/>
        <v>0</v>
      </c>
      <c r="T44" s="1">
        <f t="shared" si="40"/>
        <v>0</v>
      </c>
      <c r="U44" s="1">
        <f t="shared" si="40"/>
        <v>0</v>
      </c>
      <c r="V44" s="1">
        <f t="shared" si="40"/>
        <v>0</v>
      </c>
      <c r="W44" s="1">
        <f t="shared" si="40"/>
        <v>0</v>
      </c>
      <c r="X44" s="1">
        <f t="shared" si="40"/>
        <v>0</v>
      </c>
      <c r="Y44" s="1">
        <f t="shared" si="40"/>
        <v>0</v>
      </c>
      <c r="Z44" s="1">
        <f t="shared" si="40"/>
        <v>0</v>
      </c>
      <c r="AA44" s="1">
        <f t="shared" si="40"/>
        <v>0</v>
      </c>
    </row>
    <row r="45" spans="1:27">
      <c r="A45" s="84" t="s">
        <v>164</v>
      </c>
      <c r="B45" s="85" t="s">
        <v>163</v>
      </c>
      <c r="C45" s="85" t="s">
        <v>92</v>
      </c>
      <c r="D45" s="84" t="s">
        <v>80</v>
      </c>
      <c r="E45" s="84">
        <f>VLOOKUP(A45,'2a. SI Pop'!$A$5:$E$198,5,FALSE)</f>
        <v>2</v>
      </c>
      <c r="F45" s="89">
        <v>114485</v>
      </c>
      <c r="G45" s="1">
        <f t="shared" ref="G45:AA45" si="41">F45</f>
        <v>114485</v>
      </c>
      <c r="H45" s="1">
        <f t="shared" si="41"/>
        <v>114485</v>
      </c>
      <c r="I45" s="1">
        <f t="shared" si="41"/>
        <v>114485</v>
      </c>
      <c r="J45" s="1">
        <f t="shared" si="41"/>
        <v>114485</v>
      </c>
      <c r="K45" s="1">
        <f t="shared" si="41"/>
        <v>114485</v>
      </c>
      <c r="L45" s="1">
        <f t="shared" si="41"/>
        <v>114485</v>
      </c>
      <c r="M45" s="1">
        <f t="shared" si="41"/>
        <v>114485</v>
      </c>
      <c r="N45" s="1">
        <f t="shared" si="41"/>
        <v>114485</v>
      </c>
      <c r="O45" s="1">
        <f t="shared" si="41"/>
        <v>114485</v>
      </c>
      <c r="P45" s="1">
        <f t="shared" si="41"/>
        <v>114485</v>
      </c>
      <c r="Q45" s="1">
        <f t="shared" si="41"/>
        <v>114485</v>
      </c>
      <c r="R45" s="1">
        <f t="shared" si="41"/>
        <v>114485</v>
      </c>
      <c r="S45" s="1">
        <f t="shared" si="41"/>
        <v>114485</v>
      </c>
      <c r="T45" s="1">
        <f t="shared" si="41"/>
        <v>114485</v>
      </c>
      <c r="U45" s="1">
        <f t="shared" si="41"/>
        <v>114485</v>
      </c>
      <c r="V45" s="1">
        <f t="shared" si="41"/>
        <v>114485</v>
      </c>
      <c r="W45" s="1">
        <f t="shared" si="41"/>
        <v>114485</v>
      </c>
      <c r="X45" s="1">
        <f t="shared" si="41"/>
        <v>114485</v>
      </c>
      <c r="Y45" s="1">
        <f t="shared" si="41"/>
        <v>114485</v>
      </c>
      <c r="Z45" s="1">
        <f t="shared" si="41"/>
        <v>114485</v>
      </c>
      <c r="AA45" s="1">
        <f t="shared" si="41"/>
        <v>114485</v>
      </c>
    </row>
    <row r="46" spans="1:27">
      <c r="A46" s="84" t="s">
        <v>166</v>
      </c>
      <c r="B46" s="85" t="s">
        <v>165</v>
      </c>
      <c r="C46" s="85" t="s">
        <v>83</v>
      </c>
      <c r="D46" s="84" t="s">
        <v>84</v>
      </c>
      <c r="E46" s="84">
        <f>VLOOKUP(A46,'2a. SI Pop'!$A$5:$E$198,5,FALSE)</f>
        <v>3</v>
      </c>
      <c r="F46" s="89">
        <v>957633</v>
      </c>
      <c r="G46" s="1">
        <f t="shared" ref="G46:AA46" si="42">F46</f>
        <v>957633</v>
      </c>
      <c r="H46" s="1">
        <f t="shared" si="42"/>
        <v>957633</v>
      </c>
      <c r="I46" s="1">
        <f t="shared" si="42"/>
        <v>957633</v>
      </c>
      <c r="J46" s="1">
        <f t="shared" si="42"/>
        <v>957633</v>
      </c>
      <c r="K46" s="1">
        <f t="shared" si="42"/>
        <v>957633</v>
      </c>
      <c r="L46" s="1">
        <f t="shared" si="42"/>
        <v>957633</v>
      </c>
      <c r="M46" s="1">
        <f t="shared" si="42"/>
        <v>957633</v>
      </c>
      <c r="N46" s="1">
        <f t="shared" si="42"/>
        <v>957633</v>
      </c>
      <c r="O46" s="1">
        <f t="shared" si="42"/>
        <v>957633</v>
      </c>
      <c r="P46" s="1">
        <f t="shared" si="42"/>
        <v>957633</v>
      </c>
      <c r="Q46" s="1">
        <f t="shared" si="42"/>
        <v>957633</v>
      </c>
      <c r="R46" s="1">
        <f t="shared" si="42"/>
        <v>957633</v>
      </c>
      <c r="S46" s="1">
        <f t="shared" si="42"/>
        <v>957633</v>
      </c>
      <c r="T46" s="1">
        <f t="shared" si="42"/>
        <v>957633</v>
      </c>
      <c r="U46" s="1">
        <f t="shared" si="42"/>
        <v>957633</v>
      </c>
      <c r="V46" s="1">
        <f t="shared" si="42"/>
        <v>957633</v>
      </c>
      <c r="W46" s="1">
        <f t="shared" si="42"/>
        <v>957633</v>
      </c>
      <c r="X46" s="1">
        <f t="shared" si="42"/>
        <v>957633</v>
      </c>
      <c r="Y46" s="1">
        <f t="shared" si="42"/>
        <v>957633</v>
      </c>
      <c r="Z46" s="1">
        <f t="shared" si="42"/>
        <v>957633</v>
      </c>
      <c r="AA46" s="1">
        <f t="shared" si="42"/>
        <v>957633</v>
      </c>
    </row>
    <row r="47" spans="1:27">
      <c r="A47" s="84" t="s">
        <v>168</v>
      </c>
      <c r="B47" s="85" t="s">
        <v>167</v>
      </c>
      <c r="C47" s="85" t="s">
        <v>79</v>
      </c>
      <c r="D47" s="84" t="s">
        <v>87</v>
      </c>
      <c r="E47" s="84">
        <f>VLOOKUP(A47,'2a. SI Pop'!$A$5:$E$198,5,FALSE)</f>
        <v>1</v>
      </c>
      <c r="F47" s="89">
        <v>8279</v>
      </c>
      <c r="G47" s="1">
        <f t="shared" ref="G47:AA47" si="43">F47</f>
        <v>8279</v>
      </c>
      <c r="H47" s="1">
        <f t="shared" si="43"/>
        <v>8279</v>
      </c>
      <c r="I47" s="1">
        <f t="shared" si="43"/>
        <v>8279</v>
      </c>
      <c r="J47" s="1">
        <f t="shared" si="43"/>
        <v>8279</v>
      </c>
      <c r="K47" s="1">
        <f t="shared" si="43"/>
        <v>8279</v>
      </c>
      <c r="L47" s="1">
        <f t="shared" si="43"/>
        <v>8279</v>
      </c>
      <c r="M47" s="1">
        <f t="shared" si="43"/>
        <v>8279</v>
      </c>
      <c r="N47" s="1">
        <f t="shared" si="43"/>
        <v>8279</v>
      </c>
      <c r="O47" s="1">
        <f t="shared" si="43"/>
        <v>8279</v>
      </c>
      <c r="P47" s="1">
        <f t="shared" si="43"/>
        <v>8279</v>
      </c>
      <c r="Q47" s="1">
        <f t="shared" si="43"/>
        <v>8279</v>
      </c>
      <c r="R47" s="1">
        <f t="shared" si="43"/>
        <v>8279</v>
      </c>
      <c r="S47" s="1">
        <f t="shared" si="43"/>
        <v>8279</v>
      </c>
      <c r="T47" s="1">
        <f t="shared" si="43"/>
        <v>8279</v>
      </c>
      <c r="U47" s="1">
        <f t="shared" si="43"/>
        <v>8279</v>
      </c>
      <c r="V47" s="1">
        <f t="shared" si="43"/>
        <v>8279</v>
      </c>
      <c r="W47" s="1">
        <f t="shared" si="43"/>
        <v>8279</v>
      </c>
      <c r="X47" s="1">
        <f t="shared" si="43"/>
        <v>8279</v>
      </c>
      <c r="Y47" s="1">
        <f t="shared" si="43"/>
        <v>8279</v>
      </c>
      <c r="Z47" s="1">
        <f t="shared" si="43"/>
        <v>8279</v>
      </c>
      <c r="AA47" s="1">
        <f t="shared" si="43"/>
        <v>8279</v>
      </c>
    </row>
    <row r="48" spans="1:27">
      <c r="A48" s="84" t="s">
        <v>170</v>
      </c>
      <c r="B48" s="85" t="s">
        <v>169</v>
      </c>
      <c r="C48" s="85" t="s">
        <v>92</v>
      </c>
      <c r="D48" s="84" t="s">
        <v>80</v>
      </c>
      <c r="E48" s="84">
        <f>VLOOKUP(A48,'2a. SI Pop'!$A$5:$E$198,5,FALSE)</f>
        <v>1</v>
      </c>
      <c r="F48" s="89">
        <v>264</v>
      </c>
      <c r="G48" s="1">
        <f t="shared" ref="G48:AA48" si="44">F48</f>
        <v>264</v>
      </c>
      <c r="H48" s="1">
        <f t="shared" si="44"/>
        <v>264</v>
      </c>
      <c r="I48" s="1">
        <f t="shared" si="44"/>
        <v>264</v>
      </c>
      <c r="J48" s="1">
        <f t="shared" si="44"/>
        <v>264</v>
      </c>
      <c r="K48" s="1">
        <f t="shared" si="44"/>
        <v>264</v>
      </c>
      <c r="L48" s="1">
        <f t="shared" si="44"/>
        <v>264</v>
      </c>
      <c r="M48" s="1">
        <f t="shared" si="44"/>
        <v>264</v>
      </c>
      <c r="N48" s="1">
        <f t="shared" si="44"/>
        <v>264</v>
      </c>
      <c r="O48" s="1">
        <f t="shared" si="44"/>
        <v>264</v>
      </c>
      <c r="P48" s="1">
        <f t="shared" si="44"/>
        <v>264</v>
      </c>
      <c r="Q48" s="1">
        <f t="shared" si="44"/>
        <v>264</v>
      </c>
      <c r="R48" s="1">
        <f t="shared" si="44"/>
        <v>264</v>
      </c>
      <c r="S48" s="1">
        <f t="shared" si="44"/>
        <v>264</v>
      </c>
      <c r="T48" s="1">
        <f t="shared" si="44"/>
        <v>264</v>
      </c>
      <c r="U48" s="1">
        <f t="shared" si="44"/>
        <v>264</v>
      </c>
      <c r="V48" s="1">
        <f t="shared" si="44"/>
        <v>264</v>
      </c>
      <c r="W48" s="1">
        <f t="shared" si="44"/>
        <v>264</v>
      </c>
      <c r="X48" s="1">
        <f t="shared" si="44"/>
        <v>264</v>
      </c>
      <c r="Y48" s="1">
        <f t="shared" si="44"/>
        <v>264</v>
      </c>
      <c r="Z48" s="1">
        <f t="shared" si="44"/>
        <v>264</v>
      </c>
      <c r="AA48" s="1">
        <f t="shared" si="44"/>
        <v>264</v>
      </c>
    </row>
    <row r="49" spans="1:27">
      <c r="A49" s="84" t="s">
        <v>172</v>
      </c>
      <c r="B49" s="85" t="s">
        <v>171</v>
      </c>
      <c r="C49" s="85" t="s">
        <v>79</v>
      </c>
      <c r="D49" s="84" t="s">
        <v>87</v>
      </c>
      <c r="E49" s="84">
        <f>VLOOKUP(A49,'2a. SI Pop'!$A$5:$E$198,5,FALSE)</f>
        <v>1</v>
      </c>
      <c r="F49" s="89">
        <v>35117</v>
      </c>
      <c r="G49" s="1">
        <f t="shared" ref="G49:AA49" si="45">F49</f>
        <v>35117</v>
      </c>
      <c r="H49" s="1">
        <f t="shared" si="45"/>
        <v>35117</v>
      </c>
      <c r="I49" s="1">
        <f t="shared" si="45"/>
        <v>35117</v>
      </c>
      <c r="J49" s="1">
        <f t="shared" si="45"/>
        <v>35117</v>
      </c>
      <c r="K49" s="1">
        <f t="shared" si="45"/>
        <v>35117</v>
      </c>
      <c r="L49" s="1">
        <f t="shared" si="45"/>
        <v>35117</v>
      </c>
      <c r="M49" s="1">
        <f t="shared" si="45"/>
        <v>35117</v>
      </c>
      <c r="N49" s="1">
        <f t="shared" si="45"/>
        <v>35117</v>
      </c>
      <c r="O49" s="1">
        <f t="shared" si="45"/>
        <v>35117</v>
      </c>
      <c r="P49" s="1">
        <f t="shared" si="45"/>
        <v>35117</v>
      </c>
      <c r="Q49" s="1">
        <f t="shared" si="45"/>
        <v>35117</v>
      </c>
      <c r="R49" s="1">
        <f t="shared" si="45"/>
        <v>35117</v>
      </c>
      <c r="S49" s="1">
        <f t="shared" si="45"/>
        <v>35117</v>
      </c>
      <c r="T49" s="1">
        <f t="shared" si="45"/>
        <v>35117</v>
      </c>
      <c r="U49" s="1">
        <f t="shared" si="45"/>
        <v>35117</v>
      </c>
      <c r="V49" s="1">
        <f t="shared" si="45"/>
        <v>35117</v>
      </c>
      <c r="W49" s="1">
        <f t="shared" si="45"/>
        <v>35117</v>
      </c>
      <c r="X49" s="1">
        <f t="shared" si="45"/>
        <v>35117</v>
      </c>
      <c r="Y49" s="1">
        <f t="shared" si="45"/>
        <v>35117</v>
      </c>
      <c r="Z49" s="1">
        <f t="shared" si="45"/>
        <v>35117</v>
      </c>
      <c r="AA49" s="1">
        <f t="shared" si="45"/>
        <v>35117</v>
      </c>
    </row>
    <row r="50" spans="1:27">
      <c r="A50" s="84" t="s">
        <v>174</v>
      </c>
      <c r="B50" s="85" t="s">
        <v>173</v>
      </c>
      <c r="C50" s="85" t="s">
        <v>79</v>
      </c>
      <c r="D50" s="84" t="s">
        <v>87</v>
      </c>
      <c r="E50" s="84">
        <f>VLOOKUP(A50,'2a. SI Pop'!$A$5:$E$198,5,FALSE)</f>
        <v>1</v>
      </c>
      <c r="F50" s="89">
        <v>5492</v>
      </c>
      <c r="G50" s="1">
        <f t="shared" ref="G50:AA50" si="46">F50</f>
        <v>5492</v>
      </c>
      <c r="H50" s="1">
        <f t="shared" si="46"/>
        <v>5492</v>
      </c>
      <c r="I50" s="1">
        <f t="shared" si="46"/>
        <v>5492</v>
      </c>
      <c r="J50" s="1">
        <f t="shared" si="46"/>
        <v>5492</v>
      </c>
      <c r="K50" s="1">
        <f t="shared" si="46"/>
        <v>5492</v>
      </c>
      <c r="L50" s="1">
        <f t="shared" si="46"/>
        <v>5492</v>
      </c>
      <c r="M50" s="1">
        <f t="shared" si="46"/>
        <v>5492</v>
      </c>
      <c r="N50" s="1">
        <f t="shared" si="46"/>
        <v>5492</v>
      </c>
      <c r="O50" s="1">
        <f t="shared" si="46"/>
        <v>5492</v>
      </c>
      <c r="P50" s="1">
        <f t="shared" si="46"/>
        <v>5492</v>
      </c>
      <c r="Q50" s="1">
        <f t="shared" si="46"/>
        <v>5492</v>
      </c>
      <c r="R50" s="1">
        <f t="shared" si="46"/>
        <v>5492</v>
      </c>
      <c r="S50" s="1">
        <f t="shared" si="46"/>
        <v>5492</v>
      </c>
      <c r="T50" s="1">
        <f t="shared" si="46"/>
        <v>5492</v>
      </c>
      <c r="U50" s="1">
        <f t="shared" si="46"/>
        <v>5492</v>
      </c>
      <c r="V50" s="1">
        <f t="shared" si="46"/>
        <v>5492</v>
      </c>
      <c r="W50" s="1">
        <f t="shared" si="46"/>
        <v>5492</v>
      </c>
      <c r="X50" s="1">
        <f t="shared" si="46"/>
        <v>5492</v>
      </c>
      <c r="Y50" s="1">
        <f t="shared" si="46"/>
        <v>5492</v>
      </c>
      <c r="Z50" s="1">
        <f t="shared" si="46"/>
        <v>5492</v>
      </c>
      <c r="AA50" s="1">
        <f t="shared" si="46"/>
        <v>5492</v>
      </c>
    </row>
    <row r="51" spans="1:27">
      <c r="A51" s="84" t="s">
        <v>176</v>
      </c>
      <c r="B51" s="85" t="s">
        <v>175</v>
      </c>
      <c r="C51" s="85" t="s">
        <v>110</v>
      </c>
      <c r="D51" s="84" t="s">
        <v>75</v>
      </c>
      <c r="E51" s="84">
        <f>VLOOKUP(A51,'2a. SI Pop'!$A$5:$E$198,5,FALSE)</f>
        <v>4</v>
      </c>
      <c r="F51" s="89">
        <v>0</v>
      </c>
      <c r="G51" s="1">
        <f t="shared" ref="G51:AA51" si="47">F51</f>
        <v>0</v>
      </c>
      <c r="H51" s="1">
        <f t="shared" si="47"/>
        <v>0</v>
      </c>
      <c r="I51" s="1">
        <f t="shared" si="47"/>
        <v>0</v>
      </c>
      <c r="J51" s="1">
        <f t="shared" si="47"/>
        <v>0</v>
      </c>
      <c r="K51" s="1">
        <f t="shared" si="47"/>
        <v>0</v>
      </c>
      <c r="L51" s="1">
        <f t="shared" si="47"/>
        <v>0</v>
      </c>
      <c r="M51" s="1">
        <f t="shared" si="47"/>
        <v>0</v>
      </c>
      <c r="N51" s="1">
        <f t="shared" si="47"/>
        <v>0</v>
      </c>
      <c r="O51" s="1">
        <f t="shared" si="47"/>
        <v>0</v>
      </c>
      <c r="P51" s="1">
        <f t="shared" si="47"/>
        <v>0</v>
      </c>
      <c r="Q51" s="1">
        <f t="shared" si="47"/>
        <v>0</v>
      </c>
      <c r="R51" s="1">
        <f t="shared" si="47"/>
        <v>0</v>
      </c>
      <c r="S51" s="1">
        <f t="shared" si="47"/>
        <v>0</v>
      </c>
      <c r="T51" s="1">
        <f t="shared" si="47"/>
        <v>0</v>
      </c>
      <c r="U51" s="1">
        <f t="shared" si="47"/>
        <v>0</v>
      </c>
      <c r="V51" s="1">
        <f t="shared" si="47"/>
        <v>0</v>
      </c>
      <c r="W51" s="1">
        <f t="shared" si="47"/>
        <v>0</v>
      </c>
      <c r="X51" s="1">
        <f t="shared" si="47"/>
        <v>0</v>
      </c>
      <c r="Y51" s="1">
        <f t="shared" si="47"/>
        <v>0</v>
      </c>
      <c r="Z51" s="1">
        <f t="shared" si="47"/>
        <v>0</v>
      </c>
      <c r="AA51" s="1">
        <f t="shared" si="47"/>
        <v>0</v>
      </c>
    </row>
    <row r="52" spans="1:27">
      <c r="A52" s="84" t="s">
        <v>178</v>
      </c>
      <c r="B52" s="85" t="s">
        <v>177</v>
      </c>
      <c r="C52" s="85" t="s">
        <v>83</v>
      </c>
      <c r="D52" s="84" t="s">
        <v>75</v>
      </c>
      <c r="E52" s="84" t="str">
        <f>VLOOKUP(A52,'2a. SI Pop'!$A$5:$E$198,5,FALSE)</f>
        <v>Key</v>
      </c>
      <c r="F52" s="89">
        <v>5541178</v>
      </c>
      <c r="G52" s="1">
        <f t="shared" ref="G52:AA52" si="48">F52</f>
        <v>5541178</v>
      </c>
      <c r="H52" s="1">
        <f t="shared" si="48"/>
        <v>5541178</v>
      </c>
      <c r="I52" s="1">
        <f t="shared" si="48"/>
        <v>5541178</v>
      </c>
      <c r="J52" s="1">
        <f t="shared" si="48"/>
        <v>5541178</v>
      </c>
      <c r="K52" s="1">
        <f t="shared" si="48"/>
        <v>5541178</v>
      </c>
      <c r="L52" s="1">
        <f t="shared" si="48"/>
        <v>5541178</v>
      </c>
      <c r="M52" s="1">
        <f t="shared" si="48"/>
        <v>5541178</v>
      </c>
      <c r="N52" s="1">
        <f t="shared" si="48"/>
        <v>5541178</v>
      </c>
      <c r="O52" s="1">
        <f t="shared" si="48"/>
        <v>5541178</v>
      </c>
      <c r="P52" s="1">
        <f t="shared" si="48"/>
        <v>5541178</v>
      </c>
      <c r="Q52" s="1">
        <f t="shared" si="48"/>
        <v>5541178</v>
      </c>
      <c r="R52" s="1">
        <f t="shared" si="48"/>
        <v>5541178</v>
      </c>
      <c r="S52" s="1">
        <f t="shared" si="48"/>
        <v>5541178</v>
      </c>
      <c r="T52" s="1">
        <f t="shared" si="48"/>
        <v>5541178</v>
      </c>
      <c r="U52" s="1">
        <f t="shared" si="48"/>
        <v>5541178</v>
      </c>
      <c r="V52" s="1">
        <f t="shared" si="48"/>
        <v>5541178</v>
      </c>
      <c r="W52" s="1">
        <f t="shared" si="48"/>
        <v>5541178</v>
      </c>
      <c r="X52" s="1">
        <f t="shared" si="48"/>
        <v>5541178</v>
      </c>
      <c r="Y52" s="1">
        <f t="shared" si="48"/>
        <v>5541178</v>
      </c>
      <c r="Z52" s="1">
        <f t="shared" si="48"/>
        <v>5541178</v>
      </c>
      <c r="AA52" s="1">
        <f t="shared" si="48"/>
        <v>5541178</v>
      </c>
    </row>
    <row r="53" spans="1:27">
      <c r="A53" s="84" t="s">
        <v>180</v>
      </c>
      <c r="B53" s="85" t="s">
        <v>179</v>
      </c>
      <c r="C53" s="85" t="s">
        <v>79</v>
      </c>
      <c r="D53" s="84" t="s">
        <v>87</v>
      </c>
      <c r="E53" s="84">
        <f>VLOOKUP(A53,'2a. SI Pop'!$A$5:$E$198,5,FALSE)</f>
        <v>1</v>
      </c>
      <c r="F53" s="89">
        <v>47621</v>
      </c>
      <c r="G53" s="1">
        <f t="shared" ref="G53:AA53" si="49">F53</f>
        <v>47621</v>
      </c>
      <c r="H53" s="1">
        <f t="shared" si="49"/>
        <v>47621</v>
      </c>
      <c r="I53" s="1">
        <f t="shared" si="49"/>
        <v>47621</v>
      </c>
      <c r="J53" s="1">
        <f t="shared" si="49"/>
        <v>47621</v>
      </c>
      <c r="K53" s="1">
        <f t="shared" si="49"/>
        <v>47621</v>
      </c>
      <c r="L53" s="1">
        <f t="shared" si="49"/>
        <v>47621</v>
      </c>
      <c r="M53" s="1">
        <f t="shared" si="49"/>
        <v>47621</v>
      </c>
      <c r="N53" s="1">
        <f t="shared" si="49"/>
        <v>47621</v>
      </c>
      <c r="O53" s="1">
        <f t="shared" si="49"/>
        <v>47621</v>
      </c>
      <c r="P53" s="1">
        <f t="shared" si="49"/>
        <v>47621</v>
      </c>
      <c r="Q53" s="1">
        <f t="shared" si="49"/>
        <v>47621</v>
      </c>
      <c r="R53" s="1">
        <f t="shared" si="49"/>
        <v>47621</v>
      </c>
      <c r="S53" s="1">
        <f t="shared" si="49"/>
        <v>47621</v>
      </c>
      <c r="T53" s="1">
        <f t="shared" si="49"/>
        <v>47621</v>
      </c>
      <c r="U53" s="1">
        <f t="shared" si="49"/>
        <v>47621</v>
      </c>
      <c r="V53" s="1">
        <f t="shared" si="49"/>
        <v>47621</v>
      </c>
      <c r="W53" s="1">
        <f t="shared" si="49"/>
        <v>47621</v>
      </c>
      <c r="X53" s="1">
        <f t="shared" si="49"/>
        <v>47621</v>
      </c>
      <c r="Y53" s="1">
        <f t="shared" si="49"/>
        <v>47621</v>
      </c>
      <c r="Z53" s="1">
        <f t="shared" si="49"/>
        <v>47621</v>
      </c>
      <c r="AA53" s="1">
        <f t="shared" si="49"/>
        <v>47621</v>
      </c>
    </row>
    <row r="54" spans="1:27">
      <c r="A54" s="84" t="s">
        <v>182</v>
      </c>
      <c r="B54" s="85" t="s">
        <v>181</v>
      </c>
      <c r="C54" s="85" t="s">
        <v>74</v>
      </c>
      <c r="D54" s="84" t="s">
        <v>84</v>
      </c>
      <c r="E54" s="84">
        <f>VLOOKUP(A54,'2a. SI Pop'!$A$5:$E$198,5,FALSE)</f>
        <v>3</v>
      </c>
      <c r="F54" s="89">
        <v>30792</v>
      </c>
      <c r="G54" s="1">
        <f t="shared" ref="G54:AA54" si="50">F54</f>
        <v>30792</v>
      </c>
      <c r="H54" s="1">
        <f t="shared" si="50"/>
        <v>30792</v>
      </c>
      <c r="I54" s="1">
        <f t="shared" si="50"/>
        <v>30792</v>
      </c>
      <c r="J54" s="1">
        <f t="shared" si="50"/>
        <v>30792</v>
      </c>
      <c r="K54" s="1">
        <f t="shared" si="50"/>
        <v>30792</v>
      </c>
      <c r="L54" s="1">
        <f t="shared" si="50"/>
        <v>30792</v>
      </c>
      <c r="M54" s="1">
        <f t="shared" si="50"/>
        <v>30792</v>
      </c>
      <c r="N54" s="1">
        <f t="shared" si="50"/>
        <v>30792</v>
      </c>
      <c r="O54" s="1">
        <f t="shared" si="50"/>
        <v>30792</v>
      </c>
      <c r="P54" s="1">
        <f t="shared" si="50"/>
        <v>30792</v>
      </c>
      <c r="Q54" s="1">
        <f t="shared" si="50"/>
        <v>30792</v>
      </c>
      <c r="R54" s="1">
        <f t="shared" si="50"/>
        <v>30792</v>
      </c>
      <c r="S54" s="1">
        <f t="shared" si="50"/>
        <v>30792</v>
      </c>
      <c r="T54" s="1">
        <f t="shared" si="50"/>
        <v>30792</v>
      </c>
      <c r="U54" s="1">
        <f t="shared" si="50"/>
        <v>30792</v>
      </c>
      <c r="V54" s="1">
        <f t="shared" si="50"/>
        <v>30792</v>
      </c>
      <c r="W54" s="1">
        <f t="shared" si="50"/>
        <v>30792</v>
      </c>
      <c r="X54" s="1">
        <f t="shared" si="50"/>
        <v>30792</v>
      </c>
      <c r="Y54" s="1">
        <f t="shared" si="50"/>
        <v>30792</v>
      </c>
      <c r="Z54" s="1">
        <f t="shared" si="50"/>
        <v>30792</v>
      </c>
      <c r="AA54" s="1">
        <f t="shared" si="50"/>
        <v>30792</v>
      </c>
    </row>
    <row r="55" spans="1:27">
      <c r="A55" s="84" t="s">
        <v>184</v>
      </c>
      <c r="B55" s="85" t="s">
        <v>183</v>
      </c>
      <c r="C55" s="85" t="s">
        <v>92</v>
      </c>
      <c r="D55" s="84" t="s">
        <v>80</v>
      </c>
      <c r="E55" s="84">
        <f>VLOOKUP(A55,'2a. SI Pop'!$A$5:$E$198,5,FALSE)</f>
        <v>2</v>
      </c>
      <c r="F55" s="89">
        <v>34542</v>
      </c>
      <c r="G55" s="1">
        <f t="shared" ref="G55:AA55" si="51">F55</f>
        <v>34542</v>
      </c>
      <c r="H55" s="1">
        <f t="shared" si="51"/>
        <v>34542</v>
      </c>
      <c r="I55" s="1">
        <f t="shared" si="51"/>
        <v>34542</v>
      </c>
      <c r="J55" s="1">
        <f t="shared" si="51"/>
        <v>34542</v>
      </c>
      <c r="K55" s="1">
        <f t="shared" si="51"/>
        <v>34542</v>
      </c>
      <c r="L55" s="1">
        <f t="shared" si="51"/>
        <v>34542</v>
      </c>
      <c r="M55" s="1">
        <f t="shared" si="51"/>
        <v>34542</v>
      </c>
      <c r="N55" s="1">
        <f t="shared" si="51"/>
        <v>34542</v>
      </c>
      <c r="O55" s="1">
        <f t="shared" si="51"/>
        <v>34542</v>
      </c>
      <c r="P55" s="1">
        <f t="shared" si="51"/>
        <v>34542</v>
      </c>
      <c r="Q55" s="1">
        <f t="shared" si="51"/>
        <v>34542</v>
      </c>
      <c r="R55" s="1">
        <f t="shared" si="51"/>
        <v>34542</v>
      </c>
      <c r="S55" s="1">
        <f t="shared" si="51"/>
        <v>34542</v>
      </c>
      <c r="T55" s="1">
        <f t="shared" si="51"/>
        <v>34542</v>
      </c>
      <c r="U55" s="1">
        <f t="shared" si="51"/>
        <v>34542</v>
      </c>
      <c r="V55" s="1">
        <f t="shared" si="51"/>
        <v>34542</v>
      </c>
      <c r="W55" s="1">
        <f t="shared" si="51"/>
        <v>34542</v>
      </c>
      <c r="X55" s="1">
        <f t="shared" si="51"/>
        <v>34542</v>
      </c>
      <c r="Y55" s="1">
        <f t="shared" si="51"/>
        <v>34542</v>
      </c>
      <c r="Z55" s="1">
        <f t="shared" si="51"/>
        <v>34542</v>
      </c>
      <c r="AA55" s="1">
        <f t="shared" si="51"/>
        <v>34542</v>
      </c>
    </row>
    <row r="56" spans="1:27">
      <c r="A56" s="84" t="s">
        <v>184</v>
      </c>
      <c r="B56" s="85" t="s">
        <v>185</v>
      </c>
      <c r="C56" s="85" t="s">
        <v>92</v>
      </c>
      <c r="D56" s="84" t="s">
        <v>80</v>
      </c>
      <c r="E56" s="84">
        <f>VLOOKUP(A56,'2a. SI Pop'!$A$5:$E$198,5,FALSE)</f>
        <v>2</v>
      </c>
      <c r="F56" s="89">
        <v>34542</v>
      </c>
      <c r="G56" s="1">
        <f t="shared" ref="G56:AA56" si="52">F56</f>
        <v>34542</v>
      </c>
      <c r="H56" s="1">
        <f t="shared" si="52"/>
        <v>34542</v>
      </c>
      <c r="I56" s="1">
        <f t="shared" si="52"/>
        <v>34542</v>
      </c>
      <c r="J56" s="1">
        <f t="shared" si="52"/>
        <v>34542</v>
      </c>
      <c r="K56" s="1">
        <f t="shared" si="52"/>
        <v>34542</v>
      </c>
      <c r="L56" s="1">
        <f t="shared" si="52"/>
        <v>34542</v>
      </c>
      <c r="M56" s="1">
        <f t="shared" si="52"/>
        <v>34542</v>
      </c>
      <c r="N56" s="1">
        <f t="shared" si="52"/>
        <v>34542</v>
      </c>
      <c r="O56" s="1">
        <f t="shared" si="52"/>
        <v>34542</v>
      </c>
      <c r="P56" s="1">
        <f t="shared" si="52"/>
        <v>34542</v>
      </c>
      <c r="Q56" s="1">
        <f t="shared" si="52"/>
        <v>34542</v>
      </c>
      <c r="R56" s="1">
        <f t="shared" si="52"/>
        <v>34542</v>
      </c>
      <c r="S56" s="1">
        <f t="shared" si="52"/>
        <v>34542</v>
      </c>
      <c r="T56" s="1">
        <f t="shared" si="52"/>
        <v>34542</v>
      </c>
      <c r="U56" s="1">
        <f t="shared" si="52"/>
        <v>34542</v>
      </c>
      <c r="V56" s="1">
        <f t="shared" si="52"/>
        <v>34542</v>
      </c>
      <c r="W56" s="1">
        <f t="shared" si="52"/>
        <v>34542</v>
      </c>
      <c r="X56" s="1">
        <f t="shared" si="52"/>
        <v>34542</v>
      </c>
      <c r="Y56" s="1">
        <f t="shared" si="52"/>
        <v>34542</v>
      </c>
      <c r="Z56" s="1">
        <f t="shared" si="52"/>
        <v>34542</v>
      </c>
      <c r="AA56" s="1">
        <f t="shared" si="52"/>
        <v>34542</v>
      </c>
    </row>
    <row r="57" spans="1:27">
      <c r="A57" s="84" t="s">
        <v>187</v>
      </c>
      <c r="B57" s="85" t="s">
        <v>186</v>
      </c>
      <c r="C57" s="85" t="s">
        <v>92</v>
      </c>
      <c r="D57" s="84" t="s">
        <v>80</v>
      </c>
      <c r="E57" s="84">
        <f>VLOOKUP(A57,'2a. SI Pop'!$A$5:$E$198,5,FALSE)</f>
        <v>2</v>
      </c>
      <c r="F57" s="89">
        <v>503609</v>
      </c>
      <c r="G57" s="1">
        <f t="shared" ref="G57:AA57" si="53">F57</f>
        <v>503609</v>
      </c>
      <c r="H57" s="1">
        <f t="shared" si="53"/>
        <v>503609</v>
      </c>
      <c r="I57" s="1">
        <f t="shared" si="53"/>
        <v>503609</v>
      </c>
      <c r="J57" s="1">
        <f t="shared" si="53"/>
        <v>503609</v>
      </c>
      <c r="K57" s="1">
        <f t="shared" si="53"/>
        <v>503609</v>
      </c>
      <c r="L57" s="1">
        <f t="shared" si="53"/>
        <v>503609</v>
      </c>
      <c r="M57" s="1">
        <f t="shared" si="53"/>
        <v>503609</v>
      </c>
      <c r="N57" s="1">
        <f t="shared" si="53"/>
        <v>503609</v>
      </c>
      <c r="O57" s="1">
        <f t="shared" si="53"/>
        <v>503609</v>
      </c>
      <c r="P57" s="1">
        <f t="shared" si="53"/>
        <v>503609</v>
      </c>
      <c r="Q57" s="1">
        <f t="shared" si="53"/>
        <v>503609</v>
      </c>
      <c r="R57" s="1">
        <f t="shared" si="53"/>
        <v>503609</v>
      </c>
      <c r="S57" s="1">
        <f t="shared" si="53"/>
        <v>503609</v>
      </c>
      <c r="T57" s="1">
        <f t="shared" si="53"/>
        <v>503609</v>
      </c>
      <c r="U57" s="1">
        <f t="shared" si="53"/>
        <v>503609</v>
      </c>
      <c r="V57" s="1">
        <f t="shared" si="53"/>
        <v>503609</v>
      </c>
      <c r="W57" s="1">
        <f t="shared" si="53"/>
        <v>503609</v>
      </c>
      <c r="X57" s="1">
        <f t="shared" si="53"/>
        <v>503609</v>
      </c>
      <c r="Y57" s="1">
        <f t="shared" si="53"/>
        <v>503609</v>
      </c>
      <c r="Z57" s="1">
        <f t="shared" si="53"/>
        <v>503609</v>
      </c>
      <c r="AA57" s="1">
        <f t="shared" si="53"/>
        <v>503609</v>
      </c>
    </row>
    <row r="58" spans="1:27">
      <c r="A58" s="84" t="s">
        <v>189</v>
      </c>
      <c r="B58" s="85" t="s">
        <v>188</v>
      </c>
      <c r="C58" s="85" t="s">
        <v>74</v>
      </c>
      <c r="D58" s="84" t="s">
        <v>84</v>
      </c>
      <c r="E58" s="84">
        <f>VLOOKUP(A58,'2a. SI Pop'!$A$5:$E$198,5,FALSE)</f>
        <v>2</v>
      </c>
      <c r="F58" s="89">
        <v>324712</v>
      </c>
      <c r="G58" s="1">
        <f t="shared" ref="G58:AA58" si="54">F58</f>
        <v>324712</v>
      </c>
      <c r="H58" s="1">
        <f t="shared" si="54"/>
        <v>324712</v>
      </c>
      <c r="I58" s="1">
        <f t="shared" si="54"/>
        <v>324712</v>
      </c>
      <c r="J58" s="1">
        <f t="shared" si="54"/>
        <v>324712</v>
      </c>
      <c r="K58" s="1">
        <f t="shared" si="54"/>
        <v>324712</v>
      </c>
      <c r="L58" s="1">
        <f t="shared" si="54"/>
        <v>324712</v>
      </c>
      <c r="M58" s="1">
        <f t="shared" si="54"/>
        <v>324712</v>
      </c>
      <c r="N58" s="1">
        <f t="shared" si="54"/>
        <v>324712</v>
      </c>
      <c r="O58" s="1">
        <f t="shared" si="54"/>
        <v>324712</v>
      </c>
      <c r="P58" s="1">
        <f t="shared" si="54"/>
        <v>324712</v>
      </c>
      <c r="Q58" s="1">
        <f t="shared" si="54"/>
        <v>324712</v>
      </c>
      <c r="R58" s="1">
        <f t="shared" si="54"/>
        <v>324712</v>
      </c>
      <c r="S58" s="1">
        <f t="shared" si="54"/>
        <v>324712</v>
      </c>
      <c r="T58" s="1">
        <f t="shared" si="54"/>
        <v>324712</v>
      </c>
      <c r="U58" s="1">
        <f t="shared" si="54"/>
        <v>324712</v>
      </c>
      <c r="V58" s="1">
        <f t="shared" si="54"/>
        <v>324712</v>
      </c>
      <c r="W58" s="1">
        <f t="shared" si="54"/>
        <v>324712</v>
      </c>
      <c r="X58" s="1">
        <f t="shared" si="54"/>
        <v>324712</v>
      </c>
      <c r="Y58" s="1">
        <f t="shared" si="54"/>
        <v>324712</v>
      </c>
      <c r="Z58" s="1">
        <f t="shared" si="54"/>
        <v>324712</v>
      </c>
      <c r="AA58" s="1">
        <f t="shared" si="54"/>
        <v>324712</v>
      </c>
    </row>
    <row r="59" spans="1:27">
      <c r="A59" s="84" t="s">
        <v>191</v>
      </c>
      <c r="B59" s="85" t="s">
        <v>190</v>
      </c>
      <c r="C59" s="85" t="s">
        <v>92</v>
      </c>
      <c r="D59" s="84" t="s">
        <v>84</v>
      </c>
      <c r="E59" s="84">
        <f>VLOOKUP(A59,'2a. SI Pop'!$A$5:$E$198,5,FALSE)</f>
        <v>1</v>
      </c>
      <c r="F59" s="89">
        <v>78378</v>
      </c>
      <c r="G59" s="1">
        <f t="shared" ref="G59:AA59" si="55">F59</f>
        <v>78378</v>
      </c>
      <c r="H59" s="1">
        <f t="shared" si="55"/>
        <v>78378</v>
      </c>
      <c r="I59" s="1">
        <f t="shared" si="55"/>
        <v>78378</v>
      </c>
      <c r="J59" s="1">
        <f t="shared" si="55"/>
        <v>78378</v>
      </c>
      <c r="K59" s="1">
        <f t="shared" si="55"/>
        <v>78378</v>
      </c>
      <c r="L59" s="1">
        <f t="shared" si="55"/>
        <v>78378</v>
      </c>
      <c r="M59" s="1">
        <f t="shared" si="55"/>
        <v>78378</v>
      </c>
      <c r="N59" s="1">
        <f t="shared" si="55"/>
        <v>78378</v>
      </c>
      <c r="O59" s="1">
        <f t="shared" si="55"/>
        <v>78378</v>
      </c>
      <c r="P59" s="1">
        <f t="shared" si="55"/>
        <v>78378</v>
      </c>
      <c r="Q59" s="1">
        <f t="shared" si="55"/>
        <v>78378</v>
      </c>
      <c r="R59" s="1">
        <f t="shared" si="55"/>
        <v>78378</v>
      </c>
      <c r="S59" s="1">
        <f t="shared" si="55"/>
        <v>78378</v>
      </c>
      <c r="T59" s="1">
        <f t="shared" si="55"/>
        <v>78378</v>
      </c>
      <c r="U59" s="1">
        <f t="shared" si="55"/>
        <v>78378</v>
      </c>
      <c r="V59" s="1">
        <f t="shared" si="55"/>
        <v>78378</v>
      </c>
      <c r="W59" s="1">
        <f t="shared" si="55"/>
        <v>78378</v>
      </c>
      <c r="X59" s="1">
        <f t="shared" si="55"/>
        <v>78378</v>
      </c>
      <c r="Y59" s="1">
        <f t="shared" si="55"/>
        <v>78378</v>
      </c>
      <c r="Z59" s="1">
        <f t="shared" si="55"/>
        <v>78378</v>
      </c>
      <c r="AA59" s="1">
        <f t="shared" si="55"/>
        <v>78378</v>
      </c>
    </row>
    <row r="60" spans="1:27">
      <c r="A60" s="84" t="s">
        <v>193</v>
      </c>
      <c r="B60" s="85" t="s">
        <v>192</v>
      </c>
      <c r="C60" s="85" t="s">
        <v>83</v>
      </c>
      <c r="D60" s="84" t="s">
        <v>80</v>
      </c>
      <c r="E60" s="84">
        <f>VLOOKUP(A60,'2a. SI Pop'!$A$5:$E$198,5,FALSE)</f>
        <v>3</v>
      </c>
      <c r="F60" s="89">
        <v>0</v>
      </c>
      <c r="G60" s="1">
        <f t="shared" ref="G60:AA60" si="56">F60</f>
        <v>0</v>
      </c>
      <c r="H60" s="1">
        <f t="shared" si="56"/>
        <v>0</v>
      </c>
      <c r="I60" s="1">
        <f t="shared" si="56"/>
        <v>0</v>
      </c>
      <c r="J60" s="1">
        <f t="shared" si="56"/>
        <v>0</v>
      </c>
      <c r="K60" s="1">
        <f t="shared" si="56"/>
        <v>0</v>
      </c>
      <c r="L60" s="1">
        <f t="shared" si="56"/>
        <v>0</v>
      </c>
      <c r="M60" s="1">
        <f t="shared" si="56"/>
        <v>0</v>
      </c>
      <c r="N60" s="1">
        <f t="shared" si="56"/>
        <v>0</v>
      </c>
      <c r="O60" s="1">
        <f t="shared" si="56"/>
        <v>0</v>
      </c>
      <c r="P60" s="1">
        <f t="shared" si="56"/>
        <v>0</v>
      </c>
      <c r="Q60" s="1">
        <f t="shared" si="56"/>
        <v>0</v>
      </c>
      <c r="R60" s="1">
        <f t="shared" si="56"/>
        <v>0</v>
      </c>
      <c r="S60" s="1">
        <f t="shared" si="56"/>
        <v>0</v>
      </c>
      <c r="T60" s="1">
        <f t="shared" si="56"/>
        <v>0</v>
      </c>
      <c r="U60" s="1">
        <f t="shared" si="56"/>
        <v>0</v>
      </c>
      <c r="V60" s="1">
        <f t="shared" si="56"/>
        <v>0</v>
      </c>
      <c r="W60" s="1">
        <f t="shared" si="56"/>
        <v>0</v>
      </c>
      <c r="X60" s="1">
        <f t="shared" si="56"/>
        <v>0</v>
      </c>
      <c r="Y60" s="1">
        <f t="shared" si="56"/>
        <v>0</v>
      </c>
      <c r="Z60" s="1">
        <f t="shared" si="56"/>
        <v>0</v>
      </c>
      <c r="AA60" s="1">
        <f t="shared" si="56"/>
        <v>0</v>
      </c>
    </row>
    <row r="61" spans="1:27">
      <c r="A61" s="84" t="s">
        <v>195</v>
      </c>
      <c r="B61" s="85" t="s">
        <v>194</v>
      </c>
      <c r="C61" s="85" t="s">
        <v>83</v>
      </c>
      <c r="D61" s="84" t="s">
        <v>75</v>
      </c>
      <c r="E61" s="84">
        <f>VLOOKUP(A61,'2a. SI Pop'!$A$5:$E$198,5,FALSE)</f>
        <v>3</v>
      </c>
      <c r="F61" s="89">
        <v>216</v>
      </c>
      <c r="G61" s="1">
        <f t="shared" ref="G61:AA61" si="57">F61</f>
        <v>216</v>
      </c>
      <c r="H61" s="1">
        <f t="shared" si="57"/>
        <v>216</v>
      </c>
      <c r="I61" s="1">
        <f t="shared" si="57"/>
        <v>216</v>
      </c>
      <c r="J61" s="1">
        <f t="shared" si="57"/>
        <v>216</v>
      </c>
      <c r="K61" s="1">
        <f t="shared" si="57"/>
        <v>216</v>
      </c>
      <c r="L61" s="1">
        <f t="shared" si="57"/>
        <v>216</v>
      </c>
      <c r="M61" s="1">
        <f t="shared" si="57"/>
        <v>216</v>
      </c>
      <c r="N61" s="1">
        <f t="shared" si="57"/>
        <v>216</v>
      </c>
      <c r="O61" s="1">
        <f t="shared" si="57"/>
        <v>216</v>
      </c>
      <c r="P61" s="1">
        <f t="shared" si="57"/>
        <v>216</v>
      </c>
      <c r="Q61" s="1">
        <f t="shared" si="57"/>
        <v>216</v>
      </c>
      <c r="R61" s="1">
        <f t="shared" si="57"/>
        <v>216</v>
      </c>
      <c r="S61" s="1">
        <f t="shared" si="57"/>
        <v>216</v>
      </c>
      <c r="T61" s="1">
        <f t="shared" si="57"/>
        <v>216</v>
      </c>
      <c r="U61" s="1">
        <f t="shared" si="57"/>
        <v>216</v>
      </c>
      <c r="V61" s="1">
        <f t="shared" si="57"/>
        <v>216</v>
      </c>
      <c r="W61" s="1">
        <f t="shared" si="57"/>
        <v>216</v>
      </c>
      <c r="X61" s="1">
        <f t="shared" si="57"/>
        <v>216</v>
      </c>
      <c r="Y61" s="1">
        <f t="shared" si="57"/>
        <v>216</v>
      </c>
      <c r="Z61" s="1">
        <f t="shared" si="57"/>
        <v>216</v>
      </c>
      <c r="AA61" s="1">
        <f t="shared" si="57"/>
        <v>216</v>
      </c>
    </row>
    <row r="62" spans="1:27">
      <c r="A62" s="84" t="s">
        <v>197</v>
      </c>
      <c r="B62" s="85" t="s">
        <v>196</v>
      </c>
      <c r="C62" s="85" t="s">
        <v>79</v>
      </c>
      <c r="D62" s="84" t="s">
        <v>87</v>
      </c>
      <c r="E62" s="84">
        <f>VLOOKUP(A62,'2a. SI Pop'!$A$5:$E$198,5,FALSE)</f>
        <v>1</v>
      </c>
      <c r="F62" s="89">
        <v>75963</v>
      </c>
      <c r="G62" s="1">
        <f t="shared" ref="G62:AA62" si="58">F62</f>
        <v>75963</v>
      </c>
      <c r="H62" s="1">
        <f t="shared" si="58"/>
        <v>75963</v>
      </c>
      <c r="I62" s="1">
        <f t="shared" si="58"/>
        <v>75963</v>
      </c>
      <c r="J62" s="1">
        <f t="shared" si="58"/>
        <v>75963</v>
      </c>
      <c r="K62" s="1">
        <f t="shared" si="58"/>
        <v>75963</v>
      </c>
      <c r="L62" s="1">
        <f t="shared" si="58"/>
        <v>75963</v>
      </c>
      <c r="M62" s="1">
        <f t="shared" si="58"/>
        <v>75963</v>
      </c>
      <c r="N62" s="1">
        <f t="shared" si="58"/>
        <v>75963</v>
      </c>
      <c r="O62" s="1">
        <f t="shared" si="58"/>
        <v>75963</v>
      </c>
      <c r="P62" s="1">
        <f t="shared" si="58"/>
        <v>75963</v>
      </c>
      <c r="Q62" s="1">
        <f t="shared" si="58"/>
        <v>75963</v>
      </c>
      <c r="R62" s="1">
        <f t="shared" si="58"/>
        <v>75963</v>
      </c>
      <c r="S62" s="1">
        <f t="shared" si="58"/>
        <v>75963</v>
      </c>
      <c r="T62" s="1">
        <f t="shared" si="58"/>
        <v>75963</v>
      </c>
      <c r="U62" s="1">
        <f t="shared" si="58"/>
        <v>75963</v>
      </c>
      <c r="V62" s="1">
        <f t="shared" si="58"/>
        <v>75963</v>
      </c>
      <c r="W62" s="1">
        <f t="shared" si="58"/>
        <v>75963</v>
      </c>
      <c r="X62" s="1">
        <f t="shared" si="58"/>
        <v>75963</v>
      </c>
      <c r="Y62" s="1">
        <f t="shared" si="58"/>
        <v>75963</v>
      </c>
      <c r="Z62" s="1">
        <f t="shared" si="58"/>
        <v>75963</v>
      </c>
      <c r="AA62" s="1">
        <f t="shared" si="58"/>
        <v>75963</v>
      </c>
    </row>
    <row r="63" spans="1:27">
      <c r="A63" s="84" t="s">
        <v>199</v>
      </c>
      <c r="B63" s="85" t="s">
        <v>198</v>
      </c>
      <c r="C63" s="85" t="s">
        <v>83</v>
      </c>
      <c r="D63" s="84" t="s">
        <v>75</v>
      </c>
      <c r="E63" s="84" t="str">
        <f>VLOOKUP(A63,'2a. SI Pop'!$A$5:$E$198,5,FALSE)</f>
        <v>Key</v>
      </c>
      <c r="F63" s="89">
        <v>2468819</v>
      </c>
      <c r="G63" s="1">
        <f t="shared" ref="G63:AA63" si="59">F63</f>
        <v>2468819</v>
      </c>
      <c r="H63" s="1">
        <f t="shared" si="59"/>
        <v>2468819</v>
      </c>
      <c r="I63" s="1">
        <f t="shared" si="59"/>
        <v>2468819</v>
      </c>
      <c r="J63" s="1">
        <f t="shared" si="59"/>
        <v>2468819</v>
      </c>
      <c r="K63" s="1">
        <f t="shared" si="59"/>
        <v>2468819</v>
      </c>
      <c r="L63" s="1">
        <f t="shared" si="59"/>
        <v>2468819</v>
      </c>
      <c r="M63" s="1">
        <f t="shared" si="59"/>
        <v>2468819</v>
      </c>
      <c r="N63" s="1">
        <f t="shared" si="59"/>
        <v>2468819</v>
      </c>
      <c r="O63" s="1">
        <f t="shared" si="59"/>
        <v>2468819</v>
      </c>
      <c r="P63" s="1">
        <f t="shared" si="59"/>
        <v>2468819</v>
      </c>
      <c r="Q63" s="1">
        <f t="shared" si="59"/>
        <v>2468819</v>
      </c>
      <c r="R63" s="1">
        <f t="shared" si="59"/>
        <v>2468819</v>
      </c>
      <c r="S63" s="1">
        <f t="shared" si="59"/>
        <v>2468819</v>
      </c>
      <c r="T63" s="1">
        <f t="shared" si="59"/>
        <v>2468819</v>
      </c>
      <c r="U63" s="1">
        <f t="shared" si="59"/>
        <v>2468819</v>
      </c>
      <c r="V63" s="1">
        <f t="shared" si="59"/>
        <v>2468819</v>
      </c>
      <c r="W63" s="1">
        <f t="shared" si="59"/>
        <v>2468819</v>
      </c>
      <c r="X63" s="1">
        <f t="shared" si="59"/>
        <v>2468819</v>
      </c>
      <c r="Y63" s="1">
        <f t="shared" si="59"/>
        <v>2468819</v>
      </c>
      <c r="Z63" s="1">
        <f t="shared" si="59"/>
        <v>2468819</v>
      </c>
      <c r="AA63" s="1">
        <f t="shared" si="59"/>
        <v>2468819</v>
      </c>
    </row>
    <row r="64" spans="1:27">
      <c r="A64" s="84" t="s">
        <v>201</v>
      </c>
      <c r="B64" s="85" t="s">
        <v>200</v>
      </c>
      <c r="C64" s="85" t="s">
        <v>99</v>
      </c>
      <c r="D64" s="84" t="s">
        <v>80</v>
      </c>
      <c r="E64" s="84">
        <f>VLOOKUP(A64,'2a. SI Pop'!$A$5:$E$198,5,FALSE)</f>
        <v>4</v>
      </c>
      <c r="F64" s="89">
        <v>22</v>
      </c>
      <c r="G64" s="1">
        <f t="shared" ref="G64:AA64" si="60">F64</f>
        <v>22</v>
      </c>
      <c r="H64" s="1">
        <f t="shared" si="60"/>
        <v>22</v>
      </c>
      <c r="I64" s="1">
        <f t="shared" si="60"/>
        <v>22</v>
      </c>
      <c r="J64" s="1">
        <f t="shared" si="60"/>
        <v>22</v>
      </c>
      <c r="K64" s="1">
        <f t="shared" si="60"/>
        <v>22</v>
      </c>
      <c r="L64" s="1">
        <f t="shared" si="60"/>
        <v>22</v>
      </c>
      <c r="M64" s="1">
        <f t="shared" si="60"/>
        <v>22</v>
      </c>
      <c r="N64" s="1">
        <f t="shared" si="60"/>
        <v>22</v>
      </c>
      <c r="O64" s="1">
        <f t="shared" si="60"/>
        <v>22</v>
      </c>
      <c r="P64" s="1">
        <f t="shared" si="60"/>
        <v>22</v>
      </c>
      <c r="Q64" s="1">
        <f t="shared" si="60"/>
        <v>22</v>
      </c>
      <c r="R64" s="1">
        <f t="shared" si="60"/>
        <v>22</v>
      </c>
      <c r="S64" s="1">
        <f t="shared" si="60"/>
        <v>22</v>
      </c>
      <c r="T64" s="1">
        <f t="shared" si="60"/>
        <v>22</v>
      </c>
      <c r="U64" s="1">
        <f t="shared" si="60"/>
        <v>22</v>
      </c>
      <c r="V64" s="1">
        <f t="shared" si="60"/>
        <v>22</v>
      </c>
      <c r="W64" s="1">
        <f t="shared" si="60"/>
        <v>22</v>
      </c>
      <c r="X64" s="1">
        <f t="shared" si="60"/>
        <v>22</v>
      </c>
      <c r="Y64" s="1">
        <f t="shared" si="60"/>
        <v>22</v>
      </c>
      <c r="Z64" s="1">
        <f t="shared" si="60"/>
        <v>22</v>
      </c>
      <c r="AA64" s="1">
        <f t="shared" si="60"/>
        <v>22</v>
      </c>
    </row>
    <row r="65" spans="1:27">
      <c r="A65" s="84" t="s">
        <v>203</v>
      </c>
      <c r="B65" s="85" t="s">
        <v>202</v>
      </c>
      <c r="C65" s="85" t="s">
        <v>79</v>
      </c>
      <c r="D65" s="84" t="s">
        <v>87</v>
      </c>
      <c r="E65" s="84">
        <f>VLOOKUP(A65,'2a. SI Pop'!$A$5:$E$198,5,FALSE)</f>
        <v>1</v>
      </c>
      <c r="F65" s="89">
        <v>34556</v>
      </c>
      <c r="G65" s="1">
        <f t="shared" ref="G65:AA65" si="61">F65</f>
        <v>34556</v>
      </c>
      <c r="H65" s="1">
        <f t="shared" si="61"/>
        <v>34556</v>
      </c>
      <c r="I65" s="1">
        <f t="shared" si="61"/>
        <v>34556</v>
      </c>
      <c r="J65" s="1">
        <f t="shared" si="61"/>
        <v>34556</v>
      </c>
      <c r="K65" s="1">
        <f t="shared" si="61"/>
        <v>34556</v>
      </c>
      <c r="L65" s="1">
        <f t="shared" si="61"/>
        <v>34556</v>
      </c>
      <c r="M65" s="1">
        <f t="shared" si="61"/>
        <v>34556</v>
      </c>
      <c r="N65" s="1">
        <f t="shared" si="61"/>
        <v>34556</v>
      </c>
      <c r="O65" s="1">
        <f t="shared" si="61"/>
        <v>34556</v>
      </c>
      <c r="P65" s="1">
        <f t="shared" si="61"/>
        <v>34556</v>
      </c>
      <c r="Q65" s="1">
        <f t="shared" si="61"/>
        <v>34556</v>
      </c>
      <c r="R65" s="1">
        <f t="shared" si="61"/>
        <v>34556</v>
      </c>
      <c r="S65" s="1">
        <f t="shared" si="61"/>
        <v>34556</v>
      </c>
      <c r="T65" s="1">
        <f t="shared" si="61"/>
        <v>34556</v>
      </c>
      <c r="U65" s="1">
        <f t="shared" si="61"/>
        <v>34556</v>
      </c>
      <c r="V65" s="1">
        <f t="shared" si="61"/>
        <v>34556</v>
      </c>
      <c r="W65" s="1">
        <f t="shared" si="61"/>
        <v>34556</v>
      </c>
      <c r="X65" s="1">
        <f t="shared" si="61"/>
        <v>34556</v>
      </c>
      <c r="Y65" s="1">
        <f t="shared" si="61"/>
        <v>34556</v>
      </c>
      <c r="Z65" s="1">
        <f t="shared" si="61"/>
        <v>34556</v>
      </c>
      <c r="AA65" s="1">
        <f t="shared" si="61"/>
        <v>34556</v>
      </c>
    </row>
    <row r="66" spans="1:27">
      <c r="A66" s="84" t="s">
        <v>205</v>
      </c>
      <c r="B66" s="85" t="s">
        <v>204</v>
      </c>
      <c r="C66" s="85" t="s">
        <v>79</v>
      </c>
      <c r="D66" s="84" t="s">
        <v>87</v>
      </c>
      <c r="E66" s="84">
        <f>VLOOKUP(A66,'2a. SI Pop'!$A$5:$E$198,5,FALSE)</f>
        <v>1</v>
      </c>
      <c r="F66" s="89">
        <v>511569</v>
      </c>
      <c r="G66" s="1">
        <f t="shared" ref="G66:AA66" si="62">F66</f>
        <v>511569</v>
      </c>
      <c r="H66" s="1">
        <f t="shared" si="62"/>
        <v>511569</v>
      </c>
      <c r="I66" s="1">
        <f t="shared" si="62"/>
        <v>511569</v>
      </c>
      <c r="J66" s="1">
        <f t="shared" si="62"/>
        <v>511569</v>
      </c>
      <c r="K66" s="1">
        <f t="shared" si="62"/>
        <v>511569</v>
      </c>
      <c r="L66" s="1">
        <f t="shared" si="62"/>
        <v>511569</v>
      </c>
      <c r="M66" s="1">
        <f t="shared" si="62"/>
        <v>511569</v>
      </c>
      <c r="N66" s="1">
        <f t="shared" si="62"/>
        <v>511569</v>
      </c>
      <c r="O66" s="1">
        <f t="shared" si="62"/>
        <v>511569</v>
      </c>
      <c r="P66" s="1">
        <f t="shared" si="62"/>
        <v>511569</v>
      </c>
      <c r="Q66" s="1">
        <f t="shared" si="62"/>
        <v>511569</v>
      </c>
      <c r="R66" s="1">
        <f t="shared" si="62"/>
        <v>511569</v>
      </c>
      <c r="S66" s="1">
        <f t="shared" si="62"/>
        <v>511569</v>
      </c>
      <c r="T66" s="1">
        <f t="shared" si="62"/>
        <v>511569</v>
      </c>
      <c r="U66" s="1">
        <f t="shared" si="62"/>
        <v>511569</v>
      </c>
      <c r="V66" s="1">
        <f t="shared" si="62"/>
        <v>511569</v>
      </c>
      <c r="W66" s="1">
        <f t="shared" si="62"/>
        <v>511569</v>
      </c>
      <c r="X66" s="1">
        <f t="shared" si="62"/>
        <v>511569</v>
      </c>
      <c r="Y66" s="1">
        <f t="shared" si="62"/>
        <v>511569</v>
      </c>
      <c r="Z66" s="1">
        <f t="shared" si="62"/>
        <v>511569</v>
      </c>
      <c r="AA66" s="1">
        <f t="shared" si="62"/>
        <v>511569</v>
      </c>
    </row>
    <row r="67" spans="1:27">
      <c r="A67" s="84" t="s">
        <v>207</v>
      </c>
      <c r="B67" s="85" t="s">
        <v>206</v>
      </c>
      <c r="C67" s="85" t="s">
        <v>83</v>
      </c>
      <c r="D67" s="84" t="s">
        <v>80</v>
      </c>
      <c r="E67" s="84">
        <f>VLOOKUP(A67,'2a. SI Pop'!$A$5:$E$198,5,FALSE)</f>
        <v>3</v>
      </c>
      <c r="F67" s="89">
        <v>529</v>
      </c>
      <c r="G67" s="1">
        <f t="shared" ref="G67:AA67" si="63">F67</f>
        <v>529</v>
      </c>
      <c r="H67" s="1">
        <f t="shared" si="63"/>
        <v>529</v>
      </c>
      <c r="I67" s="1">
        <f t="shared" si="63"/>
        <v>529</v>
      </c>
      <c r="J67" s="1">
        <f t="shared" si="63"/>
        <v>529</v>
      </c>
      <c r="K67" s="1">
        <f t="shared" si="63"/>
        <v>529</v>
      </c>
      <c r="L67" s="1">
        <f t="shared" si="63"/>
        <v>529</v>
      </c>
      <c r="M67" s="1">
        <f t="shared" si="63"/>
        <v>529</v>
      </c>
      <c r="N67" s="1">
        <f t="shared" si="63"/>
        <v>529</v>
      </c>
      <c r="O67" s="1">
        <f t="shared" si="63"/>
        <v>529</v>
      </c>
      <c r="P67" s="1">
        <f t="shared" si="63"/>
        <v>529</v>
      </c>
      <c r="Q67" s="1">
        <f t="shared" si="63"/>
        <v>529</v>
      </c>
      <c r="R67" s="1">
        <f t="shared" si="63"/>
        <v>529</v>
      </c>
      <c r="S67" s="1">
        <f t="shared" si="63"/>
        <v>529</v>
      </c>
      <c r="T67" s="1">
        <f t="shared" si="63"/>
        <v>529</v>
      </c>
      <c r="U67" s="1">
        <f t="shared" si="63"/>
        <v>529</v>
      </c>
      <c r="V67" s="1">
        <f t="shared" si="63"/>
        <v>529</v>
      </c>
      <c r="W67" s="1">
        <f t="shared" si="63"/>
        <v>529</v>
      </c>
      <c r="X67" s="1">
        <f t="shared" si="63"/>
        <v>529</v>
      </c>
      <c r="Y67" s="1">
        <f t="shared" si="63"/>
        <v>529</v>
      </c>
      <c r="Z67" s="1">
        <f t="shared" si="63"/>
        <v>529</v>
      </c>
      <c r="AA67" s="1">
        <f t="shared" si="63"/>
        <v>529</v>
      </c>
    </row>
    <row r="68" spans="1:27">
      <c r="A68" s="84" t="s">
        <v>209</v>
      </c>
      <c r="B68" s="85" t="s">
        <v>208</v>
      </c>
      <c r="C68" s="85" t="s">
        <v>83</v>
      </c>
      <c r="D68" s="84" t="s">
        <v>75</v>
      </c>
      <c r="E68" s="84">
        <f>VLOOKUP(A68,'2a. SI Pop'!$A$5:$E$198,5,FALSE)</f>
        <v>3</v>
      </c>
      <c r="F68" s="89">
        <v>4506</v>
      </c>
      <c r="G68" s="1">
        <f t="shared" ref="G68:AA68" si="64">F68</f>
        <v>4506</v>
      </c>
      <c r="H68" s="1">
        <f t="shared" si="64"/>
        <v>4506</v>
      </c>
      <c r="I68" s="1">
        <f t="shared" si="64"/>
        <v>4506</v>
      </c>
      <c r="J68" s="1">
        <f t="shared" si="64"/>
        <v>4506</v>
      </c>
      <c r="K68" s="1">
        <f t="shared" si="64"/>
        <v>4506</v>
      </c>
      <c r="L68" s="1">
        <f t="shared" si="64"/>
        <v>4506</v>
      </c>
      <c r="M68" s="1">
        <f t="shared" si="64"/>
        <v>4506</v>
      </c>
      <c r="N68" s="1">
        <f t="shared" si="64"/>
        <v>4506</v>
      </c>
      <c r="O68" s="1">
        <f t="shared" si="64"/>
        <v>4506</v>
      </c>
      <c r="P68" s="1">
        <f t="shared" si="64"/>
        <v>4506</v>
      </c>
      <c r="Q68" s="1">
        <f t="shared" si="64"/>
        <v>4506</v>
      </c>
      <c r="R68" s="1">
        <f t="shared" si="64"/>
        <v>4506</v>
      </c>
      <c r="S68" s="1">
        <f t="shared" si="64"/>
        <v>4506</v>
      </c>
      <c r="T68" s="1">
        <f t="shared" si="64"/>
        <v>4506</v>
      </c>
      <c r="U68" s="1">
        <f t="shared" si="64"/>
        <v>4506</v>
      </c>
      <c r="V68" s="1">
        <f t="shared" si="64"/>
        <v>4506</v>
      </c>
      <c r="W68" s="1">
        <f t="shared" si="64"/>
        <v>4506</v>
      </c>
      <c r="X68" s="1">
        <f t="shared" si="64"/>
        <v>4506</v>
      </c>
      <c r="Y68" s="1">
        <f t="shared" si="64"/>
        <v>4506</v>
      </c>
      <c r="Z68" s="1">
        <f t="shared" si="64"/>
        <v>4506</v>
      </c>
      <c r="AA68" s="1">
        <f t="shared" si="64"/>
        <v>4506</v>
      </c>
    </row>
    <row r="69" spans="1:27">
      <c r="A69" s="84" t="s">
        <v>211</v>
      </c>
      <c r="B69" s="85" t="s">
        <v>210</v>
      </c>
      <c r="C69" s="85" t="s">
        <v>79</v>
      </c>
      <c r="D69" s="84" t="s">
        <v>80</v>
      </c>
      <c r="E69" s="84">
        <f>VLOOKUP(A69,'2a. SI Pop'!$A$5:$E$198,5,FALSE)</f>
        <v>1</v>
      </c>
      <c r="F69" s="89">
        <v>289829</v>
      </c>
      <c r="G69" s="1">
        <f t="shared" ref="G69:AA69" si="65">F69</f>
        <v>289829</v>
      </c>
      <c r="H69" s="1">
        <f t="shared" si="65"/>
        <v>289829</v>
      </c>
      <c r="I69" s="1">
        <f t="shared" si="65"/>
        <v>289829</v>
      </c>
      <c r="J69" s="1">
        <f t="shared" si="65"/>
        <v>289829</v>
      </c>
      <c r="K69" s="1">
        <f t="shared" si="65"/>
        <v>289829</v>
      </c>
      <c r="L69" s="1">
        <f t="shared" si="65"/>
        <v>289829</v>
      </c>
      <c r="M69" s="1">
        <f t="shared" si="65"/>
        <v>289829</v>
      </c>
      <c r="N69" s="1">
        <f t="shared" si="65"/>
        <v>289829</v>
      </c>
      <c r="O69" s="1">
        <f t="shared" si="65"/>
        <v>289829</v>
      </c>
      <c r="P69" s="1">
        <f t="shared" si="65"/>
        <v>289829</v>
      </c>
      <c r="Q69" s="1">
        <f t="shared" si="65"/>
        <v>289829</v>
      </c>
      <c r="R69" s="1">
        <f t="shared" si="65"/>
        <v>289829</v>
      </c>
      <c r="S69" s="1">
        <f t="shared" si="65"/>
        <v>289829</v>
      </c>
      <c r="T69" s="1">
        <f t="shared" si="65"/>
        <v>289829</v>
      </c>
      <c r="U69" s="1">
        <f t="shared" si="65"/>
        <v>289829</v>
      </c>
      <c r="V69" s="1">
        <f t="shared" si="65"/>
        <v>289829</v>
      </c>
      <c r="W69" s="1">
        <f t="shared" si="65"/>
        <v>289829</v>
      </c>
      <c r="X69" s="1">
        <f t="shared" si="65"/>
        <v>289829</v>
      </c>
      <c r="Y69" s="1">
        <f t="shared" si="65"/>
        <v>289829</v>
      </c>
      <c r="Z69" s="1">
        <f t="shared" si="65"/>
        <v>289829</v>
      </c>
      <c r="AA69" s="1">
        <f t="shared" si="65"/>
        <v>289829</v>
      </c>
    </row>
    <row r="70" spans="1:27">
      <c r="A70" s="84" t="s">
        <v>213</v>
      </c>
      <c r="B70" s="85" t="s">
        <v>212</v>
      </c>
      <c r="C70" s="85" t="s">
        <v>79</v>
      </c>
      <c r="D70" s="84" t="s">
        <v>87</v>
      </c>
      <c r="E70" s="84">
        <f>VLOOKUP(A70,'2a. SI Pop'!$A$5:$E$198,5,FALSE)</f>
        <v>1</v>
      </c>
      <c r="F70" s="89">
        <v>1470859</v>
      </c>
      <c r="G70" s="1">
        <f t="shared" ref="G70:AA70" si="66">F70</f>
        <v>1470859</v>
      </c>
      <c r="H70" s="1">
        <f t="shared" si="66"/>
        <v>1470859</v>
      </c>
      <c r="I70" s="1">
        <f t="shared" si="66"/>
        <v>1470859</v>
      </c>
      <c r="J70" s="1">
        <f t="shared" si="66"/>
        <v>1470859</v>
      </c>
      <c r="K70" s="1">
        <f t="shared" si="66"/>
        <v>1470859</v>
      </c>
      <c r="L70" s="1">
        <f t="shared" si="66"/>
        <v>1470859</v>
      </c>
      <c r="M70" s="1">
        <f t="shared" si="66"/>
        <v>1470859</v>
      </c>
      <c r="N70" s="1">
        <f t="shared" si="66"/>
        <v>1470859</v>
      </c>
      <c r="O70" s="1">
        <f t="shared" si="66"/>
        <v>1470859</v>
      </c>
      <c r="P70" s="1">
        <f t="shared" si="66"/>
        <v>1470859</v>
      </c>
      <c r="Q70" s="1">
        <f t="shared" si="66"/>
        <v>1470859</v>
      </c>
      <c r="R70" s="1">
        <f t="shared" si="66"/>
        <v>1470859</v>
      </c>
      <c r="S70" s="1">
        <f t="shared" si="66"/>
        <v>1470859</v>
      </c>
      <c r="T70" s="1">
        <f t="shared" si="66"/>
        <v>1470859</v>
      </c>
      <c r="U70" s="1">
        <f t="shared" si="66"/>
        <v>1470859</v>
      </c>
      <c r="V70" s="1">
        <f t="shared" si="66"/>
        <v>1470859</v>
      </c>
      <c r="W70" s="1">
        <f t="shared" si="66"/>
        <v>1470859</v>
      </c>
      <c r="X70" s="1">
        <f t="shared" si="66"/>
        <v>1470859</v>
      </c>
      <c r="Y70" s="1">
        <f t="shared" si="66"/>
        <v>1470859</v>
      </c>
      <c r="Z70" s="1">
        <f t="shared" si="66"/>
        <v>1470859</v>
      </c>
      <c r="AA70" s="1">
        <f t="shared" si="66"/>
        <v>1470859</v>
      </c>
    </row>
    <row r="71" spans="1:27">
      <c r="A71" s="84" t="s">
        <v>215</v>
      </c>
      <c r="B71" s="85" t="s">
        <v>214</v>
      </c>
      <c r="C71" s="85" t="s">
        <v>83</v>
      </c>
      <c r="D71" s="84" t="s">
        <v>84</v>
      </c>
      <c r="E71" s="84">
        <f>VLOOKUP(A71,'2a. SI Pop'!$A$5:$E$198,5,FALSE)</f>
        <v>3</v>
      </c>
      <c r="F71" s="89">
        <v>13453</v>
      </c>
      <c r="G71" s="1">
        <f t="shared" ref="G71:AA71" si="67">F71</f>
        <v>13453</v>
      </c>
      <c r="H71" s="1">
        <f t="shared" si="67"/>
        <v>13453</v>
      </c>
      <c r="I71" s="1">
        <f t="shared" si="67"/>
        <v>13453</v>
      </c>
      <c r="J71" s="1">
        <f t="shared" si="67"/>
        <v>13453</v>
      </c>
      <c r="K71" s="1">
        <f t="shared" si="67"/>
        <v>13453</v>
      </c>
      <c r="L71" s="1">
        <f t="shared" si="67"/>
        <v>13453</v>
      </c>
      <c r="M71" s="1">
        <f t="shared" si="67"/>
        <v>13453</v>
      </c>
      <c r="N71" s="1">
        <f t="shared" si="67"/>
        <v>13453</v>
      </c>
      <c r="O71" s="1">
        <f t="shared" si="67"/>
        <v>13453</v>
      </c>
      <c r="P71" s="1">
        <f t="shared" si="67"/>
        <v>13453</v>
      </c>
      <c r="Q71" s="1">
        <f t="shared" si="67"/>
        <v>13453</v>
      </c>
      <c r="R71" s="1">
        <f t="shared" si="67"/>
        <v>13453</v>
      </c>
      <c r="S71" s="1">
        <f t="shared" si="67"/>
        <v>13453</v>
      </c>
      <c r="T71" s="1">
        <f t="shared" si="67"/>
        <v>13453</v>
      </c>
      <c r="U71" s="1">
        <f t="shared" si="67"/>
        <v>13453</v>
      </c>
      <c r="V71" s="1">
        <f t="shared" si="67"/>
        <v>13453</v>
      </c>
      <c r="W71" s="1">
        <f t="shared" si="67"/>
        <v>13453</v>
      </c>
      <c r="X71" s="1">
        <f t="shared" si="67"/>
        <v>13453</v>
      </c>
      <c r="Y71" s="1">
        <f t="shared" si="67"/>
        <v>13453</v>
      </c>
      <c r="Z71" s="1">
        <f t="shared" si="67"/>
        <v>13453</v>
      </c>
      <c r="AA71" s="1">
        <f t="shared" si="67"/>
        <v>13453</v>
      </c>
    </row>
    <row r="72" spans="1:27">
      <c r="A72" s="84" t="s">
        <v>217</v>
      </c>
      <c r="B72" s="85" t="s">
        <v>216</v>
      </c>
      <c r="C72" s="85" t="s">
        <v>79</v>
      </c>
      <c r="D72" s="84" t="s">
        <v>87</v>
      </c>
      <c r="E72" s="84">
        <f>VLOOKUP(A72,'2a. SI Pop'!$A$5:$E$198,5,FALSE)</f>
        <v>1</v>
      </c>
      <c r="F72" s="89">
        <v>190878</v>
      </c>
      <c r="G72" s="1">
        <f t="shared" ref="G72:AA72" si="68">F72</f>
        <v>190878</v>
      </c>
      <c r="H72" s="1">
        <f t="shared" si="68"/>
        <v>190878</v>
      </c>
      <c r="I72" s="1">
        <f t="shared" si="68"/>
        <v>190878</v>
      </c>
      <c r="J72" s="1">
        <f t="shared" si="68"/>
        <v>190878</v>
      </c>
      <c r="K72" s="1">
        <f t="shared" si="68"/>
        <v>190878</v>
      </c>
      <c r="L72" s="1">
        <f t="shared" si="68"/>
        <v>190878</v>
      </c>
      <c r="M72" s="1">
        <f t="shared" si="68"/>
        <v>190878</v>
      </c>
      <c r="N72" s="1">
        <f t="shared" si="68"/>
        <v>190878</v>
      </c>
      <c r="O72" s="1">
        <f t="shared" si="68"/>
        <v>190878</v>
      </c>
      <c r="P72" s="1">
        <f t="shared" si="68"/>
        <v>190878</v>
      </c>
      <c r="Q72" s="1">
        <f t="shared" si="68"/>
        <v>190878</v>
      </c>
      <c r="R72" s="1">
        <f t="shared" si="68"/>
        <v>190878</v>
      </c>
      <c r="S72" s="1">
        <f t="shared" si="68"/>
        <v>190878</v>
      </c>
      <c r="T72" s="1">
        <f t="shared" si="68"/>
        <v>190878</v>
      </c>
      <c r="U72" s="1">
        <f t="shared" si="68"/>
        <v>190878</v>
      </c>
      <c r="V72" s="1">
        <f t="shared" si="68"/>
        <v>190878</v>
      </c>
      <c r="W72" s="1">
        <f t="shared" si="68"/>
        <v>190878</v>
      </c>
      <c r="X72" s="1">
        <f t="shared" si="68"/>
        <v>190878</v>
      </c>
      <c r="Y72" s="1">
        <f t="shared" si="68"/>
        <v>190878</v>
      </c>
      <c r="Z72" s="1">
        <f t="shared" si="68"/>
        <v>190878</v>
      </c>
      <c r="AA72" s="1">
        <f t="shared" si="68"/>
        <v>190878</v>
      </c>
    </row>
    <row r="73" spans="1:27">
      <c r="A73" s="84" t="s">
        <v>219</v>
      </c>
      <c r="B73" s="85" t="s">
        <v>218</v>
      </c>
      <c r="C73" s="85" t="s">
        <v>92</v>
      </c>
      <c r="D73" s="84" t="s">
        <v>80</v>
      </c>
      <c r="E73" s="84">
        <f>VLOOKUP(A73,'2a. SI Pop'!$A$5:$E$198,5,FALSE)</f>
        <v>1</v>
      </c>
      <c r="F73" s="89">
        <v>0</v>
      </c>
      <c r="G73" s="1">
        <f t="shared" ref="G73:AA73" si="69">F73</f>
        <v>0</v>
      </c>
      <c r="H73" s="1">
        <f t="shared" si="69"/>
        <v>0</v>
      </c>
      <c r="I73" s="1">
        <f t="shared" si="69"/>
        <v>0</v>
      </c>
      <c r="J73" s="1">
        <f t="shared" si="69"/>
        <v>0</v>
      </c>
      <c r="K73" s="1">
        <f t="shared" si="69"/>
        <v>0</v>
      </c>
      <c r="L73" s="1">
        <f t="shared" si="69"/>
        <v>0</v>
      </c>
      <c r="M73" s="1">
        <f t="shared" si="69"/>
        <v>0</v>
      </c>
      <c r="N73" s="1">
        <f t="shared" si="69"/>
        <v>0</v>
      </c>
      <c r="O73" s="1">
        <f t="shared" si="69"/>
        <v>0</v>
      </c>
      <c r="P73" s="1">
        <f t="shared" si="69"/>
        <v>0</v>
      </c>
      <c r="Q73" s="1">
        <f t="shared" si="69"/>
        <v>0</v>
      </c>
      <c r="R73" s="1">
        <f t="shared" si="69"/>
        <v>0</v>
      </c>
      <c r="S73" s="1">
        <f t="shared" si="69"/>
        <v>0</v>
      </c>
      <c r="T73" s="1">
        <f t="shared" si="69"/>
        <v>0</v>
      </c>
      <c r="U73" s="1">
        <f t="shared" si="69"/>
        <v>0</v>
      </c>
      <c r="V73" s="1">
        <f t="shared" si="69"/>
        <v>0</v>
      </c>
      <c r="W73" s="1">
        <f t="shared" si="69"/>
        <v>0</v>
      </c>
      <c r="X73" s="1">
        <f t="shared" si="69"/>
        <v>0</v>
      </c>
      <c r="Y73" s="1">
        <f t="shared" si="69"/>
        <v>0</v>
      </c>
      <c r="Z73" s="1">
        <f t="shared" si="69"/>
        <v>0</v>
      </c>
      <c r="AA73" s="1">
        <f t="shared" si="69"/>
        <v>0</v>
      </c>
    </row>
    <row r="74" spans="1:27">
      <c r="A74" s="84" t="s">
        <v>221</v>
      </c>
      <c r="B74" s="85" t="s">
        <v>220</v>
      </c>
      <c r="C74" s="85" t="s">
        <v>92</v>
      </c>
      <c r="D74" s="84" t="s">
        <v>80</v>
      </c>
      <c r="E74" s="84">
        <f>VLOOKUP(A74,'2a. SI Pop'!$A$5:$E$198,5,FALSE)</f>
        <v>1</v>
      </c>
      <c r="F74" s="89">
        <v>111641</v>
      </c>
      <c r="G74" s="1">
        <f t="shared" ref="G74:AA74" si="70">F74</f>
        <v>111641</v>
      </c>
      <c r="H74" s="1">
        <f t="shared" si="70"/>
        <v>111641</v>
      </c>
      <c r="I74" s="1">
        <f t="shared" si="70"/>
        <v>111641</v>
      </c>
      <c r="J74" s="1">
        <f t="shared" si="70"/>
        <v>111641</v>
      </c>
      <c r="K74" s="1">
        <f t="shared" si="70"/>
        <v>111641</v>
      </c>
      <c r="L74" s="1">
        <f t="shared" si="70"/>
        <v>111641</v>
      </c>
      <c r="M74" s="1">
        <f t="shared" si="70"/>
        <v>111641</v>
      </c>
      <c r="N74" s="1">
        <f t="shared" si="70"/>
        <v>111641</v>
      </c>
      <c r="O74" s="1">
        <f t="shared" si="70"/>
        <v>111641</v>
      </c>
      <c r="P74" s="1">
        <f t="shared" si="70"/>
        <v>111641</v>
      </c>
      <c r="Q74" s="1">
        <f t="shared" si="70"/>
        <v>111641</v>
      </c>
      <c r="R74" s="1">
        <f t="shared" si="70"/>
        <v>111641</v>
      </c>
      <c r="S74" s="1">
        <f t="shared" si="70"/>
        <v>111641</v>
      </c>
      <c r="T74" s="1">
        <f t="shared" si="70"/>
        <v>111641</v>
      </c>
      <c r="U74" s="1">
        <f t="shared" si="70"/>
        <v>111641</v>
      </c>
      <c r="V74" s="1">
        <f t="shared" si="70"/>
        <v>111641</v>
      </c>
      <c r="W74" s="1">
        <f t="shared" si="70"/>
        <v>111641</v>
      </c>
      <c r="X74" s="1">
        <f t="shared" si="70"/>
        <v>111641</v>
      </c>
      <c r="Y74" s="1">
        <f t="shared" si="70"/>
        <v>111641</v>
      </c>
      <c r="Z74" s="1">
        <f t="shared" si="70"/>
        <v>111641</v>
      </c>
      <c r="AA74" s="1">
        <f t="shared" si="70"/>
        <v>111641</v>
      </c>
    </row>
    <row r="75" spans="1:27">
      <c r="A75" s="84" t="s">
        <v>223</v>
      </c>
      <c r="B75" s="85" t="s">
        <v>222</v>
      </c>
      <c r="C75" s="85" t="s">
        <v>83</v>
      </c>
      <c r="D75" s="84" t="s">
        <v>75</v>
      </c>
      <c r="E75" s="84">
        <f>VLOOKUP(A75,'2a. SI Pop'!$A$5:$E$198,5,FALSE)</f>
        <v>3</v>
      </c>
      <c r="F75" s="89">
        <v>6941</v>
      </c>
      <c r="G75" s="1">
        <f t="shared" ref="G75:AA75" si="71">F75</f>
        <v>6941</v>
      </c>
      <c r="H75" s="1">
        <f t="shared" si="71"/>
        <v>6941</v>
      </c>
      <c r="I75" s="1">
        <f t="shared" si="71"/>
        <v>6941</v>
      </c>
      <c r="J75" s="1">
        <f t="shared" si="71"/>
        <v>6941</v>
      </c>
      <c r="K75" s="1">
        <f t="shared" si="71"/>
        <v>6941</v>
      </c>
      <c r="L75" s="1">
        <f t="shared" si="71"/>
        <v>6941</v>
      </c>
      <c r="M75" s="1">
        <f t="shared" si="71"/>
        <v>6941</v>
      </c>
      <c r="N75" s="1">
        <f t="shared" si="71"/>
        <v>6941</v>
      </c>
      <c r="O75" s="1">
        <f t="shared" si="71"/>
        <v>6941</v>
      </c>
      <c r="P75" s="1">
        <f t="shared" si="71"/>
        <v>6941</v>
      </c>
      <c r="Q75" s="1">
        <f t="shared" si="71"/>
        <v>6941</v>
      </c>
      <c r="R75" s="1">
        <f t="shared" si="71"/>
        <v>6941</v>
      </c>
      <c r="S75" s="1">
        <f t="shared" si="71"/>
        <v>6941</v>
      </c>
      <c r="T75" s="1">
        <f t="shared" si="71"/>
        <v>6941</v>
      </c>
      <c r="U75" s="1">
        <f t="shared" si="71"/>
        <v>6941</v>
      </c>
      <c r="V75" s="1">
        <f t="shared" si="71"/>
        <v>6941</v>
      </c>
      <c r="W75" s="1">
        <f t="shared" si="71"/>
        <v>6941</v>
      </c>
      <c r="X75" s="1">
        <f t="shared" si="71"/>
        <v>6941</v>
      </c>
      <c r="Y75" s="1">
        <f t="shared" si="71"/>
        <v>6941</v>
      </c>
      <c r="Z75" s="1">
        <f t="shared" si="71"/>
        <v>6941</v>
      </c>
      <c r="AA75" s="1">
        <f t="shared" si="71"/>
        <v>6941</v>
      </c>
    </row>
    <row r="76" spans="1:27">
      <c r="A76" s="84" t="s">
        <v>225</v>
      </c>
      <c r="B76" s="85" t="s">
        <v>224</v>
      </c>
      <c r="C76" s="85" t="s">
        <v>83</v>
      </c>
      <c r="D76" s="84" t="s">
        <v>75</v>
      </c>
      <c r="E76" s="84">
        <f>VLOOKUP(A76,'2a. SI Pop'!$A$5:$E$198,5,FALSE)</f>
        <v>3</v>
      </c>
      <c r="F76" s="89">
        <v>1876</v>
      </c>
      <c r="G76" s="1">
        <f t="shared" ref="G76:AA76" si="72">F76</f>
        <v>1876</v>
      </c>
      <c r="H76" s="1">
        <f t="shared" si="72"/>
        <v>1876</v>
      </c>
      <c r="I76" s="1">
        <f t="shared" si="72"/>
        <v>1876</v>
      </c>
      <c r="J76" s="1">
        <f t="shared" si="72"/>
        <v>1876</v>
      </c>
      <c r="K76" s="1">
        <f t="shared" si="72"/>
        <v>1876</v>
      </c>
      <c r="L76" s="1">
        <f t="shared" si="72"/>
        <v>1876</v>
      </c>
      <c r="M76" s="1">
        <f t="shared" si="72"/>
        <v>1876</v>
      </c>
      <c r="N76" s="1">
        <f t="shared" si="72"/>
        <v>1876</v>
      </c>
      <c r="O76" s="1">
        <f t="shared" si="72"/>
        <v>1876</v>
      </c>
      <c r="P76" s="1">
        <f t="shared" si="72"/>
        <v>1876</v>
      </c>
      <c r="Q76" s="1">
        <f t="shared" si="72"/>
        <v>1876</v>
      </c>
      <c r="R76" s="1">
        <f t="shared" si="72"/>
        <v>1876</v>
      </c>
      <c r="S76" s="1">
        <f t="shared" si="72"/>
        <v>1876</v>
      </c>
      <c r="T76" s="1">
        <f t="shared" si="72"/>
        <v>1876</v>
      </c>
      <c r="U76" s="1">
        <f t="shared" si="72"/>
        <v>1876</v>
      </c>
      <c r="V76" s="1">
        <f t="shared" si="72"/>
        <v>1876</v>
      </c>
      <c r="W76" s="1">
        <f t="shared" si="72"/>
        <v>1876</v>
      </c>
      <c r="X76" s="1">
        <f t="shared" si="72"/>
        <v>1876</v>
      </c>
      <c r="Y76" s="1">
        <f t="shared" si="72"/>
        <v>1876</v>
      </c>
      <c r="Z76" s="1">
        <f t="shared" si="72"/>
        <v>1876</v>
      </c>
      <c r="AA76" s="1">
        <f t="shared" si="72"/>
        <v>1876</v>
      </c>
    </row>
    <row r="77" spans="1:27">
      <c r="A77" s="84" t="s">
        <v>227</v>
      </c>
      <c r="B77" s="85" t="s">
        <v>226</v>
      </c>
      <c r="C77" s="85" t="s">
        <v>92</v>
      </c>
      <c r="D77" s="84" t="s">
        <v>80</v>
      </c>
      <c r="E77" s="84">
        <f>VLOOKUP(A77,'2a. SI Pop'!$A$5:$E$198,5,FALSE)</f>
        <v>2</v>
      </c>
      <c r="F77" s="89">
        <v>22071</v>
      </c>
      <c r="G77" s="1">
        <f t="shared" ref="G77:AA77" si="73">F77</f>
        <v>22071</v>
      </c>
      <c r="H77" s="1">
        <f t="shared" si="73"/>
        <v>22071</v>
      </c>
      <c r="I77" s="1">
        <f t="shared" si="73"/>
        <v>22071</v>
      </c>
      <c r="J77" s="1">
        <f t="shared" si="73"/>
        <v>22071</v>
      </c>
      <c r="K77" s="1">
        <f t="shared" si="73"/>
        <v>22071</v>
      </c>
      <c r="L77" s="1">
        <f t="shared" si="73"/>
        <v>22071</v>
      </c>
      <c r="M77" s="1">
        <f t="shared" si="73"/>
        <v>22071</v>
      </c>
      <c r="N77" s="1">
        <f t="shared" si="73"/>
        <v>22071</v>
      </c>
      <c r="O77" s="1">
        <f t="shared" si="73"/>
        <v>22071</v>
      </c>
      <c r="P77" s="1">
        <f t="shared" si="73"/>
        <v>22071</v>
      </c>
      <c r="Q77" s="1">
        <f t="shared" si="73"/>
        <v>22071</v>
      </c>
      <c r="R77" s="1">
        <f t="shared" si="73"/>
        <v>22071</v>
      </c>
      <c r="S77" s="1">
        <f t="shared" si="73"/>
        <v>22071</v>
      </c>
      <c r="T77" s="1">
        <f t="shared" si="73"/>
        <v>22071</v>
      </c>
      <c r="U77" s="1">
        <f t="shared" si="73"/>
        <v>22071</v>
      </c>
      <c r="V77" s="1">
        <f t="shared" si="73"/>
        <v>22071</v>
      </c>
      <c r="W77" s="1">
        <f t="shared" si="73"/>
        <v>22071</v>
      </c>
      <c r="X77" s="1">
        <f t="shared" si="73"/>
        <v>22071</v>
      </c>
      <c r="Y77" s="1">
        <f t="shared" si="73"/>
        <v>22071</v>
      </c>
      <c r="Z77" s="1">
        <f t="shared" si="73"/>
        <v>22071</v>
      </c>
      <c r="AA77" s="1">
        <f t="shared" si="73"/>
        <v>22071</v>
      </c>
    </row>
    <row r="78" spans="1:27">
      <c r="A78" s="84" t="s">
        <v>229</v>
      </c>
      <c r="B78" s="85" t="s">
        <v>228</v>
      </c>
      <c r="C78" s="85" t="s">
        <v>92</v>
      </c>
      <c r="D78" s="84" t="s">
        <v>75</v>
      </c>
      <c r="E78" s="84">
        <f>VLOOKUP(A78,'2a. SI Pop'!$A$5:$E$198,5,FALSE)</f>
        <v>2</v>
      </c>
      <c r="F78" s="89">
        <v>5</v>
      </c>
      <c r="G78" s="1">
        <f t="shared" ref="G78:AA78" si="74">F78</f>
        <v>5</v>
      </c>
      <c r="H78" s="1">
        <f t="shared" si="74"/>
        <v>5</v>
      </c>
      <c r="I78" s="1">
        <f t="shared" si="74"/>
        <v>5</v>
      </c>
      <c r="J78" s="1">
        <f t="shared" si="74"/>
        <v>5</v>
      </c>
      <c r="K78" s="1">
        <f t="shared" si="74"/>
        <v>5</v>
      </c>
      <c r="L78" s="1">
        <f t="shared" si="74"/>
        <v>5</v>
      </c>
      <c r="M78" s="1">
        <f t="shared" si="74"/>
        <v>5</v>
      </c>
      <c r="N78" s="1">
        <f t="shared" si="74"/>
        <v>5</v>
      </c>
      <c r="O78" s="1">
        <f t="shared" si="74"/>
        <v>5</v>
      </c>
      <c r="P78" s="1">
        <f t="shared" si="74"/>
        <v>5</v>
      </c>
      <c r="Q78" s="1">
        <f t="shared" si="74"/>
        <v>5</v>
      </c>
      <c r="R78" s="1">
        <f t="shared" si="74"/>
        <v>5</v>
      </c>
      <c r="S78" s="1">
        <f t="shared" si="74"/>
        <v>5</v>
      </c>
      <c r="T78" s="1">
        <f t="shared" si="74"/>
        <v>5</v>
      </c>
      <c r="U78" s="1">
        <f t="shared" si="74"/>
        <v>5</v>
      </c>
      <c r="V78" s="1">
        <f t="shared" si="74"/>
        <v>5</v>
      </c>
      <c r="W78" s="1">
        <f t="shared" si="74"/>
        <v>5</v>
      </c>
      <c r="X78" s="1">
        <f t="shared" si="74"/>
        <v>5</v>
      </c>
      <c r="Y78" s="1">
        <f t="shared" si="74"/>
        <v>5</v>
      </c>
      <c r="Z78" s="1">
        <f t="shared" si="74"/>
        <v>5</v>
      </c>
      <c r="AA78" s="1">
        <f t="shared" si="74"/>
        <v>5</v>
      </c>
    </row>
    <row r="79" spans="1:27">
      <c r="A79" s="84" t="s">
        <v>231</v>
      </c>
      <c r="B79" s="85" t="s">
        <v>230</v>
      </c>
      <c r="C79" s="85" t="s">
        <v>92</v>
      </c>
      <c r="D79" s="84" t="s">
        <v>84</v>
      </c>
      <c r="E79" s="84">
        <f>VLOOKUP(A79,'2a. SI Pop'!$A$5:$E$198,5,FALSE)</f>
        <v>1</v>
      </c>
      <c r="F79" s="89">
        <v>253274</v>
      </c>
      <c r="G79" s="1">
        <f t="shared" ref="G79:AA79" si="75">F79</f>
        <v>253274</v>
      </c>
      <c r="H79" s="1">
        <f t="shared" si="75"/>
        <v>253274</v>
      </c>
      <c r="I79" s="1">
        <f t="shared" si="75"/>
        <v>253274</v>
      </c>
      <c r="J79" s="1">
        <f t="shared" si="75"/>
        <v>253274</v>
      </c>
      <c r="K79" s="1">
        <f t="shared" si="75"/>
        <v>253274</v>
      </c>
      <c r="L79" s="1">
        <f t="shared" si="75"/>
        <v>253274</v>
      </c>
      <c r="M79" s="1">
        <f t="shared" si="75"/>
        <v>253274</v>
      </c>
      <c r="N79" s="1">
        <f t="shared" si="75"/>
        <v>253274</v>
      </c>
      <c r="O79" s="1">
        <f t="shared" si="75"/>
        <v>253274</v>
      </c>
      <c r="P79" s="1">
        <f t="shared" si="75"/>
        <v>253274</v>
      </c>
      <c r="Q79" s="1">
        <f t="shared" si="75"/>
        <v>253274</v>
      </c>
      <c r="R79" s="1">
        <f t="shared" si="75"/>
        <v>253274</v>
      </c>
      <c r="S79" s="1">
        <f t="shared" si="75"/>
        <v>253274</v>
      </c>
      <c r="T79" s="1">
        <f t="shared" si="75"/>
        <v>253274</v>
      </c>
      <c r="U79" s="1">
        <f t="shared" si="75"/>
        <v>253274</v>
      </c>
      <c r="V79" s="1">
        <f t="shared" si="75"/>
        <v>253274</v>
      </c>
      <c r="W79" s="1">
        <f t="shared" si="75"/>
        <v>253274</v>
      </c>
      <c r="X79" s="1">
        <f t="shared" si="75"/>
        <v>253274</v>
      </c>
      <c r="Y79" s="1">
        <f t="shared" si="75"/>
        <v>253274</v>
      </c>
      <c r="Z79" s="1">
        <f t="shared" si="75"/>
        <v>253274</v>
      </c>
      <c r="AA79" s="1">
        <f t="shared" si="75"/>
        <v>253274</v>
      </c>
    </row>
    <row r="80" spans="1:27">
      <c r="A80" s="84" t="s">
        <v>233</v>
      </c>
      <c r="B80" s="85" t="s">
        <v>232</v>
      </c>
      <c r="C80" s="85" t="s">
        <v>79</v>
      </c>
      <c r="D80" s="84" t="s">
        <v>87</v>
      </c>
      <c r="E80" s="84">
        <f>VLOOKUP(A80,'2a. SI Pop'!$A$5:$E$198,5,FALSE)</f>
        <v>1</v>
      </c>
      <c r="F80" s="89">
        <v>6043</v>
      </c>
      <c r="G80" s="1">
        <f t="shared" ref="G80:AA80" si="76">F80</f>
        <v>6043</v>
      </c>
      <c r="H80" s="1">
        <f t="shared" si="76"/>
        <v>6043</v>
      </c>
      <c r="I80" s="1">
        <f t="shared" si="76"/>
        <v>6043</v>
      </c>
      <c r="J80" s="1">
        <f t="shared" si="76"/>
        <v>6043</v>
      </c>
      <c r="K80" s="1">
        <f t="shared" si="76"/>
        <v>6043</v>
      </c>
      <c r="L80" s="1">
        <f t="shared" si="76"/>
        <v>6043</v>
      </c>
      <c r="M80" s="1">
        <f t="shared" si="76"/>
        <v>6043</v>
      </c>
      <c r="N80" s="1">
        <f t="shared" si="76"/>
        <v>6043</v>
      </c>
      <c r="O80" s="1">
        <f t="shared" si="76"/>
        <v>6043</v>
      </c>
      <c r="P80" s="1">
        <f t="shared" si="76"/>
        <v>6043</v>
      </c>
      <c r="Q80" s="1">
        <f t="shared" si="76"/>
        <v>6043</v>
      </c>
      <c r="R80" s="1">
        <f t="shared" si="76"/>
        <v>6043</v>
      </c>
      <c r="S80" s="1">
        <f t="shared" si="76"/>
        <v>6043</v>
      </c>
      <c r="T80" s="1">
        <f t="shared" si="76"/>
        <v>6043</v>
      </c>
      <c r="U80" s="1">
        <f t="shared" si="76"/>
        <v>6043</v>
      </c>
      <c r="V80" s="1">
        <f t="shared" si="76"/>
        <v>6043</v>
      </c>
      <c r="W80" s="1">
        <f t="shared" si="76"/>
        <v>6043</v>
      </c>
      <c r="X80" s="1">
        <f t="shared" si="76"/>
        <v>6043</v>
      </c>
      <c r="Y80" s="1">
        <f t="shared" si="76"/>
        <v>6043</v>
      </c>
      <c r="Z80" s="1">
        <f t="shared" si="76"/>
        <v>6043</v>
      </c>
      <c r="AA80" s="1">
        <f t="shared" si="76"/>
        <v>6043</v>
      </c>
    </row>
    <row r="81" spans="1:27">
      <c r="A81" s="84" t="s">
        <v>235</v>
      </c>
      <c r="B81" s="85" t="s">
        <v>234</v>
      </c>
      <c r="C81" s="85" t="s">
        <v>79</v>
      </c>
      <c r="D81" s="84" t="s">
        <v>87</v>
      </c>
      <c r="E81" s="84">
        <f>VLOOKUP(A81,'2a. SI Pop'!$A$5:$E$198,5,FALSE)</f>
        <v>1</v>
      </c>
      <c r="F81" s="89">
        <v>1308</v>
      </c>
      <c r="G81" s="1">
        <f t="shared" ref="G81:AA81" si="77">F81</f>
        <v>1308</v>
      </c>
      <c r="H81" s="1">
        <f t="shared" si="77"/>
        <v>1308</v>
      </c>
      <c r="I81" s="1">
        <f t="shared" si="77"/>
        <v>1308</v>
      </c>
      <c r="J81" s="1">
        <f t="shared" si="77"/>
        <v>1308</v>
      </c>
      <c r="K81" s="1">
        <f t="shared" si="77"/>
        <v>1308</v>
      </c>
      <c r="L81" s="1">
        <f t="shared" si="77"/>
        <v>1308</v>
      </c>
      <c r="M81" s="1">
        <f t="shared" si="77"/>
        <v>1308</v>
      </c>
      <c r="N81" s="1">
        <f t="shared" si="77"/>
        <v>1308</v>
      </c>
      <c r="O81" s="1">
        <f t="shared" si="77"/>
        <v>1308</v>
      </c>
      <c r="P81" s="1">
        <f t="shared" si="77"/>
        <v>1308</v>
      </c>
      <c r="Q81" s="1">
        <f t="shared" si="77"/>
        <v>1308</v>
      </c>
      <c r="R81" s="1">
        <f t="shared" si="77"/>
        <v>1308</v>
      </c>
      <c r="S81" s="1">
        <f t="shared" si="77"/>
        <v>1308</v>
      </c>
      <c r="T81" s="1">
        <f t="shared" si="77"/>
        <v>1308</v>
      </c>
      <c r="U81" s="1">
        <f t="shared" si="77"/>
        <v>1308</v>
      </c>
      <c r="V81" s="1">
        <f t="shared" si="77"/>
        <v>1308</v>
      </c>
      <c r="W81" s="1">
        <f t="shared" si="77"/>
        <v>1308</v>
      </c>
      <c r="X81" s="1">
        <f t="shared" si="77"/>
        <v>1308</v>
      </c>
      <c r="Y81" s="1">
        <f t="shared" si="77"/>
        <v>1308</v>
      </c>
      <c r="Z81" s="1">
        <f t="shared" si="77"/>
        <v>1308</v>
      </c>
      <c r="AA81" s="1">
        <f t="shared" si="77"/>
        <v>1308</v>
      </c>
    </row>
    <row r="82" spans="1:27">
      <c r="A82" s="84" t="s">
        <v>237</v>
      </c>
      <c r="B82" s="85" t="s">
        <v>236</v>
      </c>
      <c r="C82" s="85" t="s">
        <v>110</v>
      </c>
      <c r="D82" s="84" t="s">
        <v>84</v>
      </c>
      <c r="E82" s="84" t="str">
        <f>VLOOKUP(A82,'2a. SI Pop'!$A$5:$E$198,5,FALSE)</f>
        <v>Key</v>
      </c>
      <c r="F82" s="89">
        <v>225030</v>
      </c>
      <c r="G82" s="1">
        <f t="shared" ref="G82:AA82" si="78">F82</f>
        <v>225030</v>
      </c>
      <c r="H82" s="1">
        <f t="shared" si="78"/>
        <v>225030</v>
      </c>
      <c r="I82" s="1">
        <f t="shared" si="78"/>
        <v>225030</v>
      </c>
      <c r="J82" s="1">
        <f t="shared" si="78"/>
        <v>225030</v>
      </c>
      <c r="K82" s="1">
        <f t="shared" si="78"/>
        <v>225030</v>
      </c>
      <c r="L82" s="1">
        <f t="shared" si="78"/>
        <v>225030</v>
      </c>
      <c r="M82" s="1">
        <f t="shared" si="78"/>
        <v>225030</v>
      </c>
      <c r="N82" s="1">
        <f t="shared" si="78"/>
        <v>225030</v>
      </c>
      <c r="O82" s="1">
        <f t="shared" si="78"/>
        <v>225030</v>
      </c>
      <c r="P82" s="1">
        <f t="shared" si="78"/>
        <v>225030</v>
      </c>
      <c r="Q82" s="1">
        <f t="shared" si="78"/>
        <v>225030</v>
      </c>
      <c r="R82" s="1">
        <f t="shared" si="78"/>
        <v>225030</v>
      </c>
      <c r="S82" s="1">
        <f t="shared" si="78"/>
        <v>225030</v>
      </c>
      <c r="T82" s="1">
        <f t="shared" si="78"/>
        <v>225030</v>
      </c>
      <c r="U82" s="1">
        <f t="shared" si="78"/>
        <v>225030</v>
      </c>
      <c r="V82" s="1">
        <f t="shared" si="78"/>
        <v>225030</v>
      </c>
      <c r="W82" s="1">
        <f t="shared" si="78"/>
        <v>225030</v>
      </c>
      <c r="X82" s="1">
        <f t="shared" si="78"/>
        <v>225030</v>
      </c>
      <c r="Y82" s="1">
        <f t="shared" si="78"/>
        <v>225030</v>
      </c>
      <c r="Z82" s="1">
        <f t="shared" si="78"/>
        <v>225030</v>
      </c>
      <c r="AA82" s="1">
        <f t="shared" si="78"/>
        <v>225030</v>
      </c>
    </row>
    <row r="83" spans="1:27">
      <c r="A83" s="84" t="s">
        <v>239</v>
      </c>
      <c r="B83" s="85" t="s">
        <v>238</v>
      </c>
      <c r="C83" s="85" t="s">
        <v>110</v>
      </c>
      <c r="D83" s="84" t="s">
        <v>80</v>
      </c>
      <c r="E83" s="84" t="str">
        <f>VLOOKUP(A83,'2a. SI Pop'!$A$5:$E$198,5,FALSE)</f>
        <v>Key</v>
      </c>
      <c r="F83" s="89">
        <v>14210</v>
      </c>
      <c r="G83" s="1">
        <f t="shared" ref="G83:AA83" si="79">F83</f>
        <v>14210</v>
      </c>
      <c r="H83" s="1">
        <f t="shared" si="79"/>
        <v>14210</v>
      </c>
      <c r="I83" s="1">
        <f t="shared" si="79"/>
        <v>14210</v>
      </c>
      <c r="J83" s="1">
        <f t="shared" si="79"/>
        <v>14210</v>
      </c>
      <c r="K83" s="1">
        <f t="shared" si="79"/>
        <v>14210</v>
      </c>
      <c r="L83" s="1">
        <f t="shared" si="79"/>
        <v>14210</v>
      </c>
      <c r="M83" s="1">
        <f t="shared" si="79"/>
        <v>14210</v>
      </c>
      <c r="N83" s="1">
        <f t="shared" si="79"/>
        <v>14210</v>
      </c>
      <c r="O83" s="1">
        <f t="shared" si="79"/>
        <v>14210</v>
      </c>
      <c r="P83" s="1">
        <f t="shared" si="79"/>
        <v>14210</v>
      </c>
      <c r="Q83" s="1">
        <f t="shared" si="79"/>
        <v>14210</v>
      </c>
      <c r="R83" s="1">
        <f t="shared" si="79"/>
        <v>14210</v>
      </c>
      <c r="S83" s="1">
        <f t="shared" si="79"/>
        <v>14210</v>
      </c>
      <c r="T83" s="1">
        <f t="shared" si="79"/>
        <v>14210</v>
      </c>
      <c r="U83" s="1">
        <f t="shared" si="79"/>
        <v>14210</v>
      </c>
      <c r="V83" s="1">
        <f t="shared" si="79"/>
        <v>14210</v>
      </c>
      <c r="W83" s="1">
        <f t="shared" si="79"/>
        <v>14210</v>
      </c>
      <c r="X83" s="1">
        <f t="shared" si="79"/>
        <v>14210</v>
      </c>
      <c r="Y83" s="1">
        <f t="shared" si="79"/>
        <v>14210</v>
      </c>
      <c r="Z83" s="1">
        <f t="shared" si="79"/>
        <v>14210</v>
      </c>
      <c r="AA83" s="1">
        <f t="shared" si="79"/>
        <v>14210</v>
      </c>
    </row>
    <row r="84" spans="1:27">
      <c r="A84" s="84" t="s">
        <v>241</v>
      </c>
      <c r="B84" s="85" t="s">
        <v>240</v>
      </c>
      <c r="C84" s="85" t="s">
        <v>74</v>
      </c>
      <c r="D84" s="84" t="s">
        <v>80</v>
      </c>
      <c r="E84" s="84">
        <f>VLOOKUP(A84,'2a. SI Pop'!$A$5:$E$198,5,FALSE)</f>
        <v>2</v>
      </c>
      <c r="F84" s="89">
        <v>979468</v>
      </c>
      <c r="G84" s="1">
        <f t="shared" ref="G84:AA84" si="80">F84</f>
        <v>979468</v>
      </c>
      <c r="H84" s="1">
        <f t="shared" si="80"/>
        <v>979468</v>
      </c>
      <c r="I84" s="1">
        <f t="shared" si="80"/>
        <v>979468</v>
      </c>
      <c r="J84" s="1">
        <f t="shared" si="80"/>
        <v>979468</v>
      </c>
      <c r="K84" s="1">
        <f t="shared" si="80"/>
        <v>979468</v>
      </c>
      <c r="L84" s="1">
        <f t="shared" si="80"/>
        <v>979468</v>
      </c>
      <c r="M84" s="1">
        <f t="shared" si="80"/>
        <v>979468</v>
      </c>
      <c r="N84" s="1">
        <f t="shared" si="80"/>
        <v>979468</v>
      </c>
      <c r="O84" s="1">
        <f t="shared" si="80"/>
        <v>979468</v>
      </c>
      <c r="P84" s="1">
        <f t="shared" si="80"/>
        <v>979468</v>
      </c>
      <c r="Q84" s="1">
        <f t="shared" si="80"/>
        <v>979468</v>
      </c>
      <c r="R84" s="1">
        <f t="shared" si="80"/>
        <v>979468</v>
      </c>
      <c r="S84" s="1">
        <f t="shared" si="80"/>
        <v>979468</v>
      </c>
      <c r="T84" s="1">
        <f t="shared" si="80"/>
        <v>979468</v>
      </c>
      <c r="U84" s="1">
        <f t="shared" si="80"/>
        <v>979468</v>
      </c>
      <c r="V84" s="1">
        <f t="shared" si="80"/>
        <v>979468</v>
      </c>
      <c r="W84" s="1">
        <f t="shared" si="80"/>
        <v>979468</v>
      </c>
      <c r="X84" s="1">
        <f t="shared" si="80"/>
        <v>979468</v>
      </c>
      <c r="Y84" s="1">
        <f t="shared" si="80"/>
        <v>979468</v>
      </c>
      <c r="Z84" s="1">
        <f t="shared" si="80"/>
        <v>979468</v>
      </c>
      <c r="AA84" s="1">
        <f t="shared" si="80"/>
        <v>979468</v>
      </c>
    </row>
    <row r="85" spans="1:27">
      <c r="A85" s="84" t="s">
        <v>243</v>
      </c>
      <c r="B85" s="85" t="s">
        <v>242</v>
      </c>
      <c r="C85" s="85" t="s">
        <v>74</v>
      </c>
      <c r="D85" s="84" t="s">
        <v>80</v>
      </c>
      <c r="E85" s="84">
        <f>VLOOKUP(A85,'2a. SI Pop'!$A$5:$E$198,5,FALSE)</f>
        <v>2</v>
      </c>
      <c r="F85" s="89">
        <v>1748818</v>
      </c>
      <c r="G85" s="1">
        <f t="shared" ref="G85:AA85" si="81">F85</f>
        <v>1748818</v>
      </c>
      <c r="H85" s="1">
        <f t="shared" si="81"/>
        <v>1748818</v>
      </c>
      <c r="I85" s="1">
        <f t="shared" si="81"/>
        <v>1748818</v>
      </c>
      <c r="J85" s="1">
        <f t="shared" si="81"/>
        <v>1748818</v>
      </c>
      <c r="K85" s="1">
        <f t="shared" si="81"/>
        <v>1748818</v>
      </c>
      <c r="L85" s="1">
        <f t="shared" si="81"/>
        <v>1748818</v>
      </c>
      <c r="M85" s="1">
        <f t="shared" si="81"/>
        <v>1748818</v>
      </c>
      <c r="N85" s="1">
        <f t="shared" si="81"/>
        <v>1748818</v>
      </c>
      <c r="O85" s="1">
        <f t="shared" si="81"/>
        <v>1748818</v>
      </c>
      <c r="P85" s="1">
        <f t="shared" si="81"/>
        <v>1748818</v>
      </c>
      <c r="Q85" s="1">
        <f t="shared" si="81"/>
        <v>1748818</v>
      </c>
      <c r="R85" s="1">
        <f t="shared" si="81"/>
        <v>1748818</v>
      </c>
      <c r="S85" s="1">
        <f t="shared" si="81"/>
        <v>1748818</v>
      </c>
      <c r="T85" s="1">
        <f t="shared" si="81"/>
        <v>1748818</v>
      </c>
      <c r="U85" s="1">
        <f t="shared" si="81"/>
        <v>1748818</v>
      </c>
      <c r="V85" s="1">
        <f t="shared" si="81"/>
        <v>1748818</v>
      </c>
      <c r="W85" s="1">
        <f t="shared" si="81"/>
        <v>1748818</v>
      </c>
      <c r="X85" s="1">
        <f t="shared" si="81"/>
        <v>1748818</v>
      </c>
      <c r="Y85" s="1">
        <f t="shared" si="81"/>
        <v>1748818</v>
      </c>
      <c r="Z85" s="1">
        <f t="shared" si="81"/>
        <v>1748818</v>
      </c>
      <c r="AA85" s="1">
        <f t="shared" si="81"/>
        <v>1748818</v>
      </c>
    </row>
    <row r="86" spans="1:27">
      <c r="A86" s="84" t="s">
        <v>245</v>
      </c>
      <c r="B86" s="85" t="s">
        <v>244</v>
      </c>
      <c r="C86" s="85" t="s">
        <v>79</v>
      </c>
      <c r="D86" s="84" t="s">
        <v>87</v>
      </c>
      <c r="E86" s="84">
        <f>VLOOKUP(A86,'2a. SI Pop'!$A$5:$E$198,5,FALSE)</f>
        <v>1</v>
      </c>
      <c r="F86" s="89">
        <v>15759</v>
      </c>
      <c r="G86" s="1">
        <f t="shared" ref="G86:AA86" si="82">F86</f>
        <v>15759</v>
      </c>
      <c r="H86" s="1">
        <f t="shared" si="82"/>
        <v>15759</v>
      </c>
      <c r="I86" s="1">
        <f t="shared" si="82"/>
        <v>15759</v>
      </c>
      <c r="J86" s="1">
        <f t="shared" si="82"/>
        <v>15759</v>
      </c>
      <c r="K86" s="1">
        <f t="shared" si="82"/>
        <v>15759</v>
      </c>
      <c r="L86" s="1">
        <f t="shared" si="82"/>
        <v>15759</v>
      </c>
      <c r="M86" s="1">
        <f t="shared" si="82"/>
        <v>15759</v>
      </c>
      <c r="N86" s="1">
        <f t="shared" si="82"/>
        <v>15759</v>
      </c>
      <c r="O86" s="1">
        <f t="shared" si="82"/>
        <v>15759</v>
      </c>
      <c r="P86" s="1">
        <f t="shared" si="82"/>
        <v>15759</v>
      </c>
      <c r="Q86" s="1">
        <f t="shared" si="82"/>
        <v>15759</v>
      </c>
      <c r="R86" s="1">
        <f t="shared" si="82"/>
        <v>15759</v>
      </c>
      <c r="S86" s="1">
        <f t="shared" si="82"/>
        <v>15759</v>
      </c>
      <c r="T86" s="1">
        <f t="shared" si="82"/>
        <v>15759</v>
      </c>
      <c r="U86" s="1">
        <f t="shared" si="82"/>
        <v>15759</v>
      </c>
      <c r="V86" s="1">
        <f t="shared" si="82"/>
        <v>15759</v>
      </c>
      <c r="W86" s="1">
        <f t="shared" si="82"/>
        <v>15759</v>
      </c>
      <c r="X86" s="1">
        <f t="shared" si="82"/>
        <v>15759</v>
      </c>
      <c r="Y86" s="1">
        <f t="shared" si="82"/>
        <v>15759</v>
      </c>
      <c r="Z86" s="1">
        <f t="shared" si="82"/>
        <v>15759</v>
      </c>
      <c r="AA86" s="1">
        <f t="shared" si="82"/>
        <v>15759</v>
      </c>
    </row>
    <row r="87" spans="1:27">
      <c r="A87" s="84" t="s">
        <v>247</v>
      </c>
      <c r="B87" s="85" t="s">
        <v>246</v>
      </c>
      <c r="C87" s="85" t="s">
        <v>79</v>
      </c>
      <c r="D87" s="84" t="s">
        <v>87</v>
      </c>
      <c r="E87" s="84">
        <f>VLOOKUP(A87,'2a. SI Pop'!$A$5:$E$198,5,FALSE)</f>
        <v>1</v>
      </c>
      <c r="F87" s="89">
        <v>54610</v>
      </c>
      <c r="G87" s="1">
        <f t="shared" ref="G87:AA87" si="83">F87</f>
        <v>54610</v>
      </c>
      <c r="H87" s="1">
        <f t="shared" si="83"/>
        <v>54610</v>
      </c>
      <c r="I87" s="1">
        <f t="shared" si="83"/>
        <v>54610</v>
      </c>
      <c r="J87" s="1">
        <f t="shared" si="83"/>
        <v>54610</v>
      </c>
      <c r="K87" s="1">
        <f t="shared" si="83"/>
        <v>54610</v>
      </c>
      <c r="L87" s="1">
        <f t="shared" si="83"/>
        <v>54610</v>
      </c>
      <c r="M87" s="1">
        <f t="shared" si="83"/>
        <v>54610</v>
      </c>
      <c r="N87" s="1">
        <f t="shared" si="83"/>
        <v>54610</v>
      </c>
      <c r="O87" s="1">
        <f t="shared" si="83"/>
        <v>54610</v>
      </c>
      <c r="P87" s="1">
        <f t="shared" si="83"/>
        <v>54610</v>
      </c>
      <c r="Q87" s="1">
        <f t="shared" si="83"/>
        <v>54610</v>
      </c>
      <c r="R87" s="1">
        <f t="shared" si="83"/>
        <v>54610</v>
      </c>
      <c r="S87" s="1">
        <f t="shared" si="83"/>
        <v>54610</v>
      </c>
      <c r="T87" s="1">
        <f t="shared" si="83"/>
        <v>54610</v>
      </c>
      <c r="U87" s="1">
        <f t="shared" si="83"/>
        <v>54610</v>
      </c>
      <c r="V87" s="1">
        <f t="shared" si="83"/>
        <v>54610</v>
      </c>
      <c r="W87" s="1">
        <f t="shared" si="83"/>
        <v>54610</v>
      </c>
      <c r="X87" s="1">
        <f t="shared" si="83"/>
        <v>54610</v>
      </c>
      <c r="Y87" s="1">
        <f t="shared" si="83"/>
        <v>54610</v>
      </c>
      <c r="Z87" s="1">
        <f t="shared" si="83"/>
        <v>54610</v>
      </c>
      <c r="AA87" s="1">
        <f t="shared" si="83"/>
        <v>54610</v>
      </c>
    </row>
    <row r="88" spans="1:27">
      <c r="A88" s="84" t="s">
        <v>249</v>
      </c>
      <c r="B88" s="85" t="s">
        <v>248</v>
      </c>
      <c r="C88" s="85" t="s">
        <v>79</v>
      </c>
      <c r="D88" s="84" t="s">
        <v>87</v>
      </c>
      <c r="E88" s="84">
        <f>VLOOKUP(A88,'2a. SI Pop'!$A$5:$E$198,5,FALSE)</f>
        <v>1</v>
      </c>
      <c r="F88" s="89">
        <v>270455</v>
      </c>
      <c r="G88" s="1">
        <f t="shared" ref="G88:AA88" si="84">F88</f>
        <v>270455</v>
      </c>
      <c r="H88" s="1">
        <f t="shared" si="84"/>
        <v>270455</v>
      </c>
      <c r="I88" s="1">
        <f t="shared" si="84"/>
        <v>270455</v>
      </c>
      <c r="J88" s="1">
        <f t="shared" si="84"/>
        <v>270455</v>
      </c>
      <c r="K88" s="1">
        <f t="shared" si="84"/>
        <v>270455</v>
      </c>
      <c r="L88" s="1">
        <f t="shared" si="84"/>
        <v>270455</v>
      </c>
      <c r="M88" s="1">
        <f t="shared" si="84"/>
        <v>270455</v>
      </c>
      <c r="N88" s="1">
        <f t="shared" si="84"/>
        <v>270455</v>
      </c>
      <c r="O88" s="1">
        <f t="shared" si="84"/>
        <v>270455</v>
      </c>
      <c r="P88" s="1">
        <f t="shared" si="84"/>
        <v>270455</v>
      </c>
      <c r="Q88" s="1">
        <f t="shared" si="84"/>
        <v>270455</v>
      </c>
      <c r="R88" s="1">
        <f t="shared" si="84"/>
        <v>270455</v>
      </c>
      <c r="S88" s="1">
        <f t="shared" si="84"/>
        <v>270455</v>
      </c>
      <c r="T88" s="1">
        <f t="shared" si="84"/>
        <v>270455</v>
      </c>
      <c r="U88" s="1">
        <f t="shared" si="84"/>
        <v>270455</v>
      </c>
      <c r="V88" s="1">
        <f t="shared" si="84"/>
        <v>270455</v>
      </c>
      <c r="W88" s="1">
        <f t="shared" si="84"/>
        <v>270455</v>
      </c>
      <c r="X88" s="1">
        <f t="shared" si="84"/>
        <v>270455</v>
      </c>
      <c r="Y88" s="1">
        <f t="shared" si="84"/>
        <v>270455</v>
      </c>
      <c r="Z88" s="1">
        <f t="shared" si="84"/>
        <v>270455</v>
      </c>
      <c r="AA88" s="1">
        <f t="shared" si="84"/>
        <v>270455</v>
      </c>
    </row>
    <row r="89" spans="1:27">
      <c r="A89" s="84" t="s">
        <v>251</v>
      </c>
      <c r="B89" s="85" t="s">
        <v>250</v>
      </c>
      <c r="C89" s="85" t="s">
        <v>92</v>
      </c>
      <c r="D89" s="84" t="s">
        <v>80</v>
      </c>
      <c r="E89" s="84">
        <f>VLOOKUP(A89,'2a. SI Pop'!$A$5:$E$198,5,FALSE)</f>
        <v>1</v>
      </c>
      <c r="F89" s="89">
        <v>126</v>
      </c>
      <c r="G89" s="1">
        <f t="shared" ref="G89:AA89" si="85">F89</f>
        <v>126</v>
      </c>
      <c r="H89" s="1">
        <f t="shared" si="85"/>
        <v>126</v>
      </c>
      <c r="I89" s="1">
        <f t="shared" si="85"/>
        <v>126</v>
      </c>
      <c r="J89" s="1">
        <f t="shared" si="85"/>
        <v>126</v>
      </c>
      <c r="K89" s="1">
        <f t="shared" si="85"/>
        <v>126</v>
      </c>
      <c r="L89" s="1">
        <f t="shared" si="85"/>
        <v>126</v>
      </c>
      <c r="M89" s="1">
        <f t="shared" si="85"/>
        <v>126</v>
      </c>
      <c r="N89" s="1">
        <f t="shared" si="85"/>
        <v>126</v>
      </c>
      <c r="O89" s="1">
        <f t="shared" si="85"/>
        <v>126</v>
      </c>
      <c r="P89" s="1">
        <f t="shared" si="85"/>
        <v>126</v>
      </c>
      <c r="Q89" s="1">
        <f t="shared" si="85"/>
        <v>126</v>
      </c>
      <c r="R89" s="1">
        <f t="shared" si="85"/>
        <v>126</v>
      </c>
      <c r="S89" s="1">
        <f t="shared" si="85"/>
        <v>126</v>
      </c>
      <c r="T89" s="1">
        <f t="shared" si="85"/>
        <v>126</v>
      </c>
      <c r="U89" s="1">
        <f t="shared" si="85"/>
        <v>126</v>
      </c>
      <c r="V89" s="1">
        <f t="shared" si="85"/>
        <v>126</v>
      </c>
      <c r="W89" s="1">
        <f t="shared" si="85"/>
        <v>126</v>
      </c>
      <c r="X89" s="1">
        <f t="shared" si="85"/>
        <v>126</v>
      </c>
      <c r="Y89" s="1">
        <f t="shared" si="85"/>
        <v>126</v>
      </c>
      <c r="Z89" s="1">
        <f t="shared" si="85"/>
        <v>126</v>
      </c>
      <c r="AA89" s="1">
        <f t="shared" si="85"/>
        <v>126</v>
      </c>
    </row>
    <row r="90" spans="1:27">
      <c r="A90" s="84" t="s">
        <v>253</v>
      </c>
      <c r="B90" s="85" t="s">
        <v>252</v>
      </c>
      <c r="C90" s="85" t="s">
        <v>99</v>
      </c>
      <c r="D90" s="84" t="s">
        <v>87</v>
      </c>
      <c r="E90" s="84">
        <f>VLOOKUP(A90,'2a. SI Pop'!$A$5:$E$198,5,FALSE)</f>
        <v>4</v>
      </c>
      <c r="F90" s="89">
        <v>31273</v>
      </c>
      <c r="G90" s="1">
        <f t="shared" ref="G90:AA90" si="86">F90</f>
        <v>31273</v>
      </c>
      <c r="H90" s="1">
        <f t="shared" si="86"/>
        <v>31273</v>
      </c>
      <c r="I90" s="1">
        <f t="shared" si="86"/>
        <v>31273</v>
      </c>
      <c r="J90" s="1">
        <f t="shared" si="86"/>
        <v>31273</v>
      </c>
      <c r="K90" s="1">
        <f t="shared" si="86"/>
        <v>31273</v>
      </c>
      <c r="L90" s="1">
        <f t="shared" si="86"/>
        <v>31273</v>
      </c>
      <c r="M90" s="1">
        <f t="shared" si="86"/>
        <v>31273</v>
      </c>
      <c r="N90" s="1">
        <f t="shared" si="86"/>
        <v>31273</v>
      </c>
      <c r="O90" s="1">
        <f t="shared" si="86"/>
        <v>31273</v>
      </c>
      <c r="P90" s="1">
        <f t="shared" si="86"/>
        <v>31273</v>
      </c>
      <c r="Q90" s="1">
        <f t="shared" si="86"/>
        <v>31273</v>
      </c>
      <c r="R90" s="1">
        <f t="shared" si="86"/>
        <v>31273</v>
      </c>
      <c r="S90" s="1">
        <f t="shared" si="86"/>
        <v>31273</v>
      </c>
      <c r="T90" s="1">
        <f t="shared" si="86"/>
        <v>31273</v>
      </c>
      <c r="U90" s="1">
        <f t="shared" si="86"/>
        <v>31273</v>
      </c>
      <c r="V90" s="1">
        <f t="shared" si="86"/>
        <v>31273</v>
      </c>
      <c r="W90" s="1">
        <f t="shared" si="86"/>
        <v>31273</v>
      </c>
      <c r="X90" s="1">
        <f t="shared" si="86"/>
        <v>31273</v>
      </c>
      <c r="Y90" s="1">
        <f t="shared" si="86"/>
        <v>31273</v>
      </c>
      <c r="Z90" s="1">
        <f t="shared" si="86"/>
        <v>31273</v>
      </c>
      <c r="AA90" s="1">
        <f t="shared" si="86"/>
        <v>31273</v>
      </c>
    </row>
    <row r="91" spans="1:27">
      <c r="A91" s="84" t="s">
        <v>255</v>
      </c>
      <c r="B91" s="85" t="s">
        <v>254</v>
      </c>
      <c r="C91" s="85" t="s">
        <v>74</v>
      </c>
      <c r="D91" s="84" t="s">
        <v>80</v>
      </c>
      <c r="E91" s="84">
        <f>VLOOKUP(A91,'2a. SI Pop'!$A$5:$E$198,5,FALSE)</f>
        <v>2</v>
      </c>
      <c r="F91" s="89">
        <v>747069</v>
      </c>
      <c r="G91" s="1">
        <f t="shared" ref="G91:AA91" si="87">F91</f>
        <v>747069</v>
      </c>
      <c r="H91" s="1">
        <f t="shared" si="87"/>
        <v>747069</v>
      </c>
      <c r="I91" s="1">
        <f t="shared" si="87"/>
        <v>747069</v>
      </c>
      <c r="J91" s="1">
        <f t="shared" si="87"/>
        <v>747069</v>
      </c>
      <c r="K91" s="1">
        <f t="shared" si="87"/>
        <v>747069</v>
      </c>
      <c r="L91" s="1">
        <f t="shared" si="87"/>
        <v>747069</v>
      </c>
      <c r="M91" s="1">
        <f t="shared" si="87"/>
        <v>747069</v>
      </c>
      <c r="N91" s="1">
        <f t="shared" si="87"/>
        <v>747069</v>
      </c>
      <c r="O91" s="1">
        <f t="shared" si="87"/>
        <v>747069</v>
      </c>
      <c r="P91" s="1">
        <f t="shared" si="87"/>
        <v>747069</v>
      </c>
      <c r="Q91" s="1">
        <f t="shared" si="87"/>
        <v>747069</v>
      </c>
      <c r="R91" s="1">
        <f t="shared" si="87"/>
        <v>747069</v>
      </c>
      <c r="S91" s="1">
        <f t="shared" si="87"/>
        <v>747069</v>
      </c>
      <c r="T91" s="1">
        <f t="shared" si="87"/>
        <v>747069</v>
      </c>
      <c r="U91" s="1">
        <f t="shared" si="87"/>
        <v>747069</v>
      </c>
      <c r="V91" s="1">
        <f t="shared" si="87"/>
        <v>747069</v>
      </c>
      <c r="W91" s="1">
        <f t="shared" si="87"/>
        <v>747069</v>
      </c>
      <c r="X91" s="1">
        <f t="shared" si="87"/>
        <v>747069</v>
      </c>
      <c r="Y91" s="1">
        <f t="shared" si="87"/>
        <v>747069</v>
      </c>
      <c r="Z91" s="1">
        <f t="shared" si="87"/>
        <v>747069</v>
      </c>
      <c r="AA91" s="1">
        <f t="shared" si="87"/>
        <v>747069</v>
      </c>
    </row>
    <row r="92" spans="1:27">
      <c r="A92" s="84" t="s">
        <v>257</v>
      </c>
      <c r="B92" s="85" t="s">
        <v>256</v>
      </c>
      <c r="C92" s="85" t="s">
        <v>79</v>
      </c>
      <c r="D92" s="84" t="s">
        <v>80</v>
      </c>
      <c r="E92" s="84">
        <f>VLOOKUP(A92,'2a. SI Pop'!$A$5:$E$198,5,FALSE)</f>
        <v>2</v>
      </c>
      <c r="F92" s="89">
        <v>9114</v>
      </c>
      <c r="G92" s="1">
        <f t="shared" ref="G92:AA92" si="88">F92</f>
        <v>9114</v>
      </c>
      <c r="H92" s="1">
        <f t="shared" si="88"/>
        <v>9114</v>
      </c>
      <c r="I92" s="1">
        <f t="shared" si="88"/>
        <v>9114</v>
      </c>
      <c r="J92" s="1">
        <f t="shared" si="88"/>
        <v>9114</v>
      </c>
      <c r="K92" s="1">
        <f t="shared" si="88"/>
        <v>9114</v>
      </c>
      <c r="L92" s="1">
        <f t="shared" si="88"/>
        <v>9114</v>
      </c>
      <c r="M92" s="1">
        <f t="shared" si="88"/>
        <v>9114</v>
      </c>
      <c r="N92" s="1">
        <f t="shared" si="88"/>
        <v>9114</v>
      </c>
      <c r="O92" s="1">
        <f t="shared" si="88"/>
        <v>9114</v>
      </c>
      <c r="P92" s="1">
        <f t="shared" si="88"/>
        <v>9114</v>
      </c>
      <c r="Q92" s="1">
        <f t="shared" si="88"/>
        <v>9114</v>
      </c>
      <c r="R92" s="1">
        <f t="shared" si="88"/>
        <v>9114</v>
      </c>
      <c r="S92" s="1">
        <f t="shared" si="88"/>
        <v>9114</v>
      </c>
      <c r="T92" s="1">
        <f t="shared" si="88"/>
        <v>9114</v>
      </c>
      <c r="U92" s="1">
        <f t="shared" si="88"/>
        <v>9114</v>
      </c>
      <c r="V92" s="1">
        <f t="shared" si="88"/>
        <v>9114</v>
      </c>
      <c r="W92" s="1">
        <f t="shared" si="88"/>
        <v>9114</v>
      </c>
      <c r="X92" s="1">
        <f t="shared" si="88"/>
        <v>9114</v>
      </c>
      <c r="Y92" s="1">
        <f t="shared" si="88"/>
        <v>9114</v>
      </c>
      <c r="Z92" s="1">
        <f t="shared" si="88"/>
        <v>9114</v>
      </c>
      <c r="AA92" s="1">
        <f t="shared" si="88"/>
        <v>9114</v>
      </c>
    </row>
    <row r="93" spans="1:27">
      <c r="A93" s="84" t="s">
        <v>259</v>
      </c>
      <c r="B93" s="85" t="s">
        <v>258</v>
      </c>
      <c r="C93" s="85" t="s">
        <v>83</v>
      </c>
      <c r="D93" s="84" t="s">
        <v>84</v>
      </c>
      <c r="E93" s="84">
        <f>VLOOKUP(A93,'2a. SI Pop'!$A$5:$E$198,5,FALSE)</f>
        <v>3</v>
      </c>
      <c r="F93" s="89">
        <v>508225</v>
      </c>
      <c r="G93" s="1">
        <f t="shared" ref="G93:AA93" si="89">F93</f>
        <v>508225</v>
      </c>
      <c r="H93" s="1">
        <f t="shared" si="89"/>
        <v>508225</v>
      </c>
      <c r="I93" s="1">
        <f t="shared" si="89"/>
        <v>508225</v>
      </c>
      <c r="J93" s="1">
        <f t="shared" si="89"/>
        <v>508225</v>
      </c>
      <c r="K93" s="1">
        <f t="shared" si="89"/>
        <v>508225</v>
      </c>
      <c r="L93" s="1">
        <f t="shared" si="89"/>
        <v>508225</v>
      </c>
      <c r="M93" s="1">
        <f t="shared" si="89"/>
        <v>508225</v>
      </c>
      <c r="N93" s="1">
        <f t="shared" si="89"/>
        <v>508225</v>
      </c>
      <c r="O93" s="1">
        <f t="shared" si="89"/>
        <v>508225</v>
      </c>
      <c r="P93" s="1">
        <f t="shared" si="89"/>
        <v>508225</v>
      </c>
      <c r="Q93" s="1">
        <f t="shared" si="89"/>
        <v>508225</v>
      </c>
      <c r="R93" s="1">
        <f t="shared" si="89"/>
        <v>508225</v>
      </c>
      <c r="S93" s="1">
        <f t="shared" si="89"/>
        <v>508225</v>
      </c>
      <c r="T93" s="1">
        <f t="shared" si="89"/>
        <v>508225</v>
      </c>
      <c r="U93" s="1">
        <f t="shared" si="89"/>
        <v>508225</v>
      </c>
      <c r="V93" s="1">
        <f t="shared" si="89"/>
        <v>508225</v>
      </c>
      <c r="W93" s="1">
        <f t="shared" si="89"/>
        <v>508225</v>
      </c>
      <c r="X93" s="1">
        <f t="shared" si="89"/>
        <v>508225</v>
      </c>
      <c r="Y93" s="1">
        <f t="shared" si="89"/>
        <v>508225</v>
      </c>
      <c r="Z93" s="1">
        <f t="shared" si="89"/>
        <v>508225</v>
      </c>
      <c r="AA93" s="1">
        <f t="shared" si="89"/>
        <v>508225</v>
      </c>
    </row>
    <row r="94" spans="1:27">
      <c r="A94" s="84" t="s">
        <v>261</v>
      </c>
      <c r="B94" s="85" t="s">
        <v>260</v>
      </c>
      <c r="C94" s="85" t="s">
        <v>99</v>
      </c>
      <c r="D94" s="84" t="s">
        <v>84</v>
      </c>
      <c r="E94" s="84">
        <f>VLOOKUP(A94,'2a. SI Pop'!$A$5:$E$198,5,FALSE)</f>
        <v>4</v>
      </c>
      <c r="F94" s="89">
        <v>0</v>
      </c>
      <c r="G94" s="1">
        <f t="shared" ref="G94:AA94" si="90">F94</f>
        <v>0</v>
      </c>
      <c r="H94" s="1">
        <f t="shared" si="90"/>
        <v>0</v>
      </c>
      <c r="I94" s="1">
        <f t="shared" si="90"/>
        <v>0</v>
      </c>
      <c r="J94" s="1">
        <f t="shared" si="90"/>
        <v>0</v>
      </c>
      <c r="K94" s="1">
        <f t="shared" si="90"/>
        <v>0</v>
      </c>
      <c r="L94" s="1">
        <f t="shared" si="90"/>
        <v>0</v>
      </c>
      <c r="M94" s="1">
        <f t="shared" si="90"/>
        <v>0</v>
      </c>
      <c r="N94" s="1">
        <f t="shared" si="90"/>
        <v>0</v>
      </c>
      <c r="O94" s="1">
        <f t="shared" si="90"/>
        <v>0</v>
      </c>
      <c r="P94" s="1">
        <f t="shared" si="90"/>
        <v>0</v>
      </c>
      <c r="Q94" s="1">
        <f t="shared" si="90"/>
        <v>0</v>
      </c>
      <c r="R94" s="1">
        <f t="shared" si="90"/>
        <v>0</v>
      </c>
      <c r="S94" s="1">
        <f t="shared" si="90"/>
        <v>0</v>
      </c>
      <c r="T94" s="1">
        <f t="shared" si="90"/>
        <v>0</v>
      </c>
      <c r="U94" s="1">
        <f t="shared" si="90"/>
        <v>0</v>
      </c>
      <c r="V94" s="1">
        <f t="shared" si="90"/>
        <v>0</v>
      </c>
      <c r="W94" s="1">
        <f t="shared" si="90"/>
        <v>0</v>
      </c>
      <c r="X94" s="1">
        <f t="shared" si="90"/>
        <v>0</v>
      </c>
      <c r="Y94" s="1">
        <f t="shared" si="90"/>
        <v>0</v>
      </c>
      <c r="Z94" s="1">
        <f t="shared" si="90"/>
        <v>0</v>
      </c>
      <c r="AA94" s="1">
        <f t="shared" si="90"/>
        <v>0</v>
      </c>
    </row>
    <row r="95" spans="1:27">
      <c r="A95" s="84" t="s">
        <v>263</v>
      </c>
      <c r="B95" s="85" t="s">
        <v>262</v>
      </c>
      <c r="C95" s="85" t="s">
        <v>99</v>
      </c>
      <c r="D95" s="84" t="s">
        <v>87</v>
      </c>
      <c r="E95" s="84">
        <f>VLOOKUP(A95,'2a. SI Pop'!$A$5:$E$198,5,FALSE)</f>
        <v>1</v>
      </c>
      <c r="F95" s="89">
        <v>28957</v>
      </c>
      <c r="G95" s="1">
        <f t="shared" ref="G95:AA95" si="91">F95</f>
        <v>28957</v>
      </c>
      <c r="H95" s="1">
        <f t="shared" si="91"/>
        <v>28957</v>
      </c>
      <c r="I95" s="1">
        <f t="shared" si="91"/>
        <v>28957</v>
      </c>
      <c r="J95" s="1">
        <f t="shared" si="91"/>
        <v>28957</v>
      </c>
      <c r="K95" s="1">
        <f t="shared" si="91"/>
        <v>28957</v>
      </c>
      <c r="L95" s="1">
        <f t="shared" si="91"/>
        <v>28957</v>
      </c>
      <c r="M95" s="1">
        <f t="shared" si="91"/>
        <v>28957</v>
      </c>
      <c r="N95" s="1">
        <f t="shared" si="91"/>
        <v>28957</v>
      </c>
      <c r="O95" s="1">
        <f t="shared" si="91"/>
        <v>28957</v>
      </c>
      <c r="P95" s="1">
        <f t="shared" si="91"/>
        <v>28957</v>
      </c>
      <c r="Q95" s="1">
        <f t="shared" si="91"/>
        <v>28957</v>
      </c>
      <c r="R95" s="1">
        <f t="shared" si="91"/>
        <v>28957</v>
      </c>
      <c r="S95" s="1">
        <f t="shared" si="91"/>
        <v>28957</v>
      </c>
      <c r="T95" s="1">
        <f t="shared" si="91"/>
        <v>28957</v>
      </c>
      <c r="U95" s="1">
        <f t="shared" si="91"/>
        <v>28957</v>
      </c>
      <c r="V95" s="1">
        <f t="shared" si="91"/>
        <v>28957</v>
      </c>
      <c r="W95" s="1">
        <f t="shared" si="91"/>
        <v>28957</v>
      </c>
      <c r="X95" s="1">
        <f t="shared" si="91"/>
        <v>28957</v>
      </c>
      <c r="Y95" s="1">
        <f t="shared" si="91"/>
        <v>28957</v>
      </c>
      <c r="Z95" s="1">
        <f t="shared" si="91"/>
        <v>28957</v>
      </c>
      <c r="AA95" s="1">
        <f t="shared" si="91"/>
        <v>28957</v>
      </c>
    </row>
    <row r="96" spans="1:27">
      <c r="A96" s="84" t="s">
        <v>265</v>
      </c>
      <c r="B96" s="85" t="s">
        <v>264</v>
      </c>
      <c r="C96" s="85" t="s">
        <v>74</v>
      </c>
      <c r="D96" s="84" t="s">
        <v>87</v>
      </c>
      <c r="E96" s="84">
        <f>VLOOKUP(A96,'2a. SI Pop'!$A$5:$E$198,5,FALSE)</f>
        <v>1</v>
      </c>
      <c r="F96" s="89">
        <v>93784</v>
      </c>
      <c r="G96" s="1">
        <f t="shared" ref="G96:AA96" si="92">F96</f>
        <v>93784</v>
      </c>
      <c r="H96" s="1">
        <f t="shared" si="92"/>
        <v>93784</v>
      </c>
      <c r="I96" s="1">
        <f t="shared" si="92"/>
        <v>93784</v>
      </c>
      <c r="J96" s="1">
        <f t="shared" si="92"/>
        <v>93784</v>
      </c>
      <c r="K96" s="1">
        <f t="shared" si="92"/>
        <v>93784</v>
      </c>
      <c r="L96" s="1">
        <f t="shared" si="92"/>
        <v>93784</v>
      </c>
      <c r="M96" s="1">
        <f t="shared" si="92"/>
        <v>93784</v>
      </c>
      <c r="N96" s="1">
        <f t="shared" si="92"/>
        <v>93784</v>
      </c>
      <c r="O96" s="1">
        <f t="shared" si="92"/>
        <v>93784</v>
      </c>
      <c r="P96" s="1">
        <f t="shared" si="92"/>
        <v>93784</v>
      </c>
      <c r="Q96" s="1">
        <f t="shared" si="92"/>
        <v>93784</v>
      </c>
      <c r="R96" s="1">
        <f t="shared" si="92"/>
        <v>93784</v>
      </c>
      <c r="S96" s="1">
        <f t="shared" si="92"/>
        <v>93784</v>
      </c>
      <c r="T96" s="1">
        <f t="shared" si="92"/>
        <v>93784</v>
      </c>
      <c r="U96" s="1">
        <f t="shared" si="92"/>
        <v>93784</v>
      </c>
      <c r="V96" s="1">
        <f t="shared" si="92"/>
        <v>93784</v>
      </c>
      <c r="W96" s="1">
        <f t="shared" si="92"/>
        <v>93784</v>
      </c>
      <c r="X96" s="1">
        <f t="shared" si="92"/>
        <v>93784</v>
      </c>
      <c r="Y96" s="1">
        <f t="shared" si="92"/>
        <v>93784</v>
      </c>
      <c r="Z96" s="1">
        <f t="shared" si="92"/>
        <v>93784</v>
      </c>
      <c r="AA96" s="1">
        <f t="shared" si="92"/>
        <v>93784</v>
      </c>
    </row>
    <row r="97" spans="1:27">
      <c r="A97" s="84" t="s">
        <v>267</v>
      </c>
      <c r="B97" s="85" t="s">
        <v>266</v>
      </c>
      <c r="C97" s="85" t="s">
        <v>79</v>
      </c>
      <c r="D97" s="84" t="s">
        <v>84</v>
      </c>
      <c r="E97" s="84">
        <f>VLOOKUP(A97,'2a. SI Pop'!$A$5:$E$198,5,FALSE)</f>
        <v>1</v>
      </c>
      <c r="F97" s="89">
        <v>570</v>
      </c>
      <c r="G97" s="1">
        <f t="shared" ref="G97:AA97" si="93">F97</f>
        <v>570</v>
      </c>
      <c r="H97" s="1">
        <f t="shared" si="93"/>
        <v>570</v>
      </c>
      <c r="I97" s="1">
        <f t="shared" si="93"/>
        <v>570</v>
      </c>
      <c r="J97" s="1">
        <f t="shared" si="93"/>
        <v>570</v>
      </c>
      <c r="K97" s="1">
        <f t="shared" si="93"/>
        <v>570</v>
      </c>
      <c r="L97" s="1">
        <f t="shared" si="93"/>
        <v>570</v>
      </c>
      <c r="M97" s="1">
        <f t="shared" si="93"/>
        <v>570</v>
      </c>
      <c r="N97" s="1">
        <f t="shared" si="93"/>
        <v>570</v>
      </c>
      <c r="O97" s="1">
        <f t="shared" si="93"/>
        <v>570</v>
      </c>
      <c r="P97" s="1">
        <f t="shared" si="93"/>
        <v>570</v>
      </c>
      <c r="Q97" s="1">
        <f t="shared" si="93"/>
        <v>570</v>
      </c>
      <c r="R97" s="1">
        <f t="shared" si="93"/>
        <v>570</v>
      </c>
      <c r="S97" s="1">
        <f t="shared" si="93"/>
        <v>570</v>
      </c>
      <c r="T97" s="1">
        <f t="shared" si="93"/>
        <v>570</v>
      </c>
      <c r="U97" s="1">
        <f t="shared" si="93"/>
        <v>570</v>
      </c>
      <c r="V97" s="1">
        <f t="shared" si="93"/>
        <v>570</v>
      </c>
      <c r="W97" s="1">
        <f t="shared" si="93"/>
        <v>570</v>
      </c>
      <c r="X97" s="1">
        <f t="shared" si="93"/>
        <v>570</v>
      </c>
      <c r="Y97" s="1">
        <f t="shared" si="93"/>
        <v>570</v>
      </c>
      <c r="Z97" s="1">
        <f t="shared" si="93"/>
        <v>570</v>
      </c>
      <c r="AA97" s="1">
        <f t="shared" si="93"/>
        <v>570</v>
      </c>
    </row>
    <row r="98" spans="1:27">
      <c r="A98" s="84" t="s">
        <v>269</v>
      </c>
      <c r="B98" s="85" t="s">
        <v>268</v>
      </c>
      <c r="C98" s="85" t="s">
        <v>99</v>
      </c>
      <c r="D98" s="84" t="s">
        <v>84</v>
      </c>
      <c r="E98" s="84">
        <f>VLOOKUP(A98,'2a. SI Pop'!$A$5:$E$198,5,FALSE)</f>
        <v>4</v>
      </c>
      <c r="F98" s="89">
        <v>0</v>
      </c>
      <c r="G98" s="1">
        <f t="shared" ref="G98:AA98" si="94">F98</f>
        <v>0</v>
      </c>
      <c r="H98" s="1">
        <f t="shared" si="94"/>
        <v>0</v>
      </c>
      <c r="I98" s="1">
        <f t="shared" si="94"/>
        <v>0</v>
      </c>
      <c r="J98" s="1">
        <f t="shared" si="94"/>
        <v>0</v>
      </c>
      <c r="K98" s="1">
        <f t="shared" si="94"/>
        <v>0</v>
      </c>
      <c r="L98" s="1">
        <f t="shared" si="94"/>
        <v>0</v>
      </c>
      <c r="M98" s="1">
        <f t="shared" si="94"/>
        <v>0</v>
      </c>
      <c r="N98" s="1">
        <f t="shared" si="94"/>
        <v>0</v>
      </c>
      <c r="O98" s="1">
        <f t="shared" si="94"/>
        <v>0</v>
      </c>
      <c r="P98" s="1">
        <f t="shared" si="94"/>
        <v>0</v>
      </c>
      <c r="Q98" s="1">
        <f t="shared" si="94"/>
        <v>0</v>
      </c>
      <c r="R98" s="1">
        <f t="shared" si="94"/>
        <v>0</v>
      </c>
      <c r="S98" s="1">
        <f t="shared" si="94"/>
        <v>0</v>
      </c>
      <c r="T98" s="1">
        <f t="shared" si="94"/>
        <v>0</v>
      </c>
      <c r="U98" s="1">
        <f t="shared" si="94"/>
        <v>0</v>
      </c>
      <c r="V98" s="1">
        <f t="shared" si="94"/>
        <v>0</v>
      </c>
      <c r="W98" s="1">
        <f t="shared" si="94"/>
        <v>0</v>
      </c>
      <c r="X98" s="1">
        <f t="shared" si="94"/>
        <v>0</v>
      </c>
      <c r="Y98" s="1">
        <f t="shared" si="94"/>
        <v>0</v>
      </c>
      <c r="Z98" s="1">
        <f t="shared" si="94"/>
        <v>0</v>
      </c>
      <c r="AA98" s="1">
        <f t="shared" si="94"/>
        <v>0</v>
      </c>
    </row>
    <row r="99" spans="1:27">
      <c r="A99" s="84" t="s">
        <v>271</v>
      </c>
      <c r="B99" s="85" t="s">
        <v>270</v>
      </c>
      <c r="C99" s="85" t="s">
        <v>79</v>
      </c>
      <c r="D99" s="84" t="s">
        <v>87</v>
      </c>
      <c r="E99" s="84">
        <f>VLOOKUP(A99,'2a. SI Pop'!$A$5:$E$198,5,FALSE)</f>
        <v>1</v>
      </c>
      <c r="F99" s="89">
        <v>217556</v>
      </c>
      <c r="G99" s="1">
        <f t="shared" ref="G99:AA99" si="95">F99</f>
        <v>217556</v>
      </c>
      <c r="H99" s="1">
        <f t="shared" si="95"/>
        <v>217556</v>
      </c>
      <c r="I99" s="1">
        <f t="shared" si="95"/>
        <v>217556</v>
      </c>
      <c r="J99" s="1">
        <f t="shared" si="95"/>
        <v>217556</v>
      </c>
      <c r="K99" s="1">
        <f t="shared" si="95"/>
        <v>217556</v>
      </c>
      <c r="L99" s="1">
        <f t="shared" si="95"/>
        <v>217556</v>
      </c>
      <c r="M99" s="1">
        <f t="shared" si="95"/>
        <v>217556</v>
      </c>
      <c r="N99" s="1">
        <f t="shared" si="95"/>
        <v>217556</v>
      </c>
      <c r="O99" s="1">
        <f t="shared" si="95"/>
        <v>217556</v>
      </c>
      <c r="P99" s="1">
        <f t="shared" si="95"/>
        <v>217556</v>
      </c>
      <c r="Q99" s="1">
        <f t="shared" si="95"/>
        <v>217556</v>
      </c>
      <c r="R99" s="1">
        <f t="shared" si="95"/>
        <v>217556</v>
      </c>
      <c r="S99" s="1">
        <f t="shared" si="95"/>
        <v>217556</v>
      </c>
      <c r="T99" s="1">
        <f t="shared" si="95"/>
        <v>217556</v>
      </c>
      <c r="U99" s="1">
        <f t="shared" si="95"/>
        <v>217556</v>
      </c>
      <c r="V99" s="1">
        <f t="shared" si="95"/>
        <v>217556</v>
      </c>
      <c r="W99" s="1">
        <f t="shared" si="95"/>
        <v>217556</v>
      </c>
      <c r="X99" s="1">
        <f t="shared" si="95"/>
        <v>217556</v>
      </c>
      <c r="Y99" s="1">
        <f t="shared" si="95"/>
        <v>217556</v>
      </c>
      <c r="Z99" s="1">
        <f t="shared" si="95"/>
        <v>217556</v>
      </c>
      <c r="AA99" s="1">
        <f t="shared" si="95"/>
        <v>217556</v>
      </c>
    </row>
    <row r="100" spans="1:27">
      <c r="A100" s="84" t="s">
        <v>273</v>
      </c>
      <c r="B100" s="85" t="s">
        <v>272</v>
      </c>
      <c r="C100" s="85" t="s">
        <v>74</v>
      </c>
      <c r="D100" s="84" t="s">
        <v>80</v>
      </c>
      <c r="E100" s="84">
        <f>VLOOKUP(A100,'2a. SI Pop'!$A$5:$E$198,5,FALSE)</f>
        <v>2</v>
      </c>
      <c r="F100" s="89">
        <v>936107</v>
      </c>
      <c r="G100" s="1">
        <f t="shared" ref="G100:AA100" si="96">F100</f>
        <v>936107</v>
      </c>
      <c r="H100" s="1">
        <f t="shared" si="96"/>
        <v>936107</v>
      </c>
      <c r="I100" s="1">
        <f t="shared" si="96"/>
        <v>936107</v>
      </c>
      <c r="J100" s="1">
        <f t="shared" si="96"/>
        <v>936107</v>
      </c>
      <c r="K100" s="1">
        <f t="shared" si="96"/>
        <v>936107</v>
      </c>
      <c r="L100" s="1">
        <f t="shared" si="96"/>
        <v>936107</v>
      </c>
      <c r="M100" s="1">
        <f t="shared" si="96"/>
        <v>936107</v>
      </c>
      <c r="N100" s="1">
        <f t="shared" si="96"/>
        <v>936107</v>
      </c>
      <c r="O100" s="1">
        <f t="shared" si="96"/>
        <v>936107</v>
      </c>
      <c r="P100" s="1">
        <f t="shared" si="96"/>
        <v>936107</v>
      </c>
      <c r="Q100" s="1">
        <f t="shared" si="96"/>
        <v>936107</v>
      </c>
      <c r="R100" s="1">
        <f t="shared" si="96"/>
        <v>936107</v>
      </c>
      <c r="S100" s="1">
        <f t="shared" si="96"/>
        <v>936107</v>
      </c>
      <c r="T100" s="1">
        <f t="shared" si="96"/>
        <v>936107</v>
      </c>
      <c r="U100" s="1">
        <f t="shared" si="96"/>
        <v>936107</v>
      </c>
      <c r="V100" s="1">
        <f t="shared" si="96"/>
        <v>936107</v>
      </c>
      <c r="W100" s="1">
        <f t="shared" si="96"/>
        <v>936107</v>
      </c>
      <c r="X100" s="1">
        <f t="shared" si="96"/>
        <v>936107</v>
      </c>
      <c r="Y100" s="1">
        <f t="shared" si="96"/>
        <v>936107</v>
      </c>
      <c r="Z100" s="1">
        <f t="shared" si="96"/>
        <v>936107</v>
      </c>
      <c r="AA100" s="1">
        <f t="shared" si="96"/>
        <v>936107</v>
      </c>
    </row>
    <row r="101" spans="1:27">
      <c r="A101" s="84" t="s">
        <v>275</v>
      </c>
      <c r="B101" s="85" t="s">
        <v>274</v>
      </c>
      <c r="C101" s="85" t="s">
        <v>83</v>
      </c>
      <c r="D101" s="84" t="s">
        <v>84</v>
      </c>
      <c r="E101" s="84">
        <f>VLOOKUP(A101,'2a. SI Pop'!$A$5:$E$198,5,FALSE)</f>
        <v>3</v>
      </c>
      <c r="F101" s="89">
        <v>221</v>
      </c>
      <c r="G101" s="1">
        <f t="shared" ref="G101:AA101" si="97">F101</f>
        <v>221</v>
      </c>
      <c r="H101" s="1">
        <f t="shared" si="97"/>
        <v>221</v>
      </c>
      <c r="I101" s="1">
        <f t="shared" si="97"/>
        <v>221</v>
      </c>
      <c r="J101" s="1">
        <f t="shared" si="97"/>
        <v>221</v>
      </c>
      <c r="K101" s="1">
        <f t="shared" si="97"/>
        <v>221</v>
      </c>
      <c r="L101" s="1">
        <f t="shared" si="97"/>
        <v>221</v>
      </c>
      <c r="M101" s="1">
        <f t="shared" si="97"/>
        <v>221</v>
      </c>
      <c r="N101" s="1">
        <f t="shared" si="97"/>
        <v>221</v>
      </c>
      <c r="O101" s="1">
        <f t="shared" si="97"/>
        <v>221</v>
      </c>
      <c r="P101" s="1">
        <f t="shared" si="97"/>
        <v>221</v>
      </c>
      <c r="Q101" s="1">
        <f t="shared" si="97"/>
        <v>221</v>
      </c>
      <c r="R101" s="1">
        <f t="shared" si="97"/>
        <v>221</v>
      </c>
      <c r="S101" s="1">
        <f t="shared" si="97"/>
        <v>221</v>
      </c>
      <c r="T101" s="1">
        <f t="shared" si="97"/>
        <v>221</v>
      </c>
      <c r="U101" s="1">
        <f t="shared" si="97"/>
        <v>221</v>
      </c>
      <c r="V101" s="1">
        <f t="shared" si="97"/>
        <v>221</v>
      </c>
      <c r="W101" s="1">
        <f t="shared" si="97"/>
        <v>221</v>
      </c>
      <c r="X101" s="1">
        <f t="shared" si="97"/>
        <v>221</v>
      </c>
      <c r="Y101" s="1">
        <f t="shared" si="97"/>
        <v>221</v>
      </c>
      <c r="Z101" s="1">
        <f t="shared" si="97"/>
        <v>221</v>
      </c>
      <c r="AA101" s="1">
        <f t="shared" si="97"/>
        <v>221</v>
      </c>
    </row>
    <row r="102" spans="1:27">
      <c r="A102" s="84" t="s">
        <v>277</v>
      </c>
      <c r="B102" s="85" t="s">
        <v>276</v>
      </c>
      <c r="C102" s="85" t="s">
        <v>83</v>
      </c>
      <c r="D102" s="84" t="s">
        <v>75</v>
      </c>
      <c r="E102" s="84">
        <f>VLOOKUP(A102,'2a. SI Pop'!$A$5:$E$198,5,FALSE)</f>
        <v>3</v>
      </c>
      <c r="F102" s="89">
        <v>8235</v>
      </c>
      <c r="G102" s="1">
        <f t="shared" ref="G102:AA102" si="98">F102</f>
        <v>8235</v>
      </c>
      <c r="H102" s="1">
        <f t="shared" si="98"/>
        <v>8235</v>
      </c>
      <c r="I102" s="1">
        <f t="shared" si="98"/>
        <v>8235</v>
      </c>
      <c r="J102" s="1">
        <f t="shared" si="98"/>
        <v>8235</v>
      </c>
      <c r="K102" s="1">
        <f t="shared" si="98"/>
        <v>8235</v>
      </c>
      <c r="L102" s="1">
        <f t="shared" si="98"/>
        <v>8235</v>
      </c>
      <c r="M102" s="1">
        <f t="shared" si="98"/>
        <v>8235</v>
      </c>
      <c r="N102" s="1">
        <f t="shared" si="98"/>
        <v>8235</v>
      </c>
      <c r="O102" s="1">
        <f t="shared" si="98"/>
        <v>8235</v>
      </c>
      <c r="P102" s="1">
        <f t="shared" si="98"/>
        <v>8235</v>
      </c>
      <c r="Q102" s="1">
        <f t="shared" si="98"/>
        <v>8235</v>
      </c>
      <c r="R102" s="1">
        <f t="shared" si="98"/>
        <v>8235</v>
      </c>
      <c r="S102" s="1">
        <f t="shared" si="98"/>
        <v>8235</v>
      </c>
      <c r="T102" s="1">
        <f t="shared" si="98"/>
        <v>8235</v>
      </c>
      <c r="U102" s="1">
        <f t="shared" si="98"/>
        <v>8235</v>
      </c>
      <c r="V102" s="1">
        <f t="shared" si="98"/>
        <v>8235</v>
      </c>
      <c r="W102" s="1">
        <f t="shared" si="98"/>
        <v>8235</v>
      </c>
      <c r="X102" s="1">
        <f t="shared" si="98"/>
        <v>8235</v>
      </c>
      <c r="Y102" s="1">
        <f t="shared" si="98"/>
        <v>8235</v>
      </c>
      <c r="Z102" s="1">
        <f t="shared" si="98"/>
        <v>8235</v>
      </c>
      <c r="AA102" s="1">
        <f t="shared" si="98"/>
        <v>8235</v>
      </c>
    </row>
    <row r="103" spans="1:27">
      <c r="A103" s="84" t="s">
        <v>279</v>
      </c>
      <c r="B103" s="85" t="s">
        <v>278</v>
      </c>
      <c r="C103" s="85" t="s">
        <v>74</v>
      </c>
      <c r="D103" s="84" t="s">
        <v>80</v>
      </c>
      <c r="E103" s="84">
        <f>VLOOKUP(A103,'2a. SI Pop'!$A$5:$E$198,5,FALSE)</f>
        <v>2</v>
      </c>
      <c r="F103" s="89">
        <v>401120</v>
      </c>
      <c r="G103" s="1">
        <f t="shared" ref="G103:AA103" si="99">F103</f>
        <v>401120</v>
      </c>
      <c r="H103" s="1">
        <f t="shared" si="99"/>
        <v>401120</v>
      </c>
      <c r="I103" s="1">
        <f t="shared" si="99"/>
        <v>401120</v>
      </c>
      <c r="J103" s="1">
        <f t="shared" si="99"/>
        <v>401120</v>
      </c>
      <c r="K103" s="1">
        <f t="shared" si="99"/>
        <v>401120</v>
      </c>
      <c r="L103" s="1">
        <f t="shared" si="99"/>
        <v>401120</v>
      </c>
      <c r="M103" s="1">
        <f t="shared" si="99"/>
        <v>401120</v>
      </c>
      <c r="N103" s="1">
        <f t="shared" si="99"/>
        <v>401120</v>
      </c>
      <c r="O103" s="1">
        <f t="shared" si="99"/>
        <v>401120</v>
      </c>
      <c r="P103" s="1">
        <f t="shared" si="99"/>
        <v>401120</v>
      </c>
      <c r="Q103" s="1">
        <f t="shared" si="99"/>
        <v>401120</v>
      </c>
      <c r="R103" s="1">
        <f t="shared" si="99"/>
        <v>401120</v>
      </c>
      <c r="S103" s="1">
        <f t="shared" si="99"/>
        <v>401120</v>
      </c>
      <c r="T103" s="1">
        <f t="shared" si="99"/>
        <v>401120</v>
      </c>
      <c r="U103" s="1">
        <f t="shared" si="99"/>
        <v>401120</v>
      </c>
      <c r="V103" s="1">
        <f t="shared" si="99"/>
        <v>401120</v>
      </c>
      <c r="W103" s="1">
        <f t="shared" si="99"/>
        <v>401120</v>
      </c>
      <c r="X103" s="1">
        <f t="shared" si="99"/>
        <v>401120</v>
      </c>
      <c r="Y103" s="1">
        <f t="shared" si="99"/>
        <v>401120</v>
      </c>
      <c r="Z103" s="1">
        <f t="shared" si="99"/>
        <v>401120</v>
      </c>
      <c r="AA103" s="1">
        <f t="shared" si="99"/>
        <v>401120</v>
      </c>
    </row>
    <row r="104" spans="1:27">
      <c r="A104" s="84" t="s">
        <v>281</v>
      </c>
      <c r="B104" s="85" t="s">
        <v>280</v>
      </c>
      <c r="C104" s="85" t="s">
        <v>79</v>
      </c>
      <c r="D104" s="84" t="s">
        <v>87</v>
      </c>
      <c r="E104" s="84">
        <f>VLOOKUP(A104,'2a. SI Pop'!$A$5:$E$198,5,FALSE)</f>
        <v>1</v>
      </c>
      <c r="F104" s="89">
        <v>5135</v>
      </c>
      <c r="G104" s="1">
        <f t="shared" ref="G104:AA104" si="100">F104</f>
        <v>5135</v>
      </c>
      <c r="H104" s="1">
        <f t="shared" si="100"/>
        <v>5135</v>
      </c>
      <c r="I104" s="1">
        <f t="shared" si="100"/>
        <v>5135</v>
      </c>
      <c r="J104" s="1">
        <f t="shared" si="100"/>
        <v>5135</v>
      </c>
      <c r="K104" s="1">
        <f t="shared" si="100"/>
        <v>5135</v>
      </c>
      <c r="L104" s="1">
        <f t="shared" si="100"/>
        <v>5135</v>
      </c>
      <c r="M104" s="1">
        <f t="shared" si="100"/>
        <v>5135</v>
      </c>
      <c r="N104" s="1">
        <f t="shared" si="100"/>
        <v>5135</v>
      </c>
      <c r="O104" s="1">
        <f t="shared" si="100"/>
        <v>5135</v>
      </c>
      <c r="P104" s="1">
        <f t="shared" si="100"/>
        <v>5135</v>
      </c>
      <c r="Q104" s="1">
        <f t="shared" si="100"/>
        <v>5135</v>
      </c>
      <c r="R104" s="1">
        <f t="shared" si="100"/>
        <v>5135</v>
      </c>
      <c r="S104" s="1">
        <f t="shared" si="100"/>
        <v>5135</v>
      </c>
      <c r="T104" s="1">
        <f t="shared" si="100"/>
        <v>5135</v>
      </c>
      <c r="U104" s="1">
        <f t="shared" si="100"/>
        <v>5135</v>
      </c>
      <c r="V104" s="1">
        <f t="shared" si="100"/>
        <v>5135</v>
      </c>
      <c r="W104" s="1">
        <f t="shared" si="100"/>
        <v>5135</v>
      </c>
      <c r="X104" s="1">
        <f t="shared" si="100"/>
        <v>5135</v>
      </c>
      <c r="Y104" s="1">
        <f t="shared" si="100"/>
        <v>5135</v>
      </c>
      <c r="Z104" s="1">
        <f t="shared" si="100"/>
        <v>5135</v>
      </c>
      <c r="AA104" s="1">
        <f t="shared" si="100"/>
        <v>5135</v>
      </c>
    </row>
    <row r="105" spans="1:27">
      <c r="A105" s="84" t="s">
        <v>283</v>
      </c>
      <c r="B105" s="85" t="s">
        <v>282</v>
      </c>
      <c r="C105" s="85" t="s">
        <v>79</v>
      </c>
      <c r="D105" s="84" t="s">
        <v>87</v>
      </c>
      <c r="E105" s="84">
        <f>VLOOKUP(A105,'2a. SI Pop'!$A$5:$E$198,5,FALSE)</f>
        <v>1</v>
      </c>
      <c r="F105" s="89">
        <v>4416</v>
      </c>
      <c r="G105" s="1">
        <f t="shared" ref="G105:AA105" si="101">F105</f>
        <v>4416</v>
      </c>
      <c r="H105" s="1">
        <f t="shared" si="101"/>
        <v>4416</v>
      </c>
      <c r="I105" s="1">
        <f t="shared" si="101"/>
        <v>4416</v>
      </c>
      <c r="J105" s="1">
        <f t="shared" si="101"/>
        <v>4416</v>
      </c>
      <c r="K105" s="1">
        <f t="shared" si="101"/>
        <v>4416</v>
      </c>
      <c r="L105" s="1">
        <f t="shared" si="101"/>
        <v>4416</v>
      </c>
      <c r="M105" s="1">
        <f t="shared" si="101"/>
        <v>4416</v>
      </c>
      <c r="N105" s="1">
        <f t="shared" si="101"/>
        <v>4416</v>
      </c>
      <c r="O105" s="1">
        <f t="shared" si="101"/>
        <v>4416</v>
      </c>
      <c r="P105" s="1">
        <f t="shared" si="101"/>
        <v>4416</v>
      </c>
      <c r="Q105" s="1">
        <f t="shared" si="101"/>
        <v>4416</v>
      </c>
      <c r="R105" s="1">
        <f t="shared" si="101"/>
        <v>4416</v>
      </c>
      <c r="S105" s="1">
        <f t="shared" si="101"/>
        <v>4416</v>
      </c>
      <c r="T105" s="1">
        <f t="shared" si="101"/>
        <v>4416</v>
      </c>
      <c r="U105" s="1">
        <f t="shared" si="101"/>
        <v>4416</v>
      </c>
      <c r="V105" s="1">
        <f t="shared" si="101"/>
        <v>4416</v>
      </c>
      <c r="W105" s="1">
        <f t="shared" si="101"/>
        <v>4416</v>
      </c>
      <c r="X105" s="1">
        <f t="shared" si="101"/>
        <v>4416</v>
      </c>
      <c r="Y105" s="1">
        <f t="shared" si="101"/>
        <v>4416</v>
      </c>
      <c r="Z105" s="1">
        <f t="shared" si="101"/>
        <v>4416</v>
      </c>
      <c r="AA105" s="1">
        <f t="shared" si="101"/>
        <v>4416</v>
      </c>
    </row>
    <row r="106" spans="1:27">
      <c r="A106" s="84" t="s">
        <v>285</v>
      </c>
      <c r="B106" s="85" t="s">
        <v>284</v>
      </c>
      <c r="C106" s="85" t="s">
        <v>79</v>
      </c>
      <c r="D106" s="84" t="s">
        <v>80</v>
      </c>
      <c r="E106" s="84">
        <f>VLOOKUP(A106,'2a. SI Pop'!$A$5:$E$198,5,FALSE)</f>
        <v>1</v>
      </c>
      <c r="F106" s="89">
        <v>998</v>
      </c>
      <c r="G106" s="1">
        <f t="shared" ref="G106:AA106" si="102">F106</f>
        <v>998</v>
      </c>
      <c r="H106" s="1">
        <f t="shared" si="102"/>
        <v>998</v>
      </c>
      <c r="I106" s="1">
        <f t="shared" si="102"/>
        <v>998</v>
      </c>
      <c r="J106" s="1">
        <f t="shared" si="102"/>
        <v>998</v>
      </c>
      <c r="K106" s="1">
        <f t="shared" si="102"/>
        <v>998</v>
      </c>
      <c r="L106" s="1">
        <f t="shared" si="102"/>
        <v>998</v>
      </c>
      <c r="M106" s="1">
        <f t="shared" si="102"/>
        <v>998</v>
      </c>
      <c r="N106" s="1">
        <f t="shared" si="102"/>
        <v>998</v>
      </c>
      <c r="O106" s="1">
        <f t="shared" si="102"/>
        <v>998</v>
      </c>
      <c r="P106" s="1">
        <f t="shared" si="102"/>
        <v>998</v>
      </c>
      <c r="Q106" s="1">
        <f t="shared" si="102"/>
        <v>998</v>
      </c>
      <c r="R106" s="1">
        <f t="shared" si="102"/>
        <v>998</v>
      </c>
      <c r="S106" s="1">
        <f t="shared" si="102"/>
        <v>998</v>
      </c>
      <c r="T106" s="1">
        <f t="shared" si="102"/>
        <v>998</v>
      </c>
      <c r="U106" s="1">
        <f t="shared" si="102"/>
        <v>998</v>
      </c>
      <c r="V106" s="1">
        <f t="shared" si="102"/>
        <v>998</v>
      </c>
      <c r="W106" s="1">
        <f t="shared" si="102"/>
        <v>998</v>
      </c>
      <c r="X106" s="1">
        <f t="shared" si="102"/>
        <v>998</v>
      </c>
      <c r="Y106" s="1">
        <f t="shared" si="102"/>
        <v>998</v>
      </c>
      <c r="Z106" s="1">
        <f t="shared" si="102"/>
        <v>998</v>
      </c>
      <c r="AA106" s="1">
        <f t="shared" si="102"/>
        <v>998</v>
      </c>
    </row>
    <row r="107" spans="1:27">
      <c r="A107" s="84" t="s">
        <v>287</v>
      </c>
      <c r="B107" s="85" t="s">
        <v>286</v>
      </c>
      <c r="C107" s="85" t="s">
        <v>83</v>
      </c>
      <c r="D107" s="84" t="s">
        <v>75</v>
      </c>
      <c r="E107" s="84">
        <f>VLOOKUP(A107,'2a. SI Pop'!$A$5:$E$198,5,FALSE)</f>
        <v>3</v>
      </c>
      <c r="F107" s="89">
        <v>243</v>
      </c>
      <c r="G107" s="1">
        <f t="shared" ref="G107:AA107" si="103">F107</f>
        <v>243</v>
      </c>
      <c r="H107" s="1">
        <f t="shared" si="103"/>
        <v>243</v>
      </c>
      <c r="I107" s="1">
        <f t="shared" si="103"/>
        <v>243</v>
      </c>
      <c r="J107" s="1">
        <f t="shared" si="103"/>
        <v>243</v>
      </c>
      <c r="K107" s="1">
        <f t="shared" si="103"/>
        <v>243</v>
      </c>
      <c r="L107" s="1">
        <f t="shared" si="103"/>
        <v>243</v>
      </c>
      <c r="M107" s="1">
        <f t="shared" si="103"/>
        <v>243</v>
      </c>
      <c r="N107" s="1">
        <f t="shared" si="103"/>
        <v>243</v>
      </c>
      <c r="O107" s="1">
        <f t="shared" si="103"/>
        <v>243</v>
      </c>
      <c r="P107" s="1">
        <f t="shared" si="103"/>
        <v>243</v>
      </c>
      <c r="Q107" s="1">
        <f t="shared" si="103"/>
        <v>243</v>
      </c>
      <c r="R107" s="1">
        <f t="shared" si="103"/>
        <v>243</v>
      </c>
      <c r="S107" s="1">
        <f t="shared" si="103"/>
        <v>243</v>
      </c>
      <c r="T107" s="1">
        <f t="shared" si="103"/>
        <v>243</v>
      </c>
      <c r="U107" s="1">
        <f t="shared" si="103"/>
        <v>243</v>
      </c>
      <c r="V107" s="1">
        <f t="shared" si="103"/>
        <v>243</v>
      </c>
      <c r="W107" s="1">
        <f t="shared" si="103"/>
        <v>243</v>
      </c>
      <c r="X107" s="1">
        <f t="shared" si="103"/>
        <v>243</v>
      </c>
      <c r="Y107" s="1">
        <f t="shared" si="103"/>
        <v>243</v>
      </c>
      <c r="Z107" s="1">
        <f t="shared" si="103"/>
        <v>243</v>
      </c>
      <c r="AA107" s="1">
        <f t="shared" si="103"/>
        <v>243</v>
      </c>
    </row>
    <row r="108" spans="1:27">
      <c r="A108" s="84" t="s">
        <v>289</v>
      </c>
      <c r="B108" s="85" t="s">
        <v>288</v>
      </c>
      <c r="C108" s="85" t="s">
        <v>83</v>
      </c>
      <c r="D108" s="84" t="s">
        <v>75</v>
      </c>
      <c r="E108" s="84">
        <f>VLOOKUP(A108,'2a. SI Pop'!$A$5:$E$198,5,FALSE)</f>
        <v>3</v>
      </c>
      <c r="F108" s="89">
        <v>44616</v>
      </c>
      <c r="G108" s="1">
        <f t="shared" ref="G108:AA108" si="104">F108</f>
        <v>44616</v>
      </c>
      <c r="H108" s="1">
        <f t="shared" si="104"/>
        <v>44616</v>
      </c>
      <c r="I108" s="1">
        <f t="shared" si="104"/>
        <v>44616</v>
      </c>
      <c r="J108" s="1">
        <f t="shared" si="104"/>
        <v>44616</v>
      </c>
      <c r="K108" s="1">
        <f t="shared" si="104"/>
        <v>44616</v>
      </c>
      <c r="L108" s="1">
        <f t="shared" si="104"/>
        <v>44616</v>
      </c>
      <c r="M108" s="1">
        <f t="shared" si="104"/>
        <v>44616</v>
      </c>
      <c r="N108" s="1">
        <f t="shared" si="104"/>
        <v>44616</v>
      </c>
      <c r="O108" s="1">
        <f t="shared" si="104"/>
        <v>44616</v>
      </c>
      <c r="P108" s="1">
        <f t="shared" si="104"/>
        <v>44616</v>
      </c>
      <c r="Q108" s="1">
        <f t="shared" si="104"/>
        <v>44616</v>
      </c>
      <c r="R108" s="1">
        <f t="shared" si="104"/>
        <v>44616</v>
      </c>
      <c r="S108" s="1">
        <f t="shared" si="104"/>
        <v>44616</v>
      </c>
      <c r="T108" s="1">
        <f t="shared" si="104"/>
        <v>44616</v>
      </c>
      <c r="U108" s="1">
        <f t="shared" si="104"/>
        <v>44616</v>
      </c>
      <c r="V108" s="1">
        <f t="shared" si="104"/>
        <v>44616</v>
      </c>
      <c r="W108" s="1">
        <f t="shared" si="104"/>
        <v>44616</v>
      </c>
      <c r="X108" s="1">
        <f t="shared" si="104"/>
        <v>44616</v>
      </c>
      <c r="Y108" s="1">
        <f t="shared" si="104"/>
        <v>44616</v>
      </c>
      <c r="Z108" s="1">
        <f t="shared" si="104"/>
        <v>44616</v>
      </c>
      <c r="AA108" s="1">
        <f t="shared" si="104"/>
        <v>44616</v>
      </c>
    </row>
    <row r="109" spans="1:27">
      <c r="A109" s="84" t="s">
        <v>291</v>
      </c>
      <c r="B109" s="85" t="s">
        <v>290</v>
      </c>
      <c r="C109" s="85" t="s">
        <v>99</v>
      </c>
      <c r="D109" s="84" t="s">
        <v>80</v>
      </c>
      <c r="E109" s="84">
        <f>VLOOKUP(A109,'2a. SI Pop'!$A$5:$E$198,5,FALSE)</f>
        <v>2</v>
      </c>
      <c r="F109" s="89">
        <v>343056</v>
      </c>
      <c r="G109" s="1">
        <f t="shared" ref="G109:AA109" si="105">F109</f>
        <v>343056</v>
      </c>
      <c r="H109" s="1">
        <f t="shared" si="105"/>
        <v>343056</v>
      </c>
      <c r="I109" s="1">
        <f t="shared" si="105"/>
        <v>343056</v>
      </c>
      <c r="J109" s="1">
        <f t="shared" si="105"/>
        <v>343056</v>
      </c>
      <c r="K109" s="1">
        <f t="shared" si="105"/>
        <v>343056</v>
      </c>
      <c r="L109" s="1">
        <f t="shared" si="105"/>
        <v>343056</v>
      </c>
      <c r="M109" s="1">
        <f t="shared" si="105"/>
        <v>343056</v>
      </c>
      <c r="N109" s="1">
        <f t="shared" si="105"/>
        <v>343056</v>
      </c>
      <c r="O109" s="1">
        <f t="shared" si="105"/>
        <v>343056</v>
      </c>
      <c r="P109" s="1">
        <f t="shared" si="105"/>
        <v>343056</v>
      </c>
      <c r="Q109" s="1">
        <f t="shared" si="105"/>
        <v>343056</v>
      </c>
      <c r="R109" s="1">
        <f t="shared" si="105"/>
        <v>343056</v>
      </c>
      <c r="S109" s="1">
        <f t="shared" si="105"/>
        <v>343056</v>
      </c>
      <c r="T109" s="1">
        <f t="shared" si="105"/>
        <v>343056</v>
      </c>
      <c r="U109" s="1">
        <f t="shared" si="105"/>
        <v>343056</v>
      </c>
      <c r="V109" s="1">
        <f t="shared" si="105"/>
        <v>343056</v>
      </c>
      <c r="W109" s="1">
        <f t="shared" si="105"/>
        <v>343056</v>
      </c>
      <c r="X109" s="1">
        <f t="shared" si="105"/>
        <v>343056</v>
      </c>
      <c r="Y109" s="1">
        <f t="shared" si="105"/>
        <v>343056</v>
      </c>
      <c r="Z109" s="1">
        <f t="shared" si="105"/>
        <v>343056</v>
      </c>
      <c r="AA109" s="1">
        <f t="shared" si="105"/>
        <v>343056</v>
      </c>
    </row>
    <row r="110" spans="1:27">
      <c r="A110" s="84" t="s">
        <v>293</v>
      </c>
      <c r="B110" s="85" t="s">
        <v>292</v>
      </c>
      <c r="C110" s="85" t="s">
        <v>110</v>
      </c>
      <c r="D110" s="84" t="s">
        <v>80</v>
      </c>
      <c r="E110" s="84">
        <f>VLOOKUP(A110,'2a. SI Pop'!$A$5:$E$198,5,FALSE)</f>
        <v>2</v>
      </c>
      <c r="F110" s="89">
        <v>0</v>
      </c>
      <c r="G110" s="1">
        <f t="shared" ref="G110:AA110" si="106">F110</f>
        <v>0</v>
      </c>
      <c r="H110" s="1">
        <f t="shared" si="106"/>
        <v>0</v>
      </c>
      <c r="I110" s="1">
        <f t="shared" si="106"/>
        <v>0</v>
      </c>
      <c r="J110" s="1">
        <f t="shared" si="106"/>
        <v>0</v>
      </c>
      <c r="K110" s="1">
        <f t="shared" si="106"/>
        <v>0</v>
      </c>
      <c r="L110" s="1">
        <f t="shared" si="106"/>
        <v>0</v>
      </c>
      <c r="M110" s="1">
        <f t="shared" si="106"/>
        <v>0</v>
      </c>
      <c r="N110" s="1">
        <f t="shared" si="106"/>
        <v>0</v>
      </c>
      <c r="O110" s="1">
        <f t="shared" si="106"/>
        <v>0</v>
      </c>
      <c r="P110" s="1">
        <f t="shared" si="106"/>
        <v>0</v>
      </c>
      <c r="Q110" s="1">
        <f t="shared" si="106"/>
        <v>0</v>
      </c>
      <c r="R110" s="1">
        <f t="shared" si="106"/>
        <v>0</v>
      </c>
      <c r="S110" s="1">
        <f t="shared" si="106"/>
        <v>0</v>
      </c>
      <c r="T110" s="1">
        <f t="shared" si="106"/>
        <v>0</v>
      </c>
      <c r="U110" s="1">
        <f t="shared" si="106"/>
        <v>0</v>
      </c>
      <c r="V110" s="1">
        <f t="shared" si="106"/>
        <v>0</v>
      </c>
      <c r="W110" s="1">
        <f t="shared" si="106"/>
        <v>0</v>
      </c>
      <c r="X110" s="1">
        <f t="shared" si="106"/>
        <v>0</v>
      </c>
      <c r="Y110" s="1">
        <f t="shared" si="106"/>
        <v>0</v>
      </c>
      <c r="Z110" s="1">
        <f t="shared" si="106"/>
        <v>0</v>
      </c>
      <c r="AA110" s="1">
        <f t="shared" si="106"/>
        <v>0</v>
      </c>
    </row>
    <row r="111" spans="1:27">
      <c r="A111" s="84" t="s">
        <v>295</v>
      </c>
      <c r="B111" s="85" t="s">
        <v>294</v>
      </c>
      <c r="C111" s="85" t="s">
        <v>83</v>
      </c>
      <c r="D111" s="84" t="s">
        <v>75</v>
      </c>
      <c r="E111" s="84">
        <f>VLOOKUP(A111,'2a. SI Pop'!$A$5:$E$198,5,FALSE)</f>
        <v>3</v>
      </c>
      <c r="F111" s="89">
        <v>235424</v>
      </c>
      <c r="G111" s="1">
        <f t="shared" ref="G111:AA111" si="107">F111</f>
        <v>235424</v>
      </c>
      <c r="H111" s="1">
        <f t="shared" si="107"/>
        <v>235424</v>
      </c>
      <c r="I111" s="1">
        <f t="shared" si="107"/>
        <v>235424</v>
      </c>
      <c r="J111" s="1">
        <f t="shared" si="107"/>
        <v>235424</v>
      </c>
      <c r="K111" s="1">
        <f t="shared" si="107"/>
        <v>235424</v>
      </c>
      <c r="L111" s="1">
        <f t="shared" si="107"/>
        <v>235424</v>
      </c>
      <c r="M111" s="1">
        <f t="shared" si="107"/>
        <v>235424</v>
      </c>
      <c r="N111" s="1">
        <f t="shared" si="107"/>
        <v>235424</v>
      </c>
      <c r="O111" s="1">
        <f t="shared" si="107"/>
        <v>235424</v>
      </c>
      <c r="P111" s="1">
        <f t="shared" si="107"/>
        <v>235424</v>
      </c>
      <c r="Q111" s="1">
        <f t="shared" si="107"/>
        <v>235424</v>
      </c>
      <c r="R111" s="1">
        <f t="shared" si="107"/>
        <v>235424</v>
      </c>
      <c r="S111" s="1">
        <f t="shared" si="107"/>
        <v>235424</v>
      </c>
      <c r="T111" s="1">
        <f t="shared" si="107"/>
        <v>235424</v>
      </c>
      <c r="U111" s="1">
        <f t="shared" si="107"/>
        <v>235424</v>
      </c>
      <c r="V111" s="1">
        <f t="shared" si="107"/>
        <v>235424</v>
      </c>
      <c r="W111" s="1">
        <f t="shared" si="107"/>
        <v>235424</v>
      </c>
      <c r="X111" s="1">
        <f t="shared" si="107"/>
        <v>235424</v>
      </c>
      <c r="Y111" s="1">
        <f t="shared" si="107"/>
        <v>235424</v>
      </c>
      <c r="Z111" s="1">
        <f t="shared" si="107"/>
        <v>235424</v>
      </c>
      <c r="AA111" s="1">
        <f t="shared" si="107"/>
        <v>235424</v>
      </c>
    </row>
    <row r="112" spans="1:27">
      <c r="A112" s="84" t="s">
        <v>297</v>
      </c>
      <c r="B112" s="85" t="s">
        <v>296</v>
      </c>
      <c r="C112" s="85" t="s">
        <v>79</v>
      </c>
      <c r="D112" s="84" t="s">
        <v>87</v>
      </c>
      <c r="E112" s="84">
        <f>VLOOKUP(A112,'2a. SI Pop'!$A$5:$E$198,5,FALSE)</f>
        <v>1</v>
      </c>
      <c r="F112" s="89">
        <v>12584</v>
      </c>
      <c r="G112" s="1">
        <f t="shared" ref="G112:AA112" si="108">F112</f>
        <v>12584</v>
      </c>
      <c r="H112" s="1">
        <f t="shared" si="108"/>
        <v>12584</v>
      </c>
      <c r="I112" s="1">
        <f t="shared" si="108"/>
        <v>12584</v>
      </c>
      <c r="J112" s="1">
        <f t="shared" si="108"/>
        <v>12584</v>
      </c>
      <c r="K112" s="1">
        <f t="shared" si="108"/>
        <v>12584</v>
      </c>
      <c r="L112" s="1">
        <f t="shared" si="108"/>
        <v>12584</v>
      </c>
      <c r="M112" s="1">
        <f t="shared" si="108"/>
        <v>12584</v>
      </c>
      <c r="N112" s="1">
        <f t="shared" si="108"/>
        <v>12584</v>
      </c>
      <c r="O112" s="1">
        <f t="shared" si="108"/>
        <v>12584</v>
      </c>
      <c r="P112" s="1">
        <f t="shared" si="108"/>
        <v>12584</v>
      </c>
      <c r="Q112" s="1">
        <f t="shared" si="108"/>
        <v>12584</v>
      </c>
      <c r="R112" s="1">
        <f t="shared" si="108"/>
        <v>12584</v>
      </c>
      <c r="S112" s="1">
        <f t="shared" si="108"/>
        <v>12584</v>
      </c>
      <c r="T112" s="1">
        <f t="shared" si="108"/>
        <v>12584</v>
      </c>
      <c r="U112" s="1">
        <f t="shared" si="108"/>
        <v>12584</v>
      </c>
      <c r="V112" s="1">
        <f t="shared" si="108"/>
        <v>12584</v>
      </c>
      <c r="W112" s="1">
        <f t="shared" si="108"/>
        <v>12584</v>
      </c>
      <c r="X112" s="1">
        <f t="shared" si="108"/>
        <v>12584</v>
      </c>
      <c r="Y112" s="1">
        <f t="shared" si="108"/>
        <v>12584</v>
      </c>
      <c r="Z112" s="1">
        <f t="shared" si="108"/>
        <v>12584</v>
      </c>
      <c r="AA112" s="1">
        <f t="shared" si="108"/>
        <v>12584</v>
      </c>
    </row>
    <row r="113" spans="1:27">
      <c r="A113" s="84" t="s">
        <v>299</v>
      </c>
      <c r="B113" s="85" t="s">
        <v>298</v>
      </c>
      <c r="C113" s="85" t="s">
        <v>99</v>
      </c>
      <c r="D113" s="84" t="s">
        <v>80</v>
      </c>
      <c r="E113" s="84">
        <f>VLOOKUP(A113,'2a. SI Pop'!$A$5:$E$198,5,FALSE)</f>
        <v>1</v>
      </c>
      <c r="F113" s="89">
        <v>0</v>
      </c>
      <c r="G113" s="1">
        <f t="shared" ref="G113:AA113" si="109">F113</f>
        <v>0</v>
      </c>
      <c r="H113" s="1">
        <f t="shared" si="109"/>
        <v>0</v>
      </c>
      <c r="I113" s="1">
        <f t="shared" si="109"/>
        <v>0</v>
      </c>
      <c r="J113" s="1">
        <f t="shared" si="109"/>
        <v>0</v>
      </c>
      <c r="K113" s="1">
        <f t="shared" si="109"/>
        <v>0</v>
      </c>
      <c r="L113" s="1">
        <f t="shared" si="109"/>
        <v>0</v>
      </c>
      <c r="M113" s="1">
        <f t="shared" si="109"/>
        <v>0</v>
      </c>
      <c r="N113" s="1">
        <f t="shared" si="109"/>
        <v>0</v>
      </c>
      <c r="O113" s="1">
        <f t="shared" si="109"/>
        <v>0</v>
      </c>
      <c r="P113" s="1">
        <f t="shared" si="109"/>
        <v>0</v>
      </c>
      <c r="Q113" s="1">
        <f t="shared" si="109"/>
        <v>0</v>
      </c>
      <c r="R113" s="1">
        <f t="shared" si="109"/>
        <v>0</v>
      </c>
      <c r="S113" s="1">
        <f t="shared" si="109"/>
        <v>0</v>
      </c>
      <c r="T113" s="1">
        <f t="shared" si="109"/>
        <v>0</v>
      </c>
      <c r="U113" s="1">
        <f t="shared" si="109"/>
        <v>0</v>
      </c>
      <c r="V113" s="1">
        <f t="shared" si="109"/>
        <v>0</v>
      </c>
      <c r="W113" s="1">
        <f t="shared" si="109"/>
        <v>0</v>
      </c>
      <c r="X113" s="1">
        <f t="shared" si="109"/>
        <v>0</v>
      </c>
      <c r="Y113" s="1">
        <f t="shared" si="109"/>
        <v>0</v>
      </c>
      <c r="Z113" s="1">
        <f t="shared" si="109"/>
        <v>0</v>
      </c>
      <c r="AA113" s="1">
        <f t="shared" si="109"/>
        <v>0</v>
      </c>
    </row>
    <row r="114" spans="1:27">
      <c r="A114" s="84" t="s">
        <v>301</v>
      </c>
      <c r="B114" s="85" t="s">
        <v>300</v>
      </c>
      <c r="C114" s="85" t="s">
        <v>83</v>
      </c>
      <c r="D114" s="84" t="s">
        <v>84</v>
      </c>
      <c r="E114" s="84">
        <f>VLOOKUP(A114,'2a. SI Pop'!$A$5:$E$198,5,FALSE)</f>
        <v>3</v>
      </c>
      <c r="F114" s="89">
        <v>86434</v>
      </c>
      <c r="G114" s="1">
        <f t="shared" ref="G114:AA114" si="110">F114</f>
        <v>86434</v>
      </c>
      <c r="H114" s="1">
        <f t="shared" si="110"/>
        <v>86434</v>
      </c>
      <c r="I114" s="1">
        <f t="shared" si="110"/>
        <v>86434</v>
      </c>
      <c r="J114" s="1">
        <f t="shared" si="110"/>
        <v>86434</v>
      </c>
      <c r="K114" s="1">
        <f t="shared" si="110"/>
        <v>86434</v>
      </c>
      <c r="L114" s="1">
        <f t="shared" si="110"/>
        <v>86434</v>
      </c>
      <c r="M114" s="1">
        <f t="shared" si="110"/>
        <v>86434</v>
      </c>
      <c r="N114" s="1">
        <f t="shared" si="110"/>
        <v>86434</v>
      </c>
      <c r="O114" s="1">
        <f t="shared" si="110"/>
        <v>86434</v>
      </c>
      <c r="P114" s="1">
        <f t="shared" si="110"/>
        <v>86434</v>
      </c>
      <c r="Q114" s="1">
        <f t="shared" si="110"/>
        <v>86434</v>
      </c>
      <c r="R114" s="1">
        <f t="shared" si="110"/>
        <v>86434</v>
      </c>
      <c r="S114" s="1">
        <f t="shared" si="110"/>
        <v>86434</v>
      </c>
      <c r="T114" s="1">
        <f t="shared" si="110"/>
        <v>86434</v>
      </c>
      <c r="U114" s="1">
        <f t="shared" si="110"/>
        <v>86434</v>
      </c>
      <c r="V114" s="1">
        <f t="shared" si="110"/>
        <v>86434</v>
      </c>
      <c r="W114" s="1">
        <f t="shared" si="110"/>
        <v>86434</v>
      </c>
      <c r="X114" s="1">
        <f t="shared" si="110"/>
        <v>86434</v>
      </c>
      <c r="Y114" s="1">
        <f t="shared" si="110"/>
        <v>86434</v>
      </c>
      <c r="Z114" s="1">
        <f t="shared" si="110"/>
        <v>86434</v>
      </c>
      <c r="AA114" s="1">
        <f t="shared" si="110"/>
        <v>86434</v>
      </c>
    </row>
    <row r="115" spans="1:27">
      <c r="A115" s="84" t="s">
        <v>303</v>
      </c>
      <c r="B115" s="85" t="s">
        <v>302</v>
      </c>
      <c r="C115" s="85" t="s">
        <v>83</v>
      </c>
      <c r="D115" s="84" t="s">
        <v>87</v>
      </c>
      <c r="E115" s="84">
        <f>VLOOKUP(A115,'2a. SI Pop'!$A$5:$E$198,5,FALSE)</f>
        <v>1</v>
      </c>
      <c r="F115" s="89">
        <v>25</v>
      </c>
      <c r="G115" s="1">
        <f t="shared" ref="G115:AA115" si="111">F115</f>
        <v>25</v>
      </c>
      <c r="H115" s="1">
        <f t="shared" si="111"/>
        <v>25</v>
      </c>
      <c r="I115" s="1">
        <f t="shared" si="111"/>
        <v>25</v>
      </c>
      <c r="J115" s="1">
        <f t="shared" si="111"/>
        <v>25</v>
      </c>
      <c r="K115" s="1">
        <f t="shared" si="111"/>
        <v>25</v>
      </c>
      <c r="L115" s="1">
        <f t="shared" si="111"/>
        <v>25</v>
      </c>
      <c r="M115" s="1">
        <f t="shared" si="111"/>
        <v>25</v>
      </c>
      <c r="N115" s="1">
        <f t="shared" si="111"/>
        <v>25</v>
      </c>
      <c r="O115" s="1">
        <f t="shared" si="111"/>
        <v>25</v>
      </c>
      <c r="P115" s="1">
        <f t="shared" si="111"/>
        <v>25</v>
      </c>
      <c r="Q115" s="1">
        <f t="shared" si="111"/>
        <v>25</v>
      </c>
      <c r="R115" s="1">
        <f t="shared" si="111"/>
        <v>25</v>
      </c>
      <c r="S115" s="1">
        <f t="shared" si="111"/>
        <v>25</v>
      </c>
      <c r="T115" s="1">
        <f t="shared" si="111"/>
        <v>25</v>
      </c>
      <c r="U115" s="1">
        <f t="shared" si="111"/>
        <v>25</v>
      </c>
      <c r="V115" s="1">
        <f t="shared" si="111"/>
        <v>25</v>
      </c>
      <c r="W115" s="1">
        <f t="shared" si="111"/>
        <v>25</v>
      </c>
      <c r="X115" s="1">
        <f t="shared" si="111"/>
        <v>25</v>
      </c>
      <c r="Y115" s="1">
        <f t="shared" si="111"/>
        <v>25</v>
      </c>
      <c r="Z115" s="1">
        <f t="shared" si="111"/>
        <v>25</v>
      </c>
      <c r="AA115" s="1">
        <f t="shared" si="111"/>
        <v>25</v>
      </c>
    </row>
    <row r="116" spans="1:27">
      <c r="A116" s="84" t="s">
        <v>305</v>
      </c>
      <c r="B116" s="85" t="s">
        <v>304</v>
      </c>
      <c r="C116" s="85" t="s">
        <v>92</v>
      </c>
      <c r="D116" s="84" t="s">
        <v>80</v>
      </c>
      <c r="E116" s="84">
        <f>VLOOKUP(A116,'2a. SI Pop'!$A$5:$E$198,5,FALSE)</f>
        <v>2</v>
      </c>
      <c r="F116" s="89">
        <v>291673</v>
      </c>
      <c r="G116" s="1">
        <f t="shared" ref="G116:AA116" si="112">F116</f>
        <v>291673</v>
      </c>
      <c r="H116" s="1">
        <f t="shared" si="112"/>
        <v>291673</v>
      </c>
      <c r="I116" s="1">
        <f t="shared" si="112"/>
        <v>291673</v>
      </c>
      <c r="J116" s="1">
        <f t="shared" si="112"/>
        <v>291673</v>
      </c>
      <c r="K116" s="1">
        <f t="shared" si="112"/>
        <v>291673</v>
      </c>
      <c r="L116" s="1">
        <f t="shared" si="112"/>
        <v>291673</v>
      </c>
      <c r="M116" s="1">
        <f t="shared" si="112"/>
        <v>291673</v>
      </c>
      <c r="N116" s="1">
        <f t="shared" si="112"/>
        <v>291673</v>
      </c>
      <c r="O116" s="1">
        <f t="shared" si="112"/>
        <v>291673</v>
      </c>
      <c r="P116" s="1">
        <f t="shared" si="112"/>
        <v>291673</v>
      </c>
      <c r="Q116" s="1">
        <f t="shared" si="112"/>
        <v>291673</v>
      </c>
      <c r="R116" s="1">
        <f t="shared" si="112"/>
        <v>291673</v>
      </c>
      <c r="S116" s="1">
        <f t="shared" si="112"/>
        <v>291673</v>
      </c>
      <c r="T116" s="1">
        <f t="shared" si="112"/>
        <v>291673</v>
      </c>
      <c r="U116" s="1">
        <f t="shared" si="112"/>
        <v>291673</v>
      </c>
      <c r="V116" s="1">
        <f t="shared" si="112"/>
        <v>291673</v>
      </c>
      <c r="W116" s="1">
        <f t="shared" si="112"/>
        <v>291673</v>
      </c>
      <c r="X116" s="1">
        <f t="shared" si="112"/>
        <v>291673</v>
      </c>
      <c r="Y116" s="1">
        <f t="shared" si="112"/>
        <v>291673</v>
      </c>
      <c r="Z116" s="1">
        <f t="shared" si="112"/>
        <v>291673</v>
      </c>
      <c r="AA116" s="1">
        <f t="shared" si="112"/>
        <v>291673</v>
      </c>
    </row>
    <row r="117" spans="1:27">
      <c r="A117" s="84" t="s">
        <v>307</v>
      </c>
      <c r="B117" s="85" t="s">
        <v>306</v>
      </c>
      <c r="C117" s="85" t="s">
        <v>99</v>
      </c>
      <c r="D117" s="84" t="s">
        <v>84</v>
      </c>
      <c r="E117" s="84">
        <f>VLOOKUP(A117,'2a. SI Pop'!$A$5:$E$198,5,FALSE)</f>
        <v>1</v>
      </c>
      <c r="F117" s="89">
        <v>0</v>
      </c>
      <c r="G117" s="1">
        <f t="shared" ref="G117:AA117" si="113">F117</f>
        <v>0</v>
      </c>
      <c r="H117" s="1">
        <f t="shared" si="113"/>
        <v>0</v>
      </c>
      <c r="I117" s="1">
        <f t="shared" si="113"/>
        <v>0</v>
      </c>
      <c r="J117" s="1">
        <f t="shared" si="113"/>
        <v>0</v>
      </c>
      <c r="K117" s="1">
        <f t="shared" si="113"/>
        <v>0</v>
      </c>
      <c r="L117" s="1">
        <f t="shared" si="113"/>
        <v>0</v>
      </c>
      <c r="M117" s="1">
        <f t="shared" si="113"/>
        <v>0</v>
      </c>
      <c r="N117" s="1">
        <f t="shared" si="113"/>
        <v>0</v>
      </c>
      <c r="O117" s="1">
        <f t="shared" si="113"/>
        <v>0</v>
      </c>
      <c r="P117" s="1">
        <f t="shared" si="113"/>
        <v>0</v>
      </c>
      <c r="Q117" s="1">
        <f t="shared" si="113"/>
        <v>0</v>
      </c>
      <c r="R117" s="1">
        <f t="shared" si="113"/>
        <v>0</v>
      </c>
      <c r="S117" s="1">
        <f t="shared" si="113"/>
        <v>0</v>
      </c>
      <c r="T117" s="1">
        <f t="shared" si="113"/>
        <v>0</v>
      </c>
      <c r="U117" s="1">
        <f t="shared" si="113"/>
        <v>0</v>
      </c>
      <c r="V117" s="1">
        <f t="shared" si="113"/>
        <v>0</v>
      </c>
      <c r="W117" s="1">
        <f t="shared" si="113"/>
        <v>0</v>
      </c>
      <c r="X117" s="1">
        <f t="shared" si="113"/>
        <v>0</v>
      </c>
      <c r="Y117" s="1">
        <f t="shared" si="113"/>
        <v>0</v>
      </c>
      <c r="Z117" s="1">
        <f t="shared" si="113"/>
        <v>0</v>
      </c>
      <c r="AA117" s="1">
        <f t="shared" si="113"/>
        <v>0</v>
      </c>
    </row>
    <row r="118" spans="1:27">
      <c r="A118" s="84" t="s">
        <v>309</v>
      </c>
      <c r="B118" s="85" t="s">
        <v>308</v>
      </c>
      <c r="C118" s="85" t="s">
        <v>79</v>
      </c>
      <c r="D118" s="84" t="s">
        <v>84</v>
      </c>
      <c r="E118" s="84">
        <f>VLOOKUP(A118,'2a. SI Pop'!$A$5:$E$198,5,FALSE)</f>
        <v>1</v>
      </c>
      <c r="F118" s="89">
        <v>4007</v>
      </c>
      <c r="G118" s="1">
        <f t="shared" ref="G118:AA118" si="114">F118</f>
        <v>4007</v>
      </c>
      <c r="H118" s="1">
        <f t="shared" si="114"/>
        <v>4007</v>
      </c>
      <c r="I118" s="1">
        <f t="shared" si="114"/>
        <v>4007</v>
      </c>
      <c r="J118" s="1">
        <f t="shared" si="114"/>
        <v>4007</v>
      </c>
      <c r="K118" s="1">
        <f t="shared" si="114"/>
        <v>4007</v>
      </c>
      <c r="L118" s="1">
        <f t="shared" si="114"/>
        <v>4007</v>
      </c>
      <c r="M118" s="1">
        <f t="shared" si="114"/>
        <v>4007</v>
      </c>
      <c r="N118" s="1">
        <f t="shared" si="114"/>
        <v>4007</v>
      </c>
      <c r="O118" s="1">
        <f t="shared" si="114"/>
        <v>4007</v>
      </c>
      <c r="P118" s="1">
        <f t="shared" si="114"/>
        <v>4007</v>
      </c>
      <c r="Q118" s="1">
        <f t="shared" si="114"/>
        <v>4007</v>
      </c>
      <c r="R118" s="1">
        <f t="shared" si="114"/>
        <v>4007</v>
      </c>
      <c r="S118" s="1">
        <f t="shared" si="114"/>
        <v>4007</v>
      </c>
      <c r="T118" s="1">
        <f t="shared" si="114"/>
        <v>4007</v>
      </c>
      <c r="U118" s="1">
        <f t="shared" si="114"/>
        <v>4007</v>
      </c>
      <c r="V118" s="1">
        <f t="shared" si="114"/>
        <v>4007</v>
      </c>
      <c r="W118" s="1">
        <f t="shared" si="114"/>
        <v>4007</v>
      </c>
      <c r="X118" s="1">
        <f t="shared" si="114"/>
        <v>4007</v>
      </c>
      <c r="Y118" s="1">
        <f t="shared" si="114"/>
        <v>4007</v>
      </c>
      <c r="Z118" s="1">
        <f t="shared" si="114"/>
        <v>4007</v>
      </c>
      <c r="AA118" s="1">
        <f t="shared" si="114"/>
        <v>4007</v>
      </c>
    </row>
    <row r="119" spans="1:27">
      <c r="A119" s="84" t="s">
        <v>311</v>
      </c>
      <c r="B119" s="85" t="s">
        <v>310</v>
      </c>
      <c r="C119" s="85" t="s">
        <v>79</v>
      </c>
      <c r="D119" s="84" t="s">
        <v>87</v>
      </c>
      <c r="E119" s="84">
        <f>VLOOKUP(A119,'2a. SI Pop'!$A$5:$E$198,5,FALSE)</f>
        <v>1</v>
      </c>
      <c r="F119" s="89">
        <v>22</v>
      </c>
      <c r="G119" s="1">
        <f t="shared" ref="G119:AA119" si="115">F119</f>
        <v>22</v>
      </c>
      <c r="H119" s="1">
        <f t="shared" si="115"/>
        <v>22</v>
      </c>
      <c r="I119" s="1">
        <f t="shared" si="115"/>
        <v>22</v>
      </c>
      <c r="J119" s="1">
        <f t="shared" si="115"/>
        <v>22</v>
      </c>
      <c r="K119" s="1">
        <f t="shared" si="115"/>
        <v>22</v>
      </c>
      <c r="L119" s="1">
        <f t="shared" si="115"/>
        <v>22</v>
      </c>
      <c r="M119" s="1">
        <f t="shared" si="115"/>
        <v>22</v>
      </c>
      <c r="N119" s="1">
        <f t="shared" si="115"/>
        <v>22</v>
      </c>
      <c r="O119" s="1">
        <f t="shared" si="115"/>
        <v>22</v>
      </c>
      <c r="P119" s="1">
        <f t="shared" si="115"/>
        <v>22</v>
      </c>
      <c r="Q119" s="1">
        <f t="shared" si="115"/>
        <v>22</v>
      </c>
      <c r="R119" s="1">
        <f t="shared" si="115"/>
        <v>22</v>
      </c>
      <c r="S119" s="1">
        <f t="shared" si="115"/>
        <v>22</v>
      </c>
      <c r="T119" s="1">
        <f t="shared" si="115"/>
        <v>22</v>
      </c>
      <c r="U119" s="1">
        <f t="shared" si="115"/>
        <v>22</v>
      </c>
      <c r="V119" s="1">
        <f t="shared" si="115"/>
        <v>22</v>
      </c>
      <c r="W119" s="1">
        <f t="shared" si="115"/>
        <v>22</v>
      </c>
      <c r="X119" s="1">
        <f t="shared" si="115"/>
        <v>22</v>
      </c>
      <c r="Y119" s="1">
        <f t="shared" si="115"/>
        <v>22</v>
      </c>
      <c r="Z119" s="1">
        <f t="shared" si="115"/>
        <v>22</v>
      </c>
      <c r="AA119" s="1">
        <f t="shared" si="115"/>
        <v>22</v>
      </c>
    </row>
    <row r="120" spans="1:27">
      <c r="A120" s="84" t="s">
        <v>313</v>
      </c>
      <c r="B120" s="85" t="s">
        <v>312</v>
      </c>
      <c r="C120" s="85" t="s">
        <v>99</v>
      </c>
      <c r="D120" s="84" t="s">
        <v>84</v>
      </c>
      <c r="E120" s="84">
        <f>VLOOKUP(A120,'2a. SI Pop'!$A$5:$E$198,5,FALSE)</f>
        <v>2</v>
      </c>
      <c r="F120" s="89">
        <v>32</v>
      </c>
      <c r="G120" s="1">
        <f t="shared" ref="G120:AA120" si="116">F120</f>
        <v>32</v>
      </c>
      <c r="H120" s="1">
        <f t="shared" si="116"/>
        <v>32</v>
      </c>
      <c r="I120" s="1">
        <f t="shared" si="116"/>
        <v>32</v>
      </c>
      <c r="J120" s="1">
        <f t="shared" si="116"/>
        <v>32</v>
      </c>
      <c r="K120" s="1">
        <f t="shared" si="116"/>
        <v>32</v>
      </c>
      <c r="L120" s="1">
        <f t="shared" si="116"/>
        <v>32</v>
      </c>
      <c r="M120" s="1">
        <f t="shared" si="116"/>
        <v>32</v>
      </c>
      <c r="N120" s="1">
        <f t="shared" si="116"/>
        <v>32</v>
      </c>
      <c r="O120" s="1">
        <f t="shared" si="116"/>
        <v>32</v>
      </c>
      <c r="P120" s="1">
        <f t="shared" si="116"/>
        <v>32</v>
      </c>
      <c r="Q120" s="1">
        <f t="shared" si="116"/>
        <v>32</v>
      </c>
      <c r="R120" s="1">
        <f t="shared" si="116"/>
        <v>32</v>
      </c>
      <c r="S120" s="1">
        <f t="shared" si="116"/>
        <v>32</v>
      </c>
      <c r="T120" s="1">
        <f t="shared" si="116"/>
        <v>32</v>
      </c>
      <c r="U120" s="1">
        <f t="shared" si="116"/>
        <v>32</v>
      </c>
      <c r="V120" s="1">
        <f t="shared" si="116"/>
        <v>32</v>
      </c>
      <c r="W120" s="1">
        <f t="shared" si="116"/>
        <v>32</v>
      </c>
      <c r="X120" s="1">
        <f t="shared" si="116"/>
        <v>32</v>
      </c>
      <c r="Y120" s="1">
        <f t="shared" si="116"/>
        <v>32</v>
      </c>
      <c r="Z120" s="1">
        <f t="shared" si="116"/>
        <v>32</v>
      </c>
      <c r="AA120" s="1">
        <f t="shared" si="116"/>
        <v>32</v>
      </c>
    </row>
    <row r="121" spans="1:27">
      <c r="A121" s="84" t="s">
        <v>315</v>
      </c>
      <c r="B121" s="85" t="s">
        <v>314</v>
      </c>
      <c r="C121" s="85" t="s">
        <v>79</v>
      </c>
      <c r="D121" s="84" t="s">
        <v>80</v>
      </c>
      <c r="E121" s="84">
        <f>VLOOKUP(A121,'2a. SI Pop'!$A$5:$E$198,5,FALSE)</f>
        <v>1</v>
      </c>
      <c r="F121" s="89">
        <v>13554</v>
      </c>
      <c r="G121" s="1">
        <f t="shared" ref="G121:AA121" si="117">F121</f>
        <v>13554</v>
      </c>
      <c r="H121" s="1">
        <f t="shared" si="117"/>
        <v>13554</v>
      </c>
      <c r="I121" s="1">
        <f t="shared" si="117"/>
        <v>13554</v>
      </c>
      <c r="J121" s="1">
        <f t="shared" si="117"/>
        <v>13554</v>
      </c>
      <c r="K121" s="1">
        <f t="shared" si="117"/>
        <v>13554</v>
      </c>
      <c r="L121" s="1">
        <f t="shared" si="117"/>
        <v>13554</v>
      </c>
      <c r="M121" s="1">
        <f t="shared" si="117"/>
        <v>13554</v>
      </c>
      <c r="N121" s="1">
        <f t="shared" si="117"/>
        <v>13554</v>
      </c>
      <c r="O121" s="1">
        <f t="shared" si="117"/>
        <v>13554</v>
      </c>
      <c r="P121" s="1">
        <f t="shared" si="117"/>
        <v>13554</v>
      </c>
      <c r="Q121" s="1">
        <f t="shared" si="117"/>
        <v>13554</v>
      </c>
      <c r="R121" s="1">
        <f t="shared" si="117"/>
        <v>13554</v>
      </c>
      <c r="S121" s="1">
        <f t="shared" si="117"/>
        <v>13554</v>
      </c>
      <c r="T121" s="1">
        <f t="shared" si="117"/>
        <v>13554</v>
      </c>
      <c r="U121" s="1">
        <f t="shared" si="117"/>
        <v>13554</v>
      </c>
      <c r="V121" s="1">
        <f t="shared" si="117"/>
        <v>13554</v>
      </c>
      <c r="W121" s="1">
        <f t="shared" si="117"/>
        <v>13554</v>
      </c>
      <c r="X121" s="1">
        <f t="shared" si="117"/>
        <v>13554</v>
      </c>
      <c r="Y121" s="1">
        <f t="shared" si="117"/>
        <v>13554</v>
      </c>
      <c r="Z121" s="1">
        <f t="shared" si="117"/>
        <v>13554</v>
      </c>
      <c r="AA121" s="1">
        <f t="shared" si="117"/>
        <v>13554</v>
      </c>
    </row>
    <row r="122" spans="1:27">
      <c r="A122" s="84" t="s">
        <v>317</v>
      </c>
      <c r="B122" s="85" t="s">
        <v>316</v>
      </c>
      <c r="C122" s="85" t="s">
        <v>74</v>
      </c>
      <c r="D122" s="84" t="s">
        <v>84</v>
      </c>
      <c r="E122" s="84">
        <f>VLOOKUP(A122,'2a. SI Pop'!$A$5:$E$198,5,FALSE)</f>
        <v>3</v>
      </c>
      <c r="F122" s="89">
        <v>9715</v>
      </c>
      <c r="G122" s="1">
        <f t="shared" ref="G122:AA122" si="118">F122</f>
        <v>9715</v>
      </c>
      <c r="H122" s="1">
        <f t="shared" si="118"/>
        <v>9715</v>
      </c>
      <c r="I122" s="1">
        <f t="shared" si="118"/>
        <v>9715</v>
      </c>
      <c r="J122" s="1">
        <f t="shared" si="118"/>
        <v>9715</v>
      </c>
      <c r="K122" s="1">
        <f t="shared" si="118"/>
        <v>9715</v>
      </c>
      <c r="L122" s="1">
        <f t="shared" si="118"/>
        <v>9715</v>
      </c>
      <c r="M122" s="1">
        <f t="shared" si="118"/>
        <v>9715</v>
      </c>
      <c r="N122" s="1">
        <f t="shared" si="118"/>
        <v>9715</v>
      </c>
      <c r="O122" s="1">
        <f t="shared" si="118"/>
        <v>9715</v>
      </c>
      <c r="P122" s="1">
        <f t="shared" si="118"/>
        <v>9715</v>
      </c>
      <c r="Q122" s="1">
        <f t="shared" si="118"/>
        <v>9715</v>
      </c>
      <c r="R122" s="1">
        <f t="shared" si="118"/>
        <v>9715</v>
      </c>
      <c r="S122" s="1">
        <f t="shared" si="118"/>
        <v>9715</v>
      </c>
      <c r="T122" s="1">
        <f t="shared" si="118"/>
        <v>9715</v>
      </c>
      <c r="U122" s="1">
        <f t="shared" si="118"/>
        <v>9715</v>
      </c>
      <c r="V122" s="1">
        <f t="shared" si="118"/>
        <v>9715</v>
      </c>
      <c r="W122" s="1">
        <f t="shared" si="118"/>
        <v>9715</v>
      </c>
      <c r="X122" s="1">
        <f t="shared" si="118"/>
        <v>9715</v>
      </c>
      <c r="Y122" s="1">
        <f t="shared" si="118"/>
        <v>9715</v>
      </c>
      <c r="Z122" s="1">
        <f t="shared" si="118"/>
        <v>9715</v>
      </c>
      <c r="AA122" s="1">
        <f t="shared" si="118"/>
        <v>9715</v>
      </c>
    </row>
    <row r="123" spans="1:27">
      <c r="A123" s="84" t="s">
        <v>319</v>
      </c>
      <c r="B123" s="85" t="s">
        <v>318</v>
      </c>
      <c r="C123" s="85" t="s">
        <v>83</v>
      </c>
      <c r="D123" s="84" t="s">
        <v>75</v>
      </c>
      <c r="E123" s="84" t="str">
        <f>VLOOKUP(A123,'2a. SI Pop'!$A$5:$E$198,5,FALSE)</f>
        <v>Key</v>
      </c>
      <c r="F123" s="89">
        <v>206204</v>
      </c>
      <c r="G123" s="1">
        <f t="shared" ref="G123:AA123" si="119">F123</f>
        <v>206204</v>
      </c>
      <c r="H123" s="1">
        <f t="shared" si="119"/>
        <v>206204</v>
      </c>
      <c r="I123" s="1">
        <f t="shared" si="119"/>
        <v>206204</v>
      </c>
      <c r="J123" s="1">
        <f t="shared" si="119"/>
        <v>206204</v>
      </c>
      <c r="K123" s="1">
        <f t="shared" si="119"/>
        <v>206204</v>
      </c>
      <c r="L123" s="1">
        <f t="shared" si="119"/>
        <v>206204</v>
      </c>
      <c r="M123" s="1">
        <f t="shared" si="119"/>
        <v>206204</v>
      </c>
      <c r="N123" s="1">
        <f t="shared" si="119"/>
        <v>206204</v>
      </c>
      <c r="O123" s="1">
        <f t="shared" si="119"/>
        <v>206204</v>
      </c>
      <c r="P123" s="1">
        <f t="shared" si="119"/>
        <v>206204</v>
      </c>
      <c r="Q123" s="1">
        <f t="shared" si="119"/>
        <v>206204</v>
      </c>
      <c r="R123" s="1">
        <f t="shared" si="119"/>
        <v>206204</v>
      </c>
      <c r="S123" s="1">
        <f t="shared" si="119"/>
        <v>206204</v>
      </c>
      <c r="T123" s="1">
        <f t="shared" si="119"/>
        <v>206204</v>
      </c>
      <c r="U123" s="1">
        <f t="shared" si="119"/>
        <v>206204</v>
      </c>
      <c r="V123" s="1">
        <f t="shared" si="119"/>
        <v>206204</v>
      </c>
      <c r="W123" s="1">
        <f t="shared" si="119"/>
        <v>206204</v>
      </c>
      <c r="X123" s="1">
        <f t="shared" si="119"/>
        <v>206204</v>
      </c>
      <c r="Y123" s="1">
        <f t="shared" si="119"/>
        <v>206204</v>
      </c>
      <c r="Z123" s="1">
        <f t="shared" si="119"/>
        <v>206204</v>
      </c>
      <c r="AA123" s="1">
        <f t="shared" si="119"/>
        <v>206204</v>
      </c>
    </row>
    <row r="124" spans="1:27">
      <c r="A124" s="84" t="s">
        <v>321</v>
      </c>
      <c r="B124" s="85" t="s">
        <v>320</v>
      </c>
      <c r="C124" s="85" t="s">
        <v>110</v>
      </c>
      <c r="D124" s="84" t="s">
        <v>84</v>
      </c>
      <c r="E124" s="84">
        <f>VLOOKUP(A124,'2a. SI Pop'!$A$5:$E$198,5,FALSE)</f>
        <v>4</v>
      </c>
      <c r="F124" s="89">
        <v>912018</v>
      </c>
      <c r="G124" s="1">
        <f t="shared" ref="G124:AA124" si="120">F124</f>
        <v>912018</v>
      </c>
      <c r="H124" s="1">
        <f t="shared" si="120"/>
        <v>912018</v>
      </c>
      <c r="I124" s="1">
        <f t="shared" si="120"/>
        <v>912018</v>
      </c>
      <c r="J124" s="1">
        <f t="shared" si="120"/>
        <v>912018</v>
      </c>
      <c r="K124" s="1">
        <f t="shared" si="120"/>
        <v>912018</v>
      </c>
      <c r="L124" s="1">
        <f t="shared" si="120"/>
        <v>912018</v>
      </c>
      <c r="M124" s="1">
        <f t="shared" si="120"/>
        <v>912018</v>
      </c>
      <c r="N124" s="1">
        <f t="shared" si="120"/>
        <v>912018</v>
      </c>
      <c r="O124" s="1">
        <f t="shared" si="120"/>
        <v>912018</v>
      </c>
      <c r="P124" s="1">
        <f t="shared" si="120"/>
        <v>912018</v>
      </c>
      <c r="Q124" s="1">
        <f t="shared" si="120"/>
        <v>912018</v>
      </c>
      <c r="R124" s="1">
        <f t="shared" si="120"/>
        <v>912018</v>
      </c>
      <c r="S124" s="1">
        <f t="shared" si="120"/>
        <v>912018</v>
      </c>
      <c r="T124" s="1">
        <f t="shared" si="120"/>
        <v>912018</v>
      </c>
      <c r="U124" s="1">
        <f t="shared" si="120"/>
        <v>912018</v>
      </c>
      <c r="V124" s="1">
        <f t="shared" si="120"/>
        <v>912018</v>
      </c>
      <c r="W124" s="1">
        <f t="shared" si="120"/>
        <v>912018</v>
      </c>
      <c r="X124" s="1">
        <f t="shared" si="120"/>
        <v>912018</v>
      </c>
      <c r="Y124" s="1">
        <f t="shared" si="120"/>
        <v>912018</v>
      </c>
      <c r="Z124" s="1">
        <f t="shared" si="120"/>
        <v>912018</v>
      </c>
      <c r="AA124" s="1">
        <f t="shared" si="120"/>
        <v>912018</v>
      </c>
    </row>
    <row r="125" spans="1:27">
      <c r="A125" s="84" t="s">
        <v>323</v>
      </c>
      <c r="B125" s="85" t="s">
        <v>322</v>
      </c>
      <c r="C125" s="85" t="s">
        <v>83</v>
      </c>
      <c r="D125" s="84" t="s">
        <v>80</v>
      </c>
      <c r="E125" s="84">
        <f>VLOOKUP(A125,'2a. SI Pop'!$A$5:$E$198,5,FALSE)</f>
        <v>3</v>
      </c>
      <c r="F125" s="89">
        <v>5094</v>
      </c>
      <c r="G125" s="1">
        <f t="shared" ref="G125:AA125" si="121">F125</f>
        <v>5094</v>
      </c>
      <c r="H125" s="1">
        <f t="shared" si="121"/>
        <v>5094</v>
      </c>
      <c r="I125" s="1">
        <f t="shared" si="121"/>
        <v>5094</v>
      </c>
      <c r="J125" s="1">
        <f t="shared" si="121"/>
        <v>5094</v>
      </c>
      <c r="K125" s="1">
        <f t="shared" si="121"/>
        <v>5094</v>
      </c>
      <c r="L125" s="1">
        <f t="shared" si="121"/>
        <v>5094</v>
      </c>
      <c r="M125" s="1">
        <f t="shared" si="121"/>
        <v>5094</v>
      </c>
      <c r="N125" s="1">
        <f t="shared" si="121"/>
        <v>5094</v>
      </c>
      <c r="O125" s="1">
        <f t="shared" si="121"/>
        <v>5094</v>
      </c>
      <c r="P125" s="1">
        <f t="shared" si="121"/>
        <v>5094</v>
      </c>
      <c r="Q125" s="1">
        <f t="shared" si="121"/>
        <v>5094</v>
      </c>
      <c r="R125" s="1">
        <f t="shared" si="121"/>
        <v>5094</v>
      </c>
      <c r="S125" s="1">
        <f t="shared" si="121"/>
        <v>5094</v>
      </c>
      <c r="T125" s="1">
        <f t="shared" si="121"/>
        <v>5094</v>
      </c>
      <c r="U125" s="1">
        <f t="shared" si="121"/>
        <v>5094</v>
      </c>
      <c r="V125" s="1">
        <f t="shared" si="121"/>
        <v>5094</v>
      </c>
      <c r="W125" s="1">
        <f t="shared" si="121"/>
        <v>5094</v>
      </c>
      <c r="X125" s="1">
        <f t="shared" si="121"/>
        <v>5094</v>
      </c>
      <c r="Y125" s="1">
        <f t="shared" si="121"/>
        <v>5094</v>
      </c>
      <c r="Z125" s="1">
        <f t="shared" si="121"/>
        <v>5094</v>
      </c>
      <c r="AA125" s="1">
        <f t="shared" si="121"/>
        <v>5094</v>
      </c>
    </row>
    <row r="126" spans="1:27">
      <c r="A126" s="84" t="s">
        <v>325</v>
      </c>
      <c r="B126" s="85" t="s">
        <v>324</v>
      </c>
      <c r="C126" s="85" t="s">
        <v>99</v>
      </c>
      <c r="D126" s="84" t="s">
        <v>87</v>
      </c>
      <c r="E126" s="84">
        <f>VLOOKUP(A126,'2a. SI Pop'!$A$5:$E$198,5,FALSE)</f>
        <v>1</v>
      </c>
      <c r="F126" s="89">
        <v>1170</v>
      </c>
      <c r="G126" s="1">
        <f t="shared" ref="G126:AA126" si="122">F126</f>
        <v>1170</v>
      </c>
      <c r="H126" s="1">
        <f t="shared" si="122"/>
        <v>1170</v>
      </c>
      <c r="I126" s="1">
        <f t="shared" si="122"/>
        <v>1170</v>
      </c>
      <c r="J126" s="1">
        <f t="shared" si="122"/>
        <v>1170</v>
      </c>
      <c r="K126" s="1">
        <f t="shared" si="122"/>
        <v>1170</v>
      </c>
      <c r="L126" s="1">
        <f t="shared" si="122"/>
        <v>1170</v>
      </c>
      <c r="M126" s="1">
        <f t="shared" si="122"/>
        <v>1170</v>
      </c>
      <c r="N126" s="1">
        <f t="shared" si="122"/>
        <v>1170</v>
      </c>
      <c r="O126" s="1">
        <f t="shared" si="122"/>
        <v>1170</v>
      </c>
      <c r="P126" s="1">
        <f t="shared" si="122"/>
        <v>1170</v>
      </c>
      <c r="Q126" s="1">
        <f t="shared" si="122"/>
        <v>1170</v>
      </c>
      <c r="R126" s="1">
        <f t="shared" si="122"/>
        <v>1170</v>
      </c>
      <c r="S126" s="1">
        <f t="shared" si="122"/>
        <v>1170</v>
      </c>
      <c r="T126" s="1">
        <f t="shared" si="122"/>
        <v>1170</v>
      </c>
      <c r="U126" s="1">
        <f t="shared" si="122"/>
        <v>1170</v>
      </c>
      <c r="V126" s="1">
        <f t="shared" si="122"/>
        <v>1170</v>
      </c>
      <c r="W126" s="1">
        <f t="shared" si="122"/>
        <v>1170</v>
      </c>
      <c r="X126" s="1">
        <f t="shared" si="122"/>
        <v>1170</v>
      </c>
      <c r="Y126" s="1">
        <f t="shared" si="122"/>
        <v>1170</v>
      </c>
      <c r="Z126" s="1">
        <f t="shared" si="122"/>
        <v>1170</v>
      </c>
      <c r="AA126" s="1">
        <f t="shared" si="122"/>
        <v>1170</v>
      </c>
    </row>
    <row r="127" spans="1:27">
      <c r="A127" s="84" t="s">
        <v>327</v>
      </c>
      <c r="B127" s="85" t="s">
        <v>326</v>
      </c>
      <c r="C127" s="85" t="s">
        <v>110</v>
      </c>
      <c r="D127" s="84" t="s">
        <v>84</v>
      </c>
      <c r="E127" s="84">
        <f>VLOOKUP(A127,'2a. SI Pop'!$A$5:$E$198,5,FALSE)</f>
        <v>4</v>
      </c>
      <c r="F127" s="89">
        <v>20160</v>
      </c>
      <c r="G127" s="1">
        <f t="shared" ref="G127:AA127" si="123">F127</f>
        <v>20160</v>
      </c>
      <c r="H127" s="1">
        <f t="shared" si="123"/>
        <v>20160</v>
      </c>
      <c r="I127" s="1">
        <f t="shared" si="123"/>
        <v>20160</v>
      </c>
      <c r="J127" s="1">
        <f t="shared" si="123"/>
        <v>20160</v>
      </c>
      <c r="K127" s="1">
        <f t="shared" si="123"/>
        <v>20160</v>
      </c>
      <c r="L127" s="1">
        <f t="shared" si="123"/>
        <v>20160</v>
      </c>
      <c r="M127" s="1">
        <f t="shared" si="123"/>
        <v>20160</v>
      </c>
      <c r="N127" s="1">
        <f t="shared" si="123"/>
        <v>20160</v>
      </c>
      <c r="O127" s="1">
        <f t="shared" si="123"/>
        <v>20160</v>
      </c>
      <c r="P127" s="1">
        <f t="shared" si="123"/>
        <v>20160</v>
      </c>
      <c r="Q127" s="1">
        <f t="shared" si="123"/>
        <v>20160</v>
      </c>
      <c r="R127" s="1">
        <f t="shared" si="123"/>
        <v>20160</v>
      </c>
      <c r="S127" s="1">
        <f t="shared" si="123"/>
        <v>20160</v>
      </c>
      <c r="T127" s="1">
        <f t="shared" si="123"/>
        <v>20160</v>
      </c>
      <c r="U127" s="1">
        <f t="shared" si="123"/>
        <v>20160</v>
      </c>
      <c r="V127" s="1">
        <f t="shared" si="123"/>
        <v>20160</v>
      </c>
      <c r="W127" s="1">
        <f t="shared" si="123"/>
        <v>20160</v>
      </c>
      <c r="X127" s="1">
        <f t="shared" si="123"/>
        <v>20160</v>
      </c>
      <c r="Y127" s="1">
        <f t="shared" si="123"/>
        <v>20160</v>
      </c>
      <c r="Z127" s="1">
        <f t="shared" si="123"/>
        <v>20160</v>
      </c>
      <c r="AA127" s="1">
        <f t="shared" si="123"/>
        <v>20160</v>
      </c>
    </row>
    <row r="128" spans="1:27">
      <c r="A128" s="84" t="s">
        <v>329</v>
      </c>
      <c r="B128" s="85" t="s">
        <v>328</v>
      </c>
      <c r="C128" s="85" t="s">
        <v>79</v>
      </c>
      <c r="D128" s="84" t="s">
        <v>87</v>
      </c>
      <c r="E128" s="84">
        <f>VLOOKUP(A128,'2a. SI Pop'!$A$5:$E$198,5,FALSE)</f>
        <v>1</v>
      </c>
      <c r="F128" s="89">
        <v>111969</v>
      </c>
      <c r="G128" s="1">
        <f t="shared" ref="G128:AA128" si="124">F128</f>
        <v>111969</v>
      </c>
      <c r="H128" s="1">
        <f t="shared" si="124"/>
        <v>111969</v>
      </c>
      <c r="I128" s="1">
        <f t="shared" si="124"/>
        <v>111969</v>
      </c>
      <c r="J128" s="1">
        <f t="shared" si="124"/>
        <v>111969</v>
      </c>
      <c r="K128" s="1">
        <f t="shared" si="124"/>
        <v>111969</v>
      </c>
      <c r="L128" s="1">
        <f t="shared" si="124"/>
        <v>111969</v>
      </c>
      <c r="M128" s="1">
        <f t="shared" si="124"/>
        <v>111969</v>
      </c>
      <c r="N128" s="1">
        <f t="shared" si="124"/>
        <v>111969</v>
      </c>
      <c r="O128" s="1">
        <f t="shared" si="124"/>
        <v>111969</v>
      </c>
      <c r="P128" s="1">
        <f t="shared" si="124"/>
        <v>111969</v>
      </c>
      <c r="Q128" s="1">
        <f t="shared" si="124"/>
        <v>111969</v>
      </c>
      <c r="R128" s="1">
        <f t="shared" si="124"/>
        <v>111969</v>
      </c>
      <c r="S128" s="1">
        <f t="shared" si="124"/>
        <v>111969</v>
      </c>
      <c r="T128" s="1">
        <f t="shared" si="124"/>
        <v>111969</v>
      </c>
      <c r="U128" s="1">
        <f t="shared" si="124"/>
        <v>111969</v>
      </c>
      <c r="V128" s="1">
        <f t="shared" si="124"/>
        <v>111969</v>
      </c>
      <c r="W128" s="1">
        <f t="shared" si="124"/>
        <v>111969</v>
      </c>
      <c r="X128" s="1">
        <f t="shared" si="124"/>
        <v>111969</v>
      </c>
      <c r="Y128" s="1">
        <f t="shared" si="124"/>
        <v>111969</v>
      </c>
      <c r="Z128" s="1">
        <f t="shared" si="124"/>
        <v>111969</v>
      </c>
      <c r="AA128" s="1">
        <f t="shared" si="124"/>
        <v>111969</v>
      </c>
    </row>
    <row r="129" spans="1:27">
      <c r="A129" s="84" t="s">
        <v>331</v>
      </c>
      <c r="B129" s="85" t="s">
        <v>330</v>
      </c>
      <c r="C129" s="85" t="s">
        <v>99</v>
      </c>
      <c r="D129" s="84" t="s">
        <v>87</v>
      </c>
      <c r="E129" s="84">
        <f>VLOOKUP(A129,'2a. SI Pop'!$A$5:$E$198,5,FALSE)</f>
        <v>1</v>
      </c>
      <c r="F129" s="89">
        <v>3277</v>
      </c>
      <c r="G129" s="1">
        <f t="shared" ref="G129:AA129" si="125">F129</f>
        <v>3277</v>
      </c>
      <c r="H129" s="1">
        <f t="shared" si="125"/>
        <v>3277</v>
      </c>
      <c r="I129" s="1">
        <f t="shared" si="125"/>
        <v>3277</v>
      </c>
      <c r="J129" s="1">
        <f t="shared" si="125"/>
        <v>3277</v>
      </c>
      <c r="K129" s="1">
        <f t="shared" si="125"/>
        <v>3277</v>
      </c>
      <c r="L129" s="1">
        <f t="shared" si="125"/>
        <v>3277</v>
      </c>
      <c r="M129" s="1">
        <f t="shared" si="125"/>
        <v>3277</v>
      </c>
      <c r="N129" s="1">
        <f t="shared" si="125"/>
        <v>3277</v>
      </c>
      <c r="O129" s="1">
        <f t="shared" si="125"/>
        <v>3277</v>
      </c>
      <c r="P129" s="1">
        <f t="shared" si="125"/>
        <v>3277</v>
      </c>
      <c r="Q129" s="1">
        <f t="shared" si="125"/>
        <v>3277</v>
      </c>
      <c r="R129" s="1">
        <f t="shared" si="125"/>
        <v>3277</v>
      </c>
      <c r="S129" s="1">
        <f t="shared" si="125"/>
        <v>3277</v>
      </c>
      <c r="T129" s="1">
        <f t="shared" si="125"/>
        <v>3277</v>
      </c>
      <c r="U129" s="1">
        <f t="shared" si="125"/>
        <v>3277</v>
      </c>
      <c r="V129" s="1">
        <f t="shared" si="125"/>
        <v>3277</v>
      </c>
      <c r="W129" s="1">
        <f t="shared" si="125"/>
        <v>3277</v>
      </c>
      <c r="X129" s="1">
        <f t="shared" si="125"/>
        <v>3277</v>
      </c>
      <c r="Y129" s="1">
        <f t="shared" si="125"/>
        <v>3277</v>
      </c>
      <c r="Z129" s="1">
        <f t="shared" si="125"/>
        <v>3277</v>
      </c>
      <c r="AA129" s="1">
        <f t="shared" si="125"/>
        <v>3277</v>
      </c>
    </row>
    <row r="130" spans="1:27">
      <c r="A130" s="84" t="s">
        <v>333</v>
      </c>
      <c r="B130" s="85" t="s">
        <v>332</v>
      </c>
      <c r="C130" s="85" t="s">
        <v>92</v>
      </c>
      <c r="D130" s="84" t="s">
        <v>84</v>
      </c>
      <c r="E130" s="84">
        <f>VLOOKUP(A130,'2a. SI Pop'!$A$5:$E$198,5,FALSE)</f>
        <v>2</v>
      </c>
      <c r="F130" s="89">
        <v>958</v>
      </c>
      <c r="G130" s="1">
        <f t="shared" ref="G130:AA130" si="126">F130</f>
        <v>958</v>
      </c>
      <c r="H130" s="1">
        <f t="shared" si="126"/>
        <v>958</v>
      </c>
      <c r="I130" s="1">
        <f t="shared" si="126"/>
        <v>958</v>
      </c>
      <c r="J130" s="1">
        <f t="shared" si="126"/>
        <v>958</v>
      </c>
      <c r="K130" s="1">
        <f t="shared" si="126"/>
        <v>958</v>
      </c>
      <c r="L130" s="1">
        <f t="shared" si="126"/>
        <v>958</v>
      </c>
      <c r="M130" s="1">
        <f t="shared" si="126"/>
        <v>958</v>
      </c>
      <c r="N130" s="1">
        <f t="shared" si="126"/>
        <v>958</v>
      </c>
      <c r="O130" s="1">
        <f t="shared" si="126"/>
        <v>958</v>
      </c>
      <c r="P130" s="1">
        <f t="shared" si="126"/>
        <v>958</v>
      </c>
      <c r="Q130" s="1">
        <f t="shared" si="126"/>
        <v>958</v>
      </c>
      <c r="R130" s="1">
        <f t="shared" si="126"/>
        <v>958</v>
      </c>
      <c r="S130" s="1">
        <f t="shared" si="126"/>
        <v>958</v>
      </c>
      <c r="T130" s="1">
        <f t="shared" si="126"/>
        <v>958</v>
      </c>
      <c r="U130" s="1">
        <f t="shared" si="126"/>
        <v>958</v>
      </c>
      <c r="V130" s="1">
        <f t="shared" si="126"/>
        <v>958</v>
      </c>
      <c r="W130" s="1">
        <f t="shared" si="126"/>
        <v>958</v>
      </c>
      <c r="X130" s="1">
        <f t="shared" si="126"/>
        <v>958</v>
      </c>
      <c r="Y130" s="1">
        <f t="shared" si="126"/>
        <v>958</v>
      </c>
      <c r="Z130" s="1">
        <f t="shared" si="126"/>
        <v>958</v>
      </c>
      <c r="AA130" s="1">
        <f t="shared" si="126"/>
        <v>958</v>
      </c>
    </row>
    <row r="131" spans="1:27">
      <c r="A131" s="84" t="s">
        <v>335</v>
      </c>
      <c r="B131" s="85" t="s">
        <v>334</v>
      </c>
      <c r="C131" s="85" t="s">
        <v>83</v>
      </c>
      <c r="D131" s="84" t="s">
        <v>75</v>
      </c>
      <c r="E131" s="84">
        <f>VLOOKUP(A131,'2a. SI Pop'!$A$5:$E$198,5,FALSE)</f>
        <v>3</v>
      </c>
      <c r="F131" s="89">
        <v>441864</v>
      </c>
      <c r="G131" s="1">
        <f t="shared" ref="G131:AA131" si="127">F131</f>
        <v>441864</v>
      </c>
      <c r="H131" s="1">
        <f t="shared" si="127"/>
        <v>441864</v>
      </c>
      <c r="I131" s="1">
        <f t="shared" si="127"/>
        <v>441864</v>
      </c>
      <c r="J131" s="1">
        <f t="shared" si="127"/>
        <v>441864</v>
      </c>
      <c r="K131" s="1">
        <f t="shared" si="127"/>
        <v>441864</v>
      </c>
      <c r="L131" s="1">
        <f t="shared" si="127"/>
        <v>441864</v>
      </c>
      <c r="M131" s="1">
        <f t="shared" si="127"/>
        <v>441864</v>
      </c>
      <c r="N131" s="1">
        <f t="shared" si="127"/>
        <v>441864</v>
      </c>
      <c r="O131" s="1">
        <f t="shared" si="127"/>
        <v>441864</v>
      </c>
      <c r="P131" s="1">
        <f t="shared" si="127"/>
        <v>441864</v>
      </c>
      <c r="Q131" s="1">
        <f t="shared" si="127"/>
        <v>441864</v>
      </c>
      <c r="R131" s="1">
        <f t="shared" si="127"/>
        <v>441864</v>
      </c>
      <c r="S131" s="1">
        <f t="shared" si="127"/>
        <v>441864</v>
      </c>
      <c r="T131" s="1">
        <f t="shared" si="127"/>
        <v>441864</v>
      </c>
      <c r="U131" s="1">
        <f t="shared" si="127"/>
        <v>441864</v>
      </c>
      <c r="V131" s="1">
        <f t="shared" si="127"/>
        <v>441864</v>
      </c>
      <c r="W131" s="1">
        <f t="shared" si="127"/>
        <v>441864</v>
      </c>
      <c r="X131" s="1">
        <f t="shared" si="127"/>
        <v>441864</v>
      </c>
      <c r="Y131" s="1">
        <f t="shared" si="127"/>
        <v>441864</v>
      </c>
      <c r="Z131" s="1">
        <f t="shared" si="127"/>
        <v>441864</v>
      </c>
      <c r="AA131" s="1">
        <f t="shared" si="127"/>
        <v>441864</v>
      </c>
    </row>
    <row r="132" spans="1:27">
      <c r="A132" s="84" t="s">
        <v>337</v>
      </c>
      <c r="B132" s="85" t="s">
        <v>336</v>
      </c>
      <c r="C132" s="85" t="s">
        <v>83</v>
      </c>
      <c r="D132" s="84" t="s">
        <v>84</v>
      </c>
      <c r="E132" s="84" t="str">
        <f>VLOOKUP(A132,'2a. SI Pop'!$A$5:$E$198,5,FALSE)</f>
        <v>Key</v>
      </c>
      <c r="F132" s="89">
        <v>2250965</v>
      </c>
      <c r="G132" s="1">
        <f t="shared" ref="G132:AA132" si="128">F132</f>
        <v>2250965</v>
      </c>
      <c r="H132" s="1">
        <f t="shared" si="128"/>
        <v>2250965</v>
      </c>
      <c r="I132" s="1">
        <f t="shared" si="128"/>
        <v>2250965</v>
      </c>
      <c r="J132" s="1">
        <f t="shared" si="128"/>
        <v>2250965</v>
      </c>
      <c r="K132" s="1">
        <f t="shared" si="128"/>
        <v>2250965</v>
      </c>
      <c r="L132" s="1">
        <f t="shared" si="128"/>
        <v>2250965</v>
      </c>
      <c r="M132" s="1">
        <f t="shared" si="128"/>
        <v>2250965</v>
      </c>
      <c r="N132" s="1">
        <f t="shared" si="128"/>
        <v>2250965</v>
      </c>
      <c r="O132" s="1">
        <f t="shared" si="128"/>
        <v>2250965</v>
      </c>
      <c r="P132" s="1">
        <f t="shared" si="128"/>
        <v>2250965</v>
      </c>
      <c r="Q132" s="1">
        <f t="shared" si="128"/>
        <v>2250965</v>
      </c>
      <c r="R132" s="1">
        <f t="shared" si="128"/>
        <v>2250965</v>
      </c>
      <c r="S132" s="1">
        <f t="shared" si="128"/>
        <v>2250965</v>
      </c>
      <c r="T132" s="1">
        <f t="shared" si="128"/>
        <v>2250965</v>
      </c>
      <c r="U132" s="1">
        <f t="shared" si="128"/>
        <v>2250965</v>
      </c>
      <c r="V132" s="1">
        <f t="shared" si="128"/>
        <v>2250965</v>
      </c>
      <c r="W132" s="1">
        <f t="shared" si="128"/>
        <v>2250965</v>
      </c>
      <c r="X132" s="1">
        <f t="shared" si="128"/>
        <v>2250965</v>
      </c>
      <c r="Y132" s="1">
        <f t="shared" si="128"/>
        <v>2250965</v>
      </c>
      <c r="Z132" s="1">
        <f t="shared" si="128"/>
        <v>2250965</v>
      </c>
      <c r="AA132" s="1">
        <f t="shared" si="128"/>
        <v>2250965</v>
      </c>
    </row>
    <row r="133" spans="1:27">
      <c r="A133" s="84" t="s">
        <v>339</v>
      </c>
      <c r="B133" s="85" t="s">
        <v>338</v>
      </c>
      <c r="C133" s="85" t="s">
        <v>99</v>
      </c>
      <c r="D133" s="84" t="e">
        <v>#N/A</v>
      </c>
      <c r="E133" s="84">
        <f>VLOOKUP(A133,'2a. SI Pop'!$A$5:$E$198,5,FALSE)</f>
        <v>1</v>
      </c>
      <c r="F133" s="89">
        <v>0</v>
      </c>
      <c r="G133" s="1">
        <f t="shared" ref="G133:AA133" si="129">F133</f>
        <v>0</v>
      </c>
      <c r="H133" s="1">
        <f t="shared" si="129"/>
        <v>0</v>
      </c>
      <c r="I133" s="1">
        <f t="shared" si="129"/>
        <v>0</v>
      </c>
      <c r="J133" s="1">
        <f t="shared" si="129"/>
        <v>0</v>
      </c>
      <c r="K133" s="1">
        <f t="shared" si="129"/>
        <v>0</v>
      </c>
      <c r="L133" s="1">
        <f t="shared" si="129"/>
        <v>0</v>
      </c>
      <c r="M133" s="1">
        <f t="shared" si="129"/>
        <v>0</v>
      </c>
      <c r="N133" s="1">
        <f t="shared" si="129"/>
        <v>0</v>
      </c>
      <c r="O133" s="1">
        <f t="shared" si="129"/>
        <v>0</v>
      </c>
      <c r="P133" s="1">
        <f t="shared" si="129"/>
        <v>0</v>
      </c>
      <c r="Q133" s="1">
        <f t="shared" si="129"/>
        <v>0</v>
      </c>
      <c r="R133" s="1">
        <f t="shared" si="129"/>
        <v>0</v>
      </c>
      <c r="S133" s="1">
        <f t="shared" si="129"/>
        <v>0</v>
      </c>
      <c r="T133" s="1">
        <f t="shared" si="129"/>
        <v>0</v>
      </c>
      <c r="U133" s="1">
        <f t="shared" si="129"/>
        <v>0</v>
      </c>
      <c r="V133" s="1">
        <f t="shared" si="129"/>
        <v>0</v>
      </c>
      <c r="W133" s="1">
        <f t="shared" si="129"/>
        <v>0</v>
      </c>
      <c r="X133" s="1">
        <f t="shared" si="129"/>
        <v>0</v>
      </c>
      <c r="Y133" s="1">
        <f t="shared" si="129"/>
        <v>0</v>
      </c>
      <c r="Z133" s="1">
        <f t="shared" si="129"/>
        <v>0</v>
      </c>
      <c r="AA133" s="1">
        <f t="shared" si="129"/>
        <v>0</v>
      </c>
    </row>
    <row r="134" spans="1:27">
      <c r="A134" s="84" t="s">
        <v>341</v>
      </c>
      <c r="B134" s="85" t="s">
        <v>340</v>
      </c>
      <c r="C134" s="85" t="s">
        <v>79</v>
      </c>
      <c r="D134" s="84" t="s">
        <v>87</v>
      </c>
      <c r="E134" s="84">
        <f>VLOOKUP(A134,'2a. SI Pop'!$A$5:$E$198,5,FALSE)</f>
        <v>1</v>
      </c>
      <c r="F134" s="89">
        <v>57652</v>
      </c>
      <c r="G134" s="1">
        <f t="shared" ref="G134:AA134" si="130">F134</f>
        <v>57652</v>
      </c>
      <c r="H134" s="1">
        <f t="shared" si="130"/>
        <v>57652</v>
      </c>
      <c r="I134" s="1">
        <f t="shared" si="130"/>
        <v>57652</v>
      </c>
      <c r="J134" s="1">
        <f t="shared" si="130"/>
        <v>57652</v>
      </c>
      <c r="K134" s="1">
        <f t="shared" si="130"/>
        <v>57652</v>
      </c>
      <c r="L134" s="1">
        <f t="shared" si="130"/>
        <v>57652</v>
      </c>
      <c r="M134" s="1">
        <f t="shared" si="130"/>
        <v>57652</v>
      </c>
      <c r="N134" s="1">
        <f t="shared" si="130"/>
        <v>57652</v>
      </c>
      <c r="O134" s="1">
        <f t="shared" si="130"/>
        <v>57652</v>
      </c>
      <c r="P134" s="1">
        <f t="shared" si="130"/>
        <v>57652</v>
      </c>
      <c r="Q134" s="1">
        <f t="shared" si="130"/>
        <v>57652</v>
      </c>
      <c r="R134" s="1">
        <f t="shared" si="130"/>
        <v>57652</v>
      </c>
      <c r="S134" s="1">
        <f t="shared" si="130"/>
        <v>57652</v>
      </c>
      <c r="T134" s="1">
        <f t="shared" si="130"/>
        <v>57652</v>
      </c>
      <c r="U134" s="1">
        <f t="shared" si="130"/>
        <v>57652</v>
      </c>
      <c r="V134" s="1">
        <f t="shared" si="130"/>
        <v>57652</v>
      </c>
      <c r="W134" s="1">
        <f t="shared" si="130"/>
        <v>57652</v>
      </c>
      <c r="X134" s="1">
        <f t="shared" si="130"/>
        <v>57652</v>
      </c>
      <c r="Y134" s="1">
        <f t="shared" si="130"/>
        <v>57652</v>
      </c>
      <c r="Z134" s="1">
        <f t="shared" si="130"/>
        <v>57652</v>
      </c>
      <c r="AA134" s="1">
        <f t="shared" si="130"/>
        <v>57652</v>
      </c>
    </row>
    <row r="135" spans="1:27">
      <c r="A135" s="84" t="s">
        <v>343</v>
      </c>
      <c r="B135" s="85" t="s">
        <v>342</v>
      </c>
      <c r="C135" s="85" t="s">
        <v>74</v>
      </c>
      <c r="D135" s="84" t="s">
        <v>87</v>
      </c>
      <c r="E135" s="84">
        <f>VLOOKUP(A135,'2a. SI Pop'!$A$5:$E$198,5,FALSE)</f>
        <v>1</v>
      </c>
      <c r="F135" s="89">
        <v>562</v>
      </c>
      <c r="G135" s="1">
        <f t="shared" ref="G135:AA135" si="131">F135</f>
        <v>562</v>
      </c>
      <c r="H135" s="1">
        <f t="shared" si="131"/>
        <v>562</v>
      </c>
      <c r="I135" s="1">
        <f t="shared" si="131"/>
        <v>562</v>
      </c>
      <c r="J135" s="1">
        <f t="shared" si="131"/>
        <v>562</v>
      </c>
      <c r="K135" s="1">
        <f t="shared" si="131"/>
        <v>562</v>
      </c>
      <c r="L135" s="1">
        <f t="shared" si="131"/>
        <v>562</v>
      </c>
      <c r="M135" s="1">
        <f t="shared" si="131"/>
        <v>562</v>
      </c>
      <c r="N135" s="1">
        <f t="shared" si="131"/>
        <v>562</v>
      </c>
      <c r="O135" s="1">
        <f t="shared" si="131"/>
        <v>562</v>
      </c>
      <c r="P135" s="1">
        <f t="shared" si="131"/>
        <v>562</v>
      </c>
      <c r="Q135" s="1">
        <f t="shared" si="131"/>
        <v>562</v>
      </c>
      <c r="R135" s="1">
        <f t="shared" si="131"/>
        <v>562</v>
      </c>
      <c r="S135" s="1">
        <f t="shared" si="131"/>
        <v>562</v>
      </c>
      <c r="T135" s="1">
        <f t="shared" si="131"/>
        <v>562</v>
      </c>
      <c r="U135" s="1">
        <f t="shared" si="131"/>
        <v>562</v>
      </c>
      <c r="V135" s="1">
        <f t="shared" si="131"/>
        <v>562</v>
      </c>
      <c r="W135" s="1">
        <f t="shared" si="131"/>
        <v>562</v>
      </c>
      <c r="X135" s="1">
        <f t="shared" si="131"/>
        <v>562</v>
      </c>
      <c r="Y135" s="1">
        <f t="shared" si="131"/>
        <v>562</v>
      </c>
      <c r="Z135" s="1">
        <f t="shared" si="131"/>
        <v>562</v>
      </c>
      <c r="AA135" s="1">
        <f t="shared" si="131"/>
        <v>562</v>
      </c>
    </row>
    <row r="136" spans="1:27">
      <c r="A136" s="84" t="s">
        <v>345</v>
      </c>
      <c r="B136" s="85" t="s">
        <v>344</v>
      </c>
      <c r="C136" s="85" t="s">
        <v>74</v>
      </c>
      <c r="D136" s="84" t="s">
        <v>84</v>
      </c>
      <c r="E136" s="84" t="str">
        <f>VLOOKUP(A136,'2a. SI Pop'!$A$5:$E$198,5,FALSE)</f>
        <v>Key</v>
      </c>
      <c r="F136" s="89">
        <v>1528802</v>
      </c>
      <c r="G136" s="1">
        <f t="shared" ref="G136:AA136" si="132">F136</f>
        <v>1528802</v>
      </c>
      <c r="H136" s="1">
        <f t="shared" si="132"/>
        <v>1528802</v>
      </c>
      <c r="I136" s="1">
        <f t="shared" si="132"/>
        <v>1528802</v>
      </c>
      <c r="J136" s="1">
        <f t="shared" si="132"/>
        <v>1528802</v>
      </c>
      <c r="K136" s="1">
        <f t="shared" si="132"/>
        <v>1528802</v>
      </c>
      <c r="L136" s="1">
        <f t="shared" si="132"/>
        <v>1528802</v>
      </c>
      <c r="M136" s="1">
        <f t="shared" si="132"/>
        <v>1528802</v>
      </c>
      <c r="N136" s="1">
        <f t="shared" si="132"/>
        <v>1528802</v>
      </c>
      <c r="O136" s="1">
        <f t="shared" si="132"/>
        <v>1528802</v>
      </c>
      <c r="P136" s="1">
        <f t="shared" si="132"/>
        <v>1528802</v>
      </c>
      <c r="Q136" s="1">
        <f t="shared" si="132"/>
        <v>1528802</v>
      </c>
      <c r="R136" s="1">
        <f t="shared" si="132"/>
        <v>1528802</v>
      </c>
      <c r="S136" s="1">
        <f t="shared" si="132"/>
        <v>1528802</v>
      </c>
      <c r="T136" s="1">
        <f t="shared" si="132"/>
        <v>1528802</v>
      </c>
      <c r="U136" s="1">
        <f t="shared" si="132"/>
        <v>1528802</v>
      </c>
      <c r="V136" s="1">
        <f t="shared" si="132"/>
        <v>1528802</v>
      </c>
      <c r="W136" s="1">
        <f t="shared" si="132"/>
        <v>1528802</v>
      </c>
      <c r="X136" s="1">
        <f t="shared" si="132"/>
        <v>1528802</v>
      </c>
      <c r="Y136" s="1">
        <f t="shared" si="132"/>
        <v>1528802</v>
      </c>
      <c r="Z136" s="1">
        <f t="shared" si="132"/>
        <v>1528802</v>
      </c>
      <c r="AA136" s="1">
        <f t="shared" si="132"/>
        <v>1528802</v>
      </c>
    </row>
    <row r="137" spans="1:27">
      <c r="A137" s="84" t="s">
        <v>347</v>
      </c>
      <c r="B137" s="85" t="s">
        <v>346</v>
      </c>
      <c r="C137" s="85" t="s">
        <v>99</v>
      </c>
      <c r="D137" s="84" t="s">
        <v>87</v>
      </c>
      <c r="E137" s="84">
        <f>VLOOKUP(A137,'2a. SI Pop'!$A$5:$E$198,5,FALSE)</f>
        <v>1</v>
      </c>
      <c r="F137" s="89">
        <v>0</v>
      </c>
      <c r="G137" s="1">
        <f t="shared" ref="G137:AA137" si="133">F137</f>
        <v>0</v>
      </c>
      <c r="H137" s="1">
        <f t="shared" si="133"/>
        <v>0</v>
      </c>
      <c r="I137" s="1">
        <f t="shared" si="133"/>
        <v>0</v>
      </c>
      <c r="J137" s="1">
        <f t="shared" si="133"/>
        <v>0</v>
      </c>
      <c r="K137" s="1">
        <f t="shared" si="133"/>
        <v>0</v>
      </c>
      <c r="L137" s="1">
        <f t="shared" si="133"/>
        <v>0</v>
      </c>
      <c r="M137" s="1">
        <f t="shared" si="133"/>
        <v>0</v>
      </c>
      <c r="N137" s="1">
        <f t="shared" si="133"/>
        <v>0</v>
      </c>
      <c r="O137" s="1">
        <f t="shared" si="133"/>
        <v>0</v>
      </c>
      <c r="P137" s="1">
        <f t="shared" si="133"/>
        <v>0</v>
      </c>
      <c r="Q137" s="1">
        <f t="shared" si="133"/>
        <v>0</v>
      </c>
      <c r="R137" s="1">
        <f t="shared" si="133"/>
        <v>0</v>
      </c>
      <c r="S137" s="1">
        <f t="shared" si="133"/>
        <v>0</v>
      </c>
      <c r="T137" s="1">
        <f t="shared" si="133"/>
        <v>0</v>
      </c>
      <c r="U137" s="1">
        <f t="shared" si="133"/>
        <v>0</v>
      </c>
      <c r="V137" s="1">
        <f t="shared" si="133"/>
        <v>0</v>
      </c>
      <c r="W137" s="1">
        <f t="shared" si="133"/>
        <v>0</v>
      </c>
      <c r="X137" s="1">
        <f t="shared" si="133"/>
        <v>0</v>
      </c>
      <c r="Y137" s="1">
        <f t="shared" si="133"/>
        <v>0</v>
      </c>
      <c r="Z137" s="1">
        <f t="shared" si="133"/>
        <v>0</v>
      </c>
      <c r="AA137" s="1">
        <f t="shared" si="133"/>
        <v>0</v>
      </c>
    </row>
    <row r="138" spans="1:27">
      <c r="A138" s="84" t="s">
        <v>349</v>
      </c>
      <c r="B138" s="85" t="s">
        <v>348</v>
      </c>
      <c r="C138" s="85" t="s">
        <v>92</v>
      </c>
      <c r="D138" s="84" t="s">
        <v>87</v>
      </c>
      <c r="E138" s="84">
        <f>VLOOKUP(A138,'2a. SI Pop'!$A$5:$E$198,5,FALSE)</f>
        <v>1</v>
      </c>
      <c r="F138" s="89">
        <v>135975</v>
      </c>
      <c r="G138" s="1">
        <f t="shared" ref="G138:AA138" si="134">F138</f>
        <v>135975</v>
      </c>
      <c r="H138" s="1">
        <f t="shared" si="134"/>
        <v>135975</v>
      </c>
      <c r="I138" s="1">
        <f t="shared" si="134"/>
        <v>135975</v>
      </c>
      <c r="J138" s="1">
        <f t="shared" si="134"/>
        <v>135975</v>
      </c>
      <c r="K138" s="1">
        <f t="shared" si="134"/>
        <v>135975</v>
      </c>
      <c r="L138" s="1">
        <f t="shared" si="134"/>
        <v>135975</v>
      </c>
      <c r="M138" s="1">
        <f t="shared" si="134"/>
        <v>135975</v>
      </c>
      <c r="N138" s="1">
        <f t="shared" si="134"/>
        <v>135975</v>
      </c>
      <c r="O138" s="1">
        <f t="shared" si="134"/>
        <v>135975</v>
      </c>
      <c r="P138" s="1">
        <f t="shared" si="134"/>
        <v>135975</v>
      </c>
      <c r="Q138" s="1">
        <f t="shared" si="134"/>
        <v>135975</v>
      </c>
      <c r="R138" s="1">
        <f t="shared" si="134"/>
        <v>135975</v>
      </c>
      <c r="S138" s="1">
        <f t="shared" si="134"/>
        <v>135975</v>
      </c>
      <c r="T138" s="1">
        <f t="shared" si="134"/>
        <v>135975</v>
      </c>
      <c r="U138" s="1">
        <f t="shared" si="134"/>
        <v>135975</v>
      </c>
      <c r="V138" s="1">
        <f t="shared" si="134"/>
        <v>135975</v>
      </c>
      <c r="W138" s="1">
        <f t="shared" si="134"/>
        <v>135975</v>
      </c>
      <c r="X138" s="1">
        <f t="shared" si="134"/>
        <v>135975</v>
      </c>
      <c r="Y138" s="1">
        <f t="shared" si="134"/>
        <v>135975</v>
      </c>
      <c r="Z138" s="1">
        <f t="shared" si="134"/>
        <v>135975</v>
      </c>
      <c r="AA138" s="1">
        <f t="shared" si="134"/>
        <v>135975</v>
      </c>
    </row>
    <row r="139" spans="1:27">
      <c r="A139" s="84" t="s">
        <v>351</v>
      </c>
      <c r="B139" s="85" t="s">
        <v>350</v>
      </c>
      <c r="C139" s="85" t="s">
        <v>99</v>
      </c>
      <c r="D139" s="84" t="s">
        <v>84</v>
      </c>
      <c r="E139" s="84">
        <f>VLOOKUP(A139,'2a. SI Pop'!$A$5:$E$198,5,FALSE)</f>
        <v>4</v>
      </c>
      <c r="F139" s="89">
        <v>9830</v>
      </c>
      <c r="G139" s="1">
        <f t="shared" ref="G139:AA139" si="135">F139</f>
        <v>9830</v>
      </c>
      <c r="H139" s="1">
        <f t="shared" si="135"/>
        <v>9830</v>
      </c>
      <c r="I139" s="1">
        <f t="shared" si="135"/>
        <v>9830</v>
      </c>
      <c r="J139" s="1">
        <f t="shared" si="135"/>
        <v>9830</v>
      </c>
      <c r="K139" s="1">
        <f t="shared" si="135"/>
        <v>9830</v>
      </c>
      <c r="L139" s="1">
        <f t="shared" si="135"/>
        <v>9830</v>
      </c>
      <c r="M139" s="1">
        <f t="shared" si="135"/>
        <v>9830</v>
      </c>
      <c r="N139" s="1">
        <f t="shared" si="135"/>
        <v>9830</v>
      </c>
      <c r="O139" s="1">
        <f t="shared" si="135"/>
        <v>9830</v>
      </c>
      <c r="P139" s="1">
        <f t="shared" si="135"/>
        <v>9830</v>
      </c>
      <c r="Q139" s="1">
        <f t="shared" si="135"/>
        <v>9830</v>
      </c>
      <c r="R139" s="1">
        <f t="shared" si="135"/>
        <v>9830</v>
      </c>
      <c r="S139" s="1">
        <f t="shared" si="135"/>
        <v>9830</v>
      </c>
      <c r="T139" s="1">
        <f t="shared" si="135"/>
        <v>9830</v>
      </c>
      <c r="U139" s="1">
        <f t="shared" si="135"/>
        <v>9830</v>
      </c>
      <c r="V139" s="1">
        <f t="shared" si="135"/>
        <v>9830</v>
      </c>
      <c r="W139" s="1">
        <f t="shared" si="135"/>
        <v>9830</v>
      </c>
      <c r="X139" s="1">
        <f t="shared" si="135"/>
        <v>9830</v>
      </c>
      <c r="Y139" s="1">
        <f t="shared" si="135"/>
        <v>9830</v>
      </c>
      <c r="Z139" s="1">
        <f t="shared" si="135"/>
        <v>9830</v>
      </c>
      <c r="AA139" s="1">
        <f t="shared" si="135"/>
        <v>9830</v>
      </c>
    </row>
    <row r="140" spans="1:27">
      <c r="A140" s="84" t="s">
        <v>353</v>
      </c>
      <c r="B140" s="85" t="s">
        <v>352</v>
      </c>
      <c r="C140" s="85" t="s">
        <v>92</v>
      </c>
      <c r="D140" s="84" t="s">
        <v>80</v>
      </c>
      <c r="E140" s="84">
        <f>VLOOKUP(A140,'2a. SI Pop'!$A$5:$E$198,5,FALSE)</f>
        <v>1</v>
      </c>
      <c r="F140" s="89">
        <v>5283</v>
      </c>
      <c r="G140" s="1">
        <f t="shared" ref="G140:AA140" si="136">F140</f>
        <v>5283</v>
      </c>
      <c r="H140" s="1">
        <f t="shared" si="136"/>
        <v>5283</v>
      </c>
      <c r="I140" s="1">
        <f t="shared" si="136"/>
        <v>5283</v>
      </c>
      <c r="J140" s="1">
        <f t="shared" si="136"/>
        <v>5283</v>
      </c>
      <c r="K140" s="1">
        <f t="shared" si="136"/>
        <v>5283</v>
      </c>
      <c r="L140" s="1">
        <f t="shared" si="136"/>
        <v>5283</v>
      </c>
      <c r="M140" s="1">
        <f t="shared" si="136"/>
        <v>5283</v>
      </c>
      <c r="N140" s="1">
        <f t="shared" si="136"/>
        <v>5283</v>
      </c>
      <c r="O140" s="1">
        <f t="shared" si="136"/>
        <v>5283</v>
      </c>
      <c r="P140" s="1">
        <f t="shared" si="136"/>
        <v>5283</v>
      </c>
      <c r="Q140" s="1">
        <f t="shared" si="136"/>
        <v>5283</v>
      </c>
      <c r="R140" s="1">
        <f t="shared" si="136"/>
        <v>5283</v>
      </c>
      <c r="S140" s="1">
        <f t="shared" si="136"/>
        <v>5283</v>
      </c>
      <c r="T140" s="1">
        <f t="shared" si="136"/>
        <v>5283</v>
      </c>
      <c r="U140" s="1">
        <f t="shared" si="136"/>
        <v>5283</v>
      </c>
      <c r="V140" s="1">
        <f t="shared" si="136"/>
        <v>5283</v>
      </c>
      <c r="W140" s="1">
        <f t="shared" si="136"/>
        <v>5283</v>
      </c>
      <c r="X140" s="1">
        <f t="shared" si="136"/>
        <v>5283</v>
      </c>
      <c r="Y140" s="1">
        <f t="shared" si="136"/>
        <v>5283</v>
      </c>
      <c r="Z140" s="1">
        <f t="shared" si="136"/>
        <v>5283</v>
      </c>
      <c r="AA140" s="1">
        <f t="shared" si="136"/>
        <v>5283</v>
      </c>
    </row>
    <row r="141" spans="1:27">
      <c r="A141" s="84" t="s">
        <v>355</v>
      </c>
      <c r="B141" s="85" t="s">
        <v>354</v>
      </c>
      <c r="C141" s="85" t="s">
        <v>92</v>
      </c>
      <c r="D141" s="84" t="s">
        <v>80</v>
      </c>
      <c r="E141" s="84">
        <f>VLOOKUP(A141,'2a. SI Pop'!$A$5:$E$198,5,FALSE)</f>
        <v>2</v>
      </c>
      <c r="F141" s="89">
        <v>867770</v>
      </c>
      <c r="G141" s="1">
        <f t="shared" ref="G141:AA141" si="137">F141</f>
        <v>867770</v>
      </c>
      <c r="H141" s="1">
        <f t="shared" si="137"/>
        <v>867770</v>
      </c>
      <c r="I141" s="1">
        <f t="shared" si="137"/>
        <v>867770</v>
      </c>
      <c r="J141" s="1">
        <f t="shared" si="137"/>
        <v>867770</v>
      </c>
      <c r="K141" s="1">
        <f t="shared" si="137"/>
        <v>867770</v>
      </c>
      <c r="L141" s="1">
        <f t="shared" si="137"/>
        <v>867770</v>
      </c>
      <c r="M141" s="1">
        <f t="shared" si="137"/>
        <v>867770</v>
      </c>
      <c r="N141" s="1">
        <f t="shared" si="137"/>
        <v>867770</v>
      </c>
      <c r="O141" s="1">
        <f t="shared" si="137"/>
        <v>867770</v>
      </c>
      <c r="P141" s="1">
        <f t="shared" si="137"/>
        <v>867770</v>
      </c>
      <c r="Q141" s="1">
        <f t="shared" si="137"/>
        <v>867770</v>
      </c>
      <c r="R141" s="1">
        <f t="shared" si="137"/>
        <v>867770</v>
      </c>
      <c r="S141" s="1">
        <f t="shared" si="137"/>
        <v>867770</v>
      </c>
      <c r="T141" s="1">
        <f t="shared" si="137"/>
        <v>867770</v>
      </c>
      <c r="U141" s="1">
        <f t="shared" si="137"/>
        <v>867770</v>
      </c>
      <c r="V141" s="1">
        <f t="shared" si="137"/>
        <v>867770</v>
      </c>
      <c r="W141" s="1">
        <f t="shared" si="137"/>
        <v>867770</v>
      </c>
      <c r="X141" s="1">
        <f t="shared" si="137"/>
        <v>867770</v>
      </c>
      <c r="Y141" s="1">
        <f t="shared" si="137"/>
        <v>867770</v>
      </c>
      <c r="Z141" s="1">
        <f t="shared" si="137"/>
        <v>867770</v>
      </c>
      <c r="AA141" s="1">
        <f t="shared" si="137"/>
        <v>867770</v>
      </c>
    </row>
    <row r="142" spans="1:27">
      <c r="A142" s="84" t="s">
        <v>357</v>
      </c>
      <c r="B142" s="85" t="s">
        <v>356</v>
      </c>
      <c r="C142" s="85" t="s">
        <v>99</v>
      </c>
      <c r="D142" s="84" t="s">
        <v>84</v>
      </c>
      <c r="E142" s="84" t="str">
        <f>VLOOKUP(A142,'2a. SI Pop'!$A$5:$E$198,5,FALSE)</f>
        <v>Key</v>
      </c>
      <c r="F142" s="89">
        <v>310010</v>
      </c>
      <c r="G142" s="1">
        <f t="shared" ref="G142:AA142" si="138">F142</f>
        <v>310010</v>
      </c>
      <c r="H142" s="1">
        <f t="shared" si="138"/>
        <v>310010</v>
      </c>
      <c r="I142" s="1">
        <f t="shared" si="138"/>
        <v>310010</v>
      </c>
      <c r="J142" s="1">
        <f t="shared" si="138"/>
        <v>310010</v>
      </c>
      <c r="K142" s="1">
        <f t="shared" si="138"/>
        <v>310010</v>
      </c>
      <c r="L142" s="1">
        <f t="shared" si="138"/>
        <v>310010</v>
      </c>
      <c r="M142" s="1">
        <f t="shared" si="138"/>
        <v>310010</v>
      </c>
      <c r="N142" s="1">
        <f t="shared" si="138"/>
        <v>310010</v>
      </c>
      <c r="O142" s="1">
        <f t="shared" si="138"/>
        <v>310010</v>
      </c>
      <c r="P142" s="1">
        <f t="shared" si="138"/>
        <v>310010</v>
      </c>
      <c r="Q142" s="1">
        <f t="shared" si="138"/>
        <v>310010</v>
      </c>
      <c r="R142" s="1">
        <f t="shared" si="138"/>
        <v>310010</v>
      </c>
      <c r="S142" s="1">
        <f t="shared" si="138"/>
        <v>310010</v>
      </c>
      <c r="T142" s="1">
        <f t="shared" si="138"/>
        <v>310010</v>
      </c>
      <c r="U142" s="1">
        <f t="shared" si="138"/>
        <v>310010</v>
      </c>
      <c r="V142" s="1">
        <f t="shared" si="138"/>
        <v>310010</v>
      </c>
      <c r="W142" s="1">
        <f t="shared" si="138"/>
        <v>310010</v>
      </c>
      <c r="X142" s="1">
        <f t="shared" si="138"/>
        <v>310010</v>
      </c>
      <c r="Y142" s="1">
        <f t="shared" si="138"/>
        <v>310010</v>
      </c>
      <c r="Z142" s="1">
        <f t="shared" si="138"/>
        <v>310010</v>
      </c>
      <c r="AA142" s="1">
        <f t="shared" si="138"/>
        <v>310010</v>
      </c>
    </row>
    <row r="143" spans="1:27">
      <c r="A143" s="84" t="s">
        <v>359</v>
      </c>
      <c r="B143" s="85" t="s">
        <v>358</v>
      </c>
      <c r="C143" s="85" t="s">
        <v>79</v>
      </c>
      <c r="D143" s="84" t="s">
        <v>87</v>
      </c>
      <c r="E143" s="84">
        <f>VLOOKUP(A143,'2a. SI Pop'!$A$5:$E$198,5,FALSE)</f>
        <v>1</v>
      </c>
      <c r="F143" s="89">
        <v>18764</v>
      </c>
      <c r="G143" s="1">
        <f t="shared" ref="G143:AA143" si="139">F143</f>
        <v>18764</v>
      </c>
      <c r="H143" s="1">
        <f t="shared" si="139"/>
        <v>18764</v>
      </c>
      <c r="I143" s="1">
        <f t="shared" si="139"/>
        <v>18764</v>
      </c>
      <c r="J143" s="1">
        <f t="shared" si="139"/>
        <v>18764</v>
      </c>
      <c r="K143" s="1">
        <f t="shared" si="139"/>
        <v>18764</v>
      </c>
      <c r="L143" s="1">
        <f t="shared" si="139"/>
        <v>18764</v>
      </c>
      <c r="M143" s="1">
        <f t="shared" si="139"/>
        <v>18764</v>
      </c>
      <c r="N143" s="1">
        <f t="shared" si="139"/>
        <v>18764</v>
      </c>
      <c r="O143" s="1">
        <f t="shared" si="139"/>
        <v>18764</v>
      </c>
      <c r="P143" s="1">
        <f t="shared" si="139"/>
        <v>18764</v>
      </c>
      <c r="Q143" s="1">
        <f t="shared" si="139"/>
        <v>18764</v>
      </c>
      <c r="R143" s="1">
        <f t="shared" si="139"/>
        <v>18764</v>
      </c>
      <c r="S143" s="1">
        <f t="shared" si="139"/>
        <v>18764</v>
      </c>
      <c r="T143" s="1">
        <f t="shared" si="139"/>
        <v>18764</v>
      </c>
      <c r="U143" s="1">
        <f t="shared" si="139"/>
        <v>18764</v>
      </c>
      <c r="V143" s="1">
        <f t="shared" si="139"/>
        <v>18764</v>
      </c>
      <c r="W143" s="1">
        <f t="shared" si="139"/>
        <v>18764</v>
      </c>
      <c r="X143" s="1">
        <f t="shared" si="139"/>
        <v>18764</v>
      </c>
      <c r="Y143" s="1">
        <f t="shared" si="139"/>
        <v>18764</v>
      </c>
      <c r="Z143" s="1">
        <f t="shared" si="139"/>
        <v>18764</v>
      </c>
      <c r="AA143" s="1">
        <f t="shared" si="139"/>
        <v>18764</v>
      </c>
    </row>
    <row r="144" spans="1:27">
      <c r="A144" s="84" t="s">
        <v>361</v>
      </c>
      <c r="B144" s="85" t="s">
        <v>360</v>
      </c>
      <c r="C144" s="85" t="s">
        <v>79</v>
      </c>
      <c r="D144" s="84" t="s">
        <v>87</v>
      </c>
      <c r="E144" s="84">
        <f>VLOOKUP(A144,'2a. SI Pop'!$A$5:$E$198,5,FALSE)</f>
        <v>1</v>
      </c>
      <c r="F144" s="89">
        <v>3444</v>
      </c>
      <c r="G144" s="1">
        <f t="shared" ref="G144:AA144" si="140">F144</f>
        <v>3444</v>
      </c>
      <c r="H144" s="1">
        <f t="shared" si="140"/>
        <v>3444</v>
      </c>
      <c r="I144" s="1">
        <f t="shared" si="140"/>
        <v>3444</v>
      </c>
      <c r="J144" s="1">
        <f t="shared" si="140"/>
        <v>3444</v>
      </c>
      <c r="K144" s="1">
        <f t="shared" si="140"/>
        <v>3444</v>
      </c>
      <c r="L144" s="1">
        <f t="shared" si="140"/>
        <v>3444</v>
      </c>
      <c r="M144" s="1">
        <f t="shared" si="140"/>
        <v>3444</v>
      </c>
      <c r="N144" s="1">
        <f t="shared" si="140"/>
        <v>3444</v>
      </c>
      <c r="O144" s="1">
        <f t="shared" si="140"/>
        <v>3444</v>
      </c>
      <c r="P144" s="1">
        <f t="shared" si="140"/>
        <v>3444</v>
      </c>
      <c r="Q144" s="1">
        <f t="shared" si="140"/>
        <v>3444</v>
      </c>
      <c r="R144" s="1">
        <f t="shared" si="140"/>
        <v>3444</v>
      </c>
      <c r="S144" s="1">
        <f t="shared" si="140"/>
        <v>3444</v>
      </c>
      <c r="T144" s="1">
        <f t="shared" si="140"/>
        <v>3444</v>
      </c>
      <c r="U144" s="1">
        <f t="shared" si="140"/>
        <v>3444</v>
      </c>
      <c r="V144" s="1">
        <f t="shared" si="140"/>
        <v>3444</v>
      </c>
      <c r="W144" s="1">
        <f t="shared" si="140"/>
        <v>3444</v>
      </c>
      <c r="X144" s="1">
        <f t="shared" si="140"/>
        <v>3444</v>
      </c>
      <c r="Y144" s="1">
        <f t="shared" si="140"/>
        <v>3444</v>
      </c>
      <c r="Z144" s="1">
        <f t="shared" si="140"/>
        <v>3444</v>
      </c>
      <c r="AA144" s="1">
        <f t="shared" si="140"/>
        <v>3444</v>
      </c>
    </row>
    <row r="145" spans="1:27">
      <c r="A145" s="84" t="s">
        <v>363</v>
      </c>
      <c r="B145" s="85" t="s">
        <v>362</v>
      </c>
      <c r="C145" s="85" t="s">
        <v>74</v>
      </c>
      <c r="D145" s="84" t="s">
        <v>87</v>
      </c>
      <c r="E145" s="84">
        <f>VLOOKUP(A145,'2a. SI Pop'!$A$5:$E$198,5,FALSE)</f>
        <v>1</v>
      </c>
      <c r="F145" s="89">
        <v>1503</v>
      </c>
      <c r="G145" s="1">
        <f t="shared" ref="G145:AA145" si="141">F145</f>
        <v>1503</v>
      </c>
      <c r="H145" s="1">
        <f t="shared" si="141"/>
        <v>1503</v>
      </c>
      <c r="I145" s="1">
        <f t="shared" si="141"/>
        <v>1503</v>
      </c>
      <c r="J145" s="1">
        <f t="shared" si="141"/>
        <v>1503</v>
      </c>
      <c r="K145" s="1">
        <f t="shared" si="141"/>
        <v>1503</v>
      </c>
      <c r="L145" s="1">
        <f t="shared" si="141"/>
        <v>1503</v>
      </c>
      <c r="M145" s="1">
        <f t="shared" si="141"/>
        <v>1503</v>
      </c>
      <c r="N145" s="1">
        <f t="shared" si="141"/>
        <v>1503</v>
      </c>
      <c r="O145" s="1">
        <f t="shared" si="141"/>
        <v>1503</v>
      </c>
      <c r="P145" s="1">
        <f t="shared" si="141"/>
        <v>1503</v>
      </c>
      <c r="Q145" s="1">
        <f t="shared" si="141"/>
        <v>1503</v>
      </c>
      <c r="R145" s="1">
        <f t="shared" si="141"/>
        <v>1503</v>
      </c>
      <c r="S145" s="1">
        <f t="shared" si="141"/>
        <v>1503</v>
      </c>
      <c r="T145" s="1">
        <f t="shared" si="141"/>
        <v>1503</v>
      </c>
      <c r="U145" s="1">
        <f t="shared" si="141"/>
        <v>1503</v>
      </c>
      <c r="V145" s="1">
        <f t="shared" si="141"/>
        <v>1503</v>
      </c>
      <c r="W145" s="1">
        <f t="shared" si="141"/>
        <v>1503</v>
      </c>
      <c r="X145" s="1">
        <f t="shared" si="141"/>
        <v>1503</v>
      </c>
      <c r="Y145" s="1">
        <f t="shared" si="141"/>
        <v>1503</v>
      </c>
      <c r="Z145" s="1">
        <f t="shared" si="141"/>
        <v>1503</v>
      </c>
      <c r="AA145" s="1">
        <f t="shared" si="141"/>
        <v>1503</v>
      </c>
    </row>
    <row r="146" spans="1:27">
      <c r="A146" s="84" t="s">
        <v>365</v>
      </c>
      <c r="B146" s="85" t="s">
        <v>364</v>
      </c>
      <c r="C146" s="85" t="s">
        <v>79</v>
      </c>
      <c r="D146" s="84" t="s">
        <v>87</v>
      </c>
      <c r="E146" s="84">
        <f>VLOOKUP(A146,'2a. SI Pop'!$A$5:$E$198,5,FALSE)</f>
        <v>2</v>
      </c>
      <c r="F146" s="89">
        <v>4967</v>
      </c>
      <c r="G146" s="1">
        <f t="shared" ref="G146:AA146" si="142">F146</f>
        <v>4967</v>
      </c>
      <c r="H146" s="1">
        <f t="shared" si="142"/>
        <v>4967</v>
      </c>
      <c r="I146" s="1">
        <f t="shared" si="142"/>
        <v>4967</v>
      </c>
      <c r="J146" s="1">
        <f t="shared" si="142"/>
        <v>4967</v>
      </c>
      <c r="K146" s="1">
        <f t="shared" si="142"/>
        <v>4967</v>
      </c>
      <c r="L146" s="1">
        <f t="shared" si="142"/>
        <v>4967</v>
      </c>
      <c r="M146" s="1">
        <f t="shared" si="142"/>
        <v>4967</v>
      </c>
      <c r="N146" s="1">
        <f t="shared" si="142"/>
        <v>4967</v>
      </c>
      <c r="O146" s="1">
        <f t="shared" si="142"/>
        <v>4967</v>
      </c>
      <c r="P146" s="1">
        <f t="shared" si="142"/>
        <v>4967</v>
      </c>
      <c r="Q146" s="1">
        <f t="shared" si="142"/>
        <v>4967</v>
      </c>
      <c r="R146" s="1">
        <f t="shared" si="142"/>
        <v>4967</v>
      </c>
      <c r="S146" s="1">
        <f t="shared" si="142"/>
        <v>4967</v>
      </c>
      <c r="T146" s="1">
        <f t="shared" si="142"/>
        <v>4967</v>
      </c>
      <c r="U146" s="1">
        <f t="shared" si="142"/>
        <v>4967</v>
      </c>
      <c r="V146" s="1">
        <f t="shared" si="142"/>
        <v>4967</v>
      </c>
      <c r="W146" s="1">
        <f t="shared" si="142"/>
        <v>4967</v>
      </c>
      <c r="X146" s="1">
        <f t="shared" si="142"/>
        <v>4967</v>
      </c>
      <c r="Y146" s="1">
        <f t="shared" si="142"/>
        <v>4967</v>
      </c>
      <c r="Z146" s="1">
        <f t="shared" si="142"/>
        <v>4967</v>
      </c>
      <c r="AA146" s="1">
        <f t="shared" si="142"/>
        <v>4967</v>
      </c>
    </row>
    <row r="147" spans="1:27">
      <c r="A147" s="84" t="s">
        <v>367</v>
      </c>
      <c r="B147" s="85" t="s">
        <v>366</v>
      </c>
      <c r="C147" s="85" t="s">
        <v>79</v>
      </c>
      <c r="D147" s="84" t="s">
        <v>80</v>
      </c>
      <c r="E147" s="84">
        <f>VLOOKUP(A147,'2a. SI Pop'!$A$5:$E$198,5,FALSE)</f>
        <v>2</v>
      </c>
      <c r="F147" s="89">
        <v>112068</v>
      </c>
      <c r="G147" s="1">
        <f t="shared" ref="G147:AA147" si="143">F147</f>
        <v>112068</v>
      </c>
      <c r="H147" s="1">
        <f t="shared" si="143"/>
        <v>112068</v>
      </c>
      <c r="I147" s="1">
        <f t="shared" si="143"/>
        <v>112068</v>
      </c>
      <c r="J147" s="1">
        <f t="shared" si="143"/>
        <v>112068</v>
      </c>
      <c r="K147" s="1">
        <f t="shared" si="143"/>
        <v>112068</v>
      </c>
      <c r="L147" s="1">
        <f t="shared" si="143"/>
        <v>112068</v>
      </c>
      <c r="M147" s="1">
        <f t="shared" si="143"/>
        <v>112068</v>
      </c>
      <c r="N147" s="1">
        <f t="shared" si="143"/>
        <v>112068</v>
      </c>
      <c r="O147" s="1">
        <f t="shared" si="143"/>
        <v>112068</v>
      </c>
      <c r="P147" s="1">
        <f t="shared" si="143"/>
        <v>112068</v>
      </c>
      <c r="Q147" s="1">
        <f t="shared" si="143"/>
        <v>112068</v>
      </c>
      <c r="R147" s="1">
        <f t="shared" si="143"/>
        <v>112068</v>
      </c>
      <c r="S147" s="1">
        <f t="shared" si="143"/>
        <v>112068</v>
      </c>
      <c r="T147" s="1">
        <f t="shared" si="143"/>
        <v>112068</v>
      </c>
      <c r="U147" s="1">
        <f t="shared" si="143"/>
        <v>112068</v>
      </c>
      <c r="V147" s="1">
        <f t="shared" si="143"/>
        <v>112068</v>
      </c>
      <c r="W147" s="1">
        <f t="shared" si="143"/>
        <v>112068</v>
      </c>
      <c r="X147" s="1">
        <f t="shared" si="143"/>
        <v>112068</v>
      </c>
      <c r="Y147" s="1">
        <f t="shared" si="143"/>
        <v>112068</v>
      </c>
      <c r="Z147" s="1">
        <f t="shared" si="143"/>
        <v>112068</v>
      </c>
      <c r="AA147" s="1">
        <f t="shared" si="143"/>
        <v>112068</v>
      </c>
    </row>
    <row r="148" spans="1:27">
      <c r="A148" s="84" t="s">
        <v>369</v>
      </c>
      <c r="B148" s="85" t="s">
        <v>368</v>
      </c>
      <c r="C148" s="85" t="s">
        <v>83</v>
      </c>
      <c r="D148" s="84" t="s">
        <v>75</v>
      </c>
      <c r="E148" s="84">
        <f>VLOOKUP(A148,'2a. SI Pop'!$A$5:$E$198,5,FALSE)</f>
        <v>3</v>
      </c>
      <c r="F148" s="89">
        <v>150869</v>
      </c>
      <c r="G148" s="1">
        <f t="shared" ref="G148:AA148" si="144">F148</f>
        <v>150869</v>
      </c>
      <c r="H148" s="1">
        <f t="shared" si="144"/>
        <v>150869</v>
      </c>
      <c r="I148" s="1">
        <f t="shared" si="144"/>
        <v>150869</v>
      </c>
      <c r="J148" s="1">
        <f t="shared" si="144"/>
        <v>150869</v>
      </c>
      <c r="K148" s="1">
        <f t="shared" si="144"/>
        <v>150869</v>
      </c>
      <c r="L148" s="1">
        <f t="shared" si="144"/>
        <v>150869</v>
      </c>
      <c r="M148" s="1">
        <f t="shared" si="144"/>
        <v>150869</v>
      </c>
      <c r="N148" s="1">
        <f t="shared" si="144"/>
        <v>150869</v>
      </c>
      <c r="O148" s="1">
        <f t="shared" si="144"/>
        <v>150869</v>
      </c>
      <c r="P148" s="1">
        <f t="shared" si="144"/>
        <v>150869</v>
      </c>
      <c r="Q148" s="1">
        <f t="shared" si="144"/>
        <v>150869</v>
      </c>
      <c r="R148" s="1">
        <f t="shared" si="144"/>
        <v>150869</v>
      </c>
      <c r="S148" s="1">
        <f t="shared" si="144"/>
        <v>150869</v>
      </c>
      <c r="T148" s="1">
        <f t="shared" si="144"/>
        <v>150869</v>
      </c>
      <c r="U148" s="1">
        <f t="shared" si="144"/>
        <v>150869</v>
      </c>
      <c r="V148" s="1">
        <f t="shared" si="144"/>
        <v>150869</v>
      </c>
      <c r="W148" s="1">
        <f t="shared" si="144"/>
        <v>150869</v>
      </c>
      <c r="X148" s="1">
        <f t="shared" si="144"/>
        <v>150869</v>
      </c>
      <c r="Y148" s="1">
        <f t="shared" si="144"/>
        <v>150869</v>
      </c>
      <c r="Z148" s="1">
        <f t="shared" si="144"/>
        <v>150869</v>
      </c>
      <c r="AA148" s="1">
        <f t="shared" si="144"/>
        <v>150869</v>
      </c>
    </row>
    <row r="149" spans="1:27">
      <c r="A149" s="84" t="s">
        <v>371</v>
      </c>
      <c r="B149" s="85" t="s">
        <v>370</v>
      </c>
      <c r="C149" s="85" t="s">
        <v>92</v>
      </c>
      <c r="D149" s="84" t="s">
        <v>87</v>
      </c>
      <c r="E149" s="84">
        <f>VLOOKUP(A149,'2a. SI Pop'!$A$5:$E$198,5,FALSE)</f>
        <v>1</v>
      </c>
      <c r="F149" s="89">
        <v>5</v>
      </c>
      <c r="G149" s="1">
        <f t="shared" ref="G149:AA149" si="145">F149</f>
        <v>5</v>
      </c>
      <c r="H149" s="1">
        <f t="shared" si="145"/>
        <v>5</v>
      </c>
      <c r="I149" s="1">
        <f t="shared" si="145"/>
        <v>5</v>
      </c>
      <c r="J149" s="1">
        <f t="shared" si="145"/>
        <v>5</v>
      </c>
      <c r="K149" s="1">
        <f t="shared" si="145"/>
        <v>5</v>
      </c>
      <c r="L149" s="1">
        <f t="shared" si="145"/>
        <v>5</v>
      </c>
      <c r="M149" s="1">
        <f t="shared" si="145"/>
        <v>5</v>
      </c>
      <c r="N149" s="1">
        <f t="shared" si="145"/>
        <v>5</v>
      </c>
      <c r="O149" s="1">
        <f t="shared" si="145"/>
        <v>5</v>
      </c>
      <c r="P149" s="1">
        <f t="shared" si="145"/>
        <v>5</v>
      </c>
      <c r="Q149" s="1">
        <f t="shared" si="145"/>
        <v>5</v>
      </c>
      <c r="R149" s="1">
        <f t="shared" si="145"/>
        <v>5</v>
      </c>
      <c r="S149" s="1">
        <f t="shared" si="145"/>
        <v>5</v>
      </c>
      <c r="T149" s="1">
        <f t="shared" si="145"/>
        <v>5</v>
      </c>
      <c r="U149" s="1">
        <f t="shared" si="145"/>
        <v>5</v>
      </c>
      <c r="V149" s="1">
        <f t="shared" si="145"/>
        <v>5</v>
      </c>
      <c r="W149" s="1">
        <f t="shared" si="145"/>
        <v>5</v>
      </c>
      <c r="X149" s="1">
        <f t="shared" si="145"/>
        <v>5</v>
      </c>
      <c r="Y149" s="1">
        <f t="shared" si="145"/>
        <v>5</v>
      </c>
      <c r="Z149" s="1">
        <f t="shared" si="145"/>
        <v>5</v>
      </c>
      <c r="AA149" s="1">
        <f t="shared" si="145"/>
        <v>5</v>
      </c>
    </row>
    <row r="150" spans="1:27">
      <c r="A150" s="84" t="s">
        <v>373</v>
      </c>
      <c r="B150" s="85" t="s">
        <v>372</v>
      </c>
      <c r="C150" s="85" t="s">
        <v>92</v>
      </c>
      <c r="D150" s="84" t="s">
        <v>80</v>
      </c>
      <c r="E150" s="84">
        <f>VLOOKUP(A150,'2a. SI Pop'!$A$5:$E$198,5,FALSE)</f>
        <v>1</v>
      </c>
      <c r="F150" s="89">
        <v>0</v>
      </c>
      <c r="G150" s="1">
        <f t="shared" ref="G150:AA150" si="146">F150</f>
        <v>0</v>
      </c>
      <c r="H150" s="1">
        <f t="shared" si="146"/>
        <v>0</v>
      </c>
      <c r="I150" s="1">
        <f t="shared" si="146"/>
        <v>0</v>
      </c>
      <c r="J150" s="1">
        <f t="shared" si="146"/>
        <v>0</v>
      </c>
      <c r="K150" s="1">
        <f t="shared" si="146"/>
        <v>0</v>
      </c>
      <c r="L150" s="1">
        <f t="shared" si="146"/>
        <v>0</v>
      </c>
      <c r="M150" s="1">
        <f t="shared" si="146"/>
        <v>0</v>
      </c>
      <c r="N150" s="1">
        <f t="shared" si="146"/>
        <v>0</v>
      </c>
      <c r="O150" s="1">
        <f t="shared" si="146"/>
        <v>0</v>
      </c>
      <c r="P150" s="1">
        <f t="shared" si="146"/>
        <v>0</v>
      </c>
      <c r="Q150" s="1">
        <f t="shared" si="146"/>
        <v>0</v>
      </c>
      <c r="R150" s="1">
        <f t="shared" si="146"/>
        <v>0</v>
      </c>
      <c r="S150" s="1">
        <f t="shared" si="146"/>
        <v>0</v>
      </c>
      <c r="T150" s="1">
        <f t="shared" si="146"/>
        <v>0</v>
      </c>
      <c r="U150" s="1">
        <f t="shared" si="146"/>
        <v>0</v>
      </c>
      <c r="V150" s="1">
        <f t="shared" si="146"/>
        <v>0</v>
      </c>
      <c r="W150" s="1">
        <f t="shared" si="146"/>
        <v>0</v>
      </c>
      <c r="X150" s="1">
        <f t="shared" si="146"/>
        <v>0</v>
      </c>
      <c r="Y150" s="1">
        <f t="shared" si="146"/>
        <v>0</v>
      </c>
      <c r="Z150" s="1">
        <f t="shared" si="146"/>
        <v>0</v>
      </c>
      <c r="AA150" s="1">
        <f t="shared" si="146"/>
        <v>0</v>
      </c>
    </row>
    <row r="151" spans="1:27">
      <c r="A151" s="84" t="s">
        <v>375</v>
      </c>
      <c r="B151" s="85" t="s">
        <v>374</v>
      </c>
      <c r="C151" s="85" t="s">
        <v>92</v>
      </c>
      <c r="D151" s="84" t="s">
        <v>80</v>
      </c>
      <c r="E151" s="84">
        <f>VLOOKUP(A151,'2a. SI Pop'!$A$5:$E$198,5,FALSE)</f>
        <v>1</v>
      </c>
      <c r="F151" s="89">
        <v>38</v>
      </c>
      <c r="G151" s="1">
        <f t="shared" ref="G151:AA151" si="147">F151</f>
        <v>38</v>
      </c>
      <c r="H151" s="1">
        <f t="shared" si="147"/>
        <v>38</v>
      </c>
      <c r="I151" s="1">
        <f t="shared" si="147"/>
        <v>38</v>
      </c>
      <c r="J151" s="1">
        <f t="shared" si="147"/>
        <v>38</v>
      </c>
      <c r="K151" s="1">
        <f t="shared" si="147"/>
        <v>38</v>
      </c>
      <c r="L151" s="1">
        <f t="shared" si="147"/>
        <v>38</v>
      </c>
      <c r="M151" s="1">
        <f t="shared" si="147"/>
        <v>38</v>
      </c>
      <c r="N151" s="1">
        <f t="shared" si="147"/>
        <v>38</v>
      </c>
      <c r="O151" s="1">
        <f t="shared" si="147"/>
        <v>38</v>
      </c>
      <c r="P151" s="1">
        <f t="shared" si="147"/>
        <v>38</v>
      </c>
      <c r="Q151" s="1">
        <f t="shared" si="147"/>
        <v>38</v>
      </c>
      <c r="R151" s="1">
        <f t="shared" si="147"/>
        <v>38</v>
      </c>
      <c r="S151" s="1">
        <f t="shared" si="147"/>
        <v>38</v>
      </c>
      <c r="T151" s="1">
        <f t="shared" si="147"/>
        <v>38</v>
      </c>
      <c r="U151" s="1">
        <f t="shared" si="147"/>
        <v>38</v>
      </c>
      <c r="V151" s="1">
        <f t="shared" si="147"/>
        <v>38</v>
      </c>
      <c r="W151" s="1">
        <f t="shared" si="147"/>
        <v>38</v>
      </c>
      <c r="X151" s="1">
        <f t="shared" si="147"/>
        <v>38</v>
      </c>
      <c r="Y151" s="1">
        <f t="shared" si="147"/>
        <v>38</v>
      </c>
      <c r="Z151" s="1">
        <f t="shared" si="147"/>
        <v>38</v>
      </c>
      <c r="AA151" s="1">
        <f t="shared" si="147"/>
        <v>38</v>
      </c>
    </row>
    <row r="152" spans="1:27">
      <c r="A152" s="84" t="s">
        <v>377</v>
      </c>
      <c r="B152" s="85" t="s">
        <v>376</v>
      </c>
      <c r="C152" s="85" t="s">
        <v>99</v>
      </c>
      <c r="D152" s="84" t="s">
        <v>80</v>
      </c>
      <c r="E152" s="84">
        <f>VLOOKUP(A152,'2a. SI Pop'!$A$5:$E$198,5,FALSE)</f>
        <v>2</v>
      </c>
      <c r="F152" s="89">
        <v>0</v>
      </c>
      <c r="G152" s="1">
        <f t="shared" ref="G152:AA152" si="148">F152</f>
        <v>0</v>
      </c>
      <c r="H152" s="1">
        <f t="shared" si="148"/>
        <v>0</v>
      </c>
      <c r="I152" s="1">
        <f t="shared" si="148"/>
        <v>0</v>
      </c>
      <c r="J152" s="1">
        <f t="shared" si="148"/>
        <v>0</v>
      </c>
      <c r="K152" s="1">
        <f t="shared" si="148"/>
        <v>0</v>
      </c>
      <c r="L152" s="1">
        <f t="shared" si="148"/>
        <v>0</v>
      </c>
      <c r="M152" s="1">
        <f t="shared" si="148"/>
        <v>0</v>
      </c>
      <c r="N152" s="1">
        <f t="shared" si="148"/>
        <v>0</v>
      </c>
      <c r="O152" s="1">
        <f t="shared" si="148"/>
        <v>0</v>
      </c>
      <c r="P152" s="1">
        <f t="shared" si="148"/>
        <v>0</v>
      </c>
      <c r="Q152" s="1">
        <f t="shared" si="148"/>
        <v>0</v>
      </c>
      <c r="R152" s="1">
        <f t="shared" si="148"/>
        <v>0</v>
      </c>
      <c r="S152" s="1">
        <f t="shared" si="148"/>
        <v>0</v>
      </c>
      <c r="T152" s="1">
        <f t="shared" si="148"/>
        <v>0</v>
      </c>
      <c r="U152" s="1">
        <f t="shared" si="148"/>
        <v>0</v>
      </c>
      <c r="V152" s="1">
        <f t="shared" si="148"/>
        <v>0</v>
      </c>
      <c r="W152" s="1">
        <f t="shared" si="148"/>
        <v>0</v>
      </c>
      <c r="X152" s="1">
        <f t="shared" si="148"/>
        <v>0</v>
      </c>
      <c r="Y152" s="1">
        <f t="shared" si="148"/>
        <v>0</v>
      </c>
      <c r="Z152" s="1">
        <f t="shared" si="148"/>
        <v>0</v>
      </c>
      <c r="AA152" s="1">
        <f t="shared" si="148"/>
        <v>0</v>
      </c>
    </row>
    <row r="153" spans="1:27">
      <c r="A153" s="84" t="s">
        <v>379</v>
      </c>
      <c r="B153" s="85" t="s">
        <v>378</v>
      </c>
      <c r="C153" s="85" t="s">
        <v>79</v>
      </c>
      <c r="D153" s="84" t="s">
        <v>87</v>
      </c>
      <c r="E153" s="84">
        <f>VLOOKUP(A153,'2a. SI Pop'!$A$5:$E$198,5,FALSE)</f>
        <v>1</v>
      </c>
      <c r="F153" s="89">
        <v>0</v>
      </c>
      <c r="G153" s="1">
        <f t="shared" ref="G153:AA153" si="149">F153</f>
        <v>0</v>
      </c>
      <c r="H153" s="1">
        <f t="shared" si="149"/>
        <v>0</v>
      </c>
      <c r="I153" s="1">
        <f t="shared" si="149"/>
        <v>0</v>
      </c>
      <c r="J153" s="1">
        <f t="shared" si="149"/>
        <v>0</v>
      </c>
      <c r="K153" s="1">
        <f t="shared" si="149"/>
        <v>0</v>
      </c>
      <c r="L153" s="1">
        <f t="shared" si="149"/>
        <v>0</v>
      </c>
      <c r="M153" s="1">
        <f t="shared" si="149"/>
        <v>0</v>
      </c>
      <c r="N153" s="1">
        <f t="shared" si="149"/>
        <v>0</v>
      </c>
      <c r="O153" s="1">
        <f t="shared" si="149"/>
        <v>0</v>
      </c>
      <c r="P153" s="1">
        <f t="shared" si="149"/>
        <v>0</v>
      </c>
      <c r="Q153" s="1">
        <f t="shared" si="149"/>
        <v>0</v>
      </c>
      <c r="R153" s="1">
        <f t="shared" si="149"/>
        <v>0</v>
      </c>
      <c r="S153" s="1">
        <f t="shared" si="149"/>
        <v>0</v>
      </c>
      <c r="T153" s="1">
        <f t="shared" si="149"/>
        <v>0</v>
      </c>
      <c r="U153" s="1">
        <f t="shared" si="149"/>
        <v>0</v>
      </c>
      <c r="V153" s="1">
        <f t="shared" si="149"/>
        <v>0</v>
      </c>
      <c r="W153" s="1">
        <f t="shared" si="149"/>
        <v>0</v>
      </c>
      <c r="X153" s="1">
        <f t="shared" si="149"/>
        <v>0</v>
      </c>
      <c r="Y153" s="1">
        <f t="shared" si="149"/>
        <v>0</v>
      </c>
      <c r="Z153" s="1">
        <f t="shared" si="149"/>
        <v>0</v>
      </c>
      <c r="AA153" s="1">
        <f t="shared" si="149"/>
        <v>0</v>
      </c>
    </row>
    <row r="154" spans="1:27">
      <c r="A154" s="84" t="s">
        <v>381</v>
      </c>
      <c r="B154" s="85" t="s">
        <v>380</v>
      </c>
      <c r="C154" s="85" t="s">
        <v>83</v>
      </c>
      <c r="D154" s="84" t="s">
        <v>84</v>
      </c>
      <c r="E154" s="84">
        <f>VLOOKUP(A154,'2a. SI Pop'!$A$5:$E$198,5,FALSE)</f>
        <v>3</v>
      </c>
      <c r="F154" s="89">
        <v>0</v>
      </c>
      <c r="G154" s="1">
        <f t="shared" ref="G154:AA154" si="150">F154</f>
        <v>0</v>
      </c>
      <c r="H154" s="1">
        <f t="shared" si="150"/>
        <v>0</v>
      </c>
      <c r="I154" s="1">
        <f t="shared" si="150"/>
        <v>0</v>
      </c>
      <c r="J154" s="1">
        <f t="shared" si="150"/>
        <v>0</v>
      </c>
      <c r="K154" s="1">
        <f t="shared" si="150"/>
        <v>0</v>
      </c>
      <c r="L154" s="1">
        <f t="shared" si="150"/>
        <v>0</v>
      </c>
      <c r="M154" s="1">
        <f t="shared" si="150"/>
        <v>0</v>
      </c>
      <c r="N154" s="1">
        <f t="shared" si="150"/>
        <v>0</v>
      </c>
      <c r="O154" s="1">
        <f t="shared" si="150"/>
        <v>0</v>
      </c>
      <c r="P154" s="1">
        <f t="shared" si="150"/>
        <v>0</v>
      </c>
      <c r="Q154" s="1">
        <f t="shared" si="150"/>
        <v>0</v>
      </c>
      <c r="R154" s="1">
        <f t="shared" si="150"/>
        <v>0</v>
      </c>
      <c r="S154" s="1">
        <f t="shared" si="150"/>
        <v>0</v>
      </c>
      <c r="T154" s="1">
        <f t="shared" si="150"/>
        <v>0</v>
      </c>
      <c r="U154" s="1">
        <f t="shared" si="150"/>
        <v>0</v>
      </c>
      <c r="V154" s="1">
        <f t="shared" si="150"/>
        <v>0</v>
      </c>
      <c r="W154" s="1">
        <f t="shared" si="150"/>
        <v>0</v>
      </c>
      <c r="X154" s="1">
        <f t="shared" si="150"/>
        <v>0</v>
      </c>
      <c r="Y154" s="1">
        <f t="shared" si="150"/>
        <v>0</v>
      </c>
      <c r="Z154" s="1">
        <f t="shared" si="150"/>
        <v>0</v>
      </c>
      <c r="AA154" s="1">
        <f t="shared" si="150"/>
        <v>0</v>
      </c>
    </row>
    <row r="155" spans="1:27">
      <c r="A155" s="84" t="s">
        <v>383</v>
      </c>
      <c r="B155" s="85" t="s">
        <v>382</v>
      </c>
      <c r="C155" s="85" t="s">
        <v>74</v>
      </c>
      <c r="D155" s="84" t="s">
        <v>87</v>
      </c>
      <c r="E155" s="84">
        <f>VLOOKUP(A155,'2a. SI Pop'!$A$5:$E$198,5,FALSE)</f>
        <v>1</v>
      </c>
      <c r="F155" s="89">
        <v>72642</v>
      </c>
      <c r="G155" s="1">
        <f t="shared" ref="G155:AA155" si="151">F155</f>
        <v>72642</v>
      </c>
      <c r="H155" s="1">
        <f t="shared" si="151"/>
        <v>72642</v>
      </c>
      <c r="I155" s="1">
        <f t="shared" si="151"/>
        <v>72642</v>
      </c>
      <c r="J155" s="1">
        <f t="shared" si="151"/>
        <v>72642</v>
      </c>
      <c r="K155" s="1">
        <f t="shared" si="151"/>
        <v>72642</v>
      </c>
      <c r="L155" s="1">
        <f t="shared" si="151"/>
        <v>72642</v>
      </c>
      <c r="M155" s="1">
        <f t="shared" si="151"/>
        <v>72642</v>
      </c>
      <c r="N155" s="1">
        <f t="shared" si="151"/>
        <v>72642</v>
      </c>
      <c r="O155" s="1">
        <f t="shared" si="151"/>
        <v>72642</v>
      </c>
      <c r="P155" s="1">
        <f t="shared" si="151"/>
        <v>72642</v>
      </c>
      <c r="Q155" s="1">
        <f t="shared" si="151"/>
        <v>72642</v>
      </c>
      <c r="R155" s="1">
        <f t="shared" si="151"/>
        <v>72642</v>
      </c>
      <c r="S155" s="1">
        <f t="shared" si="151"/>
        <v>72642</v>
      </c>
      <c r="T155" s="1">
        <f t="shared" si="151"/>
        <v>72642</v>
      </c>
      <c r="U155" s="1">
        <f t="shared" si="151"/>
        <v>72642</v>
      </c>
      <c r="V155" s="1">
        <f t="shared" si="151"/>
        <v>72642</v>
      </c>
      <c r="W155" s="1">
        <f t="shared" si="151"/>
        <v>72642</v>
      </c>
      <c r="X155" s="1">
        <f t="shared" si="151"/>
        <v>72642</v>
      </c>
      <c r="Y155" s="1">
        <f t="shared" si="151"/>
        <v>72642</v>
      </c>
      <c r="Z155" s="1">
        <f t="shared" si="151"/>
        <v>72642</v>
      </c>
      <c r="AA155" s="1">
        <f t="shared" si="151"/>
        <v>72642</v>
      </c>
    </row>
    <row r="156" spans="1:27">
      <c r="A156" s="84" t="s">
        <v>385</v>
      </c>
      <c r="B156" s="85" t="s">
        <v>384</v>
      </c>
      <c r="C156" s="85" t="s">
        <v>83</v>
      </c>
      <c r="D156" s="84" t="s">
        <v>84</v>
      </c>
      <c r="E156" s="84">
        <f>VLOOKUP(A156,'2a. SI Pop'!$A$5:$E$198,5,FALSE)</f>
        <v>3</v>
      </c>
      <c r="F156" s="89">
        <v>16259</v>
      </c>
      <c r="G156" s="1">
        <f t="shared" ref="G156:AA156" si="152">F156</f>
        <v>16259</v>
      </c>
      <c r="H156" s="1">
        <f t="shared" si="152"/>
        <v>16259</v>
      </c>
      <c r="I156" s="1">
        <f t="shared" si="152"/>
        <v>16259</v>
      </c>
      <c r="J156" s="1">
        <f t="shared" si="152"/>
        <v>16259</v>
      </c>
      <c r="K156" s="1">
        <f t="shared" si="152"/>
        <v>16259</v>
      </c>
      <c r="L156" s="1">
        <f t="shared" si="152"/>
        <v>16259</v>
      </c>
      <c r="M156" s="1">
        <f t="shared" si="152"/>
        <v>16259</v>
      </c>
      <c r="N156" s="1">
        <f t="shared" si="152"/>
        <v>16259</v>
      </c>
      <c r="O156" s="1">
        <f t="shared" si="152"/>
        <v>16259</v>
      </c>
      <c r="P156" s="1">
        <f t="shared" si="152"/>
        <v>16259</v>
      </c>
      <c r="Q156" s="1">
        <f t="shared" si="152"/>
        <v>16259</v>
      </c>
      <c r="R156" s="1">
        <f t="shared" si="152"/>
        <v>16259</v>
      </c>
      <c r="S156" s="1">
        <f t="shared" si="152"/>
        <v>16259</v>
      </c>
      <c r="T156" s="1">
        <f t="shared" si="152"/>
        <v>16259</v>
      </c>
      <c r="U156" s="1">
        <f t="shared" si="152"/>
        <v>16259</v>
      </c>
      <c r="V156" s="1">
        <f t="shared" si="152"/>
        <v>16259</v>
      </c>
      <c r="W156" s="1">
        <f t="shared" si="152"/>
        <v>16259</v>
      </c>
      <c r="X156" s="1">
        <f t="shared" si="152"/>
        <v>16259</v>
      </c>
      <c r="Y156" s="1">
        <f t="shared" si="152"/>
        <v>16259</v>
      </c>
      <c r="Z156" s="1">
        <f t="shared" si="152"/>
        <v>16259</v>
      </c>
      <c r="AA156" s="1">
        <f t="shared" si="152"/>
        <v>16259</v>
      </c>
    </row>
    <row r="157" spans="1:27">
      <c r="A157" s="84" t="s">
        <v>387</v>
      </c>
      <c r="B157" s="85" t="s">
        <v>386</v>
      </c>
      <c r="C157" s="85" t="s">
        <v>79</v>
      </c>
      <c r="D157" s="84" t="s">
        <v>80</v>
      </c>
      <c r="E157" s="84">
        <f>VLOOKUP(A157,'2a. SI Pop'!$A$5:$E$198,5,FALSE)</f>
        <v>1</v>
      </c>
      <c r="F157" s="89">
        <v>249167</v>
      </c>
      <c r="G157" s="1">
        <f t="shared" ref="G157:AA157" si="153">F157</f>
        <v>249167</v>
      </c>
      <c r="H157" s="1">
        <f t="shared" si="153"/>
        <v>249167</v>
      </c>
      <c r="I157" s="1">
        <f t="shared" si="153"/>
        <v>249167</v>
      </c>
      <c r="J157" s="1">
        <f t="shared" si="153"/>
        <v>249167</v>
      </c>
      <c r="K157" s="1">
        <f t="shared" si="153"/>
        <v>249167</v>
      </c>
      <c r="L157" s="1">
        <f t="shared" si="153"/>
        <v>249167</v>
      </c>
      <c r="M157" s="1">
        <f t="shared" si="153"/>
        <v>249167</v>
      </c>
      <c r="N157" s="1">
        <f t="shared" si="153"/>
        <v>249167</v>
      </c>
      <c r="O157" s="1">
        <f t="shared" si="153"/>
        <v>249167</v>
      </c>
      <c r="P157" s="1">
        <f t="shared" si="153"/>
        <v>249167</v>
      </c>
      <c r="Q157" s="1">
        <f t="shared" si="153"/>
        <v>249167</v>
      </c>
      <c r="R157" s="1">
        <f t="shared" si="153"/>
        <v>249167</v>
      </c>
      <c r="S157" s="1">
        <f t="shared" si="153"/>
        <v>249167</v>
      </c>
      <c r="T157" s="1">
        <f t="shared" si="153"/>
        <v>249167</v>
      </c>
      <c r="U157" s="1">
        <f t="shared" si="153"/>
        <v>249167</v>
      </c>
      <c r="V157" s="1">
        <f t="shared" si="153"/>
        <v>249167</v>
      </c>
      <c r="W157" s="1">
        <f t="shared" si="153"/>
        <v>249167</v>
      </c>
      <c r="X157" s="1">
        <f t="shared" si="153"/>
        <v>249167</v>
      </c>
      <c r="Y157" s="1">
        <f t="shared" si="153"/>
        <v>249167</v>
      </c>
      <c r="Z157" s="1">
        <f t="shared" si="153"/>
        <v>249167</v>
      </c>
      <c r="AA157" s="1">
        <f t="shared" si="153"/>
        <v>249167</v>
      </c>
    </row>
    <row r="158" spans="1:27">
      <c r="A158" s="84" t="s">
        <v>389</v>
      </c>
      <c r="B158" s="85" t="s">
        <v>388</v>
      </c>
      <c r="C158" s="85" t="s">
        <v>83</v>
      </c>
      <c r="D158" s="84" t="s">
        <v>87</v>
      </c>
      <c r="E158" s="84">
        <f>VLOOKUP(A158,'2a. SI Pop'!$A$5:$E$198,5,FALSE)</f>
        <v>1</v>
      </c>
      <c r="F158" s="89">
        <v>0</v>
      </c>
      <c r="G158" s="1">
        <f t="shared" ref="G158:AA158" si="154">F158</f>
        <v>0</v>
      </c>
      <c r="H158" s="1">
        <f t="shared" si="154"/>
        <v>0</v>
      </c>
      <c r="I158" s="1">
        <f t="shared" si="154"/>
        <v>0</v>
      </c>
      <c r="J158" s="1">
        <f t="shared" si="154"/>
        <v>0</v>
      </c>
      <c r="K158" s="1">
        <f t="shared" si="154"/>
        <v>0</v>
      </c>
      <c r="L158" s="1">
        <f t="shared" si="154"/>
        <v>0</v>
      </c>
      <c r="M158" s="1">
        <f t="shared" si="154"/>
        <v>0</v>
      </c>
      <c r="N158" s="1">
        <f t="shared" si="154"/>
        <v>0</v>
      </c>
      <c r="O158" s="1">
        <f t="shared" si="154"/>
        <v>0</v>
      </c>
      <c r="P158" s="1">
        <f t="shared" si="154"/>
        <v>0</v>
      </c>
      <c r="Q158" s="1">
        <f t="shared" si="154"/>
        <v>0</v>
      </c>
      <c r="R158" s="1">
        <f t="shared" si="154"/>
        <v>0</v>
      </c>
      <c r="S158" s="1">
        <f t="shared" si="154"/>
        <v>0</v>
      </c>
      <c r="T158" s="1">
        <f t="shared" si="154"/>
        <v>0</v>
      </c>
      <c r="U158" s="1">
        <f t="shared" si="154"/>
        <v>0</v>
      </c>
      <c r="V158" s="1">
        <f t="shared" si="154"/>
        <v>0</v>
      </c>
      <c r="W158" s="1">
        <f t="shared" si="154"/>
        <v>0</v>
      </c>
      <c r="X158" s="1">
        <f t="shared" si="154"/>
        <v>0</v>
      </c>
      <c r="Y158" s="1">
        <f t="shared" si="154"/>
        <v>0</v>
      </c>
      <c r="Z158" s="1">
        <f t="shared" si="154"/>
        <v>0</v>
      </c>
      <c r="AA158" s="1">
        <f t="shared" si="154"/>
        <v>0</v>
      </c>
    </row>
    <row r="159" spans="1:27">
      <c r="A159" s="84" t="s">
        <v>391</v>
      </c>
      <c r="B159" s="85" t="s">
        <v>390</v>
      </c>
      <c r="C159" s="85" t="s">
        <v>83</v>
      </c>
      <c r="D159" s="84" t="s">
        <v>75</v>
      </c>
      <c r="E159" s="84">
        <f>VLOOKUP(A159,'2a. SI Pop'!$A$5:$E$198,5,FALSE)</f>
        <v>3</v>
      </c>
      <c r="F159" s="89">
        <v>441</v>
      </c>
      <c r="G159" s="1">
        <f t="shared" ref="G159:AA159" si="155">F159</f>
        <v>441</v>
      </c>
      <c r="H159" s="1">
        <f t="shared" si="155"/>
        <v>441</v>
      </c>
      <c r="I159" s="1">
        <f t="shared" si="155"/>
        <v>441</v>
      </c>
      <c r="J159" s="1">
        <f t="shared" si="155"/>
        <v>441</v>
      </c>
      <c r="K159" s="1">
        <f t="shared" si="155"/>
        <v>441</v>
      </c>
      <c r="L159" s="1">
        <f t="shared" si="155"/>
        <v>441</v>
      </c>
      <c r="M159" s="1">
        <f t="shared" si="155"/>
        <v>441</v>
      </c>
      <c r="N159" s="1">
        <f t="shared" si="155"/>
        <v>441</v>
      </c>
      <c r="O159" s="1">
        <f t="shared" si="155"/>
        <v>441</v>
      </c>
      <c r="P159" s="1">
        <f t="shared" si="155"/>
        <v>441</v>
      </c>
      <c r="Q159" s="1">
        <f t="shared" si="155"/>
        <v>441</v>
      </c>
      <c r="R159" s="1">
        <f t="shared" si="155"/>
        <v>441</v>
      </c>
      <c r="S159" s="1">
        <f t="shared" si="155"/>
        <v>441</v>
      </c>
      <c r="T159" s="1">
        <f t="shared" si="155"/>
        <v>441</v>
      </c>
      <c r="U159" s="1">
        <f t="shared" si="155"/>
        <v>441</v>
      </c>
      <c r="V159" s="1">
        <f t="shared" si="155"/>
        <v>441</v>
      </c>
      <c r="W159" s="1">
        <f t="shared" si="155"/>
        <v>441</v>
      </c>
      <c r="X159" s="1">
        <f t="shared" si="155"/>
        <v>441</v>
      </c>
      <c r="Y159" s="1">
        <f t="shared" si="155"/>
        <v>441</v>
      </c>
      <c r="Z159" s="1">
        <f t="shared" si="155"/>
        <v>441</v>
      </c>
      <c r="AA159" s="1">
        <f t="shared" si="155"/>
        <v>441</v>
      </c>
    </row>
    <row r="160" spans="1:27">
      <c r="A160" s="84" t="s">
        <v>393</v>
      </c>
      <c r="B160" s="85" t="s">
        <v>392</v>
      </c>
      <c r="C160" s="85" t="s">
        <v>99</v>
      </c>
      <c r="D160" s="84" t="s">
        <v>87</v>
      </c>
      <c r="E160" s="84">
        <f>VLOOKUP(A160,'2a. SI Pop'!$A$5:$E$198,5,FALSE)</f>
        <v>1</v>
      </c>
      <c r="F160" s="89">
        <v>1303</v>
      </c>
      <c r="G160" s="1">
        <f t="shared" ref="G160:AA160" si="156">F160</f>
        <v>1303</v>
      </c>
      <c r="H160" s="1">
        <f t="shared" si="156"/>
        <v>1303</v>
      </c>
      <c r="I160" s="1">
        <f t="shared" si="156"/>
        <v>1303</v>
      </c>
      <c r="J160" s="1">
        <f t="shared" si="156"/>
        <v>1303</v>
      </c>
      <c r="K160" s="1">
        <f t="shared" si="156"/>
        <v>1303</v>
      </c>
      <c r="L160" s="1">
        <f t="shared" si="156"/>
        <v>1303</v>
      </c>
      <c r="M160" s="1">
        <f t="shared" si="156"/>
        <v>1303</v>
      </c>
      <c r="N160" s="1">
        <f t="shared" si="156"/>
        <v>1303</v>
      </c>
      <c r="O160" s="1">
        <f t="shared" si="156"/>
        <v>1303</v>
      </c>
      <c r="P160" s="1">
        <f t="shared" si="156"/>
        <v>1303</v>
      </c>
      <c r="Q160" s="1">
        <f t="shared" si="156"/>
        <v>1303</v>
      </c>
      <c r="R160" s="1">
        <f t="shared" si="156"/>
        <v>1303</v>
      </c>
      <c r="S160" s="1">
        <f t="shared" si="156"/>
        <v>1303</v>
      </c>
      <c r="T160" s="1">
        <f t="shared" si="156"/>
        <v>1303</v>
      </c>
      <c r="U160" s="1">
        <f t="shared" si="156"/>
        <v>1303</v>
      </c>
      <c r="V160" s="1">
        <f t="shared" si="156"/>
        <v>1303</v>
      </c>
      <c r="W160" s="1">
        <f t="shared" si="156"/>
        <v>1303</v>
      </c>
      <c r="X160" s="1">
        <f t="shared" si="156"/>
        <v>1303</v>
      </c>
      <c r="Y160" s="1">
        <f t="shared" si="156"/>
        <v>1303</v>
      </c>
      <c r="Z160" s="1">
        <f t="shared" si="156"/>
        <v>1303</v>
      </c>
      <c r="AA160" s="1">
        <f t="shared" si="156"/>
        <v>1303</v>
      </c>
    </row>
    <row r="161" spans="1:27">
      <c r="A161" s="84" t="s">
        <v>395</v>
      </c>
      <c r="B161" s="85" t="s">
        <v>394</v>
      </c>
      <c r="C161" s="85" t="s">
        <v>79</v>
      </c>
      <c r="D161" s="84" t="s">
        <v>87</v>
      </c>
      <c r="E161" s="84">
        <f>VLOOKUP(A161,'2a. SI Pop'!$A$5:$E$198,5,FALSE)</f>
        <v>1</v>
      </c>
      <c r="F161" s="89">
        <v>2493</v>
      </c>
      <c r="G161" s="1">
        <f t="shared" ref="G161:AA161" si="157">F161</f>
        <v>2493</v>
      </c>
      <c r="H161" s="1">
        <f t="shared" si="157"/>
        <v>2493</v>
      </c>
      <c r="I161" s="1">
        <f t="shared" si="157"/>
        <v>2493</v>
      </c>
      <c r="J161" s="1">
        <f t="shared" si="157"/>
        <v>2493</v>
      </c>
      <c r="K161" s="1">
        <f t="shared" si="157"/>
        <v>2493</v>
      </c>
      <c r="L161" s="1">
        <f t="shared" si="157"/>
        <v>2493</v>
      </c>
      <c r="M161" s="1">
        <f t="shared" si="157"/>
        <v>2493</v>
      </c>
      <c r="N161" s="1">
        <f t="shared" si="157"/>
        <v>2493</v>
      </c>
      <c r="O161" s="1">
        <f t="shared" si="157"/>
        <v>2493</v>
      </c>
      <c r="P161" s="1">
        <f t="shared" si="157"/>
        <v>2493</v>
      </c>
      <c r="Q161" s="1">
        <f t="shared" si="157"/>
        <v>2493</v>
      </c>
      <c r="R161" s="1">
        <f t="shared" si="157"/>
        <v>2493</v>
      </c>
      <c r="S161" s="1">
        <f t="shared" si="157"/>
        <v>2493</v>
      </c>
      <c r="T161" s="1">
        <f t="shared" si="157"/>
        <v>2493</v>
      </c>
      <c r="U161" s="1">
        <f t="shared" si="157"/>
        <v>2493</v>
      </c>
      <c r="V161" s="1">
        <f t="shared" si="157"/>
        <v>2493</v>
      </c>
      <c r="W161" s="1">
        <f t="shared" si="157"/>
        <v>2493</v>
      </c>
      <c r="X161" s="1">
        <f t="shared" si="157"/>
        <v>2493</v>
      </c>
      <c r="Y161" s="1">
        <f t="shared" si="157"/>
        <v>2493</v>
      </c>
      <c r="Z161" s="1">
        <f t="shared" si="157"/>
        <v>2493</v>
      </c>
      <c r="AA161" s="1">
        <f t="shared" si="157"/>
        <v>2493</v>
      </c>
    </row>
    <row r="162" spans="1:27">
      <c r="A162" s="84" t="s">
        <v>397</v>
      </c>
      <c r="B162" s="85" t="s">
        <v>396</v>
      </c>
      <c r="C162" s="85" t="s">
        <v>79</v>
      </c>
      <c r="D162" s="84" t="s">
        <v>87</v>
      </c>
      <c r="E162" s="84">
        <f>VLOOKUP(A162,'2a. SI Pop'!$A$5:$E$198,5,FALSE)</f>
        <v>1</v>
      </c>
      <c r="F162" s="89">
        <v>1053</v>
      </c>
      <c r="G162" s="1">
        <f t="shared" ref="G162:AA162" si="158">F162</f>
        <v>1053</v>
      </c>
      <c r="H162" s="1">
        <f t="shared" si="158"/>
        <v>1053</v>
      </c>
      <c r="I162" s="1">
        <f t="shared" si="158"/>
        <v>1053</v>
      </c>
      <c r="J162" s="1">
        <f t="shared" si="158"/>
        <v>1053</v>
      </c>
      <c r="K162" s="1">
        <f t="shared" si="158"/>
        <v>1053</v>
      </c>
      <c r="L162" s="1">
        <f t="shared" si="158"/>
        <v>1053</v>
      </c>
      <c r="M162" s="1">
        <f t="shared" si="158"/>
        <v>1053</v>
      </c>
      <c r="N162" s="1">
        <f t="shared" si="158"/>
        <v>1053</v>
      </c>
      <c r="O162" s="1">
        <f t="shared" si="158"/>
        <v>1053</v>
      </c>
      <c r="P162" s="1">
        <f t="shared" si="158"/>
        <v>1053</v>
      </c>
      <c r="Q162" s="1">
        <f t="shared" si="158"/>
        <v>1053</v>
      </c>
      <c r="R162" s="1">
        <f t="shared" si="158"/>
        <v>1053</v>
      </c>
      <c r="S162" s="1">
        <f t="shared" si="158"/>
        <v>1053</v>
      </c>
      <c r="T162" s="1">
        <f t="shared" si="158"/>
        <v>1053</v>
      </c>
      <c r="U162" s="1">
        <f t="shared" si="158"/>
        <v>1053</v>
      </c>
      <c r="V162" s="1">
        <f t="shared" si="158"/>
        <v>1053</v>
      </c>
      <c r="W162" s="1">
        <f t="shared" si="158"/>
        <v>1053</v>
      </c>
      <c r="X162" s="1">
        <f t="shared" si="158"/>
        <v>1053</v>
      </c>
      <c r="Y162" s="1">
        <f t="shared" si="158"/>
        <v>1053</v>
      </c>
      <c r="Z162" s="1">
        <f t="shared" si="158"/>
        <v>1053</v>
      </c>
      <c r="AA162" s="1">
        <f t="shared" si="158"/>
        <v>1053</v>
      </c>
    </row>
    <row r="163" spans="1:27">
      <c r="A163" s="84" t="s">
        <v>399</v>
      </c>
      <c r="B163" s="85" t="s">
        <v>398</v>
      </c>
      <c r="C163" s="85" t="s">
        <v>74</v>
      </c>
      <c r="D163" s="84" t="s">
        <v>75</v>
      </c>
      <c r="E163" s="84">
        <f>VLOOKUP(A163,'2a. SI Pop'!$A$5:$E$198,5,FALSE)</f>
        <v>3</v>
      </c>
      <c r="F163" s="89">
        <v>2683823</v>
      </c>
      <c r="G163" s="1">
        <f t="shared" ref="G163:AA163" si="159">F163</f>
        <v>2683823</v>
      </c>
      <c r="H163" s="1">
        <f t="shared" si="159"/>
        <v>2683823</v>
      </c>
      <c r="I163" s="1">
        <f t="shared" si="159"/>
        <v>2683823</v>
      </c>
      <c r="J163" s="1">
        <f t="shared" si="159"/>
        <v>2683823</v>
      </c>
      <c r="K163" s="1">
        <f t="shared" si="159"/>
        <v>2683823</v>
      </c>
      <c r="L163" s="1">
        <f t="shared" si="159"/>
        <v>2683823</v>
      </c>
      <c r="M163" s="1">
        <f t="shared" si="159"/>
        <v>2683823</v>
      </c>
      <c r="N163" s="1">
        <f t="shared" si="159"/>
        <v>2683823</v>
      </c>
      <c r="O163" s="1">
        <f t="shared" si="159"/>
        <v>2683823</v>
      </c>
      <c r="P163" s="1">
        <f t="shared" si="159"/>
        <v>2683823</v>
      </c>
      <c r="Q163" s="1">
        <f t="shared" si="159"/>
        <v>2683823</v>
      </c>
      <c r="R163" s="1">
        <f t="shared" si="159"/>
        <v>2683823</v>
      </c>
      <c r="S163" s="1">
        <f t="shared" si="159"/>
        <v>2683823</v>
      </c>
      <c r="T163" s="1">
        <f t="shared" si="159"/>
        <v>2683823</v>
      </c>
      <c r="U163" s="1">
        <f t="shared" si="159"/>
        <v>2683823</v>
      </c>
      <c r="V163" s="1">
        <f t="shared" si="159"/>
        <v>2683823</v>
      </c>
      <c r="W163" s="1">
        <f t="shared" si="159"/>
        <v>2683823</v>
      </c>
      <c r="X163" s="1">
        <f t="shared" si="159"/>
        <v>2683823</v>
      </c>
      <c r="Y163" s="1">
        <f t="shared" si="159"/>
        <v>2683823</v>
      </c>
      <c r="Z163" s="1">
        <f t="shared" si="159"/>
        <v>2683823</v>
      </c>
      <c r="AA163" s="1">
        <f t="shared" si="159"/>
        <v>2683823</v>
      </c>
    </row>
    <row r="164" spans="1:27">
      <c r="A164" s="84" t="s">
        <v>401</v>
      </c>
      <c r="B164" s="85" t="s">
        <v>400</v>
      </c>
      <c r="C164" s="85" t="s">
        <v>99</v>
      </c>
      <c r="D164" s="84" t="s">
        <v>84</v>
      </c>
      <c r="E164" s="84">
        <f>VLOOKUP(A164,'2a. SI Pop'!$A$5:$E$198,5,FALSE)</f>
        <v>4</v>
      </c>
      <c r="F164" s="89">
        <v>0</v>
      </c>
      <c r="G164" s="1">
        <f t="shared" ref="G164:AA164" si="160">F164</f>
        <v>0</v>
      </c>
      <c r="H164" s="1">
        <f t="shared" si="160"/>
        <v>0</v>
      </c>
      <c r="I164" s="1">
        <f t="shared" si="160"/>
        <v>0</v>
      </c>
      <c r="J164" s="1">
        <f t="shared" si="160"/>
        <v>0</v>
      </c>
      <c r="K164" s="1">
        <f t="shared" si="160"/>
        <v>0</v>
      </c>
      <c r="L164" s="1">
        <f t="shared" si="160"/>
        <v>0</v>
      </c>
      <c r="M164" s="1">
        <f t="shared" si="160"/>
        <v>0</v>
      </c>
      <c r="N164" s="1">
        <f t="shared" si="160"/>
        <v>0</v>
      </c>
      <c r="O164" s="1">
        <f t="shared" si="160"/>
        <v>0</v>
      </c>
      <c r="P164" s="1">
        <f t="shared" si="160"/>
        <v>0</v>
      </c>
      <c r="Q164" s="1">
        <f t="shared" si="160"/>
        <v>0</v>
      </c>
      <c r="R164" s="1">
        <f t="shared" si="160"/>
        <v>0</v>
      </c>
      <c r="S164" s="1">
        <f t="shared" si="160"/>
        <v>0</v>
      </c>
      <c r="T164" s="1">
        <f t="shared" si="160"/>
        <v>0</v>
      </c>
      <c r="U164" s="1">
        <f t="shared" si="160"/>
        <v>0</v>
      </c>
      <c r="V164" s="1">
        <f t="shared" si="160"/>
        <v>0</v>
      </c>
      <c r="W164" s="1">
        <f t="shared" si="160"/>
        <v>0</v>
      </c>
      <c r="X164" s="1">
        <f t="shared" si="160"/>
        <v>0</v>
      </c>
      <c r="Y164" s="1">
        <f t="shared" si="160"/>
        <v>0</v>
      </c>
      <c r="Z164" s="1">
        <f t="shared" si="160"/>
        <v>0</v>
      </c>
      <c r="AA164" s="1">
        <f t="shared" si="160"/>
        <v>0</v>
      </c>
    </row>
    <row r="165" spans="1:27">
      <c r="A165" s="84" t="s">
        <v>403</v>
      </c>
      <c r="B165" s="85" t="s">
        <v>402</v>
      </c>
      <c r="C165" s="85" t="s">
        <v>83</v>
      </c>
      <c r="D165" s="84" t="s">
        <v>80</v>
      </c>
      <c r="E165" s="84" t="str">
        <f>VLOOKUP(A165,'2a. SI Pop'!$A$5:$E$198,5,FALSE)</f>
        <v>Key</v>
      </c>
      <c r="F165" s="89">
        <v>277581</v>
      </c>
      <c r="G165" s="1">
        <f t="shared" ref="G165:AA165" si="161">F165</f>
        <v>277581</v>
      </c>
      <c r="H165" s="1">
        <f t="shared" si="161"/>
        <v>277581</v>
      </c>
      <c r="I165" s="1">
        <f t="shared" si="161"/>
        <v>277581</v>
      </c>
      <c r="J165" s="1">
        <f t="shared" si="161"/>
        <v>277581</v>
      </c>
      <c r="K165" s="1">
        <f t="shared" si="161"/>
        <v>277581</v>
      </c>
      <c r="L165" s="1">
        <f t="shared" si="161"/>
        <v>277581</v>
      </c>
      <c r="M165" s="1">
        <f t="shared" si="161"/>
        <v>277581</v>
      </c>
      <c r="N165" s="1">
        <f t="shared" si="161"/>
        <v>277581</v>
      </c>
      <c r="O165" s="1">
        <f t="shared" si="161"/>
        <v>277581</v>
      </c>
      <c r="P165" s="1">
        <f t="shared" si="161"/>
        <v>277581</v>
      </c>
      <c r="Q165" s="1">
        <f t="shared" si="161"/>
        <v>277581</v>
      </c>
      <c r="R165" s="1">
        <f t="shared" si="161"/>
        <v>277581</v>
      </c>
      <c r="S165" s="1">
        <f t="shared" si="161"/>
        <v>277581</v>
      </c>
      <c r="T165" s="1">
        <f t="shared" si="161"/>
        <v>277581</v>
      </c>
      <c r="U165" s="1">
        <f t="shared" si="161"/>
        <v>277581</v>
      </c>
      <c r="V165" s="1">
        <f t="shared" si="161"/>
        <v>277581</v>
      </c>
      <c r="W165" s="1">
        <f t="shared" si="161"/>
        <v>277581</v>
      </c>
      <c r="X165" s="1">
        <f t="shared" si="161"/>
        <v>277581</v>
      </c>
      <c r="Y165" s="1">
        <f t="shared" si="161"/>
        <v>277581</v>
      </c>
      <c r="Z165" s="1">
        <f t="shared" si="161"/>
        <v>277581</v>
      </c>
      <c r="AA165" s="1">
        <f t="shared" si="161"/>
        <v>277581</v>
      </c>
    </row>
    <row r="166" spans="1:27">
      <c r="A166" s="84" t="s">
        <v>405</v>
      </c>
      <c r="B166" s="85" t="s">
        <v>404</v>
      </c>
      <c r="C166" s="85" t="s">
        <v>79</v>
      </c>
      <c r="D166" s="84" t="s">
        <v>87</v>
      </c>
      <c r="E166" s="84">
        <f>VLOOKUP(A166,'2a. SI Pop'!$A$5:$E$198,5,FALSE)</f>
        <v>1</v>
      </c>
      <c r="F166" s="89">
        <v>195027</v>
      </c>
      <c r="G166" s="1">
        <f t="shared" ref="G166:AA166" si="162">F166</f>
        <v>195027</v>
      </c>
      <c r="H166" s="1">
        <f t="shared" si="162"/>
        <v>195027</v>
      </c>
      <c r="I166" s="1">
        <f t="shared" si="162"/>
        <v>195027</v>
      </c>
      <c r="J166" s="1">
        <f t="shared" si="162"/>
        <v>195027</v>
      </c>
      <c r="K166" s="1">
        <f t="shared" si="162"/>
        <v>195027</v>
      </c>
      <c r="L166" s="1">
        <f t="shared" si="162"/>
        <v>195027</v>
      </c>
      <c r="M166" s="1">
        <f t="shared" si="162"/>
        <v>195027</v>
      </c>
      <c r="N166" s="1">
        <f t="shared" si="162"/>
        <v>195027</v>
      </c>
      <c r="O166" s="1">
        <f t="shared" si="162"/>
        <v>195027</v>
      </c>
      <c r="P166" s="1">
        <f t="shared" si="162"/>
        <v>195027</v>
      </c>
      <c r="Q166" s="1">
        <f t="shared" si="162"/>
        <v>195027</v>
      </c>
      <c r="R166" s="1">
        <f t="shared" si="162"/>
        <v>195027</v>
      </c>
      <c r="S166" s="1">
        <f t="shared" si="162"/>
        <v>195027</v>
      </c>
      <c r="T166" s="1">
        <f t="shared" si="162"/>
        <v>195027</v>
      </c>
      <c r="U166" s="1">
        <f t="shared" si="162"/>
        <v>195027</v>
      </c>
      <c r="V166" s="1">
        <f t="shared" si="162"/>
        <v>195027</v>
      </c>
      <c r="W166" s="1">
        <f t="shared" si="162"/>
        <v>195027</v>
      </c>
      <c r="X166" s="1">
        <f t="shared" si="162"/>
        <v>195027</v>
      </c>
      <c r="Y166" s="1">
        <f t="shared" si="162"/>
        <v>195027</v>
      </c>
      <c r="Z166" s="1">
        <f t="shared" si="162"/>
        <v>195027</v>
      </c>
      <c r="AA166" s="1">
        <f t="shared" si="162"/>
        <v>195027</v>
      </c>
    </row>
    <row r="167" spans="1:27">
      <c r="A167" s="84" t="s">
        <v>407</v>
      </c>
      <c r="B167" s="85" t="s">
        <v>406</v>
      </c>
      <c r="C167" s="85" t="s">
        <v>110</v>
      </c>
      <c r="D167" s="84" t="s">
        <v>84</v>
      </c>
      <c r="E167" s="84">
        <f>VLOOKUP(A167,'2a. SI Pop'!$A$5:$E$198,5,FALSE)</f>
        <v>2</v>
      </c>
      <c r="F167" s="89">
        <v>26512</v>
      </c>
      <c r="G167" s="1">
        <f t="shared" ref="G167:AA167" si="163">F167</f>
        <v>26512</v>
      </c>
      <c r="H167" s="1">
        <f t="shared" si="163"/>
        <v>26512</v>
      </c>
      <c r="I167" s="1">
        <f t="shared" si="163"/>
        <v>26512</v>
      </c>
      <c r="J167" s="1">
        <f t="shared" si="163"/>
        <v>26512</v>
      </c>
      <c r="K167" s="1">
        <f t="shared" si="163"/>
        <v>26512</v>
      </c>
      <c r="L167" s="1">
        <f t="shared" si="163"/>
        <v>26512</v>
      </c>
      <c r="M167" s="1">
        <f t="shared" si="163"/>
        <v>26512</v>
      </c>
      <c r="N167" s="1">
        <f t="shared" si="163"/>
        <v>26512</v>
      </c>
      <c r="O167" s="1">
        <f t="shared" si="163"/>
        <v>26512</v>
      </c>
      <c r="P167" s="1">
        <f t="shared" si="163"/>
        <v>26512</v>
      </c>
      <c r="Q167" s="1">
        <f t="shared" si="163"/>
        <v>26512</v>
      </c>
      <c r="R167" s="1">
        <f t="shared" si="163"/>
        <v>26512</v>
      </c>
      <c r="S167" s="1">
        <f t="shared" si="163"/>
        <v>26512</v>
      </c>
      <c r="T167" s="1">
        <f t="shared" si="163"/>
        <v>26512</v>
      </c>
      <c r="U167" s="1">
        <f t="shared" si="163"/>
        <v>26512</v>
      </c>
      <c r="V167" s="1">
        <f t="shared" si="163"/>
        <v>26512</v>
      </c>
      <c r="W167" s="1">
        <f t="shared" si="163"/>
        <v>26512</v>
      </c>
      <c r="X167" s="1">
        <f t="shared" si="163"/>
        <v>26512</v>
      </c>
      <c r="Y167" s="1">
        <f t="shared" si="163"/>
        <v>26512</v>
      </c>
      <c r="Z167" s="1">
        <f t="shared" si="163"/>
        <v>26512</v>
      </c>
      <c r="AA167" s="1">
        <f t="shared" si="163"/>
        <v>26512</v>
      </c>
    </row>
    <row r="168" spans="1:27">
      <c r="A168" s="84" t="s">
        <v>409</v>
      </c>
      <c r="B168" s="85" t="s">
        <v>408</v>
      </c>
      <c r="C168" s="85" t="s">
        <v>74</v>
      </c>
      <c r="D168" s="84" t="s">
        <v>75</v>
      </c>
      <c r="E168" s="84">
        <f>VLOOKUP(A168,'2a. SI Pop'!$A$5:$E$198,5,FALSE)</f>
        <v>3</v>
      </c>
      <c r="F168" s="89">
        <v>2960503</v>
      </c>
      <c r="G168" s="1">
        <f t="shared" ref="G168:AA168" si="164">F168</f>
        <v>2960503</v>
      </c>
      <c r="H168" s="1">
        <f t="shared" si="164"/>
        <v>2960503</v>
      </c>
      <c r="I168" s="1">
        <f t="shared" si="164"/>
        <v>2960503</v>
      </c>
      <c r="J168" s="1">
        <f t="shared" si="164"/>
        <v>2960503</v>
      </c>
      <c r="K168" s="1">
        <f t="shared" si="164"/>
        <v>2960503</v>
      </c>
      <c r="L168" s="1">
        <f t="shared" si="164"/>
        <v>2960503</v>
      </c>
      <c r="M168" s="1">
        <f t="shared" si="164"/>
        <v>2960503</v>
      </c>
      <c r="N168" s="1">
        <f t="shared" si="164"/>
        <v>2960503</v>
      </c>
      <c r="O168" s="1">
        <f t="shared" si="164"/>
        <v>2960503</v>
      </c>
      <c r="P168" s="1">
        <f t="shared" si="164"/>
        <v>2960503</v>
      </c>
      <c r="Q168" s="1">
        <f t="shared" si="164"/>
        <v>2960503</v>
      </c>
      <c r="R168" s="1">
        <f t="shared" si="164"/>
        <v>2960503</v>
      </c>
      <c r="S168" s="1">
        <f t="shared" si="164"/>
        <v>2960503</v>
      </c>
      <c r="T168" s="1">
        <f t="shared" si="164"/>
        <v>2960503</v>
      </c>
      <c r="U168" s="1">
        <f t="shared" si="164"/>
        <v>2960503</v>
      </c>
      <c r="V168" s="1">
        <f t="shared" si="164"/>
        <v>2960503</v>
      </c>
      <c r="W168" s="1">
        <f t="shared" si="164"/>
        <v>2960503</v>
      </c>
      <c r="X168" s="1">
        <f t="shared" si="164"/>
        <v>2960503</v>
      </c>
      <c r="Y168" s="1">
        <f t="shared" si="164"/>
        <v>2960503</v>
      </c>
      <c r="Z168" s="1">
        <f t="shared" si="164"/>
        <v>2960503</v>
      </c>
      <c r="AA168" s="1">
        <f t="shared" si="164"/>
        <v>2960503</v>
      </c>
    </row>
    <row r="169" spans="1:27">
      <c r="A169" s="84" t="s">
        <v>411</v>
      </c>
      <c r="B169" s="85" t="s">
        <v>410</v>
      </c>
      <c r="C169" s="85" t="s">
        <v>74</v>
      </c>
      <c r="D169" s="84" t="s">
        <v>75</v>
      </c>
      <c r="E169" s="84">
        <f>VLOOKUP(A169,'2a. SI Pop'!$A$5:$E$198,5,FALSE)</f>
        <v>3</v>
      </c>
      <c r="F169" s="89">
        <v>1977799</v>
      </c>
      <c r="G169" s="1">
        <f t="shared" ref="G169:AA169" si="165">F169</f>
        <v>1977799</v>
      </c>
      <c r="H169" s="1">
        <f t="shared" si="165"/>
        <v>1977799</v>
      </c>
      <c r="I169" s="1">
        <f t="shared" si="165"/>
        <v>1977799</v>
      </c>
      <c r="J169" s="1">
        <f t="shared" si="165"/>
        <v>1977799</v>
      </c>
      <c r="K169" s="1">
        <f t="shared" si="165"/>
        <v>1977799</v>
      </c>
      <c r="L169" s="1">
        <f t="shared" si="165"/>
        <v>1977799</v>
      </c>
      <c r="M169" s="1">
        <f t="shared" si="165"/>
        <v>1977799</v>
      </c>
      <c r="N169" s="1">
        <f t="shared" si="165"/>
        <v>1977799</v>
      </c>
      <c r="O169" s="1">
        <f t="shared" si="165"/>
        <v>1977799</v>
      </c>
      <c r="P169" s="1">
        <f t="shared" si="165"/>
        <v>1977799</v>
      </c>
      <c r="Q169" s="1">
        <f t="shared" si="165"/>
        <v>1977799</v>
      </c>
      <c r="R169" s="1">
        <f t="shared" si="165"/>
        <v>1977799</v>
      </c>
      <c r="S169" s="1">
        <f t="shared" si="165"/>
        <v>1977799</v>
      </c>
      <c r="T169" s="1">
        <f t="shared" si="165"/>
        <v>1977799</v>
      </c>
      <c r="U169" s="1">
        <f t="shared" si="165"/>
        <v>1977799</v>
      </c>
      <c r="V169" s="1">
        <f t="shared" si="165"/>
        <v>1977799</v>
      </c>
      <c r="W169" s="1">
        <f t="shared" si="165"/>
        <v>1977799</v>
      </c>
      <c r="X169" s="1">
        <f t="shared" si="165"/>
        <v>1977799</v>
      </c>
      <c r="Y169" s="1">
        <f t="shared" si="165"/>
        <v>1977799</v>
      </c>
      <c r="Z169" s="1">
        <f t="shared" si="165"/>
        <v>1977799</v>
      </c>
      <c r="AA169" s="1">
        <f t="shared" si="165"/>
        <v>1977799</v>
      </c>
    </row>
    <row r="170" spans="1:27">
      <c r="A170" s="84" t="s">
        <v>413</v>
      </c>
      <c r="B170" s="85" t="s">
        <v>412</v>
      </c>
      <c r="C170" s="85" t="s">
        <v>92</v>
      </c>
      <c r="D170" s="84" t="s">
        <v>80</v>
      </c>
      <c r="E170" s="84">
        <f>VLOOKUP(A170,'2a. SI Pop'!$A$5:$E$198,5,FALSE)</f>
        <v>1</v>
      </c>
      <c r="F170" s="89">
        <v>1470</v>
      </c>
      <c r="G170" s="1">
        <f t="shared" ref="G170:AA170" si="166">F170</f>
        <v>1470</v>
      </c>
      <c r="H170" s="1">
        <f t="shared" si="166"/>
        <v>1470</v>
      </c>
      <c r="I170" s="1">
        <f t="shared" si="166"/>
        <v>1470</v>
      </c>
      <c r="J170" s="1">
        <f t="shared" si="166"/>
        <v>1470</v>
      </c>
      <c r="K170" s="1">
        <f t="shared" si="166"/>
        <v>1470</v>
      </c>
      <c r="L170" s="1">
        <f t="shared" si="166"/>
        <v>1470</v>
      </c>
      <c r="M170" s="1">
        <f t="shared" si="166"/>
        <v>1470</v>
      </c>
      <c r="N170" s="1">
        <f t="shared" si="166"/>
        <v>1470</v>
      </c>
      <c r="O170" s="1">
        <f t="shared" si="166"/>
        <v>1470</v>
      </c>
      <c r="P170" s="1">
        <f t="shared" si="166"/>
        <v>1470</v>
      </c>
      <c r="Q170" s="1">
        <f t="shared" si="166"/>
        <v>1470</v>
      </c>
      <c r="R170" s="1">
        <f t="shared" si="166"/>
        <v>1470</v>
      </c>
      <c r="S170" s="1">
        <f t="shared" si="166"/>
        <v>1470</v>
      </c>
      <c r="T170" s="1">
        <f t="shared" si="166"/>
        <v>1470</v>
      </c>
      <c r="U170" s="1">
        <f t="shared" si="166"/>
        <v>1470</v>
      </c>
      <c r="V170" s="1">
        <f t="shared" si="166"/>
        <v>1470</v>
      </c>
      <c r="W170" s="1">
        <f t="shared" si="166"/>
        <v>1470</v>
      </c>
      <c r="X170" s="1">
        <f t="shared" si="166"/>
        <v>1470</v>
      </c>
      <c r="Y170" s="1">
        <f t="shared" si="166"/>
        <v>1470</v>
      </c>
      <c r="Z170" s="1">
        <f t="shared" si="166"/>
        <v>1470</v>
      </c>
      <c r="AA170" s="1">
        <f t="shared" si="166"/>
        <v>1470</v>
      </c>
    </row>
    <row r="171" spans="1:27">
      <c r="A171" s="84" t="s">
        <v>415</v>
      </c>
      <c r="B171" s="85" t="s">
        <v>414</v>
      </c>
      <c r="C171" s="85" t="s">
        <v>83</v>
      </c>
      <c r="D171" s="84" t="s">
        <v>84</v>
      </c>
      <c r="E171" s="84">
        <f>VLOOKUP(A171,'2a. SI Pop'!$A$5:$E$198,5,FALSE)</f>
        <v>3</v>
      </c>
      <c r="F171" s="89">
        <v>1903</v>
      </c>
      <c r="G171" s="1">
        <f t="shared" ref="G171:AA171" si="167">F171</f>
        <v>1903</v>
      </c>
      <c r="H171" s="1">
        <f t="shared" si="167"/>
        <v>1903</v>
      </c>
      <c r="I171" s="1">
        <f t="shared" si="167"/>
        <v>1903</v>
      </c>
      <c r="J171" s="1">
        <f t="shared" si="167"/>
        <v>1903</v>
      </c>
      <c r="K171" s="1">
        <f t="shared" si="167"/>
        <v>1903</v>
      </c>
      <c r="L171" s="1">
        <f t="shared" si="167"/>
        <v>1903</v>
      </c>
      <c r="M171" s="1">
        <f t="shared" si="167"/>
        <v>1903</v>
      </c>
      <c r="N171" s="1">
        <f t="shared" si="167"/>
        <v>1903</v>
      </c>
      <c r="O171" s="1">
        <f t="shared" si="167"/>
        <v>1903</v>
      </c>
      <c r="P171" s="1">
        <f t="shared" si="167"/>
        <v>1903</v>
      </c>
      <c r="Q171" s="1">
        <f t="shared" si="167"/>
        <v>1903</v>
      </c>
      <c r="R171" s="1">
        <f t="shared" si="167"/>
        <v>1903</v>
      </c>
      <c r="S171" s="1">
        <f t="shared" si="167"/>
        <v>1903</v>
      </c>
      <c r="T171" s="1">
        <f t="shared" si="167"/>
        <v>1903</v>
      </c>
      <c r="U171" s="1">
        <f t="shared" si="167"/>
        <v>1903</v>
      </c>
      <c r="V171" s="1">
        <f t="shared" si="167"/>
        <v>1903</v>
      </c>
      <c r="W171" s="1">
        <f t="shared" si="167"/>
        <v>1903</v>
      </c>
      <c r="X171" s="1">
        <f t="shared" si="167"/>
        <v>1903</v>
      </c>
      <c r="Y171" s="1">
        <f t="shared" si="167"/>
        <v>1903</v>
      </c>
      <c r="Z171" s="1">
        <f t="shared" si="167"/>
        <v>1903</v>
      </c>
      <c r="AA171" s="1">
        <f t="shared" si="167"/>
        <v>1903</v>
      </c>
    </row>
    <row r="172" spans="1:27">
      <c r="A172" s="84" t="s">
        <v>417</v>
      </c>
      <c r="B172" s="85" t="s">
        <v>416</v>
      </c>
      <c r="C172" s="85" t="s">
        <v>79</v>
      </c>
      <c r="D172" s="84" t="s">
        <v>87</v>
      </c>
      <c r="E172" s="84">
        <f>VLOOKUP(A172,'2a. SI Pop'!$A$5:$E$198,5,FALSE)</f>
        <v>1</v>
      </c>
      <c r="F172" s="89">
        <v>312091</v>
      </c>
      <c r="G172" s="1">
        <f t="shared" ref="G172:AA172" si="168">F172</f>
        <v>312091</v>
      </c>
      <c r="H172" s="1">
        <f t="shared" si="168"/>
        <v>312091</v>
      </c>
      <c r="I172" s="1">
        <f t="shared" si="168"/>
        <v>312091</v>
      </c>
      <c r="J172" s="1">
        <f t="shared" si="168"/>
        <v>312091</v>
      </c>
      <c r="K172" s="1">
        <f t="shared" si="168"/>
        <v>312091</v>
      </c>
      <c r="L172" s="1">
        <f t="shared" si="168"/>
        <v>312091</v>
      </c>
      <c r="M172" s="1">
        <f t="shared" si="168"/>
        <v>312091</v>
      </c>
      <c r="N172" s="1">
        <f t="shared" si="168"/>
        <v>312091</v>
      </c>
      <c r="O172" s="1">
        <f t="shared" si="168"/>
        <v>312091</v>
      </c>
      <c r="P172" s="1">
        <f t="shared" si="168"/>
        <v>312091</v>
      </c>
      <c r="Q172" s="1">
        <f t="shared" si="168"/>
        <v>312091</v>
      </c>
      <c r="R172" s="1">
        <f t="shared" si="168"/>
        <v>312091</v>
      </c>
      <c r="S172" s="1">
        <f t="shared" si="168"/>
        <v>312091</v>
      </c>
      <c r="T172" s="1">
        <f t="shared" si="168"/>
        <v>312091</v>
      </c>
      <c r="U172" s="1">
        <f t="shared" si="168"/>
        <v>312091</v>
      </c>
      <c r="V172" s="1">
        <f t="shared" si="168"/>
        <v>312091</v>
      </c>
      <c r="W172" s="1">
        <f t="shared" si="168"/>
        <v>312091</v>
      </c>
      <c r="X172" s="1">
        <f t="shared" si="168"/>
        <v>312091</v>
      </c>
      <c r="Y172" s="1">
        <f t="shared" si="168"/>
        <v>312091</v>
      </c>
      <c r="Z172" s="1">
        <f t="shared" si="168"/>
        <v>312091</v>
      </c>
      <c r="AA172" s="1">
        <f t="shared" si="168"/>
        <v>312091</v>
      </c>
    </row>
    <row r="173" spans="1:27">
      <c r="A173" s="84" t="s">
        <v>419</v>
      </c>
      <c r="B173" s="85" t="s">
        <v>418</v>
      </c>
      <c r="C173" s="85" t="s">
        <v>79</v>
      </c>
      <c r="D173" s="84" t="s">
        <v>87</v>
      </c>
      <c r="E173" s="84">
        <f>VLOOKUP(A173,'2a. SI Pop'!$A$5:$E$198,5,FALSE)</f>
        <v>1</v>
      </c>
      <c r="F173" s="89">
        <v>121366</v>
      </c>
      <c r="G173" s="1">
        <f t="shared" ref="G173:AA173" si="169">F173</f>
        <v>121366</v>
      </c>
      <c r="H173" s="1">
        <f t="shared" si="169"/>
        <v>121366</v>
      </c>
      <c r="I173" s="1">
        <f t="shared" si="169"/>
        <v>121366</v>
      </c>
      <c r="J173" s="1">
        <f t="shared" si="169"/>
        <v>121366</v>
      </c>
      <c r="K173" s="1">
        <f t="shared" si="169"/>
        <v>121366</v>
      </c>
      <c r="L173" s="1">
        <f t="shared" si="169"/>
        <v>121366</v>
      </c>
      <c r="M173" s="1">
        <f t="shared" si="169"/>
        <v>121366</v>
      </c>
      <c r="N173" s="1">
        <f t="shared" si="169"/>
        <v>121366</v>
      </c>
      <c r="O173" s="1">
        <f t="shared" si="169"/>
        <v>121366</v>
      </c>
      <c r="P173" s="1">
        <f t="shared" si="169"/>
        <v>121366</v>
      </c>
      <c r="Q173" s="1">
        <f t="shared" si="169"/>
        <v>121366</v>
      </c>
      <c r="R173" s="1">
        <f t="shared" si="169"/>
        <v>121366</v>
      </c>
      <c r="S173" s="1">
        <f t="shared" si="169"/>
        <v>121366</v>
      </c>
      <c r="T173" s="1">
        <f t="shared" si="169"/>
        <v>121366</v>
      </c>
      <c r="U173" s="1">
        <f t="shared" si="169"/>
        <v>121366</v>
      </c>
      <c r="V173" s="1">
        <f t="shared" si="169"/>
        <v>121366</v>
      </c>
      <c r="W173" s="1">
        <f t="shared" si="169"/>
        <v>121366</v>
      </c>
      <c r="X173" s="1">
        <f t="shared" si="169"/>
        <v>121366</v>
      </c>
      <c r="Y173" s="1">
        <f t="shared" si="169"/>
        <v>121366</v>
      </c>
      <c r="Z173" s="1">
        <f t="shared" si="169"/>
        <v>121366</v>
      </c>
      <c r="AA173" s="1">
        <f t="shared" si="169"/>
        <v>121366</v>
      </c>
    </row>
    <row r="174" spans="1:27">
      <c r="A174" s="84" t="s">
        <v>421</v>
      </c>
      <c r="B174" s="85" t="s">
        <v>420</v>
      </c>
      <c r="C174" s="85" t="s">
        <v>74</v>
      </c>
      <c r="D174" s="84" t="s">
        <v>75</v>
      </c>
      <c r="E174" s="84">
        <f>VLOOKUP(A174,'2a. SI Pop'!$A$5:$E$198,5,FALSE)</f>
        <v>2</v>
      </c>
      <c r="F174" s="89">
        <v>6366236</v>
      </c>
      <c r="G174" s="1">
        <f t="shared" ref="G174:AA174" si="170">F174</f>
        <v>6366236</v>
      </c>
      <c r="H174" s="1">
        <f t="shared" si="170"/>
        <v>6366236</v>
      </c>
      <c r="I174" s="1">
        <f t="shared" si="170"/>
        <v>6366236</v>
      </c>
      <c r="J174" s="1">
        <f t="shared" si="170"/>
        <v>6366236</v>
      </c>
      <c r="K174" s="1">
        <f t="shared" si="170"/>
        <v>6366236</v>
      </c>
      <c r="L174" s="1">
        <f t="shared" si="170"/>
        <v>6366236</v>
      </c>
      <c r="M174" s="1">
        <f t="shared" si="170"/>
        <v>6366236</v>
      </c>
      <c r="N174" s="1">
        <f t="shared" si="170"/>
        <v>6366236</v>
      </c>
      <c r="O174" s="1">
        <f t="shared" si="170"/>
        <v>6366236</v>
      </c>
      <c r="P174" s="1">
        <f t="shared" si="170"/>
        <v>6366236</v>
      </c>
      <c r="Q174" s="1">
        <f t="shared" si="170"/>
        <v>6366236</v>
      </c>
      <c r="R174" s="1">
        <f t="shared" si="170"/>
        <v>6366236</v>
      </c>
      <c r="S174" s="1">
        <f t="shared" si="170"/>
        <v>6366236</v>
      </c>
      <c r="T174" s="1">
        <f t="shared" si="170"/>
        <v>6366236</v>
      </c>
      <c r="U174" s="1">
        <f t="shared" si="170"/>
        <v>6366236</v>
      </c>
      <c r="V174" s="1">
        <f t="shared" si="170"/>
        <v>6366236</v>
      </c>
      <c r="W174" s="1">
        <f t="shared" si="170"/>
        <v>6366236</v>
      </c>
      <c r="X174" s="1">
        <f t="shared" si="170"/>
        <v>6366236</v>
      </c>
      <c r="Y174" s="1">
        <f t="shared" si="170"/>
        <v>6366236</v>
      </c>
      <c r="Z174" s="1">
        <f t="shared" si="170"/>
        <v>6366236</v>
      </c>
      <c r="AA174" s="1">
        <f t="shared" si="170"/>
        <v>6366236</v>
      </c>
    </row>
    <row r="175" spans="1:27">
      <c r="A175" s="84" t="s">
        <v>423</v>
      </c>
      <c r="B175" s="85" t="s">
        <v>422</v>
      </c>
      <c r="C175" s="85" t="s">
        <v>83</v>
      </c>
      <c r="D175" s="84" t="s">
        <v>84</v>
      </c>
      <c r="E175" s="84" t="str">
        <f>VLOOKUP(A175,'2a. SI Pop'!$A$5:$E$198,5,FALSE)</f>
        <v>Key</v>
      </c>
      <c r="F175" s="89">
        <v>295587</v>
      </c>
      <c r="G175" s="1">
        <f t="shared" ref="G175:AA175" si="171">F175</f>
        <v>295587</v>
      </c>
      <c r="H175" s="1">
        <f t="shared" si="171"/>
        <v>295587</v>
      </c>
      <c r="I175" s="1">
        <f t="shared" si="171"/>
        <v>295587</v>
      </c>
      <c r="J175" s="1">
        <f t="shared" si="171"/>
        <v>295587</v>
      </c>
      <c r="K175" s="1">
        <f t="shared" si="171"/>
        <v>295587</v>
      </c>
      <c r="L175" s="1">
        <f t="shared" si="171"/>
        <v>295587</v>
      </c>
      <c r="M175" s="1">
        <f t="shared" si="171"/>
        <v>295587</v>
      </c>
      <c r="N175" s="1">
        <f t="shared" si="171"/>
        <v>295587</v>
      </c>
      <c r="O175" s="1">
        <f t="shared" si="171"/>
        <v>295587</v>
      </c>
      <c r="P175" s="1">
        <f t="shared" si="171"/>
        <v>295587</v>
      </c>
      <c r="Q175" s="1">
        <f t="shared" si="171"/>
        <v>295587</v>
      </c>
      <c r="R175" s="1">
        <f t="shared" si="171"/>
        <v>295587</v>
      </c>
      <c r="S175" s="1">
        <f t="shared" si="171"/>
        <v>295587</v>
      </c>
      <c r="T175" s="1">
        <f t="shared" si="171"/>
        <v>295587</v>
      </c>
      <c r="U175" s="1">
        <f t="shared" si="171"/>
        <v>295587</v>
      </c>
      <c r="V175" s="1">
        <f t="shared" si="171"/>
        <v>295587</v>
      </c>
      <c r="W175" s="1">
        <f t="shared" si="171"/>
        <v>295587</v>
      </c>
      <c r="X175" s="1">
        <f t="shared" si="171"/>
        <v>295587</v>
      </c>
      <c r="Y175" s="1">
        <f t="shared" si="171"/>
        <v>295587</v>
      </c>
      <c r="Z175" s="1">
        <f t="shared" si="171"/>
        <v>295587</v>
      </c>
      <c r="AA175" s="1">
        <f t="shared" si="171"/>
        <v>295587</v>
      </c>
    </row>
    <row r="176" spans="1:27">
      <c r="A176" s="84" t="s">
        <v>425</v>
      </c>
      <c r="B176" s="85" t="s">
        <v>424</v>
      </c>
      <c r="C176" s="85" t="s">
        <v>79</v>
      </c>
      <c r="D176" s="84" t="s">
        <v>75</v>
      </c>
      <c r="E176" s="84">
        <f>VLOOKUP(A176,'2a. SI Pop'!$A$5:$E$198,5,FALSE)</f>
        <v>2</v>
      </c>
      <c r="F176" s="89">
        <v>12352</v>
      </c>
      <c r="G176" s="1">
        <f t="shared" ref="G176:AA176" si="172">F176</f>
        <v>12352</v>
      </c>
      <c r="H176" s="1">
        <f t="shared" si="172"/>
        <v>12352</v>
      </c>
      <c r="I176" s="1">
        <f t="shared" si="172"/>
        <v>12352</v>
      </c>
      <c r="J176" s="1">
        <f t="shared" si="172"/>
        <v>12352</v>
      </c>
      <c r="K176" s="1">
        <f t="shared" si="172"/>
        <v>12352</v>
      </c>
      <c r="L176" s="1">
        <f t="shared" si="172"/>
        <v>12352</v>
      </c>
      <c r="M176" s="1">
        <f t="shared" si="172"/>
        <v>12352</v>
      </c>
      <c r="N176" s="1">
        <f t="shared" si="172"/>
        <v>12352</v>
      </c>
      <c r="O176" s="1">
        <f t="shared" si="172"/>
        <v>12352</v>
      </c>
      <c r="P176" s="1">
        <f t="shared" si="172"/>
        <v>12352</v>
      </c>
      <c r="Q176" s="1">
        <f t="shared" si="172"/>
        <v>12352</v>
      </c>
      <c r="R176" s="1">
        <f t="shared" si="172"/>
        <v>12352</v>
      </c>
      <c r="S176" s="1">
        <f t="shared" si="172"/>
        <v>12352</v>
      </c>
      <c r="T176" s="1">
        <f t="shared" si="172"/>
        <v>12352</v>
      </c>
      <c r="U176" s="1">
        <f t="shared" si="172"/>
        <v>12352</v>
      </c>
      <c r="V176" s="1">
        <f t="shared" si="172"/>
        <v>12352</v>
      </c>
      <c r="W176" s="1">
        <f t="shared" si="172"/>
        <v>12352</v>
      </c>
      <c r="X176" s="1">
        <f t="shared" si="172"/>
        <v>12352</v>
      </c>
      <c r="Y176" s="1">
        <f t="shared" si="172"/>
        <v>12352</v>
      </c>
      <c r="Z176" s="1">
        <f t="shared" si="172"/>
        <v>12352</v>
      </c>
      <c r="AA176" s="1">
        <f t="shared" si="172"/>
        <v>12352</v>
      </c>
    </row>
    <row r="177" spans="1:27">
      <c r="A177" s="84" t="s">
        <v>427</v>
      </c>
      <c r="B177" s="85" t="s">
        <v>426</v>
      </c>
      <c r="C177" s="85" t="s">
        <v>110</v>
      </c>
      <c r="D177" s="84" t="s">
        <v>80</v>
      </c>
      <c r="E177" s="84">
        <f>VLOOKUP(A177,'2a. SI Pop'!$A$5:$E$198,5,FALSE)</f>
        <v>1</v>
      </c>
      <c r="F177" s="89">
        <v>573525</v>
      </c>
      <c r="G177" s="1">
        <f t="shared" ref="G177:AA177" si="173">F177</f>
        <v>573525</v>
      </c>
      <c r="H177" s="1">
        <f t="shared" si="173"/>
        <v>573525</v>
      </c>
      <c r="I177" s="1">
        <f t="shared" si="173"/>
        <v>573525</v>
      </c>
      <c r="J177" s="1">
        <f t="shared" si="173"/>
        <v>573525</v>
      </c>
      <c r="K177" s="1">
        <f t="shared" si="173"/>
        <v>573525</v>
      </c>
      <c r="L177" s="1">
        <f t="shared" si="173"/>
        <v>573525</v>
      </c>
      <c r="M177" s="1">
        <f t="shared" si="173"/>
        <v>573525</v>
      </c>
      <c r="N177" s="1">
        <f t="shared" si="173"/>
        <v>573525</v>
      </c>
      <c r="O177" s="1">
        <f t="shared" si="173"/>
        <v>573525</v>
      </c>
      <c r="P177" s="1">
        <f t="shared" si="173"/>
        <v>573525</v>
      </c>
      <c r="Q177" s="1">
        <f t="shared" si="173"/>
        <v>573525</v>
      </c>
      <c r="R177" s="1">
        <f t="shared" si="173"/>
        <v>573525</v>
      </c>
      <c r="S177" s="1">
        <f t="shared" si="173"/>
        <v>573525</v>
      </c>
      <c r="T177" s="1">
        <f t="shared" si="173"/>
        <v>573525</v>
      </c>
      <c r="U177" s="1">
        <f t="shared" si="173"/>
        <v>573525</v>
      </c>
      <c r="V177" s="1">
        <f t="shared" si="173"/>
        <v>573525</v>
      </c>
      <c r="W177" s="1">
        <f t="shared" si="173"/>
        <v>573525</v>
      </c>
      <c r="X177" s="1">
        <f t="shared" si="173"/>
        <v>573525</v>
      </c>
      <c r="Y177" s="1">
        <f t="shared" si="173"/>
        <v>573525</v>
      </c>
      <c r="Z177" s="1">
        <f t="shared" si="173"/>
        <v>573525</v>
      </c>
      <c r="AA177" s="1">
        <f t="shared" si="173"/>
        <v>573525</v>
      </c>
    </row>
    <row r="178" spans="1:27">
      <c r="A178" s="84" t="s">
        <v>429</v>
      </c>
      <c r="B178" s="85" t="s">
        <v>428</v>
      </c>
      <c r="C178" s="85" t="s">
        <v>110</v>
      </c>
      <c r="D178" s="84" t="s">
        <v>84</v>
      </c>
      <c r="E178" s="84">
        <f>VLOOKUP(A178,'2a. SI Pop'!$A$5:$E$198,5,FALSE)</f>
        <v>4</v>
      </c>
      <c r="F178" s="89">
        <v>0</v>
      </c>
      <c r="G178" s="1">
        <f t="shared" ref="G178:AA178" si="174">F178</f>
        <v>0</v>
      </c>
      <c r="H178" s="1">
        <f t="shared" si="174"/>
        <v>0</v>
      </c>
      <c r="I178" s="1">
        <f t="shared" si="174"/>
        <v>0</v>
      </c>
      <c r="J178" s="1">
        <f t="shared" si="174"/>
        <v>0</v>
      </c>
      <c r="K178" s="1">
        <f t="shared" si="174"/>
        <v>0</v>
      </c>
      <c r="L178" s="1">
        <f t="shared" si="174"/>
        <v>0</v>
      </c>
      <c r="M178" s="1">
        <f t="shared" si="174"/>
        <v>0</v>
      </c>
      <c r="N178" s="1">
        <f t="shared" si="174"/>
        <v>0</v>
      </c>
      <c r="O178" s="1">
        <f t="shared" si="174"/>
        <v>0</v>
      </c>
      <c r="P178" s="1">
        <f t="shared" si="174"/>
        <v>0</v>
      </c>
      <c r="Q178" s="1">
        <f t="shared" si="174"/>
        <v>0</v>
      </c>
      <c r="R178" s="1">
        <f t="shared" si="174"/>
        <v>0</v>
      </c>
      <c r="S178" s="1">
        <f t="shared" si="174"/>
        <v>0</v>
      </c>
      <c r="T178" s="1">
        <f t="shared" si="174"/>
        <v>0</v>
      </c>
      <c r="U178" s="1">
        <f t="shared" si="174"/>
        <v>0</v>
      </c>
      <c r="V178" s="1">
        <f t="shared" si="174"/>
        <v>0</v>
      </c>
      <c r="W178" s="1">
        <f t="shared" si="174"/>
        <v>0</v>
      </c>
      <c r="X178" s="1">
        <f t="shared" si="174"/>
        <v>0</v>
      </c>
      <c r="Y178" s="1">
        <f t="shared" si="174"/>
        <v>0</v>
      </c>
      <c r="Z178" s="1">
        <f t="shared" si="174"/>
        <v>0</v>
      </c>
      <c r="AA178" s="1">
        <f t="shared" si="174"/>
        <v>0</v>
      </c>
    </row>
    <row r="179" spans="1:27">
      <c r="A179" s="84" t="s">
        <v>431</v>
      </c>
      <c r="B179" s="85" t="s">
        <v>430</v>
      </c>
      <c r="C179" s="85" t="s">
        <v>83</v>
      </c>
      <c r="D179" s="84" t="s">
        <v>75</v>
      </c>
      <c r="E179" s="84">
        <f>VLOOKUP(A179,'2a. SI Pop'!$A$5:$E$198,5,FALSE)</f>
        <v>3</v>
      </c>
      <c r="F179" s="89">
        <v>12658</v>
      </c>
      <c r="G179" s="1">
        <f t="shared" ref="G179:AA179" si="175">F179</f>
        <v>12658</v>
      </c>
      <c r="H179" s="1">
        <f t="shared" si="175"/>
        <v>12658</v>
      </c>
      <c r="I179" s="1">
        <f t="shared" si="175"/>
        <v>12658</v>
      </c>
      <c r="J179" s="1">
        <f t="shared" si="175"/>
        <v>12658</v>
      </c>
      <c r="K179" s="1">
        <f t="shared" si="175"/>
        <v>12658</v>
      </c>
      <c r="L179" s="1">
        <f t="shared" si="175"/>
        <v>12658</v>
      </c>
      <c r="M179" s="1">
        <f t="shared" si="175"/>
        <v>12658</v>
      </c>
      <c r="N179" s="1">
        <f t="shared" si="175"/>
        <v>12658</v>
      </c>
      <c r="O179" s="1">
        <f t="shared" si="175"/>
        <v>12658</v>
      </c>
      <c r="P179" s="1">
        <f t="shared" si="175"/>
        <v>12658</v>
      </c>
      <c r="Q179" s="1">
        <f t="shared" si="175"/>
        <v>12658</v>
      </c>
      <c r="R179" s="1">
        <f t="shared" si="175"/>
        <v>12658</v>
      </c>
      <c r="S179" s="1">
        <f t="shared" si="175"/>
        <v>12658</v>
      </c>
      <c r="T179" s="1">
        <f t="shared" si="175"/>
        <v>12658</v>
      </c>
      <c r="U179" s="1">
        <f t="shared" si="175"/>
        <v>12658</v>
      </c>
      <c r="V179" s="1">
        <f t="shared" si="175"/>
        <v>12658</v>
      </c>
      <c r="W179" s="1">
        <f t="shared" si="175"/>
        <v>12658</v>
      </c>
      <c r="X179" s="1">
        <f t="shared" si="175"/>
        <v>12658</v>
      </c>
      <c r="Y179" s="1">
        <f t="shared" si="175"/>
        <v>12658</v>
      </c>
      <c r="Z179" s="1">
        <f t="shared" si="175"/>
        <v>12658</v>
      </c>
      <c r="AA179" s="1">
        <f t="shared" si="175"/>
        <v>12658</v>
      </c>
    </row>
    <row r="180" spans="1:27">
      <c r="A180" s="84" t="s">
        <v>433</v>
      </c>
      <c r="B180" s="85" t="s">
        <v>432</v>
      </c>
      <c r="C180" s="85" t="s">
        <v>99</v>
      </c>
      <c r="D180" s="84" t="s">
        <v>80</v>
      </c>
      <c r="E180" s="84">
        <f>VLOOKUP(A180,'2a. SI Pop'!$A$5:$E$198,5,FALSE)</f>
        <v>1</v>
      </c>
      <c r="F180" s="89">
        <v>0</v>
      </c>
      <c r="G180" s="1">
        <f t="shared" ref="G180:AA180" si="176">F180</f>
        <v>0</v>
      </c>
      <c r="H180" s="1">
        <f t="shared" si="176"/>
        <v>0</v>
      </c>
      <c r="I180" s="1">
        <f t="shared" si="176"/>
        <v>0</v>
      </c>
      <c r="J180" s="1">
        <f t="shared" si="176"/>
        <v>0</v>
      </c>
      <c r="K180" s="1">
        <f t="shared" si="176"/>
        <v>0</v>
      </c>
      <c r="L180" s="1">
        <f t="shared" si="176"/>
        <v>0</v>
      </c>
      <c r="M180" s="1">
        <f t="shared" si="176"/>
        <v>0</v>
      </c>
      <c r="N180" s="1">
        <f t="shared" si="176"/>
        <v>0</v>
      </c>
      <c r="O180" s="1">
        <f t="shared" si="176"/>
        <v>0</v>
      </c>
      <c r="P180" s="1">
        <f t="shared" si="176"/>
        <v>0</v>
      </c>
      <c r="Q180" s="1">
        <f t="shared" si="176"/>
        <v>0</v>
      </c>
      <c r="R180" s="1">
        <f t="shared" si="176"/>
        <v>0</v>
      </c>
      <c r="S180" s="1">
        <f t="shared" si="176"/>
        <v>0</v>
      </c>
      <c r="T180" s="1">
        <f t="shared" si="176"/>
        <v>0</v>
      </c>
      <c r="U180" s="1">
        <f t="shared" si="176"/>
        <v>0</v>
      </c>
      <c r="V180" s="1">
        <f t="shared" si="176"/>
        <v>0</v>
      </c>
      <c r="W180" s="1">
        <f t="shared" si="176"/>
        <v>0</v>
      </c>
      <c r="X180" s="1">
        <f t="shared" si="176"/>
        <v>0</v>
      </c>
      <c r="Y180" s="1">
        <f t="shared" si="176"/>
        <v>0</v>
      </c>
      <c r="Z180" s="1">
        <f t="shared" si="176"/>
        <v>0</v>
      </c>
      <c r="AA180" s="1">
        <f t="shared" si="176"/>
        <v>0</v>
      </c>
    </row>
    <row r="181" spans="1:27">
      <c r="A181" s="84" t="s">
        <v>435</v>
      </c>
      <c r="B181" s="85" t="s">
        <v>434</v>
      </c>
      <c r="C181" s="85" t="s">
        <v>92</v>
      </c>
      <c r="D181" s="84" t="s">
        <v>87</v>
      </c>
      <c r="E181" s="84">
        <f>VLOOKUP(A181,'2a. SI Pop'!$A$5:$E$198,5,FALSE)</f>
        <v>1</v>
      </c>
      <c r="F181" s="89">
        <v>27533</v>
      </c>
      <c r="G181" s="1">
        <f t="shared" ref="G181:AA181" si="177">F181</f>
        <v>27533</v>
      </c>
      <c r="H181" s="1">
        <f t="shared" si="177"/>
        <v>27533</v>
      </c>
      <c r="I181" s="1">
        <f t="shared" si="177"/>
        <v>27533</v>
      </c>
      <c r="J181" s="1">
        <f t="shared" si="177"/>
        <v>27533</v>
      </c>
      <c r="K181" s="1">
        <f t="shared" si="177"/>
        <v>27533</v>
      </c>
      <c r="L181" s="1">
        <f t="shared" si="177"/>
        <v>27533</v>
      </c>
      <c r="M181" s="1">
        <f t="shared" si="177"/>
        <v>27533</v>
      </c>
      <c r="N181" s="1">
        <f t="shared" si="177"/>
        <v>27533</v>
      </c>
      <c r="O181" s="1">
        <f t="shared" si="177"/>
        <v>27533</v>
      </c>
      <c r="P181" s="1">
        <f t="shared" si="177"/>
        <v>27533</v>
      </c>
      <c r="Q181" s="1">
        <f t="shared" si="177"/>
        <v>27533</v>
      </c>
      <c r="R181" s="1">
        <f t="shared" si="177"/>
        <v>27533</v>
      </c>
      <c r="S181" s="1">
        <f t="shared" si="177"/>
        <v>27533</v>
      </c>
      <c r="T181" s="1">
        <f t="shared" si="177"/>
        <v>27533</v>
      </c>
      <c r="U181" s="1">
        <f t="shared" si="177"/>
        <v>27533</v>
      </c>
      <c r="V181" s="1">
        <f t="shared" si="177"/>
        <v>27533</v>
      </c>
      <c r="W181" s="1">
        <f t="shared" si="177"/>
        <v>27533</v>
      </c>
      <c r="X181" s="1">
        <f t="shared" si="177"/>
        <v>27533</v>
      </c>
      <c r="Y181" s="1">
        <f t="shared" si="177"/>
        <v>27533</v>
      </c>
      <c r="Z181" s="1">
        <f t="shared" si="177"/>
        <v>27533</v>
      </c>
      <c r="AA181" s="1">
        <f t="shared" si="177"/>
        <v>27533</v>
      </c>
    </row>
    <row r="182" spans="1:27">
      <c r="A182" s="84" t="s">
        <v>437</v>
      </c>
      <c r="B182" s="85" t="s">
        <v>436</v>
      </c>
      <c r="C182" s="85" t="s">
        <v>74</v>
      </c>
      <c r="D182" s="84" t="s">
        <v>84</v>
      </c>
      <c r="E182" s="84">
        <f>VLOOKUP(A182,'2a. SI Pop'!$A$5:$E$198,5,FALSE)</f>
        <v>3</v>
      </c>
      <c r="F182" s="89">
        <v>3265</v>
      </c>
      <c r="G182" s="1">
        <f t="shared" ref="G182:AA182" si="178">F182</f>
        <v>3265</v>
      </c>
      <c r="H182" s="1">
        <f t="shared" si="178"/>
        <v>3265</v>
      </c>
      <c r="I182" s="1">
        <f t="shared" si="178"/>
        <v>3265</v>
      </c>
      <c r="J182" s="1">
        <f t="shared" si="178"/>
        <v>3265</v>
      </c>
      <c r="K182" s="1">
        <f t="shared" si="178"/>
        <v>3265</v>
      </c>
      <c r="L182" s="1">
        <f t="shared" si="178"/>
        <v>3265</v>
      </c>
      <c r="M182" s="1">
        <f t="shared" si="178"/>
        <v>3265</v>
      </c>
      <c r="N182" s="1">
        <f t="shared" si="178"/>
        <v>3265</v>
      </c>
      <c r="O182" s="1">
        <f t="shared" si="178"/>
        <v>3265</v>
      </c>
      <c r="P182" s="1">
        <f t="shared" si="178"/>
        <v>3265</v>
      </c>
      <c r="Q182" s="1">
        <f t="shared" si="178"/>
        <v>3265</v>
      </c>
      <c r="R182" s="1">
        <f t="shared" si="178"/>
        <v>3265</v>
      </c>
      <c r="S182" s="1">
        <f t="shared" si="178"/>
        <v>3265</v>
      </c>
      <c r="T182" s="1">
        <f t="shared" si="178"/>
        <v>3265</v>
      </c>
      <c r="U182" s="1">
        <f t="shared" si="178"/>
        <v>3265</v>
      </c>
      <c r="V182" s="1">
        <f t="shared" si="178"/>
        <v>3265</v>
      </c>
      <c r="W182" s="1">
        <f t="shared" si="178"/>
        <v>3265</v>
      </c>
      <c r="X182" s="1">
        <f t="shared" si="178"/>
        <v>3265</v>
      </c>
      <c r="Y182" s="1">
        <f t="shared" si="178"/>
        <v>3265</v>
      </c>
      <c r="Z182" s="1">
        <f t="shared" si="178"/>
        <v>3265</v>
      </c>
      <c r="AA182" s="1">
        <f t="shared" si="178"/>
        <v>3265</v>
      </c>
    </row>
    <row r="183" spans="1:27">
      <c r="A183" s="84" t="s">
        <v>439</v>
      </c>
      <c r="B183" s="85" t="s">
        <v>438</v>
      </c>
      <c r="C183" s="85" t="s">
        <v>79</v>
      </c>
      <c r="D183" s="84" t="s">
        <v>80</v>
      </c>
      <c r="E183" s="84">
        <f>VLOOKUP(A183,'2a. SI Pop'!$A$5:$E$198,5,FALSE)</f>
        <v>1</v>
      </c>
      <c r="F183" s="89">
        <v>3907788</v>
      </c>
      <c r="G183" s="1">
        <f t="shared" ref="G183:AA183" si="179">F183</f>
        <v>3907788</v>
      </c>
      <c r="H183" s="1">
        <f t="shared" si="179"/>
        <v>3907788</v>
      </c>
      <c r="I183" s="1">
        <f t="shared" si="179"/>
        <v>3907788</v>
      </c>
      <c r="J183" s="1">
        <f t="shared" si="179"/>
        <v>3907788</v>
      </c>
      <c r="K183" s="1">
        <f t="shared" si="179"/>
        <v>3907788</v>
      </c>
      <c r="L183" s="1">
        <f t="shared" si="179"/>
        <v>3907788</v>
      </c>
      <c r="M183" s="1">
        <f t="shared" si="179"/>
        <v>3907788</v>
      </c>
      <c r="N183" s="1">
        <f t="shared" si="179"/>
        <v>3907788</v>
      </c>
      <c r="O183" s="1">
        <f t="shared" si="179"/>
        <v>3907788</v>
      </c>
      <c r="P183" s="1">
        <f t="shared" si="179"/>
        <v>3907788</v>
      </c>
      <c r="Q183" s="1">
        <f t="shared" si="179"/>
        <v>3907788</v>
      </c>
      <c r="R183" s="1">
        <f t="shared" si="179"/>
        <v>3907788</v>
      </c>
      <c r="S183" s="1">
        <f t="shared" si="179"/>
        <v>3907788</v>
      </c>
      <c r="T183" s="1">
        <f t="shared" si="179"/>
        <v>3907788</v>
      </c>
      <c r="U183" s="1">
        <f t="shared" si="179"/>
        <v>3907788</v>
      </c>
      <c r="V183" s="1">
        <f t="shared" si="179"/>
        <v>3907788</v>
      </c>
      <c r="W183" s="1">
        <f t="shared" si="179"/>
        <v>3907788</v>
      </c>
      <c r="X183" s="1">
        <f t="shared" si="179"/>
        <v>3907788</v>
      </c>
      <c r="Y183" s="1">
        <f t="shared" si="179"/>
        <v>3907788</v>
      </c>
      <c r="Z183" s="1">
        <f t="shared" si="179"/>
        <v>3907788</v>
      </c>
      <c r="AA183" s="1">
        <f t="shared" si="179"/>
        <v>3907788</v>
      </c>
    </row>
    <row r="184" spans="1:27">
      <c r="A184" s="84" t="s">
        <v>441</v>
      </c>
      <c r="B184" s="85" t="s">
        <v>440</v>
      </c>
      <c r="C184" s="85" t="s">
        <v>79</v>
      </c>
      <c r="D184" s="84" t="s">
        <v>80</v>
      </c>
      <c r="E184" s="84">
        <f>VLOOKUP(A184,'2a. SI Pop'!$A$5:$E$198,5,FALSE)</f>
        <v>1</v>
      </c>
      <c r="F184" s="89">
        <v>3709</v>
      </c>
      <c r="G184" s="1">
        <f t="shared" ref="G184:AA184" si="180">F184</f>
        <v>3709</v>
      </c>
      <c r="H184" s="1">
        <f t="shared" si="180"/>
        <v>3709</v>
      </c>
      <c r="I184" s="1">
        <f t="shared" si="180"/>
        <v>3709</v>
      </c>
      <c r="J184" s="1">
        <f t="shared" si="180"/>
        <v>3709</v>
      </c>
      <c r="K184" s="1">
        <f t="shared" si="180"/>
        <v>3709</v>
      </c>
      <c r="L184" s="1">
        <f t="shared" si="180"/>
        <v>3709</v>
      </c>
      <c r="M184" s="1">
        <f t="shared" si="180"/>
        <v>3709</v>
      </c>
      <c r="N184" s="1">
        <f t="shared" si="180"/>
        <v>3709</v>
      </c>
      <c r="O184" s="1">
        <f t="shared" si="180"/>
        <v>3709</v>
      </c>
      <c r="P184" s="1">
        <f t="shared" si="180"/>
        <v>3709</v>
      </c>
      <c r="Q184" s="1">
        <f t="shared" si="180"/>
        <v>3709</v>
      </c>
      <c r="R184" s="1">
        <f t="shared" si="180"/>
        <v>3709</v>
      </c>
      <c r="S184" s="1">
        <f t="shared" si="180"/>
        <v>3709</v>
      </c>
      <c r="T184" s="1">
        <f t="shared" si="180"/>
        <v>3709</v>
      </c>
      <c r="U184" s="1">
        <f t="shared" si="180"/>
        <v>3709</v>
      </c>
      <c r="V184" s="1">
        <f t="shared" si="180"/>
        <v>3709</v>
      </c>
      <c r="W184" s="1">
        <f t="shared" si="180"/>
        <v>3709</v>
      </c>
      <c r="X184" s="1">
        <f t="shared" si="180"/>
        <v>3709</v>
      </c>
      <c r="Y184" s="1">
        <f t="shared" si="180"/>
        <v>3709</v>
      </c>
      <c r="Z184" s="1">
        <f t="shared" si="180"/>
        <v>3709</v>
      </c>
      <c r="AA184" s="1">
        <f t="shared" si="180"/>
        <v>3709</v>
      </c>
    </row>
    <row r="185" spans="1:27">
      <c r="A185" s="84" t="s">
        <v>443</v>
      </c>
      <c r="B185" s="85" t="s">
        <v>442</v>
      </c>
      <c r="C185" s="85" t="s">
        <v>99</v>
      </c>
      <c r="D185" s="84" t="s">
        <v>80</v>
      </c>
      <c r="E185" s="84">
        <f>VLOOKUP(A185,'2a. SI Pop'!$A$5:$E$198,5,FALSE)</f>
        <v>4</v>
      </c>
      <c r="F185" s="89">
        <v>0</v>
      </c>
      <c r="G185" s="1">
        <f t="shared" ref="G185:AA185" si="181">F185</f>
        <v>0</v>
      </c>
      <c r="H185" s="1">
        <f t="shared" si="181"/>
        <v>0</v>
      </c>
      <c r="I185" s="1">
        <f t="shared" si="181"/>
        <v>0</v>
      </c>
      <c r="J185" s="1">
        <f t="shared" si="181"/>
        <v>0</v>
      </c>
      <c r="K185" s="1">
        <f t="shared" si="181"/>
        <v>0</v>
      </c>
      <c r="L185" s="1">
        <f t="shared" si="181"/>
        <v>0</v>
      </c>
      <c r="M185" s="1">
        <f t="shared" si="181"/>
        <v>0</v>
      </c>
      <c r="N185" s="1">
        <f t="shared" si="181"/>
        <v>0</v>
      </c>
      <c r="O185" s="1">
        <f t="shared" si="181"/>
        <v>0</v>
      </c>
      <c r="P185" s="1">
        <f t="shared" si="181"/>
        <v>0</v>
      </c>
      <c r="Q185" s="1">
        <f t="shared" si="181"/>
        <v>0</v>
      </c>
      <c r="R185" s="1">
        <f t="shared" si="181"/>
        <v>0</v>
      </c>
      <c r="S185" s="1">
        <f t="shared" si="181"/>
        <v>0</v>
      </c>
      <c r="T185" s="1">
        <f t="shared" si="181"/>
        <v>0</v>
      </c>
      <c r="U185" s="1">
        <f t="shared" si="181"/>
        <v>0</v>
      </c>
      <c r="V185" s="1">
        <f t="shared" si="181"/>
        <v>0</v>
      </c>
      <c r="W185" s="1">
        <f t="shared" si="181"/>
        <v>0</v>
      </c>
      <c r="X185" s="1">
        <f t="shared" si="181"/>
        <v>0</v>
      </c>
      <c r="Y185" s="1">
        <f t="shared" si="181"/>
        <v>0</v>
      </c>
      <c r="Z185" s="1">
        <f t="shared" si="181"/>
        <v>0</v>
      </c>
      <c r="AA185" s="1">
        <f t="shared" si="181"/>
        <v>0</v>
      </c>
    </row>
    <row r="186" spans="1:27">
      <c r="A186" s="84" t="s">
        <v>445</v>
      </c>
      <c r="B186" s="85" t="s">
        <v>444</v>
      </c>
      <c r="C186" s="85" t="s">
        <v>83</v>
      </c>
      <c r="D186" s="84" t="s">
        <v>75</v>
      </c>
      <c r="E186" s="84" t="str">
        <f>VLOOKUP(A186,'2a. SI Pop'!$A$5:$E$198,5,FALSE)</f>
        <v>Key</v>
      </c>
      <c r="F186" s="89">
        <v>3685624</v>
      </c>
      <c r="G186" s="1">
        <f t="shared" ref="G186:AA186" si="182">F186</f>
        <v>3685624</v>
      </c>
      <c r="H186" s="1">
        <f t="shared" si="182"/>
        <v>3685624</v>
      </c>
      <c r="I186" s="1">
        <f t="shared" si="182"/>
        <v>3685624</v>
      </c>
      <c r="J186" s="1">
        <f t="shared" si="182"/>
        <v>3685624</v>
      </c>
      <c r="K186" s="1">
        <f t="shared" si="182"/>
        <v>3685624</v>
      </c>
      <c r="L186" s="1">
        <f t="shared" si="182"/>
        <v>3685624</v>
      </c>
      <c r="M186" s="1">
        <f t="shared" si="182"/>
        <v>3685624</v>
      </c>
      <c r="N186" s="1">
        <f t="shared" si="182"/>
        <v>3685624</v>
      </c>
      <c r="O186" s="1">
        <f t="shared" si="182"/>
        <v>3685624</v>
      </c>
      <c r="P186" s="1">
        <f t="shared" si="182"/>
        <v>3685624</v>
      </c>
      <c r="Q186" s="1">
        <f t="shared" si="182"/>
        <v>3685624</v>
      </c>
      <c r="R186" s="1">
        <f t="shared" si="182"/>
        <v>3685624</v>
      </c>
      <c r="S186" s="1">
        <f t="shared" si="182"/>
        <v>3685624</v>
      </c>
      <c r="T186" s="1">
        <f t="shared" si="182"/>
        <v>3685624</v>
      </c>
      <c r="U186" s="1">
        <f t="shared" si="182"/>
        <v>3685624</v>
      </c>
      <c r="V186" s="1">
        <f t="shared" si="182"/>
        <v>3685624</v>
      </c>
      <c r="W186" s="1">
        <f t="shared" si="182"/>
        <v>3685624</v>
      </c>
      <c r="X186" s="1">
        <f t="shared" si="182"/>
        <v>3685624</v>
      </c>
      <c r="Y186" s="1">
        <f t="shared" si="182"/>
        <v>3685624</v>
      </c>
      <c r="Z186" s="1">
        <f t="shared" si="182"/>
        <v>3685624</v>
      </c>
      <c r="AA186" s="1">
        <f t="shared" si="182"/>
        <v>3685624</v>
      </c>
    </row>
    <row r="187" spans="1:27">
      <c r="A187" s="84" t="s">
        <v>447</v>
      </c>
      <c r="B187" s="85" t="s">
        <v>446</v>
      </c>
      <c r="C187" s="85" t="s">
        <v>79</v>
      </c>
      <c r="D187" s="84" t="s">
        <v>84</v>
      </c>
      <c r="E187" s="84">
        <f>VLOOKUP(A187,'2a. SI Pop'!$A$5:$E$198,5,FALSE)</f>
        <v>1</v>
      </c>
      <c r="F187" s="89">
        <v>2454191</v>
      </c>
      <c r="G187" s="1">
        <f t="shared" ref="G187:AA187" si="183">F187</f>
        <v>2454191</v>
      </c>
      <c r="H187" s="1">
        <f t="shared" si="183"/>
        <v>2454191</v>
      </c>
      <c r="I187" s="1">
        <f t="shared" si="183"/>
        <v>2454191</v>
      </c>
      <c r="J187" s="1">
        <f t="shared" si="183"/>
        <v>2454191</v>
      </c>
      <c r="K187" s="1">
        <f t="shared" si="183"/>
        <v>2454191</v>
      </c>
      <c r="L187" s="1">
        <f t="shared" si="183"/>
        <v>2454191</v>
      </c>
      <c r="M187" s="1">
        <f t="shared" si="183"/>
        <v>2454191</v>
      </c>
      <c r="N187" s="1">
        <f t="shared" si="183"/>
        <v>2454191</v>
      </c>
      <c r="O187" s="1">
        <f t="shared" si="183"/>
        <v>2454191</v>
      </c>
      <c r="P187" s="1">
        <f t="shared" si="183"/>
        <v>2454191</v>
      </c>
      <c r="Q187" s="1">
        <f t="shared" si="183"/>
        <v>2454191</v>
      </c>
      <c r="R187" s="1">
        <f t="shared" si="183"/>
        <v>2454191</v>
      </c>
      <c r="S187" s="1">
        <f t="shared" si="183"/>
        <v>2454191</v>
      </c>
      <c r="T187" s="1">
        <f t="shared" si="183"/>
        <v>2454191</v>
      </c>
      <c r="U187" s="1">
        <f t="shared" si="183"/>
        <v>2454191</v>
      </c>
      <c r="V187" s="1">
        <f t="shared" si="183"/>
        <v>2454191</v>
      </c>
      <c r="W187" s="1">
        <f t="shared" si="183"/>
        <v>2454191</v>
      </c>
      <c r="X187" s="1">
        <f t="shared" si="183"/>
        <v>2454191</v>
      </c>
      <c r="Y187" s="1">
        <f t="shared" si="183"/>
        <v>2454191</v>
      </c>
      <c r="Z187" s="1">
        <f t="shared" si="183"/>
        <v>2454191</v>
      </c>
      <c r="AA187" s="1">
        <f t="shared" si="183"/>
        <v>2454191</v>
      </c>
    </row>
    <row r="188" spans="1:27">
      <c r="A188" s="84" t="s">
        <v>449</v>
      </c>
      <c r="B188" s="85" t="s">
        <v>448</v>
      </c>
      <c r="C188" s="85" t="s">
        <v>74</v>
      </c>
      <c r="D188" s="84" t="s">
        <v>87</v>
      </c>
      <c r="E188" s="84">
        <f>VLOOKUP(A188,'2a. SI Pop'!$A$5:$E$198,5,FALSE)</f>
        <v>1</v>
      </c>
      <c r="F188" s="89">
        <v>8633</v>
      </c>
      <c r="G188" s="1">
        <f t="shared" ref="G188:AA188" si="184">F188</f>
        <v>8633</v>
      </c>
      <c r="H188" s="1">
        <f t="shared" si="184"/>
        <v>8633</v>
      </c>
      <c r="I188" s="1">
        <f t="shared" si="184"/>
        <v>8633</v>
      </c>
      <c r="J188" s="1">
        <f t="shared" si="184"/>
        <v>8633</v>
      </c>
      <c r="K188" s="1">
        <f t="shared" si="184"/>
        <v>8633</v>
      </c>
      <c r="L188" s="1">
        <f t="shared" si="184"/>
        <v>8633</v>
      </c>
      <c r="M188" s="1">
        <f t="shared" si="184"/>
        <v>8633</v>
      </c>
      <c r="N188" s="1">
        <f t="shared" si="184"/>
        <v>8633</v>
      </c>
      <c r="O188" s="1">
        <f t="shared" si="184"/>
        <v>8633</v>
      </c>
      <c r="P188" s="1">
        <f t="shared" si="184"/>
        <v>8633</v>
      </c>
      <c r="Q188" s="1">
        <f t="shared" si="184"/>
        <v>8633</v>
      </c>
      <c r="R188" s="1">
        <f t="shared" si="184"/>
        <v>8633</v>
      </c>
      <c r="S188" s="1">
        <f t="shared" si="184"/>
        <v>8633</v>
      </c>
      <c r="T188" s="1">
        <f t="shared" si="184"/>
        <v>8633</v>
      </c>
      <c r="U188" s="1">
        <f t="shared" si="184"/>
        <v>8633</v>
      </c>
      <c r="V188" s="1">
        <f t="shared" si="184"/>
        <v>8633</v>
      </c>
      <c r="W188" s="1">
        <f t="shared" si="184"/>
        <v>8633</v>
      </c>
      <c r="X188" s="1">
        <f t="shared" si="184"/>
        <v>8633</v>
      </c>
      <c r="Y188" s="1">
        <f t="shared" si="184"/>
        <v>8633</v>
      </c>
      <c r="Z188" s="1">
        <f t="shared" si="184"/>
        <v>8633</v>
      </c>
      <c r="AA188" s="1">
        <f t="shared" si="184"/>
        <v>8633</v>
      </c>
    </row>
    <row r="189" spans="1:27">
      <c r="A189" s="84" t="s">
        <v>451</v>
      </c>
      <c r="B189" s="85" t="s">
        <v>450</v>
      </c>
      <c r="C189" s="85" t="s">
        <v>79</v>
      </c>
      <c r="D189" s="84" t="s">
        <v>87</v>
      </c>
      <c r="E189" s="84">
        <f>VLOOKUP(A189,'2a. SI Pop'!$A$5:$E$198,5,FALSE)</f>
        <v>1</v>
      </c>
      <c r="F189" s="89">
        <v>195187</v>
      </c>
      <c r="G189" s="1">
        <f t="shared" ref="G189:AA189" si="185">F189</f>
        <v>195187</v>
      </c>
      <c r="H189" s="1">
        <f t="shared" si="185"/>
        <v>195187</v>
      </c>
      <c r="I189" s="1">
        <f t="shared" si="185"/>
        <v>195187</v>
      </c>
      <c r="J189" s="1">
        <f t="shared" si="185"/>
        <v>195187</v>
      </c>
      <c r="K189" s="1">
        <f t="shared" si="185"/>
        <v>195187</v>
      </c>
      <c r="L189" s="1">
        <f t="shared" si="185"/>
        <v>195187</v>
      </c>
      <c r="M189" s="1">
        <f t="shared" si="185"/>
        <v>195187</v>
      </c>
      <c r="N189" s="1">
        <f t="shared" si="185"/>
        <v>195187</v>
      </c>
      <c r="O189" s="1">
        <f t="shared" si="185"/>
        <v>195187</v>
      </c>
      <c r="P189" s="1">
        <f t="shared" si="185"/>
        <v>195187</v>
      </c>
      <c r="Q189" s="1">
        <f t="shared" si="185"/>
        <v>195187</v>
      </c>
      <c r="R189" s="1">
        <f t="shared" si="185"/>
        <v>195187</v>
      </c>
      <c r="S189" s="1">
        <f t="shared" si="185"/>
        <v>195187</v>
      </c>
      <c r="T189" s="1">
        <f t="shared" si="185"/>
        <v>195187</v>
      </c>
      <c r="U189" s="1">
        <f t="shared" si="185"/>
        <v>195187</v>
      </c>
      <c r="V189" s="1">
        <f t="shared" si="185"/>
        <v>195187</v>
      </c>
      <c r="W189" s="1">
        <f t="shared" si="185"/>
        <v>195187</v>
      </c>
      <c r="X189" s="1">
        <f t="shared" si="185"/>
        <v>195187</v>
      </c>
      <c r="Y189" s="1">
        <f t="shared" si="185"/>
        <v>195187</v>
      </c>
      <c r="Z189" s="1">
        <f t="shared" si="185"/>
        <v>195187</v>
      </c>
      <c r="AA189" s="1">
        <f t="shared" si="185"/>
        <v>195187</v>
      </c>
    </row>
    <row r="190" spans="1:27">
      <c r="A190" s="84" t="s">
        <v>453</v>
      </c>
      <c r="B190" s="85" t="s">
        <v>452</v>
      </c>
      <c r="C190" s="85" t="s">
        <v>92</v>
      </c>
      <c r="D190" s="84" t="s">
        <v>87</v>
      </c>
      <c r="E190" s="84" t="str">
        <f>VLOOKUP(A190,'2a. SI Pop'!$A$5:$E$198,5,FALSE)</f>
        <v>Key</v>
      </c>
      <c r="F190" s="89">
        <v>1189325</v>
      </c>
      <c r="G190" s="1">
        <f t="shared" ref="G190:AA190" si="186">F190</f>
        <v>1189325</v>
      </c>
      <c r="H190" s="1">
        <f t="shared" si="186"/>
        <v>1189325</v>
      </c>
      <c r="I190" s="1">
        <f t="shared" si="186"/>
        <v>1189325</v>
      </c>
      <c r="J190" s="1">
        <f t="shared" si="186"/>
        <v>1189325</v>
      </c>
      <c r="K190" s="1">
        <f t="shared" si="186"/>
        <v>1189325</v>
      </c>
      <c r="L190" s="1">
        <f t="shared" si="186"/>
        <v>1189325</v>
      </c>
      <c r="M190" s="1">
        <f t="shared" si="186"/>
        <v>1189325</v>
      </c>
      <c r="N190" s="1">
        <f t="shared" si="186"/>
        <v>1189325</v>
      </c>
      <c r="O190" s="1">
        <f t="shared" si="186"/>
        <v>1189325</v>
      </c>
      <c r="P190" s="1">
        <f t="shared" si="186"/>
        <v>1189325</v>
      </c>
      <c r="Q190" s="1">
        <f t="shared" si="186"/>
        <v>1189325</v>
      </c>
      <c r="R190" s="1">
        <f t="shared" si="186"/>
        <v>1189325</v>
      </c>
      <c r="S190" s="1">
        <f t="shared" si="186"/>
        <v>1189325</v>
      </c>
      <c r="T190" s="1">
        <f t="shared" si="186"/>
        <v>1189325</v>
      </c>
      <c r="U190" s="1">
        <f t="shared" si="186"/>
        <v>1189325</v>
      </c>
      <c r="V190" s="1">
        <f t="shared" si="186"/>
        <v>1189325</v>
      </c>
      <c r="W190" s="1">
        <f t="shared" si="186"/>
        <v>1189325</v>
      </c>
      <c r="X190" s="1">
        <f t="shared" si="186"/>
        <v>1189325</v>
      </c>
      <c r="Y190" s="1">
        <f t="shared" si="186"/>
        <v>1189325</v>
      </c>
      <c r="Z190" s="1">
        <f t="shared" si="186"/>
        <v>1189325</v>
      </c>
      <c r="AA190" s="1">
        <f t="shared" si="186"/>
        <v>1189325</v>
      </c>
    </row>
    <row r="191" spans="1:27">
      <c r="A191" s="84" t="s">
        <v>455</v>
      </c>
      <c r="B191" s="85" t="s">
        <v>454</v>
      </c>
      <c r="C191" s="85" t="s">
        <v>92</v>
      </c>
      <c r="D191" s="84" t="s">
        <v>87</v>
      </c>
      <c r="E191" s="84">
        <f>VLOOKUP(A191,'2a. SI Pop'!$A$5:$E$198,5,FALSE)</f>
        <v>1</v>
      </c>
      <c r="F191" s="89">
        <v>28602</v>
      </c>
      <c r="G191" s="1">
        <f t="shared" ref="G191:AA191" si="187">F191</f>
        <v>28602</v>
      </c>
      <c r="H191" s="1">
        <f t="shared" si="187"/>
        <v>28602</v>
      </c>
      <c r="I191" s="1">
        <f t="shared" si="187"/>
        <v>28602</v>
      </c>
      <c r="J191" s="1">
        <f t="shared" si="187"/>
        <v>28602</v>
      </c>
      <c r="K191" s="1">
        <f t="shared" si="187"/>
        <v>28602</v>
      </c>
      <c r="L191" s="1">
        <f t="shared" si="187"/>
        <v>28602</v>
      </c>
      <c r="M191" s="1">
        <f t="shared" si="187"/>
        <v>28602</v>
      </c>
      <c r="N191" s="1">
        <f t="shared" si="187"/>
        <v>28602</v>
      </c>
      <c r="O191" s="1">
        <f t="shared" si="187"/>
        <v>28602</v>
      </c>
      <c r="P191" s="1">
        <f t="shared" si="187"/>
        <v>28602</v>
      </c>
      <c r="Q191" s="1">
        <f t="shared" si="187"/>
        <v>28602</v>
      </c>
      <c r="R191" s="1">
        <f t="shared" si="187"/>
        <v>28602</v>
      </c>
      <c r="S191" s="1">
        <f t="shared" si="187"/>
        <v>28602</v>
      </c>
      <c r="T191" s="1">
        <f t="shared" si="187"/>
        <v>28602</v>
      </c>
      <c r="U191" s="1">
        <f t="shared" si="187"/>
        <v>28602</v>
      </c>
      <c r="V191" s="1">
        <f t="shared" si="187"/>
        <v>28602</v>
      </c>
      <c r="W191" s="1">
        <f t="shared" si="187"/>
        <v>28602</v>
      </c>
      <c r="X191" s="1">
        <f t="shared" si="187"/>
        <v>28602</v>
      </c>
      <c r="Y191" s="1">
        <f t="shared" si="187"/>
        <v>28602</v>
      </c>
      <c r="Z191" s="1">
        <f t="shared" si="187"/>
        <v>28602</v>
      </c>
      <c r="AA191" s="1">
        <f t="shared" si="187"/>
        <v>28602</v>
      </c>
    </row>
    <row r="192" spans="1:27">
      <c r="A192" s="84" t="s">
        <v>457</v>
      </c>
      <c r="B192" s="85" t="s">
        <v>456</v>
      </c>
      <c r="C192" s="85" t="s">
        <v>79</v>
      </c>
      <c r="D192" s="84" t="s">
        <v>84</v>
      </c>
      <c r="E192" s="84">
        <f>VLOOKUP(A192,'2a. SI Pop'!$A$5:$E$198,5,FALSE)</f>
        <v>2</v>
      </c>
      <c r="F192" s="89">
        <v>97359</v>
      </c>
      <c r="G192" s="1">
        <f t="shared" ref="G192:AA192" si="188">F192</f>
        <v>97359</v>
      </c>
      <c r="H192" s="1">
        <f t="shared" si="188"/>
        <v>97359</v>
      </c>
      <c r="I192" s="1">
        <f t="shared" si="188"/>
        <v>97359</v>
      </c>
      <c r="J192" s="1">
        <f t="shared" si="188"/>
        <v>97359</v>
      </c>
      <c r="K192" s="1">
        <f t="shared" si="188"/>
        <v>97359</v>
      </c>
      <c r="L192" s="1">
        <f t="shared" si="188"/>
        <v>97359</v>
      </c>
      <c r="M192" s="1">
        <f t="shared" si="188"/>
        <v>97359</v>
      </c>
      <c r="N192" s="1">
        <f t="shared" si="188"/>
        <v>97359</v>
      </c>
      <c r="O192" s="1">
        <f t="shared" si="188"/>
        <v>97359</v>
      </c>
      <c r="P192" s="1">
        <f t="shared" si="188"/>
        <v>97359</v>
      </c>
      <c r="Q192" s="1">
        <f t="shared" si="188"/>
        <v>97359</v>
      </c>
      <c r="R192" s="1">
        <f t="shared" si="188"/>
        <v>97359</v>
      </c>
      <c r="S192" s="1">
        <f t="shared" si="188"/>
        <v>97359</v>
      </c>
      <c r="T192" s="1">
        <f t="shared" si="188"/>
        <v>97359</v>
      </c>
      <c r="U192" s="1">
        <f t="shared" si="188"/>
        <v>97359</v>
      </c>
      <c r="V192" s="1">
        <f t="shared" si="188"/>
        <v>97359</v>
      </c>
      <c r="W192" s="1">
        <f t="shared" si="188"/>
        <v>97359</v>
      </c>
      <c r="X192" s="1">
        <f t="shared" si="188"/>
        <v>97359</v>
      </c>
      <c r="Y192" s="1">
        <f t="shared" si="188"/>
        <v>97359</v>
      </c>
      <c r="Z192" s="1">
        <f t="shared" si="188"/>
        <v>97359</v>
      </c>
      <c r="AA192" s="1">
        <f t="shared" si="188"/>
        <v>97359</v>
      </c>
    </row>
    <row r="193" spans="1:27">
      <c r="A193" s="84" t="s">
        <v>459</v>
      </c>
      <c r="B193" s="85" t="s">
        <v>458</v>
      </c>
      <c r="C193" s="85" t="s">
        <v>99</v>
      </c>
      <c r="D193" s="84" t="s">
        <v>84</v>
      </c>
      <c r="E193" s="84">
        <f>VLOOKUP(A193,'2a. SI Pop'!$A$5:$E$198,5,FALSE)</f>
        <v>4</v>
      </c>
      <c r="F193" s="89">
        <v>0</v>
      </c>
      <c r="G193" s="1">
        <f t="shared" ref="G193:AA193" si="189">F193</f>
        <v>0</v>
      </c>
      <c r="H193" s="1">
        <f t="shared" si="189"/>
        <v>0</v>
      </c>
      <c r="I193" s="1">
        <f t="shared" si="189"/>
        <v>0</v>
      </c>
      <c r="J193" s="1">
        <f t="shared" si="189"/>
        <v>0</v>
      </c>
      <c r="K193" s="1">
        <f t="shared" si="189"/>
        <v>0</v>
      </c>
      <c r="L193" s="1">
        <f t="shared" si="189"/>
        <v>0</v>
      </c>
      <c r="M193" s="1">
        <f t="shared" si="189"/>
        <v>0</v>
      </c>
      <c r="N193" s="1">
        <f t="shared" si="189"/>
        <v>0</v>
      </c>
      <c r="O193" s="1">
        <f t="shared" si="189"/>
        <v>0</v>
      </c>
      <c r="P193" s="1">
        <f t="shared" si="189"/>
        <v>0</v>
      </c>
      <c r="Q193" s="1">
        <f t="shared" si="189"/>
        <v>0</v>
      </c>
      <c r="R193" s="1">
        <f t="shared" si="189"/>
        <v>0</v>
      </c>
      <c r="S193" s="1">
        <f t="shared" si="189"/>
        <v>0</v>
      </c>
      <c r="T193" s="1">
        <f t="shared" si="189"/>
        <v>0</v>
      </c>
      <c r="U193" s="1">
        <f t="shared" si="189"/>
        <v>0</v>
      </c>
      <c r="V193" s="1">
        <f t="shared" si="189"/>
        <v>0</v>
      </c>
      <c r="W193" s="1">
        <f t="shared" si="189"/>
        <v>0</v>
      </c>
      <c r="X193" s="1">
        <f t="shared" si="189"/>
        <v>0</v>
      </c>
      <c r="Y193" s="1">
        <f t="shared" si="189"/>
        <v>0</v>
      </c>
      <c r="Z193" s="1">
        <f t="shared" si="189"/>
        <v>0</v>
      </c>
      <c r="AA193" s="1">
        <f t="shared" si="189"/>
        <v>0</v>
      </c>
    </row>
    <row r="194" spans="1:27">
      <c r="A194" s="84" t="s">
        <v>461</v>
      </c>
      <c r="B194" s="85" t="s">
        <v>460</v>
      </c>
      <c r="C194" s="85" t="s">
        <v>92</v>
      </c>
      <c r="D194" s="84" t="s">
        <v>80</v>
      </c>
      <c r="E194" s="84">
        <f>VLOOKUP(A194,'2a. SI Pop'!$A$5:$E$198,5,FALSE)</f>
        <v>1</v>
      </c>
      <c r="F194" s="89">
        <v>562301</v>
      </c>
      <c r="G194" s="1">
        <f t="shared" ref="G194:AA194" si="190">F194</f>
        <v>562301</v>
      </c>
      <c r="H194" s="1">
        <f t="shared" si="190"/>
        <v>562301</v>
      </c>
      <c r="I194" s="1">
        <f t="shared" si="190"/>
        <v>562301</v>
      </c>
      <c r="J194" s="1">
        <f t="shared" si="190"/>
        <v>562301</v>
      </c>
      <c r="K194" s="1">
        <f t="shared" si="190"/>
        <v>562301</v>
      </c>
      <c r="L194" s="1">
        <f t="shared" si="190"/>
        <v>562301</v>
      </c>
      <c r="M194" s="1">
        <f t="shared" si="190"/>
        <v>562301</v>
      </c>
      <c r="N194" s="1">
        <f t="shared" si="190"/>
        <v>562301</v>
      </c>
      <c r="O194" s="1">
        <f t="shared" si="190"/>
        <v>562301</v>
      </c>
      <c r="P194" s="1">
        <f t="shared" si="190"/>
        <v>562301</v>
      </c>
      <c r="Q194" s="1">
        <f t="shared" si="190"/>
        <v>562301</v>
      </c>
      <c r="R194" s="1">
        <f t="shared" si="190"/>
        <v>562301</v>
      </c>
      <c r="S194" s="1">
        <f t="shared" si="190"/>
        <v>562301</v>
      </c>
      <c r="T194" s="1">
        <f t="shared" si="190"/>
        <v>562301</v>
      </c>
      <c r="U194" s="1">
        <f t="shared" si="190"/>
        <v>562301</v>
      </c>
      <c r="V194" s="1">
        <f t="shared" si="190"/>
        <v>562301</v>
      </c>
      <c r="W194" s="1">
        <f t="shared" si="190"/>
        <v>562301</v>
      </c>
      <c r="X194" s="1">
        <f t="shared" si="190"/>
        <v>562301</v>
      </c>
      <c r="Y194" s="1">
        <f t="shared" si="190"/>
        <v>562301</v>
      </c>
      <c r="Z194" s="1">
        <f t="shared" si="190"/>
        <v>562301</v>
      </c>
      <c r="AA194" s="1">
        <f t="shared" si="190"/>
        <v>562301</v>
      </c>
    </row>
    <row r="195" spans="1:27">
      <c r="A195" s="84" t="s">
        <v>463</v>
      </c>
      <c r="B195" s="85" t="s">
        <v>462</v>
      </c>
      <c r="C195" s="85" t="s">
        <v>99</v>
      </c>
      <c r="D195" s="84" t="s">
        <v>84</v>
      </c>
      <c r="E195" s="84">
        <f>VLOOKUP(A195,'2a. SI Pop'!$A$5:$E$198,5,FALSE)</f>
        <v>4</v>
      </c>
      <c r="F195" s="89">
        <v>30581</v>
      </c>
      <c r="G195" s="1">
        <f t="shared" ref="G195:AA195" si="191">F195</f>
        <v>30581</v>
      </c>
      <c r="H195" s="1">
        <f t="shared" si="191"/>
        <v>30581</v>
      </c>
      <c r="I195" s="1">
        <f t="shared" si="191"/>
        <v>30581</v>
      </c>
      <c r="J195" s="1">
        <f t="shared" si="191"/>
        <v>30581</v>
      </c>
      <c r="K195" s="1">
        <f t="shared" si="191"/>
        <v>30581</v>
      </c>
      <c r="L195" s="1">
        <f t="shared" si="191"/>
        <v>30581</v>
      </c>
      <c r="M195" s="1">
        <f t="shared" si="191"/>
        <v>30581</v>
      </c>
      <c r="N195" s="1">
        <f t="shared" si="191"/>
        <v>30581</v>
      </c>
      <c r="O195" s="1">
        <f t="shared" si="191"/>
        <v>30581</v>
      </c>
      <c r="P195" s="1">
        <f t="shared" si="191"/>
        <v>30581</v>
      </c>
      <c r="Q195" s="1">
        <f t="shared" si="191"/>
        <v>30581</v>
      </c>
      <c r="R195" s="1">
        <f t="shared" si="191"/>
        <v>30581</v>
      </c>
      <c r="S195" s="1">
        <f t="shared" si="191"/>
        <v>30581</v>
      </c>
      <c r="T195" s="1">
        <f t="shared" si="191"/>
        <v>30581</v>
      </c>
      <c r="U195" s="1">
        <f t="shared" si="191"/>
        <v>30581</v>
      </c>
      <c r="V195" s="1">
        <f t="shared" si="191"/>
        <v>30581</v>
      </c>
      <c r="W195" s="1">
        <f t="shared" si="191"/>
        <v>30581</v>
      </c>
      <c r="X195" s="1">
        <f t="shared" si="191"/>
        <v>30581</v>
      </c>
      <c r="Y195" s="1">
        <f t="shared" si="191"/>
        <v>30581</v>
      </c>
      <c r="Z195" s="1">
        <f t="shared" si="191"/>
        <v>30581</v>
      </c>
      <c r="AA195" s="1">
        <f t="shared" si="191"/>
        <v>30581</v>
      </c>
    </row>
    <row r="196" spans="1:27">
      <c r="A196" s="84" t="s">
        <v>465</v>
      </c>
      <c r="B196" s="85" t="s">
        <v>464</v>
      </c>
      <c r="C196" s="85" t="s">
        <v>74</v>
      </c>
      <c r="D196" s="84" t="s">
        <v>75</v>
      </c>
      <c r="E196" s="84">
        <f>VLOOKUP(A196,'2a. SI Pop'!$A$5:$E$198,5,FALSE)</f>
        <v>3</v>
      </c>
      <c r="F196" s="89">
        <v>3904905</v>
      </c>
      <c r="G196" s="1">
        <f t="shared" ref="G196:AA196" si="192">F196</f>
        <v>3904905</v>
      </c>
      <c r="H196" s="1">
        <f t="shared" si="192"/>
        <v>3904905</v>
      </c>
      <c r="I196" s="1">
        <f t="shared" si="192"/>
        <v>3904905</v>
      </c>
      <c r="J196" s="1">
        <f t="shared" si="192"/>
        <v>3904905</v>
      </c>
      <c r="K196" s="1">
        <f t="shared" si="192"/>
        <v>3904905</v>
      </c>
      <c r="L196" s="1">
        <f t="shared" si="192"/>
        <v>3904905</v>
      </c>
      <c r="M196" s="1">
        <f t="shared" si="192"/>
        <v>3904905</v>
      </c>
      <c r="N196" s="1">
        <f t="shared" si="192"/>
        <v>3904905</v>
      </c>
      <c r="O196" s="1">
        <f t="shared" si="192"/>
        <v>3904905</v>
      </c>
      <c r="P196" s="1">
        <f t="shared" si="192"/>
        <v>3904905</v>
      </c>
      <c r="Q196" s="1">
        <f t="shared" si="192"/>
        <v>3904905</v>
      </c>
      <c r="R196" s="1">
        <f t="shared" si="192"/>
        <v>3904905</v>
      </c>
      <c r="S196" s="1">
        <f t="shared" si="192"/>
        <v>3904905</v>
      </c>
      <c r="T196" s="1">
        <f t="shared" si="192"/>
        <v>3904905</v>
      </c>
      <c r="U196" s="1">
        <f t="shared" si="192"/>
        <v>3904905</v>
      </c>
      <c r="V196" s="1">
        <f t="shared" si="192"/>
        <v>3904905</v>
      </c>
      <c r="W196" s="1">
        <f t="shared" si="192"/>
        <v>3904905</v>
      </c>
      <c r="X196" s="1">
        <f t="shared" si="192"/>
        <v>3904905</v>
      </c>
      <c r="Y196" s="1">
        <f t="shared" si="192"/>
        <v>3904905</v>
      </c>
      <c r="Z196" s="1">
        <f t="shared" si="192"/>
        <v>3904905</v>
      </c>
      <c r="AA196" s="1">
        <f t="shared" si="192"/>
        <v>3904905</v>
      </c>
    </row>
    <row r="197" spans="1:27">
      <c r="A197" s="84" t="s">
        <v>467</v>
      </c>
      <c r="B197" s="85" t="s">
        <v>466</v>
      </c>
      <c r="C197" s="85" t="s">
        <v>83</v>
      </c>
      <c r="D197" s="84" t="s">
        <v>84</v>
      </c>
      <c r="E197" s="84">
        <f>VLOOKUP(A197,'2a. SI Pop'!$A$5:$E$198,5,FALSE)</f>
        <v>3</v>
      </c>
      <c r="F197" s="89">
        <v>85857</v>
      </c>
      <c r="G197" s="1">
        <f t="shared" ref="G197:AA197" si="193">F197</f>
        <v>85857</v>
      </c>
      <c r="H197" s="1">
        <f t="shared" si="193"/>
        <v>85857</v>
      </c>
      <c r="I197" s="1">
        <f t="shared" si="193"/>
        <v>85857</v>
      </c>
      <c r="J197" s="1">
        <f t="shared" si="193"/>
        <v>85857</v>
      </c>
      <c r="K197" s="1">
        <f t="shared" si="193"/>
        <v>85857</v>
      </c>
      <c r="L197" s="1">
        <f t="shared" si="193"/>
        <v>85857</v>
      </c>
      <c r="M197" s="1">
        <f t="shared" si="193"/>
        <v>85857</v>
      </c>
      <c r="N197" s="1">
        <f t="shared" si="193"/>
        <v>85857</v>
      </c>
      <c r="O197" s="1">
        <f t="shared" si="193"/>
        <v>85857</v>
      </c>
      <c r="P197" s="1">
        <f t="shared" si="193"/>
        <v>85857</v>
      </c>
      <c r="Q197" s="1">
        <f t="shared" si="193"/>
        <v>85857</v>
      </c>
      <c r="R197" s="1">
        <f t="shared" si="193"/>
        <v>85857</v>
      </c>
      <c r="S197" s="1">
        <f t="shared" si="193"/>
        <v>85857</v>
      </c>
      <c r="T197" s="1">
        <f t="shared" si="193"/>
        <v>85857</v>
      </c>
      <c r="U197" s="1">
        <f t="shared" si="193"/>
        <v>85857</v>
      </c>
      <c r="V197" s="1">
        <f t="shared" si="193"/>
        <v>85857</v>
      </c>
      <c r="W197" s="1">
        <f t="shared" si="193"/>
        <v>85857</v>
      </c>
      <c r="X197" s="1">
        <f t="shared" si="193"/>
        <v>85857</v>
      </c>
      <c r="Y197" s="1">
        <f t="shared" si="193"/>
        <v>85857</v>
      </c>
      <c r="Z197" s="1">
        <f t="shared" si="193"/>
        <v>85857</v>
      </c>
      <c r="AA197" s="1">
        <f t="shared" si="193"/>
        <v>85857</v>
      </c>
    </row>
    <row r="198" spans="1:27">
      <c r="A198" s="84" t="s">
        <v>469</v>
      </c>
      <c r="B198" s="85" t="s">
        <v>468</v>
      </c>
      <c r="C198" s="85" t="s">
        <v>83</v>
      </c>
      <c r="D198" s="84" t="s">
        <v>84</v>
      </c>
      <c r="E198" s="84">
        <f>VLOOKUP(A198,'2a. SI Pop'!$A$5:$E$198,5,FALSE)</f>
        <v>3</v>
      </c>
      <c r="F198" s="89">
        <v>291445</v>
      </c>
      <c r="G198" s="1">
        <f t="shared" ref="G198:AA198" si="194">F198</f>
        <v>291445</v>
      </c>
      <c r="H198" s="1">
        <f t="shared" si="194"/>
        <v>291445</v>
      </c>
      <c r="I198" s="1">
        <f t="shared" si="194"/>
        <v>291445</v>
      </c>
      <c r="J198" s="1">
        <f t="shared" si="194"/>
        <v>291445</v>
      </c>
      <c r="K198" s="1">
        <f t="shared" si="194"/>
        <v>291445</v>
      </c>
      <c r="L198" s="1">
        <f t="shared" si="194"/>
        <v>291445</v>
      </c>
      <c r="M198" s="1">
        <f t="shared" si="194"/>
        <v>291445</v>
      </c>
      <c r="N198" s="1">
        <f t="shared" si="194"/>
        <v>291445</v>
      </c>
      <c r="O198" s="1">
        <f t="shared" si="194"/>
        <v>291445</v>
      </c>
      <c r="P198" s="1">
        <f t="shared" si="194"/>
        <v>291445</v>
      </c>
      <c r="Q198" s="1">
        <f t="shared" si="194"/>
        <v>291445</v>
      </c>
      <c r="R198" s="1">
        <f t="shared" si="194"/>
        <v>291445</v>
      </c>
      <c r="S198" s="1">
        <f t="shared" si="194"/>
        <v>291445</v>
      </c>
      <c r="T198" s="1">
        <f t="shared" si="194"/>
        <v>291445</v>
      </c>
      <c r="U198" s="1">
        <f t="shared" si="194"/>
        <v>291445</v>
      </c>
      <c r="V198" s="1">
        <f t="shared" si="194"/>
        <v>291445</v>
      </c>
      <c r="W198" s="1">
        <f t="shared" si="194"/>
        <v>291445</v>
      </c>
      <c r="X198" s="1">
        <f t="shared" si="194"/>
        <v>291445</v>
      </c>
      <c r="Y198" s="1">
        <f t="shared" si="194"/>
        <v>291445</v>
      </c>
      <c r="Z198" s="1">
        <f t="shared" si="194"/>
        <v>291445</v>
      </c>
      <c r="AA198" s="1">
        <f t="shared" si="194"/>
        <v>291445</v>
      </c>
    </row>
    <row r="199" spans="1:27">
      <c r="E199" s="2"/>
      <c r="F199"/>
    </row>
    <row r="200" spans="1:27">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E204" s="94"/>
      <c r="F204" s="2"/>
      <c r="G204" s="2"/>
      <c r="H204" s="2"/>
      <c r="I204" s="2"/>
      <c r="J204" s="2"/>
      <c r="K204" s="2"/>
      <c r="L204" s="2"/>
      <c r="M204" s="2"/>
      <c r="N204" s="2"/>
      <c r="O204" s="2"/>
      <c r="P204" s="2"/>
      <c r="Q204" s="2"/>
      <c r="R204" s="2"/>
      <c r="S204" s="2"/>
      <c r="T204" s="2"/>
      <c r="U204" s="2"/>
      <c r="V204" s="2"/>
      <c r="W204" s="2"/>
      <c r="X204" s="2"/>
      <c r="Y204" s="2"/>
      <c r="Z204" s="2"/>
      <c r="AA204" s="2"/>
    </row>
  </sheetData>
  <autoFilter ref="A4:E198" xr:uid="{1BE26F4C-1587-7C4D-887A-C69327E2A75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E1D6F-1627-4340-B950-3EF4809935D0}">
  <sheetPr>
    <tabColor theme="4" tint="0.79998168889431442"/>
  </sheetPr>
  <dimension ref="A1:P204"/>
  <sheetViews>
    <sheetView zoomScale="112" zoomScaleNormal="25" workbookViewId="0">
      <selection activeCell="K26" sqref="K26"/>
    </sheetView>
  </sheetViews>
  <sheetFormatPr defaultColWidth="10.85546875" defaultRowHeight="15"/>
  <cols>
    <col min="6" max="16" width="14.7109375" bestFit="1" customWidth="1"/>
  </cols>
  <sheetData>
    <row r="1" spans="1:16">
      <c r="A1" t="s">
        <v>470</v>
      </c>
      <c r="B1" t="s">
        <v>483</v>
      </c>
    </row>
    <row r="2" spans="1:16">
      <c r="A2" t="s">
        <v>471</v>
      </c>
      <c r="B2" t="s">
        <v>484</v>
      </c>
    </row>
    <row r="4" spans="1:16" s="91" customFormat="1">
      <c r="A4" s="86" t="s">
        <v>473</v>
      </c>
      <c r="B4" s="87" t="s">
        <v>64</v>
      </c>
      <c r="C4" s="86" t="s">
        <v>66</v>
      </c>
      <c r="D4" s="86" t="s">
        <v>67</v>
      </c>
      <c r="E4" s="86" t="s">
        <v>68</v>
      </c>
      <c r="F4" s="91">
        <v>2030</v>
      </c>
      <c r="G4" s="91">
        <v>2031</v>
      </c>
      <c r="H4" s="91">
        <v>2032</v>
      </c>
      <c r="I4" s="91">
        <v>2033</v>
      </c>
      <c r="J4" s="91">
        <v>2034</v>
      </c>
      <c r="K4" s="91">
        <v>2035</v>
      </c>
      <c r="L4" s="91">
        <v>2036</v>
      </c>
      <c r="M4" s="91">
        <v>2037</v>
      </c>
      <c r="N4" s="91">
        <v>2038</v>
      </c>
      <c r="O4" s="91">
        <v>2039</v>
      </c>
      <c r="P4" s="91">
        <v>2040</v>
      </c>
    </row>
    <row r="5" spans="1:16">
      <c r="A5" s="84" t="s">
        <v>73</v>
      </c>
      <c r="B5" s="85" t="s">
        <v>72</v>
      </c>
      <c r="C5" s="85" t="s">
        <v>74</v>
      </c>
      <c r="D5" s="84" t="s">
        <v>75</v>
      </c>
      <c r="E5" s="84" t="str">
        <f>VLOOKUP(A5,'2a. SI Pop'!$A$5:$E$198,5,FALSE)</f>
        <v>Key</v>
      </c>
      <c r="F5" s="2">
        <v>32881648</v>
      </c>
      <c r="G5" s="2">
        <f t="shared" ref="G5:J24" si="0">F5</f>
        <v>32881648</v>
      </c>
      <c r="H5" s="2">
        <f t="shared" si="0"/>
        <v>32881648</v>
      </c>
      <c r="I5" s="2">
        <f t="shared" si="0"/>
        <v>32881648</v>
      </c>
      <c r="J5" s="2">
        <f t="shared" si="0"/>
        <v>32881648</v>
      </c>
      <c r="K5" s="2">
        <v>34628216</v>
      </c>
      <c r="L5" s="2">
        <f t="shared" ref="L5:O24" si="1">K5</f>
        <v>34628216</v>
      </c>
      <c r="M5" s="2">
        <f t="shared" si="1"/>
        <v>34628216</v>
      </c>
      <c r="N5" s="2">
        <f t="shared" si="1"/>
        <v>34628216</v>
      </c>
      <c r="O5" s="2">
        <f t="shared" si="1"/>
        <v>34628216</v>
      </c>
      <c r="P5" s="2">
        <v>35810485</v>
      </c>
    </row>
    <row r="6" spans="1:16">
      <c r="A6" s="84" t="s">
        <v>78</v>
      </c>
      <c r="B6" s="85" t="s">
        <v>77</v>
      </c>
      <c r="C6" s="85" t="s">
        <v>79</v>
      </c>
      <c r="D6" s="84" t="s">
        <v>80</v>
      </c>
      <c r="E6" s="84">
        <f>VLOOKUP(A6,'2a. SI Pop'!$A$5:$E$198,5,FALSE)</f>
        <v>1</v>
      </c>
      <c r="F6" s="2">
        <v>895174</v>
      </c>
      <c r="G6" s="2">
        <f t="shared" si="0"/>
        <v>895174</v>
      </c>
      <c r="H6" s="2">
        <f t="shared" si="0"/>
        <v>895174</v>
      </c>
      <c r="I6" s="2">
        <f t="shared" si="0"/>
        <v>895174</v>
      </c>
      <c r="J6" s="2">
        <f t="shared" si="0"/>
        <v>895174</v>
      </c>
      <c r="K6" s="2">
        <v>805034</v>
      </c>
      <c r="L6" s="2">
        <f t="shared" si="1"/>
        <v>805034</v>
      </c>
      <c r="M6" s="2">
        <f t="shared" si="1"/>
        <v>805034</v>
      </c>
      <c r="N6" s="2">
        <f t="shared" si="1"/>
        <v>805034</v>
      </c>
      <c r="O6" s="2">
        <f t="shared" si="1"/>
        <v>805034</v>
      </c>
      <c r="P6" s="2">
        <v>726709</v>
      </c>
    </row>
    <row r="7" spans="1:16">
      <c r="A7" s="84" t="s">
        <v>82</v>
      </c>
      <c r="B7" s="85" t="s">
        <v>81</v>
      </c>
      <c r="C7" s="85" t="s">
        <v>83</v>
      </c>
      <c r="D7" s="84" t="s">
        <v>84</v>
      </c>
      <c r="E7" s="84">
        <f>VLOOKUP(A7,'2a. SI Pop'!$A$5:$E$198,5,FALSE)</f>
        <v>2</v>
      </c>
      <c r="F7" s="2">
        <v>10590338</v>
      </c>
      <c r="G7" s="2">
        <f t="shared" si="0"/>
        <v>10590338</v>
      </c>
      <c r="H7" s="2">
        <f t="shared" si="0"/>
        <v>10590338</v>
      </c>
      <c r="I7" s="2">
        <f t="shared" si="0"/>
        <v>10590338</v>
      </c>
      <c r="J7" s="2">
        <f t="shared" si="0"/>
        <v>10590338</v>
      </c>
      <c r="K7" s="2">
        <v>10188808</v>
      </c>
      <c r="L7" s="2">
        <f t="shared" si="1"/>
        <v>10188808</v>
      </c>
      <c r="M7" s="2">
        <f t="shared" si="1"/>
        <v>10188808</v>
      </c>
      <c r="N7" s="2">
        <f t="shared" si="1"/>
        <v>10188808</v>
      </c>
      <c r="O7" s="2">
        <f t="shared" si="1"/>
        <v>10188808</v>
      </c>
      <c r="P7" s="2">
        <v>9782045</v>
      </c>
    </row>
    <row r="8" spans="1:16">
      <c r="A8" s="84" t="s">
        <v>86</v>
      </c>
      <c r="B8" s="85" t="s">
        <v>85</v>
      </c>
      <c r="C8" s="85" t="s">
        <v>79</v>
      </c>
      <c r="D8" s="84" t="s">
        <v>87</v>
      </c>
      <c r="E8" s="84">
        <f>VLOOKUP(A8,'2a. SI Pop'!$A$5:$E$198,5,FALSE)</f>
        <v>1</v>
      </c>
      <c r="F8" s="2">
        <v>9525</v>
      </c>
      <c r="G8" s="2">
        <f t="shared" si="0"/>
        <v>9525</v>
      </c>
      <c r="H8" s="2">
        <f t="shared" si="0"/>
        <v>9525</v>
      </c>
      <c r="I8" s="2">
        <f t="shared" si="0"/>
        <v>9525</v>
      </c>
      <c r="J8" s="2">
        <f t="shared" si="0"/>
        <v>9525</v>
      </c>
      <c r="K8" s="2">
        <v>9293</v>
      </c>
      <c r="L8" s="2">
        <f t="shared" si="1"/>
        <v>9293</v>
      </c>
      <c r="M8" s="2">
        <f t="shared" si="1"/>
        <v>9293</v>
      </c>
      <c r="N8" s="2">
        <f t="shared" si="1"/>
        <v>9293</v>
      </c>
      <c r="O8" s="2">
        <f t="shared" si="1"/>
        <v>9293</v>
      </c>
      <c r="P8" s="2">
        <v>8849</v>
      </c>
    </row>
    <row r="9" spans="1:16">
      <c r="A9" s="84" t="s">
        <v>89</v>
      </c>
      <c r="B9" s="85" t="s">
        <v>88</v>
      </c>
      <c r="C9" s="85" t="s">
        <v>83</v>
      </c>
      <c r="D9" s="84" t="s">
        <v>84</v>
      </c>
      <c r="E9" s="84">
        <f>VLOOKUP(A9,'2a. SI Pop'!$A$5:$E$198,5,FALSE)</f>
        <v>3</v>
      </c>
      <c r="F9" s="2">
        <v>12275150</v>
      </c>
      <c r="G9" s="2">
        <f t="shared" si="0"/>
        <v>12275150</v>
      </c>
      <c r="H9" s="2">
        <f t="shared" si="0"/>
        <v>12275150</v>
      </c>
      <c r="I9" s="2">
        <f t="shared" si="0"/>
        <v>12275150</v>
      </c>
      <c r="J9" s="2">
        <f t="shared" si="0"/>
        <v>12275150</v>
      </c>
      <c r="K9" s="2">
        <v>12973415</v>
      </c>
      <c r="L9" s="2">
        <f t="shared" si="1"/>
        <v>12973415</v>
      </c>
      <c r="M9" s="2">
        <f t="shared" si="1"/>
        <v>12973415</v>
      </c>
      <c r="N9" s="2">
        <f t="shared" si="1"/>
        <v>12973415</v>
      </c>
      <c r="O9" s="2">
        <f t="shared" si="1"/>
        <v>12973415</v>
      </c>
      <c r="P9" s="2">
        <v>13692603</v>
      </c>
    </row>
    <row r="10" spans="1:16">
      <c r="A10" s="84" t="s">
        <v>91</v>
      </c>
      <c r="B10" s="85" t="s">
        <v>90</v>
      </c>
      <c r="C10" s="85" t="s">
        <v>92</v>
      </c>
      <c r="D10" s="84" t="s">
        <v>87</v>
      </c>
      <c r="E10" s="84">
        <f>VLOOKUP(A10,'2a. SI Pop'!$A$5:$E$198,5,FALSE)</f>
        <v>1</v>
      </c>
      <c r="F10" s="2">
        <v>86200</v>
      </c>
      <c r="G10" s="2">
        <f t="shared" si="0"/>
        <v>86200</v>
      </c>
      <c r="H10" s="2">
        <f t="shared" si="0"/>
        <v>86200</v>
      </c>
      <c r="I10" s="2">
        <f t="shared" si="0"/>
        <v>86200</v>
      </c>
      <c r="J10" s="2">
        <f t="shared" si="0"/>
        <v>86200</v>
      </c>
      <c r="K10" s="2">
        <v>87984</v>
      </c>
      <c r="L10" s="2">
        <f t="shared" si="1"/>
        <v>87984</v>
      </c>
      <c r="M10" s="2">
        <f t="shared" si="1"/>
        <v>87984</v>
      </c>
      <c r="N10" s="2">
        <f t="shared" si="1"/>
        <v>87984</v>
      </c>
      <c r="O10" s="2">
        <f t="shared" si="1"/>
        <v>87984</v>
      </c>
      <c r="P10" s="2">
        <v>88453</v>
      </c>
    </row>
    <row r="11" spans="1:16">
      <c r="A11" s="84" t="s">
        <v>94</v>
      </c>
      <c r="B11" s="85" t="s">
        <v>93</v>
      </c>
      <c r="C11" s="85" t="s">
        <v>92</v>
      </c>
      <c r="D11" s="84" t="s">
        <v>80</v>
      </c>
      <c r="E11" s="84">
        <f>VLOOKUP(A11,'2a. SI Pop'!$A$5:$E$198,5,FALSE)</f>
        <v>1</v>
      </c>
      <c r="F11" s="2">
        <v>3329726</v>
      </c>
      <c r="G11" s="2">
        <f t="shared" si="0"/>
        <v>3329726</v>
      </c>
      <c r="H11" s="2">
        <f t="shared" si="0"/>
        <v>3329726</v>
      </c>
      <c r="I11" s="2">
        <f t="shared" si="0"/>
        <v>3329726</v>
      </c>
      <c r="J11" s="2">
        <f t="shared" si="0"/>
        <v>3329726</v>
      </c>
      <c r="K11" s="2">
        <v>3175233</v>
      </c>
      <c r="L11" s="2">
        <f t="shared" si="1"/>
        <v>3175233</v>
      </c>
      <c r="M11" s="2">
        <f t="shared" si="1"/>
        <v>3175233</v>
      </c>
      <c r="N11" s="2">
        <f t="shared" si="1"/>
        <v>3175233</v>
      </c>
      <c r="O11" s="2">
        <f t="shared" si="1"/>
        <v>3175233</v>
      </c>
      <c r="P11" s="2">
        <v>3009751</v>
      </c>
    </row>
    <row r="12" spans="1:16">
      <c r="A12" s="84" t="s">
        <v>96</v>
      </c>
      <c r="B12" s="85" t="s">
        <v>95</v>
      </c>
      <c r="C12" s="85" t="s">
        <v>79</v>
      </c>
      <c r="D12" s="84" t="s">
        <v>80</v>
      </c>
      <c r="E12" s="84">
        <f>VLOOKUP(A12,'2a. SI Pop'!$A$5:$E$198,5,FALSE)</f>
        <v>1</v>
      </c>
      <c r="F12" s="2">
        <v>1001669</v>
      </c>
      <c r="G12" s="2">
        <f t="shared" si="0"/>
        <v>1001669</v>
      </c>
      <c r="H12" s="2">
        <f t="shared" si="0"/>
        <v>1001669</v>
      </c>
      <c r="I12" s="2">
        <f t="shared" si="0"/>
        <v>1001669</v>
      </c>
      <c r="J12" s="2">
        <f t="shared" si="0"/>
        <v>1001669</v>
      </c>
      <c r="K12" s="2">
        <v>931948</v>
      </c>
      <c r="L12" s="2">
        <f t="shared" si="1"/>
        <v>931948</v>
      </c>
      <c r="M12" s="2">
        <f t="shared" si="1"/>
        <v>931948</v>
      </c>
      <c r="N12" s="2">
        <f t="shared" si="1"/>
        <v>931948</v>
      </c>
      <c r="O12" s="2">
        <f t="shared" si="1"/>
        <v>931948</v>
      </c>
      <c r="P12" s="2">
        <v>851051</v>
      </c>
    </row>
    <row r="13" spans="1:16">
      <c r="A13" s="84" t="s">
        <v>98</v>
      </c>
      <c r="B13" s="85" t="s">
        <v>97</v>
      </c>
      <c r="C13" s="85" t="s">
        <v>99</v>
      </c>
      <c r="D13" s="84" t="s">
        <v>87</v>
      </c>
      <c r="E13" s="84">
        <f>VLOOKUP(A13,'2a. SI Pop'!$A$5:$E$198,5,FALSE)</f>
        <v>1</v>
      </c>
      <c r="F13" s="2">
        <v>3494581</v>
      </c>
      <c r="G13" s="2">
        <f t="shared" si="0"/>
        <v>3494581</v>
      </c>
      <c r="H13" s="2">
        <f t="shared" si="0"/>
        <v>3494581</v>
      </c>
      <c r="I13" s="2">
        <f t="shared" si="0"/>
        <v>3494581</v>
      </c>
      <c r="J13" s="2">
        <f t="shared" si="0"/>
        <v>3494581</v>
      </c>
      <c r="K13" s="2">
        <v>3416081</v>
      </c>
      <c r="L13" s="2">
        <f t="shared" si="1"/>
        <v>3416081</v>
      </c>
      <c r="M13" s="2">
        <f t="shared" si="1"/>
        <v>3416081</v>
      </c>
      <c r="N13" s="2">
        <f t="shared" si="1"/>
        <v>3416081</v>
      </c>
      <c r="O13" s="2">
        <f t="shared" si="1"/>
        <v>3416081</v>
      </c>
      <c r="P13" s="2">
        <v>3295475</v>
      </c>
    </row>
    <row r="14" spans="1:16">
      <c r="A14" s="84" t="s">
        <v>101</v>
      </c>
      <c r="B14" s="85" t="s">
        <v>100</v>
      </c>
      <c r="C14" s="85" t="s">
        <v>79</v>
      </c>
      <c r="D14" s="84" t="s">
        <v>87</v>
      </c>
      <c r="E14" s="84">
        <f>VLOOKUP(A14,'2a. SI Pop'!$A$5:$E$198,5,FALSE)</f>
        <v>1</v>
      </c>
      <c r="F14" s="2">
        <v>3414511</v>
      </c>
      <c r="G14" s="2">
        <f t="shared" si="0"/>
        <v>3414511</v>
      </c>
      <c r="H14" s="2">
        <f t="shared" si="0"/>
        <v>3414511</v>
      </c>
      <c r="I14" s="2">
        <f t="shared" si="0"/>
        <v>3414511</v>
      </c>
      <c r="J14" s="2">
        <f t="shared" si="0"/>
        <v>3414511</v>
      </c>
      <c r="K14" s="2">
        <v>3243184</v>
      </c>
      <c r="L14" s="2">
        <f t="shared" si="1"/>
        <v>3243184</v>
      </c>
      <c r="M14" s="2">
        <f t="shared" si="1"/>
        <v>3243184</v>
      </c>
      <c r="N14" s="2">
        <f t="shared" si="1"/>
        <v>3243184</v>
      </c>
      <c r="O14" s="2">
        <f t="shared" si="1"/>
        <v>3243184</v>
      </c>
      <c r="P14" s="2">
        <v>3036554</v>
      </c>
    </row>
    <row r="15" spans="1:16">
      <c r="A15" s="84" t="s">
        <v>103</v>
      </c>
      <c r="B15" s="85" t="s">
        <v>102</v>
      </c>
      <c r="C15" s="85" t="s">
        <v>79</v>
      </c>
      <c r="D15" s="84" t="s">
        <v>80</v>
      </c>
      <c r="E15" s="84">
        <f>VLOOKUP(A15,'2a. SI Pop'!$A$5:$E$198,5,FALSE)</f>
        <v>1</v>
      </c>
      <c r="F15" s="2">
        <v>4188867</v>
      </c>
      <c r="G15" s="2">
        <f t="shared" si="0"/>
        <v>4188867</v>
      </c>
      <c r="H15" s="2">
        <f t="shared" si="0"/>
        <v>4188867</v>
      </c>
      <c r="I15" s="2">
        <f t="shared" si="0"/>
        <v>4188867</v>
      </c>
      <c r="J15" s="2">
        <f t="shared" si="0"/>
        <v>4188867</v>
      </c>
      <c r="K15" s="2">
        <v>3977748</v>
      </c>
      <c r="L15" s="2">
        <f t="shared" si="1"/>
        <v>3977748</v>
      </c>
      <c r="M15" s="2">
        <f t="shared" si="1"/>
        <v>3977748</v>
      </c>
      <c r="N15" s="2">
        <f t="shared" si="1"/>
        <v>3977748</v>
      </c>
      <c r="O15" s="2">
        <f t="shared" si="1"/>
        <v>3977748</v>
      </c>
      <c r="P15" s="2">
        <v>3736268</v>
      </c>
    </row>
    <row r="16" spans="1:16">
      <c r="A16" s="84" t="s">
        <v>105</v>
      </c>
      <c r="B16" s="85" t="s">
        <v>104</v>
      </c>
      <c r="C16" s="85" t="s">
        <v>92</v>
      </c>
      <c r="D16" s="84" t="s">
        <v>87</v>
      </c>
      <c r="E16" s="84">
        <f>VLOOKUP(A16,'2a. SI Pop'!$A$5:$E$198,5,FALSE)</f>
        <v>1</v>
      </c>
      <c r="F16" s="2">
        <v>67205</v>
      </c>
      <c r="G16" s="2">
        <f t="shared" si="0"/>
        <v>67205</v>
      </c>
      <c r="H16" s="2">
        <f t="shared" si="0"/>
        <v>67205</v>
      </c>
      <c r="I16" s="2">
        <f t="shared" si="0"/>
        <v>67205</v>
      </c>
      <c r="J16" s="2">
        <f t="shared" si="0"/>
        <v>67205</v>
      </c>
      <c r="K16" s="2">
        <v>64808.000000000007</v>
      </c>
      <c r="L16" s="2">
        <f t="shared" si="1"/>
        <v>64808.000000000007</v>
      </c>
      <c r="M16" s="2">
        <f t="shared" si="1"/>
        <v>64808.000000000007</v>
      </c>
      <c r="N16" s="2">
        <f t="shared" si="1"/>
        <v>64808.000000000007</v>
      </c>
      <c r="O16" s="2">
        <f t="shared" si="1"/>
        <v>64808.000000000007</v>
      </c>
      <c r="P16" s="2">
        <v>61636</v>
      </c>
    </row>
    <row r="17" spans="1:16">
      <c r="A17" s="84" t="s">
        <v>107</v>
      </c>
      <c r="B17" s="85" t="s">
        <v>106</v>
      </c>
      <c r="C17" s="85" t="s">
        <v>74</v>
      </c>
      <c r="D17" s="84" t="s">
        <v>87</v>
      </c>
      <c r="E17" s="84">
        <f>VLOOKUP(A17,'2a. SI Pop'!$A$5:$E$198,5,FALSE)</f>
        <v>1</v>
      </c>
      <c r="F17" s="2">
        <v>184640</v>
      </c>
      <c r="G17" s="2">
        <f t="shared" si="0"/>
        <v>184640</v>
      </c>
      <c r="H17" s="2">
        <f t="shared" si="0"/>
        <v>184640</v>
      </c>
      <c r="I17" s="2">
        <f t="shared" si="0"/>
        <v>184640</v>
      </c>
      <c r="J17" s="2">
        <f t="shared" si="0"/>
        <v>184640</v>
      </c>
      <c r="K17" s="2">
        <v>180716</v>
      </c>
      <c r="L17" s="2">
        <f t="shared" si="1"/>
        <v>180716</v>
      </c>
      <c r="M17" s="2">
        <f t="shared" si="1"/>
        <v>180716</v>
      </c>
      <c r="N17" s="2">
        <f t="shared" si="1"/>
        <v>180716</v>
      </c>
      <c r="O17" s="2">
        <f t="shared" si="1"/>
        <v>180716</v>
      </c>
      <c r="P17" s="2">
        <v>174295</v>
      </c>
    </row>
    <row r="18" spans="1:16">
      <c r="A18" s="84" t="s">
        <v>109</v>
      </c>
      <c r="B18" s="85" t="s">
        <v>108</v>
      </c>
      <c r="C18" s="85" t="s">
        <v>110</v>
      </c>
      <c r="D18" s="84" t="s">
        <v>84</v>
      </c>
      <c r="E18" s="84" t="str">
        <f>VLOOKUP(A18,'2a. SI Pop'!$A$5:$E$198,5,FALSE)</f>
        <v>Key</v>
      </c>
      <c r="F18" s="2">
        <v>100895900</v>
      </c>
      <c r="G18" s="2">
        <f t="shared" si="0"/>
        <v>100895900</v>
      </c>
      <c r="H18" s="2">
        <f t="shared" si="0"/>
        <v>100895900</v>
      </c>
      <c r="I18" s="2">
        <f t="shared" si="0"/>
        <v>100895900</v>
      </c>
      <c r="J18" s="2">
        <f t="shared" si="0"/>
        <v>100895900</v>
      </c>
      <c r="K18" s="2">
        <v>97642603</v>
      </c>
      <c r="L18" s="2">
        <f t="shared" si="1"/>
        <v>97642603</v>
      </c>
      <c r="M18" s="2">
        <f t="shared" si="1"/>
        <v>97642603</v>
      </c>
      <c r="N18" s="2">
        <f t="shared" si="1"/>
        <v>97642603</v>
      </c>
      <c r="O18" s="2">
        <f t="shared" si="1"/>
        <v>97642603</v>
      </c>
      <c r="P18" s="2">
        <v>93871922</v>
      </c>
    </row>
    <row r="19" spans="1:16">
      <c r="A19" s="84" t="s">
        <v>112</v>
      </c>
      <c r="B19" s="85" t="s">
        <v>111</v>
      </c>
      <c r="C19" s="85" t="s">
        <v>92</v>
      </c>
      <c r="D19" s="84" t="s">
        <v>87</v>
      </c>
      <c r="E19" s="84">
        <f>VLOOKUP(A19,'2a. SI Pop'!$A$5:$E$198,5,FALSE)</f>
        <v>1</v>
      </c>
      <c r="F19" s="2">
        <v>194968</v>
      </c>
      <c r="G19" s="2">
        <f t="shared" si="0"/>
        <v>194968</v>
      </c>
      <c r="H19" s="2">
        <f t="shared" si="0"/>
        <v>194968</v>
      </c>
      <c r="I19" s="2">
        <f t="shared" si="0"/>
        <v>194968</v>
      </c>
      <c r="J19" s="2">
        <f t="shared" si="0"/>
        <v>194968</v>
      </c>
      <c r="K19" s="2">
        <v>189471</v>
      </c>
      <c r="L19" s="2">
        <f t="shared" si="1"/>
        <v>189471</v>
      </c>
      <c r="M19" s="2">
        <f t="shared" si="1"/>
        <v>189471</v>
      </c>
      <c r="N19" s="2">
        <f t="shared" si="1"/>
        <v>189471</v>
      </c>
      <c r="O19" s="2">
        <f t="shared" si="1"/>
        <v>189471</v>
      </c>
      <c r="P19" s="2">
        <v>182077</v>
      </c>
    </row>
    <row r="20" spans="1:16">
      <c r="A20" s="84" t="s">
        <v>114</v>
      </c>
      <c r="B20" s="85" t="s">
        <v>113</v>
      </c>
      <c r="C20" s="85" t="s">
        <v>79</v>
      </c>
      <c r="D20" s="84" t="s">
        <v>80</v>
      </c>
      <c r="E20" s="84">
        <f>VLOOKUP(A20,'2a. SI Pop'!$A$5:$E$198,5,FALSE)</f>
        <v>2</v>
      </c>
      <c r="F20" s="2">
        <v>1532498</v>
      </c>
      <c r="G20" s="2">
        <f t="shared" si="0"/>
        <v>1532498</v>
      </c>
      <c r="H20" s="2">
        <f t="shared" si="0"/>
        <v>1532498</v>
      </c>
      <c r="I20" s="2">
        <f t="shared" si="0"/>
        <v>1532498</v>
      </c>
      <c r="J20" s="2">
        <f t="shared" si="0"/>
        <v>1532498</v>
      </c>
      <c r="K20" s="2">
        <v>1366821</v>
      </c>
      <c r="L20" s="2">
        <f t="shared" si="1"/>
        <v>1366821</v>
      </c>
      <c r="M20" s="2">
        <f t="shared" si="1"/>
        <v>1366821</v>
      </c>
      <c r="N20" s="2">
        <f t="shared" si="1"/>
        <v>1366821</v>
      </c>
      <c r="O20" s="2">
        <f t="shared" si="1"/>
        <v>1366821</v>
      </c>
      <c r="P20" s="2">
        <v>1226695</v>
      </c>
    </row>
    <row r="21" spans="1:16">
      <c r="A21" s="84" t="s">
        <v>116</v>
      </c>
      <c r="B21" s="85" t="s">
        <v>115</v>
      </c>
      <c r="C21" s="85" t="s">
        <v>79</v>
      </c>
      <c r="D21" s="84" t="s">
        <v>87</v>
      </c>
      <c r="E21" s="84">
        <f>VLOOKUP(A21,'2a. SI Pop'!$A$5:$E$198,5,FALSE)</f>
        <v>1</v>
      </c>
      <c r="F21" s="2">
        <v>190155</v>
      </c>
      <c r="G21" s="2">
        <f t="shared" si="0"/>
        <v>190155</v>
      </c>
      <c r="H21" s="2">
        <f t="shared" si="0"/>
        <v>190155</v>
      </c>
      <c r="I21" s="2">
        <f t="shared" si="0"/>
        <v>190155</v>
      </c>
      <c r="J21" s="2">
        <f t="shared" si="0"/>
        <v>190155</v>
      </c>
      <c r="K21" s="2">
        <v>175736</v>
      </c>
      <c r="L21" s="2">
        <f t="shared" si="1"/>
        <v>175736</v>
      </c>
      <c r="M21" s="2">
        <f t="shared" si="1"/>
        <v>175736</v>
      </c>
      <c r="N21" s="2">
        <f t="shared" si="1"/>
        <v>175736</v>
      </c>
      <c r="O21" s="2">
        <f t="shared" si="1"/>
        <v>175736</v>
      </c>
      <c r="P21" s="2">
        <v>162553</v>
      </c>
    </row>
    <row r="22" spans="1:16">
      <c r="A22" s="84" t="s">
        <v>118</v>
      </c>
      <c r="B22" s="85" t="s">
        <v>117</v>
      </c>
      <c r="C22" s="85" t="s">
        <v>92</v>
      </c>
      <c r="D22" s="84" t="s">
        <v>80</v>
      </c>
      <c r="E22" s="84">
        <f>VLOOKUP(A22,'2a. SI Pop'!$A$5:$E$198,5,FALSE)</f>
        <v>1</v>
      </c>
      <c r="F22" s="2">
        <v>243026</v>
      </c>
      <c r="G22" s="2">
        <f t="shared" si="0"/>
        <v>243026</v>
      </c>
      <c r="H22" s="2">
        <f t="shared" si="0"/>
        <v>243026</v>
      </c>
      <c r="I22" s="2">
        <f t="shared" si="0"/>
        <v>243026</v>
      </c>
      <c r="J22" s="2">
        <f t="shared" si="0"/>
        <v>243026</v>
      </c>
      <c r="K22" s="2">
        <v>250575</v>
      </c>
      <c r="L22" s="2">
        <f t="shared" si="1"/>
        <v>250575</v>
      </c>
      <c r="M22" s="2">
        <f t="shared" si="1"/>
        <v>250575</v>
      </c>
      <c r="N22" s="2">
        <f t="shared" si="1"/>
        <v>250575</v>
      </c>
      <c r="O22" s="2">
        <f t="shared" si="1"/>
        <v>250575</v>
      </c>
      <c r="P22" s="2">
        <v>254161</v>
      </c>
    </row>
    <row r="23" spans="1:16">
      <c r="A23" s="84" t="s">
        <v>120</v>
      </c>
      <c r="B23" s="85" t="s">
        <v>119</v>
      </c>
      <c r="C23" s="85" t="s">
        <v>83</v>
      </c>
      <c r="D23" s="84" t="s">
        <v>84</v>
      </c>
      <c r="E23" s="84">
        <f>VLOOKUP(A23,'2a. SI Pop'!$A$5:$E$198,5,FALSE)</f>
        <v>3</v>
      </c>
      <c r="F23" s="2">
        <v>7167539</v>
      </c>
      <c r="G23" s="2">
        <f t="shared" si="0"/>
        <v>7167539</v>
      </c>
      <c r="H23" s="2">
        <f t="shared" si="0"/>
        <v>7167539</v>
      </c>
      <c r="I23" s="2">
        <f t="shared" si="0"/>
        <v>7167539</v>
      </c>
      <c r="J23" s="2">
        <f t="shared" si="0"/>
        <v>7167539</v>
      </c>
      <c r="K23" s="2">
        <v>7544045</v>
      </c>
      <c r="L23" s="2">
        <f t="shared" si="1"/>
        <v>7544045</v>
      </c>
      <c r="M23" s="2">
        <f t="shared" si="1"/>
        <v>7544045</v>
      </c>
      <c r="N23" s="2">
        <f t="shared" si="1"/>
        <v>7544045</v>
      </c>
      <c r="O23" s="2">
        <f t="shared" si="1"/>
        <v>7544045</v>
      </c>
      <c r="P23" s="2">
        <v>7859175</v>
      </c>
    </row>
    <row r="24" spans="1:16">
      <c r="A24" s="84" t="s">
        <v>122</v>
      </c>
      <c r="B24" s="85" t="s">
        <v>121</v>
      </c>
      <c r="C24" s="85" t="s">
        <v>110</v>
      </c>
      <c r="D24" s="84" t="s">
        <v>84</v>
      </c>
      <c r="E24" s="84">
        <f>VLOOKUP(A24,'2a. SI Pop'!$A$5:$E$198,5,FALSE)</f>
        <v>2</v>
      </c>
      <c r="F24" s="2">
        <v>469795</v>
      </c>
      <c r="G24" s="2">
        <f t="shared" si="0"/>
        <v>469795</v>
      </c>
      <c r="H24" s="2">
        <f t="shared" si="0"/>
        <v>469795</v>
      </c>
      <c r="I24" s="2">
        <f t="shared" si="0"/>
        <v>469795</v>
      </c>
      <c r="J24" s="2">
        <f t="shared" si="0"/>
        <v>469795</v>
      </c>
      <c r="K24" s="2">
        <v>460706</v>
      </c>
      <c r="L24" s="2">
        <f t="shared" si="1"/>
        <v>460706</v>
      </c>
      <c r="M24" s="2">
        <f t="shared" si="1"/>
        <v>460706</v>
      </c>
      <c r="N24" s="2">
        <f t="shared" si="1"/>
        <v>460706</v>
      </c>
      <c r="O24" s="2">
        <f t="shared" si="1"/>
        <v>460706</v>
      </c>
      <c r="P24" s="2">
        <v>450499</v>
      </c>
    </row>
    <row r="25" spans="1:16">
      <c r="A25" s="84" t="s">
        <v>124</v>
      </c>
      <c r="B25" s="85" t="s">
        <v>123</v>
      </c>
      <c r="C25" s="85" t="s">
        <v>92</v>
      </c>
      <c r="D25" s="84" t="s">
        <v>84</v>
      </c>
      <c r="E25" s="84">
        <f>VLOOKUP(A25,'2a. SI Pop'!$A$5:$E$198,5,FALSE)</f>
        <v>2</v>
      </c>
      <c r="F25" s="2">
        <v>3457771</v>
      </c>
      <c r="G25" s="2">
        <f t="shared" ref="G25:J44" si="2">F25</f>
        <v>3457771</v>
      </c>
      <c r="H25" s="2">
        <f t="shared" si="2"/>
        <v>3457771</v>
      </c>
      <c r="I25" s="2">
        <f t="shared" si="2"/>
        <v>3457771</v>
      </c>
      <c r="J25" s="2">
        <f t="shared" si="2"/>
        <v>3457771</v>
      </c>
      <c r="K25" s="2">
        <v>3404936</v>
      </c>
      <c r="L25" s="2">
        <f t="shared" ref="L25:O44" si="3">K25</f>
        <v>3404936</v>
      </c>
      <c r="M25" s="2">
        <f t="shared" si="3"/>
        <v>3404936</v>
      </c>
      <c r="N25" s="2">
        <f t="shared" si="3"/>
        <v>3404936</v>
      </c>
      <c r="O25" s="2">
        <f t="shared" si="3"/>
        <v>3404936</v>
      </c>
      <c r="P25" s="2">
        <v>3315658</v>
      </c>
    </row>
    <row r="26" spans="1:16">
      <c r="A26" s="84" t="s">
        <v>126</v>
      </c>
      <c r="B26" s="85" t="s">
        <v>125</v>
      </c>
      <c r="C26" s="85" t="s">
        <v>79</v>
      </c>
      <c r="D26" s="84" t="s">
        <v>80</v>
      </c>
      <c r="E26" s="84">
        <f>VLOOKUP(A26,'2a. SI Pop'!$A$5:$E$198,5,FALSE)</f>
        <v>1</v>
      </c>
      <c r="F26" s="2">
        <v>1580844</v>
      </c>
      <c r="G26" s="2">
        <f t="shared" si="2"/>
        <v>1580844</v>
      </c>
      <c r="H26" s="2">
        <f t="shared" si="2"/>
        <v>1580844</v>
      </c>
      <c r="I26" s="2">
        <f t="shared" si="2"/>
        <v>1580844</v>
      </c>
      <c r="J26" s="2">
        <f t="shared" si="2"/>
        <v>1580844</v>
      </c>
      <c r="K26" s="2">
        <v>1460751</v>
      </c>
      <c r="L26" s="2">
        <f t="shared" si="3"/>
        <v>1460751</v>
      </c>
      <c r="M26" s="2">
        <f t="shared" si="3"/>
        <v>1460751</v>
      </c>
      <c r="N26" s="2">
        <f t="shared" si="3"/>
        <v>1460751</v>
      </c>
      <c r="O26" s="2">
        <f t="shared" si="3"/>
        <v>1460751</v>
      </c>
      <c r="P26" s="2">
        <v>1331789</v>
      </c>
    </row>
    <row r="27" spans="1:16">
      <c r="A27" s="84" t="s">
        <v>128</v>
      </c>
      <c r="B27" s="85" t="s">
        <v>127</v>
      </c>
      <c r="C27" s="85" t="s">
        <v>83</v>
      </c>
      <c r="D27" s="84" t="s">
        <v>80</v>
      </c>
      <c r="E27" s="84">
        <f>VLOOKUP(A27,'2a. SI Pop'!$A$5:$E$198,5,FALSE)</f>
        <v>2</v>
      </c>
      <c r="F27" s="2">
        <v>649079</v>
      </c>
      <c r="G27" s="2">
        <f t="shared" si="2"/>
        <v>649079</v>
      </c>
      <c r="H27" s="2">
        <f t="shared" si="2"/>
        <v>649079</v>
      </c>
      <c r="I27" s="2">
        <f t="shared" si="2"/>
        <v>649079</v>
      </c>
      <c r="J27" s="2">
        <f t="shared" si="2"/>
        <v>649079</v>
      </c>
      <c r="K27" s="2">
        <v>621600</v>
      </c>
      <c r="L27" s="2">
        <f t="shared" si="3"/>
        <v>621600</v>
      </c>
      <c r="M27" s="2">
        <f t="shared" si="3"/>
        <v>621600</v>
      </c>
      <c r="N27" s="2">
        <f t="shared" si="3"/>
        <v>621600</v>
      </c>
      <c r="O27" s="2">
        <f t="shared" si="3"/>
        <v>621600</v>
      </c>
      <c r="P27" s="2">
        <v>596882</v>
      </c>
    </row>
    <row r="28" spans="1:16">
      <c r="A28" s="84" t="s">
        <v>130</v>
      </c>
      <c r="B28" s="85" t="s">
        <v>129</v>
      </c>
      <c r="C28" s="85" t="s">
        <v>92</v>
      </c>
      <c r="D28" s="84" t="s">
        <v>80</v>
      </c>
      <c r="E28" s="84" t="str">
        <f>VLOOKUP(A28,'2a. SI Pop'!$A$5:$E$198,5,FALSE)</f>
        <v>Key</v>
      </c>
      <c r="F28" s="2">
        <v>24176115</v>
      </c>
      <c r="G28" s="2">
        <f t="shared" si="2"/>
        <v>24176115</v>
      </c>
      <c r="H28" s="2">
        <f t="shared" si="2"/>
        <v>24176115</v>
      </c>
      <c r="I28" s="2">
        <f t="shared" si="2"/>
        <v>24176115</v>
      </c>
      <c r="J28" s="2">
        <f t="shared" si="2"/>
        <v>24176115</v>
      </c>
      <c r="K28" s="2">
        <v>22460006</v>
      </c>
      <c r="L28" s="2">
        <f t="shared" si="3"/>
        <v>22460006</v>
      </c>
      <c r="M28" s="2">
        <f t="shared" si="3"/>
        <v>22460006</v>
      </c>
      <c r="N28" s="2">
        <f t="shared" si="3"/>
        <v>22460006</v>
      </c>
      <c r="O28" s="2">
        <f t="shared" si="3"/>
        <v>22460006</v>
      </c>
      <c r="P28" s="2">
        <v>20805134</v>
      </c>
    </row>
    <row r="29" spans="1:16">
      <c r="A29" s="84" t="s">
        <v>132</v>
      </c>
      <c r="B29" s="85" t="s">
        <v>131</v>
      </c>
      <c r="C29" s="85" t="s">
        <v>99</v>
      </c>
      <c r="D29" s="84" t="s">
        <v>87</v>
      </c>
      <c r="E29" s="84">
        <f>VLOOKUP(A29,'2a. SI Pop'!$A$5:$E$198,5,FALSE)</f>
        <v>1</v>
      </c>
      <c r="F29" s="2">
        <v>92583</v>
      </c>
      <c r="G29" s="2">
        <f t="shared" si="2"/>
        <v>92583</v>
      </c>
      <c r="H29" s="2">
        <f t="shared" si="2"/>
        <v>92583</v>
      </c>
      <c r="I29" s="2">
        <f t="shared" si="2"/>
        <v>92583</v>
      </c>
      <c r="J29" s="2">
        <f t="shared" si="2"/>
        <v>92583</v>
      </c>
      <c r="K29" s="2">
        <v>89430</v>
      </c>
      <c r="L29" s="2">
        <f t="shared" si="3"/>
        <v>89430</v>
      </c>
      <c r="M29" s="2">
        <f t="shared" si="3"/>
        <v>89430</v>
      </c>
      <c r="N29" s="2">
        <f t="shared" si="3"/>
        <v>89430</v>
      </c>
      <c r="O29" s="2">
        <f t="shared" si="3"/>
        <v>89430</v>
      </c>
      <c r="P29" s="2">
        <v>85702</v>
      </c>
    </row>
    <row r="30" spans="1:16">
      <c r="A30" s="84" t="s">
        <v>134</v>
      </c>
      <c r="B30" s="85" t="s">
        <v>133</v>
      </c>
      <c r="C30" s="85" t="s">
        <v>79</v>
      </c>
      <c r="D30" s="84" t="s">
        <v>80</v>
      </c>
      <c r="E30" s="84">
        <f>VLOOKUP(A30,'2a. SI Pop'!$A$5:$E$198,5,FALSE)</f>
        <v>1</v>
      </c>
      <c r="F30" s="2">
        <v>1348586</v>
      </c>
      <c r="G30" s="2">
        <f t="shared" si="2"/>
        <v>1348586</v>
      </c>
      <c r="H30" s="2">
        <f t="shared" si="2"/>
        <v>1348586</v>
      </c>
      <c r="I30" s="2">
        <f t="shared" si="2"/>
        <v>1348586</v>
      </c>
      <c r="J30" s="2">
        <f t="shared" si="2"/>
        <v>1348586</v>
      </c>
      <c r="K30" s="2">
        <v>1192313</v>
      </c>
      <c r="L30" s="2">
        <f t="shared" si="3"/>
        <v>1192313</v>
      </c>
      <c r="M30" s="2">
        <f t="shared" si="3"/>
        <v>1192313</v>
      </c>
      <c r="N30" s="2">
        <f t="shared" si="3"/>
        <v>1192313</v>
      </c>
      <c r="O30" s="2">
        <f t="shared" si="3"/>
        <v>1192313</v>
      </c>
      <c r="P30" s="2">
        <v>1051500</v>
      </c>
    </row>
    <row r="31" spans="1:16">
      <c r="A31" s="84" t="s">
        <v>136</v>
      </c>
      <c r="B31" s="85" t="s">
        <v>135</v>
      </c>
      <c r="C31" s="85" t="s">
        <v>83</v>
      </c>
      <c r="D31" s="84" t="s">
        <v>75</v>
      </c>
      <c r="E31" s="84">
        <f>VLOOKUP(A31,'2a. SI Pop'!$A$5:$E$198,5,FALSE)</f>
        <v>3</v>
      </c>
      <c r="F31" s="2">
        <v>17219419</v>
      </c>
      <c r="G31" s="2">
        <f t="shared" si="2"/>
        <v>17219419</v>
      </c>
      <c r="H31" s="2">
        <f t="shared" si="2"/>
        <v>17219419</v>
      </c>
      <c r="I31" s="2">
        <f t="shared" si="2"/>
        <v>17219419</v>
      </c>
      <c r="J31" s="2">
        <f t="shared" si="2"/>
        <v>17219419</v>
      </c>
      <c r="K31" s="2">
        <v>18493903</v>
      </c>
      <c r="L31" s="2">
        <f t="shared" si="3"/>
        <v>18493903</v>
      </c>
      <c r="M31" s="2">
        <f t="shared" si="3"/>
        <v>18493903</v>
      </c>
      <c r="N31" s="2">
        <f t="shared" si="3"/>
        <v>18493903</v>
      </c>
      <c r="O31" s="2">
        <f t="shared" si="3"/>
        <v>18493903</v>
      </c>
      <c r="P31" s="2">
        <v>19671577</v>
      </c>
    </row>
    <row r="32" spans="1:16">
      <c r="A32" s="84" t="s">
        <v>138</v>
      </c>
      <c r="B32" s="85" t="s">
        <v>137</v>
      </c>
      <c r="C32" s="85" t="s">
        <v>83</v>
      </c>
      <c r="D32" s="84" t="s">
        <v>75</v>
      </c>
      <c r="E32" s="84">
        <f>VLOOKUP(A32,'2a. SI Pop'!$A$5:$E$198,5,FALSE)</f>
        <v>3</v>
      </c>
      <c r="F32" s="2">
        <v>13018607</v>
      </c>
      <c r="G32" s="2">
        <f t="shared" si="2"/>
        <v>13018607</v>
      </c>
      <c r="H32" s="2">
        <f t="shared" si="2"/>
        <v>13018607</v>
      </c>
      <c r="I32" s="2">
        <f t="shared" si="2"/>
        <v>13018607</v>
      </c>
      <c r="J32" s="2">
        <f t="shared" si="2"/>
        <v>13018607</v>
      </c>
      <c r="K32" s="2">
        <v>14401539</v>
      </c>
      <c r="L32" s="2">
        <f t="shared" si="3"/>
        <v>14401539</v>
      </c>
      <c r="M32" s="2">
        <f t="shared" si="3"/>
        <v>14401539</v>
      </c>
      <c r="N32" s="2">
        <f t="shared" si="3"/>
        <v>14401539</v>
      </c>
      <c r="O32" s="2">
        <f t="shared" si="3"/>
        <v>14401539</v>
      </c>
      <c r="P32" s="2">
        <v>15828117</v>
      </c>
    </row>
    <row r="33" spans="1:16">
      <c r="A33" s="84" t="s">
        <v>140</v>
      </c>
      <c r="B33" s="85" t="s">
        <v>139</v>
      </c>
      <c r="C33" s="85" t="s">
        <v>99</v>
      </c>
      <c r="D33" s="84" t="s">
        <v>84</v>
      </c>
      <c r="E33" s="84">
        <f>VLOOKUP(A33,'2a. SI Pop'!$A$5:$E$198,5,FALSE)</f>
        <v>4</v>
      </c>
      <c r="F33" s="2">
        <v>13340104</v>
      </c>
      <c r="G33" s="2">
        <f t="shared" si="2"/>
        <v>13340104</v>
      </c>
      <c r="H33" s="2">
        <f t="shared" si="2"/>
        <v>13340104</v>
      </c>
      <c r="I33" s="2">
        <f t="shared" si="2"/>
        <v>13340104</v>
      </c>
      <c r="J33" s="2">
        <f t="shared" si="2"/>
        <v>13340104</v>
      </c>
      <c r="K33" s="2">
        <v>13451964</v>
      </c>
      <c r="L33" s="2">
        <f t="shared" si="3"/>
        <v>13451964</v>
      </c>
      <c r="M33" s="2">
        <f t="shared" si="3"/>
        <v>13451964</v>
      </c>
      <c r="N33" s="2">
        <f t="shared" si="3"/>
        <v>13451964</v>
      </c>
      <c r="O33" s="2">
        <f t="shared" si="3"/>
        <v>13451964</v>
      </c>
      <c r="P33" s="2">
        <v>13430401</v>
      </c>
    </row>
    <row r="34" spans="1:16">
      <c r="A34" s="84" t="s">
        <v>142</v>
      </c>
      <c r="B34" s="85" t="s">
        <v>141</v>
      </c>
      <c r="C34" s="85" t="s">
        <v>83</v>
      </c>
      <c r="D34" s="84" t="s">
        <v>84</v>
      </c>
      <c r="E34" s="84">
        <f>VLOOKUP(A34,'2a. SI Pop'!$A$5:$E$198,5,FALSE)</f>
        <v>3</v>
      </c>
      <c r="F34" s="2">
        <v>12122535</v>
      </c>
      <c r="G34" s="2">
        <f t="shared" si="2"/>
        <v>12122535</v>
      </c>
      <c r="H34" s="2">
        <f t="shared" si="2"/>
        <v>12122535</v>
      </c>
      <c r="I34" s="2">
        <f t="shared" si="2"/>
        <v>12122535</v>
      </c>
      <c r="J34" s="2">
        <f t="shared" si="2"/>
        <v>12122535</v>
      </c>
      <c r="K34" s="2">
        <v>12592874</v>
      </c>
      <c r="L34" s="2">
        <f t="shared" si="3"/>
        <v>12592874</v>
      </c>
      <c r="M34" s="2">
        <f t="shared" si="3"/>
        <v>12592874</v>
      </c>
      <c r="N34" s="2">
        <f t="shared" si="3"/>
        <v>12592874</v>
      </c>
      <c r="O34" s="2">
        <f t="shared" si="3"/>
        <v>12592874</v>
      </c>
      <c r="P34" s="2">
        <v>12971856</v>
      </c>
    </row>
    <row r="35" spans="1:16">
      <c r="A35" s="84" t="s">
        <v>144</v>
      </c>
      <c r="B35" s="85" t="s">
        <v>143</v>
      </c>
      <c r="C35" s="85" t="s">
        <v>92</v>
      </c>
      <c r="D35" s="84" t="s">
        <v>87</v>
      </c>
      <c r="E35" s="84">
        <f>VLOOKUP(A35,'2a. SI Pop'!$A$5:$E$198,5,FALSE)</f>
        <v>1</v>
      </c>
      <c r="F35" s="2">
        <v>6954715</v>
      </c>
      <c r="G35" s="2">
        <f t="shared" si="2"/>
        <v>6954715</v>
      </c>
      <c r="H35" s="2">
        <f t="shared" si="2"/>
        <v>6954715</v>
      </c>
      <c r="I35" s="2">
        <f t="shared" si="2"/>
        <v>6954715</v>
      </c>
      <c r="J35" s="2">
        <f t="shared" si="2"/>
        <v>6954715</v>
      </c>
      <c r="K35" s="2">
        <v>6767888</v>
      </c>
      <c r="L35" s="2">
        <f t="shared" si="3"/>
        <v>6767888</v>
      </c>
      <c r="M35" s="2">
        <f t="shared" si="3"/>
        <v>6767888</v>
      </c>
      <c r="N35" s="2">
        <f t="shared" si="3"/>
        <v>6767888</v>
      </c>
      <c r="O35" s="2">
        <f t="shared" si="3"/>
        <v>6767888</v>
      </c>
      <c r="P35" s="2">
        <v>6464466</v>
      </c>
    </row>
    <row r="36" spans="1:16">
      <c r="A36" s="84" t="s">
        <v>146</v>
      </c>
      <c r="B36" s="85" t="s">
        <v>145</v>
      </c>
      <c r="C36" s="85" t="s">
        <v>83</v>
      </c>
      <c r="D36" s="84" t="s">
        <v>84</v>
      </c>
      <c r="E36" s="84">
        <f>VLOOKUP(A36,'2a. SI Pop'!$A$5:$E$198,5,FALSE)</f>
        <v>2</v>
      </c>
      <c r="F36" s="2">
        <v>185114</v>
      </c>
      <c r="G36" s="2">
        <f t="shared" si="2"/>
        <v>185114</v>
      </c>
      <c r="H36" s="2">
        <f t="shared" si="2"/>
        <v>185114</v>
      </c>
      <c r="I36" s="2">
        <f t="shared" si="2"/>
        <v>185114</v>
      </c>
      <c r="J36" s="2">
        <f t="shared" si="2"/>
        <v>185114</v>
      </c>
      <c r="K36" s="2">
        <v>181654</v>
      </c>
      <c r="L36" s="2">
        <f t="shared" si="3"/>
        <v>181654</v>
      </c>
      <c r="M36" s="2">
        <f t="shared" si="3"/>
        <v>181654</v>
      </c>
      <c r="N36" s="2">
        <f t="shared" si="3"/>
        <v>181654</v>
      </c>
      <c r="O36" s="2">
        <f t="shared" si="3"/>
        <v>181654</v>
      </c>
      <c r="P36" s="2">
        <v>177259</v>
      </c>
    </row>
    <row r="37" spans="1:16">
      <c r="A37" s="84" t="s">
        <v>148</v>
      </c>
      <c r="B37" s="85" t="s">
        <v>147</v>
      </c>
      <c r="C37" s="85" t="s">
        <v>83</v>
      </c>
      <c r="D37" s="84" t="s">
        <v>75</v>
      </c>
      <c r="E37" s="84">
        <f>VLOOKUP(A37,'2a. SI Pop'!$A$5:$E$198,5,FALSE)</f>
        <v>3</v>
      </c>
      <c r="F37" s="2">
        <v>3205976</v>
      </c>
      <c r="G37" s="2">
        <f t="shared" si="2"/>
        <v>3205976</v>
      </c>
      <c r="H37" s="2">
        <f t="shared" si="2"/>
        <v>3205976</v>
      </c>
      <c r="I37" s="2">
        <f t="shared" si="2"/>
        <v>3205976</v>
      </c>
      <c r="J37" s="2">
        <f t="shared" si="2"/>
        <v>3205976</v>
      </c>
      <c r="K37" s="2">
        <v>3342843</v>
      </c>
      <c r="L37" s="2">
        <f t="shared" si="3"/>
        <v>3342843</v>
      </c>
      <c r="M37" s="2">
        <f t="shared" si="3"/>
        <v>3342843</v>
      </c>
      <c r="N37" s="2">
        <f t="shared" si="3"/>
        <v>3342843</v>
      </c>
      <c r="O37" s="2">
        <f t="shared" si="3"/>
        <v>3342843</v>
      </c>
      <c r="P37" s="2">
        <v>3441997</v>
      </c>
    </row>
    <row r="38" spans="1:16">
      <c r="A38" s="84" t="s">
        <v>150</v>
      </c>
      <c r="B38" s="85" t="s">
        <v>149</v>
      </c>
      <c r="C38" s="85" t="s">
        <v>83</v>
      </c>
      <c r="D38" s="84" t="s">
        <v>75</v>
      </c>
      <c r="E38" s="84" t="str">
        <f>VLOOKUP(A38,'2a. SI Pop'!$A$5:$E$198,5,FALSE)</f>
        <v>Key</v>
      </c>
      <c r="F38" s="2">
        <v>15640692</v>
      </c>
      <c r="G38" s="2">
        <f t="shared" si="2"/>
        <v>15640692</v>
      </c>
      <c r="H38" s="2">
        <f t="shared" si="2"/>
        <v>15640692</v>
      </c>
      <c r="I38" s="2">
        <f t="shared" si="2"/>
        <v>15640692</v>
      </c>
      <c r="J38" s="2">
        <f t="shared" si="2"/>
        <v>15640692</v>
      </c>
      <c r="K38" s="2">
        <v>17071341</v>
      </c>
      <c r="L38" s="2">
        <f t="shared" si="3"/>
        <v>17071341</v>
      </c>
      <c r="M38" s="2">
        <f t="shared" si="3"/>
        <v>17071341</v>
      </c>
      <c r="N38" s="2">
        <f t="shared" si="3"/>
        <v>17071341</v>
      </c>
      <c r="O38" s="2">
        <f t="shared" si="3"/>
        <v>17071341</v>
      </c>
      <c r="P38" s="2">
        <v>18353340</v>
      </c>
    </row>
    <row r="39" spans="1:16">
      <c r="A39" s="84" t="s">
        <v>152</v>
      </c>
      <c r="B39" s="85" t="s">
        <v>151</v>
      </c>
      <c r="C39" s="85" t="s">
        <v>92</v>
      </c>
      <c r="D39" s="84" t="s">
        <v>87</v>
      </c>
      <c r="E39" s="84">
        <f>VLOOKUP(A39,'2a. SI Pop'!$A$5:$E$198,5,FALSE)</f>
        <v>2</v>
      </c>
      <c r="F39" s="2">
        <v>2191797</v>
      </c>
      <c r="G39" s="2">
        <f t="shared" si="2"/>
        <v>2191797</v>
      </c>
      <c r="H39" s="2">
        <f t="shared" si="2"/>
        <v>2191797</v>
      </c>
      <c r="I39" s="2">
        <f t="shared" si="2"/>
        <v>2191797</v>
      </c>
      <c r="J39" s="2">
        <f t="shared" si="2"/>
        <v>2191797</v>
      </c>
      <c r="K39" s="2">
        <v>2096786.9999999998</v>
      </c>
      <c r="L39" s="2">
        <f t="shared" si="3"/>
        <v>2096786.9999999998</v>
      </c>
      <c r="M39" s="2">
        <f t="shared" si="3"/>
        <v>2096786.9999999998</v>
      </c>
      <c r="N39" s="2">
        <f t="shared" si="3"/>
        <v>2096786.9999999998</v>
      </c>
      <c r="O39" s="2">
        <f t="shared" si="3"/>
        <v>2096786.9999999998</v>
      </c>
      <c r="P39" s="2">
        <v>1971261</v>
      </c>
    </row>
    <row r="40" spans="1:16">
      <c r="A40" s="84" t="s">
        <v>154</v>
      </c>
      <c r="B40" s="85" t="s">
        <v>153</v>
      </c>
      <c r="C40" s="85" t="s">
        <v>99</v>
      </c>
      <c r="D40" s="84" t="s">
        <v>80</v>
      </c>
      <c r="E40" s="84">
        <f>VLOOKUP(A40,'2a. SI Pop'!$A$5:$E$198,5,FALSE)</f>
        <v>1</v>
      </c>
      <c r="F40" s="2">
        <v>423334368</v>
      </c>
      <c r="G40" s="2">
        <f t="shared" si="2"/>
        <v>423334368</v>
      </c>
      <c r="H40" s="2">
        <f t="shared" si="2"/>
        <v>423334368</v>
      </c>
      <c r="I40" s="2">
        <f t="shared" si="2"/>
        <v>423334368</v>
      </c>
      <c r="J40" s="2">
        <f t="shared" si="2"/>
        <v>423334368</v>
      </c>
      <c r="K40" s="2">
        <v>373890262</v>
      </c>
      <c r="L40" s="2">
        <f t="shared" si="3"/>
        <v>373890262</v>
      </c>
      <c r="M40" s="2">
        <f t="shared" si="3"/>
        <v>373890262</v>
      </c>
      <c r="N40" s="2">
        <f t="shared" si="3"/>
        <v>373890262</v>
      </c>
      <c r="O40" s="2">
        <f t="shared" si="3"/>
        <v>373890262</v>
      </c>
      <c r="P40" s="2">
        <v>334008779</v>
      </c>
    </row>
    <row r="41" spans="1:16">
      <c r="A41" s="84" t="s">
        <v>156</v>
      </c>
      <c r="B41" s="85" t="s">
        <v>155</v>
      </c>
      <c r="C41" s="85" t="s">
        <v>92</v>
      </c>
      <c r="D41" s="84" t="s">
        <v>80</v>
      </c>
      <c r="E41" s="84">
        <f>VLOOKUP(A41,'2a. SI Pop'!$A$5:$E$198,5,FALSE)</f>
        <v>2</v>
      </c>
      <c r="F41" s="2">
        <v>8329940.0000000009</v>
      </c>
      <c r="G41" s="2">
        <f t="shared" si="2"/>
        <v>8329940.0000000009</v>
      </c>
      <c r="H41" s="2">
        <f t="shared" si="2"/>
        <v>8329940.0000000009</v>
      </c>
      <c r="I41" s="2">
        <f t="shared" si="2"/>
        <v>8329940.0000000009</v>
      </c>
      <c r="J41" s="2">
        <f t="shared" si="2"/>
        <v>8329940.0000000009</v>
      </c>
      <c r="K41" s="2">
        <v>7796151</v>
      </c>
      <c r="L41" s="2">
        <f t="shared" si="3"/>
        <v>7796151</v>
      </c>
      <c r="M41" s="2">
        <f t="shared" si="3"/>
        <v>7796151</v>
      </c>
      <c r="N41" s="2">
        <f t="shared" si="3"/>
        <v>7796151</v>
      </c>
      <c r="O41" s="2">
        <f t="shared" si="3"/>
        <v>7796151</v>
      </c>
      <c r="P41" s="2">
        <v>7237822</v>
      </c>
    </row>
    <row r="42" spans="1:16">
      <c r="A42" s="84" t="s">
        <v>158</v>
      </c>
      <c r="B42" s="85" t="s">
        <v>157</v>
      </c>
      <c r="C42" s="85" t="s">
        <v>83</v>
      </c>
      <c r="D42" s="84" t="s">
        <v>84</v>
      </c>
      <c r="E42" s="84">
        <f>VLOOKUP(A42,'2a. SI Pop'!$A$5:$E$198,5,FALSE)</f>
        <v>3</v>
      </c>
      <c r="F42" s="2">
        <v>716454</v>
      </c>
      <c r="G42" s="2">
        <f t="shared" si="2"/>
        <v>716454</v>
      </c>
      <c r="H42" s="2">
        <f t="shared" si="2"/>
        <v>716454</v>
      </c>
      <c r="I42" s="2">
        <f t="shared" si="2"/>
        <v>716454</v>
      </c>
      <c r="J42" s="2">
        <f t="shared" si="2"/>
        <v>716454</v>
      </c>
      <c r="K42" s="2">
        <v>759914</v>
      </c>
      <c r="L42" s="2">
        <f t="shared" si="3"/>
        <v>759914</v>
      </c>
      <c r="M42" s="2">
        <f t="shared" si="3"/>
        <v>759914</v>
      </c>
      <c r="N42" s="2">
        <f t="shared" si="3"/>
        <v>759914</v>
      </c>
      <c r="O42" s="2">
        <f t="shared" si="3"/>
        <v>759914</v>
      </c>
      <c r="P42" s="2">
        <v>799617</v>
      </c>
    </row>
    <row r="43" spans="1:16">
      <c r="A43" s="84" t="s">
        <v>160</v>
      </c>
      <c r="B43" s="85" t="s">
        <v>159</v>
      </c>
      <c r="C43" s="85" t="s">
        <v>83</v>
      </c>
      <c r="D43" s="84" t="s">
        <v>84</v>
      </c>
      <c r="E43" s="84">
        <f>VLOOKUP(A43,'2a. SI Pop'!$A$5:$E$198,5,FALSE)</f>
        <v>3</v>
      </c>
      <c r="F43" s="2">
        <v>2028773</v>
      </c>
      <c r="G43" s="2">
        <f t="shared" si="2"/>
        <v>2028773</v>
      </c>
      <c r="H43" s="2">
        <f t="shared" si="2"/>
        <v>2028773</v>
      </c>
      <c r="I43" s="2">
        <f t="shared" si="2"/>
        <v>2028773</v>
      </c>
      <c r="J43" s="2">
        <f t="shared" si="2"/>
        <v>2028773</v>
      </c>
      <c r="K43" s="2">
        <v>2121190</v>
      </c>
      <c r="L43" s="2">
        <f t="shared" si="3"/>
        <v>2121190</v>
      </c>
      <c r="M43" s="2">
        <f t="shared" si="3"/>
        <v>2121190</v>
      </c>
      <c r="N43" s="2">
        <f t="shared" si="3"/>
        <v>2121190</v>
      </c>
      <c r="O43" s="2">
        <f t="shared" si="3"/>
        <v>2121190</v>
      </c>
      <c r="P43" s="2">
        <v>2200885</v>
      </c>
    </row>
    <row r="44" spans="1:16">
      <c r="A44" s="84" t="s">
        <v>162</v>
      </c>
      <c r="B44" s="85" t="s">
        <v>161</v>
      </c>
      <c r="C44" s="85" t="s">
        <v>99</v>
      </c>
      <c r="D44" s="84" t="e">
        <v>#N/A</v>
      </c>
      <c r="E44" s="84">
        <f>VLOOKUP(A44,'2a. SI Pop'!$A$5:$E$198,5,FALSE)</f>
        <v>1</v>
      </c>
      <c r="F44" s="2">
        <v>3958</v>
      </c>
      <c r="G44" s="2">
        <f t="shared" si="2"/>
        <v>3958</v>
      </c>
      <c r="H44" s="2">
        <f t="shared" si="2"/>
        <v>3958</v>
      </c>
      <c r="I44" s="2">
        <f t="shared" si="2"/>
        <v>3958</v>
      </c>
      <c r="J44" s="2">
        <f t="shared" si="2"/>
        <v>3958</v>
      </c>
      <c r="K44" s="2">
        <v>3752</v>
      </c>
      <c r="L44" s="2">
        <f t="shared" si="3"/>
        <v>3752</v>
      </c>
      <c r="M44" s="2">
        <f t="shared" si="3"/>
        <v>3752</v>
      </c>
      <c r="N44" s="2">
        <f t="shared" si="3"/>
        <v>3752</v>
      </c>
      <c r="O44" s="2">
        <f t="shared" si="3"/>
        <v>3752</v>
      </c>
      <c r="P44" s="2">
        <v>3528</v>
      </c>
    </row>
    <row r="45" spans="1:16">
      <c r="A45" s="84" t="s">
        <v>164</v>
      </c>
      <c r="B45" s="85" t="s">
        <v>163</v>
      </c>
      <c r="C45" s="85" t="s">
        <v>92</v>
      </c>
      <c r="D45" s="84" t="s">
        <v>80</v>
      </c>
      <c r="E45" s="84">
        <f>VLOOKUP(A45,'2a. SI Pop'!$A$5:$E$198,5,FALSE)</f>
        <v>2</v>
      </c>
      <c r="F45" s="2">
        <v>769911</v>
      </c>
      <c r="G45" s="2">
        <f t="shared" ref="G45:J64" si="4">F45</f>
        <v>769911</v>
      </c>
      <c r="H45" s="2">
        <f t="shared" si="4"/>
        <v>769911</v>
      </c>
      <c r="I45" s="2">
        <f t="shared" si="4"/>
        <v>769911</v>
      </c>
      <c r="J45" s="2">
        <f t="shared" si="4"/>
        <v>769911</v>
      </c>
      <c r="K45" s="2">
        <v>707621</v>
      </c>
      <c r="L45" s="2">
        <f t="shared" ref="L45:O64" si="5">K45</f>
        <v>707621</v>
      </c>
      <c r="M45" s="2">
        <f t="shared" si="5"/>
        <v>707621</v>
      </c>
      <c r="N45" s="2">
        <f t="shared" si="5"/>
        <v>707621</v>
      </c>
      <c r="O45" s="2">
        <f t="shared" si="5"/>
        <v>707621</v>
      </c>
      <c r="P45" s="2">
        <v>661989</v>
      </c>
    </row>
    <row r="46" spans="1:16">
      <c r="A46" s="84" t="s">
        <v>166</v>
      </c>
      <c r="B46" s="85" t="s">
        <v>165</v>
      </c>
      <c r="C46" s="85" t="s">
        <v>83</v>
      </c>
      <c r="D46" s="84" t="s">
        <v>84</v>
      </c>
      <c r="E46" s="84">
        <f>VLOOKUP(A46,'2a. SI Pop'!$A$5:$E$198,5,FALSE)</f>
        <v>3</v>
      </c>
      <c r="F46" s="2">
        <v>14425144</v>
      </c>
      <c r="G46" s="2">
        <f t="shared" si="4"/>
        <v>14425144</v>
      </c>
      <c r="H46" s="2">
        <f t="shared" si="4"/>
        <v>14425144</v>
      </c>
      <c r="I46" s="2">
        <f t="shared" si="4"/>
        <v>14425144</v>
      </c>
      <c r="J46" s="2">
        <f t="shared" si="4"/>
        <v>14425144</v>
      </c>
      <c r="K46" s="2">
        <v>15180554</v>
      </c>
      <c r="L46" s="2">
        <f t="shared" si="5"/>
        <v>15180554</v>
      </c>
      <c r="M46" s="2">
        <f t="shared" si="5"/>
        <v>15180554</v>
      </c>
      <c r="N46" s="2">
        <f t="shared" si="5"/>
        <v>15180554</v>
      </c>
      <c r="O46" s="2">
        <f t="shared" si="5"/>
        <v>15180554</v>
      </c>
      <c r="P46" s="2">
        <v>15816710</v>
      </c>
    </row>
    <row r="47" spans="1:16">
      <c r="A47" s="84" t="s">
        <v>168</v>
      </c>
      <c r="B47" s="85" t="s">
        <v>167</v>
      </c>
      <c r="C47" s="85" t="s">
        <v>79</v>
      </c>
      <c r="D47" s="84" t="s">
        <v>87</v>
      </c>
      <c r="E47" s="84">
        <f>VLOOKUP(A47,'2a. SI Pop'!$A$5:$E$198,5,FALSE)</f>
        <v>1</v>
      </c>
      <c r="F47" s="2">
        <v>1501679</v>
      </c>
      <c r="G47" s="2">
        <f t="shared" si="4"/>
        <v>1501679</v>
      </c>
      <c r="H47" s="2">
        <f t="shared" si="4"/>
        <v>1501679</v>
      </c>
      <c r="I47" s="2">
        <f t="shared" si="4"/>
        <v>1501679</v>
      </c>
      <c r="J47" s="2">
        <f t="shared" si="4"/>
        <v>1501679</v>
      </c>
      <c r="K47" s="2">
        <v>1369213</v>
      </c>
      <c r="L47" s="2">
        <f t="shared" si="5"/>
        <v>1369213</v>
      </c>
      <c r="M47" s="2">
        <f t="shared" si="5"/>
        <v>1369213</v>
      </c>
      <c r="N47" s="2">
        <f t="shared" si="5"/>
        <v>1369213</v>
      </c>
      <c r="O47" s="2">
        <f t="shared" si="5"/>
        <v>1369213</v>
      </c>
      <c r="P47" s="2">
        <v>1235446</v>
      </c>
    </row>
    <row r="48" spans="1:16">
      <c r="A48" s="84" t="s">
        <v>170</v>
      </c>
      <c r="B48" s="85" t="s">
        <v>169</v>
      </c>
      <c r="C48" s="85" t="s">
        <v>92</v>
      </c>
      <c r="D48" s="84" t="s">
        <v>80</v>
      </c>
      <c r="E48" s="84">
        <f>VLOOKUP(A48,'2a. SI Pop'!$A$5:$E$198,5,FALSE)</f>
        <v>1</v>
      </c>
      <c r="F48" s="2">
        <v>2448456</v>
      </c>
      <c r="G48" s="2">
        <f t="shared" si="4"/>
        <v>2448456</v>
      </c>
      <c r="H48" s="2">
        <f t="shared" si="4"/>
        <v>2448456</v>
      </c>
      <c r="I48" s="2">
        <f t="shared" si="4"/>
        <v>2448456</v>
      </c>
      <c r="J48" s="2">
        <f t="shared" si="4"/>
        <v>2448456</v>
      </c>
      <c r="K48" s="2">
        <v>2298232</v>
      </c>
      <c r="L48" s="2">
        <f t="shared" si="5"/>
        <v>2298232</v>
      </c>
      <c r="M48" s="2">
        <f t="shared" si="5"/>
        <v>2298232</v>
      </c>
      <c r="N48" s="2">
        <f t="shared" si="5"/>
        <v>2298232</v>
      </c>
      <c r="O48" s="2">
        <f t="shared" si="5"/>
        <v>2298232</v>
      </c>
      <c r="P48" s="2">
        <v>2114598</v>
      </c>
    </row>
    <row r="49" spans="1:16">
      <c r="A49" s="84" t="s">
        <v>172</v>
      </c>
      <c r="B49" s="85" t="s">
        <v>171</v>
      </c>
      <c r="C49" s="85" t="s">
        <v>79</v>
      </c>
      <c r="D49" s="84" t="s">
        <v>87</v>
      </c>
      <c r="E49" s="84">
        <f>VLOOKUP(A49,'2a. SI Pop'!$A$5:$E$198,5,FALSE)</f>
        <v>1</v>
      </c>
      <c r="F49" s="2">
        <v>409443</v>
      </c>
      <c r="G49" s="2">
        <f t="shared" si="4"/>
        <v>409443</v>
      </c>
      <c r="H49" s="2">
        <f t="shared" si="4"/>
        <v>409443</v>
      </c>
      <c r="I49" s="2">
        <f t="shared" si="4"/>
        <v>409443</v>
      </c>
      <c r="J49" s="2">
        <f t="shared" si="4"/>
        <v>409443</v>
      </c>
      <c r="K49" s="2">
        <v>401856</v>
      </c>
      <c r="L49" s="2">
        <f t="shared" si="5"/>
        <v>401856</v>
      </c>
      <c r="M49" s="2">
        <f t="shared" si="5"/>
        <v>401856</v>
      </c>
      <c r="N49" s="2">
        <f t="shared" si="5"/>
        <v>401856</v>
      </c>
      <c r="O49" s="2">
        <f t="shared" si="5"/>
        <v>401856</v>
      </c>
      <c r="P49" s="2">
        <v>387412</v>
      </c>
    </row>
    <row r="50" spans="1:16">
      <c r="A50" s="84" t="s">
        <v>174</v>
      </c>
      <c r="B50" s="85" t="s">
        <v>173</v>
      </c>
      <c r="C50" s="85" t="s">
        <v>79</v>
      </c>
      <c r="D50" s="84" t="s">
        <v>87</v>
      </c>
      <c r="E50" s="84">
        <f>VLOOKUP(A50,'2a. SI Pop'!$A$5:$E$198,5,FALSE)</f>
        <v>1</v>
      </c>
      <c r="F50" s="2">
        <v>2519109</v>
      </c>
      <c r="G50" s="2">
        <f t="shared" si="4"/>
        <v>2519109</v>
      </c>
      <c r="H50" s="2">
        <f t="shared" si="4"/>
        <v>2519109</v>
      </c>
      <c r="I50" s="2">
        <f t="shared" si="4"/>
        <v>2519109</v>
      </c>
      <c r="J50" s="2">
        <f t="shared" si="4"/>
        <v>2519109</v>
      </c>
      <c r="K50" s="2">
        <v>2345272</v>
      </c>
      <c r="L50" s="2">
        <f t="shared" si="5"/>
        <v>2345272</v>
      </c>
      <c r="M50" s="2">
        <f t="shared" si="5"/>
        <v>2345272</v>
      </c>
      <c r="N50" s="2">
        <f t="shared" si="5"/>
        <v>2345272</v>
      </c>
      <c r="O50" s="2">
        <f t="shared" si="5"/>
        <v>2345272</v>
      </c>
      <c r="P50" s="2">
        <v>2155771</v>
      </c>
    </row>
    <row r="51" spans="1:16">
      <c r="A51" s="84" t="s">
        <v>176</v>
      </c>
      <c r="B51" s="85" t="s">
        <v>175</v>
      </c>
      <c r="C51" s="85" t="s">
        <v>110</v>
      </c>
      <c r="D51" s="84" t="s">
        <v>75</v>
      </c>
      <c r="E51" s="84">
        <f>VLOOKUP(A51,'2a. SI Pop'!$A$5:$E$198,5,FALSE)</f>
        <v>4</v>
      </c>
      <c r="F51" s="2">
        <v>9212947</v>
      </c>
      <c r="G51" s="2">
        <f t="shared" si="4"/>
        <v>9212947</v>
      </c>
      <c r="H51" s="2">
        <f t="shared" si="4"/>
        <v>9212947</v>
      </c>
      <c r="I51" s="2">
        <f t="shared" si="4"/>
        <v>9212947</v>
      </c>
      <c r="J51" s="2">
        <f t="shared" si="4"/>
        <v>9212947</v>
      </c>
      <c r="K51" s="2">
        <v>8751539</v>
      </c>
      <c r="L51" s="2">
        <f t="shared" si="5"/>
        <v>8751539</v>
      </c>
      <c r="M51" s="2">
        <f t="shared" si="5"/>
        <v>8751539</v>
      </c>
      <c r="N51" s="2">
        <f t="shared" si="5"/>
        <v>8751539</v>
      </c>
      <c r="O51" s="2">
        <f t="shared" si="5"/>
        <v>8751539</v>
      </c>
      <c r="P51" s="2">
        <v>8174104</v>
      </c>
    </row>
    <row r="52" spans="1:16">
      <c r="A52" s="84" t="s">
        <v>178</v>
      </c>
      <c r="B52" s="85" t="s">
        <v>177</v>
      </c>
      <c r="C52" s="85" t="s">
        <v>83</v>
      </c>
      <c r="D52" s="84" t="s">
        <v>75</v>
      </c>
      <c r="E52" s="84" t="str">
        <f>VLOOKUP(A52,'2a. SI Pop'!$A$5:$E$198,5,FALSE)</f>
        <v>Key</v>
      </c>
      <c r="F52" s="2">
        <v>58099463</v>
      </c>
      <c r="G52" s="2">
        <f t="shared" si="4"/>
        <v>58099463</v>
      </c>
      <c r="H52" s="2">
        <f t="shared" si="4"/>
        <v>58099463</v>
      </c>
      <c r="I52" s="2">
        <f t="shared" si="4"/>
        <v>58099463</v>
      </c>
      <c r="J52" s="2">
        <f t="shared" si="4"/>
        <v>58099463</v>
      </c>
      <c r="K52" s="2">
        <v>62380699</v>
      </c>
      <c r="L52" s="2">
        <f t="shared" si="5"/>
        <v>62380699</v>
      </c>
      <c r="M52" s="2">
        <f t="shared" si="5"/>
        <v>62380699</v>
      </c>
      <c r="N52" s="2">
        <f t="shared" si="5"/>
        <v>62380699</v>
      </c>
      <c r="O52" s="2">
        <f t="shared" si="5"/>
        <v>62380699</v>
      </c>
      <c r="P52" s="2">
        <v>66153051.000000007</v>
      </c>
    </row>
    <row r="53" spans="1:16">
      <c r="A53" s="84" t="s">
        <v>180</v>
      </c>
      <c r="B53" s="85" t="s">
        <v>179</v>
      </c>
      <c r="C53" s="85" t="s">
        <v>79</v>
      </c>
      <c r="D53" s="84" t="s">
        <v>87</v>
      </c>
      <c r="E53" s="84">
        <f>VLOOKUP(A53,'2a. SI Pop'!$A$5:$E$198,5,FALSE)</f>
        <v>1</v>
      </c>
      <c r="F53" s="2">
        <v>635850</v>
      </c>
      <c r="G53" s="2">
        <f t="shared" si="4"/>
        <v>635850</v>
      </c>
      <c r="H53" s="2">
        <f t="shared" si="4"/>
        <v>635850</v>
      </c>
      <c r="I53" s="2">
        <f t="shared" si="4"/>
        <v>635850</v>
      </c>
      <c r="J53" s="2">
        <f t="shared" si="4"/>
        <v>635850</v>
      </c>
      <c r="K53" s="2">
        <v>601733</v>
      </c>
      <c r="L53" s="2">
        <f t="shared" si="5"/>
        <v>601733</v>
      </c>
      <c r="M53" s="2">
        <f t="shared" si="5"/>
        <v>601733</v>
      </c>
      <c r="N53" s="2">
        <f t="shared" si="5"/>
        <v>601733</v>
      </c>
      <c r="O53" s="2">
        <f t="shared" si="5"/>
        <v>601733</v>
      </c>
      <c r="P53" s="2">
        <v>563445</v>
      </c>
    </row>
    <row r="54" spans="1:16">
      <c r="A54" s="84" t="s">
        <v>182</v>
      </c>
      <c r="B54" s="85" t="s">
        <v>181</v>
      </c>
      <c r="C54" s="85" t="s">
        <v>74</v>
      </c>
      <c r="D54" s="84" t="s">
        <v>84</v>
      </c>
      <c r="E54" s="84">
        <f>VLOOKUP(A54,'2a. SI Pop'!$A$5:$E$198,5,FALSE)</f>
        <v>3</v>
      </c>
      <c r="F54" s="2">
        <v>226889</v>
      </c>
      <c r="G54" s="2">
        <f t="shared" si="4"/>
        <v>226889</v>
      </c>
      <c r="H54" s="2">
        <f t="shared" si="4"/>
        <v>226889</v>
      </c>
      <c r="I54" s="2">
        <f t="shared" si="4"/>
        <v>226889</v>
      </c>
      <c r="J54" s="2">
        <f t="shared" si="4"/>
        <v>226889</v>
      </c>
      <c r="K54" s="2">
        <v>223725</v>
      </c>
      <c r="L54" s="2">
        <f t="shared" si="5"/>
        <v>223725</v>
      </c>
      <c r="M54" s="2">
        <f t="shared" si="5"/>
        <v>223725</v>
      </c>
      <c r="N54" s="2">
        <f t="shared" si="5"/>
        <v>223725</v>
      </c>
      <c r="O54" s="2">
        <f t="shared" si="5"/>
        <v>223725</v>
      </c>
      <c r="P54" s="2">
        <v>217470</v>
      </c>
    </row>
    <row r="55" spans="1:16">
      <c r="A55" s="84" t="s">
        <v>184</v>
      </c>
      <c r="B55" s="85" t="s">
        <v>183</v>
      </c>
      <c r="C55" s="85" t="s">
        <v>92</v>
      </c>
      <c r="D55" s="84" t="s">
        <v>80</v>
      </c>
      <c r="E55" s="84">
        <f>VLOOKUP(A55,'2a. SI Pop'!$A$5:$E$198,5,FALSE)</f>
        <v>2</v>
      </c>
      <c r="F55" s="2">
        <v>20054</v>
      </c>
      <c r="G55" s="2">
        <f t="shared" si="4"/>
        <v>20054</v>
      </c>
      <c r="H55" s="2">
        <f t="shared" si="4"/>
        <v>20054</v>
      </c>
      <c r="I55" s="2">
        <f t="shared" si="4"/>
        <v>20054</v>
      </c>
      <c r="J55" s="2">
        <f t="shared" si="4"/>
        <v>20054</v>
      </c>
      <c r="K55" s="2">
        <v>18935</v>
      </c>
      <c r="L55" s="2">
        <f t="shared" si="5"/>
        <v>18935</v>
      </c>
      <c r="M55" s="2">
        <f t="shared" si="5"/>
        <v>18935</v>
      </c>
      <c r="N55" s="2">
        <f t="shared" si="5"/>
        <v>18935</v>
      </c>
      <c r="O55" s="2">
        <f t="shared" si="5"/>
        <v>18935</v>
      </c>
      <c r="P55" s="2">
        <v>17736</v>
      </c>
    </row>
    <row r="56" spans="1:16">
      <c r="A56" s="84" t="s">
        <v>184</v>
      </c>
      <c r="B56" s="85" t="s">
        <v>185</v>
      </c>
      <c r="C56" s="85" t="s">
        <v>92</v>
      </c>
      <c r="D56" s="84" t="s">
        <v>80</v>
      </c>
      <c r="E56" s="84">
        <f>VLOOKUP(A56,'2a. SI Pop'!$A$5:$E$198,5,FALSE)</f>
        <v>2</v>
      </c>
      <c r="F56" s="2">
        <v>1480245</v>
      </c>
      <c r="G56" s="2">
        <f t="shared" si="4"/>
        <v>1480245</v>
      </c>
      <c r="H56" s="2">
        <f t="shared" si="4"/>
        <v>1480245</v>
      </c>
      <c r="I56" s="2">
        <f t="shared" si="4"/>
        <v>1480245</v>
      </c>
      <c r="J56" s="2">
        <f t="shared" si="4"/>
        <v>1480245</v>
      </c>
      <c r="K56" s="2">
        <v>1326801</v>
      </c>
      <c r="L56" s="2">
        <f t="shared" si="5"/>
        <v>1326801</v>
      </c>
      <c r="M56" s="2">
        <f t="shared" si="5"/>
        <v>1326801</v>
      </c>
      <c r="N56" s="2">
        <f t="shared" si="5"/>
        <v>1326801</v>
      </c>
      <c r="O56" s="2">
        <f t="shared" si="5"/>
        <v>1326801</v>
      </c>
      <c r="P56" s="2">
        <v>1215111</v>
      </c>
    </row>
    <row r="57" spans="1:16">
      <c r="A57" s="84" t="s">
        <v>187</v>
      </c>
      <c r="B57" s="85" t="s">
        <v>186</v>
      </c>
      <c r="C57" s="85" t="s">
        <v>92</v>
      </c>
      <c r="D57" s="84" t="s">
        <v>80</v>
      </c>
      <c r="E57" s="84">
        <f>VLOOKUP(A57,'2a. SI Pop'!$A$5:$E$198,5,FALSE)</f>
        <v>2</v>
      </c>
      <c r="F57" s="2">
        <v>6505486</v>
      </c>
      <c r="G57" s="2">
        <f t="shared" si="4"/>
        <v>6505486</v>
      </c>
      <c r="H57" s="2">
        <f t="shared" si="4"/>
        <v>6505486</v>
      </c>
      <c r="I57" s="2">
        <f t="shared" si="4"/>
        <v>6505486</v>
      </c>
      <c r="J57" s="2">
        <f t="shared" si="4"/>
        <v>6505486</v>
      </c>
      <c r="K57" s="2">
        <v>6476669</v>
      </c>
      <c r="L57" s="2">
        <f t="shared" si="5"/>
        <v>6476669</v>
      </c>
      <c r="M57" s="2">
        <f t="shared" si="5"/>
        <v>6476669</v>
      </c>
      <c r="N57" s="2">
        <f t="shared" si="5"/>
        <v>6476669</v>
      </c>
      <c r="O57" s="2">
        <f t="shared" si="5"/>
        <v>6476669</v>
      </c>
      <c r="P57" s="2">
        <v>6330143</v>
      </c>
    </row>
    <row r="58" spans="1:16">
      <c r="A58" s="84" t="s">
        <v>189</v>
      </c>
      <c r="B58" s="85" t="s">
        <v>188</v>
      </c>
      <c r="C58" s="85" t="s">
        <v>74</v>
      </c>
      <c r="D58" s="84" t="s">
        <v>84</v>
      </c>
      <c r="E58" s="84">
        <f>VLOOKUP(A58,'2a. SI Pop'!$A$5:$E$198,5,FALSE)</f>
        <v>2</v>
      </c>
      <c r="F58" s="2">
        <v>66132213</v>
      </c>
      <c r="G58" s="2">
        <f t="shared" si="4"/>
        <v>66132213</v>
      </c>
      <c r="H58" s="2">
        <f t="shared" si="4"/>
        <v>66132213</v>
      </c>
      <c r="I58" s="2">
        <f t="shared" si="4"/>
        <v>66132213</v>
      </c>
      <c r="J58" s="2">
        <f t="shared" si="4"/>
        <v>66132213</v>
      </c>
      <c r="K58" s="2">
        <v>68276089</v>
      </c>
      <c r="L58" s="2">
        <f t="shared" si="5"/>
        <v>68276089</v>
      </c>
      <c r="M58" s="2">
        <f t="shared" si="5"/>
        <v>68276089</v>
      </c>
      <c r="N58" s="2">
        <f t="shared" si="5"/>
        <v>68276089</v>
      </c>
      <c r="O58" s="2">
        <f t="shared" si="5"/>
        <v>68276089</v>
      </c>
      <c r="P58" s="2">
        <v>69334761</v>
      </c>
    </row>
    <row r="59" spans="1:16">
      <c r="A59" s="84" t="s">
        <v>191</v>
      </c>
      <c r="B59" s="85" t="s">
        <v>190</v>
      </c>
      <c r="C59" s="85" t="s">
        <v>92</v>
      </c>
      <c r="D59" s="84" t="s">
        <v>84</v>
      </c>
      <c r="E59" s="84">
        <f>VLOOKUP(A59,'2a. SI Pop'!$A$5:$E$198,5,FALSE)</f>
        <v>1</v>
      </c>
      <c r="F59" s="2">
        <v>1414621</v>
      </c>
      <c r="G59" s="2">
        <f t="shared" si="4"/>
        <v>1414621</v>
      </c>
      <c r="H59" s="2">
        <f t="shared" si="4"/>
        <v>1414621</v>
      </c>
      <c r="I59" s="2">
        <f t="shared" si="4"/>
        <v>1414621</v>
      </c>
      <c r="J59" s="2">
        <f t="shared" si="4"/>
        <v>1414621</v>
      </c>
      <c r="K59" s="2">
        <v>1292291</v>
      </c>
      <c r="L59" s="2">
        <f t="shared" si="5"/>
        <v>1292291</v>
      </c>
      <c r="M59" s="2">
        <f t="shared" si="5"/>
        <v>1292291</v>
      </c>
      <c r="N59" s="2">
        <f t="shared" si="5"/>
        <v>1292291</v>
      </c>
      <c r="O59" s="2">
        <f t="shared" si="5"/>
        <v>1292291</v>
      </c>
      <c r="P59" s="2">
        <v>1191832</v>
      </c>
    </row>
    <row r="60" spans="1:16">
      <c r="A60" s="84" t="s">
        <v>193</v>
      </c>
      <c r="B60" s="85" t="s">
        <v>192</v>
      </c>
      <c r="C60" s="85" t="s">
        <v>83</v>
      </c>
      <c r="D60" s="84" t="s">
        <v>80</v>
      </c>
      <c r="E60" s="84">
        <f>VLOOKUP(A60,'2a. SI Pop'!$A$5:$E$198,5,FALSE)</f>
        <v>3</v>
      </c>
      <c r="F60" s="2">
        <v>426501</v>
      </c>
      <c r="G60" s="2">
        <f t="shared" si="4"/>
        <v>426501</v>
      </c>
      <c r="H60" s="2">
        <f t="shared" si="4"/>
        <v>426501</v>
      </c>
      <c r="I60" s="2">
        <f t="shared" si="4"/>
        <v>426501</v>
      </c>
      <c r="J60" s="2">
        <f t="shared" si="4"/>
        <v>426501</v>
      </c>
      <c r="K60" s="2">
        <v>444652</v>
      </c>
      <c r="L60" s="2">
        <f t="shared" si="5"/>
        <v>444652</v>
      </c>
      <c r="M60" s="2">
        <f t="shared" si="5"/>
        <v>444652</v>
      </c>
      <c r="N60" s="2">
        <f t="shared" si="5"/>
        <v>444652</v>
      </c>
      <c r="O60" s="2">
        <f t="shared" si="5"/>
        <v>444652</v>
      </c>
      <c r="P60" s="2">
        <v>462469</v>
      </c>
    </row>
    <row r="61" spans="1:16">
      <c r="A61" s="84" t="s">
        <v>195</v>
      </c>
      <c r="B61" s="85" t="s">
        <v>194</v>
      </c>
      <c r="C61" s="85" t="s">
        <v>83</v>
      </c>
      <c r="D61" s="84" t="s">
        <v>75</v>
      </c>
      <c r="E61" s="84">
        <f>VLOOKUP(A61,'2a. SI Pop'!$A$5:$E$198,5,FALSE)</f>
        <v>3</v>
      </c>
      <c r="F61" s="2">
        <v>3507555</v>
      </c>
      <c r="G61" s="2">
        <f t="shared" si="4"/>
        <v>3507555</v>
      </c>
      <c r="H61" s="2">
        <f t="shared" si="4"/>
        <v>3507555</v>
      </c>
      <c r="I61" s="2">
        <f t="shared" si="4"/>
        <v>3507555</v>
      </c>
      <c r="J61" s="2">
        <f t="shared" si="4"/>
        <v>3507555</v>
      </c>
      <c r="K61" s="2">
        <v>3638874</v>
      </c>
      <c r="L61" s="2">
        <f t="shared" si="5"/>
        <v>3638874</v>
      </c>
      <c r="M61" s="2">
        <f t="shared" si="5"/>
        <v>3638874</v>
      </c>
      <c r="N61" s="2">
        <f t="shared" si="5"/>
        <v>3638874</v>
      </c>
      <c r="O61" s="2">
        <f t="shared" si="5"/>
        <v>3638874</v>
      </c>
      <c r="P61" s="2">
        <v>3745623</v>
      </c>
    </row>
    <row r="62" spans="1:16">
      <c r="A62" s="84" t="s">
        <v>197</v>
      </c>
      <c r="B62" s="85" t="s">
        <v>196</v>
      </c>
      <c r="C62" s="85" t="s">
        <v>79</v>
      </c>
      <c r="D62" s="84" t="s">
        <v>87</v>
      </c>
      <c r="E62" s="84">
        <f>VLOOKUP(A62,'2a. SI Pop'!$A$5:$E$198,5,FALSE)</f>
        <v>1</v>
      </c>
      <c r="F62" s="2">
        <v>358269</v>
      </c>
      <c r="G62" s="2">
        <f t="shared" si="4"/>
        <v>358269</v>
      </c>
      <c r="H62" s="2">
        <f t="shared" si="4"/>
        <v>358269</v>
      </c>
      <c r="I62" s="2">
        <f t="shared" si="4"/>
        <v>358269</v>
      </c>
      <c r="J62" s="2">
        <f t="shared" si="4"/>
        <v>358269</v>
      </c>
      <c r="K62" s="2">
        <v>333581</v>
      </c>
      <c r="L62" s="2">
        <f t="shared" si="5"/>
        <v>333581</v>
      </c>
      <c r="M62" s="2">
        <f t="shared" si="5"/>
        <v>333581</v>
      </c>
      <c r="N62" s="2">
        <f t="shared" si="5"/>
        <v>333581</v>
      </c>
      <c r="O62" s="2">
        <f t="shared" si="5"/>
        <v>333581</v>
      </c>
      <c r="P62" s="2">
        <v>308363</v>
      </c>
    </row>
    <row r="63" spans="1:16">
      <c r="A63" s="84" t="s">
        <v>199</v>
      </c>
      <c r="B63" s="85" t="s">
        <v>198</v>
      </c>
      <c r="C63" s="85" t="s">
        <v>83</v>
      </c>
      <c r="D63" s="84" t="s">
        <v>75</v>
      </c>
      <c r="E63" s="84" t="str">
        <f>VLOOKUP(A63,'2a. SI Pop'!$A$5:$E$198,5,FALSE)</f>
        <v>Key</v>
      </c>
      <c r="F63" s="2">
        <v>102124458</v>
      </c>
      <c r="G63" s="2">
        <f t="shared" si="4"/>
        <v>102124458</v>
      </c>
      <c r="H63" s="2">
        <f t="shared" si="4"/>
        <v>102124458</v>
      </c>
      <c r="I63" s="2">
        <f t="shared" si="4"/>
        <v>102124458</v>
      </c>
      <c r="J63" s="2">
        <f t="shared" si="4"/>
        <v>102124458</v>
      </c>
      <c r="K63" s="2">
        <v>107547947</v>
      </c>
      <c r="L63" s="2">
        <f t="shared" si="5"/>
        <v>107547947</v>
      </c>
      <c r="M63" s="2">
        <f t="shared" si="5"/>
        <v>107547947</v>
      </c>
      <c r="N63" s="2">
        <f t="shared" si="5"/>
        <v>107547947</v>
      </c>
      <c r="O63" s="2">
        <f t="shared" si="5"/>
        <v>107547947</v>
      </c>
      <c r="P63" s="2">
        <v>111745181</v>
      </c>
    </row>
    <row r="64" spans="1:16">
      <c r="A64" s="84" t="s">
        <v>201</v>
      </c>
      <c r="B64" s="85" t="s">
        <v>200</v>
      </c>
      <c r="C64" s="85" t="s">
        <v>99</v>
      </c>
      <c r="D64" s="84" t="s">
        <v>80</v>
      </c>
      <c r="E64" s="84">
        <f>VLOOKUP(A64,'2a. SI Pop'!$A$5:$E$198,5,FALSE)</f>
        <v>4</v>
      </c>
      <c r="F64" s="2">
        <v>369043</v>
      </c>
      <c r="G64" s="2">
        <f t="shared" si="4"/>
        <v>369043</v>
      </c>
      <c r="H64" s="2">
        <f t="shared" si="4"/>
        <v>369043</v>
      </c>
      <c r="I64" s="2">
        <f t="shared" si="4"/>
        <v>369043</v>
      </c>
      <c r="J64" s="2">
        <f t="shared" si="4"/>
        <v>369043</v>
      </c>
      <c r="K64" s="2">
        <v>353320</v>
      </c>
      <c r="L64" s="2">
        <f t="shared" si="5"/>
        <v>353320</v>
      </c>
      <c r="M64" s="2">
        <f t="shared" si="5"/>
        <v>353320</v>
      </c>
      <c r="N64" s="2">
        <f t="shared" si="5"/>
        <v>353320</v>
      </c>
      <c r="O64" s="2">
        <f t="shared" si="5"/>
        <v>353320</v>
      </c>
      <c r="P64" s="2">
        <v>336520</v>
      </c>
    </row>
    <row r="65" spans="1:16">
      <c r="A65" s="84" t="s">
        <v>203</v>
      </c>
      <c r="B65" s="85" t="s">
        <v>202</v>
      </c>
      <c r="C65" s="85" t="s">
        <v>79</v>
      </c>
      <c r="D65" s="84" t="s">
        <v>87</v>
      </c>
      <c r="E65" s="84">
        <f>VLOOKUP(A65,'2a. SI Pop'!$A$5:$E$198,5,FALSE)</f>
        <v>1</v>
      </c>
      <c r="F65" s="2">
        <v>769176</v>
      </c>
      <c r="G65" s="2">
        <f t="shared" ref="G65:J84" si="6">F65</f>
        <v>769176</v>
      </c>
      <c r="H65" s="2">
        <f t="shared" si="6"/>
        <v>769176</v>
      </c>
      <c r="I65" s="2">
        <f t="shared" si="6"/>
        <v>769176</v>
      </c>
      <c r="J65" s="2">
        <f t="shared" si="6"/>
        <v>769176</v>
      </c>
      <c r="K65" s="2">
        <v>731458</v>
      </c>
      <c r="L65" s="2">
        <f t="shared" ref="L65:O84" si="7">K65</f>
        <v>731458</v>
      </c>
      <c r="M65" s="2">
        <f t="shared" si="7"/>
        <v>731458</v>
      </c>
      <c r="N65" s="2">
        <f t="shared" si="7"/>
        <v>731458</v>
      </c>
      <c r="O65" s="2">
        <f t="shared" si="7"/>
        <v>731458</v>
      </c>
      <c r="P65" s="2">
        <v>684410</v>
      </c>
    </row>
    <row r="66" spans="1:16">
      <c r="A66" s="84" t="s">
        <v>205</v>
      </c>
      <c r="B66" s="85" t="s">
        <v>204</v>
      </c>
      <c r="C66" s="85" t="s">
        <v>79</v>
      </c>
      <c r="D66" s="84" t="s">
        <v>87</v>
      </c>
      <c r="E66" s="84">
        <f>VLOOKUP(A66,'2a. SI Pop'!$A$5:$E$198,5,FALSE)</f>
        <v>1</v>
      </c>
      <c r="F66" s="2">
        <v>11105536</v>
      </c>
      <c r="G66" s="2">
        <f t="shared" si="6"/>
        <v>11105536</v>
      </c>
      <c r="H66" s="2">
        <f t="shared" si="6"/>
        <v>11105536</v>
      </c>
      <c r="I66" s="2">
        <f t="shared" si="6"/>
        <v>11105536</v>
      </c>
      <c r="J66" s="2">
        <f t="shared" si="6"/>
        <v>11105536</v>
      </c>
      <c r="K66" s="2">
        <v>10371670</v>
      </c>
      <c r="L66" s="2">
        <f t="shared" si="7"/>
        <v>10371670</v>
      </c>
      <c r="M66" s="2">
        <f t="shared" si="7"/>
        <v>10371670</v>
      </c>
      <c r="N66" s="2">
        <f t="shared" si="7"/>
        <v>10371670</v>
      </c>
      <c r="O66" s="2">
        <f t="shared" si="7"/>
        <v>10371670</v>
      </c>
      <c r="P66" s="2">
        <v>9643965</v>
      </c>
    </row>
    <row r="67" spans="1:16">
      <c r="A67" s="84" t="s">
        <v>207</v>
      </c>
      <c r="B67" s="85" t="s">
        <v>206</v>
      </c>
      <c r="C67" s="85" t="s">
        <v>83</v>
      </c>
      <c r="D67" s="84" t="s">
        <v>80</v>
      </c>
      <c r="E67" s="84">
        <f>VLOOKUP(A67,'2a. SI Pop'!$A$5:$E$198,5,FALSE)</f>
        <v>3</v>
      </c>
      <c r="F67" s="2">
        <v>190297</v>
      </c>
      <c r="G67" s="2">
        <f t="shared" si="6"/>
        <v>190297</v>
      </c>
      <c r="H67" s="2">
        <f t="shared" si="6"/>
        <v>190297</v>
      </c>
      <c r="I67" s="2">
        <f t="shared" si="6"/>
        <v>190297</v>
      </c>
      <c r="J67" s="2">
        <f t="shared" si="6"/>
        <v>190297</v>
      </c>
      <c r="K67" s="2">
        <v>184428</v>
      </c>
      <c r="L67" s="2">
        <f t="shared" si="7"/>
        <v>184428</v>
      </c>
      <c r="M67" s="2">
        <f t="shared" si="7"/>
        <v>184428</v>
      </c>
      <c r="N67" s="2">
        <f t="shared" si="7"/>
        <v>184428</v>
      </c>
      <c r="O67" s="2">
        <f t="shared" si="7"/>
        <v>184428</v>
      </c>
      <c r="P67" s="2">
        <v>182193</v>
      </c>
    </row>
    <row r="68" spans="1:16">
      <c r="A68" s="84" t="s">
        <v>209</v>
      </c>
      <c r="B68" s="85" t="s">
        <v>208</v>
      </c>
      <c r="C68" s="85" t="s">
        <v>83</v>
      </c>
      <c r="D68" s="84" t="s">
        <v>75</v>
      </c>
      <c r="E68" s="84">
        <f>VLOOKUP(A68,'2a. SI Pop'!$A$5:$E$198,5,FALSE)</f>
        <v>3</v>
      </c>
      <c r="F68" s="2">
        <v>945379</v>
      </c>
      <c r="G68" s="2">
        <f t="shared" si="6"/>
        <v>945379</v>
      </c>
      <c r="H68" s="2">
        <f t="shared" si="6"/>
        <v>945379</v>
      </c>
      <c r="I68" s="2">
        <f t="shared" si="6"/>
        <v>945379</v>
      </c>
      <c r="J68" s="2">
        <f t="shared" si="6"/>
        <v>945379</v>
      </c>
      <c r="K68" s="2">
        <v>980678</v>
      </c>
      <c r="L68" s="2">
        <f t="shared" si="7"/>
        <v>980678</v>
      </c>
      <c r="M68" s="2">
        <f t="shared" si="7"/>
        <v>980678</v>
      </c>
      <c r="N68" s="2">
        <f t="shared" si="7"/>
        <v>980678</v>
      </c>
      <c r="O68" s="2">
        <f t="shared" si="7"/>
        <v>980678</v>
      </c>
      <c r="P68" s="2">
        <v>1011184</v>
      </c>
    </row>
    <row r="69" spans="1:16">
      <c r="A69" s="84" t="s">
        <v>211</v>
      </c>
      <c r="B69" s="85" t="s">
        <v>210</v>
      </c>
      <c r="C69" s="85" t="s">
        <v>79</v>
      </c>
      <c r="D69" s="84" t="s">
        <v>80</v>
      </c>
      <c r="E69" s="84">
        <f>VLOOKUP(A69,'2a. SI Pop'!$A$5:$E$198,5,FALSE)</f>
        <v>1</v>
      </c>
      <c r="F69" s="2">
        <v>1354239</v>
      </c>
      <c r="G69" s="2">
        <f t="shared" si="6"/>
        <v>1354239</v>
      </c>
      <c r="H69" s="2">
        <f t="shared" si="6"/>
        <v>1354239</v>
      </c>
      <c r="I69" s="2">
        <f t="shared" si="6"/>
        <v>1354239</v>
      </c>
      <c r="J69" s="2">
        <f t="shared" si="6"/>
        <v>1354239</v>
      </c>
      <c r="K69" s="2">
        <v>1237271</v>
      </c>
      <c r="L69" s="2">
        <f t="shared" si="7"/>
        <v>1237271</v>
      </c>
      <c r="M69" s="2">
        <f t="shared" si="7"/>
        <v>1237271</v>
      </c>
      <c r="N69" s="2">
        <f t="shared" si="7"/>
        <v>1237271</v>
      </c>
      <c r="O69" s="2">
        <f t="shared" si="7"/>
        <v>1237271</v>
      </c>
      <c r="P69" s="2">
        <v>1123082</v>
      </c>
    </row>
    <row r="70" spans="1:16">
      <c r="A70" s="84" t="s">
        <v>213</v>
      </c>
      <c r="B70" s="85" t="s">
        <v>212</v>
      </c>
      <c r="C70" s="85" t="s">
        <v>79</v>
      </c>
      <c r="D70" s="84" t="s">
        <v>87</v>
      </c>
      <c r="E70" s="84">
        <f>VLOOKUP(A70,'2a. SI Pop'!$A$5:$E$198,5,FALSE)</f>
        <v>1</v>
      </c>
      <c r="F70" s="2">
        <v>17316067</v>
      </c>
      <c r="G70" s="2">
        <f t="shared" si="6"/>
        <v>17316067</v>
      </c>
      <c r="H70" s="2">
        <f t="shared" si="6"/>
        <v>17316067</v>
      </c>
      <c r="I70" s="2">
        <f t="shared" si="6"/>
        <v>17316067</v>
      </c>
      <c r="J70" s="2">
        <f t="shared" si="6"/>
        <v>17316067</v>
      </c>
      <c r="K70" s="2">
        <v>16264060</v>
      </c>
      <c r="L70" s="2">
        <f t="shared" si="7"/>
        <v>16264060</v>
      </c>
      <c r="M70" s="2">
        <f t="shared" si="7"/>
        <v>16264060</v>
      </c>
      <c r="N70" s="2">
        <f t="shared" si="7"/>
        <v>16264060</v>
      </c>
      <c r="O70" s="2">
        <f t="shared" si="7"/>
        <v>16264060</v>
      </c>
      <c r="P70" s="2">
        <v>15006013</v>
      </c>
    </row>
    <row r="71" spans="1:16">
      <c r="A71" s="84" t="s">
        <v>215</v>
      </c>
      <c r="B71" s="85" t="s">
        <v>214</v>
      </c>
      <c r="C71" s="85" t="s">
        <v>83</v>
      </c>
      <c r="D71" s="84" t="s">
        <v>84</v>
      </c>
      <c r="E71" s="84">
        <f>VLOOKUP(A71,'2a. SI Pop'!$A$5:$E$198,5,FALSE)</f>
        <v>3</v>
      </c>
      <c r="F71" s="2">
        <v>13653218</v>
      </c>
      <c r="G71" s="2">
        <f t="shared" si="6"/>
        <v>13653218</v>
      </c>
      <c r="H71" s="2">
        <f t="shared" si="6"/>
        <v>13653218</v>
      </c>
      <c r="I71" s="2">
        <f t="shared" si="6"/>
        <v>13653218</v>
      </c>
      <c r="J71" s="2">
        <f t="shared" si="6"/>
        <v>13653218</v>
      </c>
      <c r="K71" s="2">
        <v>13807547</v>
      </c>
      <c r="L71" s="2">
        <f t="shared" si="7"/>
        <v>13807547</v>
      </c>
      <c r="M71" s="2">
        <f t="shared" si="7"/>
        <v>13807547</v>
      </c>
      <c r="N71" s="2">
        <f t="shared" si="7"/>
        <v>13807547</v>
      </c>
      <c r="O71" s="2">
        <f t="shared" si="7"/>
        <v>13807547</v>
      </c>
      <c r="P71" s="2">
        <v>13903254</v>
      </c>
    </row>
    <row r="72" spans="1:16">
      <c r="A72" s="84" t="s">
        <v>217</v>
      </c>
      <c r="B72" s="85" t="s">
        <v>216</v>
      </c>
      <c r="C72" s="85" t="s">
        <v>79</v>
      </c>
      <c r="D72" s="84" t="s">
        <v>87</v>
      </c>
      <c r="E72" s="84">
        <f>VLOOKUP(A72,'2a. SI Pop'!$A$5:$E$198,5,FALSE)</f>
        <v>1</v>
      </c>
      <c r="F72" s="2">
        <v>1857819</v>
      </c>
      <c r="G72" s="2">
        <f t="shared" si="6"/>
        <v>1857819</v>
      </c>
      <c r="H72" s="2">
        <f t="shared" si="6"/>
        <v>1857819</v>
      </c>
      <c r="I72" s="2">
        <f t="shared" si="6"/>
        <v>1857819</v>
      </c>
      <c r="J72" s="2">
        <f t="shared" si="6"/>
        <v>1857819</v>
      </c>
      <c r="K72" s="2">
        <v>1684287</v>
      </c>
      <c r="L72" s="2">
        <f t="shared" si="7"/>
        <v>1684287</v>
      </c>
      <c r="M72" s="2">
        <f t="shared" si="7"/>
        <v>1684287</v>
      </c>
      <c r="N72" s="2">
        <f t="shared" si="7"/>
        <v>1684287</v>
      </c>
      <c r="O72" s="2">
        <f t="shared" si="7"/>
        <v>1684287</v>
      </c>
      <c r="P72" s="2">
        <v>1524622</v>
      </c>
    </row>
    <row r="73" spans="1:16">
      <c r="A73" s="84" t="s">
        <v>219</v>
      </c>
      <c r="B73" s="85" t="s">
        <v>218</v>
      </c>
      <c r="C73" s="85" t="s">
        <v>92</v>
      </c>
      <c r="D73" s="84" t="s">
        <v>80</v>
      </c>
      <c r="E73" s="84">
        <f>VLOOKUP(A73,'2a. SI Pop'!$A$5:$E$198,5,FALSE)</f>
        <v>1</v>
      </c>
      <c r="F73" s="2">
        <v>68479</v>
      </c>
      <c r="G73" s="2">
        <f t="shared" si="6"/>
        <v>68479</v>
      </c>
      <c r="H73" s="2">
        <f t="shared" si="6"/>
        <v>68479</v>
      </c>
      <c r="I73" s="2">
        <f t="shared" si="6"/>
        <v>68479</v>
      </c>
      <c r="J73" s="2">
        <f t="shared" si="6"/>
        <v>68479</v>
      </c>
      <c r="K73" s="2">
        <v>66581</v>
      </c>
      <c r="L73" s="2">
        <f t="shared" si="7"/>
        <v>66581</v>
      </c>
      <c r="M73" s="2">
        <f t="shared" si="7"/>
        <v>66581</v>
      </c>
      <c r="N73" s="2">
        <f t="shared" si="7"/>
        <v>66581</v>
      </c>
      <c r="O73" s="2">
        <f t="shared" si="7"/>
        <v>66581</v>
      </c>
      <c r="P73" s="2">
        <v>63995</v>
      </c>
    </row>
    <row r="74" spans="1:16">
      <c r="A74" s="84" t="s">
        <v>221</v>
      </c>
      <c r="B74" s="85" t="s">
        <v>220</v>
      </c>
      <c r="C74" s="85" t="s">
        <v>92</v>
      </c>
      <c r="D74" s="84" t="s">
        <v>80</v>
      </c>
      <c r="E74" s="84">
        <f>VLOOKUP(A74,'2a. SI Pop'!$A$5:$E$198,5,FALSE)</f>
        <v>1</v>
      </c>
      <c r="F74" s="2">
        <v>9239450</v>
      </c>
      <c r="G74" s="2">
        <f t="shared" si="6"/>
        <v>9239450</v>
      </c>
      <c r="H74" s="2">
        <f t="shared" si="6"/>
        <v>9239450</v>
      </c>
      <c r="I74" s="2">
        <f t="shared" si="6"/>
        <v>9239450</v>
      </c>
      <c r="J74" s="2">
        <f t="shared" si="6"/>
        <v>9239450</v>
      </c>
      <c r="K74" s="2">
        <v>9319937</v>
      </c>
      <c r="L74" s="2">
        <f t="shared" si="7"/>
        <v>9319937</v>
      </c>
      <c r="M74" s="2">
        <f t="shared" si="7"/>
        <v>9319937</v>
      </c>
      <c r="N74" s="2">
        <f t="shared" si="7"/>
        <v>9319937</v>
      </c>
      <c r="O74" s="2">
        <f t="shared" si="7"/>
        <v>9319937</v>
      </c>
      <c r="P74" s="2">
        <v>9257821</v>
      </c>
    </row>
    <row r="75" spans="1:16">
      <c r="A75" s="84" t="s">
        <v>223</v>
      </c>
      <c r="B75" s="85" t="s">
        <v>222</v>
      </c>
      <c r="C75" s="85" t="s">
        <v>83</v>
      </c>
      <c r="D75" s="84" t="s">
        <v>75</v>
      </c>
      <c r="E75" s="84">
        <f>VLOOKUP(A75,'2a. SI Pop'!$A$5:$E$198,5,FALSE)</f>
        <v>3</v>
      </c>
      <c r="F75" s="2">
        <v>10331106</v>
      </c>
      <c r="G75" s="2">
        <f t="shared" si="6"/>
        <v>10331106</v>
      </c>
      <c r="H75" s="2">
        <f t="shared" si="6"/>
        <v>10331106</v>
      </c>
      <c r="I75" s="2">
        <f t="shared" si="6"/>
        <v>10331106</v>
      </c>
      <c r="J75" s="2">
        <f t="shared" si="6"/>
        <v>10331106</v>
      </c>
      <c r="K75" s="2">
        <v>11044232</v>
      </c>
      <c r="L75" s="2">
        <f t="shared" si="7"/>
        <v>11044232</v>
      </c>
      <c r="M75" s="2">
        <f t="shared" si="7"/>
        <v>11044232</v>
      </c>
      <c r="N75" s="2">
        <f t="shared" si="7"/>
        <v>11044232</v>
      </c>
      <c r="O75" s="2">
        <f t="shared" si="7"/>
        <v>11044232</v>
      </c>
      <c r="P75" s="2">
        <v>11633448</v>
      </c>
    </row>
    <row r="76" spans="1:16">
      <c r="A76" s="84" t="s">
        <v>225</v>
      </c>
      <c r="B76" s="85" t="s">
        <v>224</v>
      </c>
      <c r="C76" s="85" t="s">
        <v>83</v>
      </c>
      <c r="D76" s="84" t="s">
        <v>75</v>
      </c>
      <c r="E76" s="84">
        <f>VLOOKUP(A76,'2a. SI Pop'!$A$5:$E$198,5,FALSE)</f>
        <v>3</v>
      </c>
      <c r="F76" s="2">
        <v>1283947</v>
      </c>
      <c r="G76" s="2">
        <f t="shared" si="6"/>
        <v>1283947</v>
      </c>
      <c r="H76" s="2">
        <f t="shared" si="6"/>
        <v>1283947</v>
      </c>
      <c r="I76" s="2">
        <f t="shared" si="6"/>
        <v>1283947</v>
      </c>
      <c r="J76" s="2">
        <f t="shared" si="6"/>
        <v>1283947</v>
      </c>
      <c r="K76" s="2">
        <v>1358919</v>
      </c>
      <c r="L76" s="2">
        <f t="shared" si="7"/>
        <v>1358919</v>
      </c>
      <c r="M76" s="2">
        <f t="shared" si="7"/>
        <v>1358919</v>
      </c>
      <c r="N76" s="2">
        <f t="shared" si="7"/>
        <v>1358919</v>
      </c>
      <c r="O76" s="2">
        <f t="shared" si="7"/>
        <v>1358919</v>
      </c>
      <c r="P76" s="2">
        <v>1428306</v>
      </c>
    </row>
    <row r="77" spans="1:16">
      <c r="A77" s="84" t="s">
        <v>227</v>
      </c>
      <c r="B77" s="85" t="s">
        <v>226</v>
      </c>
      <c r="C77" s="85" t="s">
        <v>92</v>
      </c>
      <c r="D77" s="84" t="s">
        <v>80</v>
      </c>
      <c r="E77" s="84">
        <f>VLOOKUP(A77,'2a. SI Pop'!$A$5:$E$198,5,FALSE)</f>
        <v>2</v>
      </c>
      <c r="F77" s="2">
        <v>589435</v>
      </c>
      <c r="G77" s="2">
        <f t="shared" si="6"/>
        <v>589435</v>
      </c>
      <c r="H77" s="2">
        <f t="shared" si="6"/>
        <v>589435</v>
      </c>
      <c r="I77" s="2">
        <f t="shared" si="6"/>
        <v>589435</v>
      </c>
      <c r="J77" s="2">
        <f t="shared" si="6"/>
        <v>589435</v>
      </c>
      <c r="K77" s="2">
        <v>583355</v>
      </c>
      <c r="L77" s="2">
        <f t="shared" si="7"/>
        <v>583355</v>
      </c>
      <c r="M77" s="2">
        <f t="shared" si="7"/>
        <v>583355</v>
      </c>
      <c r="N77" s="2">
        <f t="shared" si="7"/>
        <v>583355</v>
      </c>
      <c r="O77" s="2">
        <f t="shared" si="7"/>
        <v>583355</v>
      </c>
      <c r="P77" s="2">
        <v>568967</v>
      </c>
    </row>
    <row r="78" spans="1:16">
      <c r="A78" s="84" t="s">
        <v>229</v>
      </c>
      <c r="B78" s="85" t="s">
        <v>228</v>
      </c>
      <c r="C78" s="85" t="s">
        <v>92</v>
      </c>
      <c r="D78" s="84" t="s">
        <v>75</v>
      </c>
      <c r="E78" s="84">
        <f>VLOOKUP(A78,'2a. SI Pop'!$A$5:$E$198,5,FALSE)</f>
        <v>2</v>
      </c>
      <c r="F78" s="2">
        <v>4400100</v>
      </c>
      <c r="G78" s="2">
        <f t="shared" si="6"/>
        <v>4400100</v>
      </c>
      <c r="H78" s="2">
        <f t="shared" si="6"/>
        <v>4400100</v>
      </c>
      <c r="I78" s="2">
        <f t="shared" si="6"/>
        <v>4400100</v>
      </c>
      <c r="J78" s="2">
        <f t="shared" si="6"/>
        <v>4400100</v>
      </c>
      <c r="K78" s="2">
        <v>4166290</v>
      </c>
      <c r="L78" s="2">
        <f t="shared" si="7"/>
        <v>4166290</v>
      </c>
      <c r="M78" s="2">
        <f t="shared" si="7"/>
        <v>4166290</v>
      </c>
      <c r="N78" s="2">
        <f t="shared" si="7"/>
        <v>4166290</v>
      </c>
      <c r="O78" s="2">
        <f t="shared" si="7"/>
        <v>4166290</v>
      </c>
      <c r="P78" s="2">
        <v>3953053</v>
      </c>
    </row>
    <row r="79" spans="1:16">
      <c r="A79" s="84" t="s">
        <v>231</v>
      </c>
      <c r="B79" s="85" t="s">
        <v>230</v>
      </c>
      <c r="C79" s="85" t="s">
        <v>92</v>
      </c>
      <c r="D79" s="84" t="s">
        <v>84</v>
      </c>
      <c r="E79" s="84">
        <f>VLOOKUP(A79,'2a. SI Pop'!$A$5:$E$198,5,FALSE)</f>
        <v>1</v>
      </c>
      <c r="F79" s="2">
        <v>3978769</v>
      </c>
      <c r="G79" s="2">
        <f t="shared" si="6"/>
        <v>3978769</v>
      </c>
      <c r="H79" s="2">
        <f t="shared" si="6"/>
        <v>3978769</v>
      </c>
      <c r="I79" s="2">
        <f t="shared" si="6"/>
        <v>3978769</v>
      </c>
      <c r="J79" s="2">
        <f t="shared" si="6"/>
        <v>3978769</v>
      </c>
      <c r="K79" s="2">
        <v>3887149</v>
      </c>
      <c r="L79" s="2">
        <f t="shared" si="7"/>
        <v>3887149</v>
      </c>
      <c r="M79" s="2">
        <f t="shared" si="7"/>
        <v>3887149</v>
      </c>
      <c r="N79" s="2">
        <f t="shared" si="7"/>
        <v>3887149</v>
      </c>
      <c r="O79" s="2">
        <f t="shared" si="7"/>
        <v>3887149</v>
      </c>
      <c r="P79" s="2">
        <v>3769587</v>
      </c>
    </row>
    <row r="80" spans="1:16">
      <c r="A80" s="84" t="s">
        <v>233</v>
      </c>
      <c r="B80" s="85" t="s">
        <v>232</v>
      </c>
      <c r="C80" s="85" t="s">
        <v>79</v>
      </c>
      <c r="D80" s="84" t="s">
        <v>87</v>
      </c>
      <c r="E80" s="84">
        <f>VLOOKUP(A80,'2a. SI Pop'!$A$5:$E$198,5,FALSE)</f>
        <v>1</v>
      </c>
      <c r="F80" s="2">
        <v>2295773</v>
      </c>
      <c r="G80" s="2">
        <f t="shared" si="6"/>
        <v>2295773</v>
      </c>
      <c r="H80" s="2">
        <f t="shared" si="6"/>
        <v>2295773</v>
      </c>
      <c r="I80" s="2">
        <f t="shared" si="6"/>
        <v>2295773</v>
      </c>
      <c r="J80" s="2">
        <f t="shared" si="6"/>
        <v>2295773</v>
      </c>
      <c r="K80" s="2">
        <v>2085032.0000000002</v>
      </c>
      <c r="L80" s="2">
        <f t="shared" si="7"/>
        <v>2085032.0000000002</v>
      </c>
      <c r="M80" s="2">
        <f t="shared" si="7"/>
        <v>2085032.0000000002</v>
      </c>
      <c r="N80" s="2">
        <f t="shared" si="7"/>
        <v>2085032.0000000002</v>
      </c>
      <c r="O80" s="2">
        <f t="shared" si="7"/>
        <v>2085032.0000000002</v>
      </c>
      <c r="P80" s="2">
        <v>1876802</v>
      </c>
    </row>
    <row r="81" spans="1:16">
      <c r="A81" s="84" t="s">
        <v>235</v>
      </c>
      <c r="B81" s="85" t="s">
        <v>234</v>
      </c>
      <c r="C81" s="85" t="s">
        <v>79</v>
      </c>
      <c r="D81" s="84" t="s">
        <v>87</v>
      </c>
      <c r="E81" s="84">
        <f>VLOOKUP(A81,'2a. SI Pop'!$A$5:$E$198,5,FALSE)</f>
        <v>1</v>
      </c>
      <c r="F81" s="2">
        <v>20331</v>
      </c>
      <c r="G81" s="2">
        <f t="shared" si="6"/>
        <v>20331</v>
      </c>
      <c r="H81" s="2">
        <f t="shared" si="6"/>
        <v>20331</v>
      </c>
      <c r="I81" s="2">
        <f t="shared" si="6"/>
        <v>20331</v>
      </c>
      <c r="J81" s="2">
        <f t="shared" si="6"/>
        <v>20331</v>
      </c>
      <c r="K81" s="2">
        <v>19581</v>
      </c>
      <c r="L81" s="2">
        <f t="shared" si="7"/>
        <v>19581</v>
      </c>
      <c r="M81" s="2">
        <f t="shared" si="7"/>
        <v>19581</v>
      </c>
      <c r="N81" s="2">
        <f t="shared" si="7"/>
        <v>19581</v>
      </c>
      <c r="O81" s="2">
        <f t="shared" si="7"/>
        <v>19581</v>
      </c>
      <c r="P81" s="2">
        <v>18578</v>
      </c>
    </row>
    <row r="82" spans="1:16">
      <c r="A82" s="84" t="s">
        <v>237</v>
      </c>
      <c r="B82" s="85" t="s">
        <v>236</v>
      </c>
      <c r="C82" s="85" t="s">
        <v>110</v>
      </c>
      <c r="D82" s="84" t="s">
        <v>84</v>
      </c>
      <c r="E82" s="84" t="str">
        <f>VLOOKUP(A82,'2a. SI Pop'!$A$5:$E$198,5,FALSE)</f>
        <v>Key</v>
      </c>
      <c r="F82" s="2">
        <v>905643226</v>
      </c>
      <c r="G82" s="2">
        <f t="shared" si="6"/>
        <v>905643226</v>
      </c>
      <c r="H82" s="2">
        <f t="shared" si="6"/>
        <v>905643226</v>
      </c>
      <c r="I82" s="2">
        <f t="shared" si="6"/>
        <v>905643226</v>
      </c>
      <c r="J82" s="2">
        <f t="shared" si="6"/>
        <v>905643226</v>
      </c>
      <c r="K82" s="2">
        <v>889113856</v>
      </c>
      <c r="L82" s="2">
        <f t="shared" si="7"/>
        <v>889113856</v>
      </c>
      <c r="M82" s="2">
        <f t="shared" si="7"/>
        <v>889113856</v>
      </c>
      <c r="N82" s="2">
        <f t="shared" si="7"/>
        <v>889113856</v>
      </c>
      <c r="O82" s="2">
        <f t="shared" si="7"/>
        <v>889113856</v>
      </c>
      <c r="P82" s="2">
        <v>860975207</v>
      </c>
    </row>
    <row r="83" spans="1:16">
      <c r="A83" s="84" t="s">
        <v>239</v>
      </c>
      <c r="B83" s="85" t="s">
        <v>238</v>
      </c>
      <c r="C83" s="85" t="s">
        <v>110</v>
      </c>
      <c r="D83" s="84" t="s">
        <v>80</v>
      </c>
      <c r="E83" s="84" t="str">
        <f>VLOOKUP(A83,'2a. SI Pop'!$A$5:$E$198,5,FALSE)</f>
        <v>Key</v>
      </c>
      <c r="F83" s="2">
        <v>109840049</v>
      </c>
      <c r="G83" s="2">
        <f t="shared" si="6"/>
        <v>109840049</v>
      </c>
      <c r="H83" s="2">
        <f t="shared" si="6"/>
        <v>109840049</v>
      </c>
      <c r="I83" s="2">
        <f t="shared" si="6"/>
        <v>109840049</v>
      </c>
      <c r="J83" s="2">
        <f t="shared" si="6"/>
        <v>109840049</v>
      </c>
      <c r="K83" s="2">
        <v>104696368</v>
      </c>
      <c r="L83" s="2">
        <f t="shared" si="7"/>
        <v>104696368</v>
      </c>
      <c r="M83" s="2">
        <f t="shared" si="7"/>
        <v>104696368</v>
      </c>
      <c r="N83" s="2">
        <f t="shared" si="7"/>
        <v>104696368</v>
      </c>
      <c r="O83" s="2">
        <f t="shared" si="7"/>
        <v>104696368</v>
      </c>
      <c r="P83" s="2">
        <v>99237476</v>
      </c>
    </row>
    <row r="84" spans="1:16">
      <c r="A84" s="84" t="s">
        <v>241</v>
      </c>
      <c r="B84" s="85" t="s">
        <v>240</v>
      </c>
      <c r="C84" s="85" t="s">
        <v>74</v>
      </c>
      <c r="D84" s="84" t="s">
        <v>80</v>
      </c>
      <c r="E84" s="84">
        <f>VLOOKUP(A84,'2a. SI Pop'!$A$5:$E$198,5,FALSE)</f>
        <v>2</v>
      </c>
      <c r="F84" s="2">
        <v>17658399</v>
      </c>
      <c r="G84" s="2">
        <f t="shared" si="6"/>
        <v>17658399</v>
      </c>
      <c r="H84" s="2">
        <f t="shared" si="6"/>
        <v>17658399</v>
      </c>
      <c r="I84" s="2">
        <f t="shared" si="6"/>
        <v>17658399</v>
      </c>
      <c r="J84" s="2">
        <f t="shared" si="6"/>
        <v>17658399</v>
      </c>
      <c r="K84" s="2">
        <v>16386472.000000002</v>
      </c>
      <c r="L84" s="2">
        <f t="shared" si="7"/>
        <v>16386472.000000002</v>
      </c>
      <c r="M84" s="2">
        <f t="shared" si="7"/>
        <v>16386472.000000002</v>
      </c>
      <c r="N84" s="2">
        <f t="shared" si="7"/>
        <v>16386472.000000002</v>
      </c>
      <c r="O84" s="2">
        <f t="shared" si="7"/>
        <v>16386472.000000002</v>
      </c>
      <c r="P84" s="2">
        <v>15233676</v>
      </c>
    </row>
    <row r="85" spans="1:16">
      <c r="A85" s="84" t="s">
        <v>243</v>
      </c>
      <c r="B85" s="85" t="s">
        <v>242</v>
      </c>
      <c r="C85" s="85" t="s">
        <v>74</v>
      </c>
      <c r="D85" s="84" t="s">
        <v>80</v>
      </c>
      <c r="E85" s="84">
        <f>VLOOKUP(A85,'2a. SI Pop'!$A$5:$E$198,5,FALSE)</f>
        <v>2</v>
      </c>
      <c r="F85" s="2">
        <v>14089651</v>
      </c>
      <c r="G85" s="2">
        <f t="shared" ref="G85:J104" si="8">F85</f>
        <v>14089651</v>
      </c>
      <c r="H85" s="2">
        <f t="shared" si="8"/>
        <v>14089651</v>
      </c>
      <c r="I85" s="2">
        <f t="shared" si="8"/>
        <v>14089651</v>
      </c>
      <c r="J85" s="2">
        <f t="shared" si="8"/>
        <v>14089651</v>
      </c>
      <c r="K85" s="2">
        <v>14835794</v>
      </c>
      <c r="L85" s="2">
        <f t="shared" ref="L85:O104" si="9">K85</f>
        <v>14835794</v>
      </c>
      <c r="M85" s="2">
        <f t="shared" si="9"/>
        <v>14835794</v>
      </c>
      <c r="N85" s="2">
        <f t="shared" si="9"/>
        <v>14835794</v>
      </c>
      <c r="O85" s="2">
        <f t="shared" si="9"/>
        <v>14835794</v>
      </c>
      <c r="P85" s="2">
        <v>15369546</v>
      </c>
    </row>
    <row r="86" spans="1:16">
      <c r="A86" s="84" t="s">
        <v>245</v>
      </c>
      <c r="B86" s="85" t="s">
        <v>244</v>
      </c>
      <c r="C86" s="85" t="s">
        <v>79</v>
      </c>
      <c r="D86" s="84" t="s">
        <v>87</v>
      </c>
      <c r="E86" s="84">
        <f>VLOOKUP(A86,'2a. SI Pop'!$A$5:$E$198,5,FALSE)</f>
        <v>1</v>
      </c>
      <c r="F86" s="2">
        <v>1735567</v>
      </c>
      <c r="G86" s="2">
        <f t="shared" si="8"/>
        <v>1735567</v>
      </c>
      <c r="H86" s="2">
        <f t="shared" si="8"/>
        <v>1735567</v>
      </c>
      <c r="I86" s="2">
        <f t="shared" si="8"/>
        <v>1735567</v>
      </c>
      <c r="J86" s="2">
        <f t="shared" si="8"/>
        <v>1735567</v>
      </c>
      <c r="K86" s="2">
        <v>1683515</v>
      </c>
      <c r="L86" s="2">
        <f t="shared" si="9"/>
        <v>1683515</v>
      </c>
      <c r="M86" s="2">
        <f t="shared" si="9"/>
        <v>1683515</v>
      </c>
      <c r="N86" s="2">
        <f t="shared" si="9"/>
        <v>1683515</v>
      </c>
      <c r="O86" s="2">
        <f t="shared" si="9"/>
        <v>1683515</v>
      </c>
      <c r="P86" s="2">
        <v>1615683</v>
      </c>
    </row>
    <row r="87" spans="1:16">
      <c r="A87" s="84" t="s">
        <v>247</v>
      </c>
      <c r="B87" s="85" t="s">
        <v>246</v>
      </c>
      <c r="C87" s="85" t="s">
        <v>79</v>
      </c>
      <c r="D87" s="84" t="s">
        <v>87</v>
      </c>
      <c r="E87" s="84">
        <f>VLOOKUP(A87,'2a. SI Pop'!$A$5:$E$198,5,FALSE)</f>
        <v>1</v>
      </c>
      <c r="F87" s="2">
        <v>646393</v>
      </c>
      <c r="G87" s="2">
        <f t="shared" si="8"/>
        <v>646393</v>
      </c>
      <c r="H87" s="2">
        <f t="shared" si="8"/>
        <v>646393</v>
      </c>
      <c r="I87" s="2">
        <f t="shared" si="8"/>
        <v>646393</v>
      </c>
      <c r="J87" s="2">
        <f t="shared" si="8"/>
        <v>646393</v>
      </c>
      <c r="K87" s="2">
        <v>634177</v>
      </c>
      <c r="L87" s="2">
        <f t="shared" si="9"/>
        <v>634177</v>
      </c>
      <c r="M87" s="2">
        <f t="shared" si="9"/>
        <v>634177</v>
      </c>
      <c r="N87" s="2">
        <f t="shared" si="9"/>
        <v>634177</v>
      </c>
      <c r="O87" s="2">
        <f t="shared" si="9"/>
        <v>634177</v>
      </c>
      <c r="P87" s="2">
        <v>618002</v>
      </c>
    </row>
    <row r="88" spans="1:16">
      <c r="A88" s="84" t="s">
        <v>249</v>
      </c>
      <c r="B88" s="85" t="s">
        <v>248</v>
      </c>
      <c r="C88" s="85" t="s">
        <v>79</v>
      </c>
      <c r="D88" s="84" t="s">
        <v>87</v>
      </c>
      <c r="E88" s="84">
        <f>VLOOKUP(A88,'2a. SI Pop'!$A$5:$E$198,5,FALSE)</f>
        <v>1</v>
      </c>
      <c r="F88" s="2">
        <v>14949083</v>
      </c>
      <c r="G88" s="2">
        <f t="shared" si="8"/>
        <v>14949083</v>
      </c>
      <c r="H88" s="2">
        <f t="shared" si="8"/>
        <v>14949083</v>
      </c>
      <c r="I88" s="2">
        <f t="shared" si="8"/>
        <v>14949083</v>
      </c>
      <c r="J88" s="2">
        <f t="shared" si="8"/>
        <v>14949083</v>
      </c>
      <c r="K88" s="2">
        <v>13812856</v>
      </c>
      <c r="L88" s="2">
        <f t="shared" si="9"/>
        <v>13812856</v>
      </c>
      <c r="M88" s="2">
        <f t="shared" si="9"/>
        <v>13812856</v>
      </c>
      <c r="N88" s="2">
        <f t="shared" si="9"/>
        <v>13812856</v>
      </c>
      <c r="O88" s="2">
        <f t="shared" si="9"/>
        <v>13812856</v>
      </c>
      <c r="P88" s="2">
        <v>12662405</v>
      </c>
    </row>
    <row r="89" spans="1:16">
      <c r="A89" s="84" t="s">
        <v>251</v>
      </c>
      <c r="B89" s="85" t="s">
        <v>250</v>
      </c>
      <c r="C89" s="85" t="s">
        <v>92</v>
      </c>
      <c r="D89" s="84" t="s">
        <v>80</v>
      </c>
      <c r="E89" s="84">
        <f>VLOOKUP(A89,'2a. SI Pop'!$A$5:$E$198,5,FALSE)</f>
        <v>1</v>
      </c>
      <c r="F89" s="2">
        <v>1162820</v>
      </c>
      <c r="G89" s="2">
        <f t="shared" si="8"/>
        <v>1162820</v>
      </c>
      <c r="H89" s="2">
        <f t="shared" si="8"/>
        <v>1162820</v>
      </c>
      <c r="I89" s="2">
        <f t="shared" si="8"/>
        <v>1162820</v>
      </c>
      <c r="J89" s="2">
        <f t="shared" si="8"/>
        <v>1162820</v>
      </c>
      <c r="K89" s="2">
        <v>1081019</v>
      </c>
      <c r="L89" s="2">
        <f t="shared" si="9"/>
        <v>1081019</v>
      </c>
      <c r="M89" s="2">
        <f t="shared" si="9"/>
        <v>1081019</v>
      </c>
      <c r="N89" s="2">
        <f t="shared" si="9"/>
        <v>1081019</v>
      </c>
      <c r="O89" s="2">
        <f t="shared" si="9"/>
        <v>1081019</v>
      </c>
      <c r="P89" s="2">
        <v>987634</v>
      </c>
    </row>
    <row r="90" spans="1:16">
      <c r="A90" s="84" t="s">
        <v>253</v>
      </c>
      <c r="B90" s="85" t="s">
        <v>252</v>
      </c>
      <c r="C90" s="85" t="s">
        <v>99</v>
      </c>
      <c r="D90" s="84" t="s">
        <v>87</v>
      </c>
      <c r="E90" s="84">
        <f>VLOOKUP(A90,'2a. SI Pop'!$A$5:$E$198,5,FALSE)</f>
        <v>4</v>
      </c>
      <c r="F90" s="2">
        <v>8870437</v>
      </c>
      <c r="G90" s="2">
        <f t="shared" si="8"/>
        <v>8870437</v>
      </c>
      <c r="H90" s="2">
        <f t="shared" si="8"/>
        <v>8870437</v>
      </c>
      <c r="I90" s="2">
        <f t="shared" si="8"/>
        <v>8870437</v>
      </c>
      <c r="J90" s="2">
        <f t="shared" si="8"/>
        <v>8870437</v>
      </c>
      <c r="K90" s="2">
        <v>8049672</v>
      </c>
      <c r="L90" s="2">
        <f t="shared" si="9"/>
        <v>8049672</v>
      </c>
      <c r="M90" s="2">
        <f t="shared" si="9"/>
        <v>8049672</v>
      </c>
      <c r="N90" s="2">
        <f t="shared" si="9"/>
        <v>8049672</v>
      </c>
      <c r="O90" s="2">
        <f t="shared" si="9"/>
        <v>8049672</v>
      </c>
      <c r="P90" s="2">
        <v>7230224</v>
      </c>
    </row>
    <row r="91" spans="1:16">
      <c r="A91" s="84" t="s">
        <v>255</v>
      </c>
      <c r="B91" s="85" t="s">
        <v>254</v>
      </c>
      <c r="C91" s="85" t="s">
        <v>74</v>
      </c>
      <c r="D91" s="84" t="s">
        <v>80</v>
      </c>
      <c r="E91" s="84">
        <f>VLOOKUP(A91,'2a. SI Pop'!$A$5:$E$198,5,FALSE)</f>
        <v>2</v>
      </c>
      <c r="F91" s="2">
        <v>757750</v>
      </c>
      <c r="G91" s="2">
        <f t="shared" si="8"/>
        <v>757750</v>
      </c>
      <c r="H91" s="2">
        <f t="shared" si="8"/>
        <v>757750</v>
      </c>
      <c r="I91" s="2">
        <f t="shared" si="8"/>
        <v>757750</v>
      </c>
      <c r="J91" s="2">
        <f t="shared" si="8"/>
        <v>757750</v>
      </c>
      <c r="K91" s="2">
        <v>728086</v>
      </c>
      <c r="L91" s="2">
        <f t="shared" si="9"/>
        <v>728086</v>
      </c>
      <c r="M91" s="2">
        <f t="shared" si="9"/>
        <v>728086</v>
      </c>
      <c r="N91" s="2">
        <f t="shared" si="9"/>
        <v>728086</v>
      </c>
      <c r="O91" s="2">
        <f t="shared" si="9"/>
        <v>728086</v>
      </c>
      <c r="P91" s="2">
        <v>710258</v>
      </c>
    </row>
    <row r="92" spans="1:16">
      <c r="A92" s="84" t="s">
        <v>257</v>
      </c>
      <c r="B92" s="85" t="s">
        <v>256</v>
      </c>
      <c r="C92" s="85" t="s">
        <v>79</v>
      </c>
      <c r="D92" s="84" t="s">
        <v>80</v>
      </c>
      <c r="E92" s="84">
        <f>VLOOKUP(A92,'2a. SI Pop'!$A$5:$E$198,5,FALSE)</f>
        <v>2</v>
      </c>
      <c r="F92" s="2">
        <v>8115565</v>
      </c>
      <c r="G92" s="2">
        <f t="shared" si="8"/>
        <v>8115565</v>
      </c>
      <c r="H92" s="2">
        <f t="shared" si="8"/>
        <v>8115565</v>
      </c>
      <c r="I92" s="2">
        <f t="shared" si="8"/>
        <v>8115565</v>
      </c>
      <c r="J92" s="2">
        <f t="shared" si="8"/>
        <v>8115565</v>
      </c>
      <c r="K92" s="2">
        <v>7987008</v>
      </c>
      <c r="L92" s="2">
        <f t="shared" si="9"/>
        <v>7987008</v>
      </c>
      <c r="M92" s="2">
        <f t="shared" si="9"/>
        <v>7987008</v>
      </c>
      <c r="N92" s="2">
        <f t="shared" si="9"/>
        <v>7987008</v>
      </c>
      <c r="O92" s="2">
        <f t="shared" si="9"/>
        <v>7987008</v>
      </c>
      <c r="P92" s="2">
        <v>7757049</v>
      </c>
    </row>
    <row r="93" spans="1:16">
      <c r="A93" s="84" t="s">
        <v>259</v>
      </c>
      <c r="B93" s="85" t="s">
        <v>258</v>
      </c>
      <c r="C93" s="85" t="s">
        <v>83</v>
      </c>
      <c r="D93" s="84" t="s">
        <v>84</v>
      </c>
      <c r="E93" s="84">
        <f>VLOOKUP(A93,'2a. SI Pop'!$A$5:$E$198,5,FALSE)</f>
        <v>3</v>
      </c>
      <c r="F93" s="2">
        <v>44577009</v>
      </c>
      <c r="G93" s="2">
        <f t="shared" si="8"/>
        <v>44577009</v>
      </c>
      <c r="H93" s="2">
        <f t="shared" si="8"/>
        <v>44577009</v>
      </c>
      <c r="I93" s="2">
        <f t="shared" si="8"/>
        <v>44577009</v>
      </c>
      <c r="J93" s="2">
        <f t="shared" si="8"/>
        <v>44577009</v>
      </c>
      <c r="K93" s="2">
        <v>47060114</v>
      </c>
      <c r="L93" s="2">
        <f t="shared" si="9"/>
        <v>47060114</v>
      </c>
      <c r="M93" s="2">
        <f t="shared" si="9"/>
        <v>47060114</v>
      </c>
      <c r="N93" s="2">
        <f t="shared" si="9"/>
        <v>47060114</v>
      </c>
      <c r="O93" s="2">
        <f t="shared" si="9"/>
        <v>47060114</v>
      </c>
      <c r="P93" s="2">
        <v>49044980</v>
      </c>
    </row>
    <row r="94" spans="1:16">
      <c r="A94" s="84" t="s">
        <v>261</v>
      </c>
      <c r="B94" s="85" t="s">
        <v>260</v>
      </c>
      <c r="C94" s="85" t="s">
        <v>99</v>
      </c>
      <c r="D94" s="84" t="s">
        <v>84</v>
      </c>
      <c r="E94" s="84">
        <f>VLOOKUP(A94,'2a. SI Pop'!$A$5:$E$198,5,FALSE)</f>
        <v>4</v>
      </c>
      <c r="F94" s="2">
        <v>53545</v>
      </c>
      <c r="G94" s="2">
        <f t="shared" si="8"/>
        <v>53545</v>
      </c>
      <c r="H94" s="2">
        <f t="shared" si="8"/>
        <v>53545</v>
      </c>
      <c r="I94" s="2">
        <f t="shared" si="8"/>
        <v>53545</v>
      </c>
      <c r="J94" s="2">
        <f t="shared" si="8"/>
        <v>53545</v>
      </c>
      <c r="K94" s="2">
        <v>52978</v>
      </c>
      <c r="L94" s="2">
        <f t="shared" si="9"/>
        <v>52978</v>
      </c>
      <c r="M94" s="2">
        <f t="shared" si="9"/>
        <v>52978</v>
      </c>
      <c r="N94" s="2">
        <f t="shared" si="9"/>
        <v>52978</v>
      </c>
      <c r="O94" s="2">
        <f t="shared" si="9"/>
        <v>52978</v>
      </c>
      <c r="P94" s="2">
        <v>52718</v>
      </c>
    </row>
    <row r="95" spans="1:16">
      <c r="A95" s="84" t="s">
        <v>263</v>
      </c>
      <c r="B95" s="85" t="s">
        <v>262</v>
      </c>
      <c r="C95" s="85" t="s">
        <v>99</v>
      </c>
      <c r="D95" s="84" t="s">
        <v>87</v>
      </c>
      <c r="E95" s="84">
        <f>VLOOKUP(A95,'2a. SI Pop'!$A$5:$E$198,5,FALSE)</f>
        <v>1</v>
      </c>
      <c r="F95" s="2">
        <v>9460382</v>
      </c>
      <c r="G95" s="2">
        <f t="shared" si="8"/>
        <v>9460382</v>
      </c>
      <c r="H95" s="2">
        <f t="shared" si="8"/>
        <v>9460382</v>
      </c>
      <c r="I95" s="2">
        <f t="shared" si="8"/>
        <v>9460382</v>
      </c>
      <c r="J95" s="2">
        <f t="shared" si="8"/>
        <v>9460382</v>
      </c>
      <c r="K95" s="2">
        <v>9044225</v>
      </c>
      <c r="L95" s="2">
        <f t="shared" si="9"/>
        <v>9044225</v>
      </c>
      <c r="M95" s="2">
        <f t="shared" si="9"/>
        <v>9044225</v>
      </c>
      <c r="N95" s="2">
        <f t="shared" si="9"/>
        <v>9044225</v>
      </c>
      <c r="O95" s="2">
        <f t="shared" si="9"/>
        <v>9044225</v>
      </c>
      <c r="P95" s="2">
        <v>8394790</v>
      </c>
    </row>
    <row r="96" spans="1:16">
      <c r="A96" s="84" t="s">
        <v>265</v>
      </c>
      <c r="B96" s="85" t="s">
        <v>264</v>
      </c>
      <c r="C96" s="85" t="s">
        <v>74</v>
      </c>
      <c r="D96" s="84" t="s">
        <v>87</v>
      </c>
      <c r="E96" s="84">
        <f>VLOOKUP(A96,'2a. SI Pop'!$A$5:$E$198,5,FALSE)</f>
        <v>1</v>
      </c>
      <c r="F96" s="2">
        <v>0</v>
      </c>
      <c r="G96" s="2">
        <f t="shared" si="8"/>
        <v>0</v>
      </c>
      <c r="H96" s="2">
        <f t="shared" si="8"/>
        <v>0</v>
      </c>
      <c r="I96" s="2">
        <f t="shared" si="8"/>
        <v>0</v>
      </c>
      <c r="J96" s="2">
        <f t="shared" si="8"/>
        <v>0</v>
      </c>
      <c r="K96" s="2">
        <v>0</v>
      </c>
      <c r="L96" s="2">
        <f t="shared" si="9"/>
        <v>0</v>
      </c>
      <c r="M96" s="2">
        <f t="shared" si="9"/>
        <v>0</v>
      </c>
      <c r="N96" s="2">
        <f t="shared" si="9"/>
        <v>0</v>
      </c>
      <c r="O96" s="2">
        <f t="shared" si="9"/>
        <v>0</v>
      </c>
      <c r="P96" s="2">
        <v>0</v>
      </c>
    </row>
    <row r="97" spans="1:16">
      <c r="A97" s="84" t="s">
        <v>267</v>
      </c>
      <c r="B97" s="85" t="s">
        <v>266</v>
      </c>
      <c r="C97" s="85" t="s">
        <v>79</v>
      </c>
      <c r="D97" s="84" t="s">
        <v>84</v>
      </c>
      <c r="E97" s="84">
        <f>VLOOKUP(A97,'2a. SI Pop'!$A$5:$E$198,5,FALSE)</f>
        <v>1</v>
      </c>
      <c r="F97" s="2">
        <v>4135782</v>
      </c>
      <c r="G97" s="2">
        <f t="shared" si="8"/>
        <v>4135782</v>
      </c>
      <c r="H97" s="2">
        <f t="shared" si="8"/>
        <v>4135782</v>
      </c>
      <c r="I97" s="2">
        <f t="shared" si="8"/>
        <v>4135782</v>
      </c>
      <c r="J97" s="2">
        <f t="shared" si="8"/>
        <v>4135782</v>
      </c>
      <c r="K97" s="2">
        <v>4098892</v>
      </c>
      <c r="L97" s="2">
        <f t="shared" si="9"/>
        <v>4098892</v>
      </c>
      <c r="M97" s="2">
        <f t="shared" si="9"/>
        <v>4098892</v>
      </c>
      <c r="N97" s="2">
        <f t="shared" si="9"/>
        <v>4098892</v>
      </c>
      <c r="O97" s="2">
        <f t="shared" si="9"/>
        <v>4098892</v>
      </c>
      <c r="P97" s="2">
        <v>4020142</v>
      </c>
    </row>
    <row r="98" spans="1:16">
      <c r="A98" s="84" t="s">
        <v>269</v>
      </c>
      <c r="B98" s="85" t="s">
        <v>268</v>
      </c>
      <c r="C98" s="85" t="s">
        <v>99</v>
      </c>
      <c r="D98" s="84" t="s">
        <v>84</v>
      </c>
      <c r="E98" s="84">
        <f>VLOOKUP(A98,'2a. SI Pop'!$A$5:$E$198,5,FALSE)</f>
        <v>4</v>
      </c>
      <c r="F98" s="2">
        <v>4596522</v>
      </c>
      <c r="G98" s="2">
        <f t="shared" si="8"/>
        <v>4596522</v>
      </c>
      <c r="H98" s="2">
        <f t="shared" si="8"/>
        <v>4596522</v>
      </c>
      <c r="I98" s="2">
        <f t="shared" si="8"/>
        <v>4596522</v>
      </c>
      <c r="J98" s="2">
        <f t="shared" si="8"/>
        <v>4596522</v>
      </c>
      <c r="K98" s="2">
        <v>4527436</v>
      </c>
      <c r="L98" s="2">
        <f t="shared" si="9"/>
        <v>4527436</v>
      </c>
      <c r="M98" s="2">
        <f t="shared" si="9"/>
        <v>4527436</v>
      </c>
      <c r="N98" s="2">
        <f t="shared" si="9"/>
        <v>4527436</v>
      </c>
      <c r="O98" s="2">
        <f t="shared" si="9"/>
        <v>4527436</v>
      </c>
      <c r="P98" s="2">
        <v>4412957</v>
      </c>
    </row>
    <row r="99" spans="1:16">
      <c r="A99" s="84" t="s">
        <v>271</v>
      </c>
      <c r="B99" s="85" t="s">
        <v>270</v>
      </c>
      <c r="C99" s="85" t="s">
        <v>79</v>
      </c>
      <c r="D99" s="84" t="s">
        <v>87</v>
      </c>
      <c r="E99" s="84">
        <f>VLOOKUP(A99,'2a. SI Pop'!$A$5:$E$198,5,FALSE)</f>
        <v>1</v>
      </c>
      <c r="F99" s="2">
        <v>525209</v>
      </c>
      <c r="G99" s="2">
        <f t="shared" si="8"/>
        <v>525209</v>
      </c>
      <c r="H99" s="2">
        <f t="shared" si="8"/>
        <v>525209</v>
      </c>
      <c r="I99" s="2">
        <f t="shared" si="8"/>
        <v>525209</v>
      </c>
      <c r="J99" s="2">
        <f t="shared" si="8"/>
        <v>525209</v>
      </c>
      <c r="K99" s="2">
        <v>484405</v>
      </c>
      <c r="L99" s="2">
        <f t="shared" si="9"/>
        <v>484405</v>
      </c>
      <c r="M99" s="2">
        <f t="shared" si="9"/>
        <v>484405</v>
      </c>
      <c r="N99" s="2">
        <f t="shared" si="9"/>
        <v>484405</v>
      </c>
      <c r="O99" s="2">
        <f t="shared" si="9"/>
        <v>484405</v>
      </c>
      <c r="P99" s="2">
        <v>442661</v>
      </c>
    </row>
    <row r="100" spans="1:16">
      <c r="A100" s="84" t="s">
        <v>273</v>
      </c>
      <c r="B100" s="85" t="s">
        <v>272</v>
      </c>
      <c r="C100" s="85" t="s">
        <v>74</v>
      </c>
      <c r="D100" s="84" t="s">
        <v>80</v>
      </c>
      <c r="E100" s="84">
        <f>VLOOKUP(A100,'2a. SI Pop'!$A$5:$E$198,5,FALSE)</f>
        <v>2</v>
      </c>
      <c r="F100" s="2">
        <v>504425</v>
      </c>
      <c r="G100" s="2">
        <f t="shared" si="8"/>
        <v>504425</v>
      </c>
      <c r="H100" s="2">
        <f t="shared" si="8"/>
        <v>504425</v>
      </c>
      <c r="I100" s="2">
        <f t="shared" si="8"/>
        <v>504425</v>
      </c>
      <c r="J100" s="2">
        <f t="shared" si="8"/>
        <v>504425</v>
      </c>
      <c r="K100" s="2">
        <v>460241</v>
      </c>
      <c r="L100" s="2">
        <f t="shared" si="9"/>
        <v>460241</v>
      </c>
      <c r="M100" s="2">
        <f t="shared" si="9"/>
        <v>460241</v>
      </c>
      <c r="N100" s="2">
        <f t="shared" si="9"/>
        <v>460241</v>
      </c>
      <c r="O100" s="2">
        <f t="shared" si="9"/>
        <v>460241</v>
      </c>
      <c r="P100" s="2">
        <v>426740</v>
      </c>
    </row>
    <row r="101" spans="1:16">
      <c r="A101" s="84" t="s">
        <v>275</v>
      </c>
      <c r="B101" s="85" t="s">
        <v>274</v>
      </c>
      <c r="C101" s="85" t="s">
        <v>83</v>
      </c>
      <c r="D101" s="84" t="s">
        <v>84</v>
      </c>
      <c r="E101" s="84">
        <f>VLOOKUP(A101,'2a. SI Pop'!$A$5:$E$198,5,FALSE)</f>
        <v>3</v>
      </c>
      <c r="F101" s="2">
        <v>1721238</v>
      </c>
      <c r="G101" s="2">
        <f t="shared" si="8"/>
        <v>1721238</v>
      </c>
      <c r="H101" s="2">
        <f t="shared" si="8"/>
        <v>1721238</v>
      </c>
      <c r="I101" s="2">
        <f t="shared" si="8"/>
        <v>1721238</v>
      </c>
      <c r="J101" s="2">
        <f t="shared" si="8"/>
        <v>1721238</v>
      </c>
      <c r="K101" s="2">
        <v>1738245</v>
      </c>
      <c r="L101" s="2">
        <f t="shared" si="9"/>
        <v>1738245</v>
      </c>
      <c r="M101" s="2">
        <f t="shared" si="9"/>
        <v>1738245</v>
      </c>
      <c r="N101" s="2">
        <f t="shared" si="9"/>
        <v>1738245</v>
      </c>
      <c r="O101" s="2">
        <f t="shared" si="9"/>
        <v>1738245</v>
      </c>
      <c r="P101" s="2">
        <v>1743998</v>
      </c>
    </row>
    <row r="102" spans="1:16">
      <c r="A102" s="84" t="s">
        <v>277</v>
      </c>
      <c r="B102" s="85" t="s">
        <v>276</v>
      </c>
      <c r="C102" s="85" t="s">
        <v>83</v>
      </c>
      <c r="D102" s="84" t="s">
        <v>75</v>
      </c>
      <c r="E102" s="84">
        <f>VLOOKUP(A102,'2a. SI Pop'!$A$5:$E$198,5,FALSE)</f>
        <v>3</v>
      </c>
      <c r="F102" s="2">
        <v>2773510</v>
      </c>
      <c r="G102" s="2">
        <f t="shared" si="8"/>
        <v>2773510</v>
      </c>
      <c r="H102" s="2">
        <f t="shared" si="8"/>
        <v>2773510</v>
      </c>
      <c r="I102" s="2">
        <f t="shared" si="8"/>
        <v>2773510</v>
      </c>
      <c r="J102" s="2">
        <f t="shared" si="8"/>
        <v>2773510</v>
      </c>
      <c r="K102" s="2">
        <v>2899567</v>
      </c>
      <c r="L102" s="2">
        <f t="shared" si="9"/>
        <v>2899567</v>
      </c>
      <c r="M102" s="2">
        <f t="shared" si="9"/>
        <v>2899567</v>
      </c>
      <c r="N102" s="2">
        <f t="shared" si="9"/>
        <v>2899567</v>
      </c>
      <c r="O102" s="2">
        <f t="shared" si="9"/>
        <v>2899567</v>
      </c>
      <c r="P102" s="2">
        <v>2999430</v>
      </c>
    </row>
    <row r="103" spans="1:16">
      <c r="A103" s="84" t="s">
        <v>279</v>
      </c>
      <c r="B103" s="85" t="s">
        <v>278</v>
      </c>
      <c r="C103" s="85" t="s">
        <v>74</v>
      </c>
      <c r="D103" s="84" t="s">
        <v>80</v>
      </c>
      <c r="E103" s="84">
        <f>VLOOKUP(A103,'2a. SI Pop'!$A$5:$E$198,5,FALSE)</f>
        <v>2</v>
      </c>
      <c r="F103" s="2">
        <v>1201880</v>
      </c>
      <c r="G103" s="2">
        <f t="shared" si="8"/>
        <v>1201880</v>
      </c>
      <c r="H103" s="2">
        <f t="shared" si="8"/>
        <v>1201880</v>
      </c>
      <c r="I103" s="2">
        <f t="shared" si="8"/>
        <v>1201880</v>
      </c>
      <c r="J103" s="2">
        <f t="shared" si="8"/>
        <v>1201880</v>
      </c>
      <c r="K103" s="2">
        <v>1143269</v>
      </c>
      <c r="L103" s="2">
        <f t="shared" si="9"/>
        <v>1143269</v>
      </c>
      <c r="M103" s="2">
        <f t="shared" si="9"/>
        <v>1143269</v>
      </c>
      <c r="N103" s="2">
        <f t="shared" si="9"/>
        <v>1143269</v>
      </c>
      <c r="O103" s="2">
        <f t="shared" si="9"/>
        <v>1143269</v>
      </c>
      <c r="P103" s="2">
        <v>1079321</v>
      </c>
    </row>
    <row r="104" spans="1:16">
      <c r="A104" s="84" t="s">
        <v>281</v>
      </c>
      <c r="B104" s="85" t="s">
        <v>280</v>
      </c>
      <c r="C104" s="85" t="s">
        <v>79</v>
      </c>
      <c r="D104" s="84" t="s">
        <v>87</v>
      </c>
      <c r="E104" s="84">
        <f>VLOOKUP(A104,'2a. SI Pop'!$A$5:$E$198,5,FALSE)</f>
        <v>1</v>
      </c>
      <c r="F104" s="2">
        <v>797984</v>
      </c>
      <c r="G104" s="2">
        <f t="shared" si="8"/>
        <v>797984</v>
      </c>
      <c r="H104" s="2">
        <f t="shared" si="8"/>
        <v>797984</v>
      </c>
      <c r="I104" s="2">
        <f t="shared" si="8"/>
        <v>797984</v>
      </c>
      <c r="J104" s="2">
        <f t="shared" si="8"/>
        <v>797984</v>
      </c>
      <c r="K104" s="2">
        <v>729682</v>
      </c>
      <c r="L104" s="2">
        <f t="shared" si="9"/>
        <v>729682</v>
      </c>
      <c r="M104" s="2">
        <f t="shared" si="9"/>
        <v>729682</v>
      </c>
      <c r="N104" s="2">
        <f t="shared" si="9"/>
        <v>729682</v>
      </c>
      <c r="O104" s="2">
        <f t="shared" si="9"/>
        <v>729682</v>
      </c>
      <c r="P104" s="2">
        <v>658084</v>
      </c>
    </row>
    <row r="105" spans="1:16">
      <c r="A105" s="84" t="s">
        <v>283</v>
      </c>
      <c r="B105" s="85" t="s">
        <v>282</v>
      </c>
      <c r="C105" s="85" t="s">
        <v>79</v>
      </c>
      <c r="D105" s="84" t="s">
        <v>87</v>
      </c>
      <c r="E105" s="84">
        <f>VLOOKUP(A105,'2a. SI Pop'!$A$5:$E$198,5,FALSE)</f>
        <v>1</v>
      </c>
      <c r="F105" s="2">
        <v>45818</v>
      </c>
      <c r="G105" s="2">
        <f t="shared" ref="G105:J124" si="10">F105</f>
        <v>45818</v>
      </c>
      <c r="H105" s="2">
        <f t="shared" si="10"/>
        <v>45818</v>
      </c>
      <c r="I105" s="2">
        <f t="shared" si="10"/>
        <v>45818</v>
      </c>
      <c r="J105" s="2">
        <f t="shared" si="10"/>
        <v>45818</v>
      </c>
      <c r="K105" s="2">
        <v>43900</v>
      </c>
      <c r="L105" s="2">
        <f t="shared" ref="L105:O124" si="11">K105</f>
        <v>43900</v>
      </c>
      <c r="M105" s="2">
        <f t="shared" si="11"/>
        <v>43900</v>
      </c>
      <c r="N105" s="2">
        <f t="shared" si="11"/>
        <v>43900</v>
      </c>
      <c r="O105" s="2">
        <f t="shared" si="11"/>
        <v>43900</v>
      </c>
      <c r="P105" s="2">
        <v>42447</v>
      </c>
    </row>
    <row r="106" spans="1:16">
      <c r="A106" s="84" t="s">
        <v>285</v>
      </c>
      <c r="B106" s="92" t="s">
        <v>485</v>
      </c>
      <c r="C106" s="85" t="s">
        <v>79</v>
      </c>
      <c r="D106" s="84" t="s">
        <v>80</v>
      </c>
      <c r="E106" s="84">
        <f>VLOOKUP(A106,'2a. SI Pop'!$A$5:$E$198,5,FALSE)</f>
        <v>1</v>
      </c>
      <c r="F106" s="2">
        <v>773466</v>
      </c>
      <c r="G106" s="2">
        <f t="shared" si="10"/>
        <v>773466</v>
      </c>
      <c r="H106" s="2">
        <f t="shared" si="10"/>
        <v>773466</v>
      </c>
      <c r="I106" s="2">
        <f t="shared" si="10"/>
        <v>773466</v>
      </c>
      <c r="J106" s="2">
        <f t="shared" si="10"/>
        <v>773466</v>
      </c>
      <c r="K106" s="2">
        <v>709620</v>
      </c>
      <c r="L106" s="2">
        <f t="shared" si="11"/>
        <v>709620</v>
      </c>
      <c r="M106" s="2">
        <f t="shared" si="11"/>
        <v>709620</v>
      </c>
      <c r="N106" s="2">
        <f t="shared" si="11"/>
        <v>709620</v>
      </c>
      <c r="O106" s="2">
        <f t="shared" si="11"/>
        <v>709620</v>
      </c>
      <c r="P106" s="2">
        <v>645644</v>
      </c>
    </row>
    <row r="107" spans="1:16">
      <c r="A107" s="84" t="s">
        <v>287</v>
      </c>
      <c r="B107" s="85" t="s">
        <v>286</v>
      </c>
      <c r="C107" s="85" t="s">
        <v>83</v>
      </c>
      <c r="D107" s="84" t="s">
        <v>75</v>
      </c>
      <c r="E107" s="84">
        <f>VLOOKUP(A107,'2a. SI Pop'!$A$5:$E$198,5,FALSE)</f>
        <v>3</v>
      </c>
      <c r="F107" s="2">
        <v>19490283</v>
      </c>
      <c r="G107" s="2">
        <f t="shared" si="10"/>
        <v>19490283</v>
      </c>
      <c r="H107" s="2">
        <f t="shared" si="10"/>
        <v>19490283</v>
      </c>
      <c r="I107" s="2">
        <f t="shared" si="10"/>
        <v>19490283</v>
      </c>
      <c r="J107" s="2">
        <f t="shared" si="10"/>
        <v>19490283</v>
      </c>
      <c r="K107" s="2">
        <v>20563630</v>
      </c>
      <c r="L107" s="2">
        <f t="shared" si="11"/>
        <v>20563630</v>
      </c>
      <c r="M107" s="2">
        <f t="shared" si="11"/>
        <v>20563630</v>
      </c>
      <c r="N107" s="2">
        <f t="shared" si="11"/>
        <v>20563630</v>
      </c>
      <c r="O107" s="2">
        <f t="shared" si="11"/>
        <v>20563630</v>
      </c>
      <c r="P107" s="2">
        <v>21462488</v>
      </c>
    </row>
    <row r="108" spans="1:16">
      <c r="A108" s="84" t="s">
        <v>289</v>
      </c>
      <c r="B108" s="85" t="s">
        <v>288</v>
      </c>
      <c r="C108" s="85" t="s">
        <v>83</v>
      </c>
      <c r="D108" s="84" t="s">
        <v>75</v>
      </c>
      <c r="E108" s="84">
        <f>VLOOKUP(A108,'2a. SI Pop'!$A$5:$E$198,5,FALSE)</f>
        <v>3</v>
      </c>
      <c r="F108" s="2">
        <v>21027123</v>
      </c>
      <c r="G108" s="2">
        <f t="shared" si="10"/>
        <v>21027123</v>
      </c>
      <c r="H108" s="2">
        <f t="shared" si="10"/>
        <v>21027123</v>
      </c>
      <c r="I108" s="2">
        <f t="shared" si="10"/>
        <v>21027123</v>
      </c>
      <c r="J108" s="2">
        <f t="shared" si="10"/>
        <v>21027123</v>
      </c>
      <c r="K108" s="2">
        <v>23088127</v>
      </c>
      <c r="L108" s="2">
        <f t="shared" si="11"/>
        <v>23088127</v>
      </c>
      <c r="M108" s="2">
        <f t="shared" si="11"/>
        <v>23088127</v>
      </c>
      <c r="N108" s="2">
        <f t="shared" si="11"/>
        <v>23088127</v>
      </c>
      <c r="O108" s="2">
        <f t="shared" si="11"/>
        <v>23088127</v>
      </c>
      <c r="P108" s="2">
        <v>25028032</v>
      </c>
    </row>
    <row r="109" spans="1:16">
      <c r="A109" s="84" t="s">
        <v>291</v>
      </c>
      <c r="B109" s="85" t="s">
        <v>290</v>
      </c>
      <c r="C109" s="85" t="s">
        <v>99</v>
      </c>
      <c r="D109" s="84" t="s">
        <v>80</v>
      </c>
      <c r="E109" s="84">
        <f>VLOOKUP(A109,'2a. SI Pop'!$A$5:$E$198,5,FALSE)</f>
        <v>2</v>
      </c>
      <c r="F109" s="2">
        <v>6705536</v>
      </c>
      <c r="G109" s="2">
        <f t="shared" si="10"/>
        <v>6705536</v>
      </c>
      <c r="H109" s="2">
        <f t="shared" si="10"/>
        <v>6705536</v>
      </c>
      <c r="I109" s="2">
        <f t="shared" si="10"/>
        <v>6705536</v>
      </c>
      <c r="J109" s="2">
        <f t="shared" si="10"/>
        <v>6705536</v>
      </c>
      <c r="K109" s="2">
        <v>6314040</v>
      </c>
      <c r="L109" s="2">
        <f t="shared" si="11"/>
        <v>6314040</v>
      </c>
      <c r="M109" s="2">
        <f t="shared" si="11"/>
        <v>6314040</v>
      </c>
      <c r="N109" s="2">
        <f t="shared" si="11"/>
        <v>6314040</v>
      </c>
      <c r="O109" s="2">
        <f t="shared" si="11"/>
        <v>6314040</v>
      </c>
      <c r="P109" s="2">
        <v>5951149</v>
      </c>
    </row>
    <row r="110" spans="1:16">
      <c r="A110" s="84" t="s">
        <v>293</v>
      </c>
      <c r="B110" s="85" t="s">
        <v>292</v>
      </c>
      <c r="C110" s="85" t="s">
        <v>110</v>
      </c>
      <c r="D110" s="84" t="s">
        <v>80</v>
      </c>
      <c r="E110" s="84">
        <f>VLOOKUP(A110,'2a. SI Pop'!$A$5:$E$198,5,FALSE)</f>
        <v>2</v>
      </c>
      <c r="F110" s="2">
        <v>281235</v>
      </c>
      <c r="G110" s="2">
        <f t="shared" si="10"/>
        <v>281235</v>
      </c>
      <c r="H110" s="2">
        <f t="shared" si="10"/>
        <v>281235</v>
      </c>
      <c r="I110" s="2">
        <f t="shared" si="10"/>
        <v>281235</v>
      </c>
      <c r="J110" s="2">
        <f t="shared" si="10"/>
        <v>281235</v>
      </c>
      <c r="K110" s="2">
        <v>279489</v>
      </c>
      <c r="L110" s="2">
        <f t="shared" si="11"/>
        <v>279489</v>
      </c>
      <c r="M110" s="2">
        <f t="shared" si="11"/>
        <v>279489</v>
      </c>
      <c r="N110" s="2">
        <f t="shared" si="11"/>
        <v>279489</v>
      </c>
      <c r="O110" s="2">
        <f t="shared" si="11"/>
        <v>279489</v>
      </c>
      <c r="P110" s="2">
        <v>276374</v>
      </c>
    </row>
    <row r="111" spans="1:16">
      <c r="A111" s="84" t="s">
        <v>295</v>
      </c>
      <c r="B111" s="85" t="s">
        <v>294</v>
      </c>
      <c r="C111" s="85" t="s">
        <v>83</v>
      </c>
      <c r="D111" s="84" t="s">
        <v>75</v>
      </c>
      <c r="E111" s="84">
        <f>VLOOKUP(A111,'2a. SI Pop'!$A$5:$E$198,5,FALSE)</f>
        <v>3</v>
      </c>
      <c r="F111" s="2">
        <v>13207262</v>
      </c>
      <c r="G111" s="2">
        <f t="shared" si="10"/>
        <v>13207262</v>
      </c>
      <c r="H111" s="2">
        <f t="shared" si="10"/>
        <v>13207262</v>
      </c>
      <c r="I111" s="2">
        <f t="shared" si="10"/>
        <v>13207262</v>
      </c>
      <c r="J111" s="2">
        <f t="shared" si="10"/>
        <v>13207262</v>
      </c>
      <c r="K111" s="2">
        <v>14136787</v>
      </c>
      <c r="L111" s="2">
        <f t="shared" si="11"/>
        <v>14136787</v>
      </c>
      <c r="M111" s="2">
        <f t="shared" si="11"/>
        <v>14136787</v>
      </c>
      <c r="N111" s="2">
        <f t="shared" si="11"/>
        <v>14136787</v>
      </c>
      <c r="O111" s="2">
        <f t="shared" si="11"/>
        <v>14136787</v>
      </c>
      <c r="P111" s="2">
        <v>14991619</v>
      </c>
    </row>
    <row r="112" spans="1:16">
      <c r="A112" s="84" t="s">
        <v>297</v>
      </c>
      <c r="B112" s="85" t="s">
        <v>296</v>
      </c>
      <c r="C112" s="85" t="s">
        <v>79</v>
      </c>
      <c r="D112" s="84" t="s">
        <v>87</v>
      </c>
      <c r="E112" s="84">
        <f>VLOOKUP(A112,'2a. SI Pop'!$A$5:$E$198,5,FALSE)</f>
        <v>1</v>
      </c>
      <c r="F112" s="2">
        <v>20263</v>
      </c>
      <c r="G112" s="2">
        <f t="shared" si="10"/>
        <v>20263</v>
      </c>
      <c r="H112" s="2">
        <f t="shared" si="10"/>
        <v>20263</v>
      </c>
      <c r="I112" s="2">
        <f t="shared" si="10"/>
        <v>20263</v>
      </c>
      <c r="J112" s="2">
        <f t="shared" si="10"/>
        <v>20263</v>
      </c>
      <c r="K112" s="2">
        <v>18731</v>
      </c>
      <c r="L112" s="2">
        <f t="shared" si="11"/>
        <v>18731</v>
      </c>
      <c r="M112" s="2">
        <f t="shared" si="11"/>
        <v>18731</v>
      </c>
      <c r="N112" s="2">
        <f t="shared" si="11"/>
        <v>18731</v>
      </c>
      <c r="O112" s="2">
        <f t="shared" si="11"/>
        <v>18731</v>
      </c>
      <c r="P112" s="2">
        <v>17165</v>
      </c>
    </row>
    <row r="113" spans="1:16">
      <c r="A113" s="84" t="s">
        <v>299</v>
      </c>
      <c r="B113" s="85" t="s">
        <v>298</v>
      </c>
      <c r="C113" s="85" t="s">
        <v>99</v>
      </c>
      <c r="D113" s="84" t="s">
        <v>80</v>
      </c>
      <c r="E113" s="84">
        <f>VLOOKUP(A113,'2a. SI Pop'!$A$5:$E$198,5,FALSE)</f>
        <v>1</v>
      </c>
      <c r="F113" s="2">
        <v>10534</v>
      </c>
      <c r="G113" s="2">
        <f t="shared" si="10"/>
        <v>10534</v>
      </c>
      <c r="H113" s="2">
        <f t="shared" si="10"/>
        <v>10534</v>
      </c>
      <c r="I113" s="2">
        <f t="shared" si="10"/>
        <v>10534</v>
      </c>
      <c r="J113" s="2">
        <f t="shared" si="10"/>
        <v>10534</v>
      </c>
      <c r="K113" s="2">
        <v>10316</v>
      </c>
      <c r="L113" s="2">
        <f t="shared" si="11"/>
        <v>10316</v>
      </c>
      <c r="M113" s="2">
        <f t="shared" si="11"/>
        <v>10316</v>
      </c>
      <c r="N113" s="2">
        <f t="shared" si="11"/>
        <v>10316</v>
      </c>
      <c r="O113" s="2">
        <f t="shared" si="11"/>
        <v>10316</v>
      </c>
      <c r="P113" s="2">
        <v>10168</v>
      </c>
    </row>
    <row r="114" spans="1:16">
      <c r="A114" s="84" t="s">
        <v>301</v>
      </c>
      <c r="B114" s="85" t="s">
        <v>300</v>
      </c>
      <c r="C114" s="85" t="s">
        <v>83</v>
      </c>
      <c r="D114" s="84" t="s">
        <v>84</v>
      </c>
      <c r="E114" s="84">
        <f>VLOOKUP(A114,'2a. SI Pop'!$A$5:$E$198,5,FALSE)</f>
        <v>3</v>
      </c>
      <c r="F114" s="2">
        <v>2268901</v>
      </c>
      <c r="G114" s="2">
        <f t="shared" si="10"/>
        <v>2268901</v>
      </c>
      <c r="H114" s="2">
        <f t="shared" si="10"/>
        <v>2268901</v>
      </c>
      <c r="I114" s="2">
        <f t="shared" si="10"/>
        <v>2268901</v>
      </c>
      <c r="J114" s="2">
        <f t="shared" si="10"/>
        <v>2268901</v>
      </c>
      <c r="K114" s="2">
        <v>2322216</v>
      </c>
      <c r="L114" s="2">
        <f t="shared" si="11"/>
        <v>2322216</v>
      </c>
      <c r="M114" s="2">
        <f t="shared" si="11"/>
        <v>2322216</v>
      </c>
      <c r="N114" s="2">
        <f t="shared" si="11"/>
        <v>2322216</v>
      </c>
      <c r="O114" s="2">
        <f t="shared" si="11"/>
        <v>2322216</v>
      </c>
      <c r="P114" s="2">
        <v>2376561</v>
      </c>
    </row>
    <row r="115" spans="1:16">
      <c r="A115" s="84" t="s">
        <v>303</v>
      </c>
      <c r="B115" s="85" t="s">
        <v>302</v>
      </c>
      <c r="C115" s="85" t="s">
        <v>83</v>
      </c>
      <c r="D115" s="84" t="s">
        <v>87</v>
      </c>
      <c r="E115" s="84">
        <f>VLOOKUP(A115,'2a. SI Pop'!$A$5:$E$198,5,FALSE)</f>
        <v>1</v>
      </c>
      <c r="F115" s="2">
        <v>748346</v>
      </c>
      <c r="G115" s="2">
        <f t="shared" si="10"/>
        <v>748346</v>
      </c>
      <c r="H115" s="2">
        <f t="shared" si="10"/>
        <v>748346</v>
      </c>
      <c r="I115" s="2">
        <f t="shared" si="10"/>
        <v>748346</v>
      </c>
      <c r="J115" s="2">
        <f t="shared" si="10"/>
        <v>748346</v>
      </c>
      <c r="K115" s="2">
        <v>728698</v>
      </c>
      <c r="L115" s="2">
        <f t="shared" si="11"/>
        <v>728698</v>
      </c>
      <c r="M115" s="2">
        <f t="shared" si="11"/>
        <v>728698</v>
      </c>
      <c r="N115" s="2">
        <f t="shared" si="11"/>
        <v>728698</v>
      </c>
      <c r="O115" s="2">
        <f t="shared" si="11"/>
        <v>728698</v>
      </c>
      <c r="P115" s="2">
        <v>697188</v>
      </c>
    </row>
    <row r="116" spans="1:16">
      <c r="A116" s="84" t="s">
        <v>305</v>
      </c>
      <c r="B116" s="85" t="s">
        <v>304</v>
      </c>
      <c r="C116" s="85" t="s">
        <v>92</v>
      </c>
      <c r="D116" s="84" t="s">
        <v>80</v>
      </c>
      <c r="E116" s="84">
        <f>VLOOKUP(A116,'2a. SI Pop'!$A$5:$E$198,5,FALSE)</f>
        <v>2</v>
      </c>
      <c r="F116" s="2">
        <v>24342262</v>
      </c>
      <c r="G116" s="2">
        <f t="shared" si="10"/>
        <v>24342262</v>
      </c>
      <c r="H116" s="2">
        <f t="shared" si="10"/>
        <v>24342262</v>
      </c>
      <c r="I116" s="2">
        <f t="shared" si="10"/>
        <v>24342262</v>
      </c>
      <c r="J116" s="2">
        <f t="shared" si="10"/>
        <v>24342262</v>
      </c>
      <c r="K116" s="2">
        <v>23266104</v>
      </c>
      <c r="L116" s="2">
        <f t="shared" si="11"/>
        <v>23266104</v>
      </c>
      <c r="M116" s="2">
        <f t="shared" si="11"/>
        <v>23266104</v>
      </c>
      <c r="N116" s="2">
        <f t="shared" si="11"/>
        <v>23266104</v>
      </c>
      <c r="O116" s="2">
        <f t="shared" si="11"/>
        <v>23266104</v>
      </c>
      <c r="P116" s="2">
        <v>22048839</v>
      </c>
    </row>
    <row r="117" spans="1:16">
      <c r="A117" s="84" t="s">
        <v>307</v>
      </c>
      <c r="B117" s="85" t="s">
        <v>306</v>
      </c>
      <c r="C117" s="85" t="s">
        <v>99</v>
      </c>
      <c r="D117" s="84" t="s">
        <v>84</v>
      </c>
      <c r="E117" s="84">
        <f>VLOOKUP(A117,'2a. SI Pop'!$A$5:$E$198,5,FALSE)</f>
        <v>1</v>
      </c>
      <c r="F117" s="2">
        <v>88177</v>
      </c>
      <c r="G117" s="2">
        <f t="shared" si="10"/>
        <v>88177</v>
      </c>
      <c r="H117" s="2">
        <f t="shared" si="10"/>
        <v>88177</v>
      </c>
      <c r="I117" s="2">
        <f t="shared" si="10"/>
        <v>88177</v>
      </c>
      <c r="J117" s="2">
        <f t="shared" si="10"/>
        <v>88177</v>
      </c>
      <c r="K117" s="2">
        <v>89406</v>
      </c>
      <c r="L117" s="2">
        <f t="shared" si="11"/>
        <v>89406</v>
      </c>
      <c r="M117" s="2">
        <f t="shared" si="11"/>
        <v>89406</v>
      </c>
      <c r="N117" s="2">
        <f t="shared" si="11"/>
        <v>89406</v>
      </c>
      <c r="O117" s="2">
        <f t="shared" si="11"/>
        <v>89406</v>
      </c>
      <c r="P117" s="2">
        <v>89275</v>
      </c>
    </row>
    <row r="118" spans="1:16">
      <c r="A118" s="84" t="s">
        <v>309</v>
      </c>
      <c r="B118" s="85" t="s">
        <v>308</v>
      </c>
      <c r="C118" s="85" t="s">
        <v>79</v>
      </c>
      <c r="D118" s="84" t="s">
        <v>84</v>
      </c>
      <c r="E118" s="84">
        <f>VLOOKUP(A118,'2a. SI Pop'!$A$5:$E$198,5,FALSE)</f>
        <v>1</v>
      </c>
      <c r="F118" s="2">
        <v>2094893</v>
      </c>
      <c r="G118" s="2">
        <f t="shared" si="10"/>
        <v>2094893</v>
      </c>
      <c r="H118" s="2">
        <f t="shared" si="10"/>
        <v>2094893</v>
      </c>
      <c r="I118" s="2">
        <f t="shared" si="10"/>
        <v>2094893</v>
      </c>
      <c r="J118" s="2">
        <f t="shared" si="10"/>
        <v>2094893</v>
      </c>
      <c r="K118" s="2">
        <v>1942693</v>
      </c>
      <c r="L118" s="2">
        <f t="shared" si="11"/>
        <v>1942693</v>
      </c>
      <c r="M118" s="2">
        <f t="shared" si="11"/>
        <v>1942693</v>
      </c>
      <c r="N118" s="2">
        <f t="shared" si="11"/>
        <v>1942693</v>
      </c>
      <c r="O118" s="2">
        <f t="shared" si="11"/>
        <v>1942693</v>
      </c>
      <c r="P118" s="2">
        <v>1767343</v>
      </c>
    </row>
    <row r="119" spans="1:16">
      <c r="A119" s="84" t="s">
        <v>311</v>
      </c>
      <c r="B119" s="85" t="s">
        <v>310</v>
      </c>
      <c r="C119" s="85" t="s">
        <v>79</v>
      </c>
      <c r="D119" s="84" t="s">
        <v>87</v>
      </c>
      <c r="E119" s="84">
        <f>VLOOKUP(A119,'2a. SI Pop'!$A$5:$E$198,5,FALSE)</f>
        <v>1</v>
      </c>
      <c r="F119" s="2">
        <v>0</v>
      </c>
      <c r="G119" s="2">
        <f t="shared" si="10"/>
        <v>0</v>
      </c>
      <c r="H119" s="2">
        <f t="shared" si="10"/>
        <v>0</v>
      </c>
      <c r="I119" s="2">
        <f t="shared" si="10"/>
        <v>0</v>
      </c>
      <c r="J119" s="2">
        <f t="shared" si="10"/>
        <v>0</v>
      </c>
      <c r="K119" s="2">
        <v>0</v>
      </c>
      <c r="L119" s="2">
        <f t="shared" si="11"/>
        <v>0</v>
      </c>
      <c r="M119" s="2">
        <f t="shared" si="11"/>
        <v>0</v>
      </c>
      <c r="N119" s="2">
        <f t="shared" si="11"/>
        <v>0</v>
      </c>
      <c r="O119" s="2">
        <f t="shared" si="11"/>
        <v>0</v>
      </c>
      <c r="P119" s="2">
        <v>0</v>
      </c>
    </row>
    <row r="120" spans="1:16">
      <c r="A120" s="84" t="s">
        <v>313</v>
      </c>
      <c r="B120" s="85" t="s">
        <v>312</v>
      </c>
      <c r="C120" s="85" t="s">
        <v>99</v>
      </c>
      <c r="D120" s="84" t="s">
        <v>84</v>
      </c>
      <c r="E120" s="84">
        <f>VLOOKUP(A120,'2a. SI Pop'!$A$5:$E$198,5,FALSE)</f>
        <v>2</v>
      </c>
      <c r="F120" s="2">
        <v>1046513.9999999999</v>
      </c>
      <c r="G120" s="2">
        <f t="shared" si="10"/>
        <v>1046513.9999999999</v>
      </c>
      <c r="H120" s="2">
        <f t="shared" si="10"/>
        <v>1046513.9999999999</v>
      </c>
      <c r="I120" s="2">
        <f t="shared" si="10"/>
        <v>1046513.9999999999</v>
      </c>
      <c r="J120" s="2">
        <f t="shared" si="10"/>
        <v>1046513.9999999999</v>
      </c>
      <c r="K120" s="2">
        <v>1031657.9999999999</v>
      </c>
      <c r="L120" s="2">
        <f t="shared" si="11"/>
        <v>1031657.9999999999</v>
      </c>
      <c r="M120" s="2">
        <f t="shared" si="11"/>
        <v>1031657.9999999999</v>
      </c>
      <c r="N120" s="2">
        <f t="shared" si="11"/>
        <v>1031657.9999999999</v>
      </c>
      <c r="O120" s="2">
        <f t="shared" si="11"/>
        <v>1031657.9999999999</v>
      </c>
      <c r="P120" s="2">
        <v>999694</v>
      </c>
    </row>
    <row r="121" spans="1:16">
      <c r="A121" s="84" t="s">
        <v>315</v>
      </c>
      <c r="B121" s="85" t="s">
        <v>314</v>
      </c>
      <c r="C121" s="85" t="s">
        <v>79</v>
      </c>
      <c r="D121" s="84" t="s">
        <v>80</v>
      </c>
      <c r="E121" s="84">
        <f>VLOOKUP(A121,'2a. SI Pop'!$A$5:$E$198,5,FALSE)</f>
        <v>1</v>
      </c>
      <c r="F121" s="2">
        <v>181984</v>
      </c>
      <c r="G121" s="2">
        <f t="shared" si="10"/>
        <v>181984</v>
      </c>
      <c r="H121" s="2">
        <f t="shared" si="10"/>
        <v>181984</v>
      </c>
      <c r="I121" s="2">
        <f t="shared" si="10"/>
        <v>181984</v>
      </c>
      <c r="J121" s="2">
        <f t="shared" si="10"/>
        <v>181984</v>
      </c>
      <c r="K121" s="2">
        <v>169910</v>
      </c>
      <c r="L121" s="2">
        <f t="shared" si="11"/>
        <v>169910</v>
      </c>
      <c r="M121" s="2">
        <f t="shared" si="11"/>
        <v>169910</v>
      </c>
      <c r="N121" s="2">
        <f t="shared" si="11"/>
        <v>169910</v>
      </c>
      <c r="O121" s="2">
        <f t="shared" si="11"/>
        <v>169910</v>
      </c>
      <c r="P121" s="2">
        <v>157560</v>
      </c>
    </row>
    <row r="122" spans="1:16">
      <c r="A122" s="84" t="s">
        <v>317</v>
      </c>
      <c r="B122" s="85" t="s">
        <v>316</v>
      </c>
      <c r="C122" s="85" t="s">
        <v>74</v>
      </c>
      <c r="D122" s="84" t="s">
        <v>84</v>
      </c>
      <c r="E122" s="84">
        <f>VLOOKUP(A122,'2a. SI Pop'!$A$5:$E$198,5,FALSE)</f>
        <v>3</v>
      </c>
      <c r="F122" s="2">
        <v>12805082</v>
      </c>
      <c r="G122" s="2">
        <f t="shared" si="10"/>
        <v>12805082</v>
      </c>
      <c r="H122" s="2">
        <f t="shared" si="10"/>
        <v>12805082</v>
      </c>
      <c r="I122" s="2">
        <f t="shared" si="10"/>
        <v>12805082</v>
      </c>
      <c r="J122" s="2">
        <f t="shared" si="10"/>
        <v>12805082</v>
      </c>
      <c r="K122" s="2">
        <v>12280262</v>
      </c>
      <c r="L122" s="2">
        <f t="shared" si="11"/>
        <v>12280262</v>
      </c>
      <c r="M122" s="2">
        <f t="shared" si="11"/>
        <v>12280262</v>
      </c>
      <c r="N122" s="2">
        <f t="shared" si="11"/>
        <v>12280262</v>
      </c>
      <c r="O122" s="2">
        <f t="shared" si="11"/>
        <v>12280262</v>
      </c>
      <c r="P122" s="2">
        <v>11696131</v>
      </c>
    </row>
    <row r="123" spans="1:16">
      <c r="A123" s="84" t="s">
        <v>319</v>
      </c>
      <c r="B123" s="85" t="s">
        <v>318</v>
      </c>
      <c r="C123" s="85" t="s">
        <v>83</v>
      </c>
      <c r="D123" s="84" t="s">
        <v>75</v>
      </c>
      <c r="E123" s="84" t="str">
        <f>VLOOKUP(A123,'2a. SI Pop'!$A$5:$E$198,5,FALSE)</f>
        <v>Key</v>
      </c>
      <c r="F123" s="2">
        <v>24243408</v>
      </c>
      <c r="G123" s="2">
        <f t="shared" si="10"/>
        <v>24243408</v>
      </c>
      <c r="H123" s="2">
        <f t="shared" si="10"/>
        <v>24243408</v>
      </c>
      <c r="I123" s="2">
        <f t="shared" si="10"/>
        <v>24243408</v>
      </c>
      <c r="J123" s="2">
        <f t="shared" si="10"/>
        <v>24243408</v>
      </c>
      <c r="K123" s="2">
        <v>26073380</v>
      </c>
      <c r="L123" s="2">
        <f t="shared" si="11"/>
        <v>26073380</v>
      </c>
      <c r="M123" s="2">
        <f t="shared" si="11"/>
        <v>26073380</v>
      </c>
      <c r="N123" s="2">
        <f t="shared" si="11"/>
        <v>26073380</v>
      </c>
      <c r="O123" s="2">
        <f t="shared" si="11"/>
        <v>26073380</v>
      </c>
      <c r="P123" s="2">
        <v>27717244</v>
      </c>
    </row>
    <row r="124" spans="1:16">
      <c r="A124" s="84" t="s">
        <v>321</v>
      </c>
      <c r="B124" s="85" t="s">
        <v>320</v>
      </c>
      <c r="C124" s="85" t="s">
        <v>110</v>
      </c>
      <c r="D124" s="84" t="s">
        <v>84</v>
      </c>
      <c r="E124" s="84">
        <f>VLOOKUP(A124,'2a. SI Pop'!$A$5:$E$198,5,FALSE)</f>
        <v>4</v>
      </c>
      <c r="F124" s="2">
        <v>38300972</v>
      </c>
      <c r="G124" s="2">
        <f t="shared" si="10"/>
        <v>38300972</v>
      </c>
      <c r="H124" s="2">
        <f t="shared" si="10"/>
        <v>38300972</v>
      </c>
      <c r="I124" s="2">
        <f t="shared" si="10"/>
        <v>38300972</v>
      </c>
      <c r="J124" s="2">
        <f t="shared" si="10"/>
        <v>38300972</v>
      </c>
      <c r="K124" s="2">
        <v>37716653</v>
      </c>
      <c r="L124" s="2">
        <f t="shared" si="11"/>
        <v>37716653</v>
      </c>
      <c r="M124" s="2">
        <f t="shared" si="11"/>
        <v>37716653</v>
      </c>
      <c r="N124" s="2">
        <f t="shared" si="11"/>
        <v>37716653</v>
      </c>
      <c r="O124" s="2">
        <f t="shared" si="11"/>
        <v>37716653</v>
      </c>
      <c r="P124" s="2">
        <v>36515291</v>
      </c>
    </row>
    <row r="125" spans="1:16">
      <c r="A125" s="84" t="s">
        <v>323</v>
      </c>
      <c r="B125" s="85" t="s">
        <v>322</v>
      </c>
      <c r="C125" s="85" t="s">
        <v>83</v>
      </c>
      <c r="D125" s="84" t="s">
        <v>80</v>
      </c>
      <c r="E125" s="84">
        <f>VLOOKUP(A125,'2a. SI Pop'!$A$5:$E$198,5,FALSE)</f>
        <v>3</v>
      </c>
      <c r="F125" s="2">
        <v>1273544</v>
      </c>
      <c r="G125" s="2">
        <f t="shared" ref="G125:J144" si="12">F125</f>
        <v>1273544</v>
      </c>
      <c r="H125" s="2">
        <f t="shared" si="12"/>
        <v>1273544</v>
      </c>
      <c r="I125" s="2">
        <f t="shared" si="12"/>
        <v>1273544</v>
      </c>
      <c r="J125" s="2">
        <f t="shared" si="12"/>
        <v>1273544</v>
      </c>
      <c r="K125" s="2">
        <v>1259247</v>
      </c>
      <c r="L125" s="2">
        <f t="shared" ref="L125:O144" si="13">K125</f>
        <v>1259247</v>
      </c>
      <c r="M125" s="2">
        <f t="shared" si="13"/>
        <v>1259247</v>
      </c>
      <c r="N125" s="2">
        <f t="shared" si="13"/>
        <v>1259247</v>
      </c>
      <c r="O125" s="2">
        <f t="shared" si="13"/>
        <v>1259247</v>
      </c>
      <c r="P125" s="2">
        <v>1249879</v>
      </c>
    </row>
    <row r="126" spans="1:16">
      <c r="A126" s="84" t="s">
        <v>325</v>
      </c>
      <c r="B126" s="85" t="s">
        <v>324</v>
      </c>
      <c r="C126" s="85" t="s">
        <v>99</v>
      </c>
      <c r="D126" s="84" t="s">
        <v>87</v>
      </c>
      <c r="E126" s="84">
        <f>VLOOKUP(A126,'2a. SI Pop'!$A$5:$E$198,5,FALSE)</f>
        <v>1</v>
      </c>
      <c r="F126" s="2">
        <v>0</v>
      </c>
      <c r="G126" s="2">
        <f t="shared" si="12"/>
        <v>0</v>
      </c>
      <c r="H126" s="2">
        <f t="shared" si="12"/>
        <v>0</v>
      </c>
      <c r="I126" s="2">
        <f t="shared" si="12"/>
        <v>0</v>
      </c>
      <c r="J126" s="2">
        <f t="shared" si="12"/>
        <v>0</v>
      </c>
      <c r="K126" s="2">
        <v>0</v>
      </c>
      <c r="L126" s="2">
        <f t="shared" si="13"/>
        <v>0</v>
      </c>
      <c r="M126" s="2">
        <f t="shared" si="13"/>
        <v>0</v>
      </c>
      <c r="N126" s="2">
        <f t="shared" si="13"/>
        <v>0</v>
      </c>
      <c r="O126" s="2">
        <f t="shared" si="13"/>
        <v>0</v>
      </c>
      <c r="P126" s="2">
        <v>0</v>
      </c>
    </row>
    <row r="127" spans="1:16">
      <c r="A127" s="84" t="s">
        <v>327</v>
      </c>
      <c r="B127" s="85" t="s">
        <v>326</v>
      </c>
      <c r="C127" s="85" t="s">
        <v>110</v>
      </c>
      <c r="D127" s="84" t="s">
        <v>84</v>
      </c>
      <c r="E127" s="84">
        <f>VLOOKUP(A127,'2a. SI Pop'!$A$5:$E$198,5,FALSE)</f>
        <v>4</v>
      </c>
      <c r="F127" s="2">
        <v>24759681</v>
      </c>
      <c r="G127" s="2">
        <f t="shared" si="12"/>
        <v>24759681</v>
      </c>
      <c r="H127" s="2">
        <f t="shared" si="12"/>
        <v>24759681</v>
      </c>
      <c r="I127" s="2">
        <f t="shared" si="12"/>
        <v>24759681</v>
      </c>
      <c r="J127" s="2">
        <f t="shared" si="12"/>
        <v>24759681</v>
      </c>
      <c r="K127" s="2">
        <v>24623931</v>
      </c>
      <c r="L127" s="2">
        <f t="shared" si="13"/>
        <v>24623931</v>
      </c>
      <c r="M127" s="2">
        <f t="shared" si="13"/>
        <v>24623931</v>
      </c>
      <c r="N127" s="2">
        <f t="shared" si="13"/>
        <v>24623931</v>
      </c>
      <c r="O127" s="2">
        <f t="shared" si="13"/>
        <v>24623931</v>
      </c>
      <c r="P127" s="2">
        <v>24184673</v>
      </c>
    </row>
    <row r="128" spans="1:16">
      <c r="A128" s="84" t="s">
        <v>329</v>
      </c>
      <c r="B128" s="85" t="s">
        <v>328</v>
      </c>
      <c r="C128" s="85" t="s">
        <v>79</v>
      </c>
      <c r="D128" s="84" t="s">
        <v>87</v>
      </c>
      <c r="E128" s="84">
        <f>VLOOKUP(A128,'2a. SI Pop'!$A$5:$E$198,5,FALSE)</f>
        <v>1</v>
      </c>
      <c r="F128" s="2">
        <v>923556</v>
      </c>
      <c r="G128" s="2">
        <f t="shared" si="12"/>
        <v>923556</v>
      </c>
      <c r="H128" s="2">
        <f t="shared" si="12"/>
        <v>923556</v>
      </c>
      <c r="I128" s="2">
        <f t="shared" si="12"/>
        <v>923556</v>
      </c>
      <c r="J128" s="2">
        <f t="shared" si="12"/>
        <v>923556</v>
      </c>
      <c r="K128" s="2">
        <v>799082</v>
      </c>
      <c r="L128" s="2">
        <f t="shared" si="13"/>
        <v>799082</v>
      </c>
      <c r="M128" s="2">
        <f t="shared" si="13"/>
        <v>799082</v>
      </c>
      <c r="N128" s="2">
        <f t="shared" si="13"/>
        <v>799082</v>
      </c>
      <c r="O128" s="2">
        <f t="shared" si="13"/>
        <v>799082</v>
      </c>
      <c r="P128" s="2">
        <v>710043</v>
      </c>
    </row>
    <row r="129" spans="1:16">
      <c r="A129" s="84" t="s">
        <v>331</v>
      </c>
      <c r="B129" s="85" t="s">
        <v>330</v>
      </c>
      <c r="C129" s="85" t="s">
        <v>99</v>
      </c>
      <c r="D129" s="84" t="s">
        <v>87</v>
      </c>
      <c r="E129" s="84">
        <f>VLOOKUP(A129,'2a. SI Pop'!$A$5:$E$198,5,FALSE)</f>
        <v>1</v>
      </c>
      <c r="F129" s="2">
        <v>634170</v>
      </c>
      <c r="G129" s="2">
        <f t="shared" si="12"/>
        <v>634170</v>
      </c>
      <c r="H129" s="2">
        <f t="shared" si="12"/>
        <v>634170</v>
      </c>
      <c r="I129" s="2">
        <f t="shared" si="12"/>
        <v>634170</v>
      </c>
      <c r="J129" s="2">
        <f t="shared" si="12"/>
        <v>634170</v>
      </c>
      <c r="K129" s="2">
        <v>613447</v>
      </c>
      <c r="L129" s="2">
        <f t="shared" si="13"/>
        <v>613447</v>
      </c>
      <c r="M129" s="2">
        <f t="shared" si="13"/>
        <v>613447</v>
      </c>
      <c r="N129" s="2">
        <f t="shared" si="13"/>
        <v>613447</v>
      </c>
      <c r="O129" s="2">
        <f t="shared" si="13"/>
        <v>613447</v>
      </c>
      <c r="P129" s="2">
        <v>583181</v>
      </c>
    </row>
    <row r="130" spans="1:16">
      <c r="A130" s="84" t="s">
        <v>333</v>
      </c>
      <c r="B130" s="85" t="s">
        <v>332</v>
      </c>
      <c r="C130" s="85" t="s">
        <v>92</v>
      </c>
      <c r="D130" s="84" t="s">
        <v>84</v>
      </c>
      <c r="E130" s="84">
        <f>VLOOKUP(A130,'2a. SI Pop'!$A$5:$E$198,5,FALSE)</f>
        <v>2</v>
      </c>
      <c r="F130" s="2">
        <v>2659073</v>
      </c>
      <c r="G130" s="2">
        <f t="shared" si="12"/>
        <v>2659073</v>
      </c>
      <c r="H130" s="2">
        <f t="shared" si="12"/>
        <v>2659073</v>
      </c>
      <c r="I130" s="2">
        <f t="shared" si="12"/>
        <v>2659073</v>
      </c>
      <c r="J130" s="2">
        <f t="shared" si="12"/>
        <v>2659073</v>
      </c>
      <c r="K130" s="2">
        <v>2609666</v>
      </c>
      <c r="L130" s="2">
        <f t="shared" si="13"/>
        <v>2609666</v>
      </c>
      <c r="M130" s="2">
        <f t="shared" si="13"/>
        <v>2609666</v>
      </c>
      <c r="N130" s="2">
        <f t="shared" si="13"/>
        <v>2609666</v>
      </c>
      <c r="O130" s="2">
        <f t="shared" si="13"/>
        <v>2609666</v>
      </c>
      <c r="P130" s="2">
        <v>2516862</v>
      </c>
    </row>
    <row r="131" spans="1:16">
      <c r="A131" s="84" t="s">
        <v>335</v>
      </c>
      <c r="B131" s="85" t="s">
        <v>334</v>
      </c>
      <c r="C131" s="85" t="s">
        <v>83</v>
      </c>
      <c r="D131" s="84" t="s">
        <v>75</v>
      </c>
      <c r="E131" s="84">
        <f>VLOOKUP(A131,'2a. SI Pop'!$A$5:$E$198,5,FALSE)</f>
        <v>3</v>
      </c>
      <c r="F131" s="2">
        <v>28451495</v>
      </c>
      <c r="G131" s="2">
        <f t="shared" si="12"/>
        <v>28451495</v>
      </c>
      <c r="H131" s="2">
        <f t="shared" si="12"/>
        <v>28451495</v>
      </c>
      <c r="I131" s="2">
        <f t="shared" si="12"/>
        <v>28451495</v>
      </c>
      <c r="J131" s="2">
        <f t="shared" si="12"/>
        <v>28451495</v>
      </c>
      <c r="K131" s="2">
        <v>33294509</v>
      </c>
      <c r="L131" s="2">
        <f t="shared" si="13"/>
        <v>33294509</v>
      </c>
      <c r="M131" s="2">
        <f t="shared" si="13"/>
        <v>33294509</v>
      </c>
      <c r="N131" s="2">
        <f t="shared" si="13"/>
        <v>33294509</v>
      </c>
      <c r="O131" s="2">
        <f t="shared" si="13"/>
        <v>33294509</v>
      </c>
      <c r="P131" s="2">
        <v>38376888</v>
      </c>
    </row>
    <row r="132" spans="1:16">
      <c r="A132" s="84" t="s">
        <v>337</v>
      </c>
      <c r="B132" s="85" t="s">
        <v>336</v>
      </c>
      <c r="C132" s="85" t="s">
        <v>83</v>
      </c>
      <c r="D132" s="84" t="s">
        <v>84</v>
      </c>
      <c r="E132" s="84" t="str">
        <f>VLOOKUP(A132,'2a. SI Pop'!$A$5:$E$198,5,FALSE)</f>
        <v>Key</v>
      </c>
      <c r="F132" s="2">
        <v>107767646</v>
      </c>
      <c r="G132" s="2">
        <f t="shared" si="12"/>
        <v>107767646</v>
      </c>
      <c r="H132" s="2">
        <f t="shared" si="12"/>
        <v>107767646</v>
      </c>
      <c r="I132" s="2">
        <f t="shared" si="12"/>
        <v>107767646</v>
      </c>
      <c r="J132" s="2">
        <f t="shared" si="12"/>
        <v>107767646</v>
      </c>
      <c r="K132" s="2">
        <v>112435526</v>
      </c>
      <c r="L132" s="2">
        <f t="shared" si="13"/>
        <v>112435526</v>
      </c>
      <c r="M132" s="2">
        <f t="shared" si="13"/>
        <v>112435526</v>
      </c>
      <c r="N132" s="2">
        <f t="shared" si="13"/>
        <v>112435526</v>
      </c>
      <c r="O132" s="2">
        <f t="shared" si="13"/>
        <v>112435526</v>
      </c>
      <c r="P132" s="2">
        <v>117088556</v>
      </c>
    </row>
    <row r="133" spans="1:16">
      <c r="A133" s="84" t="s">
        <v>339</v>
      </c>
      <c r="B133" s="85" t="s">
        <v>338</v>
      </c>
      <c r="C133" s="85" t="s">
        <v>99</v>
      </c>
      <c r="D133" s="84" t="e">
        <v>#N/A</v>
      </c>
      <c r="E133" s="84">
        <f>VLOOKUP(A133,'2a. SI Pop'!$A$5:$E$198,5,FALSE)</f>
        <v>1</v>
      </c>
      <c r="F133" s="2">
        <v>796</v>
      </c>
      <c r="G133" s="2">
        <f t="shared" si="12"/>
        <v>796</v>
      </c>
      <c r="H133" s="2">
        <f t="shared" si="12"/>
        <v>796</v>
      </c>
      <c r="I133" s="2">
        <f t="shared" si="12"/>
        <v>796</v>
      </c>
      <c r="J133" s="2">
        <f t="shared" si="12"/>
        <v>796</v>
      </c>
      <c r="K133" s="2">
        <v>769</v>
      </c>
      <c r="L133" s="2">
        <f t="shared" si="13"/>
        <v>769</v>
      </c>
      <c r="M133" s="2">
        <f t="shared" si="13"/>
        <v>769</v>
      </c>
      <c r="N133" s="2">
        <f t="shared" si="13"/>
        <v>769</v>
      </c>
      <c r="O133" s="2">
        <f t="shared" si="13"/>
        <v>769</v>
      </c>
      <c r="P133" s="2">
        <v>744</v>
      </c>
    </row>
    <row r="134" spans="1:16">
      <c r="A134" s="84" t="s">
        <v>341</v>
      </c>
      <c r="B134" s="85" t="s">
        <v>340</v>
      </c>
      <c r="C134" s="85" t="s">
        <v>79</v>
      </c>
      <c r="D134" s="84" t="s">
        <v>87</v>
      </c>
      <c r="E134" s="84">
        <f>VLOOKUP(A134,'2a. SI Pop'!$A$5:$E$198,5,FALSE)</f>
        <v>1</v>
      </c>
      <c r="F134" s="2">
        <v>829364</v>
      </c>
      <c r="G134" s="2">
        <f t="shared" si="12"/>
        <v>829364</v>
      </c>
      <c r="H134" s="2">
        <f t="shared" si="12"/>
        <v>829364</v>
      </c>
      <c r="I134" s="2">
        <f t="shared" si="12"/>
        <v>829364</v>
      </c>
      <c r="J134" s="2">
        <f t="shared" si="12"/>
        <v>829364</v>
      </c>
      <c r="K134" s="2">
        <v>783769</v>
      </c>
      <c r="L134" s="2">
        <f t="shared" si="13"/>
        <v>783769</v>
      </c>
      <c r="M134" s="2">
        <f t="shared" si="13"/>
        <v>783769</v>
      </c>
      <c r="N134" s="2">
        <f t="shared" si="13"/>
        <v>783769</v>
      </c>
      <c r="O134" s="2">
        <f t="shared" si="13"/>
        <v>783769</v>
      </c>
      <c r="P134" s="2">
        <v>740926</v>
      </c>
    </row>
    <row r="135" spans="1:16">
      <c r="A135" s="84" t="s">
        <v>343</v>
      </c>
      <c r="B135" s="85" t="s">
        <v>342</v>
      </c>
      <c r="C135" s="85" t="s">
        <v>74</v>
      </c>
      <c r="D135" s="84" t="s">
        <v>87</v>
      </c>
      <c r="E135" s="84">
        <f>VLOOKUP(A135,'2a. SI Pop'!$A$5:$E$198,5,FALSE)</f>
        <v>1</v>
      </c>
      <c r="F135" s="2">
        <v>490249</v>
      </c>
      <c r="G135" s="2">
        <f t="shared" si="12"/>
        <v>490249</v>
      </c>
      <c r="H135" s="2">
        <f t="shared" si="12"/>
        <v>490249</v>
      </c>
      <c r="I135" s="2">
        <f t="shared" si="12"/>
        <v>490249</v>
      </c>
      <c r="J135" s="2">
        <f t="shared" si="12"/>
        <v>490249</v>
      </c>
      <c r="K135" s="2">
        <v>425307</v>
      </c>
      <c r="L135" s="2">
        <f t="shared" si="13"/>
        <v>425307</v>
      </c>
      <c r="M135" s="2">
        <f t="shared" si="13"/>
        <v>425307</v>
      </c>
      <c r="N135" s="2">
        <f t="shared" si="13"/>
        <v>425307</v>
      </c>
      <c r="O135" s="2">
        <f t="shared" si="13"/>
        <v>425307</v>
      </c>
      <c r="P135" s="2">
        <v>387122</v>
      </c>
    </row>
    <row r="136" spans="1:16">
      <c r="A136" s="84" t="s">
        <v>345</v>
      </c>
      <c r="B136" s="85" t="s">
        <v>344</v>
      </c>
      <c r="C136" s="85" t="s">
        <v>74</v>
      </c>
      <c r="D136" s="84" t="s">
        <v>84</v>
      </c>
      <c r="E136" s="84" t="str">
        <f>VLOOKUP(A136,'2a. SI Pop'!$A$5:$E$198,5,FALSE)</f>
        <v>Key</v>
      </c>
      <c r="F136" s="2">
        <v>144888686</v>
      </c>
      <c r="G136" s="2">
        <f t="shared" si="12"/>
        <v>144888686</v>
      </c>
      <c r="H136" s="2">
        <f t="shared" si="12"/>
        <v>144888686</v>
      </c>
      <c r="I136" s="2">
        <f t="shared" si="12"/>
        <v>144888686</v>
      </c>
      <c r="J136" s="2">
        <f t="shared" si="12"/>
        <v>144888686</v>
      </c>
      <c r="K136" s="2">
        <v>148609368</v>
      </c>
      <c r="L136" s="2">
        <f t="shared" si="13"/>
        <v>148609368</v>
      </c>
      <c r="M136" s="2">
        <f t="shared" si="13"/>
        <v>148609368</v>
      </c>
      <c r="N136" s="2">
        <f t="shared" si="13"/>
        <v>148609368</v>
      </c>
      <c r="O136" s="2">
        <f t="shared" si="13"/>
        <v>148609368</v>
      </c>
      <c r="P136" s="2">
        <v>150133002</v>
      </c>
    </row>
    <row r="137" spans="1:16">
      <c r="A137" s="84" t="s">
        <v>347</v>
      </c>
      <c r="B137" s="85" t="s">
        <v>346</v>
      </c>
      <c r="C137" s="85" t="s">
        <v>99</v>
      </c>
      <c r="D137" s="84" t="s">
        <v>87</v>
      </c>
      <c r="E137" s="84">
        <f>VLOOKUP(A137,'2a. SI Pop'!$A$5:$E$198,5,FALSE)</f>
        <v>1</v>
      </c>
      <c r="F137" s="2">
        <v>3703</v>
      </c>
      <c r="G137" s="2">
        <f t="shared" si="12"/>
        <v>3703</v>
      </c>
      <c r="H137" s="2">
        <f t="shared" si="12"/>
        <v>3703</v>
      </c>
      <c r="I137" s="2">
        <f t="shared" si="12"/>
        <v>3703</v>
      </c>
      <c r="J137" s="2">
        <f t="shared" si="12"/>
        <v>3703</v>
      </c>
      <c r="K137" s="2">
        <v>3487</v>
      </c>
      <c r="L137" s="2">
        <f t="shared" si="13"/>
        <v>3487</v>
      </c>
      <c r="M137" s="2">
        <f t="shared" si="13"/>
        <v>3487</v>
      </c>
      <c r="N137" s="2">
        <f t="shared" si="13"/>
        <v>3487</v>
      </c>
      <c r="O137" s="2">
        <f t="shared" si="13"/>
        <v>3487</v>
      </c>
      <c r="P137" s="2">
        <v>3307</v>
      </c>
    </row>
    <row r="138" spans="1:16">
      <c r="A138" s="84" t="s">
        <v>349</v>
      </c>
      <c r="B138" s="85" t="s">
        <v>348</v>
      </c>
      <c r="C138" s="85" t="s">
        <v>92</v>
      </c>
      <c r="D138" s="84" t="s">
        <v>87</v>
      </c>
      <c r="E138" s="84">
        <f>VLOOKUP(A138,'2a. SI Pop'!$A$5:$E$198,5,FALSE)</f>
        <v>1</v>
      </c>
      <c r="F138" s="2">
        <v>1356703</v>
      </c>
      <c r="G138" s="2">
        <f t="shared" si="12"/>
        <v>1356703</v>
      </c>
      <c r="H138" s="2">
        <f t="shared" si="12"/>
        <v>1356703</v>
      </c>
      <c r="I138" s="2">
        <f t="shared" si="12"/>
        <v>1356703</v>
      </c>
      <c r="J138" s="2">
        <f t="shared" si="12"/>
        <v>1356703</v>
      </c>
      <c r="K138" s="2">
        <v>1327269</v>
      </c>
      <c r="L138" s="2">
        <f t="shared" si="13"/>
        <v>1327269</v>
      </c>
      <c r="M138" s="2">
        <f t="shared" si="13"/>
        <v>1327269</v>
      </c>
      <c r="N138" s="2">
        <f t="shared" si="13"/>
        <v>1327269</v>
      </c>
      <c r="O138" s="2">
        <f t="shared" si="13"/>
        <v>1327269</v>
      </c>
      <c r="P138" s="2">
        <v>1284477</v>
      </c>
    </row>
    <row r="139" spans="1:16">
      <c r="A139" s="84" t="s">
        <v>351</v>
      </c>
      <c r="B139" s="85" t="s">
        <v>350</v>
      </c>
      <c r="C139" s="85" t="s">
        <v>99</v>
      </c>
      <c r="D139" s="84" t="s">
        <v>84</v>
      </c>
      <c r="E139" s="84">
        <f>VLOOKUP(A139,'2a. SI Pop'!$A$5:$E$198,5,FALSE)</f>
        <v>4</v>
      </c>
      <c r="F139" s="2">
        <v>8894501</v>
      </c>
      <c r="G139" s="2">
        <f t="shared" si="12"/>
        <v>8894501</v>
      </c>
      <c r="H139" s="2">
        <f t="shared" si="12"/>
        <v>8894501</v>
      </c>
      <c r="I139" s="2">
        <f t="shared" si="12"/>
        <v>8894501</v>
      </c>
      <c r="J139" s="2">
        <f t="shared" si="12"/>
        <v>8894501</v>
      </c>
      <c r="K139" s="2">
        <v>9452277</v>
      </c>
      <c r="L139" s="2">
        <f t="shared" si="13"/>
        <v>9452277</v>
      </c>
      <c r="M139" s="2">
        <f t="shared" si="13"/>
        <v>9452277</v>
      </c>
      <c r="N139" s="2">
        <f t="shared" si="13"/>
        <v>9452277</v>
      </c>
      <c r="O139" s="2">
        <f t="shared" si="13"/>
        <v>9452277</v>
      </c>
      <c r="P139" s="2">
        <v>9907822</v>
      </c>
    </row>
    <row r="140" spans="1:16">
      <c r="A140" s="84" t="s">
        <v>353</v>
      </c>
      <c r="B140" s="85" t="s">
        <v>352</v>
      </c>
      <c r="C140" s="85" t="s">
        <v>92</v>
      </c>
      <c r="D140" s="84" t="s">
        <v>80</v>
      </c>
      <c r="E140" s="84">
        <f>VLOOKUP(A140,'2a. SI Pop'!$A$5:$E$198,5,FALSE)</f>
        <v>1</v>
      </c>
      <c r="F140" s="2">
        <v>2690668</v>
      </c>
      <c r="G140" s="2">
        <f t="shared" si="12"/>
        <v>2690668</v>
      </c>
      <c r="H140" s="2">
        <f t="shared" si="12"/>
        <v>2690668</v>
      </c>
      <c r="I140" s="2">
        <f t="shared" si="12"/>
        <v>2690668</v>
      </c>
      <c r="J140" s="2">
        <f t="shared" si="12"/>
        <v>2690668</v>
      </c>
      <c r="K140" s="2">
        <v>2637435</v>
      </c>
      <c r="L140" s="2">
        <f t="shared" si="13"/>
        <v>2637435</v>
      </c>
      <c r="M140" s="2">
        <f t="shared" si="13"/>
        <v>2637435</v>
      </c>
      <c r="N140" s="2">
        <f t="shared" si="13"/>
        <v>2637435</v>
      </c>
      <c r="O140" s="2">
        <f t="shared" si="13"/>
        <v>2637435</v>
      </c>
      <c r="P140" s="2">
        <v>2545687</v>
      </c>
    </row>
    <row r="141" spans="1:16">
      <c r="A141" s="84" t="s">
        <v>355</v>
      </c>
      <c r="B141" s="85" t="s">
        <v>354</v>
      </c>
      <c r="C141" s="85" t="s">
        <v>92</v>
      </c>
      <c r="D141" s="84" t="s">
        <v>80</v>
      </c>
      <c r="E141" s="84">
        <f>VLOOKUP(A141,'2a. SI Pop'!$A$5:$E$198,5,FALSE)</f>
        <v>2</v>
      </c>
      <c r="F141" s="2">
        <v>7163878</v>
      </c>
      <c r="G141" s="2">
        <f t="shared" si="12"/>
        <v>7163878</v>
      </c>
      <c r="H141" s="2">
        <f t="shared" si="12"/>
        <v>7163878</v>
      </c>
      <c r="I141" s="2">
        <f t="shared" si="12"/>
        <v>7163878</v>
      </c>
      <c r="J141" s="2">
        <f t="shared" si="12"/>
        <v>7163878</v>
      </c>
      <c r="K141" s="2">
        <v>6971609</v>
      </c>
      <c r="L141" s="2">
        <f t="shared" si="13"/>
        <v>6971609</v>
      </c>
      <c r="M141" s="2">
        <f t="shared" si="13"/>
        <v>6971609</v>
      </c>
      <c r="N141" s="2">
        <f t="shared" si="13"/>
        <v>6971609</v>
      </c>
      <c r="O141" s="2">
        <f t="shared" si="13"/>
        <v>6971609</v>
      </c>
      <c r="P141" s="2">
        <v>6687693</v>
      </c>
    </row>
    <row r="142" spans="1:16">
      <c r="A142" s="84" t="s">
        <v>357</v>
      </c>
      <c r="B142" s="85" t="s">
        <v>356</v>
      </c>
      <c r="C142" s="85" t="s">
        <v>99</v>
      </c>
      <c r="D142" s="84" t="s">
        <v>84</v>
      </c>
      <c r="E142" s="84" t="str">
        <f>VLOOKUP(A142,'2a. SI Pop'!$A$5:$E$198,5,FALSE)</f>
        <v>Key</v>
      </c>
      <c r="F142" s="2">
        <v>61528147</v>
      </c>
      <c r="G142" s="2">
        <f t="shared" si="12"/>
        <v>61528147</v>
      </c>
      <c r="H142" s="2">
        <f t="shared" si="12"/>
        <v>61528147</v>
      </c>
      <c r="I142" s="2">
        <f t="shared" si="12"/>
        <v>61528147</v>
      </c>
      <c r="J142" s="2">
        <f t="shared" si="12"/>
        <v>61528147</v>
      </c>
      <c r="K142" s="2">
        <v>61975289</v>
      </c>
      <c r="L142" s="2">
        <f t="shared" si="13"/>
        <v>61975289</v>
      </c>
      <c r="M142" s="2">
        <f t="shared" si="13"/>
        <v>61975289</v>
      </c>
      <c r="N142" s="2">
        <f t="shared" si="13"/>
        <v>61975289</v>
      </c>
      <c r="O142" s="2">
        <f t="shared" si="13"/>
        <v>61975289</v>
      </c>
      <c r="P142" s="2">
        <v>61357963</v>
      </c>
    </row>
    <row r="143" spans="1:16">
      <c r="A143" s="84" t="s">
        <v>359</v>
      </c>
      <c r="B143" s="85" t="s">
        <v>358</v>
      </c>
      <c r="C143" s="85" t="s">
        <v>79</v>
      </c>
      <c r="D143" s="84" t="s">
        <v>87</v>
      </c>
      <c r="E143" s="84">
        <f>VLOOKUP(A143,'2a. SI Pop'!$A$5:$E$198,5,FALSE)</f>
        <v>1</v>
      </c>
      <c r="F143" s="2">
        <v>14082731</v>
      </c>
      <c r="G143" s="2">
        <f t="shared" si="12"/>
        <v>14082731</v>
      </c>
      <c r="H143" s="2">
        <f t="shared" si="12"/>
        <v>14082731</v>
      </c>
      <c r="I143" s="2">
        <f t="shared" si="12"/>
        <v>14082731</v>
      </c>
      <c r="J143" s="2">
        <f t="shared" si="12"/>
        <v>14082731</v>
      </c>
      <c r="K143" s="2">
        <v>13123646</v>
      </c>
      <c r="L143" s="2">
        <f t="shared" si="13"/>
        <v>13123646</v>
      </c>
      <c r="M143" s="2">
        <f t="shared" si="13"/>
        <v>13123646</v>
      </c>
      <c r="N143" s="2">
        <f t="shared" si="13"/>
        <v>13123646</v>
      </c>
      <c r="O143" s="2">
        <f t="shared" si="13"/>
        <v>13123646</v>
      </c>
      <c r="P143" s="2">
        <v>11962195</v>
      </c>
    </row>
    <row r="144" spans="1:16">
      <c r="A144" s="84" t="s">
        <v>361</v>
      </c>
      <c r="B144" s="85" t="s">
        <v>360</v>
      </c>
      <c r="C144" s="85" t="s">
        <v>79</v>
      </c>
      <c r="D144" s="84" t="s">
        <v>87</v>
      </c>
      <c r="E144" s="84">
        <f>VLOOKUP(A144,'2a. SI Pop'!$A$5:$E$198,5,FALSE)</f>
        <v>1</v>
      </c>
      <c r="F144" s="2">
        <v>2828198</v>
      </c>
      <c r="G144" s="2">
        <f t="shared" si="12"/>
        <v>2828198</v>
      </c>
      <c r="H144" s="2">
        <f t="shared" si="12"/>
        <v>2828198</v>
      </c>
      <c r="I144" s="2">
        <f t="shared" si="12"/>
        <v>2828198</v>
      </c>
      <c r="J144" s="2">
        <f t="shared" si="12"/>
        <v>2828198</v>
      </c>
      <c r="K144" s="2">
        <v>2560983</v>
      </c>
      <c r="L144" s="2">
        <f t="shared" si="13"/>
        <v>2560983</v>
      </c>
      <c r="M144" s="2">
        <f t="shared" si="13"/>
        <v>2560983</v>
      </c>
      <c r="N144" s="2">
        <f t="shared" si="13"/>
        <v>2560983</v>
      </c>
      <c r="O144" s="2">
        <f t="shared" si="13"/>
        <v>2560983</v>
      </c>
      <c r="P144" s="2">
        <v>2316344</v>
      </c>
    </row>
    <row r="145" spans="1:16">
      <c r="A145" s="84" t="s">
        <v>363</v>
      </c>
      <c r="B145" s="85" t="s">
        <v>362</v>
      </c>
      <c r="C145" s="85" t="s">
        <v>74</v>
      </c>
      <c r="D145" s="84" t="s">
        <v>87</v>
      </c>
      <c r="E145" s="84">
        <f>VLOOKUP(A145,'2a. SI Pop'!$A$5:$E$198,5,FALSE)</f>
        <v>1</v>
      </c>
      <c r="F145" s="2">
        <v>15132</v>
      </c>
      <c r="G145" s="2">
        <f t="shared" ref="G145:J164" si="14">F145</f>
        <v>15132</v>
      </c>
      <c r="H145" s="2">
        <f t="shared" si="14"/>
        <v>15132</v>
      </c>
      <c r="I145" s="2">
        <f t="shared" si="14"/>
        <v>15132</v>
      </c>
      <c r="J145" s="2">
        <f t="shared" si="14"/>
        <v>15132</v>
      </c>
      <c r="K145" s="2">
        <v>13460</v>
      </c>
      <c r="L145" s="2">
        <f t="shared" ref="L145:O164" si="15">K145</f>
        <v>13460</v>
      </c>
      <c r="M145" s="2">
        <f t="shared" si="15"/>
        <v>13460</v>
      </c>
      <c r="N145" s="2">
        <f t="shared" si="15"/>
        <v>13460</v>
      </c>
      <c r="O145" s="2">
        <f t="shared" si="15"/>
        <v>13460</v>
      </c>
      <c r="P145" s="2">
        <v>12447</v>
      </c>
    </row>
    <row r="146" spans="1:16">
      <c r="A146" s="84" t="s">
        <v>365</v>
      </c>
      <c r="B146" s="85" t="s">
        <v>364</v>
      </c>
      <c r="C146" s="85" t="s">
        <v>79</v>
      </c>
      <c r="D146" s="84" t="s">
        <v>87</v>
      </c>
      <c r="E146" s="84">
        <f>VLOOKUP(A146,'2a. SI Pop'!$A$5:$E$198,5,FALSE)</f>
        <v>2</v>
      </c>
      <c r="F146" s="2">
        <v>8007900</v>
      </c>
      <c r="G146" s="2">
        <f t="shared" si="14"/>
        <v>8007900</v>
      </c>
      <c r="H146" s="2">
        <f t="shared" si="14"/>
        <v>8007900</v>
      </c>
      <c r="I146" s="2">
        <f t="shared" si="14"/>
        <v>8007900</v>
      </c>
      <c r="J146" s="2">
        <f t="shared" si="14"/>
        <v>8007900</v>
      </c>
      <c r="K146" s="2">
        <v>7419963</v>
      </c>
      <c r="L146" s="2">
        <f t="shared" si="15"/>
        <v>7419963</v>
      </c>
      <c r="M146" s="2">
        <f t="shared" si="15"/>
        <v>7419963</v>
      </c>
      <c r="N146" s="2">
        <f t="shared" si="15"/>
        <v>7419963</v>
      </c>
      <c r="O146" s="2">
        <f t="shared" si="15"/>
        <v>7419963</v>
      </c>
      <c r="P146" s="2">
        <v>6756669</v>
      </c>
    </row>
    <row r="147" spans="1:16">
      <c r="A147" s="84" t="s">
        <v>367</v>
      </c>
      <c r="B147" s="85" t="s">
        <v>366</v>
      </c>
      <c r="C147" s="85" t="s">
        <v>79</v>
      </c>
      <c r="D147" s="84" t="s">
        <v>80</v>
      </c>
      <c r="E147" s="84">
        <f>VLOOKUP(A147,'2a. SI Pop'!$A$5:$E$198,5,FALSE)</f>
        <v>2</v>
      </c>
      <c r="F147" s="2">
        <v>32206453</v>
      </c>
      <c r="G147" s="2">
        <f t="shared" si="14"/>
        <v>32206453</v>
      </c>
      <c r="H147" s="2">
        <f t="shared" si="14"/>
        <v>32206453</v>
      </c>
      <c r="I147" s="2">
        <f t="shared" si="14"/>
        <v>32206453</v>
      </c>
      <c r="J147" s="2">
        <f t="shared" si="14"/>
        <v>32206453</v>
      </c>
      <c r="K147" s="2">
        <v>29507060</v>
      </c>
      <c r="L147" s="2">
        <f t="shared" si="15"/>
        <v>29507060</v>
      </c>
      <c r="M147" s="2">
        <f t="shared" si="15"/>
        <v>29507060</v>
      </c>
      <c r="N147" s="2">
        <f t="shared" si="15"/>
        <v>29507060</v>
      </c>
      <c r="O147" s="2">
        <f t="shared" si="15"/>
        <v>29507060</v>
      </c>
      <c r="P147" s="2">
        <v>26774375</v>
      </c>
    </row>
    <row r="148" spans="1:16">
      <c r="A148" s="84" t="s">
        <v>369</v>
      </c>
      <c r="B148" s="85" t="s">
        <v>368</v>
      </c>
      <c r="C148" s="85" t="s">
        <v>83</v>
      </c>
      <c r="D148" s="84" t="s">
        <v>75</v>
      </c>
      <c r="E148" s="84">
        <f>VLOOKUP(A148,'2a. SI Pop'!$A$5:$E$198,5,FALSE)</f>
        <v>3</v>
      </c>
      <c r="F148" s="2">
        <v>12880409</v>
      </c>
      <c r="G148" s="2">
        <f t="shared" si="14"/>
        <v>12880409</v>
      </c>
      <c r="H148" s="2">
        <f t="shared" si="14"/>
        <v>12880409</v>
      </c>
      <c r="I148" s="2">
        <f t="shared" si="14"/>
        <v>12880409</v>
      </c>
      <c r="J148" s="2">
        <f t="shared" si="14"/>
        <v>12880409</v>
      </c>
      <c r="K148" s="2">
        <v>13773761</v>
      </c>
      <c r="L148" s="2">
        <f t="shared" si="15"/>
        <v>13773761</v>
      </c>
      <c r="M148" s="2">
        <f t="shared" si="15"/>
        <v>13773761</v>
      </c>
      <c r="N148" s="2">
        <f t="shared" si="15"/>
        <v>13773761</v>
      </c>
      <c r="O148" s="2">
        <f t="shared" si="15"/>
        <v>13773761</v>
      </c>
      <c r="P148" s="2">
        <v>14503076</v>
      </c>
    </row>
    <row r="149" spans="1:16">
      <c r="A149" s="84" t="s">
        <v>371</v>
      </c>
      <c r="B149" s="85" t="s">
        <v>370</v>
      </c>
      <c r="C149" s="85" t="s">
        <v>92</v>
      </c>
      <c r="D149" s="84" t="s">
        <v>87</v>
      </c>
      <c r="E149" s="84">
        <f>VLOOKUP(A149,'2a. SI Pop'!$A$5:$E$198,5,FALSE)</f>
        <v>1</v>
      </c>
      <c r="F149" s="2">
        <v>40958</v>
      </c>
      <c r="G149" s="2">
        <f t="shared" si="14"/>
        <v>40958</v>
      </c>
      <c r="H149" s="2">
        <f t="shared" si="14"/>
        <v>40958</v>
      </c>
      <c r="I149" s="2">
        <f t="shared" si="14"/>
        <v>40958</v>
      </c>
      <c r="J149" s="2">
        <f t="shared" si="14"/>
        <v>40958</v>
      </c>
      <c r="K149" s="2">
        <v>40826</v>
      </c>
      <c r="L149" s="2">
        <f t="shared" si="15"/>
        <v>40826</v>
      </c>
      <c r="M149" s="2">
        <f t="shared" si="15"/>
        <v>40826</v>
      </c>
      <c r="N149" s="2">
        <f t="shared" si="15"/>
        <v>40826</v>
      </c>
      <c r="O149" s="2">
        <f t="shared" si="15"/>
        <v>40826</v>
      </c>
      <c r="P149" s="2">
        <v>40120</v>
      </c>
    </row>
    <row r="150" spans="1:16">
      <c r="A150" s="84" t="s">
        <v>373</v>
      </c>
      <c r="B150" s="85" t="s">
        <v>372</v>
      </c>
      <c r="C150" s="85" t="s">
        <v>92</v>
      </c>
      <c r="D150" s="84" t="s">
        <v>80</v>
      </c>
      <c r="E150" s="84">
        <f>VLOOKUP(A150,'2a. SI Pop'!$A$5:$E$198,5,FALSE)</f>
        <v>1</v>
      </c>
      <c r="F150" s="2">
        <v>148416</v>
      </c>
      <c r="G150" s="2">
        <f t="shared" si="14"/>
        <v>148416</v>
      </c>
      <c r="H150" s="2">
        <f t="shared" si="14"/>
        <v>148416</v>
      </c>
      <c r="I150" s="2">
        <f t="shared" si="14"/>
        <v>148416</v>
      </c>
      <c r="J150" s="2">
        <f t="shared" si="14"/>
        <v>148416</v>
      </c>
      <c r="K150" s="2">
        <v>146719</v>
      </c>
      <c r="L150" s="2">
        <f t="shared" si="15"/>
        <v>146719</v>
      </c>
      <c r="M150" s="2">
        <f t="shared" si="15"/>
        <v>146719</v>
      </c>
      <c r="N150" s="2">
        <f t="shared" si="15"/>
        <v>146719</v>
      </c>
      <c r="O150" s="2">
        <f t="shared" si="15"/>
        <v>146719</v>
      </c>
      <c r="P150" s="2">
        <v>143372</v>
      </c>
    </row>
    <row r="151" spans="1:16">
      <c r="A151" s="84" t="s">
        <v>375</v>
      </c>
      <c r="B151" s="85" t="s">
        <v>374</v>
      </c>
      <c r="C151" s="85" t="s">
        <v>92</v>
      </c>
      <c r="D151" s="84" t="s">
        <v>80</v>
      </c>
      <c r="E151" s="84">
        <f>VLOOKUP(A151,'2a. SI Pop'!$A$5:$E$198,5,FALSE)</f>
        <v>1</v>
      </c>
      <c r="F151" s="2">
        <v>47877</v>
      </c>
      <c r="G151" s="2">
        <f t="shared" si="14"/>
        <v>47877</v>
      </c>
      <c r="H151" s="2">
        <f t="shared" si="14"/>
        <v>47877</v>
      </c>
      <c r="I151" s="2">
        <f t="shared" si="14"/>
        <v>47877</v>
      </c>
      <c r="J151" s="2">
        <f t="shared" si="14"/>
        <v>47877</v>
      </c>
      <c r="K151" s="2">
        <v>45550</v>
      </c>
      <c r="L151" s="2">
        <f t="shared" si="15"/>
        <v>45550</v>
      </c>
      <c r="M151" s="2">
        <f t="shared" si="15"/>
        <v>45550</v>
      </c>
      <c r="N151" s="2">
        <f t="shared" si="15"/>
        <v>45550</v>
      </c>
      <c r="O151" s="2">
        <f t="shared" si="15"/>
        <v>45550</v>
      </c>
      <c r="P151" s="2">
        <v>43133</v>
      </c>
    </row>
    <row r="152" spans="1:16">
      <c r="A152" s="84" t="s">
        <v>377</v>
      </c>
      <c r="B152" s="85" t="s">
        <v>376</v>
      </c>
      <c r="C152" s="85" t="s">
        <v>99</v>
      </c>
      <c r="D152" s="84" t="s">
        <v>80</v>
      </c>
      <c r="E152" s="84">
        <f>VLOOKUP(A152,'2a. SI Pop'!$A$5:$E$198,5,FALSE)</f>
        <v>2</v>
      </c>
      <c r="F152" s="2">
        <v>175428</v>
      </c>
      <c r="G152" s="2">
        <f t="shared" si="14"/>
        <v>175428</v>
      </c>
      <c r="H152" s="2">
        <f t="shared" si="14"/>
        <v>175428</v>
      </c>
      <c r="I152" s="2">
        <f t="shared" si="14"/>
        <v>175428</v>
      </c>
      <c r="J152" s="2">
        <f t="shared" si="14"/>
        <v>175428</v>
      </c>
      <c r="K152" s="2">
        <v>181975</v>
      </c>
      <c r="L152" s="2">
        <f t="shared" si="15"/>
        <v>181975</v>
      </c>
      <c r="M152" s="2">
        <f t="shared" si="15"/>
        <v>181975</v>
      </c>
      <c r="N152" s="2">
        <f t="shared" si="15"/>
        <v>181975</v>
      </c>
      <c r="O152" s="2">
        <f t="shared" si="15"/>
        <v>181975</v>
      </c>
      <c r="P152" s="2">
        <v>187167</v>
      </c>
    </row>
    <row r="153" spans="1:16">
      <c r="A153" s="84" t="s">
        <v>379</v>
      </c>
      <c r="B153" s="85" t="s">
        <v>378</v>
      </c>
      <c r="C153" s="85" t="s">
        <v>79</v>
      </c>
      <c r="D153" s="84" t="s">
        <v>87</v>
      </c>
      <c r="E153" s="84">
        <f>VLOOKUP(A153,'2a. SI Pop'!$A$5:$E$198,5,FALSE)</f>
        <v>1</v>
      </c>
      <c r="F153" s="2">
        <v>563</v>
      </c>
      <c r="G153" s="2">
        <f t="shared" si="14"/>
        <v>563</v>
      </c>
      <c r="H153" s="2">
        <f t="shared" si="14"/>
        <v>563</v>
      </c>
      <c r="I153" s="2">
        <f t="shared" si="14"/>
        <v>563</v>
      </c>
      <c r="J153" s="2">
        <f t="shared" si="14"/>
        <v>563</v>
      </c>
      <c r="K153" s="2">
        <v>482</v>
      </c>
      <c r="L153" s="2">
        <f t="shared" si="15"/>
        <v>482</v>
      </c>
      <c r="M153" s="2">
        <f t="shared" si="15"/>
        <v>482</v>
      </c>
      <c r="N153" s="2">
        <f t="shared" si="15"/>
        <v>482</v>
      </c>
      <c r="O153" s="2">
        <f t="shared" si="15"/>
        <v>482</v>
      </c>
      <c r="P153" s="2">
        <v>427</v>
      </c>
    </row>
    <row r="154" spans="1:16">
      <c r="A154" s="84" t="s">
        <v>381</v>
      </c>
      <c r="B154" s="85" t="s">
        <v>380</v>
      </c>
      <c r="C154" s="85" t="s">
        <v>83</v>
      </c>
      <c r="D154" s="84" t="s">
        <v>84</v>
      </c>
      <c r="E154" s="84">
        <f>VLOOKUP(A154,'2a. SI Pop'!$A$5:$E$198,5,FALSE)</f>
        <v>3</v>
      </c>
      <c r="F154" s="2">
        <v>53608</v>
      </c>
      <c r="G154" s="2">
        <f t="shared" si="14"/>
        <v>53608</v>
      </c>
      <c r="H154" s="2">
        <f t="shared" si="14"/>
        <v>53608</v>
      </c>
      <c r="I154" s="2">
        <f t="shared" si="14"/>
        <v>53608</v>
      </c>
      <c r="J154" s="2">
        <f t="shared" si="14"/>
        <v>53608</v>
      </c>
      <c r="K154" s="2">
        <v>53846</v>
      </c>
      <c r="L154" s="2">
        <f t="shared" si="15"/>
        <v>53846</v>
      </c>
      <c r="M154" s="2">
        <f t="shared" si="15"/>
        <v>53846</v>
      </c>
      <c r="N154" s="2">
        <f t="shared" si="15"/>
        <v>53846</v>
      </c>
      <c r="O154" s="2">
        <f t="shared" si="15"/>
        <v>53846</v>
      </c>
      <c r="P154" s="2">
        <v>54877</v>
      </c>
    </row>
    <row r="155" spans="1:16">
      <c r="A155" s="84" t="s">
        <v>383</v>
      </c>
      <c r="B155" s="85" t="s">
        <v>382</v>
      </c>
      <c r="C155" s="85" t="s">
        <v>74</v>
      </c>
      <c r="D155" s="84" t="s">
        <v>87</v>
      </c>
      <c r="E155" s="84">
        <f>VLOOKUP(A155,'2a. SI Pop'!$A$5:$E$198,5,FALSE)</f>
        <v>1</v>
      </c>
      <c r="F155" s="2">
        <v>5337374</v>
      </c>
      <c r="G155" s="2">
        <f t="shared" si="14"/>
        <v>5337374</v>
      </c>
      <c r="H155" s="2">
        <f t="shared" si="14"/>
        <v>5337374</v>
      </c>
      <c r="I155" s="2">
        <f t="shared" si="14"/>
        <v>5337374</v>
      </c>
      <c r="J155" s="2">
        <f t="shared" si="14"/>
        <v>5337374</v>
      </c>
      <c r="K155" s="2">
        <v>5147390</v>
      </c>
      <c r="L155" s="2">
        <f t="shared" si="15"/>
        <v>5147390</v>
      </c>
      <c r="M155" s="2">
        <f t="shared" si="15"/>
        <v>5147390</v>
      </c>
      <c r="N155" s="2">
        <f t="shared" si="15"/>
        <v>5147390</v>
      </c>
      <c r="O155" s="2">
        <f t="shared" si="15"/>
        <v>5147390</v>
      </c>
      <c r="P155" s="2">
        <v>4898800</v>
      </c>
    </row>
    <row r="156" spans="1:16">
      <c r="A156" s="84" t="s">
        <v>385</v>
      </c>
      <c r="B156" s="85" t="s">
        <v>384</v>
      </c>
      <c r="C156" s="85" t="s">
        <v>83</v>
      </c>
      <c r="D156" s="84" t="s">
        <v>84</v>
      </c>
      <c r="E156" s="84">
        <f>VLOOKUP(A156,'2a. SI Pop'!$A$5:$E$198,5,FALSE)</f>
        <v>3</v>
      </c>
      <c r="F156" s="2">
        <v>10345593</v>
      </c>
      <c r="G156" s="2">
        <f t="shared" si="14"/>
        <v>10345593</v>
      </c>
      <c r="H156" s="2">
        <f t="shared" si="14"/>
        <v>10345593</v>
      </c>
      <c r="I156" s="2">
        <f t="shared" si="14"/>
        <v>10345593</v>
      </c>
      <c r="J156" s="2">
        <f t="shared" si="14"/>
        <v>10345593</v>
      </c>
      <c r="K156" s="2">
        <v>10932671</v>
      </c>
      <c r="L156" s="2">
        <f t="shared" si="15"/>
        <v>10932671</v>
      </c>
      <c r="M156" s="2">
        <f t="shared" si="15"/>
        <v>10932671</v>
      </c>
      <c r="N156" s="2">
        <f t="shared" si="15"/>
        <v>10932671</v>
      </c>
      <c r="O156" s="2">
        <f t="shared" si="15"/>
        <v>10932671</v>
      </c>
      <c r="P156" s="2">
        <v>11422915</v>
      </c>
    </row>
    <row r="157" spans="1:16">
      <c r="A157" s="84" t="s">
        <v>387</v>
      </c>
      <c r="B157" s="85" t="s">
        <v>386</v>
      </c>
      <c r="C157" s="85" t="s">
        <v>79</v>
      </c>
      <c r="D157" s="84" t="s">
        <v>80</v>
      </c>
      <c r="E157" s="84">
        <f>VLOOKUP(A157,'2a. SI Pop'!$A$5:$E$198,5,FALSE)</f>
        <v>1</v>
      </c>
      <c r="F157" s="2">
        <v>3402396</v>
      </c>
      <c r="G157" s="2">
        <f t="shared" si="14"/>
        <v>3402396</v>
      </c>
      <c r="H157" s="2">
        <f t="shared" si="14"/>
        <v>3402396</v>
      </c>
      <c r="I157" s="2">
        <f t="shared" si="14"/>
        <v>3402396</v>
      </c>
      <c r="J157" s="2">
        <f t="shared" si="14"/>
        <v>3402396</v>
      </c>
      <c r="K157" s="2">
        <v>3150511</v>
      </c>
      <c r="L157" s="2">
        <f t="shared" si="15"/>
        <v>3150511</v>
      </c>
      <c r="M157" s="2">
        <f t="shared" si="15"/>
        <v>3150511</v>
      </c>
      <c r="N157" s="2">
        <f t="shared" si="15"/>
        <v>3150511</v>
      </c>
      <c r="O157" s="2">
        <f t="shared" si="15"/>
        <v>3150511</v>
      </c>
      <c r="P157" s="2">
        <v>2872248</v>
      </c>
    </row>
    <row r="158" spans="1:16">
      <c r="A158" s="84" t="s">
        <v>389</v>
      </c>
      <c r="B158" s="85" t="s">
        <v>388</v>
      </c>
      <c r="C158" s="85" t="s">
        <v>83</v>
      </c>
      <c r="D158" s="84" t="s">
        <v>87</v>
      </c>
      <c r="E158" s="84">
        <f>VLOOKUP(A158,'2a. SI Pop'!$A$5:$E$198,5,FALSE)</f>
        <v>1</v>
      </c>
      <c r="F158" s="2">
        <v>37494</v>
      </c>
      <c r="G158" s="2">
        <f t="shared" si="14"/>
        <v>37494</v>
      </c>
      <c r="H158" s="2">
        <f t="shared" si="14"/>
        <v>37494</v>
      </c>
      <c r="I158" s="2">
        <f t="shared" si="14"/>
        <v>37494</v>
      </c>
      <c r="J158" s="2">
        <f t="shared" si="14"/>
        <v>37494</v>
      </c>
      <c r="K158" s="2">
        <v>35579</v>
      </c>
      <c r="L158" s="2">
        <f t="shared" si="15"/>
        <v>35579</v>
      </c>
      <c r="M158" s="2">
        <f t="shared" si="15"/>
        <v>35579</v>
      </c>
      <c r="N158" s="2">
        <f t="shared" si="15"/>
        <v>35579</v>
      </c>
      <c r="O158" s="2">
        <f t="shared" si="15"/>
        <v>35579</v>
      </c>
      <c r="P158" s="2">
        <v>33603</v>
      </c>
    </row>
    <row r="159" spans="1:16">
      <c r="A159" s="84" t="s">
        <v>391</v>
      </c>
      <c r="B159" s="85" t="s">
        <v>390</v>
      </c>
      <c r="C159" s="85" t="s">
        <v>83</v>
      </c>
      <c r="D159" s="84" t="s">
        <v>75</v>
      </c>
      <c r="E159" s="84">
        <f>VLOOKUP(A159,'2a. SI Pop'!$A$5:$E$198,5,FALSE)</f>
        <v>3</v>
      </c>
      <c r="F159" s="2">
        <v>5068856</v>
      </c>
      <c r="G159" s="2">
        <f t="shared" si="14"/>
        <v>5068856</v>
      </c>
      <c r="H159" s="2">
        <f t="shared" si="14"/>
        <v>5068856</v>
      </c>
      <c r="I159" s="2">
        <f t="shared" si="14"/>
        <v>5068856</v>
      </c>
      <c r="J159" s="2">
        <f t="shared" si="14"/>
        <v>5068856</v>
      </c>
      <c r="K159" s="2">
        <v>5216328</v>
      </c>
      <c r="L159" s="2">
        <f t="shared" si="15"/>
        <v>5216328</v>
      </c>
      <c r="M159" s="2">
        <f t="shared" si="15"/>
        <v>5216328</v>
      </c>
      <c r="N159" s="2">
        <f t="shared" si="15"/>
        <v>5216328</v>
      </c>
      <c r="O159" s="2">
        <f t="shared" si="15"/>
        <v>5216328</v>
      </c>
      <c r="P159" s="2">
        <v>5292557</v>
      </c>
    </row>
    <row r="160" spans="1:16">
      <c r="A160" s="84" t="s">
        <v>393</v>
      </c>
      <c r="B160" s="85" t="s">
        <v>392</v>
      </c>
      <c r="C160" s="85" t="s">
        <v>99</v>
      </c>
      <c r="D160" s="84" t="s">
        <v>87</v>
      </c>
      <c r="E160" s="84">
        <f>VLOOKUP(A160,'2a. SI Pop'!$A$5:$E$198,5,FALSE)</f>
        <v>1</v>
      </c>
      <c r="F160" s="2">
        <v>0</v>
      </c>
      <c r="G160" s="2">
        <f t="shared" si="14"/>
        <v>0</v>
      </c>
      <c r="H160" s="2">
        <f t="shared" si="14"/>
        <v>0</v>
      </c>
      <c r="I160" s="2">
        <f t="shared" si="14"/>
        <v>0</v>
      </c>
      <c r="J160" s="2">
        <f t="shared" si="14"/>
        <v>0</v>
      </c>
      <c r="K160" s="2">
        <v>0</v>
      </c>
      <c r="L160" s="2">
        <f t="shared" si="15"/>
        <v>0</v>
      </c>
      <c r="M160" s="2">
        <f t="shared" si="15"/>
        <v>0</v>
      </c>
      <c r="N160" s="2">
        <f t="shared" si="15"/>
        <v>0</v>
      </c>
      <c r="O160" s="2">
        <f t="shared" si="15"/>
        <v>0</v>
      </c>
      <c r="P160" s="2">
        <v>0</v>
      </c>
    </row>
    <row r="161" spans="1:16">
      <c r="A161" s="84" t="s">
        <v>395</v>
      </c>
      <c r="B161" s="85" t="s">
        <v>394</v>
      </c>
      <c r="C161" s="85" t="s">
        <v>79</v>
      </c>
      <c r="D161" s="84" t="s">
        <v>87</v>
      </c>
      <c r="E161" s="84">
        <f>VLOOKUP(A161,'2a. SI Pop'!$A$5:$E$198,5,FALSE)</f>
        <v>1</v>
      </c>
      <c r="F161" s="2">
        <v>2389905</v>
      </c>
      <c r="G161" s="2">
        <f t="shared" si="14"/>
        <v>2389905</v>
      </c>
      <c r="H161" s="2">
        <f t="shared" si="14"/>
        <v>2389905</v>
      </c>
      <c r="I161" s="2">
        <f t="shared" si="14"/>
        <v>2389905</v>
      </c>
      <c r="J161" s="2">
        <f t="shared" si="14"/>
        <v>2389905</v>
      </c>
      <c r="K161" s="2">
        <v>2246709</v>
      </c>
      <c r="L161" s="2">
        <f t="shared" si="15"/>
        <v>2246709</v>
      </c>
      <c r="M161" s="2">
        <f t="shared" si="15"/>
        <v>2246709</v>
      </c>
      <c r="N161" s="2">
        <f t="shared" si="15"/>
        <v>2246709</v>
      </c>
      <c r="O161" s="2">
        <f t="shared" si="15"/>
        <v>2246709</v>
      </c>
      <c r="P161" s="2">
        <v>2066246.9999999998</v>
      </c>
    </row>
    <row r="162" spans="1:16">
      <c r="A162" s="84" t="s">
        <v>397</v>
      </c>
      <c r="B162" s="85" t="s">
        <v>396</v>
      </c>
      <c r="C162" s="85" t="s">
        <v>79</v>
      </c>
      <c r="D162" s="84" t="s">
        <v>87</v>
      </c>
      <c r="E162" s="84">
        <f>VLOOKUP(A162,'2a. SI Pop'!$A$5:$E$198,5,FALSE)</f>
        <v>1</v>
      </c>
      <c r="F162" s="2">
        <v>848159</v>
      </c>
      <c r="G162" s="2">
        <f t="shared" si="14"/>
        <v>848159</v>
      </c>
      <c r="H162" s="2">
        <f t="shared" si="14"/>
        <v>848159</v>
      </c>
      <c r="I162" s="2">
        <f t="shared" si="14"/>
        <v>848159</v>
      </c>
      <c r="J162" s="2">
        <f t="shared" si="14"/>
        <v>848159</v>
      </c>
      <c r="K162" s="2">
        <v>791425</v>
      </c>
      <c r="L162" s="2">
        <f t="shared" si="15"/>
        <v>791425</v>
      </c>
      <c r="M162" s="2">
        <f t="shared" si="15"/>
        <v>791425</v>
      </c>
      <c r="N162" s="2">
        <f t="shared" si="15"/>
        <v>791425</v>
      </c>
      <c r="O162" s="2">
        <f t="shared" si="15"/>
        <v>791425</v>
      </c>
      <c r="P162" s="2">
        <v>729719</v>
      </c>
    </row>
    <row r="163" spans="1:16">
      <c r="A163" s="84" t="s">
        <v>399</v>
      </c>
      <c r="B163" s="85" t="s">
        <v>398</v>
      </c>
      <c r="C163" s="85" t="s">
        <v>74</v>
      </c>
      <c r="D163" s="84" t="s">
        <v>75</v>
      </c>
      <c r="E163" s="84">
        <f>VLOOKUP(A163,'2a. SI Pop'!$A$5:$E$198,5,FALSE)</f>
        <v>3</v>
      </c>
      <c r="F163" s="2">
        <v>10305770</v>
      </c>
      <c r="G163" s="2">
        <f t="shared" si="14"/>
        <v>10305770</v>
      </c>
      <c r="H163" s="2">
        <f t="shared" si="14"/>
        <v>10305770</v>
      </c>
      <c r="I163" s="2">
        <f t="shared" si="14"/>
        <v>10305770</v>
      </c>
      <c r="J163" s="2">
        <f t="shared" si="14"/>
        <v>10305770</v>
      </c>
      <c r="K163" s="2">
        <v>11073463</v>
      </c>
      <c r="L163" s="2">
        <f t="shared" si="15"/>
        <v>11073463</v>
      </c>
      <c r="M163" s="2">
        <f t="shared" si="15"/>
        <v>11073463</v>
      </c>
      <c r="N163" s="2">
        <f t="shared" si="15"/>
        <v>11073463</v>
      </c>
      <c r="O163" s="2">
        <f t="shared" si="15"/>
        <v>11073463</v>
      </c>
      <c r="P163" s="2">
        <v>11787851</v>
      </c>
    </row>
    <row r="164" spans="1:16">
      <c r="A164" s="84" t="s">
        <v>401</v>
      </c>
      <c r="B164" s="85" t="s">
        <v>400</v>
      </c>
      <c r="C164" s="85" t="s">
        <v>99</v>
      </c>
      <c r="D164" s="84" t="s">
        <v>84</v>
      </c>
      <c r="E164" s="84">
        <f>VLOOKUP(A164,'2a. SI Pop'!$A$5:$E$198,5,FALSE)</f>
        <v>4</v>
      </c>
      <c r="F164" s="2">
        <v>547611</v>
      </c>
      <c r="G164" s="2">
        <f t="shared" si="14"/>
        <v>547611</v>
      </c>
      <c r="H164" s="2">
        <f t="shared" si="14"/>
        <v>547611</v>
      </c>
      <c r="I164" s="2">
        <f t="shared" si="14"/>
        <v>547611</v>
      </c>
      <c r="J164" s="2">
        <f t="shared" si="14"/>
        <v>547611</v>
      </c>
      <c r="K164" s="2">
        <v>577153</v>
      </c>
      <c r="L164" s="2">
        <f t="shared" si="15"/>
        <v>577153</v>
      </c>
      <c r="M164" s="2">
        <f t="shared" si="15"/>
        <v>577153</v>
      </c>
      <c r="N164" s="2">
        <f t="shared" si="15"/>
        <v>577153</v>
      </c>
      <c r="O164" s="2">
        <f t="shared" si="15"/>
        <v>577153</v>
      </c>
      <c r="P164" s="2">
        <v>604955</v>
      </c>
    </row>
    <row r="165" spans="1:16">
      <c r="A165" s="84" t="s">
        <v>403</v>
      </c>
      <c r="B165" s="85" t="s">
        <v>402</v>
      </c>
      <c r="C165" s="85" t="s">
        <v>83</v>
      </c>
      <c r="D165" s="84" t="s">
        <v>80</v>
      </c>
      <c r="E165" s="84" t="str">
        <f>VLOOKUP(A165,'2a. SI Pop'!$A$5:$E$198,5,FALSE)</f>
        <v>Key</v>
      </c>
      <c r="F165" s="2">
        <v>18008481</v>
      </c>
      <c r="G165" s="2">
        <f t="shared" ref="G165:J184" si="16">F165</f>
        <v>18008481</v>
      </c>
      <c r="H165" s="2">
        <f t="shared" si="16"/>
        <v>18008481</v>
      </c>
      <c r="I165" s="2">
        <f t="shared" si="16"/>
        <v>18008481</v>
      </c>
      <c r="J165" s="2">
        <f t="shared" si="16"/>
        <v>18008481</v>
      </c>
      <c r="K165" s="2">
        <v>17249178</v>
      </c>
      <c r="L165" s="2">
        <f t="shared" ref="L165:O184" si="17">K165</f>
        <v>17249178</v>
      </c>
      <c r="M165" s="2">
        <f t="shared" si="17"/>
        <v>17249178</v>
      </c>
      <c r="N165" s="2">
        <f t="shared" si="17"/>
        <v>17249178</v>
      </c>
      <c r="O165" s="2">
        <f t="shared" si="17"/>
        <v>17249178</v>
      </c>
      <c r="P165" s="2">
        <v>16451149.000000002</v>
      </c>
    </row>
    <row r="166" spans="1:16">
      <c r="A166" s="84" t="s">
        <v>405</v>
      </c>
      <c r="B166" s="85" t="s">
        <v>404</v>
      </c>
      <c r="C166" s="85" t="s">
        <v>79</v>
      </c>
      <c r="D166" s="84" t="s">
        <v>87</v>
      </c>
      <c r="E166" s="84">
        <f>VLOOKUP(A166,'2a. SI Pop'!$A$5:$E$198,5,FALSE)</f>
        <v>1</v>
      </c>
      <c r="F166" s="2">
        <v>7695383</v>
      </c>
      <c r="G166" s="2">
        <f t="shared" si="16"/>
        <v>7695383</v>
      </c>
      <c r="H166" s="2">
        <f t="shared" si="16"/>
        <v>7695383</v>
      </c>
      <c r="I166" s="2">
        <f t="shared" si="16"/>
        <v>7695383</v>
      </c>
      <c r="J166" s="2">
        <f t="shared" si="16"/>
        <v>7695383</v>
      </c>
      <c r="K166" s="2">
        <v>7076255</v>
      </c>
      <c r="L166" s="2">
        <f t="shared" si="17"/>
        <v>7076255</v>
      </c>
      <c r="M166" s="2">
        <f t="shared" si="17"/>
        <v>7076255</v>
      </c>
      <c r="N166" s="2">
        <f t="shared" si="17"/>
        <v>7076255</v>
      </c>
      <c r="O166" s="2">
        <f t="shared" si="17"/>
        <v>7076255</v>
      </c>
      <c r="P166" s="2">
        <v>6468515</v>
      </c>
    </row>
    <row r="167" spans="1:16">
      <c r="A167" s="84" t="s">
        <v>407</v>
      </c>
      <c r="B167" s="85" t="s">
        <v>406</v>
      </c>
      <c r="C167" s="85" t="s">
        <v>110</v>
      </c>
      <c r="D167" s="84" t="s">
        <v>84</v>
      </c>
      <c r="E167" s="84">
        <f>VLOOKUP(A167,'2a. SI Pop'!$A$5:$E$198,5,FALSE)</f>
        <v>2</v>
      </c>
      <c r="F167" s="2">
        <v>16946676</v>
      </c>
      <c r="G167" s="2">
        <f t="shared" si="16"/>
        <v>16946676</v>
      </c>
      <c r="H167" s="2">
        <f t="shared" si="16"/>
        <v>16946676</v>
      </c>
      <c r="I167" s="2">
        <f t="shared" si="16"/>
        <v>16946676</v>
      </c>
      <c r="J167" s="2">
        <f t="shared" si="16"/>
        <v>16946676</v>
      </c>
      <c r="K167" s="2">
        <v>16524947</v>
      </c>
      <c r="L167" s="2">
        <f t="shared" si="17"/>
        <v>16524947</v>
      </c>
      <c r="M167" s="2">
        <f t="shared" si="17"/>
        <v>16524947</v>
      </c>
      <c r="N167" s="2">
        <f t="shared" si="17"/>
        <v>16524947</v>
      </c>
      <c r="O167" s="2">
        <f t="shared" si="17"/>
        <v>16524947</v>
      </c>
      <c r="P167" s="2">
        <v>15894307</v>
      </c>
    </row>
    <row r="168" spans="1:16">
      <c r="A168" s="84" t="s">
        <v>409</v>
      </c>
      <c r="B168" s="85" t="s">
        <v>408</v>
      </c>
      <c r="C168" s="85" t="s">
        <v>74</v>
      </c>
      <c r="D168" s="84" t="s">
        <v>75</v>
      </c>
      <c r="E168" s="84">
        <f>VLOOKUP(A168,'2a. SI Pop'!$A$5:$E$198,5,FALSE)</f>
        <v>3</v>
      </c>
      <c r="F168" s="2">
        <v>33067400.999999996</v>
      </c>
      <c r="G168" s="2">
        <f t="shared" si="16"/>
        <v>33067400.999999996</v>
      </c>
      <c r="H168" s="2">
        <f t="shared" si="16"/>
        <v>33067400.999999996</v>
      </c>
      <c r="I168" s="2">
        <f t="shared" si="16"/>
        <v>33067400.999999996</v>
      </c>
      <c r="J168" s="2">
        <f t="shared" si="16"/>
        <v>33067400.999999996</v>
      </c>
      <c r="K168" s="2">
        <v>34906932</v>
      </c>
      <c r="L168" s="2">
        <f t="shared" si="17"/>
        <v>34906932</v>
      </c>
      <c r="M168" s="2">
        <f t="shared" si="17"/>
        <v>34906932</v>
      </c>
      <c r="N168" s="2">
        <f t="shared" si="17"/>
        <v>34906932</v>
      </c>
      <c r="O168" s="2">
        <f t="shared" si="17"/>
        <v>34906932</v>
      </c>
      <c r="P168" s="2">
        <v>36363465</v>
      </c>
    </row>
    <row r="169" spans="1:16">
      <c r="A169" s="84" t="s">
        <v>411</v>
      </c>
      <c r="B169" s="85" t="s">
        <v>410</v>
      </c>
      <c r="C169" s="85" t="s">
        <v>74</v>
      </c>
      <c r="D169" s="84" t="s">
        <v>75</v>
      </c>
      <c r="E169" s="84">
        <f>VLOOKUP(A169,'2a. SI Pop'!$A$5:$E$198,5,FALSE)</f>
        <v>3</v>
      </c>
      <c r="F169" s="2">
        <v>13090758</v>
      </c>
      <c r="G169" s="2">
        <f t="shared" si="16"/>
        <v>13090758</v>
      </c>
      <c r="H169" s="2">
        <f t="shared" si="16"/>
        <v>13090758</v>
      </c>
      <c r="I169" s="2">
        <f t="shared" si="16"/>
        <v>13090758</v>
      </c>
      <c r="J169" s="2">
        <f t="shared" si="16"/>
        <v>13090758</v>
      </c>
      <c r="K169" s="2">
        <v>14045927</v>
      </c>
      <c r="L169" s="2">
        <f t="shared" si="17"/>
        <v>14045927</v>
      </c>
      <c r="M169" s="2">
        <f t="shared" si="17"/>
        <v>14045927</v>
      </c>
      <c r="N169" s="2">
        <f t="shared" si="17"/>
        <v>14045927</v>
      </c>
      <c r="O169" s="2">
        <f t="shared" si="17"/>
        <v>14045927</v>
      </c>
      <c r="P169" s="2">
        <v>14899365</v>
      </c>
    </row>
    <row r="170" spans="1:16">
      <c r="A170" s="84" t="s">
        <v>413</v>
      </c>
      <c r="B170" s="85" t="s">
        <v>412</v>
      </c>
      <c r="C170" s="85" t="s">
        <v>92</v>
      </c>
      <c r="D170" s="84" t="s">
        <v>80</v>
      </c>
      <c r="E170" s="84">
        <f>VLOOKUP(A170,'2a. SI Pop'!$A$5:$E$198,5,FALSE)</f>
        <v>1</v>
      </c>
      <c r="F170" s="2">
        <v>199727</v>
      </c>
      <c r="G170" s="2">
        <f t="shared" si="16"/>
        <v>199727</v>
      </c>
      <c r="H170" s="2">
        <f t="shared" si="16"/>
        <v>199727</v>
      </c>
      <c r="I170" s="2">
        <f t="shared" si="16"/>
        <v>199727</v>
      </c>
      <c r="J170" s="2">
        <f t="shared" si="16"/>
        <v>199727</v>
      </c>
      <c r="K170" s="2">
        <v>195692</v>
      </c>
      <c r="L170" s="2">
        <f t="shared" si="17"/>
        <v>195692</v>
      </c>
      <c r="M170" s="2">
        <f t="shared" si="17"/>
        <v>195692</v>
      </c>
      <c r="N170" s="2">
        <f t="shared" si="17"/>
        <v>195692</v>
      </c>
      <c r="O170" s="2">
        <f t="shared" si="17"/>
        <v>195692</v>
      </c>
      <c r="P170" s="2">
        <v>187865</v>
      </c>
    </row>
    <row r="171" spans="1:16">
      <c r="A171" s="84" t="s">
        <v>415</v>
      </c>
      <c r="B171" s="85" t="s">
        <v>414</v>
      </c>
      <c r="C171" s="85" t="s">
        <v>83</v>
      </c>
      <c r="D171" s="84" t="s">
        <v>84</v>
      </c>
      <c r="E171" s="84">
        <f>VLOOKUP(A171,'2a. SI Pop'!$A$5:$E$198,5,FALSE)</f>
        <v>3</v>
      </c>
      <c r="F171" s="2">
        <v>1224252</v>
      </c>
      <c r="G171" s="2">
        <f t="shared" si="16"/>
        <v>1224252</v>
      </c>
      <c r="H171" s="2">
        <f t="shared" si="16"/>
        <v>1224252</v>
      </c>
      <c r="I171" s="2">
        <f t="shared" si="16"/>
        <v>1224252</v>
      </c>
      <c r="J171" s="2">
        <f t="shared" si="16"/>
        <v>1224252</v>
      </c>
      <c r="K171" s="2">
        <v>1276772</v>
      </c>
      <c r="L171" s="2">
        <f t="shared" si="17"/>
        <v>1276772</v>
      </c>
      <c r="M171" s="2">
        <f t="shared" si="17"/>
        <v>1276772</v>
      </c>
      <c r="N171" s="2">
        <f t="shared" si="17"/>
        <v>1276772</v>
      </c>
      <c r="O171" s="2">
        <f t="shared" si="17"/>
        <v>1276772</v>
      </c>
      <c r="P171" s="2">
        <v>1320273</v>
      </c>
    </row>
    <row r="172" spans="1:16">
      <c r="A172" s="84" t="s">
        <v>417</v>
      </c>
      <c r="B172" s="85" t="s">
        <v>416</v>
      </c>
      <c r="C172" s="85" t="s">
        <v>79</v>
      </c>
      <c r="D172" s="84" t="s">
        <v>87</v>
      </c>
      <c r="E172" s="84">
        <f>VLOOKUP(A172,'2a. SI Pop'!$A$5:$E$198,5,FALSE)</f>
        <v>1</v>
      </c>
      <c r="F172" s="2">
        <v>1042743.9999999999</v>
      </c>
      <c r="G172" s="2">
        <f t="shared" si="16"/>
        <v>1042743.9999999999</v>
      </c>
      <c r="H172" s="2">
        <f t="shared" si="16"/>
        <v>1042743.9999999999</v>
      </c>
      <c r="I172" s="2">
        <f t="shared" si="16"/>
        <v>1042743.9999999999</v>
      </c>
      <c r="J172" s="2">
        <f t="shared" si="16"/>
        <v>1042743.9999999999</v>
      </c>
      <c r="K172" s="2">
        <v>965961</v>
      </c>
      <c r="L172" s="2">
        <f t="shared" si="17"/>
        <v>965961</v>
      </c>
      <c r="M172" s="2">
        <f t="shared" si="17"/>
        <v>965961</v>
      </c>
      <c r="N172" s="2">
        <f t="shared" si="17"/>
        <v>965961</v>
      </c>
      <c r="O172" s="2">
        <f t="shared" si="17"/>
        <v>965961</v>
      </c>
      <c r="P172" s="2">
        <v>898627</v>
      </c>
    </row>
    <row r="173" spans="1:16">
      <c r="A173" s="84" t="s">
        <v>419</v>
      </c>
      <c r="B173" s="85" t="s">
        <v>418</v>
      </c>
      <c r="C173" s="85" t="s">
        <v>79</v>
      </c>
      <c r="D173" s="84" t="s">
        <v>87</v>
      </c>
      <c r="E173" s="84">
        <f>VLOOKUP(A173,'2a. SI Pop'!$A$5:$E$198,5,FALSE)</f>
        <v>1</v>
      </c>
      <c r="F173" s="2">
        <v>2267229</v>
      </c>
      <c r="G173" s="2">
        <f t="shared" si="16"/>
        <v>2267229</v>
      </c>
      <c r="H173" s="2">
        <f t="shared" si="16"/>
        <v>2267229</v>
      </c>
      <c r="I173" s="2">
        <f t="shared" si="16"/>
        <v>2267229</v>
      </c>
      <c r="J173" s="2">
        <f t="shared" si="16"/>
        <v>2267229</v>
      </c>
      <c r="K173" s="2">
        <v>2203621</v>
      </c>
      <c r="L173" s="2">
        <f t="shared" si="17"/>
        <v>2203621</v>
      </c>
      <c r="M173" s="2">
        <f t="shared" si="17"/>
        <v>2203621</v>
      </c>
      <c r="N173" s="2">
        <f t="shared" si="17"/>
        <v>2203621</v>
      </c>
      <c r="O173" s="2">
        <f t="shared" si="17"/>
        <v>2203621</v>
      </c>
      <c r="P173" s="2">
        <v>2101216</v>
      </c>
    </row>
    <row r="174" spans="1:16">
      <c r="A174" s="84" t="s">
        <v>421</v>
      </c>
      <c r="B174" s="85" t="s">
        <v>420</v>
      </c>
      <c r="C174" s="85" t="s">
        <v>74</v>
      </c>
      <c r="D174" s="84" t="s">
        <v>75</v>
      </c>
      <c r="E174" s="84">
        <f>VLOOKUP(A174,'2a. SI Pop'!$A$5:$E$198,5,FALSE)</f>
        <v>2</v>
      </c>
      <c r="F174" s="2">
        <v>10185212</v>
      </c>
      <c r="G174" s="2">
        <f t="shared" si="16"/>
        <v>10185212</v>
      </c>
      <c r="H174" s="2">
        <f t="shared" si="16"/>
        <v>10185212</v>
      </c>
      <c r="I174" s="2">
        <f t="shared" si="16"/>
        <v>10185212</v>
      </c>
      <c r="J174" s="2">
        <f t="shared" si="16"/>
        <v>10185212</v>
      </c>
      <c r="K174" s="2">
        <v>10228491</v>
      </c>
      <c r="L174" s="2">
        <f t="shared" si="17"/>
        <v>10228491</v>
      </c>
      <c r="M174" s="2">
        <f t="shared" si="17"/>
        <v>10228491</v>
      </c>
      <c r="N174" s="2">
        <f t="shared" si="17"/>
        <v>10228491</v>
      </c>
      <c r="O174" s="2">
        <f t="shared" si="17"/>
        <v>10228491</v>
      </c>
      <c r="P174" s="2">
        <v>10089624</v>
      </c>
    </row>
    <row r="175" spans="1:16">
      <c r="A175" s="84" t="s">
        <v>423</v>
      </c>
      <c r="B175" s="85" t="s">
        <v>422</v>
      </c>
      <c r="C175" s="85" t="s">
        <v>83</v>
      </c>
      <c r="D175" s="84" t="s">
        <v>84</v>
      </c>
      <c r="E175" s="84" t="str">
        <f>VLOOKUP(A175,'2a. SI Pop'!$A$5:$E$198,5,FALSE)</f>
        <v>Key</v>
      </c>
      <c r="F175" s="2">
        <v>48172997</v>
      </c>
      <c r="G175" s="2">
        <f t="shared" si="16"/>
        <v>48172997</v>
      </c>
      <c r="H175" s="2">
        <f t="shared" si="16"/>
        <v>48172997</v>
      </c>
      <c r="I175" s="2">
        <f t="shared" si="16"/>
        <v>48172997</v>
      </c>
      <c r="J175" s="2">
        <f t="shared" si="16"/>
        <v>48172997</v>
      </c>
      <c r="K175" s="2">
        <v>51860581</v>
      </c>
      <c r="L175" s="2">
        <f t="shared" si="17"/>
        <v>51860581</v>
      </c>
      <c r="M175" s="2">
        <f t="shared" si="17"/>
        <v>51860581</v>
      </c>
      <c r="N175" s="2">
        <f t="shared" si="17"/>
        <v>51860581</v>
      </c>
      <c r="O175" s="2">
        <f t="shared" si="17"/>
        <v>51860581</v>
      </c>
      <c r="P175" s="2">
        <v>55480323</v>
      </c>
    </row>
    <row r="176" spans="1:16">
      <c r="A176" s="84" t="s">
        <v>425</v>
      </c>
      <c r="B176" s="85" t="s">
        <v>424</v>
      </c>
      <c r="C176" s="85" t="s">
        <v>79</v>
      </c>
      <c r="D176" s="84" t="s">
        <v>75</v>
      </c>
      <c r="E176" s="84">
        <f>VLOOKUP(A176,'2a. SI Pop'!$A$5:$E$198,5,FALSE)</f>
        <v>2</v>
      </c>
      <c r="F176" s="2">
        <v>7749992</v>
      </c>
      <c r="G176" s="2">
        <f t="shared" si="16"/>
        <v>7749992</v>
      </c>
      <c r="H176" s="2">
        <f t="shared" si="16"/>
        <v>7749992</v>
      </c>
      <c r="I176" s="2">
        <f t="shared" si="16"/>
        <v>7749992</v>
      </c>
      <c r="J176" s="2">
        <f t="shared" si="16"/>
        <v>7749992</v>
      </c>
      <c r="K176" s="2">
        <v>8014268</v>
      </c>
      <c r="L176" s="2">
        <f t="shared" si="17"/>
        <v>8014268</v>
      </c>
      <c r="M176" s="2">
        <f t="shared" si="17"/>
        <v>8014268</v>
      </c>
      <c r="N176" s="2">
        <f t="shared" si="17"/>
        <v>8014268</v>
      </c>
      <c r="O176" s="2">
        <f t="shared" si="17"/>
        <v>8014268</v>
      </c>
      <c r="P176" s="2">
        <v>8184864</v>
      </c>
    </row>
    <row r="177" spans="1:16">
      <c r="A177" s="84" t="s">
        <v>427</v>
      </c>
      <c r="B177" s="85" t="s">
        <v>426</v>
      </c>
      <c r="C177" s="85" t="s">
        <v>110</v>
      </c>
      <c r="D177" s="84" t="s">
        <v>80</v>
      </c>
      <c r="E177" s="84">
        <f>VLOOKUP(A177,'2a. SI Pop'!$A$5:$E$198,5,FALSE)</f>
        <v>1</v>
      </c>
      <c r="F177" s="2">
        <v>28950637</v>
      </c>
      <c r="G177" s="2">
        <f t="shared" si="16"/>
        <v>28950637</v>
      </c>
      <c r="H177" s="2">
        <f t="shared" si="16"/>
        <v>28950637</v>
      </c>
      <c r="I177" s="2">
        <f t="shared" si="16"/>
        <v>28950637</v>
      </c>
      <c r="J177" s="2">
        <f t="shared" si="16"/>
        <v>28950637</v>
      </c>
      <c r="K177" s="2">
        <v>26590349</v>
      </c>
      <c r="L177" s="2">
        <f t="shared" si="17"/>
        <v>26590349</v>
      </c>
      <c r="M177" s="2">
        <f t="shared" si="17"/>
        <v>26590349</v>
      </c>
      <c r="N177" s="2">
        <f t="shared" si="17"/>
        <v>26590349</v>
      </c>
      <c r="O177" s="2">
        <f t="shared" si="17"/>
        <v>26590349</v>
      </c>
      <c r="P177" s="2">
        <v>24296268</v>
      </c>
    </row>
    <row r="178" spans="1:16">
      <c r="A178" s="84" t="s">
        <v>429</v>
      </c>
      <c r="B178" s="85" t="s">
        <v>428</v>
      </c>
      <c r="C178" s="85" t="s">
        <v>110</v>
      </c>
      <c r="D178" s="84" t="s">
        <v>84</v>
      </c>
      <c r="E178" s="84">
        <f>VLOOKUP(A178,'2a. SI Pop'!$A$5:$E$198,5,FALSE)</f>
        <v>4</v>
      </c>
      <c r="F178" s="2">
        <v>1103965</v>
      </c>
      <c r="G178" s="2">
        <f t="shared" si="16"/>
        <v>1103965</v>
      </c>
      <c r="H178" s="2">
        <f t="shared" si="16"/>
        <v>1103965</v>
      </c>
      <c r="I178" s="2">
        <f t="shared" si="16"/>
        <v>1103965</v>
      </c>
      <c r="J178" s="2">
        <f t="shared" si="16"/>
        <v>1103965</v>
      </c>
      <c r="K178" s="2">
        <v>1179205</v>
      </c>
      <c r="L178" s="2">
        <f t="shared" si="17"/>
        <v>1179205</v>
      </c>
      <c r="M178" s="2">
        <f t="shared" si="17"/>
        <v>1179205</v>
      </c>
      <c r="N178" s="2">
        <f t="shared" si="17"/>
        <v>1179205</v>
      </c>
      <c r="O178" s="2">
        <f t="shared" si="17"/>
        <v>1179205</v>
      </c>
      <c r="P178" s="2">
        <v>1248265</v>
      </c>
    </row>
    <row r="179" spans="1:16">
      <c r="A179" s="84" t="s">
        <v>431</v>
      </c>
      <c r="B179" s="85" t="s">
        <v>430</v>
      </c>
      <c r="C179" s="85" t="s">
        <v>83</v>
      </c>
      <c r="D179" s="84" t="s">
        <v>75</v>
      </c>
      <c r="E179" s="84">
        <f>VLOOKUP(A179,'2a. SI Pop'!$A$5:$E$198,5,FALSE)</f>
        <v>3</v>
      </c>
      <c r="F179" s="2">
        <v>5400839</v>
      </c>
      <c r="G179" s="2">
        <f t="shared" si="16"/>
        <v>5400839</v>
      </c>
      <c r="H179" s="2">
        <f t="shared" si="16"/>
        <v>5400839</v>
      </c>
      <c r="I179" s="2">
        <f t="shared" si="16"/>
        <v>5400839</v>
      </c>
      <c r="J179" s="2">
        <f t="shared" si="16"/>
        <v>5400839</v>
      </c>
      <c r="K179" s="2">
        <v>5641845</v>
      </c>
      <c r="L179" s="2">
        <f t="shared" si="17"/>
        <v>5641845</v>
      </c>
      <c r="M179" s="2">
        <f t="shared" si="17"/>
        <v>5641845</v>
      </c>
      <c r="N179" s="2">
        <f t="shared" si="17"/>
        <v>5641845</v>
      </c>
      <c r="O179" s="2">
        <f t="shared" si="17"/>
        <v>5641845</v>
      </c>
      <c r="P179" s="2">
        <v>5830331</v>
      </c>
    </row>
    <row r="180" spans="1:16">
      <c r="A180" s="84" t="s">
        <v>433</v>
      </c>
      <c r="B180" s="85" t="s">
        <v>432</v>
      </c>
      <c r="C180" s="85" t="s">
        <v>99</v>
      </c>
      <c r="D180" s="84" t="s">
        <v>80</v>
      </c>
      <c r="E180" s="84">
        <f>VLOOKUP(A180,'2a. SI Pop'!$A$5:$E$198,5,FALSE)</f>
        <v>1</v>
      </c>
      <c r="F180" s="2">
        <v>92215</v>
      </c>
      <c r="G180" s="2">
        <f t="shared" si="16"/>
        <v>92215</v>
      </c>
      <c r="H180" s="2">
        <f t="shared" si="16"/>
        <v>92215</v>
      </c>
      <c r="I180" s="2">
        <f t="shared" si="16"/>
        <v>92215</v>
      </c>
      <c r="J180" s="2">
        <f t="shared" si="16"/>
        <v>92215</v>
      </c>
      <c r="K180" s="2">
        <v>95246</v>
      </c>
      <c r="L180" s="2">
        <f t="shared" si="17"/>
        <v>95246</v>
      </c>
      <c r="M180" s="2">
        <f t="shared" si="17"/>
        <v>95246</v>
      </c>
      <c r="N180" s="2">
        <f t="shared" si="17"/>
        <v>95246</v>
      </c>
      <c r="O180" s="2">
        <f t="shared" si="17"/>
        <v>95246</v>
      </c>
      <c r="P180" s="2">
        <v>97450</v>
      </c>
    </row>
    <row r="181" spans="1:16">
      <c r="A181" s="84" t="s">
        <v>435</v>
      </c>
      <c r="B181" s="85" t="s">
        <v>434</v>
      </c>
      <c r="C181" s="85" t="s">
        <v>92</v>
      </c>
      <c r="D181" s="84" t="s">
        <v>87</v>
      </c>
      <c r="E181" s="84">
        <f>VLOOKUP(A181,'2a. SI Pop'!$A$5:$E$198,5,FALSE)</f>
        <v>1</v>
      </c>
      <c r="F181" s="2">
        <v>620890</v>
      </c>
      <c r="G181" s="2">
        <f t="shared" si="16"/>
        <v>620890</v>
      </c>
      <c r="H181" s="2">
        <f t="shared" si="16"/>
        <v>620890</v>
      </c>
      <c r="I181" s="2">
        <f t="shared" si="16"/>
        <v>620890</v>
      </c>
      <c r="J181" s="2">
        <f t="shared" si="16"/>
        <v>620890</v>
      </c>
      <c r="K181" s="2">
        <v>592183</v>
      </c>
      <c r="L181" s="2">
        <f t="shared" si="17"/>
        <v>592183</v>
      </c>
      <c r="M181" s="2">
        <f t="shared" si="17"/>
        <v>592183</v>
      </c>
      <c r="N181" s="2">
        <f t="shared" si="17"/>
        <v>592183</v>
      </c>
      <c r="O181" s="2">
        <f t="shared" si="17"/>
        <v>592183</v>
      </c>
      <c r="P181" s="2">
        <v>556511</v>
      </c>
    </row>
    <row r="182" spans="1:16">
      <c r="A182" s="84" t="s">
        <v>437</v>
      </c>
      <c r="B182" s="85" t="s">
        <v>436</v>
      </c>
      <c r="C182" s="85" t="s">
        <v>74</v>
      </c>
      <c r="D182" s="84" t="s">
        <v>84</v>
      </c>
      <c r="E182" s="84">
        <f>VLOOKUP(A182,'2a. SI Pop'!$A$5:$E$198,5,FALSE)</f>
        <v>3</v>
      </c>
      <c r="F182" s="2">
        <v>3469217</v>
      </c>
      <c r="G182" s="2">
        <f t="shared" si="16"/>
        <v>3469217</v>
      </c>
      <c r="H182" s="2">
        <f t="shared" si="16"/>
        <v>3469217</v>
      </c>
      <c r="I182" s="2">
        <f t="shared" si="16"/>
        <v>3469217</v>
      </c>
      <c r="J182" s="2">
        <f t="shared" si="16"/>
        <v>3469217</v>
      </c>
      <c r="K182" s="2">
        <v>3313041</v>
      </c>
      <c r="L182" s="2">
        <f t="shared" si="17"/>
        <v>3313041</v>
      </c>
      <c r="M182" s="2">
        <f t="shared" si="17"/>
        <v>3313041</v>
      </c>
      <c r="N182" s="2">
        <f t="shared" si="17"/>
        <v>3313041</v>
      </c>
      <c r="O182" s="2">
        <f t="shared" si="17"/>
        <v>3313041</v>
      </c>
      <c r="P182" s="2">
        <v>3129945</v>
      </c>
    </row>
    <row r="183" spans="1:16">
      <c r="A183" s="84" t="s">
        <v>439</v>
      </c>
      <c r="B183" s="85" t="s">
        <v>438</v>
      </c>
      <c r="C183" s="85" t="s">
        <v>79</v>
      </c>
      <c r="D183" s="84" t="s">
        <v>80</v>
      </c>
      <c r="E183" s="84">
        <f>VLOOKUP(A183,'2a. SI Pop'!$A$5:$E$198,5,FALSE)</f>
        <v>1</v>
      </c>
      <c r="F183" s="2">
        <v>17465172</v>
      </c>
      <c r="G183" s="2">
        <f t="shared" si="16"/>
        <v>17465172</v>
      </c>
      <c r="H183" s="2">
        <f t="shared" si="16"/>
        <v>17465172</v>
      </c>
      <c r="I183" s="2">
        <f t="shared" si="16"/>
        <v>17465172</v>
      </c>
      <c r="J183" s="2">
        <f t="shared" si="16"/>
        <v>17465172</v>
      </c>
      <c r="K183" s="2">
        <v>16434455.000000002</v>
      </c>
      <c r="L183" s="2">
        <f t="shared" si="17"/>
        <v>16434455.000000002</v>
      </c>
      <c r="M183" s="2">
        <f t="shared" si="17"/>
        <v>16434455.000000002</v>
      </c>
      <c r="N183" s="2">
        <f t="shared" si="17"/>
        <v>16434455.000000002</v>
      </c>
      <c r="O183" s="2">
        <f t="shared" si="17"/>
        <v>16434455.000000002</v>
      </c>
      <c r="P183" s="2">
        <v>15464020</v>
      </c>
    </row>
    <row r="184" spans="1:16">
      <c r="A184" s="84" t="s">
        <v>441</v>
      </c>
      <c r="B184" s="85" t="s">
        <v>440</v>
      </c>
      <c r="C184" s="85" t="s">
        <v>79</v>
      </c>
      <c r="D184" s="84" t="s">
        <v>80</v>
      </c>
      <c r="E184" s="84">
        <f>VLOOKUP(A184,'2a. SI Pop'!$A$5:$E$198,5,FALSE)</f>
        <v>1</v>
      </c>
      <c r="F184" s="2">
        <v>2850563</v>
      </c>
      <c r="G184" s="2">
        <f t="shared" si="16"/>
        <v>2850563</v>
      </c>
      <c r="H184" s="2">
        <f t="shared" si="16"/>
        <v>2850563</v>
      </c>
      <c r="I184" s="2">
        <f t="shared" si="16"/>
        <v>2850563</v>
      </c>
      <c r="J184" s="2">
        <f t="shared" si="16"/>
        <v>2850563</v>
      </c>
      <c r="K184" s="2">
        <v>2776061</v>
      </c>
      <c r="L184" s="2">
        <f t="shared" si="17"/>
        <v>2776061</v>
      </c>
      <c r="M184" s="2">
        <f t="shared" si="17"/>
        <v>2776061</v>
      </c>
      <c r="N184" s="2">
        <f t="shared" si="17"/>
        <v>2776061</v>
      </c>
      <c r="O184" s="2">
        <f t="shared" si="17"/>
        <v>2776061</v>
      </c>
      <c r="P184" s="2">
        <v>2686253</v>
      </c>
    </row>
    <row r="185" spans="1:16">
      <c r="A185" s="84" t="s">
        <v>443</v>
      </c>
      <c r="B185" s="85" t="s">
        <v>442</v>
      </c>
      <c r="C185" s="85" t="s">
        <v>99</v>
      </c>
      <c r="D185" s="84" t="s">
        <v>80</v>
      </c>
      <c r="E185" s="84">
        <f>VLOOKUP(A185,'2a. SI Pop'!$A$5:$E$198,5,FALSE)</f>
        <v>4</v>
      </c>
      <c r="F185" s="2">
        <v>3748</v>
      </c>
      <c r="G185" s="2">
        <f t="shared" ref="G185:J198" si="18">F185</f>
        <v>3748</v>
      </c>
      <c r="H185" s="2">
        <f t="shared" si="18"/>
        <v>3748</v>
      </c>
      <c r="I185" s="2">
        <f t="shared" si="18"/>
        <v>3748</v>
      </c>
      <c r="J185" s="2">
        <f t="shared" si="18"/>
        <v>3748</v>
      </c>
      <c r="K185" s="2">
        <v>3611</v>
      </c>
      <c r="L185" s="2">
        <f t="shared" ref="L185:O198" si="19">K185</f>
        <v>3611</v>
      </c>
      <c r="M185" s="2">
        <f t="shared" si="19"/>
        <v>3611</v>
      </c>
      <c r="N185" s="2">
        <f t="shared" si="19"/>
        <v>3611</v>
      </c>
      <c r="O185" s="2">
        <f t="shared" si="19"/>
        <v>3611</v>
      </c>
      <c r="P185" s="2">
        <v>3502</v>
      </c>
    </row>
    <row r="186" spans="1:16">
      <c r="A186" s="84" t="s">
        <v>445</v>
      </c>
      <c r="B186" s="85" t="s">
        <v>444</v>
      </c>
      <c r="C186" s="85" t="s">
        <v>83</v>
      </c>
      <c r="D186" s="84" t="s">
        <v>75</v>
      </c>
      <c r="E186" s="84" t="str">
        <f>VLOOKUP(A186,'2a. SI Pop'!$A$5:$E$198,5,FALSE)</f>
        <v>Key</v>
      </c>
      <c r="F186" s="2">
        <v>43927928</v>
      </c>
      <c r="G186" s="2">
        <f t="shared" si="18"/>
        <v>43927928</v>
      </c>
      <c r="H186" s="2">
        <f t="shared" si="18"/>
        <v>43927928</v>
      </c>
      <c r="I186" s="2">
        <f t="shared" si="18"/>
        <v>43927928</v>
      </c>
      <c r="J186" s="2">
        <f t="shared" si="18"/>
        <v>43927928</v>
      </c>
      <c r="K186" s="2">
        <v>48113433</v>
      </c>
      <c r="L186" s="2">
        <f t="shared" si="19"/>
        <v>48113433</v>
      </c>
      <c r="M186" s="2">
        <f t="shared" si="19"/>
        <v>48113433</v>
      </c>
      <c r="N186" s="2">
        <f t="shared" si="19"/>
        <v>48113433</v>
      </c>
      <c r="O186" s="2">
        <f t="shared" si="19"/>
        <v>48113433</v>
      </c>
      <c r="P186" s="2">
        <v>52114598</v>
      </c>
    </row>
    <row r="187" spans="1:16">
      <c r="A187" s="84" t="s">
        <v>447</v>
      </c>
      <c r="B187" s="85" t="s">
        <v>446</v>
      </c>
      <c r="C187" s="85" t="s">
        <v>79</v>
      </c>
      <c r="D187" s="84" t="s">
        <v>84</v>
      </c>
      <c r="E187" s="84">
        <f>VLOOKUP(A187,'2a. SI Pop'!$A$5:$E$198,5,FALSE)</f>
        <v>1</v>
      </c>
      <c r="F187" s="2">
        <v>11663582</v>
      </c>
      <c r="G187" s="2">
        <f t="shared" si="18"/>
        <v>11663582</v>
      </c>
      <c r="H187" s="2">
        <f t="shared" si="18"/>
        <v>11663582</v>
      </c>
      <c r="I187" s="2">
        <f t="shared" si="18"/>
        <v>11663582</v>
      </c>
      <c r="J187" s="2">
        <f t="shared" si="18"/>
        <v>11663582</v>
      </c>
      <c r="K187" s="2">
        <v>10697858</v>
      </c>
      <c r="L187" s="2">
        <f t="shared" si="19"/>
        <v>10697858</v>
      </c>
      <c r="M187" s="2">
        <f t="shared" si="19"/>
        <v>10697858</v>
      </c>
      <c r="N187" s="2">
        <f t="shared" si="19"/>
        <v>10697858</v>
      </c>
      <c r="O187" s="2">
        <f t="shared" si="19"/>
        <v>10697858</v>
      </c>
      <c r="P187" s="2">
        <v>9692932</v>
      </c>
    </row>
    <row r="188" spans="1:16">
      <c r="A188" s="84" t="s">
        <v>449</v>
      </c>
      <c r="B188" s="85" t="s">
        <v>448</v>
      </c>
      <c r="C188" s="85" t="s">
        <v>74</v>
      </c>
      <c r="D188" s="84" t="s">
        <v>87</v>
      </c>
      <c r="E188" s="84">
        <f>VLOOKUP(A188,'2a. SI Pop'!$A$5:$E$198,5,FALSE)</f>
        <v>1</v>
      </c>
      <c r="F188" s="2">
        <v>1189288</v>
      </c>
      <c r="G188" s="2">
        <f t="shared" si="18"/>
        <v>1189288</v>
      </c>
      <c r="H188" s="2">
        <f t="shared" si="18"/>
        <v>1189288</v>
      </c>
      <c r="I188" s="2">
        <f t="shared" si="18"/>
        <v>1189288</v>
      </c>
      <c r="J188" s="2">
        <f t="shared" si="18"/>
        <v>1189288</v>
      </c>
      <c r="K188" s="2">
        <v>1150678</v>
      </c>
      <c r="L188" s="2">
        <f t="shared" si="19"/>
        <v>1150678</v>
      </c>
      <c r="M188" s="2">
        <f t="shared" si="19"/>
        <v>1150678</v>
      </c>
      <c r="N188" s="2">
        <f t="shared" si="19"/>
        <v>1150678</v>
      </c>
      <c r="O188" s="2">
        <f t="shared" si="19"/>
        <v>1150678</v>
      </c>
      <c r="P188" s="2">
        <v>1107873</v>
      </c>
    </row>
    <row r="189" spans="1:16">
      <c r="A189" s="84" t="s">
        <v>451</v>
      </c>
      <c r="B189" s="85" t="s">
        <v>450</v>
      </c>
      <c r="C189" s="85" t="s">
        <v>79</v>
      </c>
      <c r="D189" s="84" t="s">
        <v>87</v>
      </c>
      <c r="E189" s="84">
        <f>VLOOKUP(A189,'2a. SI Pop'!$A$5:$E$198,5,FALSE)</f>
        <v>1</v>
      </c>
      <c r="F189" s="2">
        <v>9680082</v>
      </c>
      <c r="G189" s="2">
        <f t="shared" si="18"/>
        <v>9680082</v>
      </c>
      <c r="H189" s="2">
        <f t="shared" si="18"/>
        <v>9680082</v>
      </c>
      <c r="I189" s="2">
        <f t="shared" si="18"/>
        <v>9680082</v>
      </c>
      <c r="J189" s="2">
        <f t="shared" si="18"/>
        <v>9680082</v>
      </c>
      <c r="K189" s="2">
        <v>9075081</v>
      </c>
      <c r="L189" s="2">
        <f t="shared" si="19"/>
        <v>9075081</v>
      </c>
      <c r="M189" s="2">
        <f t="shared" si="19"/>
        <v>9075081</v>
      </c>
      <c r="N189" s="2">
        <f t="shared" si="19"/>
        <v>9075081</v>
      </c>
      <c r="O189" s="2">
        <f t="shared" si="19"/>
        <v>9075081</v>
      </c>
      <c r="P189" s="2">
        <v>8485929</v>
      </c>
    </row>
    <row r="190" spans="1:16">
      <c r="A190" s="84" t="s">
        <v>453</v>
      </c>
      <c r="B190" s="85" t="s">
        <v>452</v>
      </c>
      <c r="C190" s="85" t="s">
        <v>92</v>
      </c>
      <c r="D190" s="84" t="s">
        <v>87</v>
      </c>
      <c r="E190" s="84" t="str">
        <f>VLOOKUP(A190,'2a. SI Pop'!$A$5:$E$198,5,FALSE)</f>
        <v>Key</v>
      </c>
      <c r="F190" s="2">
        <v>53711110</v>
      </c>
      <c r="G190" s="2">
        <f t="shared" si="18"/>
        <v>53711110</v>
      </c>
      <c r="H190" s="2">
        <f t="shared" si="18"/>
        <v>53711110</v>
      </c>
      <c r="I190" s="2">
        <f t="shared" si="18"/>
        <v>53711110</v>
      </c>
      <c r="J190" s="2">
        <f t="shared" si="18"/>
        <v>53711110</v>
      </c>
      <c r="K190" s="2">
        <v>51064669</v>
      </c>
      <c r="L190" s="2">
        <f t="shared" si="19"/>
        <v>51064669</v>
      </c>
      <c r="M190" s="2">
        <f t="shared" si="19"/>
        <v>51064669</v>
      </c>
      <c r="N190" s="2">
        <f t="shared" si="19"/>
        <v>51064669</v>
      </c>
      <c r="O190" s="2">
        <f t="shared" si="19"/>
        <v>51064669</v>
      </c>
      <c r="P190" s="2">
        <v>48119573</v>
      </c>
    </row>
    <row r="191" spans="1:16">
      <c r="A191" s="84" t="s">
        <v>455</v>
      </c>
      <c r="B191" s="85" t="s">
        <v>454</v>
      </c>
      <c r="C191" s="85" t="s">
        <v>92</v>
      </c>
      <c r="D191" s="84" t="s">
        <v>87</v>
      </c>
      <c r="E191" s="84">
        <f>VLOOKUP(A191,'2a. SI Pop'!$A$5:$E$198,5,FALSE)</f>
        <v>1</v>
      </c>
      <c r="F191" s="2">
        <v>133046</v>
      </c>
      <c r="G191" s="2">
        <f t="shared" si="18"/>
        <v>133046</v>
      </c>
      <c r="H191" s="2">
        <f t="shared" si="18"/>
        <v>133046</v>
      </c>
      <c r="I191" s="2">
        <f t="shared" si="18"/>
        <v>133046</v>
      </c>
      <c r="J191" s="2">
        <f t="shared" si="18"/>
        <v>133046</v>
      </c>
      <c r="K191" s="2">
        <v>122523</v>
      </c>
      <c r="L191" s="2">
        <f t="shared" si="19"/>
        <v>122523</v>
      </c>
      <c r="M191" s="2">
        <f t="shared" si="19"/>
        <v>122523</v>
      </c>
      <c r="N191" s="2">
        <f t="shared" si="19"/>
        <v>122523</v>
      </c>
      <c r="O191" s="2">
        <f t="shared" si="19"/>
        <v>122523</v>
      </c>
      <c r="P191" s="2">
        <v>112792</v>
      </c>
    </row>
    <row r="192" spans="1:16">
      <c r="A192" s="84" t="s">
        <v>457</v>
      </c>
      <c r="B192" s="85" t="s">
        <v>456</v>
      </c>
      <c r="C192" s="85" t="s">
        <v>79</v>
      </c>
      <c r="D192" s="84" t="s">
        <v>84</v>
      </c>
      <c r="E192" s="84">
        <f>VLOOKUP(A192,'2a. SI Pop'!$A$5:$E$198,5,FALSE)</f>
        <v>2</v>
      </c>
      <c r="F192" s="2">
        <v>17707117</v>
      </c>
      <c r="G192" s="2">
        <f t="shared" si="18"/>
        <v>17707117</v>
      </c>
      <c r="H192" s="2">
        <f t="shared" si="18"/>
        <v>17707117</v>
      </c>
      <c r="I192" s="2">
        <f t="shared" si="18"/>
        <v>17707117</v>
      </c>
      <c r="J192" s="2">
        <f t="shared" si="18"/>
        <v>17707117</v>
      </c>
      <c r="K192" s="2">
        <v>17709781</v>
      </c>
      <c r="L192" s="2">
        <f t="shared" si="19"/>
        <v>17709781</v>
      </c>
      <c r="M192" s="2">
        <f t="shared" si="19"/>
        <v>17709781</v>
      </c>
      <c r="N192" s="2">
        <f t="shared" si="19"/>
        <v>17709781</v>
      </c>
      <c r="O192" s="2">
        <f t="shared" si="19"/>
        <v>17709781</v>
      </c>
      <c r="P192" s="2">
        <v>17340269</v>
      </c>
    </row>
    <row r="193" spans="1:16">
      <c r="A193" s="84" t="s">
        <v>459</v>
      </c>
      <c r="B193" s="85" t="s">
        <v>458</v>
      </c>
      <c r="C193" s="85" t="s">
        <v>99</v>
      </c>
      <c r="D193" s="84" t="s">
        <v>84</v>
      </c>
      <c r="E193" s="84">
        <f>VLOOKUP(A193,'2a. SI Pop'!$A$5:$E$198,5,FALSE)</f>
        <v>4</v>
      </c>
      <c r="F193" s="2">
        <v>256995</v>
      </c>
      <c r="G193" s="2">
        <f t="shared" si="18"/>
        <v>256995</v>
      </c>
      <c r="H193" s="2">
        <f t="shared" si="18"/>
        <v>256995</v>
      </c>
      <c r="I193" s="2">
        <f t="shared" si="18"/>
        <v>256995</v>
      </c>
      <c r="J193" s="2">
        <f t="shared" si="18"/>
        <v>256995</v>
      </c>
      <c r="K193" s="2">
        <v>273996</v>
      </c>
      <c r="L193" s="2">
        <f t="shared" si="19"/>
        <v>273996</v>
      </c>
      <c r="M193" s="2">
        <f t="shared" si="19"/>
        <v>273996</v>
      </c>
      <c r="N193" s="2">
        <f t="shared" si="19"/>
        <v>273996</v>
      </c>
      <c r="O193" s="2">
        <f t="shared" si="19"/>
        <v>273996</v>
      </c>
      <c r="P193" s="2">
        <v>288923</v>
      </c>
    </row>
    <row r="194" spans="1:16">
      <c r="A194" s="84" t="s">
        <v>461</v>
      </c>
      <c r="B194" s="85" t="s">
        <v>460</v>
      </c>
      <c r="C194" s="85" t="s">
        <v>92</v>
      </c>
      <c r="D194" s="84" t="s">
        <v>80</v>
      </c>
      <c r="E194" s="84">
        <f>VLOOKUP(A194,'2a. SI Pop'!$A$5:$E$198,5,FALSE)</f>
        <v>1</v>
      </c>
      <c r="F194" s="2">
        <v>4027737</v>
      </c>
      <c r="G194" s="2">
        <f t="shared" si="18"/>
        <v>4027737</v>
      </c>
      <c r="H194" s="2">
        <f t="shared" si="18"/>
        <v>4027737</v>
      </c>
      <c r="I194" s="2">
        <f t="shared" si="18"/>
        <v>4027737</v>
      </c>
      <c r="J194" s="2">
        <f t="shared" si="18"/>
        <v>4027737</v>
      </c>
      <c r="K194" s="2">
        <v>3962297</v>
      </c>
      <c r="L194" s="2">
        <f t="shared" si="19"/>
        <v>3962297</v>
      </c>
      <c r="M194" s="2">
        <f t="shared" si="19"/>
        <v>3962297</v>
      </c>
      <c r="N194" s="2">
        <f t="shared" si="19"/>
        <v>3962297</v>
      </c>
      <c r="O194" s="2">
        <f t="shared" si="19"/>
        <v>3962297</v>
      </c>
      <c r="P194" s="2">
        <v>3812284</v>
      </c>
    </row>
    <row r="195" spans="1:16">
      <c r="A195" s="84" t="s">
        <v>463</v>
      </c>
      <c r="B195" s="85" t="s">
        <v>462</v>
      </c>
      <c r="C195" s="85" t="s">
        <v>99</v>
      </c>
      <c r="D195" s="84" t="s">
        <v>84</v>
      </c>
      <c r="E195" s="84">
        <f>VLOOKUP(A195,'2a. SI Pop'!$A$5:$E$198,5,FALSE)</f>
        <v>4</v>
      </c>
      <c r="F195" s="2">
        <v>59035591</v>
      </c>
      <c r="G195" s="2">
        <f t="shared" si="18"/>
        <v>59035591</v>
      </c>
      <c r="H195" s="2">
        <f t="shared" si="18"/>
        <v>59035591</v>
      </c>
      <c r="I195" s="2">
        <f t="shared" si="18"/>
        <v>59035591</v>
      </c>
      <c r="J195" s="2">
        <f t="shared" si="18"/>
        <v>59035591</v>
      </c>
      <c r="K195" s="2">
        <v>56772666</v>
      </c>
      <c r="L195" s="2">
        <f t="shared" si="19"/>
        <v>56772666</v>
      </c>
      <c r="M195" s="2">
        <f t="shared" si="19"/>
        <v>56772666</v>
      </c>
      <c r="N195" s="2">
        <f t="shared" si="19"/>
        <v>56772666</v>
      </c>
      <c r="O195" s="2">
        <f t="shared" si="19"/>
        <v>56772666</v>
      </c>
      <c r="P195" s="2">
        <v>54284354</v>
      </c>
    </row>
    <row r="196" spans="1:16">
      <c r="A196" s="84" t="s">
        <v>465</v>
      </c>
      <c r="B196" s="85" t="s">
        <v>464</v>
      </c>
      <c r="C196" s="85" t="s">
        <v>74</v>
      </c>
      <c r="D196" s="84" t="s">
        <v>75</v>
      </c>
      <c r="E196" s="84">
        <f>VLOOKUP(A196,'2a. SI Pop'!$A$5:$E$198,5,FALSE)</f>
        <v>3</v>
      </c>
      <c r="F196" s="2">
        <v>20485388</v>
      </c>
      <c r="G196" s="2">
        <f t="shared" si="18"/>
        <v>20485388</v>
      </c>
      <c r="H196" s="2">
        <f t="shared" si="18"/>
        <v>20485388</v>
      </c>
      <c r="I196" s="2">
        <f t="shared" si="18"/>
        <v>20485388</v>
      </c>
      <c r="J196" s="2">
        <f t="shared" si="18"/>
        <v>20485388</v>
      </c>
      <c r="K196" s="2">
        <v>20955348</v>
      </c>
      <c r="L196" s="2">
        <f t="shared" si="19"/>
        <v>20955348</v>
      </c>
      <c r="M196" s="2">
        <f t="shared" si="19"/>
        <v>20955348</v>
      </c>
      <c r="N196" s="2">
        <f t="shared" si="19"/>
        <v>20955348</v>
      </c>
      <c r="O196" s="2">
        <f t="shared" si="19"/>
        <v>20955348</v>
      </c>
      <c r="P196" s="2">
        <v>21153468</v>
      </c>
    </row>
    <row r="197" spans="1:16">
      <c r="A197" s="84" t="s">
        <v>467</v>
      </c>
      <c r="B197" s="85" t="s">
        <v>466</v>
      </c>
      <c r="C197" s="85" t="s">
        <v>83</v>
      </c>
      <c r="D197" s="84" t="s">
        <v>84</v>
      </c>
      <c r="E197" s="84">
        <f>VLOOKUP(A197,'2a. SI Pop'!$A$5:$E$198,5,FALSE)</f>
        <v>3</v>
      </c>
      <c r="F197" s="2">
        <v>12310858</v>
      </c>
      <c r="G197" s="2">
        <f t="shared" si="18"/>
        <v>12310858</v>
      </c>
      <c r="H197" s="2">
        <f t="shared" si="18"/>
        <v>12310858</v>
      </c>
      <c r="I197" s="2">
        <f t="shared" si="18"/>
        <v>12310858</v>
      </c>
      <c r="J197" s="2">
        <f t="shared" si="18"/>
        <v>12310858</v>
      </c>
      <c r="K197" s="2">
        <v>13221428</v>
      </c>
      <c r="L197" s="2">
        <f t="shared" si="19"/>
        <v>13221428</v>
      </c>
      <c r="M197" s="2">
        <f t="shared" si="19"/>
        <v>13221428</v>
      </c>
      <c r="N197" s="2">
        <f t="shared" si="19"/>
        <v>13221428</v>
      </c>
      <c r="O197" s="2">
        <f t="shared" si="19"/>
        <v>13221428</v>
      </c>
      <c r="P197" s="2">
        <v>14054815</v>
      </c>
    </row>
    <row r="198" spans="1:16">
      <c r="A198" s="84" t="s">
        <v>469</v>
      </c>
      <c r="B198" s="85" t="s">
        <v>468</v>
      </c>
      <c r="C198" s="85" t="s">
        <v>83</v>
      </c>
      <c r="D198" s="84" t="s">
        <v>84</v>
      </c>
      <c r="E198" s="84">
        <f>VLOOKUP(A198,'2a. SI Pop'!$A$5:$E$198,5,FALSE)</f>
        <v>3</v>
      </c>
      <c r="F198" s="2">
        <v>14156582</v>
      </c>
      <c r="G198" s="2">
        <f t="shared" si="18"/>
        <v>14156582</v>
      </c>
      <c r="H198" s="2">
        <f t="shared" si="18"/>
        <v>14156582</v>
      </c>
      <c r="I198" s="2">
        <f t="shared" si="18"/>
        <v>14156582</v>
      </c>
      <c r="J198" s="2">
        <f t="shared" si="18"/>
        <v>14156582</v>
      </c>
      <c r="K198" s="2">
        <v>14975516</v>
      </c>
      <c r="L198" s="2">
        <f t="shared" si="19"/>
        <v>14975516</v>
      </c>
      <c r="M198" s="2">
        <f t="shared" si="19"/>
        <v>14975516</v>
      </c>
      <c r="N198" s="2">
        <f t="shared" si="19"/>
        <v>14975516</v>
      </c>
      <c r="O198" s="2">
        <f t="shared" si="19"/>
        <v>14975516</v>
      </c>
      <c r="P198" s="2">
        <v>15528622</v>
      </c>
    </row>
    <row r="199" spans="1:16">
      <c r="E199" s="2"/>
      <c r="F199" s="2"/>
      <c r="G199" s="2"/>
      <c r="H199" s="2"/>
      <c r="I199" s="2"/>
      <c r="J199" s="2"/>
      <c r="K199" s="2"/>
      <c r="L199" s="2"/>
      <c r="M199" s="2"/>
      <c r="N199" s="2"/>
      <c r="O199" s="2"/>
      <c r="P199" s="2"/>
    </row>
    <row r="200" spans="1:16">
      <c r="E200" s="2"/>
      <c r="F200" s="2"/>
      <c r="G200" s="2"/>
      <c r="H200" s="2"/>
      <c r="I200" s="2"/>
      <c r="J200" s="2"/>
      <c r="K200" s="2"/>
      <c r="L200" s="2"/>
      <c r="M200" s="2"/>
      <c r="N200" s="2"/>
      <c r="O200" s="2"/>
      <c r="P200" s="2"/>
    </row>
    <row r="201" spans="1:16">
      <c r="E201" s="2"/>
      <c r="F201" s="2"/>
      <c r="G201" s="2"/>
      <c r="H201" s="2"/>
      <c r="I201" s="2"/>
      <c r="J201" s="2"/>
      <c r="K201" s="2"/>
      <c r="L201" s="2"/>
      <c r="M201" s="2"/>
      <c r="N201" s="2"/>
      <c r="O201" s="2"/>
      <c r="P201" s="2"/>
    </row>
    <row r="202" spans="1:16">
      <c r="E202" s="2"/>
      <c r="F202" s="2"/>
      <c r="G202" s="2"/>
      <c r="H202" s="2"/>
      <c r="I202" s="2"/>
      <c r="J202" s="2"/>
      <c r="K202" s="2"/>
      <c r="L202" s="2"/>
      <c r="M202" s="2"/>
      <c r="N202" s="2"/>
      <c r="O202" s="2"/>
      <c r="P202" s="2"/>
    </row>
    <row r="203" spans="1:16">
      <c r="E203" s="2"/>
      <c r="F203" s="2"/>
      <c r="G203" s="2"/>
      <c r="H203" s="2"/>
      <c r="I203" s="2"/>
      <c r="J203" s="2"/>
      <c r="K203" s="2"/>
      <c r="L203" s="2"/>
      <c r="M203" s="2"/>
      <c r="N203" s="2"/>
      <c r="O203" s="2"/>
      <c r="P203" s="2"/>
    </row>
    <row r="204" spans="1:16">
      <c r="E204" s="94"/>
      <c r="F204" s="2"/>
      <c r="G204" s="2"/>
      <c r="H204" s="2"/>
      <c r="I204" s="2"/>
      <c r="J204" s="2"/>
      <c r="K204" s="2"/>
      <c r="L204" s="2"/>
      <c r="M204" s="2"/>
      <c r="N204" s="2"/>
      <c r="O204" s="2"/>
      <c r="P204" s="2"/>
    </row>
  </sheetData>
  <autoFilter ref="A4:P199" xr:uid="{D7DB8902-C411-D44F-87FC-63A15BCDA9A8}"/>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09F54-4D77-B744-ACB2-137F2294137A}">
  <sheetPr>
    <tabColor theme="4" tint="0.79998168889431442"/>
  </sheetPr>
  <dimension ref="A1:P198"/>
  <sheetViews>
    <sheetView zoomScale="125" zoomScaleNormal="25" workbookViewId="0">
      <selection activeCell="J26" sqref="J26"/>
    </sheetView>
  </sheetViews>
  <sheetFormatPr defaultColWidth="10.85546875" defaultRowHeight="15"/>
  <sheetData>
    <row r="1" spans="1:16">
      <c r="A1" t="s">
        <v>470</v>
      </c>
      <c r="B1" t="s">
        <v>486</v>
      </c>
    </row>
    <row r="2" spans="1:16">
      <c r="A2" t="s">
        <v>471</v>
      </c>
      <c r="B2" t="s">
        <v>487</v>
      </c>
    </row>
    <row r="4" spans="1:16">
      <c r="A4" s="86" t="s">
        <v>473</v>
      </c>
      <c r="B4" s="87" t="s">
        <v>64</v>
      </c>
      <c r="C4" s="86" t="s">
        <v>66</v>
      </c>
      <c r="D4" s="86" t="s">
        <v>67</v>
      </c>
      <c r="E4" s="86" t="s">
        <v>68</v>
      </c>
      <c r="F4" s="91">
        <v>2030</v>
      </c>
      <c r="G4" s="91">
        <f>F4+1</f>
        <v>2031</v>
      </c>
      <c r="H4" s="91">
        <f t="shared" ref="H4:N4" si="0">G4+1</f>
        <v>2032</v>
      </c>
      <c r="I4" s="91">
        <f t="shared" si="0"/>
        <v>2033</v>
      </c>
      <c r="J4" s="91">
        <f t="shared" si="0"/>
        <v>2034</v>
      </c>
      <c r="K4" s="91">
        <f t="shared" si="0"/>
        <v>2035</v>
      </c>
      <c r="L4" s="91">
        <f t="shared" si="0"/>
        <v>2036</v>
      </c>
      <c r="M4" s="91">
        <f t="shared" si="0"/>
        <v>2037</v>
      </c>
      <c r="N4" s="91">
        <f t="shared" si="0"/>
        <v>2038</v>
      </c>
      <c r="O4" s="91">
        <f t="shared" ref="O4:P4" si="1">N4+1</f>
        <v>2039</v>
      </c>
      <c r="P4" s="91">
        <f t="shared" si="1"/>
        <v>2040</v>
      </c>
    </row>
    <row r="5" spans="1:16">
      <c r="A5" s="84" t="s">
        <v>73</v>
      </c>
      <c r="B5" s="85" t="s">
        <v>72</v>
      </c>
      <c r="C5" s="85" t="s">
        <v>74</v>
      </c>
      <c r="D5" s="84" t="s">
        <v>75</v>
      </c>
      <c r="E5" s="84" t="str">
        <f>VLOOKUP(A5,'2a. SI Pop'!$A$5:$E$198,5,FALSE)</f>
        <v>Key</v>
      </c>
      <c r="F5">
        <f>VLOOKUP(A5,Input!$G$5:$H$24,2,FALSE)</f>
        <v>0.15</v>
      </c>
      <c r="G5">
        <f>F5</f>
        <v>0.15</v>
      </c>
      <c r="H5">
        <f t="shared" ref="H5:P5" si="2">G5</f>
        <v>0.15</v>
      </c>
      <c r="I5">
        <f t="shared" si="2"/>
        <v>0.15</v>
      </c>
      <c r="J5">
        <f t="shared" si="2"/>
        <v>0.15</v>
      </c>
      <c r="K5">
        <f t="shared" si="2"/>
        <v>0.15</v>
      </c>
      <c r="L5">
        <f t="shared" si="2"/>
        <v>0.15</v>
      </c>
      <c r="M5">
        <f t="shared" si="2"/>
        <v>0.15</v>
      </c>
      <c r="N5">
        <f t="shared" si="2"/>
        <v>0.15</v>
      </c>
      <c r="O5">
        <f t="shared" si="2"/>
        <v>0.15</v>
      </c>
      <c r="P5">
        <f t="shared" si="2"/>
        <v>0.15</v>
      </c>
    </row>
    <row r="6" spans="1:16">
      <c r="A6" s="84" t="s">
        <v>78</v>
      </c>
      <c r="B6" s="85" t="s">
        <v>77</v>
      </c>
      <c r="C6" s="85" t="s">
        <v>79</v>
      </c>
      <c r="D6" s="84" t="s">
        <v>80</v>
      </c>
      <c r="E6" s="84">
        <f>VLOOKUP(A6,'2a. SI Pop'!$A$5:$E$198,5,FALSE)</f>
        <v>1</v>
      </c>
      <c r="F6">
        <f>VLOOKUP(E6,Input!$G$5:$H$24,2,FALSE)</f>
        <v>0.16</v>
      </c>
      <c r="G6">
        <f t="shared" ref="G6:P6" si="3">F6</f>
        <v>0.16</v>
      </c>
      <c r="H6">
        <f t="shared" si="3"/>
        <v>0.16</v>
      </c>
      <c r="I6">
        <f t="shared" si="3"/>
        <v>0.16</v>
      </c>
      <c r="J6">
        <f t="shared" si="3"/>
        <v>0.16</v>
      </c>
      <c r="K6">
        <f t="shared" si="3"/>
        <v>0.16</v>
      </c>
      <c r="L6">
        <f t="shared" si="3"/>
        <v>0.16</v>
      </c>
      <c r="M6">
        <f t="shared" si="3"/>
        <v>0.16</v>
      </c>
      <c r="N6">
        <f t="shared" si="3"/>
        <v>0.16</v>
      </c>
      <c r="O6">
        <f t="shared" si="3"/>
        <v>0.16</v>
      </c>
      <c r="P6">
        <f t="shared" si="3"/>
        <v>0.16</v>
      </c>
    </row>
    <row r="7" spans="1:16">
      <c r="A7" s="84" t="s">
        <v>82</v>
      </c>
      <c r="B7" s="85" t="s">
        <v>81</v>
      </c>
      <c r="C7" s="85" t="s">
        <v>83</v>
      </c>
      <c r="D7" s="84" t="s">
        <v>84</v>
      </c>
      <c r="E7" s="84">
        <f>VLOOKUP(A7,'2a. SI Pop'!$A$5:$E$198,5,FALSE)</f>
        <v>2</v>
      </c>
      <c r="F7">
        <f>VLOOKUP(E7,Input!$G$5:$H$24,2,FALSE)</f>
        <v>0.13</v>
      </c>
      <c r="G7">
        <f t="shared" ref="G7:P7" si="4">F7</f>
        <v>0.13</v>
      </c>
      <c r="H7">
        <f t="shared" si="4"/>
        <v>0.13</v>
      </c>
      <c r="I7">
        <f t="shared" si="4"/>
        <v>0.13</v>
      </c>
      <c r="J7">
        <f t="shared" si="4"/>
        <v>0.13</v>
      </c>
      <c r="K7">
        <f t="shared" si="4"/>
        <v>0.13</v>
      </c>
      <c r="L7">
        <f t="shared" si="4"/>
        <v>0.13</v>
      </c>
      <c r="M7">
        <f t="shared" si="4"/>
        <v>0.13</v>
      </c>
      <c r="N7">
        <f t="shared" si="4"/>
        <v>0.13</v>
      </c>
      <c r="O7">
        <f t="shared" si="4"/>
        <v>0.13</v>
      </c>
      <c r="P7">
        <f t="shared" si="4"/>
        <v>0.13</v>
      </c>
    </row>
    <row r="8" spans="1:16">
      <c r="A8" s="84" t="s">
        <v>86</v>
      </c>
      <c r="B8" s="85" t="s">
        <v>85</v>
      </c>
      <c r="C8" s="85" t="s">
        <v>79</v>
      </c>
      <c r="D8" s="84" t="s">
        <v>87</v>
      </c>
      <c r="E8" s="84">
        <f>VLOOKUP(A8,'2a. SI Pop'!$A$5:$E$198,5,FALSE)</f>
        <v>1</v>
      </c>
      <c r="F8">
        <f>VLOOKUP(E8,Input!$G$5:$H$24,2,FALSE)</f>
        <v>0.16</v>
      </c>
      <c r="G8">
        <f t="shared" ref="G8:P8" si="5">F8</f>
        <v>0.16</v>
      </c>
      <c r="H8">
        <f t="shared" si="5"/>
        <v>0.16</v>
      </c>
      <c r="I8">
        <f t="shared" si="5"/>
        <v>0.16</v>
      </c>
      <c r="J8">
        <f t="shared" si="5"/>
        <v>0.16</v>
      </c>
      <c r="K8">
        <f t="shared" si="5"/>
        <v>0.16</v>
      </c>
      <c r="L8">
        <f t="shared" si="5"/>
        <v>0.16</v>
      </c>
      <c r="M8">
        <f t="shared" si="5"/>
        <v>0.16</v>
      </c>
      <c r="N8">
        <f t="shared" si="5"/>
        <v>0.16</v>
      </c>
      <c r="O8">
        <f t="shared" si="5"/>
        <v>0.16</v>
      </c>
      <c r="P8">
        <f t="shared" si="5"/>
        <v>0.16</v>
      </c>
    </row>
    <row r="9" spans="1:16">
      <c r="A9" s="84" t="s">
        <v>89</v>
      </c>
      <c r="B9" s="85" t="s">
        <v>88</v>
      </c>
      <c r="C9" s="85" t="s">
        <v>83</v>
      </c>
      <c r="D9" s="84" t="s">
        <v>84</v>
      </c>
      <c r="E9" s="84">
        <f>VLOOKUP(A9,'2a. SI Pop'!$A$5:$E$198,5,FALSE)</f>
        <v>3</v>
      </c>
      <c r="F9">
        <f>VLOOKUP(E9,Input!$G$5:$H$24,2,FALSE)</f>
        <v>0.23</v>
      </c>
      <c r="G9">
        <f t="shared" ref="G9:P9" si="6">F9</f>
        <v>0.23</v>
      </c>
      <c r="H9">
        <f t="shared" si="6"/>
        <v>0.23</v>
      </c>
      <c r="I9">
        <f t="shared" si="6"/>
        <v>0.23</v>
      </c>
      <c r="J9">
        <f t="shared" si="6"/>
        <v>0.23</v>
      </c>
      <c r="K9">
        <f t="shared" si="6"/>
        <v>0.23</v>
      </c>
      <c r="L9">
        <f t="shared" si="6"/>
        <v>0.23</v>
      </c>
      <c r="M9">
        <f t="shared" si="6"/>
        <v>0.23</v>
      </c>
      <c r="N9">
        <f t="shared" si="6"/>
        <v>0.23</v>
      </c>
      <c r="O9">
        <f t="shared" si="6"/>
        <v>0.23</v>
      </c>
      <c r="P9">
        <f t="shared" si="6"/>
        <v>0.23</v>
      </c>
    </row>
    <row r="10" spans="1:16">
      <c r="A10" s="84" t="s">
        <v>91</v>
      </c>
      <c r="B10" s="85" t="s">
        <v>90</v>
      </c>
      <c r="C10" s="85" t="s">
        <v>92</v>
      </c>
      <c r="D10" s="84" t="s">
        <v>87</v>
      </c>
      <c r="E10" s="84">
        <f>VLOOKUP(A10,'2a. SI Pop'!$A$5:$E$198,5,FALSE)</f>
        <v>1</v>
      </c>
      <c r="F10">
        <f>VLOOKUP(E10,Input!$G$5:$H$24,2,FALSE)</f>
        <v>0.16</v>
      </c>
      <c r="G10">
        <f t="shared" ref="G10:P10" si="7">F10</f>
        <v>0.16</v>
      </c>
      <c r="H10">
        <f t="shared" si="7"/>
        <v>0.16</v>
      </c>
      <c r="I10">
        <f t="shared" si="7"/>
        <v>0.16</v>
      </c>
      <c r="J10">
        <f t="shared" si="7"/>
        <v>0.16</v>
      </c>
      <c r="K10">
        <f t="shared" si="7"/>
        <v>0.16</v>
      </c>
      <c r="L10">
        <f t="shared" si="7"/>
        <v>0.16</v>
      </c>
      <c r="M10">
        <f t="shared" si="7"/>
        <v>0.16</v>
      </c>
      <c r="N10">
        <f t="shared" si="7"/>
        <v>0.16</v>
      </c>
      <c r="O10">
        <f t="shared" si="7"/>
        <v>0.16</v>
      </c>
      <c r="P10">
        <f t="shared" si="7"/>
        <v>0.16</v>
      </c>
    </row>
    <row r="11" spans="1:16">
      <c r="A11" s="84" t="s">
        <v>94</v>
      </c>
      <c r="B11" s="85" t="s">
        <v>93</v>
      </c>
      <c r="C11" s="85" t="s">
        <v>92</v>
      </c>
      <c r="D11" s="84" t="s">
        <v>80</v>
      </c>
      <c r="E11" s="84">
        <f>VLOOKUP(A11,'2a. SI Pop'!$A$5:$E$198,5,FALSE)</f>
        <v>1</v>
      </c>
      <c r="F11">
        <f>VLOOKUP(E11,Input!$G$5:$H$24,2,FALSE)</f>
        <v>0.16</v>
      </c>
      <c r="G11">
        <f t="shared" ref="G11:P11" si="8">F11</f>
        <v>0.16</v>
      </c>
      <c r="H11">
        <f t="shared" si="8"/>
        <v>0.16</v>
      </c>
      <c r="I11">
        <f t="shared" si="8"/>
        <v>0.16</v>
      </c>
      <c r="J11">
        <f t="shared" si="8"/>
        <v>0.16</v>
      </c>
      <c r="K11">
        <f t="shared" si="8"/>
        <v>0.16</v>
      </c>
      <c r="L11">
        <f t="shared" si="8"/>
        <v>0.16</v>
      </c>
      <c r="M11">
        <f t="shared" si="8"/>
        <v>0.16</v>
      </c>
      <c r="N11">
        <f t="shared" si="8"/>
        <v>0.16</v>
      </c>
      <c r="O11">
        <f t="shared" si="8"/>
        <v>0.16</v>
      </c>
      <c r="P11">
        <f t="shared" si="8"/>
        <v>0.16</v>
      </c>
    </row>
    <row r="12" spans="1:16">
      <c r="A12" s="84" t="s">
        <v>96</v>
      </c>
      <c r="B12" s="85" t="s">
        <v>95</v>
      </c>
      <c r="C12" s="85" t="s">
        <v>79</v>
      </c>
      <c r="D12" s="84" t="s">
        <v>80</v>
      </c>
      <c r="E12" s="84">
        <f>VLOOKUP(A12,'2a. SI Pop'!$A$5:$E$198,5,FALSE)</f>
        <v>1</v>
      </c>
      <c r="F12">
        <f>VLOOKUP(E12,Input!$G$5:$H$24,2,FALSE)</f>
        <v>0.16</v>
      </c>
      <c r="G12">
        <f t="shared" ref="G12:P12" si="9">F12</f>
        <v>0.16</v>
      </c>
      <c r="H12">
        <f t="shared" si="9"/>
        <v>0.16</v>
      </c>
      <c r="I12">
        <f t="shared" si="9"/>
        <v>0.16</v>
      </c>
      <c r="J12">
        <f t="shared" si="9"/>
        <v>0.16</v>
      </c>
      <c r="K12">
        <f t="shared" si="9"/>
        <v>0.16</v>
      </c>
      <c r="L12">
        <f t="shared" si="9"/>
        <v>0.16</v>
      </c>
      <c r="M12">
        <f t="shared" si="9"/>
        <v>0.16</v>
      </c>
      <c r="N12">
        <f t="shared" si="9"/>
        <v>0.16</v>
      </c>
      <c r="O12">
        <f t="shared" si="9"/>
        <v>0.16</v>
      </c>
      <c r="P12">
        <f t="shared" si="9"/>
        <v>0.16</v>
      </c>
    </row>
    <row r="13" spans="1:16">
      <c r="A13" s="84" t="s">
        <v>98</v>
      </c>
      <c r="B13" s="85" t="s">
        <v>97</v>
      </c>
      <c r="C13" s="85" t="s">
        <v>99</v>
      </c>
      <c r="D13" s="84" t="s">
        <v>87</v>
      </c>
      <c r="E13" s="84">
        <f>VLOOKUP(A13,'2a. SI Pop'!$A$5:$E$198,5,FALSE)</f>
        <v>1</v>
      </c>
      <c r="F13">
        <f>VLOOKUP(E13,Input!$G$5:$H$24,2,FALSE)</f>
        <v>0.16</v>
      </c>
      <c r="G13">
        <f t="shared" ref="G13:P13" si="10">F13</f>
        <v>0.16</v>
      </c>
      <c r="H13">
        <f t="shared" si="10"/>
        <v>0.16</v>
      </c>
      <c r="I13">
        <f t="shared" si="10"/>
        <v>0.16</v>
      </c>
      <c r="J13">
        <f t="shared" si="10"/>
        <v>0.16</v>
      </c>
      <c r="K13">
        <f t="shared" si="10"/>
        <v>0.16</v>
      </c>
      <c r="L13">
        <f t="shared" si="10"/>
        <v>0.16</v>
      </c>
      <c r="M13">
        <f t="shared" si="10"/>
        <v>0.16</v>
      </c>
      <c r="N13">
        <f t="shared" si="10"/>
        <v>0.16</v>
      </c>
      <c r="O13">
        <f t="shared" si="10"/>
        <v>0.16</v>
      </c>
      <c r="P13">
        <f t="shared" si="10"/>
        <v>0.16</v>
      </c>
    </row>
    <row r="14" spans="1:16">
      <c r="A14" s="84" t="s">
        <v>101</v>
      </c>
      <c r="B14" s="85" t="s">
        <v>100</v>
      </c>
      <c r="C14" s="85" t="s">
        <v>79</v>
      </c>
      <c r="D14" s="84" t="s">
        <v>87</v>
      </c>
      <c r="E14" s="84">
        <f>VLOOKUP(A14,'2a. SI Pop'!$A$5:$E$198,5,FALSE)</f>
        <v>1</v>
      </c>
      <c r="F14">
        <f>VLOOKUP(E14,Input!$G$5:$H$24,2,FALSE)</f>
        <v>0.16</v>
      </c>
      <c r="G14">
        <f t="shared" ref="G14:P14" si="11">F14</f>
        <v>0.16</v>
      </c>
      <c r="H14">
        <f t="shared" si="11"/>
        <v>0.16</v>
      </c>
      <c r="I14">
        <f t="shared" si="11"/>
        <v>0.16</v>
      </c>
      <c r="J14">
        <f t="shared" si="11"/>
        <v>0.16</v>
      </c>
      <c r="K14">
        <f t="shared" si="11"/>
        <v>0.16</v>
      </c>
      <c r="L14">
        <f t="shared" si="11"/>
        <v>0.16</v>
      </c>
      <c r="M14">
        <f t="shared" si="11"/>
        <v>0.16</v>
      </c>
      <c r="N14">
        <f t="shared" si="11"/>
        <v>0.16</v>
      </c>
      <c r="O14">
        <f t="shared" si="11"/>
        <v>0.16</v>
      </c>
      <c r="P14">
        <f t="shared" si="11"/>
        <v>0.16</v>
      </c>
    </row>
    <row r="15" spans="1:16">
      <c r="A15" s="84" t="s">
        <v>103</v>
      </c>
      <c r="B15" s="85" t="s">
        <v>102</v>
      </c>
      <c r="C15" s="85" t="s">
        <v>79</v>
      </c>
      <c r="D15" s="84" t="s">
        <v>80</v>
      </c>
      <c r="E15" s="84">
        <f>VLOOKUP(A15,'2a. SI Pop'!$A$5:$E$198,5,FALSE)</f>
        <v>1</v>
      </c>
      <c r="F15">
        <f>VLOOKUP(E15,Input!$G$5:$H$24,2,FALSE)</f>
        <v>0.16</v>
      </c>
      <c r="G15">
        <f t="shared" ref="G15:P15" si="12">F15</f>
        <v>0.16</v>
      </c>
      <c r="H15">
        <f t="shared" si="12"/>
        <v>0.16</v>
      </c>
      <c r="I15">
        <f t="shared" si="12"/>
        <v>0.16</v>
      </c>
      <c r="J15">
        <f t="shared" si="12"/>
        <v>0.16</v>
      </c>
      <c r="K15">
        <f t="shared" si="12"/>
        <v>0.16</v>
      </c>
      <c r="L15">
        <f t="shared" si="12"/>
        <v>0.16</v>
      </c>
      <c r="M15">
        <f t="shared" si="12"/>
        <v>0.16</v>
      </c>
      <c r="N15">
        <f t="shared" si="12"/>
        <v>0.16</v>
      </c>
      <c r="O15">
        <f t="shared" si="12"/>
        <v>0.16</v>
      </c>
      <c r="P15">
        <f t="shared" si="12"/>
        <v>0.16</v>
      </c>
    </row>
    <row r="16" spans="1:16">
      <c r="A16" s="84" t="s">
        <v>105</v>
      </c>
      <c r="B16" s="85" t="s">
        <v>104</v>
      </c>
      <c r="C16" s="85" t="s">
        <v>92</v>
      </c>
      <c r="D16" s="84" t="s">
        <v>87</v>
      </c>
      <c r="E16" s="84">
        <f>VLOOKUP(A16,'2a. SI Pop'!$A$5:$E$198,5,FALSE)</f>
        <v>1</v>
      </c>
      <c r="F16">
        <f>VLOOKUP(E16,Input!$G$5:$H$24,2,FALSE)</f>
        <v>0.16</v>
      </c>
      <c r="G16">
        <f t="shared" ref="G16:P16" si="13">F16</f>
        <v>0.16</v>
      </c>
      <c r="H16">
        <f t="shared" si="13"/>
        <v>0.16</v>
      </c>
      <c r="I16">
        <f t="shared" si="13"/>
        <v>0.16</v>
      </c>
      <c r="J16">
        <f t="shared" si="13"/>
        <v>0.16</v>
      </c>
      <c r="K16">
        <f t="shared" si="13"/>
        <v>0.16</v>
      </c>
      <c r="L16">
        <f t="shared" si="13"/>
        <v>0.16</v>
      </c>
      <c r="M16">
        <f t="shared" si="13"/>
        <v>0.16</v>
      </c>
      <c r="N16">
        <f t="shared" si="13"/>
        <v>0.16</v>
      </c>
      <c r="O16">
        <f t="shared" si="13"/>
        <v>0.16</v>
      </c>
      <c r="P16">
        <f t="shared" si="13"/>
        <v>0.16</v>
      </c>
    </row>
    <row r="17" spans="1:16">
      <c r="A17" s="84" t="s">
        <v>107</v>
      </c>
      <c r="B17" s="85" t="s">
        <v>106</v>
      </c>
      <c r="C17" s="85" t="s">
        <v>74</v>
      </c>
      <c r="D17" s="84" t="s">
        <v>87</v>
      </c>
      <c r="E17" s="84">
        <f>VLOOKUP(A17,'2a. SI Pop'!$A$5:$E$198,5,FALSE)</f>
        <v>1</v>
      </c>
      <c r="F17">
        <f>VLOOKUP(E17,Input!$G$5:$H$24,2,FALSE)</f>
        <v>0.16</v>
      </c>
      <c r="G17">
        <f t="shared" ref="G17:P17" si="14">F17</f>
        <v>0.16</v>
      </c>
      <c r="H17">
        <f t="shared" si="14"/>
        <v>0.16</v>
      </c>
      <c r="I17">
        <f t="shared" si="14"/>
        <v>0.16</v>
      </c>
      <c r="J17">
        <f t="shared" si="14"/>
        <v>0.16</v>
      </c>
      <c r="K17">
        <f t="shared" si="14"/>
        <v>0.16</v>
      </c>
      <c r="L17">
        <f t="shared" si="14"/>
        <v>0.16</v>
      </c>
      <c r="M17">
        <f t="shared" si="14"/>
        <v>0.16</v>
      </c>
      <c r="N17">
        <f t="shared" si="14"/>
        <v>0.16</v>
      </c>
      <c r="O17">
        <f t="shared" si="14"/>
        <v>0.16</v>
      </c>
      <c r="P17">
        <f t="shared" si="14"/>
        <v>0.16</v>
      </c>
    </row>
    <row r="18" spans="1:16">
      <c r="A18" s="84" t="s">
        <v>109</v>
      </c>
      <c r="B18" s="85" t="s">
        <v>108</v>
      </c>
      <c r="C18" s="85" t="s">
        <v>110</v>
      </c>
      <c r="D18" s="84" t="s">
        <v>84</v>
      </c>
      <c r="E18" s="84" t="str">
        <f>VLOOKUP(A18,'2a. SI Pop'!$A$5:$E$198,5,FALSE)</f>
        <v>Key</v>
      </c>
      <c r="F18">
        <f>VLOOKUP(A18,Input!$G$5:$H$24,2,FALSE)</f>
        <v>0.21</v>
      </c>
      <c r="G18">
        <f t="shared" ref="G18:P18" si="15">F18</f>
        <v>0.21</v>
      </c>
      <c r="H18">
        <f t="shared" si="15"/>
        <v>0.21</v>
      </c>
      <c r="I18">
        <f t="shared" si="15"/>
        <v>0.21</v>
      </c>
      <c r="J18">
        <f t="shared" si="15"/>
        <v>0.21</v>
      </c>
      <c r="K18">
        <f t="shared" si="15"/>
        <v>0.21</v>
      </c>
      <c r="L18">
        <f t="shared" si="15"/>
        <v>0.21</v>
      </c>
      <c r="M18">
        <f t="shared" si="15"/>
        <v>0.21</v>
      </c>
      <c r="N18">
        <f t="shared" si="15"/>
        <v>0.21</v>
      </c>
      <c r="O18">
        <f t="shared" si="15"/>
        <v>0.21</v>
      </c>
      <c r="P18">
        <f t="shared" si="15"/>
        <v>0.21</v>
      </c>
    </row>
    <row r="19" spans="1:16">
      <c r="A19" s="84" t="s">
        <v>112</v>
      </c>
      <c r="B19" s="85" t="s">
        <v>111</v>
      </c>
      <c r="C19" s="85" t="s">
        <v>92</v>
      </c>
      <c r="D19" s="84" t="s">
        <v>87</v>
      </c>
      <c r="E19" s="84">
        <f>VLOOKUP(A19,'2a. SI Pop'!$A$5:$E$198,5,FALSE)</f>
        <v>1</v>
      </c>
      <c r="F19">
        <f>VLOOKUP(E19,Input!$G$5:$H$24,2,FALSE)</f>
        <v>0.16</v>
      </c>
      <c r="G19">
        <f t="shared" ref="G19:P19" si="16">F19</f>
        <v>0.16</v>
      </c>
      <c r="H19">
        <f t="shared" si="16"/>
        <v>0.16</v>
      </c>
      <c r="I19">
        <f t="shared" si="16"/>
        <v>0.16</v>
      </c>
      <c r="J19">
        <f t="shared" si="16"/>
        <v>0.16</v>
      </c>
      <c r="K19">
        <f t="shared" si="16"/>
        <v>0.16</v>
      </c>
      <c r="L19">
        <f t="shared" si="16"/>
        <v>0.16</v>
      </c>
      <c r="M19">
        <f t="shared" si="16"/>
        <v>0.16</v>
      </c>
      <c r="N19">
        <f t="shared" si="16"/>
        <v>0.16</v>
      </c>
      <c r="O19">
        <f t="shared" si="16"/>
        <v>0.16</v>
      </c>
      <c r="P19">
        <f t="shared" si="16"/>
        <v>0.16</v>
      </c>
    </row>
    <row r="20" spans="1:16">
      <c r="A20" s="84" t="s">
        <v>114</v>
      </c>
      <c r="B20" s="85" t="s">
        <v>113</v>
      </c>
      <c r="C20" s="85" t="s">
        <v>79</v>
      </c>
      <c r="D20" s="84" t="s">
        <v>80</v>
      </c>
      <c r="E20" s="84">
        <f>VLOOKUP(A20,'2a. SI Pop'!$A$5:$E$198,5,FALSE)</f>
        <v>2</v>
      </c>
      <c r="F20">
        <f>VLOOKUP(E20,Input!$G$5:$H$24,2,FALSE)</f>
        <v>0.13</v>
      </c>
      <c r="G20">
        <f t="shared" ref="G20:P20" si="17">F20</f>
        <v>0.13</v>
      </c>
      <c r="H20">
        <f t="shared" si="17"/>
        <v>0.13</v>
      </c>
      <c r="I20">
        <f t="shared" si="17"/>
        <v>0.13</v>
      </c>
      <c r="J20">
        <f t="shared" si="17"/>
        <v>0.13</v>
      </c>
      <c r="K20">
        <f t="shared" si="17"/>
        <v>0.13</v>
      </c>
      <c r="L20">
        <f t="shared" si="17"/>
        <v>0.13</v>
      </c>
      <c r="M20">
        <f t="shared" si="17"/>
        <v>0.13</v>
      </c>
      <c r="N20">
        <f t="shared" si="17"/>
        <v>0.13</v>
      </c>
      <c r="O20">
        <f t="shared" si="17"/>
        <v>0.13</v>
      </c>
      <c r="P20">
        <f t="shared" si="17"/>
        <v>0.13</v>
      </c>
    </row>
    <row r="21" spans="1:16">
      <c r="A21" s="84" t="s">
        <v>116</v>
      </c>
      <c r="B21" s="85" t="s">
        <v>115</v>
      </c>
      <c r="C21" s="85" t="s">
        <v>79</v>
      </c>
      <c r="D21" s="84" t="s">
        <v>87</v>
      </c>
      <c r="E21" s="84">
        <f>VLOOKUP(A21,'2a. SI Pop'!$A$5:$E$198,5,FALSE)</f>
        <v>1</v>
      </c>
      <c r="F21">
        <f>VLOOKUP(E21,Input!$G$5:$H$24,2,FALSE)</f>
        <v>0.16</v>
      </c>
      <c r="G21">
        <f t="shared" ref="G21:P21" si="18">F21</f>
        <v>0.16</v>
      </c>
      <c r="H21">
        <f t="shared" si="18"/>
        <v>0.16</v>
      </c>
      <c r="I21">
        <f t="shared" si="18"/>
        <v>0.16</v>
      </c>
      <c r="J21">
        <f t="shared" si="18"/>
        <v>0.16</v>
      </c>
      <c r="K21">
        <f t="shared" si="18"/>
        <v>0.16</v>
      </c>
      <c r="L21">
        <f t="shared" si="18"/>
        <v>0.16</v>
      </c>
      <c r="M21">
        <f t="shared" si="18"/>
        <v>0.16</v>
      </c>
      <c r="N21">
        <f t="shared" si="18"/>
        <v>0.16</v>
      </c>
      <c r="O21">
        <f t="shared" si="18"/>
        <v>0.16</v>
      </c>
      <c r="P21">
        <f t="shared" si="18"/>
        <v>0.16</v>
      </c>
    </row>
    <row r="22" spans="1:16">
      <c r="A22" s="84" t="s">
        <v>118</v>
      </c>
      <c r="B22" s="85" t="s">
        <v>117</v>
      </c>
      <c r="C22" s="85" t="s">
        <v>92</v>
      </c>
      <c r="D22" s="84" t="s">
        <v>80</v>
      </c>
      <c r="E22" s="84">
        <f>VLOOKUP(A22,'2a. SI Pop'!$A$5:$E$198,5,FALSE)</f>
        <v>1</v>
      </c>
      <c r="F22">
        <f>VLOOKUP(E22,Input!$G$5:$H$24,2,FALSE)</f>
        <v>0.16</v>
      </c>
      <c r="G22">
        <f t="shared" ref="G22:P22" si="19">F22</f>
        <v>0.16</v>
      </c>
      <c r="H22">
        <f t="shared" si="19"/>
        <v>0.16</v>
      </c>
      <c r="I22">
        <f t="shared" si="19"/>
        <v>0.16</v>
      </c>
      <c r="J22">
        <f t="shared" si="19"/>
        <v>0.16</v>
      </c>
      <c r="K22">
        <f t="shared" si="19"/>
        <v>0.16</v>
      </c>
      <c r="L22">
        <f t="shared" si="19"/>
        <v>0.16</v>
      </c>
      <c r="M22">
        <f t="shared" si="19"/>
        <v>0.16</v>
      </c>
      <c r="N22">
        <f t="shared" si="19"/>
        <v>0.16</v>
      </c>
      <c r="O22">
        <f t="shared" si="19"/>
        <v>0.16</v>
      </c>
      <c r="P22">
        <f t="shared" si="19"/>
        <v>0.16</v>
      </c>
    </row>
    <row r="23" spans="1:16">
      <c r="A23" s="84" t="s">
        <v>120</v>
      </c>
      <c r="B23" s="85" t="s">
        <v>119</v>
      </c>
      <c r="C23" s="85" t="s">
        <v>83</v>
      </c>
      <c r="D23" s="84" t="s">
        <v>84</v>
      </c>
      <c r="E23" s="84">
        <f>VLOOKUP(A23,'2a. SI Pop'!$A$5:$E$198,5,FALSE)</f>
        <v>3</v>
      </c>
      <c r="F23">
        <f>VLOOKUP(E23,Input!$G$5:$H$24,2,FALSE)</f>
        <v>0.23</v>
      </c>
      <c r="G23">
        <f t="shared" ref="G23:P23" si="20">F23</f>
        <v>0.23</v>
      </c>
      <c r="H23">
        <f t="shared" si="20"/>
        <v>0.23</v>
      </c>
      <c r="I23">
        <f t="shared" si="20"/>
        <v>0.23</v>
      </c>
      <c r="J23">
        <f t="shared" si="20"/>
        <v>0.23</v>
      </c>
      <c r="K23">
        <f t="shared" si="20"/>
        <v>0.23</v>
      </c>
      <c r="L23">
        <f t="shared" si="20"/>
        <v>0.23</v>
      </c>
      <c r="M23">
        <f t="shared" si="20"/>
        <v>0.23</v>
      </c>
      <c r="N23">
        <f t="shared" si="20"/>
        <v>0.23</v>
      </c>
      <c r="O23">
        <f t="shared" si="20"/>
        <v>0.23</v>
      </c>
      <c r="P23">
        <f t="shared" si="20"/>
        <v>0.23</v>
      </c>
    </row>
    <row r="24" spans="1:16">
      <c r="A24" s="84" t="s">
        <v>122</v>
      </c>
      <c r="B24" s="85" t="s">
        <v>121</v>
      </c>
      <c r="C24" s="85" t="s">
        <v>110</v>
      </c>
      <c r="D24" s="84" t="s">
        <v>84</v>
      </c>
      <c r="E24" s="84">
        <f>VLOOKUP(A24,'2a. SI Pop'!$A$5:$E$198,5,FALSE)</f>
        <v>2</v>
      </c>
      <c r="F24">
        <f>VLOOKUP(E24,Input!$G$5:$H$24,2,FALSE)</f>
        <v>0.13</v>
      </c>
      <c r="G24">
        <f t="shared" ref="G24:P24" si="21">F24</f>
        <v>0.13</v>
      </c>
      <c r="H24">
        <f t="shared" si="21"/>
        <v>0.13</v>
      </c>
      <c r="I24">
        <f t="shared" si="21"/>
        <v>0.13</v>
      </c>
      <c r="J24">
        <f t="shared" si="21"/>
        <v>0.13</v>
      </c>
      <c r="K24">
        <f t="shared" si="21"/>
        <v>0.13</v>
      </c>
      <c r="L24">
        <f t="shared" si="21"/>
        <v>0.13</v>
      </c>
      <c r="M24">
        <f t="shared" si="21"/>
        <v>0.13</v>
      </c>
      <c r="N24">
        <f t="shared" si="21"/>
        <v>0.13</v>
      </c>
      <c r="O24">
        <f t="shared" si="21"/>
        <v>0.13</v>
      </c>
      <c r="P24">
        <f t="shared" si="21"/>
        <v>0.13</v>
      </c>
    </row>
    <row r="25" spans="1:16">
      <c r="A25" s="84" t="s">
        <v>124</v>
      </c>
      <c r="B25" s="85" t="s">
        <v>123</v>
      </c>
      <c r="C25" s="85" t="s">
        <v>92</v>
      </c>
      <c r="D25" s="84" t="s">
        <v>84</v>
      </c>
      <c r="E25" s="84">
        <f>VLOOKUP(A25,'2a. SI Pop'!$A$5:$E$198,5,FALSE)</f>
        <v>2</v>
      </c>
      <c r="F25">
        <f>VLOOKUP(E25,Input!$G$5:$H$24,2,FALSE)</f>
        <v>0.13</v>
      </c>
      <c r="G25">
        <f t="shared" ref="G25:P25" si="22">F25</f>
        <v>0.13</v>
      </c>
      <c r="H25">
        <f t="shared" si="22"/>
        <v>0.13</v>
      </c>
      <c r="I25">
        <f t="shared" si="22"/>
        <v>0.13</v>
      </c>
      <c r="J25">
        <f t="shared" si="22"/>
        <v>0.13</v>
      </c>
      <c r="K25">
        <f t="shared" si="22"/>
        <v>0.13</v>
      </c>
      <c r="L25">
        <f t="shared" si="22"/>
        <v>0.13</v>
      </c>
      <c r="M25">
        <f t="shared" si="22"/>
        <v>0.13</v>
      </c>
      <c r="N25">
        <f t="shared" si="22"/>
        <v>0.13</v>
      </c>
      <c r="O25">
        <f t="shared" si="22"/>
        <v>0.13</v>
      </c>
      <c r="P25">
        <f t="shared" si="22"/>
        <v>0.13</v>
      </c>
    </row>
    <row r="26" spans="1:16">
      <c r="A26" s="84" t="s">
        <v>126</v>
      </c>
      <c r="B26" s="85" t="s">
        <v>125</v>
      </c>
      <c r="C26" s="85" t="s">
        <v>79</v>
      </c>
      <c r="D26" s="84" t="s">
        <v>80</v>
      </c>
      <c r="E26" s="84">
        <f>VLOOKUP(A26,'2a. SI Pop'!$A$5:$E$198,5,FALSE)</f>
        <v>1</v>
      </c>
      <c r="F26">
        <f>VLOOKUP(E26,Input!$G$5:$H$24,2,FALSE)</f>
        <v>0.16</v>
      </c>
      <c r="G26">
        <f t="shared" ref="G26:P26" si="23">F26</f>
        <v>0.16</v>
      </c>
      <c r="H26">
        <f t="shared" si="23"/>
        <v>0.16</v>
      </c>
      <c r="I26">
        <f t="shared" si="23"/>
        <v>0.16</v>
      </c>
      <c r="J26">
        <f t="shared" si="23"/>
        <v>0.16</v>
      </c>
      <c r="K26">
        <f t="shared" si="23"/>
        <v>0.16</v>
      </c>
      <c r="L26">
        <f t="shared" si="23"/>
        <v>0.16</v>
      </c>
      <c r="M26">
        <f t="shared" si="23"/>
        <v>0.16</v>
      </c>
      <c r="N26">
        <f t="shared" si="23"/>
        <v>0.16</v>
      </c>
      <c r="O26">
        <f t="shared" si="23"/>
        <v>0.16</v>
      </c>
      <c r="P26">
        <f t="shared" si="23"/>
        <v>0.16</v>
      </c>
    </row>
    <row r="27" spans="1:16">
      <c r="A27" s="84" t="s">
        <v>128</v>
      </c>
      <c r="B27" s="85" t="s">
        <v>127</v>
      </c>
      <c r="C27" s="85" t="s">
        <v>83</v>
      </c>
      <c r="D27" s="84" t="s">
        <v>80</v>
      </c>
      <c r="E27" s="84">
        <f>VLOOKUP(A27,'2a. SI Pop'!$A$5:$E$198,5,FALSE)</f>
        <v>2</v>
      </c>
      <c r="F27">
        <f>VLOOKUP(E27,Input!$G$5:$H$24,2,FALSE)</f>
        <v>0.13</v>
      </c>
      <c r="G27">
        <f t="shared" ref="G27:P27" si="24">F27</f>
        <v>0.13</v>
      </c>
      <c r="H27">
        <f t="shared" si="24"/>
        <v>0.13</v>
      </c>
      <c r="I27">
        <f t="shared" si="24"/>
        <v>0.13</v>
      </c>
      <c r="J27">
        <f t="shared" si="24"/>
        <v>0.13</v>
      </c>
      <c r="K27">
        <f t="shared" si="24"/>
        <v>0.13</v>
      </c>
      <c r="L27">
        <f t="shared" si="24"/>
        <v>0.13</v>
      </c>
      <c r="M27">
        <f t="shared" si="24"/>
        <v>0.13</v>
      </c>
      <c r="N27">
        <f t="shared" si="24"/>
        <v>0.13</v>
      </c>
      <c r="O27">
        <f t="shared" si="24"/>
        <v>0.13</v>
      </c>
      <c r="P27">
        <f t="shared" si="24"/>
        <v>0.13</v>
      </c>
    </row>
    <row r="28" spans="1:16">
      <c r="A28" s="84" t="s">
        <v>130</v>
      </c>
      <c r="B28" s="85" t="s">
        <v>129</v>
      </c>
      <c r="C28" s="85" t="s">
        <v>92</v>
      </c>
      <c r="D28" s="84" t="s">
        <v>80</v>
      </c>
      <c r="E28" s="84" t="str">
        <f>VLOOKUP(A28,'2a. SI Pop'!$A$5:$E$198,5,FALSE)</f>
        <v>Key</v>
      </c>
      <c r="F28">
        <f>VLOOKUP(A28,Input!$G$5:$H$24,2,FALSE)</f>
        <v>0.13</v>
      </c>
      <c r="G28">
        <f t="shared" ref="G28:P28" si="25">F28</f>
        <v>0.13</v>
      </c>
      <c r="H28">
        <f t="shared" si="25"/>
        <v>0.13</v>
      </c>
      <c r="I28">
        <f t="shared" si="25"/>
        <v>0.13</v>
      </c>
      <c r="J28">
        <f t="shared" si="25"/>
        <v>0.13</v>
      </c>
      <c r="K28">
        <f t="shared" si="25"/>
        <v>0.13</v>
      </c>
      <c r="L28">
        <f t="shared" si="25"/>
        <v>0.13</v>
      </c>
      <c r="M28">
        <f t="shared" si="25"/>
        <v>0.13</v>
      </c>
      <c r="N28">
        <f t="shared" si="25"/>
        <v>0.13</v>
      </c>
      <c r="O28">
        <f t="shared" si="25"/>
        <v>0.13</v>
      </c>
      <c r="P28">
        <f t="shared" si="25"/>
        <v>0.13</v>
      </c>
    </row>
    <row r="29" spans="1:16">
      <c r="A29" s="84" t="s">
        <v>132</v>
      </c>
      <c r="B29" s="85" t="s">
        <v>131</v>
      </c>
      <c r="C29" s="85" t="s">
        <v>99</v>
      </c>
      <c r="D29" s="84" t="s">
        <v>87</v>
      </c>
      <c r="E29" s="84">
        <f>VLOOKUP(A29,'2a. SI Pop'!$A$5:$E$198,5,FALSE)</f>
        <v>1</v>
      </c>
      <c r="F29">
        <f>VLOOKUP(E29,Input!$G$5:$H$24,2,FALSE)</f>
        <v>0.16</v>
      </c>
      <c r="G29">
        <f t="shared" ref="G29:P29" si="26">F29</f>
        <v>0.16</v>
      </c>
      <c r="H29">
        <f t="shared" si="26"/>
        <v>0.16</v>
      </c>
      <c r="I29">
        <f t="shared" si="26"/>
        <v>0.16</v>
      </c>
      <c r="J29">
        <f t="shared" si="26"/>
        <v>0.16</v>
      </c>
      <c r="K29">
        <f t="shared" si="26"/>
        <v>0.16</v>
      </c>
      <c r="L29">
        <f t="shared" si="26"/>
        <v>0.16</v>
      </c>
      <c r="M29">
        <f t="shared" si="26"/>
        <v>0.16</v>
      </c>
      <c r="N29">
        <f t="shared" si="26"/>
        <v>0.16</v>
      </c>
      <c r="O29">
        <f t="shared" si="26"/>
        <v>0.16</v>
      </c>
      <c r="P29">
        <f t="shared" si="26"/>
        <v>0.16</v>
      </c>
    </row>
    <row r="30" spans="1:16">
      <c r="A30" s="84" t="s">
        <v>134</v>
      </c>
      <c r="B30" s="85" t="s">
        <v>133</v>
      </c>
      <c r="C30" s="85" t="s">
        <v>79</v>
      </c>
      <c r="D30" s="84" t="s">
        <v>80</v>
      </c>
      <c r="E30" s="84">
        <f>VLOOKUP(A30,'2a. SI Pop'!$A$5:$E$198,5,FALSE)</f>
        <v>1</v>
      </c>
      <c r="F30">
        <f>VLOOKUP(E30,Input!$G$5:$H$24,2,FALSE)</f>
        <v>0.16</v>
      </c>
      <c r="G30">
        <f t="shared" ref="G30:P30" si="27">F30</f>
        <v>0.16</v>
      </c>
      <c r="H30">
        <f t="shared" si="27"/>
        <v>0.16</v>
      </c>
      <c r="I30">
        <f t="shared" si="27"/>
        <v>0.16</v>
      </c>
      <c r="J30">
        <f t="shared" si="27"/>
        <v>0.16</v>
      </c>
      <c r="K30">
        <f t="shared" si="27"/>
        <v>0.16</v>
      </c>
      <c r="L30">
        <f t="shared" si="27"/>
        <v>0.16</v>
      </c>
      <c r="M30">
        <f t="shared" si="27"/>
        <v>0.16</v>
      </c>
      <c r="N30">
        <f t="shared" si="27"/>
        <v>0.16</v>
      </c>
      <c r="O30">
        <f t="shared" si="27"/>
        <v>0.16</v>
      </c>
      <c r="P30">
        <f t="shared" si="27"/>
        <v>0.16</v>
      </c>
    </row>
    <row r="31" spans="1:16">
      <c r="A31" s="84" t="s">
        <v>136</v>
      </c>
      <c r="B31" s="85" t="s">
        <v>135</v>
      </c>
      <c r="C31" s="85" t="s">
        <v>83</v>
      </c>
      <c r="D31" s="84" t="s">
        <v>75</v>
      </c>
      <c r="E31" s="84">
        <f>VLOOKUP(A31,'2a. SI Pop'!$A$5:$E$198,5,FALSE)</f>
        <v>3</v>
      </c>
      <c r="F31">
        <f>VLOOKUP(E31,Input!$G$5:$H$24,2,FALSE)</f>
        <v>0.23</v>
      </c>
      <c r="G31">
        <f t="shared" ref="G31:P31" si="28">F31</f>
        <v>0.23</v>
      </c>
      <c r="H31">
        <f t="shared" si="28"/>
        <v>0.23</v>
      </c>
      <c r="I31">
        <f t="shared" si="28"/>
        <v>0.23</v>
      </c>
      <c r="J31">
        <f t="shared" si="28"/>
        <v>0.23</v>
      </c>
      <c r="K31">
        <f t="shared" si="28"/>
        <v>0.23</v>
      </c>
      <c r="L31">
        <f t="shared" si="28"/>
        <v>0.23</v>
      </c>
      <c r="M31">
        <f t="shared" si="28"/>
        <v>0.23</v>
      </c>
      <c r="N31">
        <f t="shared" si="28"/>
        <v>0.23</v>
      </c>
      <c r="O31">
        <f t="shared" si="28"/>
        <v>0.23</v>
      </c>
      <c r="P31">
        <f t="shared" si="28"/>
        <v>0.23</v>
      </c>
    </row>
    <row r="32" spans="1:16">
      <c r="A32" s="84" t="s">
        <v>138</v>
      </c>
      <c r="B32" s="85" t="s">
        <v>137</v>
      </c>
      <c r="C32" s="85" t="s">
        <v>83</v>
      </c>
      <c r="D32" s="84" t="s">
        <v>75</v>
      </c>
      <c r="E32" s="84">
        <f>VLOOKUP(A32,'2a. SI Pop'!$A$5:$E$198,5,FALSE)</f>
        <v>3</v>
      </c>
      <c r="F32">
        <f>VLOOKUP(E32,Input!$G$5:$H$24,2,FALSE)</f>
        <v>0.23</v>
      </c>
      <c r="G32">
        <f t="shared" ref="G32:P32" si="29">F32</f>
        <v>0.23</v>
      </c>
      <c r="H32">
        <f t="shared" si="29"/>
        <v>0.23</v>
      </c>
      <c r="I32">
        <f t="shared" si="29"/>
        <v>0.23</v>
      </c>
      <c r="J32">
        <f t="shared" si="29"/>
        <v>0.23</v>
      </c>
      <c r="K32">
        <f t="shared" si="29"/>
        <v>0.23</v>
      </c>
      <c r="L32">
        <f t="shared" si="29"/>
        <v>0.23</v>
      </c>
      <c r="M32">
        <f t="shared" si="29"/>
        <v>0.23</v>
      </c>
      <c r="N32">
        <f t="shared" si="29"/>
        <v>0.23</v>
      </c>
      <c r="O32">
        <f t="shared" si="29"/>
        <v>0.23</v>
      </c>
      <c r="P32">
        <f t="shared" si="29"/>
        <v>0.23</v>
      </c>
    </row>
    <row r="33" spans="1:16">
      <c r="A33" s="84" t="s">
        <v>140</v>
      </c>
      <c r="B33" s="85" t="s">
        <v>139</v>
      </c>
      <c r="C33" s="85" t="s">
        <v>99</v>
      </c>
      <c r="D33" s="84" t="s">
        <v>84</v>
      </c>
      <c r="E33" s="84">
        <f>VLOOKUP(A33,'2a. SI Pop'!$A$5:$E$198,5,FALSE)</f>
        <v>4</v>
      </c>
      <c r="F33">
        <f>VLOOKUP(E33,Input!$G$5:$H$24,2,FALSE)</f>
        <v>0.21</v>
      </c>
      <c r="G33">
        <f t="shared" ref="G33:P33" si="30">F33</f>
        <v>0.21</v>
      </c>
      <c r="H33">
        <f t="shared" si="30"/>
        <v>0.21</v>
      </c>
      <c r="I33">
        <f t="shared" si="30"/>
        <v>0.21</v>
      </c>
      <c r="J33">
        <f t="shared" si="30"/>
        <v>0.21</v>
      </c>
      <c r="K33">
        <f t="shared" si="30"/>
        <v>0.21</v>
      </c>
      <c r="L33">
        <f t="shared" si="30"/>
        <v>0.21</v>
      </c>
      <c r="M33">
        <f t="shared" si="30"/>
        <v>0.21</v>
      </c>
      <c r="N33">
        <f t="shared" si="30"/>
        <v>0.21</v>
      </c>
      <c r="O33">
        <f t="shared" si="30"/>
        <v>0.21</v>
      </c>
      <c r="P33">
        <f t="shared" si="30"/>
        <v>0.21</v>
      </c>
    </row>
    <row r="34" spans="1:16">
      <c r="A34" s="84" t="s">
        <v>142</v>
      </c>
      <c r="B34" s="85" t="s">
        <v>141</v>
      </c>
      <c r="C34" s="85" t="s">
        <v>83</v>
      </c>
      <c r="D34" s="84" t="s">
        <v>84</v>
      </c>
      <c r="E34" s="84">
        <f>VLOOKUP(A34,'2a. SI Pop'!$A$5:$E$198,5,FALSE)</f>
        <v>3</v>
      </c>
      <c r="F34">
        <f>VLOOKUP(E34,Input!$G$5:$H$24,2,FALSE)</f>
        <v>0.23</v>
      </c>
      <c r="G34">
        <f t="shared" ref="G34:P34" si="31">F34</f>
        <v>0.23</v>
      </c>
      <c r="H34">
        <f t="shared" si="31"/>
        <v>0.23</v>
      </c>
      <c r="I34">
        <f t="shared" si="31"/>
        <v>0.23</v>
      </c>
      <c r="J34">
        <f t="shared" si="31"/>
        <v>0.23</v>
      </c>
      <c r="K34">
        <f t="shared" si="31"/>
        <v>0.23</v>
      </c>
      <c r="L34">
        <f t="shared" si="31"/>
        <v>0.23</v>
      </c>
      <c r="M34">
        <f t="shared" si="31"/>
        <v>0.23</v>
      </c>
      <c r="N34">
        <f t="shared" si="31"/>
        <v>0.23</v>
      </c>
      <c r="O34">
        <f t="shared" si="31"/>
        <v>0.23</v>
      </c>
      <c r="P34">
        <f t="shared" si="31"/>
        <v>0.23</v>
      </c>
    </row>
    <row r="35" spans="1:16">
      <c r="A35" s="84" t="s">
        <v>144</v>
      </c>
      <c r="B35" s="85" t="s">
        <v>143</v>
      </c>
      <c r="C35" s="85" t="s">
        <v>92</v>
      </c>
      <c r="D35" s="84" t="s">
        <v>87</v>
      </c>
      <c r="E35" s="84">
        <f>VLOOKUP(A35,'2a. SI Pop'!$A$5:$E$198,5,FALSE)</f>
        <v>1</v>
      </c>
      <c r="F35">
        <f>VLOOKUP(E35,Input!$G$5:$H$24,2,FALSE)</f>
        <v>0.16</v>
      </c>
      <c r="G35">
        <f t="shared" ref="G35:P35" si="32">F35</f>
        <v>0.16</v>
      </c>
      <c r="H35">
        <f t="shared" si="32"/>
        <v>0.16</v>
      </c>
      <c r="I35">
        <f t="shared" si="32"/>
        <v>0.16</v>
      </c>
      <c r="J35">
        <f t="shared" si="32"/>
        <v>0.16</v>
      </c>
      <c r="K35">
        <f t="shared" si="32"/>
        <v>0.16</v>
      </c>
      <c r="L35">
        <f t="shared" si="32"/>
        <v>0.16</v>
      </c>
      <c r="M35">
        <f t="shared" si="32"/>
        <v>0.16</v>
      </c>
      <c r="N35">
        <f t="shared" si="32"/>
        <v>0.16</v>
      </c>
      <c r="O35">
        <f t="shared" si="32"/>
        <v>0.16</v>
      </c>
      <c r="P35">
        <f t="shared" si="32"/>
        <v>0.16</v>
      </c>
    </row>
    <row r="36" spans="1:16">
      <c r="A36" s="84" t="s">
        <v>146</v>
      </c>
      <c r="B36" s="85" t="s">
        <v>145</v>
      </c>
      <c r="C36" s="85" t="s">
        <v>83</v>
      </c>
      <c r="D36" s="84" t="s">
        <v>84</v>
      </c>
      <c r="E36" s="84">
        <f>VLOOKUP(A36,'2a. SI Pop'!$A$5:$E$198,5,FALSE)</f>
        <v>2</v>
      </c>
      <c r="F36">
        <f>VLOOKUP(E36,Input!$G$5:$H$24,2,FALSE)</f>
        <v>0.13</v>
      </c>
      <c r="G36">
        <f t="shared" ref="G36:P36" si="33">F36</f>
        <v>0.13</v>
      </c>
      <c r="H36">
        <f t="shared" si="33"/>
        <v>0.13</v>
      </c>
      <c r="I36">
        <f t="shared" si="33"/>
        <v>0.13</v>
      </c>
      <c r="J36">
        <f t="shared" si="33"/>
        <v>0.13</v>
      </c>
      <c r="K36">
        <f t="shared" si="33"/>
        <v>0.13</v>
      </c>
      <c r="L36">
        <f t="shared" si="33"/>
        <v>0.13</v>
      </c>
      <c r="M36">
        <f t="shared" si="33"/>
        <v>0.13</v>
      </c>
      <c r="N36">
        <f t="shared" si="33"/>
        <v>0.13</v>
      </c>
      <c r="O36">
        <f t="shared" si="33"/>
        <v>0.13</v>
      </c>
      <c r="P36">
        <f t="shared" si="33"/>
        <v>0.13</v>
      </c>
    </row>
    <row r="37" spans="1:16">
      <c r="A37" s="84" t="s">
        <v>148</v>
      </c>
      <c r="B37" s="85" t="s">
        <v>147</v>
      </c>
      <c r="C37" s="85" t="s">
        <v>83</v>
      </c>
      <c r="D37" s="84" t="s">
        <v>75</v>
      </c>
      <c r="E37" s="84">
        <f>VLOOKUP(A37,'2a. SI Pop'!$A$5:$E$198,5,FALSE)</f>
        <v>3</v>
      </c>
      <c r="F37">
        <f>VLOOKUP(E37,Input!$G$5:$H$24,2,FALSE)</f>
        <v>0.23</v>
      </c>
      <c r="G37">
        <f t="shared" ref="G37:P37" si="34">F37</f>
        <v>0.23</v>
      </c>
      <c r="H37">
        <f t="shared" si="34"/>
        <v>0.23</v>
      </c>
      <c r="I37">
        <f t="shared" si="34"/>
        <v>0.23</v>
      </c>
      <c r="J37">
        <f t="shared" si="34"/>
        <v>0.23</v>
      </c>
      <c r="K37">
        <f t="shared" si="34"/>
        <v>0.23</v>
      </c>
      <c r="L37">
        <f t="shared" si="34"/>
        <v>0.23</v>
      </c>
      <c r="M37">
        <f t="shared" si="34"/>
        <v>0.23</v>
      </c>
      <c r="N37">
        <f t="shared" si="34"/>
        <v>0.23</v>
      </c>
      <c r="O37">
        <f t="shared" si="34"/>
        <v>0.23</v>
      </c>
      <c r="P37">
        <f t="shared" si="34"/>
        <v>0.23</v>
      </c>
    </row>
    <row r="38" spans="1:16">
      <c r="A38" s="84" t="s">
        <v>150</v>
      </c>
      <c r="B38" s="85" t="s">
        <v>149</v>
      </c>
      <c r="C38" s="85" t="s">
        <v>83</v>
      </c>
      <c r="D38" s="84" t="s">
        <v>75</v>
      </c>
      <c r="E38" s="84" t="str">
        <f>VLOOKUP(A38,'2a. SI Pop'!$A$5:$E$198,5,FALSE)</f>
        <v>Key</v>
      </c>
      <c r="F38">
        <f>VLOOKUP(A38,Input!$G$5:$H$24,2,FALSE)</f>
        <v>0.06</v>
      </c>
      <c r="G38">
        <f t="shared" ref="G38:P38" si="35">F38</f>
        <v>0.06</v>
      </c>
      <c r="H38">
        <f t="shared" si="35"/>
        <v>0.06</v>
      </c>
      <c r="I38">
        <f t="shared" si="35"/>
        <v>0.06</v>
      </c>
      <c r="J38">
        <f t="shared" si="35"/>
        <v>0.06</v>
      </c>
      <c r="K38">
        <f t="shared" si="35"/>
        <v>0.06</v>
      </c>
      <c r="L38">
        <f t="shared" si="35"/>
        <v>0.06</v>
      </c>
      <c r="M38">
        <f t="shared" si="35"/>
        <v>0.06</v>
      </c>
      <c r="N38">
        <f t="shared" si="35"/>
        <v>0.06</v>
      </c>
      <c r="O38">
        <f t="shared" si="35"/>
        <v>0.06</v>
      </c>
      <c r="P38">
        <f t="shared" si="35"/>
        <v>0.06</v>
      </c>
    </row>
    <row r="39" spans="1:16">
      <c r="A39" s="84" t="s">
        <v>152</v>
      </c>
      <c r="B39" s="85" t="s">
        <v>151</v>
      </c>
      <c r="C39" s="85" t="s">
        <v>92</v>
      </c>
      <c r="D39" s="84" t="s">
        <v>87</v>
      </c>
      <c r="E39" s="84">
        <f>VLOOKUP(A39,'2a. SI Pop'!$A$5:$E$198,5,FALSE)</f>
        <v>2</v>
      </c>
      <c r="F39">
        <f>VLOOKUP(E39,Input!$G$5:$H$24,2,FALSE)</f>
        <v>0.13</v>
      </c>
      <c r="G39">
        <f t="shared" ref="G39:P39" si="36">F39</f>
        <v>0.13</v>
      </c>
      <c r="H39">
        <f t="shared" si="36"/>
        <v>0.13</v>
      </c>
      <c r="I39">
        <f t="shared" si="36"/>
        <v>0.13</v>
      </c>
      <c r="J39">
        <f t="shared" si="36"/>
        <v>0.13</v>
      </c>
      <c r="K39">
        <f t="shared" si="36"/>
        <v>0.13</v>
      </c>
      <c r="L39">
        <f t="shared" si="36"/>
        <v>0.13</v>
      </c>
      <c r="M39">
        <f t="shared" si="36"/>
        <v>0.13</v>
      </c>
      <c r="N39">
        <f t="shared" si="36"/>
        <v>0.13</v>
      </c>
      <c r="O39">
        <f t="shared" si="36"/>
        <v>0.13</v>
      </c>
      <c r="P39">
        <f t="shared" si="36"/>
        <v>0.13</v>
      </c>
    </row>
    <row r="40" spans="1:16">
      <c r="A40" s="84" t="s">
        <v>154</v>
      </c>
      <c r="B40" s="85" t="s">
        <v>153</v>
      </c>
      <c r="C40" s="85" t="s">
        <v>99</v>
      </c>
      <c r="D40" s="84" t="s">
        <v>80</v>
      </c>
      <c r="E40" s="84">
        <f>VLOOKUP(A40,'2a. SI Pop'!$A$5:$E$198,5,FALSE)</f>
        <v>1</v>
      </c>
      <c r="F40">
        <f>VLOOKUP(E40,Input!$G$5:$H$24,2,FALSE)</f>
        <v>0.16</v>
      </c>
      <c r="G40">
        <f t="shared" ref="G40:P40" si="37">F40</f>
        <v>0.16</v>
      </c>
      <c r="H40">
        <f t="shared" si="37"/>
        <v>0.16</v>
      </c>
      <c r="I40">
        <f t="shared" si="37"/>
        <v>0.16</v>
      </c>
      <c r="J40">
        <f t="shared" si="37"/>
        <v>0.16</v>
      </c>
      <c r="K40">
        <f t="shared" si="37"/>
        <v>0.16</v>
      </c>
      <c r="L40">
        <f t="shared" si="37"/>
        <v>0.16</v>
      </c>
      <c r="M40">
        <f t="shared" si="37"/>
        <v>0.16</v>
      </c>
      <c r="N40">
        <f t="shared" si="37"/>
        <v>0.16</v>
      </c>
      <c r="O40">
        <f t="shared" si="37"/>
        <v>0.16</v>
      </c>
      <c r="P40">
        <f t="shared" si="37"/>
        <v>0.16</v>
      </c>
    </row>
    <row r="41" spans="1:16">
      <c r="A41" s="84" t="s">
        <v>156</v>
      </c>
      <c r="B41" s="85" t="s">
        <v>155</v>
      </c>
      <c r="C41" s="85" t="s">
        <v>92</v>
      </c>
      <c r="D41" s="84" t="s">
        <v>80</v>
      </c>
      <c r="E41" s="84">
        <f>VLOOKUP(A41,'2a. SI Pop'!$A$5:$E$198,5,FALSE)</f>
        <v>2</v>
      </c>
      <c r="F41">
        <f>VLOOKUP(E41,Input!$G$5:$H$24,2,FALSE)</f>
        <v>0.13</v>
      </c>
      <c r="G41">
        <f t="shared" ref="G41:P41" si="38">F41</f>
        <v>0.13</v>
      </c>
      <c r="H41">
        <f t="shared" si="38"/>
        <v>0.13</v>
      </c>
      <c r="I41">
        <f t="shared" si="38"/>
        <v>0.13</v>
      </c>
      <c r="J41">
        <f t="shared" si="38"/>
        <v>0.13</v>
      </c>
      <c r="K41">
        <f t="shared" si="38"/>
        <v>0.13</v>
      </c>
      <c r="L41">
        <f t="shared" si="38"/>
        <v>0.13</v>
      </c>
      <c r="M41">
        <f t="shared" si="38"/>
        <v>0.13</v>
      </c>
      <c r="N41">
        <f t="shared" si="38"/>
        <v>0.13</v>
      </c>
      <c r="O41">
        <f t="shared" si="38"/>
        <v>0.13</v>
      </c>
      <c r="P41">
        <f t="shared" si="38"/>
        <v>0.13</v>
      </c>
    </row>
    <row r="42" spans="1:16">
      <c r="A42" s="84" t="s">
        <v>158</v>
      </c>
      <c r="B42" s="85" t="s">
        <v>157</v>
      </c>
      <c r="C42" s="85" t="s">
        <v>83</v>
      </c>
      <c r="D42" s="84" t="s">
        <v>84</v>
      </c>
      <c r="E42" s="84">
        <f>VLOOKUP(A42,'2a. SI Pop'!$A$5:$E$198,5,FALSE)</f>
        <v>3</v>
      </c>
      <c r="F42">
        <f>VLOOKUP(E42,Input!$G$5:$H$24,2,FALSE)</f>
        <v>0.23</v>
      </c>
      <c r="G42">
        <f t="shared" ref="G42:P42" si="39">F42</f>
        <v>0.23</v>
      </c>
      <c r="H42">
        <f t="shared" si="39"/>
        <v>0.23</v>
      </c>
      <c r="I42">
        <f t="shared" si="39"/>
        <v>0.23</v>
      </c>
      <c r="J42">
        <f t="shared" si="39"/>
        <v>0.23</v>
      </c>
      <c r="K42">
        <f t="shared" si="39"/>
        <v>0.23</v>
      </c>
      <c r="L42">
        <f t="shared" si="39"/>
        <v>0.23</v>
      </c>
      <c r="M42">
        <f t="shared" si="39"/>
        <v>0.23</v>
      </c>
      <c r="N42">
        <f t="shared" si="39"/>
        <v>0.23</v>
      </c>
      <c r="O42">
        <f t="shared" si="39"/>
        <v>0.23</v>
      </c>
      <c r="P42">
        <f t="shared" si="39"/>
        <v>0.23</v>
      </c>
    </row>
    <row r="43" spans="1:16">
      <c r="A43" s="84" t="s">
        <v>160</v>
      </c>
      <c r="B43" s="85" t="s">
        <v>159</v>
      </c>
      <c r="C43" s="85" t="s">
        <v>83</v>
      </c>
      <c r="D43" s="84" t="s">
        <v>84</v>
      </c>
      <c r="E43" s="84">
        <f>VLOOKUP(A43,'2a. SI Pop'!$A$5:$E$198,5,FALSE)</f>
        <v>3</v>
      </c>
      <c r="F43">
        <f>VLOOKUP(E43,Input!$G$5:$H$24,2,FALSE)</f>
        <v>0.23</v>
      </c>
      <c r="G43">
        <f t="shared" ref="G43:P43" si="40">F43</f>
        <v>0.23</v>
      </c>
      <c r="H43">
        <f t="shared" si="40"/>
        <v>0.23</v>
      </c>
      <c r="I43">
        <f t="shared" si="40"/>
        <v>0.23</v>
      </c>
      <c r="J43">
        <f t="shared" si="40"/>
        <v>0.23</v>
      </c>
      <c r="K43">
        <f t="shared" si="40"/>
        <v>0.23</v>
      </c>
      <c r="L43">
        <f t="shared" si="40"/>
        <v>0.23</v>
      </c>
      <c r="M43">
        <f t="shared" si="40"/>
        <v>0.23</v>
      </c>
      <c r="N43">
        <f t="shared" si="40"/>
        <v>0.23</v>
      </c>
      <c r="O43">
        <f t="shared" si="40"/>
        <v>0.23</v>
      </c>
      <c r="P43">
        <f t="shared" si="40"/>
        <v>0.23</v>
      </c>
    </row>
    <row r="44" spans="1:16">
      <c r="A44" s="84" t="s">
        <v>162</v>
      </c>
      <c r="B44" s="85" t="s">
        <v>161</v>
      </c>
      <c r="C44" s="85" t="s">
        <v>99</v>
      </c>
      <c r="D44" s="84" t="e">
        <v>#N/A</v>
      </c>
      <c r="E44" s="84">
        <f>VLOOKUP(A44,'2a. SI Pop'!$A$5:$E$198,5,FALSE)</f>
        <v>1</v>
      </c>
      <c r="F44">
        <f>VLOOKUP(E44,Input!$G$5:$H$24,2,FALSE)</f>
        <v>0.16</v>
      </c>
      <c r="G44">
        <f t="shared" ref="G44:P44" si="41">F44</f>
        <v>0.16</v>
      </c>
      <c r="H44">
        <f t="shared" si="41"/>
        <v>0.16</v>
      </c>
      <c r="I44">
        <f t="shared" si="41"/>
        <v>0.16</v>
      </c>
      <c r="J44">
        <f t="shared" si="41"/>
        <v>0.16</v>
      </c>
      <c r="K44">
        <f t="shared" si="41"/>
        <v>0.16</v>
      </c>
      <c r="L44">
        <f t="shared" si="41"/>
        <v>0.16</v>
      </c>
      <c r="M44">
        <f t="shared" si="41"/>
        <v>0.16</v>
      </c>
      <c r="N44">
        <f t="shared" si="41"/>
        <v>0.16</v>
      </c>
      <c r="O44">
        <f t="shared" si="41"/>
        <v>0.16</v>
      </c>
      <c r="P44">
        <f t="shared" si="41"/>
        <v>0.16</v>
      </c>
    </row>
    <row r="45" spans="1:16">
      <c r="A45" s="84" t="s">
        <v>164</v>
      </c>
      <c r="B45" s="85" t="s">
        <v>163</v>
      </c>
      <c r="C45" s="85" t="s">
        <v>92</v>
      </c>
      <c r="D45" s="84" t="s">
        <v>80</v>
      </c>
      <c r="E45" s="84">
        <f>VLOOKUP(A45,'2a. SI Pop'!$A$5:$E$198,5,FALSE)</f>
        <v>2</v>
      </c>
      <c r="F45">
        <f>VLOOKUP(E45,Input!$G$5:$H$24,2,FALSE)</f>
        <v>0.13</v>
      </c>
      <c r="G45">
        <f t="shared" ref="G45:P45" si="42">F45</f>
        <v>0.13</v>
      </c>
      <c r="H45">
        <f t="shared" si="42"/>
        <v>0.13</v>
      </c>
      <c r="I45">
        <f t="shared" si="42"/>
        <v>0.13</v>
      </c>
      <c r="J45">
        <f t="shared" si="42"/>
        <v>0.13</v>
      </c>
      <c r="K45">
        <f t="shared" si="42"/>
        <v>0.13</v>
      </c>
      <c r="L45">
        <f t="shared" si="42"/>
        <v>0.13</v>
      </c>
      <c r="M45">
        <f t="shared" si="42"/>
        <v>0.13</v>
      </c>
      <c r="N45">
        <f t="shared" si="42"/>
        <v>0.13</v>
      </c>
      <c r="O45">
        <f t="shared" si="42"/>
        <v>0.13</v>
      </c>
      <c r="P45">
        <f t="shared" si="42"/>
        <v>0.13</v>
      </c>
    </row>
    <row r="46" spans="1:16">
      <c r="A46" s="84" t="s">
        <v>166</v>
      </c>
      <c r="B46" s="85" t="s">
        <v>165</v>
      </c>
      <c r="C46" s="85" t="s">
        <v>83</v>
      </c>
      <c r="D46" s="84" t="s">
        <v>84</v>
      </c>
      <c r="E46" s="84">
        <f>VLOOKUP(A46,'2a. SI Pop'!$A$5:$E$198,5,FALSE)</f>
        <v>3</v>
      </c>
      <c r="F46">
        <f>VLOOKUP(E46,Input!$G$5:$H$24,2,FALSE)</f>
        <v>0.23</v>
      </c>
      <c r="G46">
        <f t="shared" ref="G46:P46" si="43">F46</f>
        <v>0.23</v>
      </c>
      <c r="H46">
        <f t="shared" si="43"/>
        <v>0.23</v>
      </c>
      <c r="I46">
        <f t="shared" si="43"/>
        <v>0.23</v>
      </c>
      <c r="J46">
        <f t="shared" si="43"/>
        <v>0.23</v>
      </c>
      <c r="K46">
        <f t="shared" si="43"/>
        <v>0.23</v>
      </c>
      <c r="L46">
        <f t="shared" si="43"/>
        <v>0.23</v>
      </c>
      <c r="M46">
        <f t="shared" si="43"/>
        <v>0.23</v>
      </c>
      <c r="N46">
        <f t="shared" si="43"/>
        <v>0.23</v>
      </c>
      <c r="O46">
        <f t="shared" si="43"/>
        <v>0.23</v>
      </c>
      <c r="P46">
        <f t="shared" si="43"/>
        <v>0.23</v>
      </c>
    </row>
    <row r="47" spans="1:16">
      <c r="A47" s="84" t="s">
        <v>168</v>
      </c>
      <c r="B47" s="85" t="s">
        <v>167</v>
      </c>
      <c r="C47" s="85" t="s">
        <v>79</v>
      </c>
      <c r="D47" s="84" t="s">
        <v>87</v>
      </c>
      <c r="E47" s="84">
        <f>VLOOKUP(A47,'2a. SI Pop'!$A$5:$E$198,5,FALSE)</f>
        <v>1</v>
      </c>
      <c r="F47">
        <f>VLOOKUP(E47,Input!$G$5:$H$24,2,FALSE)</f>
        <v>0.16</v>
      </c>
      <c r="G47">
        <f t="shared" ref="G47:P47" si="44">F47</f>
        <v>0.16</v>
      </c>
      <c r="H47">
        <f t="shared" si="44"/>
        <v>0.16</v>
      </c>
      <c r="I47">
        <f t="shared" si="44"/>
        <v>0.16</v>
      </c>
      <c r="J47">
        <f t="shared" si="44"/>
        <v>0.16</v>
      </c>
      <c r="K47">
        <f t="shared" si="44"/>
        <v>0.16</v>
      </c>
      <c r="L47">
        <f t="shared" si="44"/>
        <v>0.16</v>
      </c>
      <c r="M47">
        <f t="shared" si="44"/>
        <v>0.16</v>
      </c>
      <c r="N47">
        <f t="shared" si="44"/>
        <v>0.16</v>
      </c>
      <c r="O47">
        <f t="shared" si="44"/>
        <v>0.16</v>
      </c>
      <c r="P47">
        <f t="shared" si="44"/>
        <v>0.16</v>
      </c>
    </row>
    <row r="48" spans="1:16">
      <c r="A48" s="84" t="s">
        <v>170</v>
      </c>
      <c r="B48" s="85" t="s">
        <v>169</v>
      </c>
      <c r="C48" s="85" t="s">
        <v>92</v>
      </c>
      <c r="D48" s="84" t="s">
        <v>80</v>
      </c>
      <c r="E48" s="84">
        <f>VLOOKUP(A48,'2a. SI Pop'!$A$5:$E$198,5,FALSE)</f>
        <v>1</v>
      </c>
      <c r="F48">
        <f>VLOOKUP(E48,Input!$G$5:$H$24,2,FALSE)</f>
        <v>0.16</v>
      </c>
      <c r="G48">
        <f t="shared" ref="G48:P48" si="45">F48</f>
        <v>0.16</v>
      </c>
      <c r="H48">
        <f t="shared" si="45"/>
        <v>0.16</v>
      </c>
      <c r="I48">
        <f t="shared" si="45"/>
        <v>0.16</v>
      </c>
      <c r="J48">
        <f t="shared" si="45"/>
        <v>0.16</v>
      </c>
      <c r="K48">
        <f t="shared" si="45"/>
        <v>0.16</v>
      </c>
      <c r="L48">
        <f t="shared" si="45"/>
        <v>0.16</v>
      </c>
      <c r="M48">
        <f t="shared" si="45"/>
        <v>0.16</v>
      </c>
      <c r="N48">
        <f t="shared" si="45"/>
        <v>0.16</v>
      </c>
      <c r="O48">
        <f t="shared" si="45"/>
        <v>0.16</v>
      </c>
      <c r="P48">
        <f t="shared" si="45"/>
        <v>0.16</v>
      </c>
    </row>
    <row r="49" spans="1:16">
      <c r="A49" s="84" t="s">
        <v>172</v>
      </c>
      <c r="B49" s="85" t="s">
        <v>171</v>
      </c>
      <c r="C49" s="85" t="s">
        <v>79</v>
      </c>
      <c r="D49" s="84" t="s">
        <v>87</v>
      </c>
      <c r="E49" s="84">
        <f>VLOOKUP(A49,'2a. SI Pop'!$A$5:$E$198,5,FALSE)</f>
        <v>1</v>
      </c>
      <c r="F49">
        <f>VLOOKUP(E49,Input!$G$5:$H$24,2,FALSE)</f>
        <v>0.16</v>
      </c>
      <c r="G49">
        <f t="shared" ref="G49:P49" si="46">F49</f>
        <v>0.16</v>
      </c>
      <c r="H49">
        <f t="shared" si="46"/>
        <v>0.16</v>
      </c>
      <c r="I49">
        <f t="shared" si="46"/>
        <v>0.16</v>
      </c>
      <c r="J49">
        <f t="shared" si="46"/>
        <v>0.16</v>
      </c>
      <c r="K49">
        <f t="shared" si="46"/>
        <v>0.16</v>
      </c>
      <c r="L49">
        <f t="shared" si="46"/>
        <v>0.16</v>
      </c>
      <c r="M49">
        <f t="shared" si="46"/>
        <v>0.16</v>
      </c>
      <c r="N49">
        <f t="shared" si="46"/>
        <v>0.16</v>
      </c>
      <c r="O49">
        <f t="shared" si="46"/>
        <v>0.16</v>
      </c>
      <c r="P49">
        <f t="shared" si="46"/>
        <v>0.16</v>
      </c>
    </row>
    <row r="50" spans="1:16">
      <c r="A50" s="84" t="s">
        <v>174</v>
      </c>
      <c r="B50" s="85" t="s">
        <v>173</v>
      </c>
      <c r="C50" s="85" t="s">
        <v>79</v>
      </c>
      <c r="D50" s="84" t="s">
        <v>87</v>
      </c>
      <c r="E50" s="84">
        <f>VLOOKUP(A50,'2a. SI Pop'!$A$5:$E$198,5,FALSE)</f>
        <v>1</v>
      </c>
      <c r="F50">
        <f>VLOOKUP(E50,Input!$G$5:$H$24,2,FALSE)</f>
        <v>0.16</v>
      </c>
      <c r="G50">
        <f t="shared" ref="G50:P50" si="47">F50</f>
        <v>0.16</v>
      </c>
      <c r="H50">
        <f t="shared" si="47"/>
        <v>0.16</v>
      </c>
      <c r="I50">
        <f t="shared" si="47"/>
        <v>0.16</v>
      </c>
      <c r="J50">
        <f t="shared" si="47"/>
        <v>0.16</v>
      </c>
      <c r="K50">
        <f t="shared" si="47"/>
        <v>0.16</v>
      </c>
      <c r="L50">
        <f t="shared" si="47"/>
        <v>0.16</v>
      </c>
      <c r="M50">
        <f t="shared" si="47"/>
        <v>0.16</v>
      </c>
      <c r="N50">
        <f t="shared" si="47"/>
        <v>0.16</v>
      </c>
      <c r="O50">
        <f t="shared" si="47"/>
        <v>0.16</v>
      </c>
      <c r="P50">
        <f t="shared" si="47"/>
        <v>0.16</v>
      </c>
    </row>
    <row r="51" spans="1:16">
      <c r="A51" s="84" t="s">
        <v>176</v>
      </c>
      <c r="B51" s="85" t="s">
        <v>175</v>
      </c>
      <c r="C51" s="85" t="s">
        <v>110</v>
      </c>
      <c r="D51" s="84" t="s">
        <v>75</v>
      </c>
      <c r="E51" s="84">
        <f>VLOOKUP(A51,'2a. SI Pop'!$A$5:$E$198,5,FALSE)</f>
        <v>4</v>
      </c>
      <c r="F51">
        <f>VLOOKUP(E51,Input!$G$5:$H$24,2,FALSE)</f>
        <v>0.21</v>
      </c>
      <c r="G51">
        <f t="shared" ref="G51:P51" si="48">F51</f>
        <v>0.21</v>
      </c>
      <c r="H51">
        <f t="shared" si="48"/>
        <v>0.21</v>
      </c>
      <c r="I51">
        <f t="shared" si="48"/>
        <v>0.21</v>
      </c>
      <c r="J51">
        <f t="shared" si="48"/>
        <v>0.21</v>
      </c>
      <c r="K51">
        <f t="shared" si="48"/>
        <v>0.21</v>
      </c>
      <c r="L51">
        <f t="shared" si="48"/>
        <v>0.21</v>
      </c>
      <c r="M51">
        <f t="shared" si="48"/>
        <v>0.21</v>
      </c>
      <c r="N51">
        <f t="shared" si="48"/>
        <v>0.21</v>
      </c>
      <c r="O51">
        <f t="shared" si="48"/>
        <v>0.21</v>
      </c>
      <c r="P51">
        <f t="shared" si="48"/>
        <v>0.21</v>
      </c>
    </row>
    <row r="52" spans="1:16">
      <c r="A52" s="84" t="s">
        <v>178</v>
      </c>
      <c r="B52" s="85" t="s">
        <v>177</v>
      </c>
      <c r="C52" s="85" t="s">
        <v>83</v>
      </c>
      <c r="D52" s="84" t="s">
        <v>75</v>
      </c>
      <c r="E52" s="84" t="str">
        <f>VLOOKUP(A52,'2a. SI Pop'!$A$5:$E$198,5,FALSE)</f>
        <v>Key</v>
      </c>
      <c r="F52">
        <f>VLOOKUP(A52,Input!$G$5:$H$24,2,FALSE)</f>
        <v>0.16200000000000001</v>
      </c>
      <c r="G52">
        <f t="shared" ref="G52:P52" si="49">F52</f>
        <v>0.16200000000000001</v>
      </c>
      <c r="H52">
        <f t="shared" si="49"/>
        <v>0.16200000000000001</v>
      </c>
      <c r="I52">
        <f t="shared" si="49"/>
        <v>0.16200000000000001</v>
      </c>
      <c r="J52">
        <f t="shared" si="49"/>
        <v>0.16200000000000001</v>
      </c>
      <c r="K52">
        <f t="shared" si="49"/>
        <v>0.16200000000000001</v>
      </c>
      <c r="L52">
        <f t="shared" si="49"/>
        <v>0.16200000000000001</v>
      </c>
      <c r="M52">
        <f t="shared" si="49"/>
        <v>0.16200000000000001</v>
      </c>
      <c r="N52">
        <f t="shared" si="49"/>
        <v>0.16200000000000001</v>
      </c>
      <c r="O52">
        <f t="shared" si="49"/>
        <v>0.16200000000000001</v>
      </c>
      <c r="P52">
        <f t="shared" si="49"/>
        <v>0.16200000000000001</v>
      </c>
    </row>
    <row r="53" spans="1:16">
      <c r="A53" s="84" t="s">
        <v>180</v>
      </c>
      <c r="B53" s="85" t="s">
        <v>179</v>
      </c>
      <c r="C53" s="85" t="s">
        <v>79</v>
      </c>
      <c r="D53" s="84" t="s">
        <v>87</v>
      </c>
      <c r="E53" s="84">
        <f>VLOOKUP(A53,'2a. SI Pop'!$A$5:$E$198,5,FALSE)</f>
        <v>1</v>
      </c>
      <c r="F53">
        <f>VLOOKUP(E53,Input!$G$5:$H$24,2,FALSE)</f>
        <v>0.16</v>
      </c>
      <c r="G53">
        <f t="shared" ref="G53:P53" si="50">F53</f>
        <v>0.16</v>
      </c>
      <c r="H53">
        <f t="shared" si="50"/>
        <v>0.16</v>
      </c>
      <c r="I53">
        <f t="shared" si="50"/>
        <v>0.16</v>
      </c>
      <c r="J53">
        <f t="shared" si="50"/>
        <v>0.16</v>
      </c>
      <c r="K53">
        <f t="shared" si="50"/>
        <v>0.16</v>
      </c>
      <c r="L53">
        <f t="shared" si="50"/>
        <v>0.16</v>
      </c>
      <c r="M53">
        <f t="shared" si="50"/>
        <v>0.16</v>
      </c>
      <c r="N53">
        <f t="shared" si="50"/>
        <v>0.16</v>
      </c>
      <c r="O53">
        <f t="shared" si="50"/>
        <v>0.16</v>
      </c>
      <c r="P53">
        <f t="shared" si="50"/>
        <v>0.16</v>
      </c>
    </row>
    <row r="54" spans="1:16">
      <c r="A54" s="84" t="s">
        <v>182</v>
      </c>
      <c r="B54" s="85" t="s">
        <v>181</v>
      </c>
      <c r="C54" s="85" t="s">
        <v>74</v>
      </c>
      <c r="D54" s="84" t="s">
        <v>84</v>
      </c>
      <c r="E54" s="84">
        <f>VLOOKUP(A54,'2a. SI Pop'!$A$5:$E$198,5,FALSE)</f>
        <v>3</v>
      </c>
      <c r="F54">
        <f>VLOOKUP(E54,Input!$G$5:$H$24,2,FALSE)</f>
        <v>0.23</v>
      </c>
      <c r="G54">
        <f t="shared" ref="G54:P54" si="51">F54</f>
        <v>0.23</v>
      </c>
      <c r="H54">
        <f t="shared" si="51"/>
        <v>0.23</v>
      </c>
      <c r="I54">
        <f t="shared" si="51"/>
        <v>0.23</v>
      </c>
      <c r="J54">
        <f t="shared" si="51"/>
        <v>0.23</v>
      </c>
      <c r="K54">
        <f t="shared" si="51"/>
        <v>0.23</v>
      </c>
      <c r="L54">
        <f t="shared" si="51"/>
        <v>0.23</v>
      </c>
      <c r="M54">
        <f t="shared" si="51"/>
        <v>0.23</v>
      </c>
      <c r="N54">
        <f t="shared" si="51"/>
        <v>0.23</v>
      </c>
      <c r="O54">
        <f t="shared" si="51"/>
        <v>0.23</v>
      </c>
      <c r="P54">
        <f t="shared" si="51"/>
        <v>0.23</v>
      </c>
    </row>
    <row r="55" spans="1:16">
      <c r="A55" s="84" t="s">
        <v>184</v>
      </c>
      <c r="B55" s="85" t="s">
        <v>183</v>
      </c>
      <c r="C55" s="85" t="s">
        <v>92</v>
      </c>
      <c r="D55" s="84" t="s">
        <v>80</v>
      </c>
      <c r="E55" s="84">
        <f>VLOOKUP(A55,'2a. SI Pop'!$A$5:$E$198,5,FALSE)</f>
        <v>2</v>
      </c>
      <c r="F55">
        <f>VLOOKUP(E55,Input!$G$5:$H$24,2,FALSE)</f>
        <v>0.13</v>
      </c>
      <c r="G55">
        <f t="shared" ref="G55:P55" si="52">F55</f>
        <v>0.13</v>
      </c>
      <c r="H55">
        <f t="shared" si="52"/>
        <v>0.13</v>
      </c>
      <c r="I55">
        <f t="shared" si="52"/>
        <v>0.13</v>
      </c>
      <c r="J55">
        <f t="shared" si="52"/>
        <v>0.13</v>
      </c>
      <c r="K55">
        <f t="shared" si="52"/>
        <v>0.13</v>
      </c>
      <c r="L55">
        <f t="shared" si="52"/>
        <v>0.13</v>
      </c>
      <c r="M55">
        <f t="shared" si="52"/>
        <v>0.13</v>
      </c>
      <c r="N55">
        <f t="shared" si="52"/>
        <v>0.13</v>
      </c>
      <c r="O55">
        <f t="shared" si="52"/>
        <v>0.13</v>
      </c>
      <c r="P55">
        <f t="shared" si="52"/>
        <v>0.13</v>
      </c>
    </row>
    <row r="56" spans="1:16">
      <c r="A56" s="84" t="s">
        <v>184</v>
      </c>
      <c r="B56" s="85" t="s">
        <v>185</v>
      </c>
      <c r="C56" s="85" t="s">
        <v>92</v>
      </c>
      <c r="D56" s="84" t="s">
        <v>80</v>
      </c>
      <c r="E56" s="84">
        <f>VLOOKUP(A56,'2a. SI Pop'!$A$5:$E$198,5,FALSE)</f>
        <v>2</v>
      </c>
      <c r="F56">
        <f>VLOOKUP(E56,Input!$G$5:$H$24,2,FALSE)</f>
        <v>0.13</v>
      </c>
      <c r="G56">
        <f t="shared" ref="G56:P56" si="53">F56</f>
        <v>0.13</v>
      </c>
      <c r="H56">
        <f t="shared" si="53"/>
        <v>0.13</v>
      </c>
      <c r="I56">
        <f t="shared" si="53"/>
        <v>0.13</v>
      </c>
      <c r="J56">
        <f t="shared" si="53"/>
        <v>0.13</v>
      </c>
      <c r="K56">
        <f t="shared" si="53"/>
        <v>0.13</v>
      </c>
      <c r="L56">
        <f t="shared" si="53"/>
        <v>0.13</v>
      </c>
      <c r="M56">
        <f t="shared" si="53"/>
        <v>0.13</v>
      </c>
      <c r="N56">
        <f t="shared" si="53"/>
        <v>0.13</v>
      </c>
      <c r="O56">
        <f t="shared" si="53"/>
        <v>0.13</v>
      </c>
      <c r="P56">
        <f t="shared" si="53"/>
        <v>0.13</v>
      </c>
    </row>
    <row r="57" spans="1:16">
      <c r="A57" s="84" t="s">
        <v>187</v>
      </c>
      <c r="B57" s="85" t="s">
        <v>186</v>
      </c>
      <c r="C57" s="85" t="s">
        <v>92</v>
      </c>
      <c r="D57" s="84" t="s">
        <v>80</v>
      </c>
      <c r="E57" s="84">
        <f>VLOOKUP(A57,'2a. SI Pop'!$A$5:$E$198,5,FALSE)</f>
        <v>2</v>
      </c>
      <c r="F57">
        <f>VLOOKUP(E57,Input!$G$5:$H$24,2,FALSE)</f>
        <v>0.13</v>
      </c>
      <c r="G57">
        <f t="shared" ref="G57:P57" si="54">F57</f>
        <v>0.13</v>
      </c>
      <c r="H57">
        <f t="shared" si="54"/>
        <v>0.13</v>
      </c>
      <c r="I57">
        <f t="shared" si="54"/>
        <v>0.13</v>
      </c>
      <c r="J57">
        <f t="shared" si="54"/>
        <v>0.13</v>
      </c>
      <c r="K57">
        <f t="shared" si="54"/>
        <v>0.13</v>
      </c>
      <c r="L57">
        <f t="shared" si="54"/>
        <v>0.13</v>
      </c>
      <c r="M57">
        <f t="shared" si="54"/>
        <v>0.13</v>
      </c>
      <c r="N57">
        <f t="shared" si="54"/>
        <v>0.13</v>
      </c>
      <c r="O57">
        <f t="shared" si="54"/>
        <v>0.13</v>
      </c>
      <c r="P57">
        <f t="shared" si="54"/>
        <v>0.13</v>
      </c>
    </row>
    <row r="58" spans="1:16">
      <c r="A58" s="84" t="s">
        <v>189</v>
      </c>
      <c r="B58" s="85" t="s">
        <v>188</v>
      </c>
      <c r="C58" s="85" t="s">
        <v>74</v>
      </c>
      <c r="D58" s="84" t="s">
        <v>84</v>
      </c>
      <c r="E58" s="84">
        <f>VLOOKUP(A58,'2a. SI Pop'!$A$5:$E$198,5,FALSE)</f>
        <v>2</v>
      </c>
      <c r="F58">
        <f>VLOOKUP(E58,Input!$G$5:$H$24,2,FALSE)</f>
        <v>0.13</v>
      </c>
      <c r="G58">
        <f t="shared" ref="G58:P58" si="55">F58</f>
        <v>0.13</v>
      </c>
      <c r="H58">
        <f t="shared" si="55"/>
        <v>0.13</v>
      </c>
      <c r="I58">
        <f t="shared" si="55"/>
        <v>0.13</v>
      </c>
      <c r="J58">
        <f t="shared" si="55"/>
        <v>0.13</v>
      </c>
      <c r="K58">
        <f t="shared" si="55"/>
        <v>0.13</v>
      </c>
      <c r="L58">
        <f t="shared" si="55"/>
        <v>0.13</v>
      </c>
      <c r="M58">
        <f t="shared" si="55"/>
        <v>0.13</v>
      </c>
      <c r="N58">
        <f t="shared" si="55"/>
        <v>0.13</v>
      </c>
      <c r="O58">
        <f t="shared" si="55"/>
        <v>0.13</v>
      </c>
      <c r="P58">
        <f t="shared" si="55"/>
        <v>0.13</v>
      </c>
    </row>
    <row r="59" spans="1:16">
      <c r="A59" s="84" t="s">
        <v>191</v>
      </c>
      <c r="B59" s="85" t="s">
        <v>190</v>
      </c>
      <c r="C59" s="85" t="s">
        <v>92</v>
      </c>
      <c r="D59" s="84" t="s">
        <v>84</v>
      </c>
      <c r="E59" s="84">
        <f>VLOOKUP(A59,'2a. SI Pop'!$A$5:$E$198,5,FALSE)</f>
        <v>1</v>
      </c>
      <c r="F59">
        <f>VLOOKUP(E59,Input!$G$5:$H$24,2,FALSE)</f>
        <v>0.16</v>
      </c>
      <c r="G59">
        <f t="shared" ref="G59:P59" si="56">F59</f>
        <v>0.16</v>
      </c>
      <c r="H59">
        <f t="shared" si="56"/>
        <v>0.16</v>
      </c>
      <c r="I59">
        <f t="shared" si="56"/>
        <v>0.16</v>
      </c>
      <c r="J59">
        <f t="shared" si="56"/>
        <v>0.16</v>
      </c>
      <c r="K59">
        <f t="shared" si="56"/>
        <v>0.16</v>
      </c>
      <c r="L59">
        <f t="shared" si="56"/>
        <v>0.16</v>
      </c>
      <c r="M59">
        <f t="shared" si="56"/>
        <v>0.16</v>
      </c>
      <c r="N59">
        <f t="shared" si="56"/>
        <v>0.16</v>
      </c>
      <c r="O59">
        <f t="shared" si="56"/>
        <v>0.16</v>
      </c>
      <c r="P59">
        <f t="shared" si="56"/>
        <v>0.16</v>
      </c>
    </row>
    <row r="60" spans="1:16">
      <c r="A60" s="84" t="s">
        <v>193</v>
      </c>
      <c r="B60" s="85" t="s">
        <v>192</v>
      </c>
      <c r="C60" s="85" t="s">
        <v>83</v>
      </c>
      <c r="D60" s="84" t="s">
        <v>80</v>
      </c>
      <c r="E60" s="84">
        <f>VLOOKUP(A60,'2a. SI Pop'!$A$5:$E$198,5,FALSE)</f>
        <v>3</v>
      </c>
      <c r="F60">
        <f>VLOOKUP(E60,Input!$G$5:$H$24,2,FALSE)</f>
        <v>0.23</v>
      </c>
      <c r="G60">
        <f t="shared" ref="G60:P60" si="57">F60</f>
        <v>0.23</v>
      </c>
      <c r="H60">
        <f t="shared" si="57"/>
        <v>0.23</v>
      </c>
      <c r="I60">
        <f t="shared" si="57"/>
        <v>0.23</v>
      </c>
      <c r="J60">
        <f t="shared" si="57"/>
        <v>0.23</v>
      </c>
      <c r="K60">
        <f t="shared" si="57"/>
        <v>0.23</v>
      </c>
      <c r="L60">
        <f t="shared" si="57"/>
        <v>0.23</v>
      </c>
      <c r="M60">
        <f t="shared" si="57"/>
        <v>0.23</v>
      </c>
      <c r="N60">
        <f t="shared" si="57"/>
        <v>0.23</v>
      </c>
      <c r="O60">
        <f t="shared" si="57"/>
        <v>0.23</v>
      </c>
      <c r="P60">
        <f t="shared" si="57"/>
        <v>0.23</v>
      </c>
    </row>
    <row r="61" spans="1:16">
      <c r="A61" s="84" t="s">
        <v>195</v>
      </c>
      <c r="B61" s="85" t="s">
        <v>194</v>
      </c>
      <c r="C61" s="85" t="s">
        <v>83</v>
      </c>
      <c r="D61" s="84" t="s">
        <v>75</v>
      </c>
      <c r="E61" s="84">
        <f>VLOOKUP(A61,'2a. SI Pop'!$A$5:$E$198,5,FALSE)</f>
        <v>3</v>
      </c>
      <c r="F61">
        <f>VLOOKUP(E61,Input!$G$5:$H$24,2,FALSE)</f>
        <v>0.23</v>
      </c>
      <c r="G61">
        <f t="shared" ref="G61:P61" si="58">F61</f>
        <v>0.23</v>
      </c>
      <c r="H61">
        <f t="shared" si="58"/>
        <v>0.23</v>
      </c>
      <c r="I61">
        <f t="shared" si="58"/>
        <v>0.23</v>
      </c>
      <c r="J61">
        <f t="shared" si="58"/>
        <v>0.23</v>
      </c>
      <c r="K61">
        <f t="shared" si="58"/>
        <v>0.23</v>
      </c>
      <c r="L61">
        <f t="shared" si="58"/>
        <v>0.23</v>
      </c>
      <c r="M61">
        <f t="shared" si="58"/>
        <v>0.23</v>
      </c>
      <c r="N61">
        <f t="shared" si="58"/>
        <v>0.23</v>
      </c>
      <c r="O61">
        <f t="shared" si="58"/>
        <v>0.23</v>
      </c>
      <c r="P61">
        <f t="shared" si="58"/>
        <v>0.23</v>
      </c>
    </row>
    <row r="62" spans="1:16">
      <c r="A62" s="84" t="s">
        <v>197</v>
      </c>
      <c r="B62" s="85" t="s">
        <v>196</v>
      </c>
      <c r="C62" s="85" t="s">
        <v>79</v>
      </c>
      <c r="D62" s="84" t="s">
        <v>87</v>
      </c>
      <c r="E62" s="84">
        <f>VLOOKUP(A62,'2a. SI Pop'!$A$5:$E$198,5,FALSE)</f>
        <v>1</v>
      </c>
      <c r="F62">
        <f>VLOOKUP(E62,Input!$G$5:$H$24,2,FALSE)</f>
        <v>0.16</v>
      </c>
      <c r="G62">
        <f t="shared" ref="G62:P62" si="59">F62</f>
        <v>0.16</v>
      </c>
      <c r="H62">
        <f t="shared" si="59"/>
        <v>0.16</v>
      </c>
      <c r="I62">
        <f t="shared" si="59"/>
        <v>0.16</v>
      </c>
      <c r="J62">
        <f t="shared" si="59"/>
        <v>0.16</v>
      </c>
      <c r="K62">
        <f t="shared" si="59"/>
        <v>0.16</v>
      </c>
      <c r="L62">
        <f t="shared" si="59"/>
        <v>0.16</v>
      </c>
      <c r="M62">
        <f t="shared" si="59"/>
        <v>0.16</v>
      </c>
      <c r="N62">
        <f t="shared" si="59"/>
        <v>0.16</v>
      </c>
      <c r="O62">
        <f t="shared" si="59"/>
        <v>0.16</v>
      </c>
      <c r="P62">
        <f t="shared" si="59"/>
        <v>0.16</v>
      </c>
    </row>
    <row r="63" spans="1:16">
      <c r="A63" s="84" t="s">
        <v>199</v>
      </c>
      <c r="B63" s="85" t="s">
        <v>198</v>
      </c>
      <c r="C63" s="85" t="s">
        <v>83</v>
      </c>
      <c r="D63" s="84" t="s">
        <v>75</v>
      </c>
      <c r="E63" s="84" t="str">
        <f>VLOOKUP(A63,'2a. SI Pop'!$A$5:$E$198,5,FALSE)</f>
        <v>Key</v>
      </c>
      <c r="F63">
        <f>VLOOKUP(A63,Input!$G$5:$H$24,2,FALSE)</f>
        <v>9.2399999999999996E-2</v>
      </c>
      <c r="G63">
        <f t="shared" ref="G63:P63" si="60">F63</f>
        <v>9.2399999999999996E-2</v>
      </c>
      <c r="H63">
        <f t="shared" si="60"/>
        <v>9.2399999999999996E-2</v>
      </c>
      <c r="I63">
        <f t="shared" si="60"/>
        <v>9.2399999999999996E-2</v>
      </c>
      <c r="J63">
        <f t="shared" si="60"/>
        <v>9.2399999999999996E-2</v>
      </c>
      <c r="K63">
        <f t="shared" si="60"/>
        <v>9.2399999999999996E-2</v>
      </c>
      <c r="L63">
        <f t="shared" si="60"/>
        <v>9.2399999999999996E-2</v>
      </c>
      <c r="M63">
        <f t="shared" si="60"/>
        <v>9.2399999999999996E-2</v>
      </c>
      <c r="N63">
        <f t="shared" si="60"/>
        <v>9.2399999999999996E-2</v>
      </c>
      <c r="O63">
        <f t="shared" si="60"/>
        <v>9.2399999999999996E-2</v>
      </c>
      <c r="P63">
        <f t="shared" si="60"/>
        <v>9.2399999999999996E-2</v>
      </c>
    </row>
    <row r="64" spans="1:16">
      <c r="A64" s="84" t="s">
        <v>201</v>
      </c>
      <c r="B64" s="85" t="s">
        <v>200</v>
      </c>
      <c r="C64" s="85" t="s">
        <v>99</v>
      </c>
      <c r="D64" s="84" t="s">
        <v>80</v>
      </c>
      <c r="E64" s="84">
        <f>VLOOKUP(A64,'2a. SI Pop'!$A$5:$E$198,5,FALSE)</f>
        <v>4</v>
      </c>
      <c r="F64">
        <f>VLOOKUP(E64,Input!$G$5:$H$24,2,FALSE)</f>
        <v>0.21</v>
      </c>
      <c r="G64">
        <f t="shared" ref="G64:P64" si="61">F64</f>
        <v>0.21</v>
      </c>
      <c r="H64">
        <f t="shared" si="61"/>
        <v>0.21</v>
      </c>
      <c r="I64">
        <f t="shared" si="61"/>
        <v>0.21</v>
      </c>
      <c r="J64">
        <f t="shared" si="61"/>
        <v>0.21</v>
      </c>
      <c r="K64">
        <f t="shared" si="61"/>
        <v>0.21</v>
      </c>
      <c r="L64">
        <f t="shared" si="61"/>
        <v>0.21</v>
      </c>
      <c r="M64">
        <f t="shared" si="61"/>
        <v>0.21</v>
      </c>
      <c r="N64">
        <f t="shared" si="61"/>
        <v>0.21</v>
      </c>
      <c r="O64">
        <f t="shared" si="61"/>
        <v>0.21</v>
      </c>
      <c r="P64">
        <f t="shared" si="61"/>
        <v>0.21</v>
      </c>
    </row>
    <row r="65" spans="1:16">
      <c r="A65" s="84" t="s">
        <v>203</v>
      </c>
      <c r="B65" s="85" t="s">
        <v>202</v>
      </c>
      <c r="C65" s="85" t="s">
        <v>79</v>
      </c>
      <c r="D65" s="84" t="s">
        <v>87</v>
      </c>
      <c r="E65" s="84">
        <f>VLOOKUP(A65,'2a. SI Pop'!$A$5:$E$198,5,FALSE)</f>
        <v>1</v>
      </c>
      <c r="F65">
        <f>VLOOKUP(E65,Input!$G$5:$H$24,2,FALSE)</f>
        <v>0.16</v>
      </c>
      <c r="G65">
        <f t="shared" ref="G65:P65" si="62">F65</f>
        <v>0.16</v>
      </c>
      <c r="H65">
        <f t="shared" si="62"/>
        <v>0.16</v>
      </c>
      <c r="I65">
        <f t="shared" si="62"/>
        <v>0.16</v>
      </c>
      <c r="J65">
        <f t="shared" si="62"/>
        <v>0.16</v>
      </c>
      <c r="K65">
        <f t="shared" si="62"/>
        <v>0.16</v>
      </c>
      <c r="L65">
        <f t="shared" si="62"/>
        <v>0.16</v>
      </c>
      <c r="M65">
        <f t="shared" si="62"/>
        <v>0.16</v>
      </c>
      <c r="N65">
        <f t="shared" si="62"/>
        <v>0.16</v>
      </c>
      <c r="O65">
        <f t="shared" si="62"/>
        <v>0.16</v>
      </c>
      <c r="P65">
        <f t="shared" si="62"/>
        <v>0.16</v>
      </c>
    </row>
    <row r="66" spans="1:16">
      <c r="A66" s="84" t="s">
        <v>205</v>
      </c>
      <c r="B66" s="85" t="s">
        <v>204</v>
      </c>
      <c r="C66" s="85" t="s">
        <v>79</v>
      </c>
      <c r="D66" s="84" t="s">
        <v>87</v>
      </c>
      <c r="E66" s="84">
        <f>VLOOKUP(A66,'2a. SI Pop'!$A$5:$E$198,5,FALSE)</f>
        <v>1</v>
      </c>
      <c r="F66">
        <f>VLOOKUP(E66,Input!$G$5:$H$24,2,FALSE)</f>
        <v>0.16</v>
      </c>
      <c r="G66">
        <f t="shared" ref="G66:P66" si="63">F66</f>
        <v>0.16</v>
      </c>
      <c r="H66">
        <f t="shared" si="63"/>
        <v>0.16</v>
      </c>
      <c r="I66">
        <f t="shared" si="63"/>
        <v>0.16</v>
      </c>
      <c r="J66">
        <f t="shared" si="63"/>
        <v>0.16</v>
      </c>
      <c r="K66">
        <f t="shared" si="63"/>
        <v>0.16</v>
      </c>
      <c r="L66">
        <f t="shared" si="63"/>
        <v>0.16</v>
      </c>
      <c r="M66">
        <f t="shared" si="63"/>
        <v>0.16</v>
      </c>
      <c r="N66">
        <f t="shared" si="63"/>
        <v>0.16</v>
      </c>
      <c r="O66">
        <f t="shared" si="63"/>
        <v>0.16</v>
      </c>
      <c r="P66">
        <f t="shared" si="63"/>
        <v>0.16</v>
      </c>
    </row>
    <row r="67" spans="1:16">
      <c r="A67" s="84" t="s">
        <v>207</v>
      </c>
      <c r="B67" s="85" t="s">
        <v>206</v>
      </c>
      <c r="C67" s="85" t="s">
        <v>83</v>
      </c>
      <c r="D67" s="84" t="s">
        <v>80</v>
      </c>
      <c r="E67" s="84">
        <f>VLOOKUP(A67,'2a. SI Pop'!$A$5:$E$198,5,FALSE)</f>
        <v>3</v>
      </c>
      <c r="F67">
        <f>VLOOKUP(E67,Input!$G$5:$H$24,2,FALSE)</f>
        <v>0.23</v>
      </c>
      <c r="G67">
        <f t="shared" ref="G67:P67" si="64">F67</f>
        <v>0.23</v>
      </c>
      <c r="H67">
        <f t="shared" si="64"/>
        <v>0.23</v>
      </c>
      <c r="I67">
        <f t="shared" si="64"/>
        <v>0.23</v>
      </c>
      <c r="J67">
        <f t="shared" si="64"/>
        <v>0.23</v>
      </c>
      <c r="K67">
        <f t="shared" si="64"/>
        <v>0.23</v>
      </c>
      <c r="L67">
        <f t="shared" si="64"/>
        <v>0.23</v>
      </c>
      <c r="M67">
        <f t="shared" si="64"/>
        <v>0.23</v>
      </c>
      <c r="N67">
        <f t="shared" si="64"/>
        <v>0.23</v>
      </c>
      <c r="O67">
        <f t="shared" si="64"/>
        <v>0.23</v>
      </c>
      <c r="P67">
        <f t="shared" si="64"/>
        <v>0.23</v>
      </c>
    </row>
    <row r="68" spans="1:16">
      <c r="A68" s="84" t="s">
        <v>209</v>
      </c>
      <c r="B68" s="85" t="s">
        <v>208</v>
      </c>
      <c r="C68" s="85" t="s">
        <v>83</v>
      </c>
      <c r="D68" s="84" t="s">
        <v>75</v>
      </c>
      <c r="E68" s="84">
        <f>VLOOKUP(A68,'2a. SI Pop'!$A$5:$E$198,5,FALSE)</f>
        <v>3</v>
      </c>
      <c r="F68">
        <f>VLOOKUP(E68,Input!$G$5:$H$24,2,FALSE)</f>
        <v>0.23</v>
      </c>
      <c r="G68">
        <f t="shared" ref="G68:P68" si="65">F68</f>
        <v>0.23</v>
      </c>
      <c r="H68">
        <f t="shared" si="65"/>
        <v>0.23</v>
      </c>
      <c r="I68">
        <f t="shared" si="65"/>
        <v>0.23</v>
      </c>
      <c r="J68">
        <f t="shared" si="65"/>
        <v>0.23</v>
      </c>
      <c r="K68">
        <f t="shared" si="65"/>
        <v>0.23</v>
      </c>
      <c r="L68">
        <f t="shared" si="65"/>
        <v>0.23</v>
      </c>
      <c r="M68">
        <f t="shared" si="65"/>
        <v>0.23</v>
      </c>
      <c r="N68">
        <f t="shared" si="65"/>
        <v>0.23</v>
      </c>
      <c r="O68">
        <f t="shared" si="65"/>
        <v>0.23</v>
      </c>
      <c r="P68">
        <f t="shared" si="65"/>
        <v>0.23</v>
      </c>
    </row>
    <row r="69" spans="1:16">
      <c r="A69" s="84" t="s">
        <v>211</v>
      </c>
      <c r="B69" s="85" t="s">
        <v>210</v>
      </c>
      <c r="C69" s="85" t="s">
        <v>79</v>
      </c>
      <c r="D69" s="84" t="s">
        <v>80</v>
      </c>
      <c r="E69" s="84">
        <f>VLOOKUP(A69,'2a. SI Pop'!$A$5:$E$198,5,FALSE)</f>
        <v>1</v>
      </c>
      <c r="F69">
        <f>VLOOKUP(E69,Input!$G$5:$H$24,2,FALSE)</f>
        <v>0.16</v>
      </c>
      <c r="G69">
        <f t="shared" ref="G69:P69" si="66">F69</f>
        <v>0.16</v>
      </c>
      <c r="H69">
        <f t="shared" si="66"/>
        <v>0.16</v>
      </c>
      <c r="I69">
        <f t="shared" si="66"/>
        <v>0.16</v>
      </c>
      <c r="J69">
        <f t="shared" si="66"/>
        <v>0.16</v>
      </c>
      <c r="K69">
        <f t="shared" si="66"/>
        <v>0.16</v>
      </c>
      <c r="L69">
        <f t="shared" si="66"/>
        <v>0.16</v>
      </c>
      <c r="M69">
        <f t="shared" si="66"/>
        <v>0.16</v>
      </c>
      <c r="N69">
        <f t="shared" si="66"/>
        <v>0.16</v>
      </c>
      <c r="O69">
        <f t="shared" si="66"/>
        <v>0.16</v>
      </c>
      <c r="P69">
        <f t="shared" si="66"/>
        <v>0.16</v>
      </c>
    </row>
    <row r="70" spans="1:16">
      <c r="A70" s="84" t="s">
        <v>213</v>
      </c>
      <c r="B70" s="85" t="s">
        <v>212</v>
      </c>
      <c r="C70" s="85" t="s">
        <v>79</v>
      </c>
      <c r="D70" s="84" t="s">
        <v>87</v>
      </c>
      <c r="E70" s="84">
        <f>VLOOKUP(A70,'2a. SI Pop'!$A$5:$E$198,5,FALSE)</f>
        <v>1</v>
      </c>
      <c r="F70">
        <f>VLOOKUP(E70,Input!$G$5:$H$24,2,FALSE)</f>
        <v>0.16</v>
      </c>
      <c r="G70">
        <f t="shared" ref="G70:P70" si="67">F70</f>
        <v>0.16</v>
      </c>
      <c r="H70">
        <f t="shared" si="67"/>
        <v>0.16</v>
      </c>
      <c r="I70">
        <f t="shared" si="67"/>
        <v>0.16</v>
      </c>
      <c r="J70">
        <f t="shared" si="67"/>
        <v>0.16</v>
      </c>
      <c r="K70">
        <f t="shared" si="67"/>
        <v>0.16</v>
      </c>
      <c r="L70">
        <f t="shared" si="67"/>
        <v>0.16</v>
      </c>
      <c r="M70">
        <f t="shared" si="67"/>
        <v>0.16</v>
      </c>
      <c r="N70">
        <f t="shared" si="67"/>
        <v>0.16</v>
      </c>
      <c r="O70">
        <f t="shared" si="67"/>
        <v>0.16</v>
      </c>
      <c r="P70">
        <f t="shared" si="67"/>
        <v>0.16</v>
      </c>
    </row>
    <row r="71" spans="1:16">
      <c r="A71" s="84" t="s">
        <v>215</v>
      </c>
      <c r="B71" s="85" t="s">
        <v>214</v>
      </c>
      <c r="C71" s="85" t="s">
        <v>83</v>
      </c>
      <c r="D71" s="84" t="s">
        <v>84</v>
      </c>
      <c r="E71" s="84">
        <f>VLOOKUP(A71,'2a. SI Pop'!$A$5:$E$198,5,FALSE)</f>
        <v>3</v>
      </c>
      <c r="F71">
        <f>VLOOKUP(E71,Input!$G$5:$H$24,2,FALSE)</f>
        <v>0.23</v>
      </c>
      <c r="G71">
        <f t="shared" ref="G71:P71" si="68">F71</f>
        <v>0.23</v>
      </c>
      <c r="H71">
        <f t="shared" si="68"/>
        <v>0.23</v>
      </c>
      <c r="I71">
        <f t="shared" si="68"/>
        <v>0.23</v>
      </c>
      <c r="J71">
        <f t="shared" si="68"/>
        <v>0.23</v>
      </c>
      <c r="K71">
        <f t="shared" si="68"/>
        <v>0.23</v>
      </c>
      <c r="L71">
        <f t="shared" si="68"/>
        <v>0.23</v>
      </c>
      <c r="M71">
        <f t="shared" si="68"/>
        <v>0.23</v>
      </c>
      <c r="N71">
        <f t="shared" si="68"/>
        <v>0.23</v>
      </c>
      <c r="O71">
        <f t="shared" si="68"/>
        <v>0.23</v>
      </c>
      <c r="P71">
        <f t="shared" si="68"/>
        <v>0.23</v>
      </c>
    </row>
    <row r="72" spans="1:16">
      <c r="A72" s="84" t="s">
        <v>217</v>
      </c>
      <c r="B72" s="85" t="s">
        <v>216</v>
      </c>
      <c r="C72" s="85" t="s">
        <v>79</v>
      </c>
      <c r="D72" s="84" t="s">
        <v>87</v>
      </c>
      <c r="E72" s="84">
        <f>VLOOKUP(A72,'2a. SI Pop'!$A$5:$E$198,5,FALSE)</f>
        <v>1</v>
      </c>
      <c r="F72">
        <f>VLOOKUP(E72,Input!$G$5:$H$24,2,FALSE)</f>
        <v>0.16</v>
      </c>
      <c r="G72">
        <f t="shared" ref="G72:P72" si="69">F72</f>
        <v>0.16</v>
      </c>
      <c r="H72">
        <f t="shared" si="69"/>
        <v>0.16</v>
      </c>
      <c r="I72">
        <f t="shared" si="69"/>
        <v>0.16</v>
      </c>
      <c r="J72">
        <f t="shared" si="69"/>
        <v>0.16</v>
      </c>
      <c r="K72">
        <f t="shared" si="69"/>
        <v>0.16</v>
      </c>
      <c r="L72">
        <f t="shared" si="69"/>
        <v>0.16</v>
      </c>
      <c r="M72">
        <f t="shared" si="69"/>
        <v>0.16</v>
      </c>
      <c r="N72">
        <f t="shared" si="69"/>
        <v>0.16</v>
      </c>
      <c r="O72">
        <f t="shared" si="69"/>
        <v>0.16</v>
      </c>
      <c r="P72">
        <f t="shared" si="69"/>
        <v>0.16</v>
      </c>
    </row>
    <row r="73" spans="1:16">
      <c r="A73" s="84" t="s">
        <v>219</v>
      </c>
      <c r="B73" s="85" t="s">
        <v>218</v>
      </c>
      <c r="C73" s="85" t="s">
        <v>92</v>
      </c>
      <c r="D73" s="84" t="s">
        <v>80</v>
      </c>
      <c r="E73" s="84">
        <f>VLOOKUP(A73,'2a. SI Pop'!$A$5:$E$198,5,FALSE)</f>
        <v>1</v>
      </c>
      <c r="F73">
        <f>VLOOKUP(E73,Input!$G$5:$H$24,2,FALSE)</f>
        <v>0.16</v>
      </c>
      <c r="G73">
        <f t="shared" ref="G73:P73" si="70">F73</f>
        <v>0.16</v>
      </c>
      <c r="H73">
        <f t="shared" si="70"/>
        <v>0.16</v>
      </c>
      <c r="I73">
        <f t="shared" si="70"/>
        <v>0.16</v>
      </c>
      <c r="J73">
        <f t="shared" si="70"/>
        <v>0.16</v>
      </c>
      <c r="K73">
        <f t="shared" si="70"/>
        <v>0.16</v>
      </c>
      <c r="L73">
        <f t="shared" si="70"/>
        <v>0.16</v>
      </c>
      <c r="M73">
        <f t="shared" si="70"/>
        <v>0.16</v>
      </c>
      <c r="N73">
        <f t="shared" si="70"/>
        <v>0.16</v>
      </c>
      <c r="O73">
        <f t="shared" si="70"/>
        <v>0.16</v>
      </c>
      <c r="P73">
        <f t="shared" si="70"/>
        <v>0.16</v>
      </c>
    </row>
    <row r="74" spans="1:16">
      <c r="A74" s="84" t="s">
        <v>221</v>
      </c>
      <c r="B74" s="85" t="s">
        <v>220</v>
      </c>
      <c r="C74" s="85" t="s">
        <v>92</v>
      </c>
      <c r="D74" s="84" t="s">
        <v>80</v>
      </c>
      <c r="E74" s="84">
        <f>VLOOKUP(A74,'2a. SI Pop'!$A$5:$E$198,5,FALSE)</f>
        <v>1</v>
      </c>
      <c r="F74">
        <f>VLOOKUP(E74,Input!$G$5:$H$24,2,FALSE)</f>
        <v>0.16</v>
      </c>
      <c r="G74">
        <f t="shared" ref="G74:P74" si="71">F74</f>
        <v>0.16</v>
      </c>
      <c r="H74">
        <f t="shared" si="71"/>
        <v>0.16</v>
      </c>
      <c r="I74">
        <f t="shared" si="71"/>
        <v>0.16</v>
      </c>
      <c r="J74">
        <f t="shared" si="71"/>
        <v>0.16</v>
      </c>
      <c r="K74">
        <f t="shared" si="71"/>
        <v>0.16</v>
      </c>
      <c r="L74">
        <f t="shared" si="71"/>
        <v>0.16</v>
      </c>
      <c r="M74">
        <f t="shared" si="71"/>
        <v>0.16</v>
      </c>
      <c r="N74">
        <f t="shared" si="71"/>
        <v>0.16</v>
      </c>
      <c r="O74">
        <f t="shared" si="71"/>
        <v>0.16</v>
      </c>
      <c r="P74">
        <f t="shared" si="71"/>
        <v>0.16</v>
      </c>
    </row>
    <row r="75" spans="1:16">
      <c r="A75" s="84" t="s">
        <v>223</v>
      </c>
      <c r="B75" s="85" t="s">
        <v>222</v>
      </c>
      <c r="C75" s="85" t="s">
        <v>83</v>
      </c>
      <c r="D75" s="84" t="s">
        <v>75</v>
      </c>
      <c r="E75" s="84">
        <f>VLOOKUP(A75,'2a. SI Pop'!$A$5:$E$198,5,FALSE)</f>
        <v>3</v>
      </c>
      <c r="F75">
        <f>VLOOKUP(E75,Input!$G$5:$H$24,2,FALSE)</f>
        <v>0.23</v>
      </c>
      <c r="G75">
        <f t="shared" ref="G75:P75" si="72">F75</f>
        <v>0.23</v>
      </c>
      <c r="H75">
        <f t="shared" si="72"/>
        <v>0.23</v>
      </c>
      <c r="I75">
        <f t="shared" si="72"/>
        <v>0.23</v>
      </c>
      <c r="J75">
        <f t="shared" si="72"/>
        <v>0.23</v>
      </c>
      <c r="K75">
        <f t="shared" si="72"/>
        <v>0.23</v>
      </c>
      <c r="L75">
        <f t="shared" si="72"/>
        <v>0.23</v>
      </c>
      <c r="M75">
        <f t="shared" si="72"/>
        <v>0.23</v>
      </c>
      <c r="N75">
        <f t="shared" si="72"/>
        <v>0.23</v>
      </c>
      <c r="O75">
        <f t="shared" si="72"/>
        <v>0.23</v>
      </c>
      <c r="P75">
        <f t="shared" si="72"/>
        <v>0.23</v>
      </c>
    </row>
    <row r="76" spans="1:16">
      <c r="A76" s="84" t="s">
        <v>225</v>
      </c>
      <c r="B76" s="85" t="s">
        <v>224</v>
      </c>
      <c r="C76" s="85" t="s">
        <v>83</v>
      </c>
      <c r="D76" s="84" t="s">
        <v>75</v>
      </c>
      <c r="E76" s="84">
        <f>VLOOKUP(A76,'2a. SI Pop'!$A$5:$E$198,5,FALSE)</f>
        <v>3</v>
      </c>
      <c r="F76">
        <f>VLOOKUP(E76,Input!$G$5:$H$24,2,FALSE)</f>
        <v>0.23</v>
      </c>
      <c r="G76">
        <f t="shared" ref="G76:P76" si="73">F76</f>
        <v>0.23</v>
      </c>
      <c r="H76">
        <f t="shared" si="73"/>
        <v>0.23</v>
      </c>
      <c r="I76">
        <f t="shared" si="73"/>
        <v>0.23</v>
      </c>
      <c r="J76">
        <f t="shared" si="73"/>
        <v>0.23</v>
      </c>
      <c r="K76">
        <f t="shared" si="73"/>
        <v>0.23</v>
      </c>
      <c r="L76">
        <f t="shared" si="73"/>
        <v>0.23</v>
      </c>
      <c r="M76">
        <f t="shared" si="73"/>
        <v>0.23</v>
      </c>
      <c r="N76">
        <f t="shared" si="73"/>
        <v>0.23</v>
      </c>
      <c r="O76">
        <f t="shared" si="73"/>
        <v>0.23</v>
      </c>
      <c r="P76">
        <f t="shared" si="73"/>
        <v>0.23</v>
      </c>
    </row>
    <row r="77" spans="1:16">
      <c r="A77" s="84" t="s">
        <v>227</v>
      </c>
      <c r="B77" s="85" t="s">
        <v>226</v>
      </c>
      <c r="C77" s="85" t="s">
        <v>92</v>
      </c>
      <c r="D77" s="84" t="s">
        <v>80</v>
      </c>
      <c r="E77" s="84">
        <f>VLOOKUP(A77,'2a. SI Pop'!$A$5:$E$198,5,FALSE)</f>
        <v>2</v>
      </c>
      <c r="F77">
        <f>VLOOKUP(E77,Input!$G$5:$H$24,2,FALSE)</f>
        <v>0.13</v>
      </c>
      <c r="G77">
        <f t="shared" ref="G77:P77" si="74">F77</f>
        <v>0.13</v>
      </c>
      <c r="H77">
        <f t="shared" si="74"/>
        <v>0.13</v>
      </c>
      <c r="I77">
        <f t="shared" si="74"/>
        <v>0.13</v>
      </c>
      <c r="J77">
        <f t="shared" si="74"/>
        <v>0.13</v>
      </c>
      <c r="K77">
        <f t="shared" si="74"/>
        <v>0.13</v>
      </c>
      <c r="L77">
        <f t="shared" si="74"/>
        <v>0.13</v>
      </c>
      <c r="M77">
        <f t="shared" si="74"/>
        <v>0.13</v>
      </c>
      <c r="N77">
        <f t="shared" si="74"/>
        <v>0.13</v>
      </c>
      <c r="O77">
        <f t="shared" si="74"/>
        <v>0.13</v>
      </c>
      <c r="P77">
        <f t="shared" si="74"/>
        <v>0.13</v>
      </c>
    </row>
    <row r="78" spans="1:16">
      <c r="A78" s="84" t="s">
        <v>229</v>
      </c>
      <c r="B78" s="85" t="s">
        <v>228</v>
      </c>
      <c r="C78" s="85" t="s">
        <v>92</v>
      </c>
      <c r="D78" s="84" t="s">
        <v>75</v>
      </c>
      <c r="E78" s="84">
        <f>VLOOKUP(A78,'2a. SI Pop'!$A$5:$E$198,5,FALSE)</f>
        <v>2</v>
      </c>
      <c r="F78">
        <f>VLOOKUP(E78,Input!$G$5:$H$24,2,FALSE)</f>
        <v>0.13</v>
      </c>
      <c r="G78">
        <f t="shared" ref="G78:P78" si="75">F78</f>
        <v>0.13</v>
      </c>
      <c r="H78">
        <f t="shared" si="75"/>
        <v>0.13</v>
      </c>
      <c r="I78">
        <f t="shared" si="75"/>
        <v>0.13</v>
      </c>
      <c r="J78">
        <f t="shared" si="75"/>
        <v>0.13</v>
      </c>
      <c r="K78">
        <f t="shared" si="75"/>
        <v>0.13</v>
      </c>
      <c r="L78">
        <f t="shared" si="75"/>
        <v>0.13</v>
      </c>
      <c r="M78">
        <f t="shared" si="75"/>
        <v>0.13</v>
      </c>
      <c r="N78">
        <f t="shared" si="75"/>
        <v>0.13</v>
      </c>
      <c r="O78">
        <f t="shared" si="75"/>
        <v>0.13</v>
      </c>
      <c r="P78">
        <f t="shared" si="75"/>
        <v>0.13</v>
      </c>
    </row>
    <row r="79" spans="1:16">
      <c r="A79" s="84" t="s">
        <v>231</v>
      </c>
      <c r="B79" s="85" t="s">
        <v>230</v>
      </c>
      <c r="C79" s="85" t="s">
        <v>92</v>
      </c>
      <c r="D79" s="84" t="s">
        <v>84</v>
      </c>
      <c r="E79" s="84">
        <f>VLOOKUP(A79,'2a. SI Pop'!$A$5:$E$198,5,FALSE)</f>
        <v>1</v>
      </c>
      <c r="F79">
        <f>VLOOKUP(E79,Input!$G$5:$H$24,2,FALSE)</f>
        <v>0.16</v>
      </c>
      <c r="G79">
        <f t="shared" ref="G79:P79" si="76">F79</f>
        <v>0.16</v>
      </c>
      <c r="H79">
        <f t="shared" si="76"/>
        <v>0.16</v>
      </c>
      <c r="I79">
        <f t="shared" si="76"/>
        <v>0.16</v>
      </c>
      <c r="J79">
        <f t="shared" si="76"/>
        <v>0.16</v>
      </c>
      <c r="K79">
        <f t="shared" si="76"/>
        <v>0.16</v>
      </c>
      <c r="L79">
        <f t="shared" si="76"/>
        <v>0.16</v>
      </c>
      <c r="M79">
        <f t="shared" si="76"/>
        <v>0.16</v>
      </c>
      <c r="N79">
        <f t="shared" si="76"/>
        <v>0.16</v>
      </c>
      <c r="O79">
        <f t="shared" si="76"/>
        <v>0.16</v>
      </c>
      <c r="P79">
        <f t="shared" si="76"/>
        <v>0.16</v>
      </c>
    </row>
    <row r="80" spans="1:16">
      <c r="A80" s="84" t="s">
        <v>233</v>
      </c>
      <c r="B80" s="85" t="s">
        <v>232</v>
      </c>
      <c r="C80" s="85" t="s">
        <v>79</v>
      </c>
      <c r="D80" s="84" t="s">
        <v>87</v>
      </c>
      <c r="E80" s="84">
        <f>VLOOKUP(A80,'2a. SI Pop'!$A$5:$E$198,5,FALSE)</f>
        <v>1</v>
      </c>
      <c r="F80">
        <f>VLOOKUP(E80,Input!$G$5:$H$24,2,FALSE)</f>
        <v>0.16</v>
      </c>
      <c r="G80">
        <f t="shared" ref="G80:P80" si="77">F80</f>
        <v>0.16</v>
      </c>
      <c r="H80">
        <f t="shared" si="77"/>
        <v>0.16</v>
      </c>
      <c r="I80">
        <f t="shared" si="77"/>
        <v>0.16</v>
      </c>
      <c r="J80">
        <f t="shared" si="77"/>
        <v>0.16</v>
      </c>
      <c r="K80">
        <f t="shared" si="77"/>
        <v>0.16</v>
      </c>
      <c r="L80">
        <f t="shared" si="77"/>
        <v>0.16</v>
      </c>
      <c r="M80">
        <f t="shared" si="77"/>
        <v>0.16</v>
      </c>
      <c r="N80">
        <f t="shared" si="77"/>
        <v>0.16</v>
      </c>
      <c r="O80">
        <f t="shared" si="77"/>
        <v>0.16</v>
      </c>
      <c r="P80">
        <f t="shared" si="77"/>
        <v>0.16</v>
      </c>
    </row>
    <row r="81" spans="1:16">
      <c r="A81" s="84" t="s">
        <v>235</v>
      </c>
      <c r="B81" s="85" t="s">
        <v>234</v>
      </c>
      <c r="C81" s="85" t="s">
        <v>79</v>
      </c>
      <c r="D81" s="84" t="s">
        <v>87</v>
      </c>
      <c r="E81" s="84">
        <f>VLOOKUP(A81,'2a. SI Pop'!$A$5:$E$198,5,FALSE)</f>
        <v>1</v>
      </c>
      <c r="F81">
        <f>VLOOKUP(E81,Input!$G$5:$H$24,2,FALSE)</f>
        <v>0.16</v>
      </c>
      <c r="G81">
        <f t="shared" ref="G81:P81" si="78">F81</f>
        <v>0.16</v>
      </c>
      <c r="H81">
        <f t="shared" si="78"/>
        <v>0.16</v>
      </c>
      <c r="I81">
        <f t="shared" si="78"/>
        <v>0.16</v>
      </c>
      <c r="J81">
        <f t="shared" si="78"/>
        <v>0.16</v>
      </c>
      <c r="K81">
        <f t="shared" si="78"/>
        <v>0.16</v>
      </c>
      <c r="L81">
        <f t="shared" si="78"/>
        <v>0.16</v>
      </c>
      <c r="M81">
        <f t="shared" si="78"/>
        <v>0.16</v>
      </c>
      <c r="N81">
        <f t="shared" si="78"/>
        <v>0.16</v>
      </c>
      <c r="O81">
        <f t="shared" si="78"/>
        <v>0.16</v>
      </c>
      <c r="P81">
        <f t="shared" si="78"/>
        <v>0.16</v>
      </c>
    </row>
    <row r="82" spans="1:16">
      <c r="A82" s="84" t="s">
        <v>237</v>
      </c>
      <c r="B82" s="85" t="s">
        <v>236</v>
      </c>
      <c r="C82" s="85" t="s">
        <v>110</v>
      </c>
      <c r="D82" s="84" t="s">
        <v>84</v>
      </c>
      <c r="E82" s="84" t="str">
        <f>VLOOKUP(A82,'2a. SI Pop'!$A$5:$E$198,5,FALSE)</f>
        <v>Key</v>
      </c>
      <c r="F82">
        <f>VLOOKUP(A82,Input!$G$5:$H$24,2,FALSE)</f>
        <v>0.05</v>
      </c>
      <c r="G82">
        <f t="shared" ref="G82:P82" si="79">F82</f>
        <v>0.05</v>
      </c>
      <c r="H82">
        <f t="shared" si="79"/>
        <v>0.05</v>
      </c>
      <c r="I82">
        <f t="shared" si="79"/>
        <v>0.05</v>
      </c>
      <c r="J82">
        <f t="shared" si="79"/>
        <v>0.05</v>
      </c>
      <c r="K82">
        <f t="shared" si="79"/>
        <v>0.05</v>
      </c>
      <c r="L82">
        <f t="shared" si="79"/>
        <v>0.05</v>
      </c>
      <c r="M82">
        <f t="shared" si="79"/>
        <v>0.05</v>
      </c>
      <c r="N82">
        <f t="shared" si="79"/>
        <v>0.05</v>
      </c>
      <c r="O82">
        <f t="shared" si="79"/>
        <v>0.05</v>
      </c>
      <c r="P82">
        <f t="shared" si="79"/>
        <v>0.05</v>
      </c>
    </row>
    <row r="83" spans="1:16">
      <c r="A83" s="84" t="s">
        <v>239</v>
      </c>
      <c r="B83" s="85" t="s">
        <v>238</v>
      </c>
      <c r="C83" s="85" t="s">
        <v>110</v>
      </c>
      <c r="D83" s="84" t="s">
        <v>80</v>
      </c>
      <c r="E83" s="84" t="str">
        <f>VLOOKUP(A83,'2a. SI Pop'!$A$5:$E$198,5,FALSE)</f>
        <v>Key</v>
      </c>
      <c r="F83">
        <f>VLOOKUP(A83,Input!$G$5:$H$24,2,FALSE)</f>
        <v>0.05</v>
      </c>
      <c r="G83">
        <f t="shared" ref="G83:P83" si="80">F83</f>
        <v>0.05</v>
      </c>
      <c r="H83">
        <f t="shared" si="80"/>
        <v>0.05</v>
      </c>
      <c r="I83">
        <f t="shared" si="80"/>
        <v>0.05</v>
      </c>
      <c r="J83">
        <f t="shared" si="80"/>
        <v>0.05</v>
      </c>
      <c r="K83">
        <f t="shared" si="80"/>
        <v>0.05</v>
      </c>
      <c r="L83">
        <f t="shared" si="80"/>
        <v>0.05</v>
      </c>
      <c r="M83">
        <f t="shared" si="80"/>
        <v>0.05</v>
      </c>
      <c r="N83">
        <f t="shared" si="80"/>
        <v>0.05</v>
      </c>
      <c r="O83">
        <f t="shared" si="80"/>
        <v>0.05</v>
      </c>
      <c r="P83">
        <f t="shared" si="80"/>
        <v>0.05</v>
      </c>
    </row>
    <row r="84" spans="1:16">
      <c r="A84" s="84" t="s">
        <v>241</v>
      </c>
      <c r="B84" s="85" t="s">
        <v>240</v>
      </c>
      <c r="C84" s="85" t="s">
        <v>74</v>
      </c>
      <c r="D84" s="84" t="s">
        <v>80</v>
      </c>
      <c r="E84" s="84">
        <f>VLOOKUP(A84,'2a. SI Pop'!$A$5:$E$198,5,FALSE)</f>
        <v>2</v>
      </c>
      <c r="F84">
        <f>VLOOKUP(E84,Input!$G$5:$H$24,2,FALSE)</f>
        <v>0.13</v>
      </c>
      <c r="G84">
        <f t="shared" ref="G84:P84" si="81">F84</f>
        <v>0.13</v>
      </c>
      <c r="H84">
        <f t="shared" si="81"/>
        <v>0.13</v>
      </c>
      <c r="I84">
        <f t="shared" si="81"/>
        <v>0.13</v>
      </c>
      <c r="J84">
        <f t="shared" si="81"/>
        <v>0.13</v>
      </c>
      <c r="K84">
        <f t="shared" si="81"/>
        <v>0.13</v>
      </c>
      <c r="L84">
        <f t="shared" si="81"/>
        <v>0.13</v>
      </c>
      <c r="M84">
        <f t="shared" si="81"/>
        <v>0.13</v>
      </c>
      <c r="N84">
        <f t="shared" si="81"/>
        <v>0.13</v>
      </c>
      <c r="O84">
        <f t="shared" si="81"/>
        <v>0.13</v>
      </c>
      <c r="P84">
        <f t="shared" si="81"/>
        <v>0.13</v>
      </c>
    </row>
    <row r="85" spans="1:16">
      <c r="A85" s="84" t="s">
        <v>243</v>
      </c>
      <c r="B85" s="85" t="s">
        <v>242</v>
      </c>
      <c r="C85" s="85" t="s">
        <v>74</v>
      </c>
      <c r="D85" s="84" t="s">
        <v>80</v>
      </c>
      <c r="E85" s="84">
        <f>VLOOKUP(A85,'2a. SI Pop'!$A$5:$E$198,5,FALSE)</f>
        <v>2</v>
      </c>
      <c r="F85">
        <f>VLOOKUP(E85,Input!$G$5:$H$24,2,FALSE)</f>
        <v>0.13</v>
      </c>
      <c r="G85">
        <f t="shared" ref="G85:P85" si="82">F85</f>
        <v>0.13</v>
      </c>
      <c r="H85">
        <f t="shared" si="82"/>
        <v>0.13</v>
      </c>
      <c r="I85">
        <f t="shared" si="82"/>
        <v>0.13</v>
      </c>
      <c r="J85">
        <f t="shared" si="82"/>
        <v>0.13</v>
      </c>
      <c r="K85">
        <f t="shared" si="82"/>
        <v>0.13</v>
      </c>
      <c r="L85">
        <f t="shared" si="82"/>
        <v>0.13</v>
      </c>
      <c r="M85">
        <f t="shared" si="82"/>
        <v>0.13</v>
      </c>
      <c r="N85">
        <f t="shared" si="82"/>
        <v>0.13</v>
      </c>
      <c r="O85">
        <f t="shared" si="82"/>
        <v>0.13</v>
      </c>
      <c r="P85">
        <f t="shared" si="82"/>
        <v>0.13</v>
      </c>
    </row>
    <row r="86" spans="1:16">
      <c r="A86" s="84" t="s">
        <v>245</v>
      </c>
      <c r="B86" s="85" t="s">
        <v>244</v>
      </c>
      <c r="C86" s="85" t="s">
        <v>79</v>
      </c>
      <c r="D86" s="84" t="s">
        <v>87</v>
      </c>
      <c r="E86" s="84">
        <f>VLOOKUP(A86,'2a. SI Pop'!$A$5:$E$198,5,FALSE)</f>
        <v>1</v>
      </c>
      <c r="F86">
        <f>VLOOKUP(E86,Input!$G$5:$H$24,2,FALSE)</f>
        <v>0.16</v>
      </c>
      <c r="G86">
        <f t="shared" ref="G86:P86" si="83">F86</f>
        <v>0.16</v>
      </c>
      <c r="H86">
        <f t="shared" si="83"/>
        <v>0.16</v>
      </c>
      <c r="I86">
        <f t="shared" si="83"/>
        <v>0.16</v>
      </c>
      <c r="J86">
        <f t="shared" si="83"/>
        <v>0.16</v>
      </c>
      <c r="K86">
        <f t="shared" si="83"/>
        <v>0.16</v>
      </c>
      <c r="L86">
        <f t="shared" si="83"/>
        <v>0.16</v>
      </c>
      <c r="M86">
        <f t="shared" si="83"/>
        <v>0.16</v>
      </c>
      <c r="N86">
        <f t="shared" si="83"/>
        <v>0.16</v>
      </c>
      <c r="O86">
        <f t="shared" si="83"/>
        <v>0.16</v>
      </c>
      <c r="P86">
        <f t="shared" si="83"/>
        <v>0.16</v>
      </c>
    </row>
    <row r="87" spans="1:16">
      <c r="A87" s="84" t="s">
        <v>247</v>
      </c>
      <c r="B87" s="85" t="s">
        <v>246</v>
      </c>
      <c r="C87" s="85" t="s">
        <v>79</v>
      </c>
      <c r="D87" s="84" t="s">
        <v>87</v>
      </c>
      <c r="E87" s="84">
        <f>VLOOKUP(A87,'2a. SI Pop'!$A$5:$E$198,5,FALSE)</f>
        <v>1</v>
      </c>
      <c r="F87">
        <f>VLOOKUP(E87,Input!$G$5:$H$24,2,FALSE)</f>
        <v>0.16</v>
      </c>
      <c r="G87">
        <f t="shared" ref="G87:P87" si="84">F87</f>
        <v>0.16</v>
      </c>
      <c r="H87">
        <f t="shared" si="84"/>
        <v>0.16</v>
      </c>
      <c r="I87">
        <f t="shared" si="84"/>
        <v>0.16</v>
      </c>
      <c r="J87">
        <f t="shared" si="84"/>
        <v>0.16</v>
      </c>
      <c r="K87">
        <f t="shared" si="84"/>
        <v>0.16</v>
      </c>
      <c r="L87">
        <f t="shared" si="84"/>
        <v>0.16</v>
      </c>
      <c r="M87">
        <f t="shared" si="84"/>
        <v>0.16</v>
      </c>
      <c r="N87">
        <f t="shared" si="84"/>
        <v>0.16</v>
      </c>
      <c r="O87">
        <f t="shared" si="84"/>
        <v>0.16</v>
      </c>
      <c r="P87">
        <f t="shared" si="84"/>
        <v>0.16</v>
      </c>
    </row>
    <row r="88" spans="1:16">
      <c r="A88" s="84" t="s">
        <v>249</v>
      </c>
      <c r="B88" s="85" t="s">
        <v>248</v>
      </c>
      <c r="C88" s="85" t="s">
        <v>79</v>
      </c>
      <c r="D88" s="84" t="s">
        <v>87</v>
      </c>
      <c r="E88" s="84">
        <f>VLOOKUP(A88,'2a. SI Pop'!$A$5:$E$198,5,FALSE)</f>
        <v>1</v>
      </c>
      <c r="F88">
        <f>VLOOKUP(E88,Input!$G$5:$H$24,2,FALSE)</f>
        <v>0.16</v>
      </c>
      <c r="G88">
        <f t="shared" ref="G88:P88" si="85">F88</f>
        <v>0.16</v>
      </c>
      <c r="H88">
        <f t="shared" si="85"/>
        <v>0.16</v>
      </c>
      <c r="I88">
        <f t="shared" si="85"/>
        <v>0.16</v>
      </c>
      <c r="J88">
        <f t="shared" si="85"/>
        <v>0.16</v>
      </c>
      <c r="K88">
        <f t="shared" si="85"/>
        <v>0.16</v>
      </c>
      <c r="L88">
        <f t="shared" si="85"/>
        <v>0.16</v>
      </c>
      <c r="M88">
        <f t="shared" si="85"/>
        <v>0.16</v>
      </c>
      <c r="N88">
        <f t="shared" si="85"/>
        <v>0.16</v>
      </c>
      <c r="O88">
        <f t="shared" si="85"/>
        <v>0.16</v>
      </c>
      <c r="P88">
        <f t="shared" si="85"/>
        <v>0.16</v>
      </c>
    </row>
    <row r="89" spans="1:16">
      <c r="A89" s="84" t="s">
        <v>251</v>
      </c>
      <c r="B89" s="85" t="s">
        <v>250</v>
      </c>
      <c r="C89" s="85" t="s">
        <v>92</v>
      </c>
      <c r="D89" s="84" t="s">
        <v>80</v>
      </c>
      <c r="E89" s="84">
        <f>VLOOKUP(A89,'2a. SI Pop'!$A$5:$E$198,5,FALSE)</f>
        <v>1</v>
      </c>
      <c r="F89">
        <f>VLOOKUP(E89,Input!$G$5:$H$24,2,FALSE)</f>
        <v>0.16</v>
      </c>
      <c r="G89">
        <f t="shared" ref="G89:P89" si="86">F89</f>
        <v>0.16</v>
      </c>
      <c r="H89">
        <f t="shared" si="86"/>
        <v>0.16</v>
      </c>
      <c r="I89">
        <f t="shared" si="86"/>
        <v>0.16</v>
      </c>
      <c r="J89">
        <f t="shared" si="86"/>
        <v>0.16</v>
      </c>
      <c r="K89">
        <f t="shared" si="86"/>
        <v>0.16</v>
      </c>
      <c r="L89">
        <f t="shared" si="86"/>
        <v>0.16</v>
      </c>
      <c r="M89">
        <f t="shared" si="86"/>
        <v>0.16</v>
      </c>
      <c r="N89">
        <f t="shared" si="86"/>
        <v>0.16</v>
      </c>
      <c r="O89">
        <f t="shared" si="86"/>
        <v>0.16</v>
      </c>
      <c r="P89">
        <f t="shared" si="86"/>
        <v>0.16</v>
      </c>
    </row>
    <row r="90" spans="1:16">
      <c r="A90" s="84" t="s">
        <v>253</v>
      </c>
      <c r="B90" s="85" t="s">
        <v>252</v>
      </c>
      <c r="C90" s="85" t="s">
        <v>99</v>
      </c>
      <c r="D90" s="84" t="s">
        <v>87</v>
      </c>
      <c r="E90" s="84">
        <f>VLOOKUP(A90,'2a. SI Pop'!$A$5:$E$198,5,FALSE)</f>
        <v>4</v>
      </c>
      <c r="F90">
        <f>VLOOKUP(E90,Input!$G$5:$H$24,2,FALSE)</f>
        <v>0.21</v>
      </c>
      <c r="G90">
        <f t="shared" ref="G90:P90" si="87">F90</f>
        <v>0.21</v>
      </c>
      <c r="H90">
        <f t="shared" si="87"/>
        <v>0.21</v>
      </c>
      <c r="I90">
        <f t="shared" si="87"/>
        <v>0.21</v>
      </c>
      <c r="J90">
        <f t="shared" si="87"/>
        <v>0.21</v>
      </c>
      <c r="K90">
        <f t="shared" si="87"/>
        <v>0.21</v>
      </c>
      <c r="L90">
        <f t="shared" si="87"/>
        <v>0.21</v>
      </c>
      <c r="M90">
        <f t="shared" si="87"/>
        <v>0.21</v>
      </c>
      <c r="N90">
        <f t="shared" si="87"/>
        <v>0.21</v>
      </c>
      <c r="O90">
        <f t="shared" si="87"/>
        <v>0.21</v>
      </c>
      <c r="P90">
        <f t="shared" si="87"/>
        <v>0.21</v>
      </c>
    </row>
    <row r="91" spans="1:16">
      <c r="A91" s="84" t="s">
        <v>255</v>
      </c>
      <c r="B91" s="85" t="s">
        <v>254</v>
      </c>
      <c r="C91" s="85" t="s">
        <v>74</v>
      </c>
      <c r="D91" s="84" t="s">
        <v>80</v>
      </c>
      <c r="E91" s="84">
        <f>VLOOKUP(A91,'2a. SI Pop'!$A$5:$E$198,5,FALSE)</f>
        <v>2</v>
      </c>
      <c r="F91">
        <f>VLOOKUP(E91,Input!$G$5:$H$24,2,FALSE)</f>
        <v>0.13</v>
      </c>
      <c r="G91">
        <f t="shared" ref="G91:P91" si="88">F91</f>
        <v>0.13</v>
      </c>
      <c r="H91">
        <f t="shared" si="88"/>
        <v>0.13</v>
      </c>
      <c r="I91">
        <f t="shared" si="88"/>
        <v>0.13</v>
      </c>
      <c r="J91">
        <f t="shared" si="88"/>
        <v>0.13</v>
      </c>
      <c r="K91">
        <f t="shared" si="88"/>
        <v>0.13</v>
      </c>
      <c r="L91">
        <f t="shared" si="88"/>
        <v>0.13</v>
      </c>
      <c r="M91">
        <f t="shared" si="88"/>
        <v>0.13</v>
      </c>
      <c r="N91">
        <f t="shared" si="88"/>
        <v>0.13</v>
      </c>
      <c r="O91">
        <f t="shared" si="88"/>
        <v>0.13</v>
      </c>
      <c r="P91">
        <f t="shared" si="88"/>
        <v>0.13</v>
      </c>
    </row>
    <row r="92" spans="1:16">
      <c r="A92" s="84" t="s">
        <v>257</v>
      </c>
      <c r="B92" s="85" t="s">
        <v>256</v>
      </c>
      <c r="C92" s="85" t="s">
        <v>79</v>
      </c>
      <c r="D92" s="84" t="s">
        <v>80</v>
      </c>
      <c r="E92" s="84">
        <f>VLOOKUP(A92,'2a. SI Pop'!$A$5:$E$198,5,FALSE)</f>
        <v>2</v>
      </c>
      <c r="F92">
        <f>VLOOKUP(E92,Input!$G$5:$H$24,2,FALSE)</f>
        <v>0.13</v>
      </c>
      <c r="G92">
        <f t="shared" ref="G92:P92" si="89">F92</f>
        <v>0.13</v>
      </c>
      <c r="H92">
        <f t="shared" si="89"/>
        <v>0.13</v>
      </c>
      <c r="I92">
        <f t="shared" si="89"/>
        <v>0.13</v>
      </c>
      <c r="J92">
        <f t="shared" si="89"/>
        <v>0.13</v>
      </c>
      <c r="K92">
        <f t="shared" si="89"/>
        <v>0.13</v>
      </c>
      <c r="L92">
        <f t="shared" si="89"/>
        <v>0.13</v>
      </c>
      <c r="M92">
        <f t="shared" si="89"/>
        <v>0.13</v>
      </c>
      <c r="N92">
        <f t="shared" si="89"/>
        <v>0.13</v>
      </c>
      <c r="O92">
        <f t="shared" si="89"/>
        <v>0.13</v>
      </c>
      <c r="P92">
        <f t="shared" si="89"/>
        <v>0.13</v>
      </c>
    </row>
    <row r="93" spans="1:16">
      <c r="A93" s="84" t="s">
        <v>259</v>
      </c>
      <c r="B93" s="85" t="s">
        <v>258</v>
      </c>
      <c r="C93" s="85" t="s">
        <v>83</v>
      </c>
      <c r="D93" s="84" t="s">
        <v>84</v>
      </c>
      <c r="E93" s="84">
        <f>VLOOKUP(A93,'2a. SI Pop'!$A$5:$E$198,5,FALSE)</f>
        <v>3</v>
      </c>
      <c r="F93">
        <f>VLOOKUP(E93,Input!$G$5:$H$24,2,FALSE)</f>
        <v>0.23</v>
      </c>
      <c r="G93">
        <f t="shared" ref="G93:P93" si="90">F93</f>
        <v>0.23</v>
      </c>
      <c r="H93">
        <f t="shared" si="90"/>
        <v>0.23</v>
      </c>
      <c r="I93">
        <f t="shared" si="90"/>
        <v>0.23</v>
      </c>
      <c r="J93">
        <f t="shared" si="90"/>
        <v>0.23</v>
      </c>
      <c r="K93">
        <f t="shared" si="90"/>
        <v>0.23</v>
      </c>
      <c r="L93">
        <f t="shared" si="90"/>
        <v>0.23</v>
      </c>
      <c r="M93">
        <f t="shared" si="90"/>
        <v>0.23</v>
      </c>
      <c r="N93">
        <f t="shared" si="90"/>
        <v>0.23</v>
      </c>
      <c r="O93">
        <f t="shared" si="90"/>
        <v>0.23</v>
      </c>
      <c r="P93">
        <f t="shared" si="90"/>
        <v>0.23</v>
      </c>
    </row>
    <row r="94" spans="1:16">
      <c r="A94" s="84" t="s">
        <v>261</v>
      </c>
      <c r="B94" s="85" t="s">
        <v>260</v>
      </c>
      <c r="C94" s="85" t="s">
        <v>99</v>
      </c>
      <c r="D94" s="84" t="s">
        <v>84</v>
      </c>
      <c r="E94" s="84">
        <f>VLOOKUP(A94,'2a. SI Pop'!$A$5:$E$198,5,FALSE)</f>
        <v>4</v>
      </c>
      <c r="F94">
        <f>VLOOKUP(E94,Input!$G$5:$H$24,2,FALSE)</f>
        <v>0.21</v>
      </c>
      <c r="G94">
        <f t="shared" ref="G94:P94" si="91">F94</f>
        <v>0.21</v>
      </c>
      <c r="H94">
        <f t="shared" si="91"/>
        <v>0.21</v>
      </c>
      <c r="I94">
        <f t="shared" si="91"/>
        <v>0.21</v>
      </c>
      <c r="J94">
        <f t="shared" si="91"/>
        <v>0.21</v>
      </c>
      <c r="K94">
        <f t="shared" si="91"/>
        <v>0.21</v>
      </c>
      <c r="L94">
        <f t="shared" si="91"/>
        <v>0.21</v>
      </c>
      <c r="M94">
        <f t="shared" si="91"/>
        <v>0.21</v>
      </c>
      <c r="N94">
        <f t="shared" si="91"/>
        <v>0.21</v>
      </c>
      <c r="O94">
        <f t="shared" si="91"/>
        <v>0.21</v>
      </c>
      <c r="P94">
        <f t="shared" si="91"/>
        <v>0.21</v>
      </c>
    </row>
    <row r="95" spans="1:16">
      <c r="A95" s="84" t="s">
        <v>263</v>
      </c>
      <c r="B95" s="85" t="s">
        <v>262</v>
      </c>
      <c r="C95" s="85" t="s">
        <v>99</v>
      </c>
      <c r="D95" s="84" t="s">
        <v>87</v>
      </c>
      <c r="E95" s="84">
        <f>VLOOKUP(A95,'2a. SI Pop'!$A$5:$E$198,5,FALSE)</f>
        <v>1</v>
      </c>
      <c r="F95">
        <f>VLOOKUP(E95,Input!$G$5:$H$24,2,FALSE)</f>
        <v>0.16</v>
      </c>
      <c r="G95">
        <f t="shared" ref="G95:P95" si="92">F95</f>
        <v>0.16</v>
      </c>
      <c r="H95">
        <f t="shared" si="92"/>
        <v>0.16</v>
      </c>
      <c r="I95">
        <f t="shared" si="92"/>
        <v>0.16</v>
      </c>
      <c r="J95">
        <f t="shared" si="92"/>
        <v>0.16</v>
      </c>
      <c r="K95">
        <f t="shared" si="92"/>
        <v>0.16</v>
      </c>
      <c r="L95">
        <f t="shared" si="92"/>
        <v>0.16</v>
      </c>
      <c r="M95">
        <f t="shared" si="92"/>
        <v>0.16</v>
      </c>
      <c r="N95">
        <f t="shared" si="92"/>
        <v>0.16</v>
      </c>
      <c r="O95">
        <f t="shared" si="92"/>
        <v>0.16</v>
      </c>
      <c r="P95">
        <f t="shared" si="92"/>
        <v>0.16</v>
      </c>
    </row>
    <row r="96" spans="1:16">
      <c r="A96" s="84" t="s">
        <v>265</v>
      </c>
      <c r="B96" s="85" t="s">
        <v>264</v>
      </c>
      <c r="C96" s="85" t="s">
        <v>74</v>
      </c>
      <c r="D96" s="84" t="s">
        <v>87</v>
      </c>
      <c r="E96" s="84">
        <f>VLOOKUP(A96,'2a. SI Pop'!$A$5:$E$198,5,FALSE)</f>
        <v>1</v>
      </c>
      <c r="F96">
        <f>VLOOKUP(E96,Input!$G$5:$H$24,2,FALSE)</f>
        <v>0.16</v>
      </c>
      <c r="G96">
        <f t="shared" ref="G96:P96" si="93">F96</f>
        <v>0.16</v>
      </c>
      <c r="H96">
        <f t="shared" si="93"/>
        <v>0.16</v>
      </c>
      <c r="I96">
        <f t="shared" si="93"/>
        <v>0.16</v>
      </c>
      <c r="J96">
        <f t="shared" si="93"/>
        <v>0.16</v>
      </c>
      <c r="K96">
        <f t="shared" si="93"/>
        <v>0.16</v>
      </c>
      <c r="L96">
        <f t="shared" si="93"/>
        <v>0.16</v>
      </c>
      <c r="M96">
        <f t="shared" si="93"/>
        <v>0.16</v>
      </c>
      <c r="N96">
        <f t="shared" si="93"/>
        <v>0.16</v>
      </c>
      <c r="O96">
        <f t="shared" si="93"/>
        <v>0.16</v>
      </c>
      <c r="P96">
        <f t="shared" si="93"/>
        <v>0.16</v>
      </c>
    </row>
    <row r="97" spans="1:16">
      <c r="A97" s="84" t="s">
        <v>267</v>
      </c>
      <c r="B97" s="85" t="s">
        <v>266</v>
      </c>
      <c r="C97" s="85" t="s">
        <v>79</v>
      </c>
      <c r="D97" s="84" t="s">
        <v>84</v>
      </c>
      <c r="E97" s="84">
        <f>VLOOKUP(A97,'2a. SI Pop'!$A$5:$E$198,5,FALSE)</f>
        <v>1</v>
      </c>
      <c r="F97">
        <f>VLOOKUP(E97,Input!$G$5:$H$24,2,FALSE)</f>
        <v>0.16</v>
      </c>
      <c r="G97">
        <f t="shared" ref="G97:P97" si="94">F97</f>
        <v>0.16</v>
      </c>
      <c r="H97">
        <f t="shared" si="94"/>
        <v>0.16</v>
      </c>
      <c r="I97">
        <f t="shared" si="94"/>
        <v>0.16</v>
      </c>
      <c r="J97">
        <f t="shared" si="94"/>
        <v>0.16</v>
      </c>
      <c r="K97">
        <f t="shared" si="94"/>
        <v>0.16</v>
      </c>
      <c r="L97">
        <f t="shared" si="94"/>
        <v>0.16</v>
      </c>
      <c r="M97">
        <f t="shared" si="94"/>
        <v>0.16</v>
      </c>
      <c r="N97">
        <f t="shared" si="94"/>
        <v>0.16</v>
      </c>
      <c r="O97">
        <f t="shared" si="94"/>
        <v>0.16</v>
      </c>
      <c r="P97">
        <f t="shared" si="94"/>
        <v>0.16</v>
      </c>
    </row>
    <row r="98" spans="1:16">
      <c r="A98" s="84" t="s">
        <v>269</v>
      </c>
      <c r="B98" s="85" t="s">
        <v>268</v>
      </c>
      <c r="C98" s="85" t="s">
        <v>99</v>
      </c>
      <c r="D98" s="84" t="s">
        <v>84</v>
      </c>
      <c r="E98" s="84">
        <f>VLOOKUP(A98,'2a. SI Pop'!$A$5:$E$198,5,FALSE)</f>
        <v>4</v>
      </c>
      <c r="F98">
        <f>VLOOKUP(E98,Input!$G$5:$H$24,2,FALSE)</f>
        <v>0.21</v>
      </c>
      <c r="G98">
        <f t="shared" ref="G98:P98" si="95">F98</f>
        <v>0.21</v>
      </c>
      <c r="H98">
        <f t="shared" si="95"/>
        <v>0.21</v>
      </c>
      <c r="I98">
        <f t="shared" si="95"/>
        <v>0.21</v>
      </c>
      <c r="J98">
        <f t="shared" si="95"/>
        <v>0.21</v>
      </c>
      <c r="K98">
        <f t="shared" si="95"/>
        <v>0.21</v>
      </c>
      <c r="L98">
        <f t="shared" si="95"/>
        <v>0.21</v>
      </c>
      <c r="M98">
        <f t="shared" si="95"/>
        <v>0.21</v>
      </c>
      <c r="N98">
        <f t="shared" si="95"/>
        <v>0.21</v>
      </c>
      <c r="O98">
        <f t="shared" si="95"/>
        <v>0.21</v>
      </c>
      <c r="P98">
        <f t="shared" si="95"/>
        <v>0.21</v>
      </c>
    </row>
    <row r="99" spans="1:16">
      <c r="A99" s="84" t="s">
        <v>271</v>
      </c>
      <c r="B99" s="85" t="s">
        <v>270</v>
      </c>
      <c r="C99" s="85" t="s">
        <v>79</v>
      </c>
      <c r="D99" s="84" t="s">
        <v>87</v>
      </c>
      <c r="E99" s="84">
        <f>VLOOKUP(A99,'2a. SI Pop'!$A$5:$E$198,5,FALSE)</f>
        <v>1</v>
      </c>
      <c r="F99">
        <f>VLOOKUP(E99,Input!$G$5:$H$24,2,FALSE)</f>
        <v>0.16</v>
      </c>
      <c r="G99">
        <f t="shared" ref="G99:P99" si="96">F99</f>
        <v>0.16</v>
      </c>
      <c r="H99">
        <f t="shared" si="96"/>
        <v>0.16</v>
      </c>
      <c r="I99">
        <f t="shared" si="96"/>
        <v>0.16</v>
      </c>
      <c r="J99">
        <f t="shared" si="96"/>
        <v>0.16</v>
      </c>
      <c r="K99">
        <f t="shared" si="96"/>
        <v>0.16</v>
      </c>
      <c r="L99">
        <f t="shared" si="96"/>
        <v>0.16</v>
      </c>
      <c r="M99">
        <f t="shared" si="96"/>
        <v>0.16</v>
      </c>
      <c r="N99">
        <f t="shared" si="96"/>
        <v>0.16</v>
      </c>
      <c r="O99">
        <f t="shared" si="96"/>
        <v>0.16</v>
      </c>
      <c r="P99">
        <f t="shared" si="96"/>
        <v>0.16</v>
      </c>
    </row>
    <row r="100" spans="1:16">
      <c r="A100" s="84" t="s">
        <v>273</v>
      </c>
      <c r="B100" s="85" t="s">
        <v>272</v>
      </c>
      <c r="C100" s="85" t="s">
        <v>74</v>
      </c>
      <c r="D100" s="84" t="s">
        <v>80</v>
      </c>
      <c r="E100" s="84">
        <f>VLOOKUP(A100,'2a. SI Pop'!$A$5:$E$198,5,FALSE)</f>
        <v>2</v>
      </c>
      <c r="F100">
        <f>VLOOKUP(E100,Input!$G$5:$H$24,2,FALSE)</f>
        <v>0.13</v>
      </c>
      <c r="G100">
        <f t="shared" ref="G100:P100" si="97">F100</f>
        <v>0.13</v>
      </c>
      <c r="H100">
        <f t="shared" si="97"/>
        <v>0.13</v>
      </c>
      <c r="I100">
        <f t="shared" si="97"/>
        <v>0.13</v>
      </c>
      <c r="J100">
        <f t="shared" si="97"/>
        <v>0.13</v>
      </c>
      <c r="K100">
        <f t="shared" si="97"/>
        <v>0.13</v>
      </c>
      <c r="L100">
        <f t="shared" si="97"/>
        <v>0.13</v>
      </c>
      <c r="M100">
        <f t="shared" si="97"/>
        <v>0.13</v>
      </c>
      <c r="N100">
        <f t="shared" si="97"/>
        <v>0.13</v>
      </c>
      <c r="O100">
        <f t="shared" si="97"/>
        <v>0.13</v>
      </c>
      <c r="P100">
        <f t="shared" si="97"/>
        <v>0.13</v>
      </c>
    </row>
    <row r="101" spans="1:16">
      <c r="A101" s="84" t="s">
        <v>275</v>
      </c>
      <c r="B101" s="85" t="s">
        <v>274</v>
      </c>
      <c r="C101" s="85" t="s">
        <v>83</v>
      </c>
      <c r="D101" s="84" t="s">
        <v>84</v>
      </c>
      <c r="E101" s="84">
        <f>VLOOKUP(A101,'2a. SI Pop'!$A$5:$E$198,5,FALSE)</f>
        <v>3</v>
      </c>
      <c r="F101">
        <f>VLOOKUP(E101,Input!$G$5:$H$24,2,FALSE)</f>
        <v>0.23</v>
      </c>
      <c r="G101">
        <f t="shared" ref="G101:P101" si="98">F101</f>
        <v>0.23</v>
      </c>
      <c r="H101">
        <f t="shared" si="98"/>
        <v>0.23</v>
      </c>
      <c r="I101">
        <f t="shared" si="98"/>
        <v>0.23</v>
      </c>
      <c r="J101">
        <f t="shared" si="98"/>
        <v>0.23</v>
      </c>
      <c r="K101">
        <f t="shared" si="98"/>
        <v>0.23</v>
      </c>
      <c r="L101">
        <f t="shared" si="98"/>
        <v>0.23</v>
      </c>
      <c r="M101">
        <f t="shared" si="98"/>
        <v>0.23</v>
      </c>
      <c r="N101">
        <f t="shared" si="98"/>
        <v>0.23</v>
      </c>
      <c r="O101">
        <f t="shared" si="98"/>
        <v>0.23</v>
      </c>
      <c r="P101">
        <f t="shared" si="98"/>
        <v>0.23</v>
      </c>
    </row>
    <row r="102" spans="1:16">
      <c r="A102" s="84" t="s">
        <v>277</v>
      </c>
      <c r="B102" s="85" t="s">
        <v>276</v>
      </c>
      <c r="C102" s="85" t="s">
        <v>83</v>
      </c>
      <c r="D102" s="84" t="s">
        <v>75</v>
      </c>
      <c r="E102" s="84">
        <f>VLOOKUP(A102,'2a. SI Pop'!$A$5:$E$198,5,FALSE)</f>
        <v>3</v>
      </c>
      <c r="F102">
        <f>VLOOKUP(E102,Input!$G$5:$H$24,2,FALSE)</f>
        <v>0.23</v>
      </c>
      <c r="G102">
        <f t="shared" ref="G102:P102" si="99">F102</f>
        <v>0.23</v>
      </c>
      <c r="H102">
        <f t="shared" si="99"/>
        <v>0.23</v>
      </c>
      <c r="I102">
        <f t="shared" si="99"/>
        <v>0.23</v>
      </c>
      <c r="J102">
        <f t="shared" si="99"/>
        <v>0.23</v>
      </c>
      <c r="K102">
        <f t="shared" si="99"/>
        <v>0.23</v>
      </c>
      <c r="L102">
        <f t="shared" si="99"/>
        <v>0.23</v>
      </c>
      <c r="M102">
        <f t="shared" si="99"/>
        <v>0.23</v>
      </c>
      <c r="N102">
        <f t="shared" si="99"/>
        <v>0.23</v>
      </c>
      <c r="O102">
        <f t="shared" si="99"/>
        <v>0.23</v>
      </c>
      <c r="P102">
        <f t="shared" si="99"/>
        <v>0.23</v>
      </c>
    </row>
    <row r="103" spans="1:16">
      <c r="A103" s="84" t="s">
        <v>279</v>
      </c>
      <c r="B103" s="85" t="s">
        <v>278</v>
      </c>
      <c r="C103" s="85" t="s">
        <v>74</v>
      </c>
      <c r="D103" s="84" t="s">
        <v>80</v>
      </c>
      <c r="E103" s="84">
        <f>VLOOKUP(A103,'2a. SI Pop'!$A$5:$E$198,5,FALSE)</f>
        <v>2</v>
      </c>
      <c r="F103">
        <f>VLOOKUP(E103,Input!$G$5:$H$24,2,FALSE)</f>
        <v>0.13</v>
      </c>
      <c r="G103">
        <f t="shared" ref="G103:P103" si="100">F103</f>
        <v>0.13</v>
      </c>
      <c r="H103">
        <f t="shared" si="100"/>
        <v>0.13</v>
      </c>
      <c r="I103">
        <f t="shared" si="100"/>
        <v>0.13</v>
      </c>
      <c r="J103">
        <f t="shared" si="100"/>
        <v>0.13</v>
      </c>
      <c r="K103">
        <f t="shared" si="100"/>
        <v>0.13</v>
      </c>
      <c r="L103">
        <f t="shared" si="100"/>
        <v>0.13</v>
      </c>
      <c r="M103">
        <f t="shared" si="100"/>
        <v>0.13</v>
      </c>
      <c r="N103">
        <f t="shared" si="100"/>
        <v>0.13</v>
      </c>
      <c r="O103">
        <f t="shared" si="100"/>
        <v>0.13</v>
      </c>
      <c r="P103">
        <f t="shared" si="100"/>
        <v>0.13</v>
      </c>
    </row>
    <row r="104" spans="1:16">
      <c r="A104" s="84" t="s">
        <v>281</v>
      </c>
      <c r="B104" s="85" t="s">
        <v>280</v>
      </c>
      <c r="C104" s="85" t="s">
        <v>79</v>
      </c>
      <c r="D104" s="84" t="s">
        <v>87</v>
      </c>
      <c r="E104" s="84">
        <f>VLOOKUP(A104,'2a. SI Pop'!$A$5:$E$198,5,FALSE)</f>
        <v>1</v>
      </c>
      <c r="F104">
        <f>VLOOKUP(E104,Input!$G$5:$H$24,2,FALSE)</f>
        <v>0.16</v>
      </c>
      <c r="G104">
        <f t="shared" ref="G104:P104" si="101">F104</f>
        <v>0.16</v>
      </c>
      <c r="H104">
        <f t="shared" si="101"/>
        <v>0.16</v>
      </c>
      <c r="I104">
        <f t="shared" si="101"/>
        <v>0.16</v>
      </c>
      <c r="J104">
        <f t="shared" si="101"/>
        <v>0.16</v>
      </c>
      <c r="K104">
        <f t="shared" si="101"/>
        <v>0.16</v>
      </c>
      <c r="L104">
        <f t="shared" si="101"/>
        <v>0.16</v>
      </c>
      <c r="M104">
        <f t="shared" si="101"/>
        <v>0.16</v>
      </c>
      <c r="N104">
        <f t="shared" si="101"/>
        <v>0.16</v>
      </c>
      <c r="O104">
        <f t="shared" si="101"/>
        <v>0.16</v>
      </c>
      <c r="P104">
        <f t="shared" si="101"/>
        <v>0.16</v>
      </c>
    </row>
    <row r="105" spans="1:16">
      <c r="A105" s="84" t="s">
        <v>283</v>
      </c>
      <c r="B105" s="85" t="s">
        <v>282</v>
      </c>
      <c r="C105" s="85" t="s">
        <v>79</v>
      </c>
      <c r="D105" s="84" t="s">
        <v>87</v>
      </c>
      <c r="E105" s="84">
        <f>VLOOKUP(A105,'2a. SI Pop'!$A$5:$E$198,5,FALSE)</f>
        <v>1</v>
      </c>
      <c r="F105">
        <f>VLOOKUP(E105,Input!$G$5:$H$24,2,FALSE)</f>
        <v>0.16</v>
      </c>
      <c r="G105">
        <f t="shared" ref="G105:P105" si="102">F105</f>
        <v>0.16</v>
      </c>
      <c r="H105">
        <f t="shared" si="102"/>
        <v>0.16</v>
      </c>
      <c r="I105">
        <f t="shared" si="102"/>
        <v>0.16</v>
      </c>
      <c r="J105">
        <f t="shared" si="102"/>
        <v>0.16</v>
      </c>
      <c r="K105">
        <f t="shared" si="102"/>
        <v>0.16</v>
      </c>
      <c r="L105">
        <f t="shared" si="102"/>
        <v>0.16</v>
      </c>
      <c r="M105">
        <f t="shared" si="102"/>
        <v>0.16</v>
      </c>
      <c r="N105">
        <f t="shared" si="102"/>
        <v>0.16</v>
      </c>
      <c r="O105">
        <f t="shared" si="102"/>
        <v>0.16</v>
      </c>
      <c r="P105">
        <f t="shared" si="102"/>
        <v>0.16</v>
      </c>
    </row>
    <row r="106" spans="1:16">
      <c r="A106" s="84" t="s">
        <v>285</v>
      </c>
      <c r="B106" s="85" t="s">
        <v>284</v>
      </c>
      <c r="C106" s="85" t="s">
        <v>79</v>
      </c>
      <c r="D106" s="84" t="s">
        <v>80</v>
      </c>
      <c r="E106" s="84">
        <f>VLOOKUP(A106,'2a. SI Pop'!$A$5:$E$198,5,FALSE)</f>
        <v>1</v>
      </c>
      <c r="F106">
        <f>VLOOKUP(E106,Input!$G$5:$H$24,2,FALSE)</f>
        <v>0.16</v>
      </c>
      <c r="G106">
        <f t="shared" ref="G106:P106" si="103">F106</f>
        <v>0.16</v>
      </c>
      <c r="H106">
        <f t="shared" si="103"/>
        <v>0.16</v>
      </c>
      <c r="I106">
        <f t="shared" si="103"/>
        <v>0.16</v>
      </c>
      <c r="J106">
        <f t="shared" si="103"/>
        <v>0.16</v>
      </c>
      <c r="K106">
        <f t="shared" si="103"/>
        <v>0.16</v>
      </c>
      <c r="L106">
        <f t="shared" si="103"/>
        <v>0.16</v>
      </c>
      <c r="M106">
        <f t="shared" si="103"/>
        <v>0.16</v>
      </c>
      <c r="N106">
        <f t="shared" si="103"/>
        <v>0.16</v>
      </c>
      <c r="O106">
        <f t="shared" si="103"/>
        <v>0.16</v>
      </c>
      <c r="P106">
        <f t="shared" si="103"/>
        <v>0.16</v>
      </c>
    </row>
    <row r="107" spans="1:16">
      <c r="A107" s="84" t="s">
        <v>287</v>
      </c>
      <c r="B107" s="85" t="s">
        <v>286</v>
      </c>
      <c r="C107" s="85" t="s">
        <v>83</v>
      </c>
      <c r="D107" s="84" t="s">
        <v>75</v>
      </c>
      <c r="E107" s="84">
        <f>VLOOKUP(A107,'2a. SI Pop'!$A$5:$E$198,5,FALSE)</f>
        <v>3</v>
      </c>
      <c r="F107">
        <f>VLOOKUP(E107,Input!$G$5:$H$24,2,FALSE)</f>
        <v>0.23</v>
      </c>
      <c r="G107">
        <f t="shared" ref="G107:P107" si="104">F107</f>
        <v>0.23</v>
      </c>
      <c r="H107">
        <f t="shared" si="104"/>
        <v>0.23</v>
      </c>
      <c r="I107">
        <f t="shared" si="104"/>
        <v>0.23</v>
      </c>
      <c r="J107">
        <f t="shared" si="104"/>
        <v>0.23</v>
      </c>
      <c r="K107">
        <f t="shared" si="104"/>
        <v>0.23</v>
      </c>
      <c r="L107">
        <f t="shared" si="104"/>
        <v>0.23</v>
      </c>
      <c r="M107">
        <f t="shared" si="104"/>
        <v>0.23</v>
      </c>
      <c r="N107">
        <f t="shared" si="104"/>
        <v>0.23</v>
      </c>
      <c r="O107">
        <f t="shared" si="104"/>
        <v>0.23</v>
      </c>
      <c r="P107">
        <f t="shared" si="104"/>
        <v>0.23</v>
      </c>
    </row>
    <row r="108" spans="1:16">
      <c r="A108" s="84" t="s">
        <v>289</v>
      </c>
      <c r="B108" s="85" t="s">
        <v>288</v>
      </c>
      <c r="C108" s="85" t="s">
        <v>83</v>
      </c>
      <c r="D108" s="84" t="s">
        <v>75</v>
      </c>
      <c r="E108" s="84">
        <f>VLOOKUP(A108,'2a. SI Pop'!$A$5:$E$198,5,FALSE)</f>
        <v>3</v>
      </c>
      <c r="F108">
        <f>VLOOKUP(E108,Input!$G$5:$H$24,2,FALSE)</f>
        <v>0.23</v>
      </c>
      <c r="G108">
        <f t="shared" ref="G108:P108" si="105">F108</f>
        <v>0.23</v>
      </c>
      <c r="H108">
        <f t="shared" si="105"/>
        <v>0.23</v>
      </c>
      <c r="I108">
        <f t="shared" si="105"/>
        <v>0.23</v>
      </c>
      <c r="J108">
        <f t="shared" si="105"/>
        <v>0.23</v>
      </c>
      <c r="K108">
        <f t="shared" si="105"/>
        <v>0.23</v>
      </c>
      <c r="L108">
        <f t="shared" si="105"/>
        <v>0.23</v>
      </c>
      <c r="M108">
        <f t="shared" si="105"/>
        <v>0.23</v>
      </c>
      <c r="N108">
        <f t="shared" si="105"/>
        <v>0.23</v>
      </c>
      <c r="O108">
        <f t="shared" si="105"/>
        <v>0.23</v>
      </c>
      <c r="P108">
        <f t="shared" si="105"/>
        <v>0.23</v>
      </c>
    </row>
    <row r="109" spans="1:16">
      <c r="A109" s="84" t="s">
        <v>291</v>
      </c>
      <c r="B109" s="85" t="s">
        <v>290</v>
      </c>
      <c r="C109" s="85" t="s">
        <v>99</v>
      </c>
      <c r="D109" s="84" t="s">
        <v>80</v>
      </c>
      <c r="E109" s="84">
        <f>VLOOKUP(A109,'2a. SI Pop'!$A$5:$E$198,5,FALSE)</f>
        <v>2</v>
      </c>
      <c r="F109">
        <f>VLOOKUP(E109,Input!$G$5:$H$24,2,FALSE)</f>
        <v>0.13</v>
      </c>
      <c r="G109">
        <f t="shared" ref="G109:P109" si="106">F109</f>
        <v>0.13</v>
      </c>
      <c r="H109">
        <f t="shared" si="106"/>
        <v>0.13</v>
      </c>
      <c r="I109">
        <f t="shared" si="106"/>
        <v>0.13</v>
      </c>
      <c r="J109">
        <f t="shared" si="106"/>
        <v>0.13</v>
      </c>
      <c r="K109">
        <f t="shared" si="106"/>
        <v>0.13</v>
      </c>
      <c r="L109">
        <f t="shared" si="106"/>
        <v>0.13</v>
      </c>
      <c r="M109">
        <f t="shared" si="106"/>
        <v>0.13</v>
      </c>
      <c r="N109">
        <f t="shared" si="106"/>
        <v>0.13</v>
      </c>
      <c r="O109">
        <f t="shared" si="106"/>
        <v>0.13</v>
      </c>
      <c r="P109">
        <f t="shared" si="106"/>
        <v>0.13</v>
      </c>
    </row>
    <row r="110" spans="1:16">
      <c r="A110" s="84" t="s">
        <v>293</v>
      </c>
      <c r="B110" s="85" t="s">
        <v>292</v>
      </c>
      <c r="C110" s="85" t="s">
        <v>110</v>
      </c>
      <c r="D110" s="84" t="s">
        <v>80</v>
      </c>
      <c r="E110" s="84">
        <f>VLOOKUP(A110,'2a. SI Pop'!$A$5:$E$198,5,FALSE)</f>
        <v>2</v>
      </c>
      <c r="F110">
        <f>VLOOKUP(E110,Input!$G$5:$H$24,2,FALSE)</f>
        <v>0.13</v>
      </c>
      <c r="G110">
        <f t="shared" ref="G110:P110" si="107">F110</f>
        <v>0.13</v>
      </c>
      <c r="H110">
        <f t="shared" si="107"/>
        <v>0.13</v>
      </c>
      <c r="I110">
        <f t="shared" si="107"/>
        <v>0.13</v>
      </c>
      <c r="J110">
        <f t="shared" si="107"/>
        <v>0.13</v>
      </c>
      <c r="K110">
        <f t="shared" si="107"/>
        <v>0.13</v>
      </c>
      <c r="L110">
        <f t="shared" si="107"/>
        <v>0.13</v>
      </c>
      <c r="M110">
        <f t="shared" si="107"/>
        <v>0.13</v>
      </c>
      <c r="N110">
        <f t="shared" si="107"/>
        <v>0.13</v>
      </c>
      <c r="O110">
        <f t="shared" si="107"/>
        <v>0.13</v>
      </c>
      <c r="P110">
        <f t="shared" si="107"/>
        <v>0.13</v>
      </c>
    </row>
    <row r="111" spans="1:16">
      <c r="A111" s="84" t="s">
        <v>295</v>
      </c>
      <c r="B111" s="85" t="s">
        <v>294</v>
      </c>
      <c r="C111" s="85" t="s">
        <v>83</v>
      </c>
      <c r="D111" s="84" t="s">
        <v>75</v>
      </c>
      <c r="E111" s="84">
        <f>VLOOKUP(A111,'2a. SI Pop'!$A$5:$E$198,5,FALSE)</f>
        <v>3</v>
      </c>
      <c r="F111">
        <f>VLOOKUP(E111,Input!$G$5:$H$24,2,FALSE)</f>
        <v>0.23</v>
      </c>
      <c r="G111">
        <f t="shared" ref="G111:P111" si="108">F111</f>
        <v>0.23</v>
      </c>
      <c r="H111">
        <f t="shared" si="108"/>
        <v>0.23</v>
      </c>
      <c r="I111">
        <f t="shared" si="108"/>
        <v>0.23</v>
      </c>
      <c r="J111">
        <f t="shared" si="108"/>
        <v>0.23</v>
      </c>
      <c r="K111">
        <f t="shared" si="108"/>
        <v>0.23</v>
      </c>
      <c r="L111">
        <f t="shared" si="108"/>
        <v>0.23</v>
      </c>
      <c r="M111">
        <f t="shared" si="108"/>
        <v>0.23</v>
      </c>
      <c r="N111">
        <f t="shared" si="108"/>
        <v>0.23</v>
      </c>
      <c r="O111">
        <f t="shared" si="108"/>
        <v>0.23</v>
      </c>
      <c r="P111">
        <f t="shared" si="108"/>
        <v>0.23</v>
      </c>
    </row>
    <row r="112" spans="1:16">
      <c r="A112" s="84" t="s">
        <v>297</v>
      </c>
      <c r="B112" s="85" t="s">
        <v>296</v>
      </c>
      <c r="C112" s="85" t="s">
        <v>79</v>
      </c>
      <c r="D112" s="84" t="s">
        <v>87</v>
      </c>
      <c r="E112" s="84">
        <f>VLOOKUP(A112,'2a. SI Pop'!$A$5:$E$198,5,FALSE)</f>
        <v>1</v>
      </c>
      <c r="F112">
        <f>VLOOKUP(E112,Input!$G$5:$H$24,2,FALSE)</f>
        <v>0.16</v>
      </c>
      <c r="G112">
        <f t="shared" ref="G112:P112" si="109">F112</f>
        <v>0.16</v>
      </c>
      <c r="H112">
        <f t="shared" si="109"/>
        <v>0.16</v>
      </c>
      <c r="I112">
        <f t="shared" si="109"/>
        <v>0.16</v>
      </c>
      <c r="J112">
        <f t="shared" si="109"/>
        <v>0.16</v>
      </c>
      <c r="K112">
        <f t="shared" si="109"/>
        <v>0.16</v>
      </c>
      <c r="L112">
        <f t="shared" si="109"/>
        <v>0.16</v>
      </c>
      <c r="M112">
        <f t="shared" si="109"/>
        <v>0.16</v>
      </c>
      <c r="N112">
        <f t="shared" si="109"/>
        <v>0.16</v>
      </c>
      <c r="O112">
        <f t="shared" si="109"/>
        <v>0.16</v>
      </c>
      <c r="P112">
        <f t="shared" si="109"/>
        <v>0.16</v>
      </c>
    </row>
    <row r="113" spans="1:16">
      <c r="A113" s="84" t="s">
        <v>299</v>
      </c>
      <c r="B113" s="85" t="s">
        <v>298</v>
      </c>
      <c r="C113" s="85" t="s">
        <v>99</v>
      </c>
      <c r="D113" s="84" t="s">
        <v>80</v>
      </c>
      <c r="E113" s="84">
        <f>VLOOKUP(A113,'2a. SI Pop'!$A$5:$E$198,5,FALSE)</f>
        <v>1</v>
      </c>
      <c r="F113">
        <f>VLOOKUP(E113,Input!$G$5:$H$24,2,FALSE)</f>
        <v>0.16</v>
      </c>
      <c r="G113">
        <f t="shared" ref="G113:P113" si="110">F113</f>
        <v>0.16</v>
      </c>
      <c r="H113">
        <f t="shared" si="110"/>
        <v>0.16</v>
      </c>
      <c r="I113">
        <f t="shared" si="110"/>
        <v>0.16</v>
      </c>
      <c r="J113">
        <f t="shared" si="110"/>
        <v>0.16</v>
      </c>
      <c r="K113">
        <f t="shared" si="110"/>
        <v>0.16</v>
      </c>
      <c r="L113">
        <f t="shared" si="110"/>
        <v>0.16</v>
      </c>
      <c r="M113">
        <f t="shared" si="110"/>
        <v>0.16</v>
      </c>
      <c r="N113">
        <f t="shared" si="110"/>
        <v>0.16</v>
      </c>
      <c r="O113">
        <f t="shared" si="110"/>
        <v>0.16</v>
      </c>
      <c r="P113">
        <f t="shared" si="110"/>
        <v>0.16</v>
      </c>
    </row>
    <row r="114" spans="1:16">
      <c r="A114" s="84" t="s">
        <v>301</v>
      </c>
      <c r="B114" s="85" t="s">
        <v>300</v>
      </c>
      <c r="C114" s="85" t="s">
        <v>83</v>
      </c>
      <c r="D114" s="84" t="s">
        <v>84</v>
      </c>
      <c r="E114" s="84">
        <f>VLOOKUP(A114,'2a. SI Pop'!$A$5:$E$198,5,FALSE)</f>
        <v>3</v>
      </c>
      <c r="F114">
        <f>VLOOKUP(E114,Input!$G$5:$H$24,2,FALSE)</f>
        <v>0.23</v>
      </c>
      <c r="G114">
        <f t="shared" ref="G114:P114" si="111">F114</f>
        <v>0.23</v>
      </c>
      <c r="H114">
        <f t="shared" si="111"/>
        <v>0.23</v>
      </c>
      <c r="I114">
        <f t="shared" si="111"/>
        <v>0.23</v>
      </c>
      <c r="J114">
        <f t="shared" si="111"/>
        <v>0.23</v>
      </c>
      <c r="K114">
        <f t="shared" si="111"/>
        <v>0.23</v>
      </c>
      <c r="L114">
        <f t="shared" si="111"/>
        <v>0.23</v>
      </c>
      <c r="M114">
        <f t="shared" si="111"/>
        <v>0.23</v>
      </c>
      <c r="N114">
        <f t="shared" si="111"/>
        <v>0.23</v>
      </c>
      <c r="O114">
        <f t="shared" si="111"/>
        <v>0.23</v>
      </c>
      <c r="P114">
        <f t="shared" si="111"/>
        <v>0.23</v>
      </c>
    </row>
    <row r="115" spans="1:16">
      <c r="A115" s="84" t="s">
        <v>303</v>
      </c>
      <c r="B115" s="85" t="s">
        <v>302</v>
      </c>
      <c r="C115" s="85" t="s">
        <v>83</v>
      </c>
      <c r="D115" s="84" t="s">
        <v>87</v>
      </c>
      <c r="E115" s="84">
        <f>VLOOKUP(A115,'2a. SI Pop'!$A$5:$E$198,5,FALSE)</f>
        <v>1</v>
      </c>
      <c r="F115">
        <f>VLOOKUP(E115,Input!$G$5:$H$24,2,FALSE)</f>
        <v>0.16</v>
      </c>
      <c r="G115">
        <f t="shared" ref="G115:P115" si="112">F115</f>
        <v>0.16</v>
      </c>
      <c r="H115">
        <f t="shared" si="112"/>
        <v>0.16</v>
      </c>
      <c r="I115">
        <f t="shared" si="112"/>
        <v>0.16</v>
      </c>
      <c r="J115">
        <f t="shared" si="112"/>
        <v>0.16</v>
      </c>
      <c r="K115">
        <f t="shared" si="112"/>
        <v>0.16</v>
      </c>
      <c r="L115">
        <f t="shared" si="112"/>
        <v>0.16</v>
      </c>
      <c r="M115">
        <f t="shared" si="112"/>
        <v>0.16</v>
      </c>
      <c r="N115">
        <f t="shared" si="112"/>
        <v>0.16</v>
      </c>
      <c r="O115">
        <f t="shared" si="112"/>
        <v>0.16</v>
      </c>
      <c r="P115">
        <f t="shared" si="112"/>
        <v>0.16</v>
      </c>
    </row>
    <row r="116" spans="1:16">
      <c r="A116" s="84" t="s">
        <v>305</v>
      </c>
      <c r="B116" s="85" t="s">
        <v>304</v>
      </c>
      <c r="C116" s="85" t="s">
        <v>92</v>
      </c>
      <c r="D116" s="84" t="s">
        <v>80</v>
      </c>
      <c r="E116" s="84">
        <f>VLOOKUP(A116,'2a. SI Pop'!$A$5:$E$198,5,FALSE)</f>
        <v>2</v>
      </c>
      <c r="F116">
        <f>VLOOKUP(E116,Input!$G$5:$H$24,2,FALSE)</f>
        <v>0.13</v>
      </c>
      <c r="G116">
        <f t="shared" ref="G116:P116" si="113">F116</f>
        <v>0.13</v>
      </c>
      <c r="H116">
        <f t="shared" si="113"/>
        <v>0.13</v>
      </c>
      <c r="I116">
        <f t="shared" si="113"/>
        <v>0.13</v>
      </c>
      <c r="J116">
        <f t="shared" si="113"/>
        <v>0.13</v>
      </c>
      <c r="K116">
        <f t="shared" si="113"/>
        <v>0.13</v>
      </c>
      <c r="L116">
        <f t="shared" si="113"/>
        <v>0.13</v>
      </c>
      <c r="M116">
        <f t="shared" si="113"/>
        <v>0.13</v>
      </c>
      <c r="N116">
        <f t="shared" si="113"/>
        <v>0.13</v>
      </c>
      <c r="O116">
        <f t="shared" si="113"/>
        <v>0.13</v>
      </c>
      <c r="P116">
        <f t="shared" si="113"/>
        <v>0.13</v>
      </c>
    </row>
    <row r="117" spans="1:16">
      <c r="A117" s="84" t="s">
        <v>307</v>
      </c>
      <c r="B117" s="85" t="s">
        <v>306</v>
      </c>
      <c r="C117" s="85" t="s">
        <v>99</v>
      </c>
      <c r="D117" s="84" t="s">
        <v>84</v>
      </c>
      <c r="E117" s="84">
        <f>VLOOKUP(A117,'2a. SI Pop'!$A$5:$E$198,5,FALSE)</f>
        <v>1</v>
      </c>
      <c r="F117">
        <f>VLOOKUP(E117,Input!$G$5:$H$24,2,FALSE)</f>
        <v>0.16</v>
      </c>
      <c r="G117">
        <f t="shared" ref="G117:P117" si="114">F117</f>
        <v>0.16</v>
      </c>
      <c r="H117">
        <f t="shared" si="114"/>
        <v>0.16</v>
      </c>
      <c r="I117">
        <f t="shared" si="114"/>
        <v>0.16</v>
      </c>
      <c r="J117">
        <f t="shared" si="114"/>
        <v>0.16</v>
      </c>
      <c r="K117">
        <f t="shared" si="114"/>
        <v>0.16</v>
      </c>
      <c r="L117">
        <f t="shared" si="114"/>
        <v>0.16</v>
      </c>
      <c r="M117">
        <f t="shared" si="114"/>
        <v>0.16</v>
      </c>
      <c r="N117">
        <f t="shared" si="114"/>
        <v>0.16</v>
      </c>
      <c r="O117">
        <f t="shared" si="114"/>
        <v>0.16</v>
      </c>
      <c r="P117">
        <f t="shared" si="114"/>
        <v>0.16</v>
      </c>
    </row>
    <row r="118" spans="1:16">
      <c r="A118" s="84" t="s">
        <v>309</v>
      </c>
      <c r="B118" s="85" t="s">
        <v>308</v>
      </c>
      <c r="C118" s="85" t="s">
        <v>79</v>
      </c>
      <c r="D118" s="84" t="s">
        <v>84</v>
      </c>
      <c r="E118" s="84">
        <f>VLOOKUP(A118,'2a. SI Pop'!$A$5:$E$198,5,FALSE)</f>
        <v>1</v>
      </c>
      <c r="F118">
        <f>VLOOKUP(E118,Input!$G$5:$H$24,2,FALSE)</f>
        <v>0.16</v>
      </c>
      <c r="G118">
        <f t="shared" ref="G118:P118" si="115">F118</f>
        <v>0.16</v>
      </c>
      <c r="H118">
        <f t="shared" si="115"/>
        <v>0.16</v>
      </c>
      <c r="I118">
        <f t="shared" si="115"/>
        <v>0.16</v>
      </c>
      <c r="J118">
        <f t="shared" si="115"/>
        <v>0.16</v>
      </c>
      <c r="K118">
        <f t="shared" si="115"/>
        <v>0.16</v>
      </c>
      <c r="L118">
        <f t="shared" si="115"/>
        <v>0.16</v>
      </c>
      <c r="M118">
        <f t="shared" si="115"/>
        <v>0.16</v>
      </c>
      <c r="N118">
        <f t="shared" si="115"/>
        <v>0.16</v>
      </c>
      <c r="O118">
        <f t="shared" si="115"/>
        <v>0.16</v>
      </c>
      <c r="P118">
        <f t="shared" si="115"/>
        <v>0.16</v>
      </c>
    </row>
    <row r="119" spans="1:16">
      <c r="A119" s="84" t="s">
        <v>311</v>
      </c>
      <c r="B119" s="85" t="s">
        <v>310</v>
      </c>
      <c r="C119" s="85" t="s">
        <v>79</v>
      </c>
      <c r="D119" s="84" t="s">
        <v>87</v>
      </c>
      <c r="E119" s="84">
        <f>VLOOKUP(A119,'2a. SI Pop'!$A$5:$E$198,5,FALSE)</f>
        <v>1</v>
      </c>
      <c r="F119">
        <f>VLOOKUP(E119,Input!$G$5:$H$24,2,FALSE)</f>
        <v>0.16</v>
      </c>
      <c r="G119">
        <f t="shared" ref="G119:P119" si="116">F119</f>
        <v>0.16</v>
      </c>
      <c r="H119">
        <f t="shared" si="116"/>
        <v>0.16</v>
      </c>
      <c r="I119">
        <f t="shared" si="116"/>
        <v>0.16</v>
      </c>
      <c r="J119">
        <f t="shared" si="116"/>
        <v>0.16</v>
      </c>
      <c r="K119">
        <f t="shared" si="116"/>
        <v>0.16</v>
      </c>
      <c r="L119">
        <f t="shared" si="116"/>
        <v>0.16</v>
      </c>
      <c r="M119">
        <f t="shared" si="116"/>
        <v>0.16</v>
      </c>
      <c r="N119">
        <f t="shared" si="116"/>
        <v>0.16</v>
      </c>
      <c r="O119">
        <f t="shared" si="116"/>
        <v>0.16</v>
      </c>
      <c r="P119">
        <f t="shared" si="116"/>
        <v>0.16</v>
      </c>
    </row>
    <row r="120" spans="1:16">
      <c r="A120" s="84" t="s">
        <v>313</v>
      </c>
      <c r="B120" s="85" t="s">
        <v>312</v>
      </c>
      <c r="C120" s="85" t="s">
        <v>99</v>
      </c>
      <c r="D120" s="84" t="s">
        <v>84</v>
      </c>
      <c r="E120" s="84">
        <f>VLOOKUP(A120,'2a. SI Pop'!$A$5:$E$198,5,FALSE)</f>
        <v>2</v>
      </c>
      <c r="F120">
        <f>VLOOKUP(E120,Input!$G$5:$H$24,2,FALSE)</f>
        <v>0.13</v>
      </c>
      <c r="G120">
        <f t="shared" ref="G120:P120" si="117">F120</f>
        <v>0.13</v>
      </c>
      <c r="H120">
        <f t="shared" si="117"/>
        <v>0.13</v>
      </c>
      <c r="I120">
        <f t="shared" si="117"/>
        <v>0.13</v>
      </c>
      <c r="J120">
        <f t="shared" si="117"/>
        <v>0.13</v>
      </c>
      <c r="K120">
        <f t="shared" si="117"/>
        <v>0.13</v>
      </c>
      <c r="L120">
        <f t="shared" si="117"/>
        <v>0.13</v>
      </c>
      <c r="M120">
        <f t="shared" si="117"/>
        <v>0.13</v>
      </c>
      <c r="N120">
        <f t="shared" si="117"/>
        <v>0.13</v>
      </c>
      <c r="O120">
        <f t="shared" si="117"/>
        <v>0.13</v>
      </c>
      <c r="P120">
        <f t="shared" si="117"/>
        <v>0.13</v>
      </c>
    </row>
    <row r="121" spans="1:16">
      <c r="A121" s="84" t="s">
        <v>315</v>
      </c>
      <c r="B121" s="85" t="s">
        <v>314</v>
      </c>
      <c r="C121" s="85" t="s">
        <v>79</v>
      </c>
      <c r="D121" s="84" t="s">
        <v>80</v>
      </c>
      <c r="E121" s="84">
        <f>VLOOKUP(A121,'2a. SI Pop'!$A$5:$E$198,5,FALSE)</f>
        <v>1</v>
      </c>
      <c r="F121">
        <f>VLOOKUP(E121,Input!$G$5:$H$24,2,FALSE)</f>
        <v>0.16</v>
      </c>
      <c r="G121">
        <f t="shared" ref="G121:P121" si="118">F121</f>
        <v>0.16</v>
      </c>
      <c r="H121">
        <f t="shared" si="118"/>
        <v>0.16</v>
      </c>
      <c r="I121">
        <f t="shared" si="118"/>
        <v>0.16</v>
      </c>
      <c r="J121">
        <f t="shared" si="118"/>
        <v>0.16</v>
      </c>
      <c r="K121">
        <f t="shared" si="118"/>
        <v>0.16</v>
      </c>
      <c r="L121">
        <f t="shared" si="118"/>
        <v>0.16</v>
      </c>
      <c r="M121">
        <f t="shared" si="118"/>
        <v>0.16</v>
      </c>
      <c r="N121">
        <f t="shared" si="118"/>
        <v>0.16</v>
      </c>
      <c r="O121">
        <f t="shared" si="118"/>
        <v>0.16</v>
      </c>
      <c r="P121">
        <f t="shared" si="118"/>
        <v>0.16</v>
      </c>
    </row>
    <row r="122" spans="1:16">
      <c r="A122" s="84" t="s">
        <v>317</v>
      </c>
      <c r="B122" s="85" t="s">
        <v>316</v>
      </c>
      <c r="C122" s="85" t="s">
        <v>74</v>
      </c>
      <c r="D122" s="84" t="s">
        <v>84</v>
      </c>
      <c r="E122" s="84">
        <f>VLOOKUP(A122,'2a. SI Pop'!$A$5:$E$198,5,FALSE)</f>
        <v>3</v>
      </c>
      <c r="F122">
        <f>VLOOKUP(E122,Input!$G$5:$H$24,2,FALSE)</f>
        <v>0.23</v>
      </c>
      <c r="G122">
        <f t="shared" ref="G122:P122" si="119">F122</f>
        <v>0.23</v>
      </c>
      <c r="H122">
        <f t="shared" si="119"/>
        <v>0.23</v>
      </c>
      <c r="I122">
        <f t="shared" si="119"/>
        <v>0.23</v>
      </c>
      <c r="J122">
        <f t="shared" si="119"/>
        <v>0.23</v>
      </c>
      <c r="K122">
        <f t="shared" si="119"/>
        <v>0.23</v>
      </c>
      <c r="L122">
        <f t="shared" si="119"/>
        <v>0.23</v>
      </c>
      <c r="M122">
        <f t="shared" si="119"/>
        <v>0.23</v>
      </c>
      <c r="N122">
        <f t="shared" si="119"/>
        <v>0.23</v>
      </c>
      <c r="O122">
        <f t="shared" si="119"/>
        <v>0.23</v>
      </c>
      <c r="P122">
        <f t="shared" si="119"/>
        <v>0.23</v>
      </c>
    </row>
    <row r="123" spans="1:16">
      <c r="A123" s="84" t="s">
        <v>319</v>
      </c>
      <c r="B123" s="85" t="s">
        <v>318</v>
      </c>
      <c r="C123" s="85" t="s">
        <v>83</v>
      </c>
      <c r="D123" s="84" t="s">
        <v>75</v>
      </c>
      <c r="E123" s="84" t="str">
        <f>VLOOKUP(A123,'2a. SI Pop'!$A$5:$E$198,5,FALSE)</f>
        <v>Key</v>
      </c>
      <c r="F123">
        <f>VLOOKUP(A123,Input!$G$5:$H$24,2,FALSE)</f>
        <v>0.5</v>
      </c>
      <c r="G123">
        <f t="shared" ref="G123:P123" si="120">F123</f>
        <v>0.5</v>
      </c>
      <c r="H123">
        <f t="shared" si="120"/>
        <v>0.5</v>
      </c>
      <c r="I123">
        <f t="shared" si="120"/>
        <v>0.5</v>
      </c>
      <c r="J123">
        <f t="shared" si="120"/>
        <v>0.5</v>
      </c>
      <c r="K123">
        <f t="shared" si="120"/>
        <v>0.5</v>
      </c>
      <c r="L123">
        <f t="shared" si="120"/>
        <v>0.5</v>
      </c>
      <c r="M123">
        <f t="shared" si="120"/>
        <v>0.5</v>
      </c>
      <c r="N123">
        <f t="shared" si="120"/>
        <v>0.5</v>
      </c>
      <c r="O123">
        <f t="shared" si="120"/>
        <v>0.5</v>
      </c>
      <c r="P123">
        <f t="shared" si="120"/>
        <v>0.5</v>
      </c>
    </row>
    <row r="124" spans="1:16">
      <c r="A124" s="84" t="s">
        <v>321</v>
      </c>
      <c r="B124" s="85" t="s">
        <v>320</v>
      </c>
      <c r="C124" s="85" t="s">
        <v>110</v>
      </c>
      <c r="D124" s="84" t="s">
        <v>84</v>
      </c>
      <c r="E124" s="84">
        <f>VLOOKUP(A124,'2a. SI Pop'!$A$5:$E$198,5,FALSE)</f>
        <v>4</v>
      </c>
      <c r="F124">
        <f>VLOOKUP(E124,Input!$G$5:$H$24,2,FALSE)</f>
        <v>0.21</v>
      </c>
      <c r="G124">
        <f t="shared" ref="G124:P124" si="121">F124</f>
        <v>0.21</v>
      </c>
      <c r="H124">
        <f t="shared" si="121"/>
        <v>0.21</v>
      </c>
      <c r="I124">
        <f t="shared" si="121"/>
        <v>0.21</v>
      </c>
      <c r="J124">
        <f t="shared" si="121"/>
        <v>0.21</v>
      </c>
      <c r="K124">
        <f t="shared" si="121"/>
        <v>0.21</v>
      </c>
      <c r="L124">
        <f t="shared" si="121"/>
        <v>0.21</v>
      </c>
      <c r="M124">
        <f t="shared" si="121"/>
        <v>0.21</v>
      </c>
      <c r="N124">
        <f t="shared" si="121"/>
        <v>0.21</v>
      </c>
      <c r="O124">
        <f t="shared" si="121"/>
        <v>0.21</v>
      </c>
      <c r="P124">
        <f t="shared" si="121"/>
        <v>0.21</v>
      </c>
    </row>
    <row r="125" spans="1:16">
      <c r="A125" s="84" t="s">
        <v>323</v>
      </c>
      <c r="B125" s="85" t="s">
        <v>322</v>
      </c>
      <c r="C125" s="85" t="s">
        <v>83</v>
      </c>
      <c r="D125" s="84" t="s">
        <v>80</v>
      </c>
      <c r="E125" s="84">
        <f>VLOOKUP(A125,'2a. SI Pop'!$A$5:$E$198,5,FALSE)</f>
        <v>3</v>
      </c>
      <c r="F125">
        <f>VLOOKUP(E125,Input!$G$5:$H$24,2,FALSE)</f>
        <v>0.23</v>
      </c>
      <c r="G125">
        <f t="shared" ref="G125:P125" si="122">F125</f>
        <v>0.23</v>
      </c>
      <c r="H125">
        <f t="shared" si="122"/>
        <v>0.23</v>
      </c>
      <c r="I125">
        <f t="shared" si="122"/>
        <v>0.23</v>
      </c>
      <c r="J125">
        <f t="shared" si="122"/>
        <v>0.23</v>
      </c>
      <c r="K125">
        <f t="shared" si="122"/>
        <v>0.23</v>
      </c>
      <c r="L125">
        <f t="shared" si="122"/>
        <v>0.23</v>
      </c>
      <c r="M125">
        <f t="shared" si="122"/>
        <v>0.23</v>
      </c>
      <c r="N125">
        <f t="shared" si="122"/>
        <v>0.23</v>
      </c>
      <c r="O125">
        <f t="shared" si="122"/>
        <v>0.23</v>
      </c>
      <c r="P125">
        <f t="shared" si="122"/>
        <v>0.23</v>
      </c>
    </row>
    <row r="126" spans="1:16">
      <c r="A126" s="84" t="s">
        <v>325</v>
      </c>
      <c r="B126" s="85" t="s">
        <v>324</v>
      </c>
      <c r="C126" s="85" t="s">
        <v>99</v>
      </c>
      <c r="D126" s="84" t="s">
        <v>87</v>
      </c>
      <c r="E126" s="84">
        <f>VLOOKUP(A126,'2a. SI Pop'!$A$5:$E$198,5,FALSE)</f>
        <v>1</v>
      </c>
      <c r="F126">
        <f>VLOOKUP(E126,Input!$G$5:$H$24,2,FALSE)</f>
        <v>0.16</v>
      </c>
      <c r="G126">
        <f t="shared" ref="G126:P126" si="123">F126</f>
        <v>0.16</v>
      </c>
      <c r="H126">
        <f t="shared" si="123"/>
        <v>0.16</v>
      </c>
      <c r="I126">
        <f t="shared" si="123"/>
        <v>0.16</v>
      </c>
      <c r="J126">
        <f t="shared" si="123"/>
        <v>0.16</v>
      </c>
      <c r="K126">
        <f t="shared" si="123"/>
        <v>0.16</v>
      </c>
      <c r="L126">
        <f t="shared" si="123"/>
        <v>0.16</v>
      </c>
      <c r="M126">
        <f t="shared" si="123"/>
        <v>0.16</v>
      </c>
      <c r="N126">
        <f t="shared" si="123"/>
        <v>0.16</v>
      </c>
      <c r="O126">
        <f t="shared" si="123"/>
        <v>0.16</v>
      </c>
      <c r="P126">
        <f t="shared" si="123"/>
        <v>0.16</v>
      </c>
    </row>
    <row r="127" spans="1:16">
      <c r="A127" s="84" t="s">
        <v>327</v>
      </c>
      <c r="B127" s="85" t="s">
        <v>326</v>
      </c>
      <c r="C127" s="85" t="s">
        <v>110</v>
      </c>
      <c r="D127" s="84" t="s">
        <v>84</v>
      </c>
      <c r="E127" s="84">
        <f>VLOOKUP(A127,'2a. SI Pop'!$A$5:$E$198,5,FALSE)</f>
        <v>4</v>
      </c>
      <c r="F127">
        <f>VLOOKUP(E127,Input!$G$5:$H$24,2,FALSE)</f>
        <v>0.21</v>
      </c>
      <c r="G127">
        <f t="shared" ref="G127:P127" si="124">F127</f>
        <v>0.21</v>
      </c>
      <c r="H127">
        <f t="shared" si="124"/>
        <v>0.21</v>
      </c>
      <c r="I127">
        <f t="shared" si="124"/>
        <v>0.21</v>
      </c>
      <c r="J127">
        <f t="shared" si="124"/>
        <v>0.21</v>
      </c>
      <c r="K127">
        <f t="shared" si="124"/>
        <v>0.21</v>
      </c>
      <c r="L127">
        <f t="shared" si="124"/>
        <v>0.21</v>
      </c>
      <c r="M127">
        <f t="shared" si="124"/>
        <v>0.21</v>
      </c>
      <c r="N127">
        <f t="shared" si="124"/>
        <v>0.21</v>
      </c>
      <c r="O127">
        <f t="shared" si="124"/>
        <v>0.21</v>
      </c>
      <c r="P127">
        <f t="shared" si="124"/>
        <v>0.21</v>
      </c>
    </row>
    <row r="128" spans="1:16">
      <c r="A128" s="84" t="s">
        <v>329</v>
      </c>
      <c r="B128" s="85" t="s">
        <v>328</v>
      </c>
      <c r="C128" s="85" t="s">
        <v>79</v>
      </c>
      <c r="D128" s="84" t="s">
        <v>87</v>
      </c>
      <c r="E128" s="84">
        <f>VLOOKUP(A128,'2a. SI Pop'!$A$5:$E$198,5,FALSE)</f>
        <v>1</v>
      </c>
      <c r="F128">
        <f>VLOOKUP(E128,Input!$G$5:$H$24,2,FALSE)</f>
        <v>0.16</v>
      </c>
      <c r="G128">
        <f t="shared" ref="G128:P128" si="125">F128</f>
        <v>0.16</v>
      </c>
      <c r="H128">
        <f t="shared" si="125"/>
        <v>0.16</v>
      </c>
      <c r="I128">
        <f t="shared" si="125"/>
        <v>0.16</v>
      </c>
      <c r="J128">
        <f t="shared" si="125"/>
        <v>0.16</v>
      </c>
      <c r="K128">
        <f t="shared" si="125"/>
        <v>0.16</v>
      </c>
      <c r="L128">
        <f t="shared" si="125"/>
        <v>0.16</v>
      </c>
      <c r="M128">
        <f t="shared" si="125"/>
        <v>0.16</v>
      </c>
      <c r="N128">
        <f t="shared" si="125"/>
        <v>0.16</v>
      </c>
      <c r="O128">
        <f t="shared" si="125"/>
        <v>0.16</v>
      </c>
      <c r="P128">
        <f t="shared" si="125"/>
        <v>0.16</v>
      </c>
    </row>
    <row r="129" spans="1:16">
      <c r="A129" s="84" t="s">
        <v>331</v>
      </c>
      <c r="B129" s="85" t="s">
        <v>330</v>
      </c>
      <c r="C129" s="85" t="s">
        <v>99</v>
      </c>
      <c r="D129" s="84" t="s">
        <v>87</v>
      </c>
      <c r="E129" s="84">
        <f>VLOOKUP(A129,'2a. SI Pop'!$A$5:$E$198,5,FALSE)</f>
        <v>1</v>
      </c>
      <c r="F129">
        <f>VLOOKUP(E129,Input!$G$5:$H$24,2,FALSE)</f>
        <v>0.16</v>
      </c>
      <c r="G129">
        <f t="shared" ref="G129:P129" si="126">F129</f>
        <v>0.16</v>
      </c>
      <c r="H129">
        <f t="shared" si="126"/>
        <v>0.16</v>
      </c>
      <c r="I129">
        <f t="shared" si="126"/>
        <v>0.16</v>
      </c>
      <c r="J129">
        <f t="shared" si="126"/>
        <v>0.16</v>
      </c>
      <c r="K129">
        <f t="shared" si="126"/>
        <v>0.16</v>
      </c>
      <c r="L129">
        <f t="shared" si="126"/>
        <v>0.16</v>
      </c>
      <c r="M129">
        <f t="shared" si="126"/>
        <v>0.16</v>
      </c>
      <c r="N129">
        <f t="shared" si="126"/>
        <v>0.16</v>
      </c>
      <c r="O129">
        <f t="shared" si="126"/>
        <v>0.16</v>
      </c>
      <c r="P129">
        <f t="shared" si="126"/>
        <v>0.16</v>
      </c>
    </row>
    <row r="130" spans="1:16">
      <c r="A130" s="84" t="s">
        <v>333</v>
      </c>
      <c r="B130" s="85" t="s">
        <v>332</v>
      </c>
      <c r="C130" s="85" t="s">
        <v>92</v>
      </c>
      <c r="D130" s="84" t="s">
        <v>84</v>
      </c>
      <c r="E130" s="84">
        <f>VLOOKUP(A130,'2a. SI Pop'!$A$5:$E$198,5,FALSE)</f>
        <v>2</v>
      </c>
      <c r="F130">
        <f>VLOOKUP(E130,Input!$G$5:$H$24,2,FALSE)</f>
        <v>0.13</v>
      </c>
      <c r="G130">
        <f t="shared" ref="G130:P130" si="127">F130</f>
        <v>0.13</v>
      </c>
      <c r="H130">
        <f t="shared" si="127"/>
        <v>0.13</v>
      </c>
      <c r="I130">
        <f t="shared" si="127"/>
        <v>0.13</v>
      </c>
      <c r="J130">
        <f t="shared" si="127"/>
        <v>0.13</v>
      </c>
      <c r="K130">
        <f t="shared" si="127"/>
        <v>0.13</v>
      </c>
      <c r="L130">
        <f t="shared" si="127"/>
        <v>0.13</v>
      </c>
      <c r="M130">
        <f t="shared" si="127"/>
        <v>0.13</v>
      </c>
      <c r="N130">
        <f t="shared" si="127"/>
        <v>0.13</v>
      </c>
      <c r="O130">
        <f t="shared" si="127"/>
        <v>0.13</v>
      </c>
      <c r="P130">
        <f t="shared" si="127"/>
        <v>0.13</v>
      </c>
    </row>
    <row r="131" spans="1:16">
      <c r="A131" s="84" t="s">
        <v>335</v>
      </c>
      <c r="B131" s="85" t="s">
        <v>334</v>
      </c>
      <c r="C131" s="85" t="s">
        <v>83</v>
      </c>
      <c r="D131" s="84" t="s">
        <v>75</v>
      </c>
      <c r="E131" s="84">
        <f>VLOOKUP(A131,'2a. SI Pop'!$A$5:$E$198,5,FALSE)</f>
        <v>3</v>
      </c>
      <c r="F131">
        <f>VLOOKUP(E131,Input!$G$5:$H$24,2,FALSE)</f>
        <v>0.23</v>
      </c>
      <c r="G131">
        <f t="shared" ref="G131:P131" si="128">F131</f>
        <v>0.23</v>
      </c>
      <c r="H131">
        <f t="shared" si="128"/>
        <v>0.23</v>
      </c>
      <c r="I131">
        <f t="shared" si="128"/>
        <v>0.23</v>
      </c>
      <c r="J131">
        <f t="shared" si="128"/>
        <v>0.23</v>
      </c>
      <c r="K131">
        <f t="shared" si="128"/>
        <v>0.23</v>
      </c>
      <c r="L131">
        <f t="shared" si="128"/>
        <v>0.23</v>
      </c>
      <c r="M131">
        <f t="shared" si="128"/>
        <v>0.23</v>
      </c>
      <c r="N131">
        <f t="shared" si="128"/>
        <v>0.23</v>
      </c>
      <c r="O131">
        <f t="shared" si="128"/>
        <v>0.23</v>
      </c>
      <c r="P131">
        <f t="shared" si="128"/>
        <v>0.23</v>
      </c>
    </row>
    <row r="132" spans="1:16">
      <c r="A132" s="84" t="s">
        <v>337</v>
      </c>
      <c r="B132" s="85" t="s">
        <v>336</v>
      </c>
      <c r="C132" s="85" t="s">
        <v>83</v>
      </c>
      <c r="D132" s="84" t="s">
        <v>84</v>
      </c>
      <c r="E132" s="84" t="str">
        <f>VLOOKUP(A132,'2a. SI Pop'!$A$5:$E$198,5,FALSE)</f>
        <v>Key</v>
      </c>
      <c r="F132">
        <f>VLOOKUP(A132,Input!$G$5:$H$24,2,FALSE)</f>
        <v>0.64</v>
      </c>
      <c r="G132">
        <f t="shared" ref="G132:P132" si="129">F132</f>
        <v>0.64</v>
      </c>
      <c r="H132">
        <f t="shared" si="129"/>
        <v>0.64</v>
      </c>
      <c r="I132">
        <f t="shared" si="129"/>
        <v>0.64</v>
      </c>
      <c r="J132">
        <f t="shared" si="129"/>
        <v>0.64</v>
      </c>
      <c r="K132">
        <f t="shared" si="129"/>
        <v>0.64</v>
      </c>
      <c r="L132">
        <f t="shared" si="129"/>
        <v>0.64</v>
      </c>
      <c r="M132">
        <f t="shared" si="129"/>
        <v>0.64</v>
      </c>
      <c r="N132">
        <f t="shared" si="129"/>
        <v>0.64</v>
      </c>
      <c r="O132">
        <f t="shared" si="129"/>
        <v>0.64</v>
      </c>
      <c r="P132">
        <f t="shared" si="129"/>
        <v>0.64</v>
      </c>
    </row>
    <row r="133" spans="1:16">
      <c r="A133" s="84" t="s">
        <v>339</v>
      </c>
      <c r="B133" s="85" t="s">
        <v>338</v>
      </c>
      <c r="C133" s="85" t="s">
        <v>99</v>
      </c>
      <c r="D133" s="84" t="e">
        <v>#N/A</v>
      </c>
      <c r="E133" s="84">
        <f>VLOOKUP(A133,'2a. SI Pop'!$A$5:$E$198,5,FALSE)</f>
        <v>1</v>
      </c>
      <c r="F133">
        <f>VLOOKUP(E133,Input!$G$5:$H$24,2,FALSE)</f>
        <v>0.16</v>
      </c>
      <c r="G133">
        <f t="shared" ref="G133:P133" si="130">F133</f>
        <v>0.16</v>
      </c>
      <c r="H133">
        <f t="shared" si="130"/>
        <v>0.16</v>
      </c>
      <c r="I133">
        <f t="shared" si="130"/>
        <v>0.16</v>
      </c>
      <c r="J133">
        <f t="shared" si="130"/>
        <v>0.16</v>
      </c>
      <c r="K133">
        <f t="shared" si="130"/>
        <v>0.16</v>
      </c>
      <c r="L133">
        <f t="shared" si="130"/>
        <v>0.16</v>
      </c>
      <c r="M133">
        <f t="shared" si="130"/>
        <v>0.16</v>
      </c>
      <c r="N133">
        <f t="shared" si="130"/>
        <v>0.16</v>
      </c>
      <c r="O133">
        <f t="shared" si="130"/>
        <v>0.16</v>
      </c>
      <c r="P133">
        <f t="shared" si="130"/>
        <v>0.16</v>
      </c>
    </row>
    <row r="134" spans="1:16">
      <c r="A134" s="84" t="s">
        <v>341</v>
      </c>
      <c r="B134" s="85" t="s">
        <v>340</v>
      </c>
      <c r="C134" s="85" t="s">
        <v>79</v>
      </c>
      <c r="D134" s="84" t="s">
        <v>87</v>
      </c>
      <c r="E134" s="84">
        <f>VLOOKUP(A134,'2a. SI Pop'!$A$5:$E$198,5,FALSE)</f>
        <v>1</v>
      </c>
      <c r="F134">
        <f>VLOOKUP(E134,Input!$G$5:$H$24,2,FALSE)</f>
        <v>0.16</v>
      </c>
      <c r="G134">
        <f t="shared" ref="G134:P134" si="131">F134</f>
        <v>0.16</v>
      </c>
      <c r="H134">
        <f t="shared" si="131"/>
        <v>0.16</v>
      </c>
      <c r="I134">
        <f t="shared" si="131"/>
        <v>0.16</v>
      </c>
      <c r="J134">
        <f t="shared" si="131"/>
        <v>0.16</v>
      </c>
      <c r="K134">
        <f t="shared" si="131"/>
        <v>0.16</v>
      </c>
      <c r="L134">
        <f t="shared" si="131"/>
        <v>0.16</v>
      </c>
      <c r="M134">
        <f t="shared" si="131"/>
        <v>0.16</v>
      </c>
      <c r="N134">
        <f t="shared" si="131"/>
        <v>0.16</v>
      </c>
      <c r="O134">
        <f t="shared" si="131"/>
        <v>0.16</v>
      </c>
      <c r="P134">
        <f t="shared" si="131"/>
        <v>0.16</v>
      </c>
    </row>
    <row r="135" spans="1:16">
      <c r="A135" s="84" t="s">
        <v>343</v>
      </c>
      <c r="B135" s="85" t="s">
        <v>342</v>
      </c>
      <c r="C135" s="85" t="s">
        <v>74</v>
      </c>
      <c r="D135" s="84" t="s">
        <v>87</v>
      </c>
      <c r="E135" s="84">
        <f>VLOOKUP(A135,'2a. SI Pop'!$A$5:$E$198,5,FALSE)</f>
        <v>1</v>
      </c>
      <c r="F135">
        <f>VLOOKUP(E135,Input!$G$5:$H$24,2,FALSE)</f>
        <v>0.16</v>
      </c>
      <c r="G135">
        <f t="shared" ref="G135:P135" si="132">F135</f>
        <v>0.16</v>
      </c>
      <c r="H135">
        <f t="shared" si="132"/>
        <v>0.16</v>
      </c>
      <c r="I135">
        <f t="shared" si="132"/>
        <v>0.16</v>
      </c>
      <c r="J135">
        <f t="shared" si="132"/>
        <v>0.16</v>
      </c>
      <c r="K135">
        <f t="shared" si="132"/>
        <v>0.16</v>
      </c>
      <c r="L135">
        <f t="shared" si="132"/>
        <v>0.16</v>
      </c>
      <c r="M135">
        <f t="shared" si="132"/>
        <v>0.16</v>
      </c>
      <c r="N135">
        <f t="shared" si="132"/>
        <v>0.16</v>
      </c>
      <c r="O135">
        <f t="shared" si="132"/>
        <v>0.16</v>
      </c>
      <c r="P135">
        <f t="shared" si="132"/>
        <v>0.16</v>
      </c>
    </row>
    <row r="136" spans="1:16">
      <c r="A136" s="84" t="s">
        <v>345</v>
      </c>
      <c r="B136" s="85" t="s">
        <v>344</v>
      </c>
      <c r="C136" s="85" t="s">
        <v>74</v>
      </c>
      <c r="D136" s="84" t="s">
        <v>84</v>
      </c>
      <c r="E136" s="84" t="str">
        <f>VLOOKUP(A136,'2a. SI Pop'!$A$5:$E$198,5,FALSE)</f>
        <v>Key</v>
      </c>
      <c r="F136">
        <f>VLOOKUP(A136,Input!$G$5:$H$24,2,FALSE)</f>
        <v>0.21</v>
      </c>
      <c r="G136">
        <f t="shared" ref="G136:P136" si="133">F136</f>
        <v>0.21</v>
      </c>
      <c r="H136">
        <f t="shared" si="133"/>
        <v>0.21</v>
      </c>
      <c r="I136">
        <f t="shared" si="133"/>
        <v>0.21</v>
      </c>
      <c r="J136">
        <f t="shared" si="133"/>
        <v>0.21</v>
      </c>
      <c r="K136">
        <f t="shared" si="133"/>
        <v>0.21</v>
      </c>
      <c r="L136">
        <f t="shared" si="133"/>
        <v>0.21</v>
      </c>
      <c r="M136">
        <f t="shared" si="133"/>
        <v>0.21</v>
      </c>
      <c r="N136">
        <f t="shared" si="133"/>
        <v>0.21</v>
      </c>
      <c r="O136">
        <f t="shared" si="133"/>
        <v>0.21</v>
      </c>
      <c r="P136">
        <f t="shared" si="133"/>
        <v>0.21</v>
      </c>
    </row>
    <row r="137" spans="1:16">
      <c r="A137" s="84" t="s">
        <v>347</v>
      </c>
      <c r="B137" s="85" t="s">
        <v>346</v>
      </c>
      <c r="C137" s="85" t="s">
        <v>99</v>
      </c>
      <c r="D137" s="84" t="s">
        <v>87</v>
      </c>
      <c r="E137" s="84">
        <f>VLOOKUP(A137,'2a. SI Pop'!$A$5:$E$198,5,FALSE)</f>
        <v>1</v>
      </c>
      <c r="F137">
        <f>VLOOKUP(E137,Input!$G$5:$H$24,2,FALSE)</f>
        <v>0.16</v>
      </c>
      <c r="G137">
        <f t="shared" ref="G137:P137" si="134">F137</f>
        <v>0.16</v>
      </c>
      <c r="H137">
        <f t="shared" si="134"/>
        <v>0.16</v>
      </c>
      <c r="I137">
        <f t="shared" si="134"/>
        <v>0.16</v>
      </c>
      <c r="J137">
        <f t="shared" si="134"/>
        <v>0.16</v>
      </c>
      <c r="K137">
        <f t="shared" si="134"/>
        <v>0.16</v>
      </c>
      <c r="L137">
        <f t="shared" si="134"/>
        <v>0.16</v>
      </c>
      <c r="M137">
        <f t="shared" si="134"/>
        <v>0.16</v>
      </c>
      <c r="N137">
        <f t="shared" si="134"/>
        <v>0.16</v>
      </c>
      <c r="O137">
        <f t="shared" si="134"/>
        <v>0.16</v>
      </c>
      <c r="P137">
        <f t="shared" si="134"/>
        <v>0.16</v>
      </c>
    </row>
    <row r="138" spans="1:16">
      <c r="A138" s="84" t="s">
        <v>349</v>
      </c>
      <c r="B138" s="85" t="s">
        <v>348</v>
      </c>
      <c r="C138" s="85" t="s">
        <v>92</v>
      </c>
      <c r="D138" s="84" t="s">
        <v>87</v>
      </c>
      <c r="E138" s="84">
        <f>VLOOKUP(A138,'2a. SI Pop'!$A$5:$E$198,5,FALSE)</f>
        <v>1</v>
      </c>
      <c r="F138">
        <f>VLOOKUP(E138,Input!$G$5:$H$24,2,FALSE)</f>
        <v>0.16</v>
      </c>
      <c r="G138">
        <f t="shared" ref="G138:P138" si="135">F138</f>
        <v>0.16</v>
      </c>
      <c r="H138">
        <f t="shared" si="135"/>
        <v>0.16</v>
      </c>
      <c r="I138">
        <f t="shared" si="135"/>
        <v>0.16</v>
      </c>
      <c r="J138">
        <f t="shared" si="135"/>
        <v>0.16</v>
      </c>
      <c r="K138">
        <f t="shared" si="135"/>
        <v>0.16</v>
      </c>
      <c r="L138">
        <f t="shared" si="135"/>
        <v>0.16</v>
      </c>
      <c r="M138">
        <f t="shared" si="135"/>
        <v>0.16</v>
      </c>
      <c r="N138">
        <f t="shared" si="135"/>
        <v>0.16</v>
      </c>
      <c r="O138">
        <f t="shared" si="135"/>
        <v>0.16</v>
      </c>
      <c r="P138">
        <f t="shared" si="135"/>
        <v>0.16</v>
      </c>
    </row>
    <row r="139" spans="1:16">
      <c r="A139" s="84" t="s">
        <v>351</v>
      </c>
      <c r="B139" s="85" t="s">
        <v>350</v>
      </c>
      <c r="C139" s="85" t="s">
        <v>99</v>
      </c>
      <c r="D139" s="84" t="s">
        <v>84</v>
      </c>
      <c r="E139" s="84">
        <f>VLOOKUP(A139,'2a. SI Pop'!$A$5:$E$198,5,FALSE)</f>
        <v>4</v>
      </c>
      <c r="F139">
        <f>VLOOKUP(E139,Input!$G$5:$H$24,2,FALSE)</f>
        <v>0.21</v>
      </c>
      <c r="G139">
        <f t="shared" ref="G139:P139" si="136">F139</f>
        <v>0.21</v>
      </c>
      <c r="H139">
        <f t="shared" si="136"/>
        <v>0.21</v>
      </c>
      <c r="I139">
        <f t="shared" si="136"/>
        <v>0.21</v>
      </c>
      <c r="J139">
        <f t="shared" si="136"/>
        <v>0.21</v>
      </c>
      <c r="K139">
        <f t="shared" si="136"/>
        <v>0.21</v>
      </c>
      <c r="L139">
        <f t="shared" si="136"/>
        <v>0.21</v>
      </c>
      <c r="M139">
        <f t="shared" si="136"/>
        <v>0.21</v>
      </c>
      <c r="N139">
        <f t="shared" si="136"/>
        <v>0.21</v>
      </c>
      <c r="O139">
        <f t="shared" si="136"/>
        <v>0.21</v>
      </c>
      <c r="P139">
        <f t="shared" si="136"/>
        <v>0.21</v>
      </c>
    </row>
    <row r="140" spans="1:16">
      <c r="A140" s="84" t="s">
        <v>353</v>
      </c>
      <c r="B140" s="85" t="s">
        <v>352</v>
      </c>
      <c r="C140" s="85" t="s">
        <v>92</v>
      </c>
      <c r="D140" s="84" t="s">
        <v>80</v>
      </c>
      <c r="E140" s="84">
        <f>VLOOKUP(A140,'2a. SI Pop'!$A$5:$E$198,5,FALSE)</f>
        <v>1</v>
      </c>
      <c r="F140">
        <f>VLOOKUP(E140,Input!$G$5:$H$24,2,FALSE)</f>
        <v>0.16</v>
      </c>
      <c r="G140">
        <f t="shared" ref="G140:P140" si="137">F140</f>
        <v>0.16</v>
      </c>
      <c r="H140">
        <f t="shared" si="137"/>
        <v>0.16</v>
      </c>
      <c r="I140">
        <f t="shared" si="137"/>
        <v>0.16</v>
      </c>
      <c r="J140">
        <f t="shared" si="137"/>
        <v>0.16</v>
      </c>
      <c r="K140">
        <f t="shared" si="137"/>
        <v>0.16</v>
      </c>
      <c r="L140">
        <f t="shared" si="137"/>
        <v>0.16</v>
      </c>
      <c r="M140">
        <f t="shared" si="137"/>
        <v>0.16</v>
      </c>
      <c r="N140">
        <f t="shared" si="137"/>
        <v>0.16</v>
      </c>
      <c r="O140">
        <f t="shared" si="137"/>
        <v>0.16</v>
      </c>
      <c r="P140">
        <f t="shared" si="137"/>
        <v>0.16</v>
      </c>
    </row>
    <row r="141" spans="1:16">
      <c r="A141" s="84" t="s">
        <v>355</v>
      </c>
      <c r="B141" s="85" t="s">
        <v>354</v>
      </c>
      <c r="C141" s="85" t="s">
        <v>92</v>
      </c>
      <c r="D141" s="84" t="s">
        <v>80</v>
      </c>
      <c r="E141" s="84">
        <f>VLOOKUP(A141,'2a. SI Pop'!$A$5:$E$198,5,FALSE)</f>
        <v>2</v>
      </c>
      <c r="F141">
        <f>VLOOKUP(E141,Input!$G$5:$H$24,2,FALSE)</f>
        <v>0.13</v>
      </c>
      <c r="G141">
        <f t="shared" ref="G141:P141" si="138">F141</f>
        <v>0.13</v>
      </c>
      <c r="H141">
        <f t="shared" si="138"/>
        <v>0.13</v>
      </c>
      <c r="I141">
        <f t="shared" si="138"/>
        <v>0.13</v>
      </c>
      <c r="J141">
        <f t="shared" si="138"/>
        <v>0.13</v>
      </c>
      <c r="K141">
        <f t="shared" si="138"/>
        <v>0.13</v>
      </c>
      <c r="L141">
        <f t="shared" si="138"/>
        <v>0.13</v>
      </c>
      <c r="M141">
        <f t="shared" si="138"/>
        <v>0.13</v>
      </c>
      <c r="N141">
        <f t="shared" si="138"/>
        <v>0.13</v>
      </c>
      <c r="O141">
        <f t="shared" si="138"/>
        <v>0.13</v>
      </c>
      <c r="P141">
        <f t="shared" si="138"/>
        <v>0.13</v>
      </c>
    </row>
    <row r="142" spans="1:16">
      <c r="A142" s="84" t="s">
        <v>357</v>
      </c>
      <c r="B142" s="85" t="s">
        <v>356</v>
      </c>
      <c r="C142" s="85" t="s">
        <v>99</v>
      </c>
      <c r="D142" s="84" t="s">
        <v>84</v>
      </c>
      <c r="E142" s="84" t="str">
        <f>VLOOKUP(A142,'2a. SI Pop'!$A$5:$E$198,5,FALSE)</f>
        <v>Key</v>
      </c>
      <c r="F142">
        <f>VLOOKUP(A142,Input!$G$5:$H$24,2,FALSE)</f>
        <v>0.21</v>
      </c>
      <c r="G142">
        <f t="shared" ref="G142:P142" si="139">F142</f>
        <v>0.21</v>
      </c>
      <c r="H142">
        <f t="shared" si="139"/>
        <v>0.21</v>
      </c>
      <c r="I142">
        <f t="shared" si="139"/>
        <v>0.21</v>
      </c>
      <c r="J142">
        <f t="shared" si="139"/>
        <v>0.21</v>
      </c>
      <c r="K142">
        <f t="shared" si="139"/>
        <v>0.21</v>
      </c>
      <c r="L142">
        <f t="shared" si="139"/>
        <v>0.21</v>
      </c>
      <c r="M142">
        <f t="shared" si="139"/>
        <v>0.21</v>
      </c>
      <c r="N142">
        <f t="shared" si="139"/>
        <v>0.21</v>
      </c>
      <c r="O142">
        <f t="shared" si="139"/>
        <v>0.21</v>
      </c>
      <c r="P142">
        <f t="shared" si="139"/>
        <v>0.21</v>
      </c>
    </row>
    <row r="143" spans="1:16">
      <c r="A143" s="84" t="s">
        <v>359</v>
      </c>
      <c r="B143" s="85" t="s">
        <v>358</v>
      </c>
      <c r="C143" s="85" t="s">
        <v>79</v>
      </c>
      <c r="D143" s="84" t="s">
        <v>87</v>
      </c>
      <c r="E143" s="84">
        <f>VLOOKUP(A143,'2a. SI Pop'!$A$5:$E$198,5,FALSE)</f>
        <v>1</v>
      </c>
      <c r="F143">
        <f>VLOOKUP(E143,Input!$G$5:$H$24,2,FALSE)</f>
        <v>0.16</v>
      </c>
      <c r="G143">
        <f t="shared" ref="G143:P143" si="140">F143</f>
        <v>0.16</v>
      </c>
      <c r="H143">
        <f t="shared" si="140"/>
        <v>0.16</v>
      </c>
      <c r="I143">
        <f t="shared" si="140"/>
        <v>0.16</v>
      </c>
      <c r="J143">
        <f t="shared" si="140"/>
        <v>0.16</v>
      </c>
      <c r="K143">
        <f t="shared" si="140"/>
        <v>0.16</v>
      </c>
      <c r="L143">
        <f t="shared" si="140"/>
        <v>0.16</v>
      </c>
      <c r="M143">
        <f t="shared" si="140"/>
        <v>0.16</v>
      </c>
      <c r="N143">
        <f t="shared" si="140"/>
        <v>0.16</v>
      </c>
      <c r="O143">
        <f t="shared" si="140"/>
        <v>0.16</v>
      </c>
      <c r="P143">
        <f t="shared" si="140"/>
        <v>0.16</v>
      </c>
    </row>
    <row r="144" spans="1:16">
      <c r="A144" s="84" t="s">
        <v>361</v>
      </c>
      <c r="B144" s="85" t="s">
        <v>360</v>
      </c>
      <c r="C144" s="85" t="s">
        <v>79</v>
      </c>
      <c r="D144" s="84" t="s">
        <v>87</v>
      </c>
      <c r="E144" s="84">
        <f>VLOOKUP(A144,'2a. SI Pop'!$A$5:$E$198,5,FALSE)</f>
        <v>1</v>
      </c>
      <c r="F144">
        <f>VLOOKUP(E144,Input!$G$5:$H$24,2,FALSE)</f>
        <v>0.16</v>
      </c>
      <c r="G144">
        <f t="shared" ref="G144:P144" si="141">F144</f>
        <v>0.16</v>
      </c>
      <c r="H144">
        <f t="shared" si="141"/>
        <v>0.16</v>
      </c>
      <c r="I144">
        <f t="shared" si="141"/>
        <v>0.16</v>
      </c>
      <c r="J144">
        <f t="shared" si="141"/>
        <v>0.16</v>
      </c>
      <c r="K144">
        <f t="shared" si="141"/>
        <v>0.16</v>
      </c>
      <c r="L144">
        <f t="shared" si="141"/>
        <v>0.16</v>
      </c>
      <c r="M144">
        <f t="shared" si="141"/>
        <v>0.16</v>
      </c>
      <c r="N144">
        <f t="shared" si="141"/>
        <v>0.16</v>
      </c>
      <c r="O144">
        <f t="shared" si="141"/>
        <v>0.16</v>
      </c>
      <c r="P144">
        <f t="shared" si="141"/>
        <v>0.16</v>
      </c>
    </row>
    <row r="145" spans="1:16">
      <c r="A145" s="84" t="s">
        <v>363</v>
      </c>
      <c r="B145" s="85" t="s">
        <v>362</v>
      </c>
      <c r="C145" s="85" t="s">
        <v>74</v>
      </c>
      <c r="D145" s="84" t="s">
        <v>87</v>
      </c>
      <c r="E145" s="84">
        <f>VLOOKUP(A145,'2a. SI Pop'!$A$5:$E$198,5,FALSE)</f>
        <v>1</v>
      </c>
      <c r="F145">
        <f>VLOOKUP(E145,Input!$G$5:$H$24,2,FALSE)</f>
        <v>0.16</v>
      </c>
      <c r="G145">
        <f t="shared" ref="G145:P145" si="142">F145</f>
        <v>0.16</v>
      </c>
      <c r="H145">
        <f t="shared" si="142"/>
        <v>0.16</v>
      </c>
      <c r="I145">
        <f t="shared" si="142"/>
        <v>0.16</v>
      </c>
      <c r="J145">
        <f t="shared" si="142"/>
        <v>0.16</v>
      </c>
      <c r="K145">
        <f t="shared" si="142"/>
        <v>0.16</v>
      </c>
      <c r="L145">
        <f t="shared" si="142"/>
        <v>0.16</v>
      </c>
      <c r="M145">
        <f t="shared" si="142"/>
        <v>0.16</v>
      </c>
      <c r="N145">
        <f t="shared" si="142"/>
        <v>0.16</v>
      </c>
      <c r="O145">
        <f t="shared" si="142"/>
        <v>0.16</v>
      </c>
      <c r="P145">
        <f t="shared" si="142"/>
        <v>0.16</v>
      </c>
    </row>
    <row r="146" spans="1:16">
      <c r="A146" s="84" t="s">
        <v>365</v>
      </c>
      <c r="B146" s="85" t="s">
        <v>364</v>
      </c>
      <c r="C146" s="85" t="s">
        <v>79</v>
      </c>
      <c r="D146" s="84" t="s">
        <v>87</v>
      </c>
      <c r="E146" s="84">
        <f>VLOOKUP(A146,'2a. SI Pop'!$A$5:$E$198,5,FALSE)</f>
        <v>2</v>
      </c>
      <c r="F146">
        <f>VLOOKUP(E146,Input!$G$5:$H$24,2,FALSE)</f>
        <v>0.13</v>
      </c>
      <c r="G146">
        <f t="shared" ref="G146:P146" si="143">F146</f>
        <v>0.13</v>
      </c>
      <c r="H146">
        <f t="shared" si="143"/>
        <v>0.13</v>
      </c>
      <c r="I146">
        <f t="shared" si="143"/>
        <v>0.13</v>
      </c>
      <c r="J146">
        <f t="shared" si="143"/>
        <v>0.13</v>
      </c>
      <c r="K146">
        <f t="shared" si="143"/>
        <v>0.13</v>
      </c>
      <c r="L146">
        <f t="shared" si="143"/>
        <v>0.13</v>
      </c>
      <c r="M146">
        <f t="shared" si="143"/>
        <v>0.13</v>
      </c>
      <c r="N146">
        <f t="shared" si="143"/>
        <v>0.13</v>
      </c>
      <c r="O146">
        <f t="shared" si="143"/>
        <v>0.13</v>
      </c>
      <c r="P146">
        <f t="shared" si="143"/>
        <v>0.13</v>
      </c>
    </row>
    <row r="147" spans="1:16">
      <c r="A147" s="84" t="s">
        <v>367</v>
      </c>
      <c r="B147" s="85" t="s">
        <v>366</v>
      </c>
      <c r="C147" s="85" t="s">
        <v>79</v>
      </c>
      <c r="D147" s="84" t="s">
        <v>80</v>
      </c>
      <c r="E147" s="84">
        <f>VLOOKUP(A147,'2a. SI Pop'!$A$5:$E$198,5,FALSE)</f>
        <v>2</v>
      </c>
      <c r="F147">
        <f>VLOOKUP(E147,Input!$G$5:$H$24,2,FALSE)</f>
        <v>0.13</v>
      </c>
      <c r="G147">
        <f t="shared" ref="G147:P147" si="144">F147</f>
        <v>0.13</v>
      </c>
      <c r="H147">
        <f t="shared" si="144"/>
        <v>0.13</v>
      </c>
      <c r="I147">
        <f t="shared" si="144"/>
        <v>0.13</v>
      </c>
      <c r="J147">
        <f t="shared" si="144"/>
        <v>0.13</v>
      </c>
      <c r="K147">
        <f t="shared" si="144"/>
        <v>0.13</v>
      </c>
      <c r="L147">
        <f t="shared" si="144"/>
        <v>0.13</v>
      </c>
      <c r="M147">
        <f t="shared" si="144"/>
        <v>0.13</v>
      </c>
      <c r="N147">
        <f t="shared" si="144"/>
        <v>0.13</v>
      </c>
      <c r="O147">
        <f t="shared" si="144"/>
        <v>0.13</v>
      </c>
      <c r="P147">
        <f t="shared" si="144"/>
        <v>0.13</v>
      </c>
    </row>
    <row r="148" spans="1:16">
      <c r="A148" s="84" t="s">
        <v>369</v>
      </c>
      <c r="B148" s="85" t="s">
        <v>368</v>
      </c>
      <c r="C148" s="85" t="s">
        <v>83</v>
      </c>
      <c r="D148" s="84" t="s">
        <v>75</v>
      </c>
      <c r="E148" s="84">
        <f>VLOOKUP(A148,'2a. SI Pop'!$A$5:$E$198,5,FALSE)</f>
        <v>3</v>
      </c>
      <c r="F148">
        <f>VLOOKUP(E148,Input!$G$5:$H$24,2,FALSE)</f>
        <v>0.23</v>
      </c>
      <c r="G148">
        <f t="shared" ref="G148:P148" si="145">F148</f>
        <v>0.23</v>
      </c>
      <c r="H148">
        <f t="shared" si="145"/>
        <v>0.23</v>
      </c>
      <c r="I148">
        <f t="shared" si="145"/>
        <v>0.23</v>
      </c>
      <c r="J148">
        <f t="shared" si="145"/>
        <v>0.23</v>
      </c>
      <c r="K148">
        <f t="shared" si="145"/>
        <v>0.23</v>
      </c>
      <c r="L148">
        <f t="shared" si="145"/>
        <v>0.23</v>
      </c>
      <c r="M148">
        <f t="shared" si="145"/>
        <v>0.23</v>
      </c>
      <c r="N148">
        <f t="shared" si="145"/>
        <v>0.23</v>
      </c>
      <c r="O148">
        <f t="shared" si="145"/>
        <v>0.23</v>
      </c>
      <c r="P148">
        <f t="shared" si="145"/>
        <v>0.23</v>
      </c>
    </row>
    <row r="149" spans="1:16">
      <c r="A149" s="84" t="s">
        <v>371</v>
      </c>
      <c r="B149" s="85" t="s">
        <v>370</v>
      </c>
      <c r="C149" s="85" t="s">
        <v>92</v>
      </c>
      <c r="D149" s="84" t="s">
        <v>87</v>
      </c>
      <c r="E149" s="84">
        <f>VLOOKUP(A149,'2a. SI Pop'!$A$5:$E$198,5,FALSE)</f>
        <v>1</v>
      </c>
      <c r="F149">
        <f>VLOOKUP(E149,Input!$G$5:$H$24,2,FALSE)</f>
        <v>0.16</v>
      </c>
      <c r="G149">
        <f t="shared" ref="G149:P149" si="146">F149</f>
        <v>0.16</v>
      </c>
      <c r="H149">
        <f t="shared" si="146"/>
        <v>0.16</v>
      </c>
      <c r="I149">
        <f t="shared" si="146"/>
        <v>0.16</v>
      </c>
      <c r="J149">
        <f t="shared" si="146"/>
        <v>0.16</v>
      </c>
      <c r="K149">
        <f t="shared" si="146"/>
        <v>0.16</v>
      </c>
      <c r="L149">
        <f t="shared" si="146"/>
        <v>0.16</v>
      </c>
      <c r="M149">
        <f t="shared" si="146"/>
        <v>0.16</v>
      </c>
      <c r="N149">
        <f t="shared" si="146"/>
        <v>0.16</v>
      </c>
      <c r="O149">
        <f t="shared" si="146"/>
        <v>0.16</v>
      </c>
      <c r="P149">
        <f t="shared" si="146"/>
        <v>0.16</v>
      </c>
    </row>
    <row r="150" spans="1:16">
      <c r="A150" s="84" t="s">
        <v>373</v>
      </c>
      <c r="B150" s="85" t="s">
        <v>372</v>
      </c>
      <c r="C150" s="85" t="s">
        <v>92</v>
      </c>
      <c r="D150" s="84" t="s">
        <v>80</v>
      </c>
      <c r="E150" s="84">
        <f>VLOOKUP(A150,'2a. SI Pop'!$A$5:$E$198,5,FALSE)</f>
        <v>1</v>
      </c>
      <c r="F150">
        <f>VLOOKUP(E150,Input!$G$5:$H$24,2,FALSE)</f>
        <v>0.16</v>
      </c>
      <c r="G150">
        <f t="shared" ref="G150:P150" si="147">F150</f>
        <v>0.16</v>
      </c>
      <c r="H150">
        <f t="shared" si="147"/>
        <v>0.16</v>
      </c>
      <c r="I150">
        <f t="shared" si="147"/>
        <v>0.16</v>
      </c>
      <c r="J150">
        <f t="shared" si="147"/>
        <v>0.16</v>
      </c>
      <c r="K150">
        <f t="shared" si="147"/>
        <v>0.16</v>
      </c>
      <c r="L150">
        <f t="shared" si="147"/>
        <v>0.16</v>
      </c>
      <c r="M150">
        <f t="shared" si="147"/>
        <v>0.16</v>
      </c>
      <c r="N150">
        <f t="shared" si="147"/>
        <v>0.16</v>
      </c>
      <c r="O150">
        <f t="shared" si="147"/>
        <v>0.16</v>
      </c>
      <c r="P150">
        <f t="shared" si="147"/>
        <v>0.16</v>
      </c>
    </row>
    <row r="151" spans="1:16">
      <c r="A151" s="84" t="s">
        <v>375</v>
      </c>
      <c r="B151" s="85" t="s">
        <v>374</v>
      </c>
      <c r="C151" s="85" t="s">
        <v>92</v>
      </c>
      <c r="D151" s="84" t="s">
        <v>80</v>
      </c>
      <c r="E151" s="84">
        <f>VLOOKUP(A151,'2a. SI Pop'!$A$5:$E$198,5,FALSE)</f>
        <v>1</v>
      </c>
      <c r="F151">
        <f>VLOOKUP(E151,Input!$G$5:$H$24,2,FALSE)</f>
        <v>0.16</v>
      </c>
      <c r="G151">
        <f t="shared" ref="G151:P151" si="148">F151</f>
        <v>0.16</v>
      </c>
      <c r="H151">
        <f t="shared" si="148"/>
        <v>0.16</v>
      </c>
      <c r="I151">
        <f t="shared" si="148"/>
        <v>0.16</v>
      </c>
      <c r="J151">
        <f t="shared" si="148"/>
        <v>0.16</v>
      </c>
      <c r="K151">
        <f t="shared" si="148"/>
        <v>0.16</v>
      </c>
      <c r="L151">
        <f t="shared" si="148"/>
        <v>0.16</v>
      </c>
      <c r="M151">
        <f t="shared" si="148"/>
        <v>0.16</v>
      </c>
      <c r="N151">
        <f t="shared" si="148"/>
        <v>0.16</v>
      </c>
      <c r="O151">
        <f t="shared" si="148"/>
        <v>0.16</v>
      </c>
      <c r="P151">
        <f t="shared" si="148"/>
        <v>0.16</v>
      </c>
    </row>
    <row r="152" spans="1:16">
      <c r="A152" s="84" t="s">
        <v>377</v>
      </c>
      <c r="B152" s="85" t="s">
        <v>376</v>
      </c>
      <c r="C152" s="85" t="s">
        <v>99</v>
      </c>
      <c r="D152" s="84" t="s">
        <v>80</v>
      </c>
      <c r="E152" s="84">
        <f>VLOOKUP(A152,'2a. SI Pop'!$A$5:$E$198,5,FALSE)</f>
        <v>2</v>
      </c>
      <c r="F152">
        <f>VLOOKUP(E152,Input!$G$5:$H$24,2,FALSE)</f>
        <v>0.13</v>
      </c>
      <c r="G152">
        <f t="shared" ref="G152:P152" si="149">F152</f>
        <v>0.13</v>
      </c>
      <c r="H152">
        <f t="shared" si="149"/>
        <v>0.13</v>
      </c>
      <c r="I152">
        <f t="shared" si="149"/>
        <v>0.13</v>
      </c>
      <c r="J152">
        <f t="shared" si="149"/>
        <v>0.13</v>
      </c>
      <c r="K152">
        <f t="shared" si="149"/>
        <v>0.13</v>
      </c>
      <c r="L152">
        <f t="shared" si="149"/>
        <v>0.13</v>
      </c>
      <c r="M152">
        <f t="shared" si="149"/>
        <v>0.13</v>
      </c>
      <c r="N152">
        <f t="shared" si="149"/>
        <v>0.13</v>
      </c>
      <c r="O152">
        <f t="shared" si="149"/>
        <v>0.13</v>
      </c>
      <c r="P152">
        <f t="shared" si="149"/>
        <v>0.13</v>
      </c>
    </row>
    <row r="153" spans="1:16">
      <c r="A153" s="84" t="s">
        <v>379</v>
      </c>
      <c r="B153" s="85" t="s">
        <v>378</v>
      </c>
      <c r="C153" s="85" t="s">
        <v>79</v>
      </c>
      <c r="D153" s="84" t="s">
        <v>87</v>
      </c>
      <c r="E153" s="84">
        <f>VLOOKUP(A153,'2a. SI Pop'!$A$5:$E$198,5,FALSE)</f>
        <v>1</v>
      </c>
      <c r="F153">
        <f>VLOOKUP(E153,Input!$G$5:$H$24,2,FALSE)</f>
        <v>0.16</v>
      </c>
      <c r="G153">
        <f t="shared" ref="G153:P153" si="150">F153</f>
        <v>0.16</v>
      </c>
      <c r="H153">
        <f t="shared" si="150"/>
        <v>0.16</v>
      </c>
      <c r="I153">
        <f t="shared" si="150"/>
        <v>0.16</v>
      </c>
      <c r="J153">
        <f t="shared" si="150"/>
        <v>0.16</v>
      </c>
      <c r="K153">
        <f t="shared" si="150"/>
        <v>0.16</v>
      </c>
      <c r="L153">
        <f t="shared" si="150"/>
        <v>0.16</v>
      </c>
      <c r="M153">
        <f t="shared" si="150"/>
        <v>0.16</v>
      </c>
      <c r="N153">
        <f t="shared" si="150"/>
        <v>0.16</v>
      </c>
      <c r="O153">
        <f t="shared" si="150"/>
        <v>0.16</v>
      </c>
      <c r="P153">
        <f t="shared" si="150"/>
        <v>0.16</v>
      </c>
    </row>
    <row r="154" spans="1:16">
      <c r="A154" s="84" t="s">
        <v>381</v>
      </c>
      <c r="B154" s="85" t="s">
        <v>380</v>
      </c>
      <c r="C154" s="85" t="s">
        <v>83</v>
      </c>
      <c r="D154" s="84" t="s">
        <v>84</v>
      </c>
      <c r="E154" s="84">
        <f>VLOOKUP(A154,'2a. SI Pop'!$A$5:$E$198,5,FALSE)</f>
        <v>3</v>
      </c>
      <c r="F154">
        <f>VLOOKUP(E154,Input!$G$5:$H$24,2,FALSE)</f>
        <v>0.23</v>
      </c>
      <c r="G154">
        <f t="shared" ref="G154:P154" si="151">F154</f>
        <v>0.23</v>
      </c>
      <c r="H154">
        <f t="shared" si="151"/>
        <v>0.23</v>
      </c>
      <c r="I154">
        <f t="shared" si="151"/>
        <v>0.23</v>
      </c>
      <c r="J154">
        <f t="shared" si="151"/>
        <v>0.23</v>
      </c>
      <c r="K154">
        <f t="shared" si="151"/>
        <v>0.23</v>
      </c>
      <c r="L154">
        <f t="shared" si="151"/>
        <v>0.23</v>
      </c>
      <c r="M154">
        <f t="shared" si="151"/>
        <v>0.23</v>
      </c>
      <c r="N154">
        <f t="shared" si="151"/>
        <v>0.23</v>
      </c>
      <c r="O154">
        <f t="shared" si="151"/>
        <v>0.23</v>
      </c>
      <c r="P154">
        <f t="shared" si="151"/>
        <v>0.23</v>
      </c>
    </row>
    <row r="155" spans="1:16">
      <c r="A155" s="84" t="s">
        <v>383</v>
      </c>
      <c r="B155" s="85" t="s">
        <v>382</v>
      </c>
      <c r="C155" s="85" t="s">
        <v>74</v>
      </c>
      <c r="D155" s="84" t="s">
        <v>87</v>
      </c>
      <c r="E155" s="84">
        <f>VLOOKUP(A155,'2a. SI Pop'!$A$5:$E$198,5,FALSE)</f>
        <v>1</v>
      </c>
      <c r="F155">
        <f>VLOOKUP(E155,Input!$G$5:$H$24,2,FALSE)</f>
        <v>0.16</v>
      </c>
      <c r="G155">
        <f t="shared" ref="G155:P155" si="152">F155</f>
        <v>0.16</v>
      </c>
      <c r="H155">
        <f t="shared" si="152"/>
        <v>0.16</v>
      </c>
      <c r="I155">
        <f t="shared" si="152"/>
        <v>0.16</v>
      </c>
      <c r="J155">
        <f t="shared" si="152"/>
        <v>0.16</v>
      </c>
      <c r="K155">
        <f t="shared" si="152"/>
        <v>0.16</v>
      </c>
      <c r="L155">
        <f t="shared" si="152"/>
        <v>0.16</v>
      </c>
      <c r="M155">
        <f t="shared" si="152"/>
        <v>0.16</v>
      </c>
      <c r="N155">
        <f t="shared" si="152"/>
        <v>0.16</v>
      </c>
      <c r="O155">
        <f t="shared" si="152"/>
        <v>0.16</v>
      </c>
      <c r="P155">
        <f t="shared" si="152"/>
        <v>0.16</v>
      </c>
    </row>
    <row r="156" spans="1:16">
      <c r="A156" s="84" t="s">
        <v>385</v>
      </c>
      <c r="B156" s="85" t="s">
        <v>384</v>
      </c>
      <c r="C156" s="85" t="s">
        <v>83</v>
      </c>
      <c r="D156" s="84" t="s">
        <v>84</v>
      </c>
      <c r="E156" s="84">
        <f>VLOOKUP(A156,'2a. SI Pop'!$A$5:$E$198,5,FALSE)</f>
        <v>3</v>
      </c>
      <c r="F156">
        <f>VLOOKUP(E156,Input!$G$5:$H$24,2,FALSE)</f>
        <v>0.23</v>
      </c>
      <c r="G156">
        <f t="shared" ref="G156:P156" si="153">F156</f>
        <v>0.23</v>
      </c>
      <c r="H156">
        <f t="shared" si="153"/>
        <v>0.23</v>
      </c>
      <c r="I156">
        <f t="shared" si="153"/>
        <v>0.23</v>
      </c>
      <c r="J156">
        <f t="shared" si="153"/>
        <v>0.23</v>
      </c>
      <c r="K156">
        <f t="shared" si="153"/>
        <v>0.23</v>
      </c>
      <c r="L156">
        <f t="shared" si="153"/>
        <v>0.23</v>
      </c>
      <c r="M156">
        <f t="shared" si="153"/>
        <v>0.23</v>
      </c>
      <c r="N156">
        <f t="shared" si="153"/>
        <v>0.23</v>
      </c>
      <c r="O156">
        <f t="shared" si="153"/>
        <v>0.23</v>
      </c>
      <c r="P156">
        <f t="shared" si="153"/>
        <v>0.23</v>
      </c>
    </row>
    <row r="157" spans="1:16">
      <c r="A157" s="84" t="s">
        <v>387</v>
      </c>
      <c r="B157" s="85" t="s">
        <v>386</v>
      </c>
      <c r="C157" s="85" t="s">
        <v>79</v>
      </c>
      <c r="D157" s="84" t="s">
        <v>80</v>
      </c>
      <c r="E157" s="84">
        <f>VLOOKUP(A157,'2a. SI Pop'!$A$5:$E$198,5,FALSE)</f>
        <v>1</v>
      </c>
      <c r="F157">
        <f>VLOOKUP(E157,Input!$G$5:$H$24,2,FALSE)</f>
        <v>0.16</v>
      </c>
      <c r="G157">
        <f t="shared" ref="G157:P157" si="154">F157</f>
        <v>0.16</v>
      </c>
      <c r="H157">
        <f t="shared" si="154"/>
        <v>0.16</v>
      </c>
      <c r="I157">
        <f t="shared" si="154"/>
        <v>0.16</v>
      </c>
      <c r="J157">
        <f t="shared" si="154"/>
        <v>0.16</v>
      </c>
      <c r="K157">
        <f t="shared" si="154"/>
        <v>0.16</v>
      </c>
      <c r="L157">
        <f t="shared" si="154"/>
        <v>0.16</v>
      </c>
      <c r="M157">
        <f t="shared" si="154"/>
        <v>0.16</v>
      </c>
      <c r="N157">
        <f t="shared" si="154"/>
        <v>0.16</v>
      </c>
      <c r="O157">
        <f t="shared" si="154"/>
        <v>0.16</v>
      </c>
      <c r="P157">
        <f t="shared" si="154"/>
        <v>0.16</v>
      </c>
    </row>
    <row r="158" spans="1:16">
      <c r="A158" s="84" t="s">
        <v>389</v>
      </c>
      <c r="B158" s="85" t="s">
        <v>388</v>
      </c>
      <c r="C158" s="85" t="s">
        <v>83</v>
      </c>
      <c r="D158" s="84" t="s">
        <v>87</v>
      </c>
      <c r="E158" s="84">
        <f>VLOOKUP(A158,'2a. SI Pop'!$A$5:$E$198,5,FALSE)</f>
        <v>1</v>
      </c>
      <c r="F158">
        <f>VLOOKUP(E158,Input!$G$5:$H$24,2,FALSE)</f>
        <v>0.16</v>
      </c>
      <c r="G158">
        <f t="shared" ref="G158:P158" si="155">F158</f>
        <v>0.16</v>
      </c>
      <c r="H158">
        <f t="shared" si="155"/>
        <v>0.16</v>
      </c>
      <c r="I158">
        <f t="shared" si="155"/>
        <v>0.16</v>
      </c>
      <c r="J158">
        <f t="shared" si="155"/>
        <v>0.16</v>
      </c>
      <c r="K158">
        <f t="shared" si="155"/>
        <v>0.16</v>
      </c>
      <c r="L158">
        <f t="shared" si="155"/>
        <v>0.16</v>
      </c>
      <c r="M158">
        <f t="shared" si="155"/>
        <v>0.16</v>
      </c>
      <c r="N158">
        <f t="shared" si="155"/>
        <v>0.16</v>
      </c>
      <c r="O158">
        <f t="shared" si="155"/>
        <v>0.16</v>
      </c>
      <c r="P158">
        <f t="shared" si="155"/>
        <v>0.16</v>
      </c>
    </row>
    <row r="159" spans="1:16">
      <c r="A159" s="84" t="s">
        <v>391</v>
      </c>
      <c r="B159" s="85" t="s">
        <v>390</v>
      </c>
      <c r="C159" s="85" t="s">
        <v>83</v>
      </c>
      <c r="D159" s="84" t="s">
        <v>75</v>
      </c>
      <c r="E159" s="84">
        <f>VLOOKUP(A159,'2a. SI Pop'!$A$5:$E$198,5,FALSE)</f>
        <v>3</v>
      </c>
      <c r="F159">
        <f>VLOOKUP(E159,Input!$G$5:$H$24,2,FALSE)</f>
        <v>0.23</v>
      </c>
      <c r="G159">
        <f t="shared" ref="G159:P159" si="156">F159</f>
        <v>0.23</v>
      </c>
      <c r="H159">
        <f t="shared" si="156"/>
        <v>0.23</v>
      </c>
      <c r="I159">
        <f t="shared" si="156"/>
        <v>0.23</v>
      </c>
      <c r="J159">
        <f t="shared" si="156"/>
        <v>0.23</v>
      </c>
      <c r="K159">
        <f t="shared" si="156"/>
        <v>0.23</v>
      </c>
      <c r="L159">
        <f t="shared" si="156"/>
        <v>0.23</v>
      </c>
      <c r="M159">
        <f t="shared" si="156"/>
        <v>0.23</v>
      </c>
      <c r="N159">
        <f t="shared" si="156"/>
        <v>0.23</v>
      </c>
      <c r="O159">
        <f t="shared" si="156"/>
        <v>0.23</v>
      </c>
      <c r="P159">
        <f t="shared" si="156"/>
        <v>0.23</v>
      </c>
    </row>
    <row r="160" spans="1:16">
      <c r="A160" s="84" t="s">
        <v>393</v>
      </c>
      <c r="B160" s="85" t="s">
        <v>392</v>
      </c>
      <c r="C160" s="85" t="s">
        <v>99</v>
      </c>
      <c r="D160" s="84" t="s">
        <v>87</v>
      </c>
      <c r="E160" s="84">
        <f>VLOOKUP(A160,'2a. SI Pop'!$A$5:$E$198,5,FALSE)</f>
        <v>1</v>
      </c>
      <c r="F160">
        <f>VLOOKUP(E160,Input!$G$5:$H$24,2,FALSE)</f>
        <v>0.16</v>
      </c>
      <c r="G160">
        <f t="shared" ref="G160:P160" si="157">F160</f>
        <v>0.16</v>
      </c>
      <c r="H160">
        <f t="shared" si="157"/>
        <v>0.16</v>
      </c>
      <c r="I160">
        <f t="shared" si="157"/>
        <v>0.16</v>
      </c>
      <c r="J160">
        <f t="shared" si="157"/>
        <v>0.16</v>
      </c>
      <c r="K160">
        <f t="shared" si="157"/>
        <v>0.16</v>
      </c>
      <c r="L160">
        <f t="shared" si="157"/>
        <v>0.16</v>
      </c>
      <c r="M160">
        <f t="shared" si="157"/>
        <v>0.16</v>
      </c>
      <c r="N160">
        <f t="shared" si="157"/>
        <v>0.16</v>
      </c>
      <c r="O160">
        <f t="shared" si="157"/>
        <v>0.16</v>
      </c>
      <c r="P160">
        <f t="shared" si="157"/>
        <v>0.16</v>
      </c>
    </row>
    <row r="161" spans="1:16">
      <c r="A161" s="84" t="s">
        <v>395</v>
      </c>
      <c r="B161" s="85" t="s">
        <v>394</v>
      </c>
      <c r="C161" s="85" t="s">
        <v>79</v>
      </c>
      <c r="D161" s="84" t="s">
        <v>87</v>
      </c>
      <c r="E161" s="84">
        <f>VLOOKUP(A161,'2a. SI Pop'!$A$5:$E$198,5,FALSE)</f>
        <v>1</v>
      </c>
      <c r="F161">
        <f>VLOOKUP(E161,Input!$G$5:$H$24,2,FALSE)</f>
        <v>0.16</v>
      </c>
      <c r="G161">
        <f t="shared" ref="G161:P161" si="158">F161</f>
        <v>0.16</v>
      </c>
      <c r="H161">
        <f t="shared" si="158"/>
        <v>0.16</v>
      </c>
      <c r="I161">
        <f t="shared" si="158"/>
        <v>0.16</v>
      </c>
      <c r="J161">
        <f t="shared" si="158"/>
        <v>0.16</v>
      </c>
      <c r="K161">
        <f t="shared" si="158"/>
        <v>0.16</v>
      </c>
      <c r="L161">
        <f t="shared" si="158"/>
        <v>0.16</v>
      </c>
      <c r="M161">
        <f t="shared" si="158"/>
        <v>0.16</v>
      </c>
      <c r="N161">
        <f t="shared" si="158"/>
        <v>0.16</v>
      </c>
      <c r="O161">
        <f t="shared" si="158"/>
        <v>0.16</v>
      </c>
      <c r="P161">
        <f t="shared" si="158"/>
        <v>0.16</v>
      </c>
    </row>
    <row r="162" spans="1:16">
      <c r="A162" s="84" t="s">
        <v>397</v>
      </c>
      <c r="B162" s="85" t="s">
        <v>396</v>
      </c>
      <c r="C162" s="85" t="s">
        <v>79</v>
      </c>
      <c r="D162" s="84" t="s">
        <v>87</v>
      </c>
      <c r="E162" s="84">
        <f>VLOOKUP(A162,'2a. SI Pop'!$A$5:$E$198,5,FALSE)</f>
        <v>1</v>
      </c>
      <c r="F162">
        <f>VLOOKUP(E162,Input!$G$5:$H$24,2,FALSE)</f>
        <v>0.16</v>
      </c>
      <c r="G162">
        <f t="shared" ref="G162:P162" si="159">F162</f>
        <v>0.16</v>
      </c>
      <c r="H162">
        <f t="shared" si="159"/>
        <v>0.16</v>
      </c>
      <c r="I162">
        <f t="shared" si="159"/>
        <v>0.16</v>
      </c>
      <c r="J162">
        <f t="shared" si="159"/>
        <v>0.16</v>
      </c>
      <c r="K162">
        <f t="shared" si="159"/>
        <v>0.16</v>
      </c>
      <c r="L162">
        <f t="shared" si="159"/>
        <v>0.16</v>
      </c>
      <c r="M162">
        <f t="shared" si="159"/>
        <v>0.16</v>
      </c>
      <c r="N162">
        <f t="shared" si="159"/>
        <v>0.16</v>
      </c>
      <c r="O162">
        <f t="shared" si="159"/>
        <v>0.16</v>
      </c>
      <c r="P162">
        <f t="shared" si="159"/>
        <v>0.16</v>
      </c>
    </row>
    <row r="163" spans="1:16">
      <c r="A163" s="84" t="s">
        <v>399</v>
      </c>
      <c r="B163" s="85" t="s">
        <v>398</v>
      </c>
      <c r="C163" s="85" t="s">
        <v>74</v>
      </c>
      <c r="D163" s="84" t="s">
        <v>75</v>
      </c>
      <c r="E163" s="84">
        <f>VLOOKUP(A163,'2a. SI Pop'!$A$5:$E$198,5,FALSE)</f>
        <v>3</v>
      </c>
      <c r="F163">
        <f>VLOOKUP(E163,Input!$G$5:$H$24,2,FALSE)</f>
        <v>0.23</v>
      </c>
      <c r="G163">
        <f t="shared" ref="G163:P163" si="160">F163</f>
        <v>0.23</v>
      </c>
      <c r="H163">
        <f t="shared" si="160"/>
        <v>0.23</v>
      </c>
      <c r="I163">
        <f t="shared" si="160"/>
        <v>0.23</v>
      </c>
      <c r="J163">
        <f t="shared" si="160"/>
        <v>0.23</v>
      </c>
      <c r="K163">
        <f t="shared" si="160"/>
        <v>0.23</v>
      </c>
      <c r="L163">
        <f t="shared" si="160"/>
        <v>0.23</v>
      </c>
      <c r="M163">
        <f t="shared" si="160"/>
        <v>0.23</v>
      </c>
      <c r="N163">
        <f t="shared" si="160"/>
        <v>0.23</v>
      </c>
      <c r="O163">
        <f t="shared" si="160"/>
        <v>0.23</v>
      </c>
      <c r="P163">
        <f t="shared" si="160"/>
        <v>0.23</v>
      </c>
    </row>
    <row r="164" spans="1:16">
      <c r="A164" s="84" t="s">
        <v>401</v>
      </c>
      <c r="B164" s="85" t="s">
        <v>400</v>
      </c>
      <c r="C164" s="85" t="s">
        <v>99</v>
      </c>
      <c r="D164" s="84" t="s">
        <v>84</v>
      </c>
      <c r="E164" s="84">
        <f>VLOOKUP(A164,'2a. SI Pop'!$A$5:$E$198,5,FALSE)</f>
        <v>4</v>
      </c>
      <c r="F164">
        <f>VLOOKUP(E164,Input!$G$5:$H$24,2,FALSE)</f>
        <v>0.21</v>
      </c>
      <c r="G164">
        <f t="shared" ref="G164:P164" si="161">F164</f>
        <v>0.21</v>
      </c>
      <c r="H164">
        <f t="shared" si="161"/>
        <v>0.21</v>
      </c>
      <c r="I164">
        <f t="shared" si="161"/>
        <v>0.21</v>
      </c>
      <c r="J164">
        <f t="shared" si="161"/>
        <v>0.21</v>
      </c>
      <c r="K164">
        <f t="shared" si="161"/>
        <v>0.21</v>
      </c>
      <c r="L164">
        <f t="shared" si="161"/>
        <v>0.21</v>
      </c>
      <c r="M164">
        <f t="shared" si="161"/>
        <v>0.21</v>
      </c>
      <c r="N164">
        <f t="shared" si="161"/>
        <v>0.21</v>
      </c>
      <c r="O164">
        <f t="shared" si="161"/>
        <v>0.21</v>
      </c>
      <c r="P164">
        <f t="shared" si="161"/>
        <v>0.21</v>
      </c>
    </row>
    <row r="165" spans="1:16">
      <c r="A165" s="84" t="s">
        <v>403</v>
      </c>
      <c r="B165" s="85" t="s">
        <v>402</v>
      </c>
      <c r="C165" s="85" t="s">
        <v>83</v>
      </c>
      <c r="D165" s="84" t="s">
        <v>80</v>
      </c>
      <c r="E165" s="84" t="str">
        <f>VLOOKUP(A165,'2a. SI Pop'!$A$5:$E$198,5,FALSE)</f>
        <v>Key</v>
      </c>
      <c r="F165">
        <f>VLOOKUP(A165,Input!$G$5:$H$24,2,FALSE)</f>
        <v>0.23</v>
      </c>
      <c r="G165">
        <f t="shared" ref="G165:P165" si="162">F165</f>
        <v>0.23</v>
      </c>
      <c r="H165">
        <f t="shared" si="162"/>
        <v>0.23</v>
      </c>
      <c r="I165">
        <f t="shared" si="162"/>
        <v>0.23</v>
      </c>
      <c r="J165">
        <f t="shared" si="162"/>
        <v>0.23</v>
      </c>
      <c r="K165">
        <f t="shared" si="162"/>
        <v>0.23</v>
      </c>
      <c r="L165">
        <f t="shared" si="162"/>
        <v>0.23</v>
      </c>
      <c r="M165">
        <f t="shared" si="162"/>
        <v>0.23</v>
      </c>
      <c r="N165">
        <f t="shared" si="162"/>
        <v>0.23</v>
      </c>
      <c r="O165">
        <f t="shared" si="162"/>
        <v>0.23</v>
      </c>
      <c r="P165">
        <f t="shared" si="162"/>
        <v>0.23</v>
      </c>
    </row>
    <row r="166" spans="1:16">
      <c r="A166" s="84" t="s">
        <v>405</v>
      </c>
      <c r="B166" s="85" t="s">
        <v>404</v>
      </c>
      <c r="C166" s="85" t="s">
        <v>79</v>
      </c>
      <c r="D166" s="84" t="s">
        <v>87</v>
      </c>
      <c r="E166" s="84">
        <f>VLOOKUP(A166,'2a. SI Pop'!$A$5:$E$198,5,FALSE)</f>
        <v>1</v>
      </c>
      <c r="F166">
        <f>VLOOKUP(E166,Input!$G$5:$H$24,2,FALSE)</f>
        <v>0.16</v>
      </c>
      <c r="G166">
        <f t="shared" ref="G166:P166" si="163">F166</f>
        <v>0.16</v>
      </c>
      <c r="H166">
        <f t="shared" si="163"/>
        <v>0.16</v>
      </c>
      <c r="I166">
        <f t="shared" si="163"/>
        <v>0.16</v>
      </c>
      <c r="J166">
        <f t="shared" si="163"/>
        <v>0.16</v>
      </c>
      <c r="K166">
        <f t="shared" si="163"/>
        <v>0.16</v>
      </c>
      <c r="L166">
        <f t="shared" si="163"/>
        <v>0.16</v>
      </c>
      <c r="M166">
        <f t="shared" si="163"/>
        <v>0.16</v>
      </c>
      <c r="N166">
        <f t="shared" si="163"/>
        <v>0.16</v>
      </c>
      <c r="O166">
        <f t="shared" si="163"/>
        <v>0.16</v>
      </c>
      <c r="P166">
        <f t="shared" si="163"/>
        <v>0.16</v>
      </c>
    </row>
    <row r="167" spans="1:16">
      <c r="A167" s="84" t="s">
        <v>407</v>
      </c>
      <c r="B167" s="85" t="s">
        <v>406</v>
      </c>
      <c r="C167" s="85" t="s">
        <v>110</v>
      </c>
      <c r="D167" s="84" t="s">
        <v>84</v>
      </c>
      <c r="E167" s="84">
        <f>VLOOKUP(A167,'2a. SI Pop'!$A$5:$E$198,5,FALSE)</f>
        <v>2</v>
      </c>
      <c r="F167">
        <f>VLOOKUP(E167,Input!$G$5:$H$24,2,FALSE)</f>
        <v>0.13</v>
      </c>
      <c r="G167">
        <f t="shared" ref="G167:P167" si="164">F167</f>
        <v>0.13</v>
      </c>
      <c r="H167">
        <f t="shared" si="164"/>
        <v>0.13</v>
      </c>
      <c r="I167">
        <f t="shared" si="164"/>
        <v>0.13</v>
      </c>
      <c r="J167">
        <f t="shared" si="164"/>
        <v>0.13</v>
      </c>
      <c r="K167">
        <f t="shared" si="164"/>
        <v>0.13</v>
      </c>
      <c r="L167">
        <f t="shared" si="164"/>
        <v>0.13</v>
      </c>
      <c r="M167">
        <f t="shared" si="164"/>
        <v>0.13</v>
      </c>
      <c r="N167">
        <f t="shared" si="164"/>
        <v>0.13</v>
      </c>
      <c r="O167">
        <f t="shared" si="164"/>
        <v>0.13</v>
      </c>
      <c r="P167">
        <f t="shared" si="164"/>
        <v>0.13</v>
      </c>
    </row>
    <row r="168" spans="1:16">
      <c r="A168" s="84" t="s">
        <v>409</v>
      </c>
      <c r="B168" s="85" t="s">
        <v>408</v>
      </c>
      <c r="C168" s="85" t="s">
        <v>74</v>
      </c>
      <c r="D168" s="84" t="s">
        <v>75</v>
      </c>
      <c r="E168" s="84">
        <f>VLOOKUP(A168,'2a. SI Pop'!$A$5:$E$198,5,FALSE)</f>
        <v>3</v>
      </c>
      <c r="F168">
        <f>VLOOKUP(E168,Input!$G$5:$H$24,2,FALSE)</f>
        <v>0.23</v>
      </c>
      <c r="G168">
        <f t="shared" ref="G168:P168" si="165">F168</f>
        <v>0.23</v>
      </c>
      <c r="H168">
        <f t="shared" si="165"/>
        <v>0.23</v>
      </c>
      <c r="I168">
        <f t="shared" si="165"/>
        <v>0.23</v>
      </c>
      <c r="J168">
        <f t="shared" si="165"/>
        <v>0.23</v>
      </c>
      <c r="K168">
        <f t="shared" si="165"/>
        <v>0.23</v>
      </c>
      <c r="L168">
        <f t="shared" si="165"/>
        <v>0.23</v>
      </c>
      <c r="M168">
        <f t="shared" si="165"/>
        <v>0.23</v>
      </c>
      <c r="N168">
        <f t="shared" si="165"/>
        <v>0.23</v>
      </c>
      <c r="O168">
        <f t="shared" si="165"/>
        <v>0.23</v>
      </c>
      <c r="P168">
        <f t="shared" si="165"/>
        <v>0.23</v>
      </c>
    </row>
    <row r="169" spans="1:16">
      <c r="A169" s="84" t="s">
        <v>411</v>
      </c>
      <c r="B169" s="85" t="s">
        <v>410</v>
      </c>
      <c r="C169" s="85" t="s">
        <v>74</v>
      </c>
      <c r="D169" s="84" t="s">
        <v>75</v>
      </c>
      <c r="E169" s="84">
        <f>VLOOKUP(A169,'2a. SI Pop'!$A$5:$E$198,5,FALSE)</f>
        <v>3</v>
      </c>
      <c r="F169">
        <f>VLOOKUP(E169,Input!$G$5:$H$24,2,FALSE)</f>
        <v>0.23</v>
      </c>
      <c r="G169">
        <f t="shared" ref="G169:P169" si="166">F169</f>
        <v>0.23</v>
      </c>
      <c r="H169">
        <f t="shared" si="166"/>
        <v>0.23</v>
      </c>
      <c r="I169">
        <f t="shared" si="166"/>
        <v>0.23</v>
      </c>
      <c r="J169">
        <f t="shared" si="166"/>
        <v>0.23</v>
      </c>
      <c r="K169">
        <f t="shared" si="166"/>
        <v>0.23</v>
      </c>
      <c r="L169">
        <f t="shared" si="166"/>
        <v>0.23</v>
      </c>
      <c r="M169">
        <f t="shared" si="166"/>
        <v>0.23</v>
      </c>
      <c r="N169">
        <f t="shared" si="166"/>
        <v>0.23</v>
      </c>
      <c r="O169">
        <f t="shared" si="166"/>
        <v>0.23</v>
      </c>
      <c r="P169">
        <f t="shared" si="166"/>
        <v>0.23</v>
      </c>
    </row>
    <row r="170" spans="1:16">
      <c r="A170" s="84" t="s">
        <v>413</v>
      </c>
      <c r="B170" s="85" t="s">
        <v>412</v>
      </c>
      <c r="C170" s="85" t="s">
        <v>92</v>
      </c>
      <c r="D170" s="84" t="s">
        <v>80</v>
      </c>
      <c r="E170" s="84">
        <f>VLOOKUP(A170,'2a. SI Pop'!$A$5:$E$198,5,FALSE)</f>
        <v>1</v>
      </c>
      <c r="F170">
        <f>VLOOKUP(E170,Input!$G$5:$H$24,2,FALSE)</f>
        <v>0.16</v>
      </c>
      <c r="G170">
        <f t="shared" ref="G170:P170" si="167">F170</f>
        <v>0.16</v>
      </c>
      <c r="H170">
        <f t="shared" si="167"/>
        <v>0.16</v>
      </c>
      <c r="I170">
        <f t="shared" si="167"/>
        <v>0.16</v>
      </c>
      <c r="J170">
        <f t="shared" si="167"/>
        <v>0.16</v>
      </c>
      <c r="K170">
        <f t="shared" si="167"/>
        <v>0.16</v>
      </c>
      <c r="L170">
        <f t="shared" si="167"/>
        <v>0.16</v>
      </c>
      <c r="M170">
        <f t="shared" si="167"/>
        <v>0.16</v>
      </c>
      <c r="N170">
        <f t="shared" si="167"/>
        <v>0.16</v>
      </c>
      <c r="O170">
        <f t="shared" si="167"/>
        <v>0.16</v>
      </c>
      <c r="P170">
        <f t="shared" si="167"/>
        <v>0.16</v>
      </c>
    </row>
    <row r="171" spans="1:16">
      <c r="A171" s="84" t="s">
        <v>415</v>
      </c>
      <c r="B171" s="85" t="s">
        <v>414</v>
      </c>
      <c r="C171" s="85" t="s">
        <v>83</v>
      </c>
      <c r="D171" s="84" t="s">
        <v>84</v>
      </c>
      <c r="E171" s="84">
        <f>VLOOKUP(A171,'2a. SI Pop'!$A$5:$E$198,5,FALSE)</f>
        <v>3</v>
      </c>
      <c r="F171">
        <f>VLOOKUP(E171,Input!$G$5:$H$24,2,FALSE)</f>
        <v>0.23</v>
      </c>
      <c r="G171">
        <f t="shared" ref="G171:P171" si="168">F171</f>
        <v>0.23</v>
      </c>
      <c r="H171">
        <f t="shared" si="168"/>
        <v>0.23</v>
      </c>
      <c r="I171">
        <f t="shared" si="168"/>
        <v>0.23</v>
      </c>
      <c r="J171">
        <f t="shared" si="168"/>
        <v>0.23</v>
      </c>
      <c r="K171">
        <f t="shared" si="168"/>
        <v>0.23</v>
      </c>
      <c r="L171">
        <f t="shared" si="168"/>
        <v>0.23</v>
      </c>
      <c r="M171">
        <f t="shared" si="168"/>
        <v>0.23</v>
      </c>
      <c r="N171">
        <f t="shared" si="168"/>
        <v>0.23</v>
      </c>
      <c r="O171">
        <f t="shared" si="168"/>
        <v>0.23</v>
      </c>
      <c r="P171">
        <f t="shared" si="168"/>
        <v>0.23</v>
      </c>
    </row>
    <row r="172" spans="1:16">
      <c r="A172" s="84" t="s">
        <v>417</v>
      </c>
      <c r="B172" s="85" t="s">
        <v>416</v>
      </c>
      <c r="C172" s="85" t="s">
        <v>79</v>
      </c>
      <c r="D172" s="84" t="s">
        <v>87</v>
      </c>
      <c r="E172" s="84">
        <f>VLOOKUP(A172,'2a. SI Pop'!$A$5:$E$198,5,FALSE)</f>
        <v>1</v>
      </c>
      <c r="F172">
        <f>VLOOKUP(E172,Input!$G$5:$H$24,2,FALSE)</f>
        <v>0.16</v>
      </c>
      <c r="G172">
        <f t="shared" ref="G172:P172" si="169">F172</f>
        <v>0.16</v>
      </c>
      <c r="H172">
        <f t="shared" si="169"/>
        <v>0.16</v>
      </c>
      <c r="I172">
        <f t="shared" si="169"/>
        <v>0.16</v>
      </c>
      <c r="J172">
        <f t="shared" si="169"/>
        <v>0.16</v>
      </c>
      <c r="K172">
        <f t="shared" si="169"/>
        <v>0.16</v>
      </c>
      <c r="L172">
        <f t="shared" si="169"/>
        <v>0.16</v>
      </c>
      <c r="M172">
        <f t="shared" si="169"/>
        <v>0.16</v>
      </c>
      <c r="N172">
        <f t="shared" si="169"/>
        <v>0.16</v>
      </c>
      <c r="O172">
        <f t="shared" si="169"/>
        <v>0.16</v>
      </c>
      <c r="P172">
        <f t="shared" si="169"/>
        <v>0.16</v>
      </c>
    </row>
    <row r="173" spans="1:16">
      <c r="A173" s="84" t="s">
        <v>419</v>
      </c>
      <c r="B173" s="85" t="s">
        <v>418</v>
      </c>
      <c r="C173" s="85" t="s">
        <v>79</v>
      </c>
      <c r="D173" s="84" t="s">
        <v>87</v>
      </c>
      <c r="E173" s="84">
        <f>VLOOKUP(A173,'2a. SI Pop'!$A$5:$E$198,5,FALSE)</f>
        <v>1</v>
      </c>
      <c r="F173">
        <f>VLOOKUP(E173,Input!$G$5:$H$24,2,FALSE)</f>
        <v>0.16</v>
      </c>
      <c r="G173">
        <f t="shared" ref="G173:P173" si="170">F173</f>
        <v>0.16</v>
      </c>
      <c r="H173">
        <f t="shared" si="170"/>
        <v>0.16</v>
      </c>
      <c r="I173">
        <f t="shared" si="170"/>
        <v>0.16</v>
      </c>
      <c r="J173">
        <f t="shared" si="170"/>
        <v>0.16</v>
      </c>
      <c r="K173">
        <f t="shared" si="170"/>
        <v>0.16</v>
      </c>
      <c r="L173">
        <f t="shared" si="170"/>
        <v>0.16</v>
      </c>
      <c r="M173">
        <f t="shared" si="170"/>
        <v>0.16</v>
      </c>
      <c r="N173">
        <f t="shared" si="170"/>
        <v>0.16</v>
      </c>
      <c r="O173">
        <f t="shared" si="170"/>
        <v>0.16</v>
      </c>
      <c r="P173">
        <f t="shared" si="170"/>
        <v>0.16</v>
      </c>
    </row>
    <row r="174" spans="1:16">
      <c r="A174" s="84" t="s">
        <v>421</v>
      </c>
      <c r="B174" s="85" t="s">
        <v>420</v>
      </c>
      <c r="C174" s="85" t="s">
        <v>74</v>
      </c>
      <c r="D174" s="84" t="s">
        <v>75</v>
      </c>
      <c r="E174" s="84">
        <f>VLOOKUP(A174,'2a. SI Pop'!$A$5:$E$198,5,FALSE)</f>
        <v>2</v>
      </c>
      <c r="F174">
        <f>VLOOKUP(E174,Input!$G$5:$H$24,2,FALSE)</f>
        <v>0.13</v>
      </c>
      <c r="G174">
        <f t="shared" ref="G174:P174" si="171">F174</f>
        <v>0.13</v>
      </c>
      <c r="H174">
        <f t="shared" si="171"/>
        <v>0.13</v>
      </c>
      <c r="I174">
        <f t="shared" si="171"/>
        <v>0.13</v>
      </c>
      <c r="J174">
        <f t="shared" si="171"/>
        <v>0.13</v>
      </c>
      <c r="K174">
        <f t="shared" si="171"/>
        <v>0.13</v>
      </c>
      <c r="L174">
        <f t="shared" si="171"/>
        <v>0.13</v>
      </c>
      <c r="M174">
        <f t="shared" si="171"/>
        <v>0.13</v>
      </c>
      <c r="N174">
        <f t="shared" si="171"/>
        <v>0.13</v>
      </c>
      <c r="O174">
        <f t="shared" si="171"/>
        <v>0.13</v>
      </c>
      <c r="P174">
        <f t="shared" si="171"/>
        <v>0.13</v>
      </c>
    </row>
    <row r="175" spans="1:16">
      <c r="A175" s="84" t="s">
        <v>423</v>
      </c>
      <c r="B175" s="85" t="s">
        <v>422</v>
      </c>
      <c r="C175" s="85" t="s">
        <v>83</v>
      </c>
      <c r="D175" s="84" t="s">
        <v>84</v>
      </c>
      <c r="E175" s="84" t="str">
        <f>VLOOKUP(A175,'2a. SI Pop'!$A$5:$E$198,5,FALSE)</f>
        <v>Key</v>
      </c>
      <c r="F175">
        <f>VLOOKUP(A175,Input!$G$5:$H$24,2,FALSE)</f>
        <v>0.1</v>
      </c>
      <c r="G175">
        <f t="shared" ref="G175:P175" si="172">F175</f>
        <v>0.1</v>
      </c>
      <c r="H175">
        <f t="shared" si="172"/>
        <v>0.1</v>
      </c>
      <c r="I175">
        <f t="shared" si="172"/>
        <v>0.1</v>
      </c>
      <c r="J175">
        <f t="shared" si="172"/>
        <v>0.1</v>
      </c>
      <c r="K175">
        <f t="shared" si="172"/>
        <v>0.1</v>
      </c>
      <c r="L175">
        <f t="shared" si="172"/>
        <v>0.1</v>
      </c>
      <c r="M175">
        <f t="shared" si="172"/>
        <v>0.1</v>
      </c>
      <c r="N175">
        <f t="shared" si="172"/>
        <v>0.1</v>
      </c>
      <c r="O175">
        <f t="shared" si="172"/>
        <v>0.1</v>
      </c>
      <c r="P175">
        <f t="shared" si="172"/>
        <v>0.1</v>
      </c>
    </row>
    <row r="176" spans="1:16">
      <c r="A176" s="84" t="s">
        <v>425</v>
      </c>
      <c r="B176" s="85" t="s">
        <v>424</v>
      </c>
      <c r="C176" s="85" t="s">
        <v>79</v>
      </c>
      <c r="D176" s="84" t="s">
        <v>75</v>
      </c>
      <c r="E176" s="84">
        <f>VLOOKUP(A176,'2a. SI Pop'!$A$5:$E$198,5,FALSE)</f>
        <v>2</v>
      </c>
      <c r="F176">
        <f>VLOOKUP(E176,Input!$G$5:$H$24,2,FALSE)</f>
        <v>0.13</v>
      </c>
      <c r="G176">
        <f t="shared" ref="G176:P176" si="173">F176</f>
        <v>0.13</v>
      </c>
      <c r="H176">
        <f t="shared" si="173"/>
        <v>0.13</v>
      </c>
      <c r="I176">
        <f t="shared" si="173"/>
        <v>0.13</v>
      </c>
      <c r="J176">
        <f t="shared" si="173"/>
        <v>0.13</v>
      </c>
      <c r="K176">
        <f t="shared" si="173"/>
        <v>0.13</v>
      </c>
      <c r="L176">
        <f t="shared" si="173"/>
        <v>0.13</v>
      </c>
      <c r="M176">
        <f t="shared" si="173"/>
        <v>0.13</v>
      </c>
      <c r="N176">
        <f t="shared" si="173"/>
        <v>0.13</v>
      </c>
      <c r="O176">
        <f t="shared" si="173"/>
        <v>0.13</v>
      </c>
      <c r="P176">
        <f t="shared" si="173"/>
        <v>0.13</v>
      </c>
    </row>
    <row r="177" spans="1:16">
      <c r="A177" s="84" t="s">
        <v>427</v>
      </c>
      <c r="B177" s="85" t="s">
        <v>426</v>
      </c>
      <c r="C177" s="85" t="s">
        <v>110</v>
      </c>
      <c r="D177" s="84" t="s">
        <v>80</v>
      </c>
      <c r="E177" s="84">
        <f>VLOOKUP(A177,'2a. SI Pop'!$A$5:$E$198,5,FALSE)</f>
        <v>1</v>
      </c>
      <c r="F177">
        <f>VLOOKUP(E177,Input!$G$5:$H$24,2,FALSE)</f>
        <v>0.16</v>
      </c>
      <c r="G177">
        <f t="shared" ref="G177:P177" si="174">F177</f>
        <v>0.16</v>
      </c>
      <c r="H177">
        <f t="shared" si="174"/>
        <v>0.16</v>
      </c>
      <c r="I177">
        <f t="shared" si="174"/>
        <v>0.16</v>
      </c>
      <c r="J177">
        <f t="shared" si="174"/>
        <v>0.16</v>
      </c>
      <c r="K177">
        <f t="shared" si="174"/>
        <v>0.16</v>
      </c>
      <c r="L177">
        <f t="shared" si="174"/>
        <v>0.16</v>
      </c>
      <c r="M177">
        <f t="shared" si="174"/>
        <v>0.16</v>
      </c>
      <c r="N177">
        <f t="shared" si="174"/>
        <v>0.16</v>
      </c>
      <c r="O177">
        <f t="shared" si="174"/>
        <v>0.16</v>
      </c>
      <c r="P177">
        <f t="shared" si="174"/>
        <v>0.16</v>
      </c>
    </row>
    <row r="178" spans="1:16">
      <c r="A178" s="84" t="s">
        <v>429</v>
      </c>
      <c r="B178" s="85" t="s">
        <v>428</v>
      </c>
      <c r="C178" s="85" t="s">
        <v>110</v>
      </c>
      <c r="D178" s="84" t="s">
        <v>84</v>
      </c>
      <c r="E178" s="84">
        <f>VLOOKUP(A178,'2a. SI Pop'!$A$5:$E$198,5,FALSE)</f>
        <v>4</v>
      </c>
      <c r="F178">
        <f>VLOOKUP(E178,Input!$G$5:$H$24,2,FALSE)</f>
        <v>0.21</v>
      </c>
      <c r="G178">
        <f t="shared" ref="G178:P178" si="175">F178</f>
        <v>0.21</v>
      </c>
      <c r="H178">
        <f t="shared" si="175"/>
        <v>0.21</v>
      </c>
      <c r="I178">
        <f t="shared" si="175"/>
        <v>0.21</v>
      </c>
      <c r="J178">
        <f t="shared" si="175"/>
        <v>0.21</v>
      </c>
      <c r="K178">
        <f t="shared" si="175"/>
        <v>0.21</v>
      </c>
      <c r="L178">
        <f t="shared" si="175"/>
        <v>0.21</v>
      </c>
      <c r="M178">
        <f t="shared" si="175"/>
        <v>0.21</v>
      </c>
      <c r="N178">
        <f t="shared" si="175"/>
        <v>0.21</v>
      </c>
      <c r="O178">
        <f t="shared" si="175"/>
        <v>0.21</v>
      </c>
      <c r="P178">
        <f t="shared" si="175"/>
        <v>0.21</v>
      </c>
    </row>
    <row r="179" spans="1:16">
      <c r="A179" s="84" t="s">
        <v>431</v>
      </c>
      <c r="B179" s="85" t="s">
        <v>430</v>
      </c>
      <c r="C179" s="85" t="s">
        <v>83</v>
      </c>
      <c r="D179" s="84" t="s">
        <v>75</v>
      </c>
      <c r="E179" s="84">
        <f>VLOOKUP(A179,'2a. SI Pop'!$A$5:$E$198,5,FALSE)</f>
        <v>3</v>
      </c>
      <c r="F179">
        <f>VLOOKUP(E179,Input!$G$5:$H$24,2,FALSE)</f>
        <v>0.23</v>
      </c>
      <c r="G179">
        <f t="shared" ref="G179:P179" si="176">F179</f>
        <v>0.23</v>
      </c>
      <c r="H179">
        <f t="shared" si="176"/>
        <v>0.23</v>
      </c>
      <c r="I179">
        <f t="shared" si="176"/>
        <v>0.23</v>
      </c>
      <c r="J179">
        <f t="shared" si="176"/>
        <v>0.23</v>
      </c>
      <c r="K179">
        <f t="shared" si="176"/>
        <v>0.23</v>
      </c>
      <c r="L179">
        <f t="shared" si="176"/>
        <v>0.23</v>
      </c>
      <c r="M179">
        <f t="shared" si="176"/>
        <v>0.23</v>
      </c>
      <c r="N179">
        <f t="shared" si="176"/>
        <v>0.23</v>
      </c>
      <c r="O179">
        <f t="shared" si="176"/>
        <v>0.23</v>
      </c>
      <c r="P179">
        <f t="shared" si="176"/>
        <v>0.23</v>
      </c>
    </row>
    <row r="180" spans="1:16">
      <c r="A180" s="84" t="s">
        <v>433</v>
      </c>
      <c r="B180" s="85" t="s">
        <v>432</v>
      </c>
      <c r="C180" s="85" t="s">
        <v>99</v>
      </c>
      <c r="D180" s="84" t="s">
        <v>80</v>
      </c>
      <c r="E180" s="84">
        <f>VLOOKUP(A180,'2a. SI Pop'!$A$5:$E$198,5,FALSE)</f>
        <v>1</v>
      </c>
      <c r="F180">
        <f>VLOOKUP(E180,Input!$G$5:$H$24,2,FALSE)</f>
        <v>0.16</v>
      </c>
      <c r="G180">
        <f t="shared" ref="G180:P180" si="177">F180</f>
        <v>0.16</v>
      </c>
      <c r="H180">
        <f t="shared" si="177"/>
        <v>0.16</v>
      </c>
      <c r="I180">
        <f t="shared" si="177"/>
        <v>0.16</v>
      </c>
      <c r="J180">
        <f t="shared" si="177"/>
        <v>0.16</v>
      </c>
      <c r="K180">
        <f t="shared" si="177"/>
        <v>0.16</v>
      </c>
      <c r="L180">
        <f t="shared" si="177"/>
        <v>0.16</v>
      </c>
      <c r="M180">
        <f t="shared" si="177"/>
        <v>0.16</v>
      </c>
      <c r="N180">
        <f t="shared" si="177"/>
        <v>0.16</v>
      </c>
      <c r="O180">
        <f t="shared" si="177"/>
        <v>0.16</v>
      </c>
      <c r="P180">
        <f t="shared" si="177"/>
        <v>0.16</v>
      </c>
    </row>
    <row r="181" spans="1:16">
      <c r="A181" s="84" t="s">
        <v>435</v>
      </c>
      <c r="B181" s="85" t="s">
        <v>434</v>
      </c>
      <c r="C181" s="85" t="s">
        <v>92</v>
      </c>
      <c r="D181" s="84" t="s">
        <v>87</v>
      </c>
      <c r="E181" s="84">
        <f>VLOOKUP(A181,'2a. SI Pop'!$A$5:$E$198,5,FALSE)</f>
        <v>1</v>
      </c>
      <c r="F181">
        <f>VLOOKUP(E181,Input!$G$5:$H$24,2,FALSE)</f>
        <v>0.16</v>
      </c>
      <c r="G181">
        <f t="shared" ref="G181:P181" si="178">F181</f>
        <v>0.16</v>
      </c>
      <c r="H181">
        <f t="shared" si="178"/>
        <v>0.16</v>
      </c>
      <c r="I181">
        <f t="shared" si="178"/>
        <v>0.16</v>
      </c>
      <c r="J181">
        <f t="shared" si="178"/>
        <v>0.16</v>
      </c>
      <c r="K181">
        <f t="shared" si="178"/>
        <v>0.16</v>
      </c>
      <c r="L181">
        <f t="shared" si="178"/>
        <v>0.16</v>
      </c>
      <c r="M181">
        <f t="shared" si="178"/>
        <v>0.16</v>
      </c>
      <c r="N181">
        <f t="shared" si="178"/>
        <v>0.16</v>
      </c>
      <c r="O181">
        <f t="shared" si="178"/>
        <v>0.16</v>
      </c>
      <c r="P181">
        <f t="shared" si="178"/>
        <v>0.16</v>
      </c>
    </row>
    <row r="182" spans="1:16">
      <c r="A182" s="84" t="s">
        <v>437</v>
      </c>
      <c r="B182" s="85" t="s">
        <v>436</v>
      </c>
      <c r="C182" s="85" t="s">
        <v>74</v>
      </c>
      <c r="D182" s="84" t="s">
        <v>84</v>
      </c>
      <c r="E182" s="84">
        <f>VLOOKUP(A182,'2a. SI Pop'!$A$5:$E$198,5,FALSE)</f>
        <v>3</v>
      </c>
      <c r="F182">
        <f>VLOOKUP(E182,Input!$G$5:$H$24,2,FALSE)</f>
        <v>0.23</v>
      </c>
      <c r="G182">
        <f t="shared" ref="G182:P182" si="179">F182</f>
        <v>0.23</v>
      </c>
      <c r="H182">
        <f t="shared" si="179"/>
        <v>0.23</v>
      </c>
      <c r="I182">
        <f t="shared" si="179"/>
        <v>0.23</v>
      </c>
      <c r="J182">
        <f t="shared" si="179"/>
        <v>0.23</v>
      </c>
      <c r="K182">
        <f t="shared" si="179"/>
        <v>0.23</v>
      </c>
      <c r="L182">
        <f t="shared" si="179"/>
        <v>0.23</v>
      </c>
      <c r="M182">
        <f t="shared" si="179"/>
        <v>0.23</v>
      </c>
      <c r="N182">
        <f t="shared" si="179"/>
        <v>0.23</v>
      </c>
      <c r="O182">
        <f t="shared" si="179"/>
        <v>0.23</v>
      </c>
      <c r="P182">
        <f t="shared" si="179"/>
        <v>0.23</v>
      </c>
    </row>
    <row r="183" spans="1:16">
      <c r="A183" s="84" t="s">
        <v>439</v>
      </c>
      <c r="B183" s="85" t="s">
        <v>438</v>
      </c>
      <c r="C183" s="85" t="s">
        <v>79</v>
      </c>
      <c r="D183" s="84" t="s">
        <v>80</v>
      </c>
      <c r="E183" s="84">
        <f>VLOOKUP(A183,'2a. SI Pop'!$A$5:$E$198,5,FALSE)</f>
        <v>1</v>
      </c>
      <c r="F183">
        <f>VLOOKUP(E183,Input!$G$5:$H$24,2,FALSE)</f>
        <v>0.16</v>
      </c>
      <c r="G183">
        <f t="shared" ref="G183:P183" si="180">F183</f>
        <v>0.16</v>
      </c>
      <c r="H183">
        <f t="shared" si="180"/>
        <v>0.16</v>
      </c>
      <c r="I183">
        <f t="shared" si="180"/>
        <v>0.16</v>
      </c>
      <c r="J183">
        <f t="shared" si="180"/>
        <v>0.16</v>
      </c>
      <c r="K183">
        <f t="shared" si="180"/>
        <v>0.16</v>
      </c>
      <c r="L183">
        <f t="shared" si="180"/>
        <v>0.16</v>
      </c>
      <c r="M183">
        <f t="shared" si="180"/>
        <v>0.16</v>
      </c>
      <c r="N183">
        <f t="shared" si="180"/>
        <v>0.16</v>
      </c>
      <c r="O183">
        <f t="shared" si="180"/>
        <v>0.16</v>
      </c>
      <c r="P183">
        <f t="shared" si="180"/>
        <v>0.16</v>
      </c>
    </row>
    <row r="184" spans="1:16">
      <c r="A184" s="84" t="s">
        <v>441</v>
      </c>
      <c r="B184" s="85" t="s">
        <v>440</v>
      </c>
      <c r="C184" s="85" t="s">
        <v>79</v>
      </c>
      <c r="D184" s="84" t="s">
        <v>80</v>
      </c>
      <c r="E184" s="84">
        <f>VLOOKUP(A184,'2a. SI Pop'!$A$5:$E$198,5,FALSE)</f>
        <v>1</v>
      </c>
      <c r="F184">
        <f>VLOOKUP(E184,Input!$G$5:$H$24,2,FALSE)</f>
        <v>0.16</v>
      </c>
      <c r="G184">
        <f t="shared" ref="G184:P184" si="181">F184</f>
        <v>0.16</v>
      </c>
      <c r="H184">
        <f t="shared" si="181"/>
        <v>0.16</v>
      </c>
      <c r="I184">
        <f t="shared" si="181"/>
        <v>0.16</v>
      </c>
      <c r="J184">
        <f t="shared" si="181"/>
        <v>0.16</v>
      </c>
      <c r="K184">
        <f t="shared" si="181"/>
        <v>0.16</v>
      </c>
      <c r="L184">
        <f t="shared" si="181"/>
        <v>0.16</v>
      </c>
      <c r="M184">
        <f t="shared" si="181"/>
        <v>0.16</v>
      </c>
      <c r="N184">
        <f t="shared" si="181"/>
        <v>0.16</v>
      </c>
      <c r="O184">
        <f t="shared" si="181"/>
        <v>0.16</v>
      </c>
      <c r="P184">
        <f t="shared" si="181"/>
        <v>0.16</v>
      </c>
    </row>
    <row r="185" spans="1:16">
      <c r="A185" s="84" t="s">
        <v>443</v>
      </c>
      <c r="B185" s="85" t="s">
        <v>442</v>
      </c>
      <c r="C185" s="85" t="s">
        <v>99</v>
      </c>
      <c r="D185" s="84" t="s">
        <v>80</v>
      </c>
      <c r="E185" s="84">
        <f>VLOOKUP(A185,'2a. SI Pop'!$A$5:$E$198,5,FALSE)</f>
        <v>4</v>
      </c>
      <c r="F185">
        <f>VLOOKUP(E185,Input!$G$5:$H$24,2,FALSE)</f>
        <v>0.21</v>
      </c>
      <c r="G185">
        <f t="shared" ref="G185:P185" si="182">F185</f>
        <v>0.21</v>
      </c>
      <c r="H185">
        <f t="shared" si="182"/>
        <v>0.21</v>
      </c>
      <c r="I185">
        <f t="shared" si="182"/>
        <v>0.21</v>
      </c>
      <c r="J185">
        <f t="shared" si="182"/>
        <v>0.21</v>
      </c>
      <c r="K185">
        <f t="shared" si="182"/>
        <v>0.21</v>
      </c>
      <c r="L185">
        <f t="shared" si="182"/>
        <v>0.21</v>
      </c>
      <c r="M185">
        <f t="shared" si="182"/>
        <v>0.21</v>
      </c>
      <c r="N185">
        <f t="shared" si="182"/>
        <v>0.21</v>
      </c>
      <c r="O185">
        <f t="shared" si="182"/>
        <v>0.21</v>
      </c>
      <c r="P185">
        <f t="shared" si="182"/>
        <v>0.21</v>
      </c>
    </row>
    <row r="186" spans="1:16">
      <c r="A186" s="84" t="s">
        <v>445</v>
      </c>
      <c r="B186" s="85" t="s">
        <v>444</v>
      </c>
      <c r="C186" s="85" t="s">
        <v>83</v>
      </c>
      <c r="D186" s="84" t="s">
        <v>75</v>
      </c>
      <c r="E186" s="84" t="str">
        <f>VLOOKUP(A186,'2a. SI Pop'!$A$5:$E$198,5,FALSE)</f>
        <v>Key</v>
      </c>
      <c r="F186">
        <f>VLOOKUP(A186,Input!$G$5:$H$24,2,FALSE)</f>
        <v>0.23</v>
      </c>
      <c r="G186">
        <f t="shared" ref="G186:P186" si="183">F186</f>
        <v>0.23</v>
      </c>
      <c r="H186">
        <f t="shared" si="183"/>
        <v>0.23</v>
      </c>
      <c r="I186">
        <f t="shared" si="183"/>
        <v>0.23</v>
      </c>
      <c r="J186">
        <f t="shared" si="183"/>
        <v>0.23</v>
      </c>
      <c r="K186">
        <f t="shared" si="183"/>
        <v>0.23</v>
      </c>
      <c r="L186">
        <f t="shared" si="183"/>
        <v>0.23</v>
      </c>
      <c r="M186">
        <f t="shared" si="183"/>
        <v>0.23</v>
      </c>
      <c r="N186">
        <f t="shared" si="183"/>
        <v>0.23</v>
      </c>
      <c r="O186">
        <f t="shared" si="183"/>
        <v>0.23</v>
      </c>
      <c r="P186">
        <f t="shared" si="183"/>
        <v>0.23</v>
      </c>
    </row>
    <row r="187" spans="1:16">
      <c r="A187" s="84" t="s">
        <v>447</v>
      </c>
      <c r="B187" s="85" t="s">
        <v>446</v>
      </c>
      <c r="C187" s="85" t="s">
        <v>79</v>
      </c>
      <c r="D187" s="84" t="s">
        <v>84</v>
      </c>
      <c r="E187" s="84">
        <f>VLOOKUP(A187,'2a. SI Pop'!$A$5:$E$198,5,FALSE)</f>
        <v>1</v>
      </c>
      <c r="F187">
        <f>VLOOKUP(E187,Input!$G$5:$H$24,2,FALSE)</f>
        <v>0.16</v>
      </c>
      <c r="G187">
        <f t="shared" ref="G187:P187" si="184">F187</f>
        <v>0.16</v>
      </c>
      <c r="H187">
        <f t="shared" si="184"/>
        <v>0.16</v>
      </c>
      <c r="I187">
        <f t="shared" si="184"/>
        <v>0.16</v>
      </c>
      <c r="J187">
        <f t="shared" si="184"/>
        <v>0.16</v>
      </c>
      <c r="K187">
        <f t="shared" si="184"/>
        <v>0.16</v>
      </c>
      <c r="L187">
        <f t="shared" si="184"/>
        <v>0.16</v>
      </c>
      <c r="M187">
        <f t="shared" si="184"/>
        <v>0.16</v>
      </c>
      <c r="N187">
        <f t="shared" si="184"/>
        <v>0.16</v>
      </c>
      <c r="O187">
        <f t="shared" si="184"/>
        <v>0.16</v>
      </c>
      <c r="P187">
        <f t="shared" si="184"/>
        <v>0.16</v>
      </c>
    </row>
    <row r="188" spans="1:16">
      <c r="A188" s="84" t="s">
        <v>449</v>
      </c>
      <c r="B188" s="85" t="s">
        <v>448</v>
      </c>
      <c r="C188" s="85" t="s">
        <v>74</v>
      </c>
      <c r="D188" s="84" t="s">
        <v>87</v>
      </c>
      <c r="E188" s="84">
        <f>VLOOKUP(A188,'2a. SI Pop'!$A$5:$E$198,5,FALSE)</f>
        <v>1</v>
      </c>
      <c r="F188">
        <f>VLOOKUP(E188,Input!$G$5:$H$24,2,FALSE)</f>
        <v>0.16</v>
      </c>
      <c r="G188">
        <f t="shared" ref="G188:P188" si="185">F188</f>
        <v>0.16</v>
      </c>
      <c r="H188">
        <f t="shared" si="185"/>
        <v>0.16</v>
      </c>
      <c r="I188">
        <f t="shared" si="185"/>
        <v>0.16</v>
      </c>
      <c r="J188">
        <f t="shared" si="185"/>
        <v>0.16</v>
      </c>
      <c r="K188">
        <f t="shared" si="185"/>
        <v>0.16</v>
      </c>
      <c r="L188">
        <f t="shared" si="185"/>
        <v>0.16</v>
      </c>
      <c r="M188">
        <f t="shared" si="185"/>
        <v>0.16</v>
      </c>
      <c r="N188">
        <f t="shared" si="185"/>
        <v>0.16</v>
      </c>
      <c r="O188">
        <f t="shared" si="185"/>
        <v>0.16</v>
      </c>
      <c r="P188">
        <f t="shared" si="185"/>
        <v>0.16</v>
      </c>
    </row>
    <row r="189" spans="1:16">
      <c r="A189" s="84" t="s">
        <v>451</v>
      </c>
      <c r="B189" s="85" t="s">
        <v>450</v>
      </c>
      <c r="C189" s="85" t="s">
        <v>79</v>
      </c>
      <c r="D189" s="84" t="s">
        <v>87</v>
      </c>
      <c r="E189" s="84">
        <f>VLOOKUP(A189,'2a. SI Pop'!$A$5:$E$198,5,FALSE)</f>
        <v>1</v>
      </c>
      <c r="F189">
        <f>VLOOKUP(E189,Input!$G$5:$H$24,2,FALSE)</f>
        <v>0.16</v>
      </c>
      <c r="G189">
        <f t="shared" ref="G189:P189" si="186">F189</f>
        <v>0.16</v>
      </c>
      <c r="H189">
        <f t="shared" si="186"/>
        <v>0.16</v>
      </c>
      <c r="I189">
        <f t="shared" si="186"/>
        <v>0.16</v>
      </c>
      <c r="J189">
        <f t="shared" si="186"/>
        <v>0.16</v>
      </c>
      <c r="K189">
        <f t="shared" si="186"/>
        <v>0.16</v>
      </c>
      <c r="L189">
        <f t="shared" si="186"/>
        <v>0.16</v>
      </c>
      <c r="M189">
        <f t="shared" si="186"/>
        <v>0.16</v>
      </c>
      <c r="N189">
        <f t="shared" si="186"/>
        <v>0.16</v>
      </c>
      <c r="O189">
        <f t="shared" si="186"/>
        <v>0.16</v>
      </c>
      <c r="P189">
        <f t="shared" si="186"/>
        <v>0.16</v>
      </c>
    </row>
    <row r="190" spans="1:16">
      <c r="A190" s="84" t="s">
        <v>453</v>
      </c>
      <c r="B190" s="85" t="s">
        <v>452</v>
      </c>
      <c r="C190" s="85" t="s">
        <v>92</v>
      </c>
      <c r="D190" s="84" t="s">
        <v>87</v>
      </c>
      <c r="E190" s="84" t="str">
        <f>VLOOKUP(A190,'2a. SI Pop'!$A$5:$E$198,5,FALSE)</f>
        <v>Key</v>
      </c>
      <c r="F190">
        <f>VLOOKUP(A190,Input!$G$5:$H$24,2,FALSE)</f>
        <v>0.16</v>
      </c>
      <c r="G190">
        <f t="shared" ref="G190:P190" si="187">F190</f>
        <v>0.16</v>
      </c>
      <c r="H190">
        <f t="shared" si="187"/>
        <v>0.16</v>
      </c>
      <c r="I190">
        <f t="shared" si="187"/>
        <v>0.16</v>
      </c>
      <c r="J190">
        <f t="shared" si="187"/>
        <v>0.16</v>
      </c>
      <c r="K190">
        <f t="shared" si="187"/>
        <v>0.16</v>
      </c>
      <c r="L190">
        <f t="shared" si="187"/>
        <v>0.16</v>
      </c>
      <c r="M190">
        <f t="shared" si="187"/>
        <v>0.16</v>
      </c>
      <c r="N190">
        <f t="shared" si="187"/>
        <v>0.16</v>
      </c>
      <c r="O190">
        <f t="shared" si="187"/>
        <v>0.16</v>
      </c>
      <c r="P190">
        <f t="shared" si="187"/>
        <v>0.16</v>
      </c>
    </row>
    <row r="191" spans="1:16">
      <c r="A191" s="84" t="s">
        <v>455</v>
      </c>
      <c r="B191" s="85" t="s">
        <v>454</v>
      </c>
      <c r="C191" s="85" t="s">
        <v>92</v>
      </c>
      <c r="D191" s="84" t="s">
        <v>87</v>
      </c>
      <c r="E191" s="84">
        <f>VLOOKUP(A191,'2a. SI Pop'!$A$5:$E$198,5,FALSE)</f>
        <v>1</v>
      </c>
      <c r="F191">
        <f>VLOOKUP(E191,Input!$G$5:$H$24,2,FALSE)</f>
        <v>0.16</v>
      </c>
      <c r="G191">
        <f t="shared" ref="G191:P191" si="188">F191</f>
        <v>0.16</v>
      </c>
      <c r="H191">
        <f t="shared" si="188"/>
        <v>0.16</v>
      </c>
      <c r="I191">
        <f t="shared" si="188"/>
        <v>0.16</v>
      </c>
      <c r="J191">
        <f t="shared" si="188"/>
        <v>0.16</v>
      </c>
      <c r="K191">
        <f t="shared" si="188"/>
        <v>0.16</v>
      </c>
      <c r="L191">
        <f t="shared" si="188"/>
        <v>0.16</v>
      </c>
      <c r="M191">
        <f t="shared" si="188"/>
        <v>0.16</v>
      </c>
      <c r="N191">
        <f t="shared" si="188"/>
        <v>0.16</v>
      </c>
      <c r="O191">
        <f t="shared" si="188"/>
        <v>0.16</v>
      </c>
      <c r="P191">
        <f t="shared" si="188"/>
        <v>0.16</v>
      </c>
    </row>
    <row r="192" spans="1:16">
      <c r="A192" s="84" t="s">
        <v>457</v>
      </c>
      <c r="B192" s="85" t="s">
        <v>456</v>
      </c>
      <c r="C192" s="85" t="s">
        <v>79</v>
      </c>
      <c r="D192" s="84" t="s">
        <v>84</v>
      </c>
      <c r="E192" s="84">
        <f>VLOOKUP(A192,'2a. SI Pop'!$A$5:$E$198,5,FALSE)</f>
        <v>2</v>
      </c>
      <c r="F192">
        <f>VLOOKUP(E192,Input!$G$5:$H$24,2,FALSE)</f>
        <v>0.13</v>
      </c>
      <c r="G192">
        <f t="shared" ref="G192:P192" si="189">F192</f>
        <v>0.13</v>
      </c>
      <c r="H192">
        <f t="shared" si="189"/>
        <v>0.13</v>
      </c>
      <c r="I192">
        <f t="shared" si="189"/>
        <v>0.13</v>
      </c>
      <c r="J192">
        <f t="shared" si="189"/>
        <v>0.13</v>
      </c>
      <c r="K192">
        <f t="shared" si="189"/>
        <v>0.13</v>
      </c>
      <c r="L192">
        <f t="shared" si="189"/>
        <v>0.13</v>
      </c>
      <c r="M192">
        <f t="shared" si="189"/>
        <v>0.13</v>
      </c>
      <c r="N192">
        <f t="shared" si="189"/>
        <v>0.13</v>
      </c>
      <c r="O192">
        <f t="shared" si="189"/>
        <v>0.13</v>
      </c>
      <c r="P192">
        <f t="shared" si="189"/>
        <v>0.13</v>
      </c>
    </row>
    <row r="193" spans="1:16">
      <c r="A193" s="84" t="s">
        <v>459</v>
      </c>
      <c r="B193" s="85" t="s">
        <v>458</v>
      </c>
      <c r="C193" s="85" t="s">
        <v>99</v>
      </c>
      <c r="D193" s="84" t="s">
        <v>84</v>
      </c>
      <c r="E193" s="84">
        <f>VLOOKUP(A193,'2a. SI Pop'!$A$5:$E$198,5,FALSE)</f>
        <v>4</v>
      </c>
      <c r="F193">
        <f>VLOOKUP(E193,Input!$G$5:$H$24,2,FALSE)</f>
        <v>0.21</v>
      </c>
      <c r="G193">
        <f t="shared" ref="G193:P193" si="190">F193</f>
        <v>0.21</v>
      </c>
      <c r="H193">
        <f t="shared" si="190"/>
        <v>0.21</v>
      </c>
      <c r="I193">
        <f t="shared" si="190"/>
        <v>0.21</v>
      </c>
      <c r="J193">
        <f t="shared" si="190"/>
        <v>0.21</v>
      </c>
      <c r="K193">
        <f t="shared" si="190"/>
        <v>0.21</v>
      </c>
      <c r="L193">
        <f t="shared" si="190"/>
        <v>0.21</v>
      </c>
      <c r="M193">
        <f t="shared" si="190"/>
        <v>0.21</v>
      </c>
      <c r="N193">
        <f t="shared" si="190"/>
        <v>0.21</v>
      </c>
      <c r="O193">
        <f t="shared" si="190"/>
        <v>0.21</v>
      </c>
      <c r="P193">
        <f t="shared" si="190"/>
        <v>0.21</v>
      </c>
    </row>
    <row r="194" spans="1:16">
      <c r="A194" s="84" t="s">
        <v>461</v>
      </c>
      <c r="B194" s="85" t="s">
        <v>460</v>
      </c>
      <c r="C194" s="85" t="s">
        <v>92</v>
      </c>
      <c r="D194" s="84" t="s">
        <v>80</v>
      </c>
      <c r="E194" s="84">
        <f>VLOOKUP(A194,'2a. SI Pop'!$A$5:$E$198,5,FALSE)</f>
        <v>1</v>
      </c>
      <c r="F194">
        <f>VLOOKUP(E194,Input!$G$5:$H$24,2,FALSE)</f>
        <v>0.16</v>
      </c>
      <c r="G194">
        <f t="shared" ref="G194:P194" si="191">F194</f>
        <v>0.16</v>
      </c>
      <c r="H194">
        <f t="shared" si="191"/>
        <v>0.16</v>
      </c>
      <c r="I194">
        <f t="shared" si="191"/>
        <v>0.16</v>
      </c>
      <c r="J194">
        <f t="shared" si="191"/>
        <v>0.16</v>
      </c>
      <c r="K194">
        <f t="shared" si="191"/>
        <v>0.16</v>
      </c>
      <c r="L194">
        <f t="shared" si="191"/>
        <v>0.16</v>
      </c>
      <c r="M194">
        <f t="shared" si="191"/>
        <v>0.16</v>
      </c>
      <c r="N194">
        <f t="shared" si="191"/>
        <v>0.16</v>
      </c>
      <c r="O194">
        <f t="shared" si="191"/>
        <v>0.16</v>
      </c>
      <c r="P194">
        <f t="shared" si="191"/>
        <v>0.16</v>
      </c>
    </row>
    <row r="195" spans="1:16">
      <c r="A195" s="84" t="s">
        <v>463</v>
      </c>
      <c r="B195" s="85" t="s">
        <v>462</v>
      </c>
      <c r="C195" s="85" t="s">
        <v>99</v>
      </c>
      <c r="D195" s="84" t="s">
        <v>84</v>
      </c>
      <c r="E195" s="84">
        <f>VLOOKUP(A195,'2a. SI Pop'!$A$5:$E$198,5,FALSE)</f>
        <v>4</v>
      </c>
      <c r="F195">
        <f>VLOOKUP(E195,Input!$G$5:$H$24,2,FALSE)</f>
        <v>0.21</v>
      </c>
      <c r="G195">
        <f t="shared" ref="G195:P195" si="192">F195</f>
        <v>0.21</v>
      </c>
      <c r="H195">
        <f t="shared" si="192"/>
        <v>0.21</v>
      </c>
      <c r="I195">
        <f t="shared" si="192"/>
        <v>0.21</v>
      </c>
      <c r="J195">
        <f t="shared" si="192"/>
        <v>0.21</v>
      </c>
      <c r="K195">
        <f t="shared" si="192"/>
        <v>0.21</v>
      </c>
      <c r="L195">
        <f t="shared" si="192"/>
        <v>0.21</v>
      </c>
      <c r="M195">
        <f t="shared" si="192"/>
        <v>0.21</v>
      </c>
      <c r="N195">
        <f t="shared" si="192"/>
        <v>0.21</v>
      </c>
      <c r="O195">
        <f t="shared" si="192"/>
        <v>0.21</v>
      </c>
      <c r="P195">
        <f t="shared" si="192"/>
        <v>0.21</v>
      </c>
    </row>
    <row r="196" spans="1:16">
      <c r="A196" s="84" t="s">
        <v>465</v>
      </c>
      <c r="B196" s="85" t="s">
        <v>464</v>
      </c>
      <c r="C196" s="85" t="s">
        <v>74</v>
      </c>
      <c r="D196" s="84" t="s">
        <v>75</v>
      </c>
      <c r="E196" s="84">
        <f>VLOOKUP(A196,'2a. SI Pop'!$A$5:$E$198,5,FALSE)</f>
        <v>3</v>
      </c>
      <c r="F196">
        <f>VLOOKUP(E196,Input!$G$5:$H$24,2,FALSE)</f>
        <v>0.23</v>
      </c>
      <c r="G196">
        <f t="shared" ref="G196:P196" si="193">F196</f>
        <v>0.23</v>
      </c>
      <c r="H196">
        <f t="shared" si="193"/>
        <v>0.23</v>
      </c>
      <c r="I196">
        <f t="shared" si="193"/>
        <v>0.23</v>
      </c>
      <c r="J196">
        <f t="shared" si="193"/>
        <v>0.23</v>
      </c>
      <c r="K196">
        <f t="shared" si="193"/>
        <v>0.23</v>
      </c>
      <c r="L196">
        <f t="shared" si="193"/>
        <v>0.23</v>
      </c>
      <c r="M196">
        <f t="shared" si="193"/>
        <v>0.23</v>
      </c>
      <c r="N196">
        <f t="shared" si="193"/>
        <v>0.23</v>
      </c>
      <c r="O196">
        <f t="shared" si="193"/>
        <v>0.23</v>
      </c>
      <c r="P196">
        <f t="shared" si="193"/>
        <v>0.23</v>
      </c>
    </row>
    <row r="197" spans="1:16">
      <c r="A197" s="84" t="s">
        <v>467</v>
      </c>
      <c r="B197" s="85" t="s">
        <v>466</v>
      </c>
      <c r="C197" s="85" t="s">
        <v>83</v>
      </c>
      <c r="D197" s="84" t="s">
        <v>84</v>
      </c>
      <c r="E197" s="84">
        <f>VLOOKUP(A197,'2a. SI Pop'!$A$5:$E$198,5,FALSE)</f>
        <v>3</v>
      </c>
      <c r="F197">
        <f>VLOOKUP(E197,Input!$G$5:$H$24,2,FALSE)</f>
        <v>0.23</v>
      </c>
      <c r="G197">
        <f t="shared" ref="G197:P197" si="194">F197</f>
        <v>0.23</v>
      </c>
      <c r="H197">
        <f t="shared" si="194"/>
        <v>0.23</v>
      </c>
      <c r="I197">
        <f t="shared" si="194"/>
        <v>0.23</v>
      </c>
      <c r="J197">
        <f t="shared" si="194"/>
        <v>0.23</v>
      </c>
      <c r="K197">
        <f t="shared" si="194"/>
        <v>0.23</v>
      </c>
      <c r="L197">
        <f t="shared" si="194"/>
        <v>0.23</v>
      </c>
      <c r="M197">
        <f t="shared" si="194"/>
        <v>0.23</v>
      </c>
      <c r="N197">
        <f t="shared" si="194"/>
        <v>0.23</v>
      </c>
      <c r="O197">
        <f t="shared" si="194"/>
        <v>0.23</v>
      </c>
      <c r="P197">
        <f t="shared" si="194"/>
        <v>0.23</v>
      </c>
    </row>
    <row r="198" spans="1:16">
      <c r="A198" s="84" t="s">
        <v>469</v>
      </c>
      <c r="B198" s="85" t="s">
        <v>468</v>
      </c>
      <c r="C198" s="85" t="s">
        <v>83</v>
      </c>
      <c r="D198" s="84" t="s">
        <v>84</v>
      </c>
      <c r="E198" s="84">
        <f>VLOOKUP(A198,'2a. SI Pop'!$A$5:$E$198,5,FALSE)</f>
        <v>3</v>
      </c>
      <c r="F198">
        <f>VLOOKUP(E198,Input!$G$5:$H$24,2,FALSE)</f>
        <v>0.23</v>
      </c>
      <c r="G198">
        <f t="shared" ref="G198:P198" si="195">F198</f>
        <v>0.23</v>
      </c>
      <c r="H198">
        <f t="shared" si="195"/>
        <v>0.23</v>
      </c>
      <c r="I198">
        <f t="shared" si="195"/>
        <v>0.23</v>
      </c>
      <c r="J198">
        <f t="shared" si="195"/>
        <v>0.23</v>
      </c>
      <c r="K198">
        <f t="shared" si="195"/>
        <v>0.23</v>
      </c>
      <c r="L198">
        <f t="shared" si="195"/>
        <v>0.23</v>
      </c>
      <c r="M198">
        <f t="shared" si="195"/>
        <v>0.23</v>
      </c>
      <c r="N198">
        <f t="shared" si="195"/>
        <v>0.23</v>
      </c>
      <c r="O198">
        <f t="shared" si="195"/>
        <v>0.23</v>
      </c>
      <c r="P198">
        <f t="shared" si="195"/>
        <v>0.23</v>
      </c>
    </row>
  </sheetData>
  <autoFilter ref="A4:P198" xr:uid="{D3ACF294-AC7E-174D-A2A9-1F6974A9E745}"/>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327C4-AF27-F144-B65E-8082673862E7}">
  <sheetPr>
    <tabColor theme="4" tint="0.79998168889431442"/>
  </sheetPr>
  <dimension ref="A1:AA204"/>
  <sheetViews>
    <sheetView zoomScale="125" zoomScaleNormal="125" workbookViewId="0">
      <selection activeCell="I22" sqref="I22"/>
    </sheetView>
  </sheetViews>
  <sheetFormatPr defaultColWidth="10.85546875" defaultRowHeight="15" outlineLevelCol="1"/>
  <cols>
    <col min="6" max="6" width="13.7109375" style="61" customWidth="1" outlineLevel="1"/>
    <col min="7" max="7" width="12.140625" customWidth="1" outlineLevel="1"/>
    <col min="8" max="16" width="10.85546875" customWidth="1" outlineLevel="1"/>
    <col min="17" max="17" width="12.28515625" bestFit="1" customWidth="1"/>
    <col min="18" max="27" width="12.140625" bestFit="1" customWidth="1"/>
  </cols>
  <sheetData>
    <row r="1" spans="1:27">
      <c r="A1" t="s">
        <v>470</v>
      </c>
      <c r="B1" t="s">
        <v>488</v>
      </c>
    </row>
    <row r="2" spans="1:27">
      <c r="A2" t="s">
        <v>471</v>
      </c>
      <c r="B2" t="s">
        <v>489</v>
      </c>
    </row>
    <row r="4" spans="1:27" s="91" customFormat="1">
      <c r="A4" s="86" t="s">
        <v>473</v>
      </c>
      <c r="B4" s="87" t="s">
        <v>64</v>
      </c>
      <c r="C4" s="86" t="s">
        <v>66</v>
      </c>
      <c r="D4" s="86" t="s">
        <v>67</v>
      </c>
      <c r="E4" s="86" t="s">
        <v>68</v>
      </c>
      <c r="F4" s="90">
        <v>2014</v>
      </c>
      <c r="G4" s="91">
        <v>2020</v>
      </c>
      <c r="H4" s="91">
        <v>2021</v>
      </c>
      <c r="I4" s="91">
        <v>2022</v>
      </c>
      <c r="J4" s="91">
        <v>2023</v>
      </c>
      <c r="K4" s="91">
        <v>2024</v>
      </c>
      <c r="L4" s="91">
        <v>2025</v>
      </c>
      <c r="M4" s="91">
        <v>2026</v>
      </c>
      <c r="N4" s="91">
        <v>2027</v>
      </c>
      <c r="O4" s="91">
        <v>2028</v>
      </c>
      <c r="P4" s="91">
        <v>2029</v>
      </c>
      <c r="Q4" s="91">
        <v>2030</v>
      </c>
      <c r="R4" s="91">
        <v>2031</v>
      </c>
      <c r="S4" s="91">
        <v>2032</v>
      </c>
      <c r="T4" s="91">
        <v>2033</v>
      </c>
      <c r="U4" s="91">
        <v>2034</v>
      </c>
      <c r="V4" s="91">
        <v>2035</v>
      </c>
      <c r="W4" s="91">
        <v>2036</v>
      </c>
      <c r="X4" s="91">
        <v>2037</v>
      </c>
      <c r="Y4" s="91">
        <v>2038</v>
      </c>
      <c r="Z4" s="91">
        <v>2039</v>
      </c>
      <c r="AA4" s="91">
        <v>2040</v>
      </c>
    </row>
    <row r="5" spans="1:27">
      <c r="A5" s="84" t="s">
        <v>73</v>
      </c>
      <c r="B5" s="85" t="s">
        <v>72</v>
      </c>
      <c r="C5" s="85" t="s">
        <v>74</v>
      </c>
      <c r="D5" s="84" t="s">
        <v>75</v>
      </c>
      <c r="E5" s="84" t="str">
        <f>VLOOKUP(A5,'2a. SI Pop'!$A$5:$E$198,5,FALSE)</f>
        <v>Key</v>
      </c>
      <c r="F5" s="89">
        <v>5144457.8789999997</v>
      </c>
      <c r="G5" s="1">
        <f>F5</f>
        <v>5144457.8789999997</v>
      </c>
      <c r="H5" s="1">
        <f>G5</f>
        <v>5144457.8789999997</v>
      </c>
      <c r="I5" s="1">
        <f t="shared" ref="I5:AA5" si="0">H5</f>
        <v>5144457.8789999997</v>
      </c>
      <c r="J5" s="1">
        <f t="shared" si="0"/>
        <v>5144457.8789999997</v>
      </c>
      <c r="K5" s="1">
        <f t="shared" si="0"/>
        <v>5144457.8789999997</v>
      </c>
      <c r="L5" s="1">
        <f t="shared" si="0"/>
        <v>5144457.8789999997</v>
      </c>
      <c r="M5" s="1">
        <f t="shared" si="0"/>
        <v>5144457.8789999997</v>
      </c>
      <c r="N5" s="1">
        <f t="shared" si="0"/>
        <v>5144457.8789999997</v>
      </c>
      <c r="O5" s="1">
        <f t="shared" si="0"/>
        <v>5144457.8789999997</v>
      </c>
      <c r="P5" s="1">
        <f t="shared" si="0"/>
        <v>5144457.8789999997</v>
      </c>
      <c r="Q5" s="1">
        <f t="shared" si="0"/>
        <v>5144457.8789999997</v>
      </c>
      <c r="R5" s="1">
        <f t="shared" si="0"/>
        <v>5144457.8789999997</v>
      </c>
      <c r="S5" s="1">
        <f t="shared" si="0"/>
        <v>5144457.8789999997</v>
      </c>
      <c r="T5" s="1">
        <f t="shared" si="0"/>
        <v>5144457.8789999997</v>
      </c>
      <c r="U5" s="1">
        <f t="shared" si="0"/>
        <v>5144457.8789999997</v>
      </c>
      <c r="V5" s="1">
        <f t="shared" si="0"/>
        <v>5144457.8789999997</v>
      </c>
      <c r="W5" s="1">
        <f t="shared" si="0"/>
        <v>5144457.8789999997</v>
      </c>
      <c r="X5" s="1">
        <f t="shared" si="0"/>
        <v>5144457.8789999997</v>
      </c>
      <c r="Y5" s="1">
        <f t="shared" si="0"/>
        <v>5144457.8789999997</v>
      </c>
      <c r="Z5" s="1">
        <f t="shared" si="0"/>
        <v>5144457.8789999997</v>
      </c>
      <c r="AA5" s="1">
        <f t="shared" si="0"/>
        <v>5144457.8789999997</v>
      </c>
    </row>
    <row r="6" spans="1:27">
      <c r="A6" s="84" t="s">
        <v>78</v>
      </c>
      <c r="B6" s="85" t="s">
        <v>77</v>
      </c>
      <c r="C6" s="85" t="s">
        <v>79</v>
      </c>
      <c r="D6" s="84" t="s">
        <v>80</v>
      </c>
      <c r="E6" s="84">
        <f>VLOOKUP(A6,'2a. SI Pop'!$A$5:$E$198,5,FALSE)</f>
        <v>1</v>
      </c>
      <c r="F6" s="89">
        <v>0</v>
      </c>
      <c r="G6" s="1">
        <f t="shared" ref="G6:G37" si="1">F6</f>
        <v>0</v>
      </c>
      <c r="H6" s="1">
        <f t="shared" ref="H6:AA6" si="2">G6</f>
        <v>0</v>
      </c>
      <c r="I6" s="1">
        <f t="shared" si="2"/>
        <v>0</v>
      </c>
      <c r="J6" s="1">
        <f t="shared" si="2"/>
        <v>0</v>
      </c>
      <c r="K6" s="1">
        <f t="shared" si="2"/>
        <v>0</v>
      </c>
      <c r="L6" s="1">
        <f t="shared" si="2"/>
        <v>0</v>
      </c>
      <c r="M6" s="1">
        <f t="shared" si="2"/>
        <v>0</v>
      </c>
      <c r="N6" s="1">
        <f t="shared" si="2"/>
        <v>0</v>
      </c>
      <c r="O6" s="1">
        <f t="shared" si="2"/>
        <v>0</v>
      </c>
      <c r="P6" s="1">
        <f t="shared" si="2"/>
        <v>0</v>
      </c>
      <c r="Q6" s="1">
        <f t="shared" si="2"/>
        <v>0</v>
      </c>
      <c r="R6" s="1">
        <f t="shared" si="2"/>
        <v>0</v>
      </c>
      <c r="S6" s="1">
        <f t="shared" si="2"/>
        <v>0</v>
      </c>
      <c r="T6" s="1">
        <f t="shared" si="2"/>
        <v>0</v>
      </c>
      <c r="U6" s="1">
        <f t="shared" si="2"/>
        <v>0</v>
      </c>
      <c r="V6" s="1">
        <f t="shared" si="2"/>
        <v>0</v>
      </c>
      <c r="W6" s="1">
        <f t="shared" si="2"/>
        <v>0</v>
      </c>
      <c r="X6" s="1">
        <f t="shared" si="2"/>
        <v>0</v>
      </c>
      <c r="Y6" s="1">
        <f t="shared" si="2"/>
        <v>0</v>
      </c>
      <c r="Z6" s="1">
        <f t="shared" si="2"/>
        <v>0</v>
      </c>
      <c r="AA6" s="1">
        <f t="shared" si="2"/>
        <v>0</v>
      </c>
    </row>
    <row r="7" spans="1:27">
      <c r="A7" s="84" t="s">
        <v>82</v>
      </c>
      <c r="B7" s="85" t="s">
        <v>81</v>
      </c>
      <c r="C7" s="85" t="s">
        <v>83</v>
      </c>
      <c r="D7" s="84" t="s">
        <v>84</v>
      </c>
      <c r="E7" s="84">
        <f>VLOOKUP(A7,'2a. SI Pop'!$A$5:$E$198,5,FALSE)</f>
        <v>2</v>
      </c>
      <c r="F7" s="89">
        <v>0</v>
      </c>
      <c r="G7" s="1">
        <f t="shared" si="1"/>
        <v>0</v>
      </c>
      <c r="H7" s="1">
        <f t="shared" ref="H7:AA7" si="3">G7</f>
        <v>0</v>
      </c>
      <c r="I7" s="1">
        <f t="shared" si="3"/>
        <v>0</v>
      </c>
      <c r="J7" s="1">
        <f t="shared" si="3"/>
        <v>0</v>
      </c>
      <c r="K7" s="1">
        <f t="shared" si="3"/>
        <v>0</v>
      </c>
      <c r="L7" s="1">
        <f t="shared" si="3"/>
        <v>0</v>
      </c>
      <c r="M7" s="1">
        <f t="shared" si="3"/>
        <v>0</v>
      </c>
      <c r="N7" s="1">
        <f t="shared" si="3"/>
        <v>0</v>
      </c>
      <c r="O7" s="1">
        <f t="shared" si="3"/>
        <v>0</v>
      </c>
      <c r="P7" s="1">
        <f t="shared" si="3"/>
        <v>0</v>
      </c>
      <c r="Q7" s="1">
        <f t="shared" si="3"/>
        <v>0</v>
      </c>
      <c r="R7" s="1">
        <f t="shared" si="3"/>
        <v>0</v>
      </c>
      <c r="S7" s="1">
        <f t="shared" si="3"/>
        <v>0</v>
      </c>
      <c r="T7" s="1">
        <f t="shared" si="3"/>
        <v>0</v>
      </c>
      <c r="U7" s="1">
        <f t="shared" si="3"/>
        <v>0</v>
      </c>
      <c r="V7" s="1">
        <f t="shared" si="3"/>
        <v>0</v>
      </c>
      <c r="W7" s="1">
        <f t="shared" si="3"/>
        <v>0</v>
      </c>
      <c r="X7" s="1">
        <f t="shared" si="3"/>
        <v>0</v>
      </c>
      <c r="Y7" s="1">
        <f t="shared" si="3"/>
        <v>0</v>
      </c>
      <c r="Z7" s="1">
        <f t="shared" si="3"/>
        <v>0</v>
      </c>
      <c r="AA7" s="1">
        <f t="shared" si="3"/>
        <v>0</v>
      </c>
    </row>
    <row r="8" spans="1:27">
      <c r="A8" s="84" t="s">
        <v>86</v>
      </c>
      <c r="B8" s="85" t="s">
        <v>85</v>
      </c>
      <c r="C8" s="85" t="s">
        <v>79</v>
      </c>
      <c r="D8" s="84" t="s">
        <v>87</v>
      </c>
      <c r="E8" s="84">
        <f>VLOOKUP(A8,'2a. SI Pop'!$A$5:$E$198,5,FALSE)</f>
        <v>1</v>
      </c>
      <c r="F8" s="89">
        <v>0</v>
      </c>
      <c r="G8" s="1">
        <f t="shared" si="1"/>
        <v>0</v>
      </c>
      <c r="H8" s="1">
        <f t="shared" ref="H8:AA8" si="4">G8</f>
        <v>0</v>
      </c>
      <c r="I8" s="1">
        <f t="shared" si="4"/>
        <v>0</v>
      </c>
      <c r="J8" s="1">
        <f t="shared" si="4"/>
        <v>0</v>
      </c>
      <c r="K8" s="1">
        <f t="shared" si="4"/>
        <v>0</v>
      </c>
      <c r="L8" s="1">
        <f t="shared" si="4"/>
        <v>0</v>
      </c>
      <c r="M8" s="1">
        <f t="shared" si="4"/>
        <v>0</v>
      </c>
      <c r="N8" s="1">
        <f t="shared" si="4"/>
        <v>0</v>
      </c>
      <c r="O8" s="1">
        <f t="shared" si="4"/>
        <v>0</v>
      </c>
      <c r="P8" s="1">
        <f t="shared" si="4"/>
        <v>0</v>
      </c>
      <c r="Q8" s="1">
        <f t="shared" si="4"/>
        <v>0</v>
      </c>
      <c r="R8" s="1">
        <f t="shared" si="4"/>
        <v>0</v>
      </c>
      <c r="S8" s="1">
        <f t="shared" si="4"/>
        <v>0</v>
      </c>
      <c r="T8" s="1">
        <f t="shared" si="4"/>
        <v>0</v>
      </c>
      <c r="U8" s="1">
        <f t="shared" si="4"/>
        <v>0</v>
      </c>
      <c r="V8" s="1">
        <f t="shared" si="4"/>
        <v>0</v>
      </c>
      <c r="W8" s="1">
        <f t="shared" si="4"/>
        <v>0</v>
      </c>
      <c r="X8" s="1">
        <f t="shared" si="4"/>
        <v>0</v>
      </c>
      <c r="Y8" s="1">
        <f t="shared" si="4"/>
        <v>0</v>
      </c>
      <c r="Z8" s="1">
        <f t="shared" si="4"/>
        <v>0</v>
      </c>
      <c r="AA8" s="1">
        <f t="shared" si="4"/>
        <v>0</v>
      </c>
    </row>
    <row r="9" spans="1:27">
      <c r="A9" s="84" t="s">
        <v>89</v>
      </c>
      <c r="B9" s="85" t="s">
        <v>88</v>
      </c>
      <c r="C9" s="85" t="s">
        <v>83</v>
      </c>
      <c r="D9" s="84" t="s">
        <v>84</v>
      </c>
      <c r="E9" s="84">
        <f>VLOOKUP(A9,'2a. SI Pop'!$A$5:$E$198,5,FALSE)</f>
        <v>3</v>
      </c>
      <c r="F9" s="89">
        <v>9379970.0850000009</v>
      </c>
      <c r="G9" s="1">
        <f t="shared" si="1"/>
        <v>9379970.0850000009</v>
      </c>
      <c r="H9" s="1">
        <f t="shared" ref="H9:AA9" si="5">G9</f>
        <v>9379970.0850000009</v>
      </c>
      <c r="I9" s="1">
        <f t="shared" si="5"/>
        <v>9379970.0850000009</v>
      </c>
      <c r="J9" s="1">
        <f t="shared" si="5"/>
        <v>9379970.0850000009</v>
      </c>
      <c r="K9" s="1">
        <f t="shared" si="5"/>
        <v>9379970.0850000009</v>
      </c>
      <c r="L9" s="1">
        <f t="shared" si="5"/>
        <v>9379970.0850000009</v>
      </c>
      <c r="M9" s="1">
        <f t="shared" si="5"/>
        <v>9379970.0850000009</v>
      </c>
      <c r="N9" s="1">
        <f t="shared" si="5"/>
        <v>9379970.0850000009</v>
      </c>
      <c r="O9" s="1">
        <f t="shared" si="5"/>
        <v>9379970.0850000009</v>
      </c>
      <c r="P9" s="1">
        <f t="shared" si="5"/>
        <v>9379970.0850000009</v>
      </c>
      <c r="Q9" s="1">
        <f t="shared" si="5"/>
        <v>9379970.0850000009</v>
      </c>
      <c r="R9" s="1">
        <f t="shared" si="5"/>
        <v>9379970.0850000009</v>
      </c>
      <c r="S9" s="1">
        <f t="shared" si="5"/>
        <v>9379970.0850000009</v>
      </c>
      <c r="T9" s="1">
        <f t="shared" si="5"/>
        <v>9379970.0850000009</v>
      </c>
      <c r="U9" s="1">
        <f t="shared" si="5"/>
        <v>9379970.0850000009</v>
      </c>
      <c r="V9" s="1">
        <f t="shared" si="5"/>
        <v>9379970.0850000009</v>
      </c>
      <c r="W9" s="1">
        <f t="shared" si="5"/>
        <v>9379970.0850000009</v>
      </c>
      <c r="X9" s="1">
        <f t="shared" si="5"/>
        <v>9379970.0850000009</v>
      </c>
      <c r="Y9" s="1">
        <f t="shared" si="5"/>
        <v>9379970.0850000009</v>
      </c>
      <c r="Z9" s="1">
        <f t="shared" si="5"/>
        <v>9379970.0850000009</v>
      </c>
      <c r="AA9" s="1">
        <f t="shared" si="5"/>
        <v>9379970.0850000009</v>
      </c>
    </row>
    <row r="10" spans="1:27">
      <c r="A10" s="84" t="s">
        <v>91</v>
      </c>
      <c r="B10" s="85" t="s">
        <v>90</v>
      </c>
      <c r="C10" s="85" t="s">
        <v>92</v>
      </c>
      <c r="D10" s="84" t="s">
        <v>87</v>
      </c>
      <c r="E10" s="84">
        <f>VLOOKUP(A10,'2a. SI Pop'!$A$5:$E$198,5,FALSE)</f>
        <v>1</v>
      </c>
      <c r="F10" s="89">
        <v>0</v>
      </c>
      <c r="G10" s="1">
        <f t="shared" si="1"/>
        <v>0</v>
      </c>
      <c r="H10" s="1">
        <f t="shared" ref="H10:AA10" si="6">G10</f>
        <v>0</v>
      </c>
      <c r="I10" s="1">
        <f t="shared" si="6"/>
        <v>0</v>
      </c>
      <c r="J10" s="1">
        <f t="shared" si="6"/>
        <v>0</v>
      </c>
      <c r="K10" s="1">
        <f t="shared" si="6"/>
        <v>0</v>
      </c>
      <c r="L10" s="1">
        <f t="shared" si="6"/>
        <v>0</v>
      </c>
      <c r="M10" s="1">
        <f t="shared" si="6"/>
        <v>0</v>
      </c>
      <c r="N10" s="1">
        <f t="shared" si="6"/>
        <v>0</v>
      </c>
      <c r="O10" s="1">
        <f t="shared" si="6"/>
        <v>0</v>
      </c>
      <c r="P10" s="1">
        <f t="shared" si="6"/>
        <v>0</v>
      </c>
      <c r="Q10" s="1">
        <f t="shared" si="6"/>
        <v>0</v>
      </c>
      <c r="R10" s="1">
        <f t="shared" si="6"/>
        <v>0</v>
      </c>
      <c r="S10" s="1">
        <f t="shared" si="6"/>
        <v>0</v>
      </c>
      <c r="T10" s="1">
        <f t="shared" si="6"/>
        <v>0</v>
      </c>
      <c r="U10" s="1">
        <f t="shared" si="6"/>
        <v>0</v>
      </c>
      <c r="V10" s="1">
        <f t="shared" si="6"/>
        <v>0</v>
      </c>
      <c r="W10" s="1">
        <f t="shared" si="6"/>
        <v>0</v>
      </c>
      <c r="X10" s="1">
        <f t="shared" si="6"/>
        <v>0</v>
      </c>
      <c r="Y10" s="1">
        <f t="shared" si="6"/>
        <v>0</v>
      </c>
      <c r="Z10" s="1">
        <f t="shared" si="6"/>
        <v>0</v>
      </c>
      <c r="AA10" s="1">
        <f t="shared" si="6"/>
        <v>0</v>
      </c>
    </row>
    <row r="11" spans="1:27">
      <c r="A11" s="84" t="s">
        <v>94</v>
      </c>
      <c r="B11" s="85" t="s">
        <v>93</v>
      </c>
      <c r="C11" s="85" t="s">
        <v>92</v>
      </c>
      <c r="D11" s="84" t="s">
        <v>80</v>
      </c>
      <c r="E11" s="84">
        <f>VLOOKUP(A11,'2a. SI Pop'!$A$5:$E$198,5,FALSE)</f>
        <v>1</v>
      </c>
      <c r="F11" s="89">
        <v>6511348.2029999997</v>
      </c>
      <c r="G11" s="1">
        <f t="shared" si="1"/>
        <v>6511348.2029999997</v>
      </c>
      <c r="H11" s="1">
        <f t="shared" ref="H11:AA11" si="7">G11</f>
        <v>6511348.2029999997</v>
      </c>
      <c r="I11" s="1">
        <f t="shared" si="7"/>
        <v>6511348.2029999997</v>
      </c>
      <c r="J11" s="1">
        <f t="shared" si="7"/>
        <v>6511348.2029999997</v>
      </c>
      <c r="K11" s="1">
        <f t="shared" si="7"/>
        <v>6511348.2029999997</v>
      </c>
      <c r="L11" s="1">
        <f t="shared" si="7"/>
        <v>6511348.2029999997</v>
      </c>
      <c r="M11" s="1">
        <f t="shared" si="7"/>
        <v>6511348.2029999997</v>
      </c>
      <c r="N11" s="1">
        <f t="shared" si="7"/>
        <v>6511348.2029999997</v>
      </c>
      <c r="O11" s="1">
        <f t="shared" si="7"/>
        <v>6511348.2029999997</v>
      </c>
      <c r="P11" s="1">
        <f t="shared" si="7"/>
        <v>6511348.2029999997</v>
      </c>
      <c r="Q11" s="1">
        <f t="shared" si="7"/>
        <v>6511348.2029999997</v>
      </c>
      <c r="R11" s="1">
        <f t="shared" si="7"/>
        <v>6511348.2029999997</v>
      </c>
      <c r="S11" s="1">
        <f t="shared" si="7"/>
        <v>6511348.2029999997</v>
      </c>
      <c r="T11" s="1">
        <f t="shared" si="7"/>
        <v>6511348.2029999997</v>
      </c>
      <c r="U11" s="1">
        <f t="shared" si="7"/>
        <v>6511348.2029999997</v>
      </c>
      <c r="V11" s="1">
        <f t="shared" si="7"/>
        <v>6511348.2029999997</v>
      </c>
      <c r="W11" s="1">
        <f t="shared" si="7"/>
        <v>6511348.2029999997</v>
      </c>
      <c r="X11" s="1">
        <f t="shared" si="7"/>
        <v>6511348.2029999997</v>
      </c>
      <c r="Y11" s="1">
        <f t="shared" si="7"/>
        <v>6511348.2029999997</v>
      </c>
      <c r="Z11" s="1">
        <f t="shared" si="7"/>
        <v>6511348.2029999997</v>
      </c>
      <c r="AA11" s="1">
        <f t="shared" si="7"/>
        <v>6511348.2029999997</v>
      </c>
    </row>
    <row r="12" spans="1:27">
      <c r="A12" s="84" t="s">
        <v>96</v>
      </c>
      <c r="B12" s="85" t="s">
        <v>95</v>
      </c>
      <c r="C12" s="85" t="s">
        <v>79</v>
      </c>
      <c r="D12" s="84" t="s">
        <v>80</v>
      </c>
      <c r="E12" s="84">
        <f>VLOOKUP(A12,'2a. SI Pop'!$A$5:$E$198,5,FALSE)</f>
        <v>1</v>
      </c>
      <c r="F12" s="89">
        <v>264682.94400000002</v>
      </c>
      <c r="G12" s="1">
        <f t="shared" si="1"/>
        <v>264682.94400000002</v>
      </c>
      <c r="H12" s="1">
        <f t="shared" ref="H12:AA12" si="8">G12</f>
        <v>264682.94400000002</v>
      </c>
      <c r="I12" s="1">
        <f t="shared" si="8"/>
        <v>264682.94400000002</v>
      </c>
      <c r="J12" s="1">
        <f t="shared" si="8"/>
        <v>264682.94400000002</v>
      </c>
      <c r="K12" s="1">
        <f t="shared" si="8"/>
        <v>264682.94400000002</v>
      </c>
      <c r="L12" s="1">
        <f t="shared" si="8"/>
        <v>264682.94400000002</v>
      </c>
      <c r="M12" s="1">
        <f t="shared" si="8"/>
        <v>264682.94400000002</v>
      </c>
      <c r="N12" s="1">
        <f t="shared" si="8"/>
        <v>264682.94400000002</v>
      </c>
      <c r="O12" s="1">
        <f t="shared" si="8"/>
        <v>264682.94400000002</v>
      </c>
      <c r="P12" s="1">
        <f t="shared" si="8"/>
        <v>264682.94400000002</v>
      </c>
      <c r="Q12" s="1">
        <f t="shared" si="8"/>
        <v>264682.94400000002</v>
      </c>
      <c r="R12" s="1">
        <f t="shared" si="8"/>
        <v>264682.94400000002</v>
      </c>
      <c r="S12" s="1">
        <f t="shared" si="8"/>
        <v>264682.94400000002</v>
      </c>
      <c r="T12" s="1">
        <f t="shared" si="8"/>
        <v>264682.94400000002</v>
      </c>
      <c r="U12" s="1">
        <f t="shared" si="8"/>
        <v>264682.94400000002</v>
      </c>
      <c r="V12" s="1">
        <f t="shared" si="8"/>
        <v>264682.94400000002</v>
      </c>
      <c r="W12" s="1">
        <f t="shared" si="8"/>
        <v>264682.94400000002</v>
      </c>
      <c r="X12" s="1">
        <f t="shared" si="8"/>
        <v>264682.94400000002</v>
      </c>
      <c r="Y12" s="1">
        <f t="shared" si="8"/>
        <v>264682.94400000002</v>
      </c>
      <c r="Z12" s="1">
        <f t="shared" si="8"/>
        <v>264682.94400000002</v>
      </c>
      <c r="AA12" s="1">
        <f t="shared" si="8"/>
        <v>264682.94400000002</v>
      </c>
    </row>
    <row r="13" spans="1:27">
      <c r="A13" s="84" t="s">
        <v>98</v>
      </c>
      <c r="B13" s="85" t="s">
        <v>97</v>
      </c>
      <c r="C13" s="85" t="s">
        <v>99</v>
      </c>
      <c r="D13" s="84" t="s">
        <v>87</v>
      </c>
      <c r="E13" s="84">
        <f>VLOOKUP(A13,'2a. SI Pop'!$A$5:$E$198,5,FALSE)</f>
        <v>1</v>
      </c>
      <c r="F13" s="89">
        <v>0</v>
      </c>
      <c r="G13" s="1">
        <f t="shared" si="1"/>
        <v>0</v>
      </c>
      <c r="H13" s="1">
        <f t="shared" ref="H13:AA13" si="9">G13</f>
        <v>0</v>
      </c>
      <c r="I13" s="1">
        <f t="shared" si="9"/>
        <v>0</v>
      </c>
      <c r="J13" s="1">
        <f t="shared" si="9"/>
        <v>0</v>
      </c>
      <c r="K13" s="1">
        <f t="shared" si="9"/>
        <v>0</v>
      </c>
      <c r="L13" s="1">
        <f t="shared" si="9"/>
        <v>0</v>
      </c>
      <c r="M13" s="1">
        <f t="shared" si="9"/>
        <v>0</v>
      </c>
      <c r="N13" s="1">
        <f t="shared" si="9"/>
        <v>0</v>
      </c>
      <c r="O13" s="1">
        <f t="shared" si="9"/>
        <v>0</v>
      </c>
      <c r="P13" s="1">
        <f t="shared" si="9"/>
        <v>0</v>
      </c>
      <c r="Q13" s="1">
        <f t="shared" si="9"/>
        <v>0</v>
      </c>
      <c r="R13" s="1">
        <f t="shared" si="9"/>
        <v>0</v>
      </c>
      <c r="S13" s="1">
        <f t="shared" si="9"/>
        <v>0</v>
      </c>
      <c r="T13" s="1">
        <f t="shared" si="9"/>
        <v>0</v>
      </c>
      <c r="U13" s="1">
        <f t="shared" si="9"/>
        <v>0</v>
      </c>
      <c r="V13" s="1">
        <f t="shared" si="9"/>
        <v>0</v>
      </c>
      <c r="W13" s="1">
        <f t="shared" si="9"/>
        <v>0</v>
      </c>
      <c r="X13" s="1">
        <f t="shared" si="9"/>
        <v>0</v>
      </c>
      <c r="Y13" s="1">
        <f t="shared" si="9"/>
        <v>0</v>
      </c>
      <c r="Z13" s="1">
        <f t="shared" si="9"/>
        <v>0</v>
      </c>
      <c r="AA13" s="1">
        <f t="shared" si="9"/>
        <v>0</v>
      </c>
    </row>
    <row r="14" spans="1:27">
      <c r="A14" s="84" t="s">
        <v>101</v>
      </c>
      <c r="B14" s="85" t="s">
        <v>100</v>
      </c>
      <c r="C14" s="85" t="s">
        <v>79</v>
      </c>
      <c r="D14" s="84" t="s">
        <v>87</v>
      </c>
      <c r="E14" s="84">
        <f>VLOOKUP(A14,'2a. SI Pop'!$A$5:$E$198,5,FALSE)</f>
        <v>1</v>
      </c>
      <c r="F14" s="89">
        <v>0</v>
      </c>
      <c r="G14" s="1">
        <f t="shared" si="1"/>
        <v>0</v>
      </c>
      <c r="H14" s="1">
        <f t="shared" ref="H14:AA14" si="10">G14</f>
        <v>0</v>
      </c>
      <c r="I14" s="1">
        <f t="shared" si="10"/>
        <v>0</v>
      </c>
      <c r="J14" s="1">
        <f t="shared" si="10"/>
        <v>0</v>
      </c>
      <c r="K14" s="1">
        <f t="shared" si="10"/>
        <v>0</v>
      </c>
      <c r="L14" s="1">
        <f t="shared" si="10"/>
        <v>0</v>
      </c>
      <c r="M14" s="1">
        <f t="shared" si="10"/>
        <v>0</v>
      </c>
      <c r="N14" s="1">
        <f t="shared" si="10"/>
        <v>0</v>
      </c>
      <c r="O14" s="1">
        <f t="shared" si="10"/>
        <v>0</v>
      </c>
      <c r="P14" s="1">
        <f t="shared" si="10"/>
        <v>0</v>
      </c>
      <c r="Q14" s="1">
        <f t="shared" si="10"/>
        <v>0</v>
      </c>
      <c r="R14" s="1">
        <f t="shared" si="10"/>
        <v>0</v>
      </c>
      <c r="S14" s="1">
        <f t="shared" si="10"/>
        <v>0</v>
      </c>
      <c r="T14" s="1">
        <f t="shared" si="10"/>
        <v>0</v>
      </c>
      <c r="U14" s="1">
        <f t="shared" si="10"/>
        <v>0</v>
      </c>
      <c r="V14" s="1">
        <f t="shared" si="10"/>
        <v>0</v>
      </c>
      <c r="W14" s="1">
        <f t="shared" si="10"/>
        <v>0</v>
      </c>
      <c r="X14" s="1">
        <f t="shared" si="10"/>
        <v>0</v>
      </c>
      <c r="Y14" s="1">
        <f t="shared" si="10"/>
        <v>0</v>
      </c>
      <c r="Z14" s="1">
        <f t="shared" si="10"/>
        <v>0</v>
      </c>
      <c r="AA14" s="1">
        <f t="shared" si="10"/>
        <v>0</v>
      </c>
    </row>
    <row r="15" spans="1:27">
      <c r="A15" s="84" t="s">
        <v>103</v>
      </c>
      <c r="B15" s="85" t="s">
        <v>102</v>
      </c>
      <c r="C15" s="85" t="s">
        <v>79</v>
      </c>
      <c r="D15" s="84" t="s">
        <v>80</v>
      </c>
      <c r="E15" s="84">
        <f>VLOOKUP(A15,'2a. SI Pop'!$A$5:$E$198,5,FALSE)</f>
        <v>1</v>
      </c>
      <c r="F15" s="89">
        <v>0</v>
      </c>
      <c r="G15" s="1">
        <f t="shared" si="1"/>
        <v>0</v>
      </c>
      <c r="H15" s="1">
        <f t="shared" ref="H15:AA15" si="11">G15</f>
        <v>0</v>
      </c>
      <c r="I15" s="1">
        <f t="shared" si="11"/>
        <v>0</v>
      </c>
      <c r="J15" s="1">
        <f t="shared" si="11"/>
        <v>0</v>
      </c>
      <c r="K15" s="1">
        <f t="shared" si="11"/>
        <v>0</v>
      </c>
      <c r="L15" s="1">
        <f t="shared" si="11"/>
        <v>0</v>
      </c>
      <c r="M15" s="1">
        <f t="shared" si="11"/>
        <v>0</v>
      </c>
      <c r="N15" s="1">
        <f t="shared" si="11"/>
        <v>0</v>
      </c>
      <c r="O15" s="1">
        <f t="shared" si="11"/>
        <v>0</v>
      </c>
      <c r="P15" s="1">
        <f t="shared" si="11"/>
        <v>0</v>
      </c>
      <c r="Q15" s="1">
        <f t="shared" si="11"/>
        <v>0</v>
      </c>
      <c r="R15" s="1">
        <f t="shared" si="11"/>
        <v>0</v>
      </c>
      <c r="S15" s="1">
        <f t="shared" si="11"/>
        <v>0</v>
      </c>
      <c r="T15" s="1">
        <f t="shared" si="11"/>
        <v>0</v>
      </c>
      <c r="U15" s="1">
        <f t="shared" si="11"/>
        <v>0</v>
      </c>
      <c r="V15" s="1">
        <f t="shared" si="11"/>
        <v>0</v>
      </c>
      <c r="W15" s="1">
        <f t="shared" si="11"/>
        <v>0</v>
      </c>
      <c r="X15" s="1">
        <f t="shared" si="11"/>
        <v>0</v>
      </c>
      <c r="Y15" s="1">
        <f t="shared" si="11"/>
        <v>0</v>
      </c>
      <c r="Z15" s="1">
        <f t="shared" si="11"/>
        <v>0</v>
      </c>
      <c r="AA15" s="1">
        <f t="shared" si="11"/>
        <v>0</v>
      </c>
    </row>
    <row r="16" spans="1:27">
      <c r="A16" s="84" t="s">
        <v>105</v>
      </c>
      <c r="B16" s="85" t="s">
        <v>104</v>
      </c>
      <c r="C16" s="85" t="s">
        <v>92</v>
      </c>
      <c r="D16" s="84" t="s">
        <v>87</v>
      </c>
      <c r="E16" s="84">
        <f>VLOOKUP(A16,'2a. SI Pop'!$A$5:$E$198,5,FALSE)</f>
        <v>1</v>
      </c>
      <c r="F16" s="89">
        <v>0</v>
      </c>
      <c r="G16" s="1">
        <f t="shared" si="1"/>
        <v>0</v>
      </c>
      <c r="H16" s="1">
        <f t="shared" ref="H16:AA16" si="12">G16</f>
        <v>0</v>
      </c>
      <c r="I16" s="1">
        <f t="shared" si="12"/>
        <v>0</v>
      </c>
      <c r="J16" s="1">
        <f t="shared" si="12"/>
        <v>0</v>
      </c>
      <c r="K16" s="1">
        <f t="shared" si="12"/>
        <v>0</v>
      </c>
      <c r="L16" s="1">
        <f t="shared" si="12"/>
        <v>0</v>
      </c>
      <c r="M16" s="1">
        <f t="shared" si="12"/>
        <v>0</v>
      </c>
      <c r="N16" s="1">
        <f t="shared" si="12"/>
        <v>0</v>
      </c>
      <c r="O16" s="1">
        <f t="shared" si="12"/>
        <v>0</v>
      </c>
      <c r="P16" s="1">
        <f t="shared" si="12"/>
        <v>0</v>
      </c>
      <c r="Q16" s="1">
        <f t="shared" si="12"/>
        <v>0</v>
      </c>
      <c r="R16" s="1">
        <f t="shared" si="12"/>
        <v>0</v>
      </c>
      <c r="S16" s="1">
        <f t="shared" si="12"/>
        <v>0</v>
      </c>
      <c r="T16" s="1">
        <f t="shared" si="12"/>
        <v>0</v>
      </c>
      <c r="U16" s="1">
        <f t="shared" si="12"/>
        <v>0</v>
      </c>
      <c r="V16" s="1">
        <f t="shared" si="12"/>
        <v>0</v>
      </c>
      <c r="W16" s="1">
        <f t="shared" si="12"/>
        <v>0</v>
      </c>
      <c r="X16" s="1">
        <f t="shared" si="12"/>
        <v>0</v>
      </c>
      <c r="Y16" s="1">
        <f t="shared" si="12"/>
        <v>0</v>
      </c>
      <c r="Z16" s="1">
        <f t="shared" si="12"/>
        <v>0</v>
      </c>
      <c r="AA16" s="1">
        <f t="shared" si="12"/>
        <v>0</v>
      </c>
    </row>
    <row r="17" spans="1:27">
      <c r="A17" s="84" t="s">
        <v>107</v>
      </c>
      <c r="B17" s="85" t="s">
        <v>106</v>
      </c>
      <c r="C17" s="85" t="s">
        <v>74</v>
      </c>
      <c r="D17" s="84" t="s">
        <v>87</v>
      </c>
      <c r="E17" s="84">
        <f>VLOOKUP(A17,'2a. SI Pop'!$A$5:$E$198,5,FALSE)</f>
        <v>1</v>
      </c>
      <c r="F17" s="89">
        <v>0</v>
      </c>
      <c r="G17" s="1">
        <f t="shared" si="1"/>
        <v>0</v>
      </c>
      <c r="H17" s="1">
        <f t="shared" ref="H17:AA17" si="13">G17</f>
        <v>0</v>
      </c>
      <c r="I17" s="1">
        <f t="shared" si="13"/>
        <v>0</v>
      </c>
      <c r="J17" s="1">
        <f t="shared" si="13"/>
        <v>0</v>
      </c>
      <c r="K17" s="1">
        <f t="shared" si="13"/>
        <v>0</v>
      </c>
      <c r="L17" s="1">
        <f t="shared" si="13"/>
        <v>0</v>
      </c>
      <c r="M17" s="1">
        <f t="shared" si="13"/>
        <v>0</v>
      </c>
      <c r="N17" s="1">
        <f t="shared" si="13"/>
        <v>0</v>
      </c>
      <c r="O17" s="1">
        <f t="shared" si="13"/>
        <v>0</v>
      </c>
      <c r="P17" s="1">
        <f t="shared" si="13"/>
        <v>0</v>
      </c>
      <c r="Q17" s="1">
        <f t="shared" si="13"/>
        <v>0</v>
      </c>
      <c r="R17" s="1">
        <f t="shared" si="13"/>
        <v>0</v>
      </c>
      <c r="S17" s="1">
        <f t="shared" si="13"/>
        <v>0</v>
      </c>
      <c r="T17" s="1">
        <f t="shared" si="13"/>
        <v>0</v>
      </c>
      <c r="U17" s="1">
        <f t="shared" si="13"/>
        <v>0</v>
      </c>
      <c r="V17" s="1">
        <f t="shared" si="13"/>
        <v>0</v>
      </c>
      <c r="W17" s="1">
        <f t="shared" si="13"/>
        <v>0</v>
      </c>
      <c r="X17" s="1">
        <f t="shared" si="13"/>
        <v>0</v>
      </c>
      <c r="Y17" s="1">
        <f t="shared" si="13"/>
        <v>0</v>
      </c>
      <c r="Z17" s="1">
        <f t="shared" si="13"/>
        <v>0</v>
      </c>
      <c r="AA17" s="1">
        <f t="shared" si="13"/>
        <v>0</v>
      </c>
    </row>
    <row r="18" spans="1:27">
      <c r="A18" s="84" t="s">
        <v>109</v>
      </c>
      <c r="B18" s="85" t="s">
        <v>108</v>
      </c>
      <c r="C18" s="85" t="s">
        <v>110</v>
      </c>
      <c r="D18" s="84" t="s">
        <v>84</v>
      </c>
      <c r="E18" s="84" t="str">
        <f>VLOOKUP(A18,'2a. SI Pop'!$A$5:$E$198,5,FALSE)</f>
        <v>Key</v>
      </c>
      <c r="F18" s="89">
        <v>28551904.238000002</v>
      </c>
      <c r="G18" s="1">
        <f t="shared" si="1"/>
        <v>28551904.238000002</v>
      </c>
      <c r="H18" s="1">
        <f t="shared" ref="H18:AA18" si="14">G18</f>
        <v>28551904.238000002</v>
      </c>
      <c r="I18" s="1">
        <f t="shared" si="14"/>
        <v>28551904.238000002</v>
      </c>
      <c r="J18" s="1">
        <f t="shared" si="14"/>
        <v>28551904.238000002</v>
      </c>
      <c r="K18" s="1">
        <f t="shared" si="14"/>
        <v>28551904.238000002</v>
      </c>
      <c r="L18" s="1">
        <f t="shared" si="14"/>
        <v>28551904.238000002</v>
      </c>
      <c r="M18" s="1">
        <f t="shared" si="14"/>
        <v>28551904.238000002</v>
      </c>
      <c r="N18" s="1">
        <f t="shared" si="14"/>
        <v>28551904.238000002</v>
      </c>
      <c r="O18" s="1">
        <f t="shared" si="14"/>
        <v>28551904.238000002</v>
      </c>
      <c r="P18" s="1">
        <f t="shared" si="14"/>
        <v>28551904.238000002</v>
      </c>
      <c r="Q18" s="1">
        <f t="shared" si="14"/>
        <v>28551904.238000002</v>
      </c>
      <c r="R18" s="1">
        <f t="shared" si="14"/>
        <v>28551904.238000002</v>
      </c>
      <c r="S18" s="1">
        <f t="shared" si="14"/>
        <v>28551904.238000002</v>
      </c>
      <c r="T18" s="1">
        <f t="shared" si="14"/>
        <v>28551904.238000002</v>
      </c>
      <c r="U18" s="1">
        <f t="shared" si="14"/>
        <v>28551904.238000002</v>
      </c>
      <c r="V18" s="1">
        <f t="shared" si="14"/>
        <v>28551904.238000002</v>
      </c>
      <c r="W18" s="1">
        <f t="shared" si="14"/>
        <v>28551904.238000002</v>
      </c>
      <c r="X18" s="1">
        <f t="shared" si="14"/>
        <v>28551904.238000002</v>
      </c>
      <c r="Y18" s="1">
        <f t="shared" si="14"/>
        <v>28551904.238000002</v>
      </c>
      <c r="Z18" s="1">
        <f t="shared" si="14"/>
        <v>28551904.238000002</v>
      </c>
      <c r="AA18" s="1">
        <f t="shared" si="14"/>
        <v>28551904.238000002</v>
      </c>
    </row>
    <row r="19" spans="1:27">
      <c r="A19" s="84" t="s">
        <v>112</v>
      </c>
      <c r="B19" s="85" t="s">
        <v>111</v>
      </c>
      <c r="C19" s="85" t="s">
        <v>92</v>
      </c>
      <c r="D19" s="84" t="s">
        <v>87</v>
      </c>
      <c r="E19" s="84">
        <f>VLOOKUP(A19,'2a. SI Pop'!$A$5:$E$198,5,FALSE)</f>
        <v>1</v>
      </c>
      <c r="F19" s="89">
        <v>0</v>
      </c>
      <c r="G19" s="1">
        <f t="shared" si="1"/>
        <v>0</v>
      </c>
      <c r="H19" s="1">
        <f t="shared" ref="H19:AA19" si="15">G19</f>
        <v>0</v>
      </c>
      <c r="I19" s="1">
        <f t="shared" si="15"/>
        <v>0</v>
      </c>
      <c r="J19" s="1">
        <f t="shared" si="15"/>
        <v>0</v>
      </c>
      <c r="K19" s="1">
        <f t="shared" si="15"/>
        <v>0</v>
      </c>
      <c r="L19" s="1">
        <f t="shared" si="15"/>
        <v>0</v>
      </c>
      <c r="M19" s="1">
        <f t="shared" si="15"/>
        <v>0</v>
      </c>
      <c r="N19" s="1">
        <f t="shared" si="15"/>
        <v>0</v>
      </c>
      <c r="O19" s="1">
        <f t="shared" si="15"/>
        <v>0</v>
      </c>
      <c r="P19" s="1">
        <f t="shared" si="15"/>
        <v>0</v>
      </c>
      <c r="Q19" s="1">
        <f t="shared" si="15"/>
        <v>0</v>
      </c>
      <c r="R19" s="1">
        <f t="shared" si="15"/>
        <v>0</v>
      </c>
      <c r="S19" s="1">
        <f t="shared" si="15"/>
        <v>0</v>
      </c>
      <c r="T19" s="1">
        <f t="shared" si="15"/>
        <v>0</v>
      </c>
      <c r="U19" s="1">
        <f t="shared" si="15"/>
        <v>0</v>
      </c>
      <c r="V19" s="1">
        <f t="shared" si="15"/>
        <v>0</v>
      </c>
      <c r="W19" s="1">
        <f t="shared" si="15"/>
        <v>0</v>
      </c>
      <c r="X19" s="1">
        <f t="shared" si="15"/>
        <v>0</v>
      </c>
      <c r="Y19" s="1">
        <f t="shared" si="15"/>
        <v>0</v>
      </c>
      <c r="Z19" s="1">
        <f t="shared" si="15"/>
        <v>0</v>
      </c>
      <c r="AA19" s="1">
        <f t="shared" si="15"/>
        <v>0</v>
      </c>
    </row>
    <row r="20" spans="1:27">
      <c r="A20" s="84" t="s">
        <v>114</v>
      </c>
      <c r="B20" s="85" t="s">
        <v>113</v>
      </c>
      <c r="C20" s="85" t="s">
        <v>79</v>
      </c>
      <c r="D20" s="84" t="s">
        <v>80</v>
      </c>
      <c r="E20" s="84">
        <f>VLOOKUP(A20,'2a. SI Pop'!$A$5:$E$198,5,FALSE)</f>
        <v>2</v>
      </c>
      <c r="F20" s="89">
        <v>0</v>
      </c>
      <c r="G20" s="1">
        <f t="shared" si="1"/>
        <v>0</v>
      </c>
      <c r="H20" s="1">
        <f t="shared" ref="H20:AA20" si="16">G20</f>
        <v>0</v>
      </c>
      <c r="I20" s="1">
        <f t="shared" si="16"/>
        <v>0</v>
      </c>
      <c r="J20" s="1">
        <f t="shared" si="16"/>
        <v>0</v>
      </c>
      <c r="K20" s="1">
        <f t="shared" si="16"/>
        <v>0</v>
      </c>
      <c r="L20" s="1">
        <f t="shared" si="16"/>
        <v>0</v>
      </c>
      <c r="M20" s="1">
        <f t="shared" si="16"/>
        <v>0</v>
      </c>
      <c r="N20" s="1">
        <f t="shared" si="16"/>
        <v>0</v>
      </c>
      <c r="O20" s="1">
        <f t="shared" si="16"/>
        <v>0</v>
      </c>
      <c r="P20" s="1">
        <f t="shared" si="16"/>
        <v>0</v>
      </c>
      <c r="Q20" s="1">
        <f t="shared" si="16"/>
        <v>0</v>
      </c>
      <c r="R20" s="1">
        <f t="shared" si="16"/>
        <v>0</v>
      </c>
      <c r="S20" s="1">
        <f t="shared" si="16"/>
        <v>0</v>
      </c>
      <c r="T20" s="1">
        <f t="shared" si="16"/>
        <v>0</v>
      </c>
      <c r="U20" s="1">
        <f t="shared" si="16"/>
        <v>0</v>
      </c>
      <c r="V20" s="1">
        <f t="shared" si="16"/>
        <v>0</v>
      </c>
      <c r="W20" s="1">
        <f t="shared" si="16"/>
        <v>0</v>
      </c>
      <c r="X20" s="1">
        <f t="shared" si="16"/>
        <v>0</v>
      </c>
      <c r="Y20" s="1">
        <f t="shared" si="16"/>
        <v>0</v>
      </c>
      <c r="Z20" s="1">
        <f t="shared" si="16"/>
        <v>0</v>
      </c>
      <c r="AA20" s="1">
        <f t="shared" si="16"/>
        <v>0</v>
      </c>
    </row>
    <row r="21" spans="1:27">
      <c r="A21" s="84" t="s">
        <v>116</v>
      </c>
      <c r="B21" s="85" t="s">
        <v>115</v>
      </c>
      <c r="C21" s="85" t="s">
        <v>79</v>
      </c>
      <c r="D21" s="84" t="s">
        <v>87</v>
      </c>
      <c r="E21" s="84">
        <f>VLOOKUP(A21,'2a. SI Pop'!$A$5:$E$198,5,FALSE)</f>
        <v>1</v>
      </c>
      <c r="F21" s="89">
        <v>0</v>
      </c>
      <c r="G21" s="1">
        <f t="shared" si="1"/>
        <v>0</v>
      </c>
      <c r="H21" s="1">
        <f t="shared" ref="H21:AA21" si="17">G21</f>
        <v>0</v>
      </c>
      <c r="I21" s="1">
        <f t="shared" si="17"/>
        <v>0</v>
      </c>
      <c r="J21" s="1">
        <f t="shared" si="17"/>
        <v>0</v>
      </c>
      <c r="K21" s="1">
        <f t="shared" si="17"/>
        <v>0</v>
      </c>
      <c r="L21" s="1">
        <f t="shared" si="17"/>
        <v>0</v>
      </c>
      <c r="M21" s="1">
        <f t="shared" si="17"/>
        <v>0</v>
      </c>
      <c r="N21" s="1">
        <f t="shared" si="17"/>
        <v>0</v>
      </c>
      <c r="O21" s="1">
        <f t="shared" si="17"/>
        <v>0</v>
      </c>
      <c r="P21" s="1">
        <f t="shared" si="17"/>
        <v>0</v>
      </c>
      <c r="Q21" s="1">
        <f t="shared" si="17"/>
        <v>0</v>
      </c>
      <c r="R21" s="1">
        <f t="shared" si="17"/>
        <v>0</v>
      </c>
      <c r="S21" s="1">
        <f t="shared" si="17"/>
        <v>0</v>
      </c>
      <c r="T21" s="1">
        <f t="shared" si="17"/>
        <v>0</v>
      </c>
      <c r="U21" s="1">
        <f t="shared" si="17"/>
        <v>0</v>
      </c>
      <c r="V21" s="1">
        <f t="shared" si="17"/>
        <v>0</v>
      </c>
      <c r="W21" s="1">
        <f t="shared" si="17"/>
        <v>0</v>
      </c>
      <c r="X21" s="1">
        <f t="shared" si="17"/>
        <v>0</v>
      </c>
      <c r="Y21" s="1">
        <f t="shared" si="17"/>
        <v>0</v>
      </c>
      <c r="Z21" s="1">
        <f t="shared" si="17"/>
        <v>0</v>
      </c>
      <c r="AA21" s="1">
        <f t="shared" si="17"/>
        <v>0</v>
      </c>
    </row>
    <row r="22" spans="1:27">
      <c r="A22" s="84" t="s">
        <v>118</v>
      </c>
      <c r="B22" s="85" t="s">
        <v>117</v>
      </c>
      <c r="C22" s="85" t="s">
        <v>92</v>
      </c>
      <c r="D22" s="84" t="s">
        <v>80</v>
      </c>
      <c r="E22" s="84">
        <f>VLOOKUP(A22,'2a. SI Pop'!$A$5:$E$198,5,FALSE)</f>
        <v>1</v>
      </c>
      <c r="F22" s="89">
        <v>17301.384000000002</v>
      </c>
      <c r="G22" s="1">
        <f t="shared" si="1"/>
        <v>17301.384000000002</v>
      </c>
      <c r="H22" s="1">
        <f t="shared" ref="H22:AA22" si="18">G22</f>
        <v>17301.384000000002</v>
      </c>
      <c r="I22" s="1">
        <f t="shared" si="18"/>
        <v>17301.384000000002</v>
      </c>
      <c r="J22" s="1">
        <f t="shared" si="18"/>
        <v>17301.384000000002</v>
      </c>
      <c r="K22" s="1">
        <f t="shared" si="18"/>
        <v>17301.384000000002</v>
      </c>
      <c r="L22" s="1">
        <f t="shared" si="18"/>
        <v>17301.384000000002</v>
      </c>
      <c r="M22" s="1">
        <f t="shared" si="18"/>
        <v>17301.384000000002</v>
      </c>
      <c r="N22" s="1">
        <f t="shared" si="18"/>
        <v>17301.384000000002</v>
      </c>
      <c r="O22" s="1">
        <f t="shared" si="18"/>
        <v>17301.384000000002</v>
      </c>
      <c r="P22" s="1">
        <f t="shared" si="18"/>
        <v>17301.384000000002</v>
      </c>
      <c r="Q22" s="1">
        <f t="shared" si="18"/>
        <v>17301.384000000002</v>
      </c>
      <c r="R22" s="1">
        <f t="shared" si="18"/>
        <v>17301.384000000002</v>
      </c>
      <c r="S22" s="1">
        <f t="shared" si="18"/>
        <v>17301.384000000002</v>
      </c>
      <c r="T22" s="1">
        <f t="shared" si="18"/>
        <v>17301.384000000002</v>
      </c>
      <c r="U22" s="1">
        <f t="shared" si="18"/>
        <v>17301.384000000002</v>
      </c>
      <c r="V22" s="1">
        <f t="shared" si="18"/>
        <v>17301.384000000002</v>
      </c>
      <c r="W22" s="1">
        <f t="shared" si="18"/>
        <v>17301.384000000002</v>
      </c>
      <c r="X22" s="1">
        <f t="shared" si="18"/>
        <v>17301.384000000002</v>
      </c>
      <c r="Y22" s="1">
        <f t="shared" si="18"/>
        <v>17301.384000000002</v>
      </c>
      <c r="Z22" s="1">
        <f t="shared" si="18"/>
        <v>17301.384000000002</v>
      </c>
      <c r="AA22" s="1">
        <f t="shared" si="18"/>
        <v>17301.384000000002</v>
      </c>
    </row>
    <row r="23" spans="1:27">
      <c r="A23" s="84" t="s">
        <v>120</v>
      </c>
      <c r="B23" s="85" t="s">
        <v>119</v>
      </c>
      <c r="C23" s="85" t="s">
        <v>83</v>
      </c>
      <c r="D23" s="84" t="s">
        <v>84</v>
      </c>
      <c r="E23" s="84">
        <f>VLOOKUP(A23,'2a. SI Pop'!$A$5:$E$198,5,FALSE)</f>
        <v>3</v>
      </c>
      <c r="F23" s="89">
        <v>2857385.3250000002</v>
      </c>
      <c r="G23" s="1">
        <f t="shared" si="1"/>
        <v>2857385.3250000002</v>
      </c>
      <c r="H23" s="1">
        <f t="shared" ref="H23:AA23" si="19">G23</f>
        <v>2857385.3250000002</v>
      </c>
      <c r="I23" s="1">
        <f t="shared" si="19"/>
        <v>2857385.3250000002</v>
      </c>
      <c r="J23" s="1">
        <f t="shared" si="19"/>
        <v>2857385.3250000002</v>
      </c>
      <c r="K23" s="1">
        <f t="shared" si="19"/>
        <v>2857385.3250000002</v>
      </c>
      <c r="L23" s="1">
        <f t="shared" si="19"/>
        <v>2857385.3250000002</v>
      </c>
      <c r="M23" s="1">
        <f t="shared" si="19"/>
        <v>2857385.3250000002</v>
      </c>
      <c r="N23" s="1">
        <f t="shared" si="19"/>
        <v>2857385.3250000002</v>
      </c>
      <c r="O23" s="1">
        <f t="shared" si="19"/>
        <v>2857385.3250000002</v>
      </c>
      <c r="P23" s="1">
        <f t="shared" si="19"/>
        <v>2857385.3250000002</v>
      </c>
      <c r="Q23" s="1">
        <f t="shared" si="19"/>
        <v>2857385.3250000002</v>
      </c>
      <c r="R23" s="1">
        <f t="shared" si="19"/>
        <v>2857385.3250000002</v>
      </c>
      <c r="S23" s="1">
        <f t="shared" si="19"/>
        <v>2857385.3250000002</v>
      </c>
      <c r="T23" s="1">
        <f t="shared" si="19"/>
        <v>2857385.3250000002</v>
      </c>
      <c r="U23" s="1">
        <f t="shared" si="19"/>
        <v>2857385.3250000002</v>
      </c>
      <c r="V23" s="1">
        <f t="shared" si="19"/>
        <v>2857385.3250000002</v>
      </c>
      <c r="W23" s="1">
        <f t="shared" si="19"/>
        <v>2857385.3250000002</v>
      </c>
      <c r="X23" s="1">
        <f t="shared" si="19"/>
        <v>2857385.3250000002</v>
      </c>
      <c r="Y23" s="1">
        <f t="shared" si="19"/>
        <v>2857385.3250000002</v>
      </c>
      <c r="Z23" s="1">
        <f t="shared" si="19"/>
        <v>2857385.3250000002</v>
      </c>
      <c r="AA23" s="1">
        <f t="shared" si="19"/>
        <v>2857385.3250000002</v>
      </c>
    </row>
    <row r="24" spans="1:27">
      <c r="A24" s="84" t="s">
        <v>122</v>
      </c>
      <c r="B24" s="85" t="s">
        <v>121</v>
      </c>
      <c r="C24" s="85" t="s">
        <v>110</v>
      </c>
      <c r="D24" s="84" t="s">
        <v>84</v>
      </c>
      <c r="E24" s="84">
        <f>VLOOKUP(A24,'2a. SI Pop'!$A$5:$E$198,5,FALSE)</f>
        <v>2</v>
      </c>
      <c r="F24" s="89">
        <v>0</v>
      </c>
      <c r="G24" s="1">
        <f t="shared" si="1"/>
        <v>0</v>
      </c>
      <c r="H24" s="1">
        <f t="shared" ref="H24:AA24" si="20">G24</f>
        <v>0</v>
      </c>
      <c r="I24" s="1">
        <f t="shared" si="20"/>
        <v>0</v>
      </c>
      <c r="J24" s="1">
        <f t="shared" si="20"/>
        <v>0</v>
      </c>
      <c r="K24" s="1">
        <f t="shared" si="20"/>
        <v>0</v>
      </c>
      <c r="L24" s="1">
        <f t="shared" si="20"/>
        <v>0</v>
      </c>
      <c r="M24" s="1">
        <f t="shared" si="20"/>
        <v>0</v>
      </c>
      <c r="N24" s="1">
        <f t="shared" si="20"/>
        <v>0</v>
      </c>
      <c r="O24" s="1">
        <f t="shared" si="20"/>
        <v>0</v>
      </c>
      <c r="P24" s="1">
        <f t="shared" si="20"/>
        <v>0</v>
      </c>
      <c r="Q24" s="1">
        <f t="shared" si="20"/>
        <v>0</v>
      </c>
      <c r="R24" s="1">
        <f t="shared" si="20"/>
        <v>0</v>
      </c>
      <c r="S24" s="1">
        <f t="shared" si="20"/>
        <v>0</v>
      </c>
      <c r="T24" s="1">
        <f t="shared" si="20"/>
        <v>0</v>
      </c>
      <c r="U24" s="1">
        <f t="shared" si="20"/>
        <v>0</v>
      </c>
      <c r="V24" s="1">
        <f t="shared" si="20"/>
        <v>0</v>
      </c>
      <c r="W24" s="1">
        <f t="shared" si="20"/>
        <v>0</v>
      </c>
      <c r="X24" s="1">
        <f t="shared" si="20"/>
        <v>0</v>
      </c>
      <c r="Y24" s="1">
        <f t="shared" si="20"/>
        <v>0</v>
      </c>
      <c r="Z24" s="1">
        <f t="shared" si="20"/>
        <v>0</v>
      </c>
      <c r="AA24" s="1">
        <f t="shared" si="20"/>
        <v>0</v>
      </c>
    </row>
    <row r="25" spans="1:27">
      <c r="A25" s="84" t="s">
        <v>124</v>
      </c>
      <c r="B25" s="85" t="s">
        <v>123</v>
      </c>
      <c r="C25" s="85" t="s">
        <v>92</v>
      </c>
      <c r="D25" s="84" t="s">
        <v>84</v>
      </c>
      <c r="E25" s="84">
        <f>VLOOKUP(A25,'2a. SI Pop'!$A$5:$E$198,5,FALSE)</f>
        <v>2</v>
      </c>
      <c r="F25" s="89">
        <v>3169176.84</v>
      </c>
      <c r="G25" s="1">
        <f t="shared" si="1"/>
        <v>3169176.84</v>
      </c>
      <c r="H25" s="1">
        <f t="shared" ref="H25:AA25" si="21">G25</f>
        <v>3169176.84</v>
      </c>
      <c r="I25" s="1">
        <f t="shared" si="21"/>
        <v>3169176.84</v>
      </c>
      <c r="J25" s="1">
        <f t="shared" si="21"/>
        <v>3169176.84</v>
      </c>
      <c r="K25" s="1">
        <f t="shared" si="21"/>
        <v>3169176.84</v>
      </c>
      <c r="L25" s="1">
        <f t="shared" si="21"/>
        <v>3169176.84</v>
      </c>
      <c r="M25" s="1">
        <f t="shared" si="21"/>
        <v>3169176.84</v>
      </c>
      <c r="N25" s="1">
        <f t="shared" si="21"/>
        <v>3169176.84</v>
      </c>
      <c r="O25" s="1">
        <f t="shared" si="21"/>
        <v>3169176.84</v>
      </c>
      <c r="P25" s="1">
        <f t="shared" si="21"/>
        <v>3169176.84</v>
      </c>
      <c r="Q25" s="1">
        <f t="shared" si="21"/>
        <v>3169176.84</v>
      </c>
      <c r="R25" s="1">
        <f t="shared" si="21"/>
        <v>3169176.84</v>
      </c>
      <c r="S25" s="1">
        <f t="shared" si="21"/>
        <v>3169176.84</v>
      </c>
      <c r="T25" s="1">
        <f t="shared" si="21"/>
        <v>3169176.84</v>
      </c>
      <c r="U25" s="1">
        <f t="shared" si="21"/>
        <v>3169176.84</v>
      </c>
      <c r="V25" s="1">
        <f t="shared" si="21"/>
        <v>3169176.84</v>
      </c>
      <c r="W25" s="1">
        <f t="shared" si="21"/>
        <v>3169176.84</v>
      </c>
      <c r="X25" s="1">
        <f t="shared" si="21"/>
        <v>3169176.84</v>
      </c>
      <c r="Y25" s="1">
        <f t="shared" si="21"/>
        <v>3169176.84</v>
      </c>
      <c r="Z25" s="1">
        <f t="shared" si="21"/>
        <v>3169176.84</v>
      </c>
      <c r="AA25" s="1">
        <f t="shared" si="21"/>
        <v>3169176.84</v>
      </c>
    </row>
    <row r="26" spans="1:27">
      <c r="A26" s="84" t="s">
        <v>126</v>
      </c>
      <c r="B26" s="85" t="s">
        <v>125</v>
      </c>
      <c r="C26" s="85" t="s">
        <v>79</v>
      </c>
      <c r="D26" s="84" t="s">
        <v>80</v>
      </c>
      <c r="E26" s="84">
        <f>VLOOKUP(A26,'2a. SI Pop'!$A$5:$E$198,5,FALSE)</f>
        <v>1</v>
      </c>
      <c r="F26" s="89">
        <v>0</v>
      </c>
      <c r="G26" s="1">
        <f t="shared" si="1"/>
        <v>0</v>
      </c>
      <c r="H26" s="1">
        <f t="shared" ref="H26:AA26" si="22">G26</f>
        <v>0</v>
      </c>
      <c r="I26" s="1">
        <f t="shared" si="22"/>
        <v>0</v>
      </c>
      <c r="J26" s="1">
        <f t="shared" si="22"/>
        <v>0</v>
      </c>
      <c r="K26" s="1">
        <f t="shared" si="22"/>
        <v>0</v>
      </c>
      <c r="L26" s="1">
        <f t="shared" si="22"/>
        <v>0</v>
      </c>
      <c r="M26" s="1">
        <f t="shared" si="22"/>
        <v>0</v>
      </c>
      <c r="N26" s="1">
        <f t="shared" si="22"/>
        <v>0</v>
      </c>
      <c r="O26" s="1">
        <f t="shared" si="22"/>
        <v>0</v>
      </c>
      <c r="P26" s="1">
        <f t="shared" si="22"/>
        <v>0</v>
      </c>
      <c r="Q26" s="1">
        <f t="shared" si="22"/>
        <v>0</v>
      </c>
      <c r="R26" s="1">
        <f t="shared" si="22"/>
        <v>0</v>
      </c>
      <c r="S26" s="1">
        <f t="shared" si="22"/>
        <v>0</v>
      </c>
      <c r="T26" s="1">
        <f t="shared" si="22"/>
        <v>0</v>
      </c>
      <c r="U26" s="1">
        <f t="shared" si="22"/>
        <v>0</v>
      </c>
      <c r="V26" s="1">
        <f t="shared" si="22"/>
        <v>0</v>
      </c>
      <c r="W26" s="1">
        <f t="shared" si="22"/>
        <v>0</v>
      </c>
      <c r="X26" s="1">
        <f t="shared" si="22"/>
        <v>0</v>
      </c>
      <c r="Y26" s="1">
        <f t="shared" si="22"/>
        <v>0</v>
      </c>
      <c r="Z26" s="1">
        <f t="shared" si="22"/>
        <v>0</v>
      </c>
      <c r="AA26" s="1">
        <f t="shared" si="22"/>
        <v>0</v>
      </c>
    </row>
    <row r="27" spans="1:27">
      <c r="A27" s="84" t="s">
        <v>128</v>
      </c>
      <c r="B27" s="85" t="s">
        <v>127</v>
      </c>
      <c r="C27" s="85" t="s">
        <v>83</v>
      </c>
      <c r="D27" s="84" t="s">
        <v>80</v>
      </c>
      <c r="E27" s="84">
        <f>VLOOKUP(A27,'2a. SI Pop'!$A$5:$E$198,5,FALSE)</f>
        <v>2</v>
      </c>
      <c r="F27" s="89">
        <v>0</v>
      </c>
      <c r="G27" s="1">
        <f t="shared" si="1"/>
        <v>0</v>
      </c>
      <c r="H27" s="1">
        <f t="shared" ref="H27:AA27" si="23">G27</f>
        <v>0</v>
      </c>
      <c r="I27" s="1">
        <f t="shared" si="23"/>
        <v>0</v>
      </c>
      <c r="J27" s="1">
        <f t="shared" si="23"/>
        <v>0</v>
      </c>
      <c r="K27" s="1">
        <f t="shared" si="23"/>
        <v>0</v>
      </c>
      <c r="L27" s="1">
        <f t="shared" si="23"/>
        <v>0</v>
      </c>
      <c r="M27" s="1">
        <f t="shared" si="23"/>
        <v>0</v>
      </c>
      <c r="N27" s="1">
        <f t="shared" si="23"/>
        <v>0</v>
      </c>
      <c r="O27" s="1">
        <f t="shared" si="23"/>
        <v>0</v>
      </c>
      <c r="P27" s="1">
        <f t="shared" si="23"/>
        <v>0</v>
      </c>
      <c r="Q27" s="1">
        <f t="shared" si="23"/>
        <v>0</v>
      </c>
      <c r="R27" s="1">
        <f t="shared" si="23"/>
        <v>0</v>
      </c>
      <c r="S27" s="1">
        <f t="shared" si="23"/>
        <v>0</v>
      </c>
      <c r="T27" s="1">
        <f t="shared" si="23"/>
        <v>0</v>
      </c>
      <c r="U27" s="1">
        <f t="shared" si="23"/>
        <v>0</v>
      </c>
      <c r="V27" s="1">
        <f t="shared" si="23"/>
        <v>0</v>
      </c>
      <c r="W27" s="1">
        <f t="shared" si="23"/>
        <v>0</v>
      </c>
      <c r="X27" s="1">
        <f t="shared" si="23"/>
        <v>0</v>
      </c>
      <c r="Y27" s="1">
        <f t="shared" si="23"/>
        <v>0</v>
      </c>
      <c r="Z27" s="1">
        <f t="shared" si="23"/>
        <v>0</v>
      </c>
      <c r="AA27" s="1">
        <f t="shared" si="23"/>
        <v>0</v>
      </c>
    </row>
    <row r="28" spans="1:27">
      <c r="A28" s="84" t="s">
        <v>130</v>
      </c>
      <c r="B28" s="85" t="s">
        <v>129</v>
      </c>
      <c r="C28" s="85" t="s">
        <v>92</v>
      </c>
      <c r="D28" s="84" t="s">
        <v>80</v>
      </c>
      <c r="E28" s="84" t="str">
        <f>VLOOKUP(A28,'2a. SI Pop'!$A$5:$E$198,5,FALSE)</f>
        <v>Key</v>
      </c>
      <c r="F28" s="89">
        <v>38656330.156000003</v>
      </c>
      <c r="G28" s="1">
        <f t="shared" si="1"/>
        <v>38656330.156000003</v>
      </c>
      <c r="H28" s="1">
        <f t="shared" ref="H28:AA28" si="24">G28</f>
        <v>38656330.156000003</v>
      </c>
      <c r="I28" s="1">
        <f t="shared" si="24"/>
        <v>38656330.156000003</v>
      </c>
      <c r="J28" s="1">
        <f t="shared" si="24"/>
        <v>38656330.156000003</v>
      </c>
      <c r="K28" s="1">
        <f t="shared" si="24"/>
        <v>38656330.156000003</v>
      </c>
      <c r="L28" s="1">
        <f t="shared" si="24"/>
        <v>38656330.156000003</v>
      </c>
      <c r="M28" s="1">
        <f t="shared" si="24"/>
        <v>38656330.156000003</v>
      </c>
      <c r="N28" s="1">
        <f t="shared" si="24"/>
        <v>38656330.156000003</v>
      </c>
      <c r="O28" s="1">
        <f t="shared" si="24"/>
        <v>38656330.156000003</v>
      </c>
      <c r="P28" s="1">
        <f t="shared" si="24"/>
        <v>38656330.156000003</v>
      </c>
      <c r="Q28" s="1">
        <f t="shared" si="24"/>
        <v>38656330.156000003</v>
      </c>
      <c r="R28" s="1">
        <f t="shared" si="24"/>
        <v>38656330.156000003</v>
      </c>
      <c r="S28" s="1">
        <f t="shared" si="24"/>
        <v>38656330.156000003</v>
      </c>
      <c r="T28" s="1">
        <f t="shared" si="24"/>
        <v>38656330.156000003</v>
      </c>
      <c r="U28" s="1">
        <f t="shared" si="24"/>
        <v>38656330.156000003</v>
      </c>
      <c r="V28" s="1">
        <f t="shared" si="24"/>
        <v>38656330.156000003</v>
      </c>
      <c r="W28" s="1">
        <f t="shared" si="24"/>
        <v>38656330.156000003</v>
      </c>
      <c r="X28" s="1">
        <f t="shared" si="24"/>
        <v>38656330.156000003</v>
      </c>
      <c r="Y28" s="1">
        <f t="shared" si="24"/>
        <v>38656330.156000003</v>
      </c>
      <c r="Z28" s="1">
        <f t="shared" si="24"/>
        <v>38656330.156000003</v>
      </c>
      <c r="AA28" s="1">
        <f t="shared" si="24"/>
        <v>38656330.156000003</v>
      </c>
    </row>
    <row r="29" spans="1:27">
      <c r="A29" s="84" t="s">
        <v>132</v>
      </c>
      <c r="B29" s="85" t="s">
        <v>131</v>
      </c>
      <c r="C29" s="85" t="s">
        <v>99</v>
      </c>
      <c r="D29" s="84" t="s">
        <v>87</v>
      </c>
      <c r="E29" s="84">
        <f>VLOOKUP(A29,'2a. SI Pop'!$A$5:$E$198,5,FALSE)</f>
        <v>1</v>
      </c>
      <c r="F29" s="89">
        <v>0</v>
      </c>
      <c r="G29" s="1">
        <f t="shared" si="1"/>
        <v>0</v>
      </c>
      <c r="H29" s="1">
        <f t="shared" ref="H29:AA29" si="25">G29</f>
        <v>0</v>
      </c>
      <c r="I29" s="1">
        <f t="shared" si="25"/>
        <v>0</v>
      </c>
      <c r="J29" s="1">
        <f t="shared" si="25"/>
        <v>0</v>
      </c>
      <c r="K29" s="1">
        <f t="shared" si="25"/>
        <v>0</v>
      </c>
      <c r="L29" s="1">
        <f t="shared" si="25"/>
        <v>0</v>
      </c>
      <c r="M29" s="1">
        <f t="shared" si="25"/>
        <v>0</v>
      </c>
      <c r="N29" s="1">
        <f t="shared" si="25"/>
        <v>0</v>
      </c>
      <c r="O29" s="1">
        <f t="shared" si="25"/>
        <v>0</v>
      </c>
      <c r="P29" s="1">
        <f t="shared" si="25"/>
        <v>0</v>
      </c>
      <c r="Q29" s="1">
        <f t="shared" si="25"/>
        <v>0</v>
      </c>
      <c r="R29" s="1">
        <f t="shared" si="25"/>
        <v>0</v>
      </c>
      <c r="S29" s="1">
        <f t="shared" si="25"/>
        <v>0</v>
      </c>
      <c r="T29" s="1">
        <f t="shared" si="25"/>
        <v>0</v>
      </c>
      <c r="U29" s="1">
        <f t="shared" si="25"/>
        <v>0</v>
      </c>
      <c r="V29" s="1">
        <f t="shared" si="25"/>
        <v>0</v>
      </c>
      <c r="W29" s="1">
        <f t="shared" si="25"/>
        <v>0</v>
      </c>
      <c r="X29" s="1">
        <f t="shared" si="25"/>
        <v>0</v>
      </c>
      <c r="Y29" s="1">
        <f t="shared" si="25"/>
        <v>0</v>
      </c>
      <c r="Z29" s="1">
        <f t="shared" si="25"/>
        <v>0</v>
      </c>
      <c r="AA29" s="1">
        <f t="shared" si="25"/>
        <v>0</v>
      </c>
    </row>
    <row r="30" spans="1:27">
      <c r="A30" s="84" t="s">
        <v>134</v>
      </c>
      <c r="B30" s="85" t="s">
        <v>133</v>
      </c>
      <c r="C30" s="85" t="s">
        <v>79</v>
      </c>
      <c r="D30" s="84" t="s">
        <v>80</v>
      </c>
      <c r="E30" s="84">
        <f>VLOOKUP(A30,'2a. SI Pop'!$A$5:$E$198,5,FALSE)</f>
        <v>1</v>
      </c>
      <c r="F30" s="89">
        <v>0</v>
      </c>
      <c r="G30" s="1">
        <f t="shared" si="1"/>
        <v>0</v>
      </c>
      <c r="H30" s="1">
        <f t="shared" ref="H30:AA30" si="26">G30</f>
        <v>0</v>
      </c>
      <c r="I30" s="1">
        <f t="shared" si="26"/>
        <v>0</v>
      </c>
      <c r="J30" s="1">
        <f t="shared" si="26"/>
        <v>0</v>
      </c>
      <c r="K30" s="1">
        <f t="shared" si="26"/>
        <v>0</v>
      </c>
      <c r="L30" s="1">
        <f t="shared" si="26"/>
        <v>0</v>
      </c>
      <c r="M30" s="1">
        <f t="shared" si="26"/>
        <v>0</v>
      </c>
      <c r="N30" s="1">
        <f t="shared" si="26"/>
        <v>0</v>
      </c>
      <c r="O30" s="1">
        <f t="shared" si="26"/>
        <v>0</v>
      </c>
      <c r="P30" s="1">
        <f t="shared" si="26"/>
        <v>0</v>
      </c>
      <c r="Q30" s="1">
        <f t="shared" si="26"/>
        <v>0</v>
      </c>
      <c r="R30" s="1">
        <f t="shared" si="26"/>
        <v>0</v>
      </c>
      <c r="S30" s="1">
        <f t="shared" si="26"/>
        <v>0</v>
      </c>
      <c r="T30" s="1">
        <f t="shared" si="26"/>
        <v>0</v>
      </c>
      <c r="U30" s="1">
        <f t="shared" si="26"/>
        <v>0</v>
      </c>
      <c r="V30" s="1">
        <f t="shared" si="26"/>
        <v>0</v>
      </c>
      <c r="W30" s="1">
        <f t="shared" si="26"/>
        <v>0</v>
      </c>
      <c r="X30" s="1">
        <f t="shared" si="26"/>
        <v>0</v>
      </c>
      <c r="Y30" s="1">
        <f t="shared" si="26"/>
        <v>0</v>
      </c>
      <c r="Z30" s="1">
        <f t="shared" si="26"/>
        <v>0</v>
      </c>
      <c r="AA30" s="1">
        <f t="shared" si="26"/>
        <v>0</v>
      </c>
    </row>
    <row r="31" spans="1:27">
      <c r="A31" s="84" t="s">
        <v>136</v>
      </c>
      <c r="B31" s="85" t="s">
        <v>135</v>
      </c>
      <c r="C31" s="85" t="s">
        <v>83</v>
      </c>
      <c r="D31" s="84" t="s">
        <v>75</v>
      </c>
      <c r="E31" s="84">
        <f>VLOOKUP(A31,'2a. SI Pop'!$A$5:$E$198,5,FALSE)</f>
        <v>3</v>
      </c>
      <c r="F31" s="89">
        <v>3116694.6439999994</v>
      </c>
      <c r="G31" s="1">
        <f t="shared" si="1"/>
        <v>3116694.6439999994</v>
      </c>
      <c r="H31" s="1">
        <f t="shared" ref="H31:AA31" si="27">G31</f>
        <v>3116694.6439999994</v>
      </c>
      <c r="I31" s="1">
        <f t="shared" si="27"/>
        <v>3116694.6439999994</v>
      </c>
      <c r="J31" s="1">
        <f t="shared" si="27"/>
        <v>3116694.6439999994</v>
      </c>
      <c r="K31" s="1">
        <f t="shared" si="27"/>
        <v>3116694.6439999994</v>
      </c>
      <c r="L31" s="1">
        <f t="shared" si="27"/>
        <v>3116694.6439999994</v>
      </c>
      <c r="M31" s="1">
        <f t="shared" si="27"/>
        <v>3116694.6439999994</v>
      </c>
      <c r="N31" s="1">
        <f t="shared" si="27"/>
        <v>3116694.6439999994</v>
      </c>
      <c r="O31" s="1">
        <f t="shared" si="27"/>
        <v>3116694.6439999994</v>
      </c>
      <c r="P31" s="1">
        <f t="shared" si="27"/>
        <v>3116694.6439999994</v>
      </c>
      <c r="Q31" s="1">
        <f t="shared" si="27"/>
        <v>3116694.6439999994</v>
      </c>
      <c r="R31" s="1">
        <f t="shared" si="27"/>
        <v>3116694.6439999994</v>
      </c>
      <c r="S31" s="1">
        <f t="shared" si="27"/>
        <v>3116694.6439999994</v>
      </c>
      <c r="T31" s="1">
        <f t="shared" si="27"/>
        <v>3116694.6439999994</v>
      </c>
      <c r="U31" s="1">
        <f t="shared" si="27"/>
        <v>3116694.6439999994</v>
      </c>
      <c r="V31" s="1">
        <f t="shared" si="27"/>
        <v>3116694.6439999994</v>
      </c>
      <c r="W31" s="1">
        <f t="shared" si="27"/>
        <v>3116694.6439999994</v>
      </c>
      <c r="X31" s="1">
        <f t="shared" si="27"/>
        <v>3116694.6439999994</v>
      </c>
      <c r="Y31" s="1">
        <f t="shared" si="27"/>
        <v>3116694.6439999994</v>
      </c>
      <c r="Z31" s="1">
        <f t="shared" si="27"/>
        <v>3116694.6439999994</v>
      </c>
      <c r="AA31" s="1">
        <f t="shared" si="27"/>
        <v>3116694.6439999994</v>
      </c>
    </row>
    <row r="32" spans="1:27">
      <c r="A32" s="84" t="s">
        <v>138</v>
      </c>
      <c r="B32" s="85" t="s">
        <v>137</v>
      </c>
      <c r="C32" s="85" t="s">
        <v>83</v>
      </c>
      <c r="D32" s="84" t="s">
        <v>75</v>
      </c>
      <c r="E32" s="84">
        <f>VLOOKUP(A32,'2a. SI Pop'!$A$5:$E$198,5,FALSE)</f>
        <v>3</v>
      </c>
      <c r="F32" s="89">
        <v>671213.85599999991</v>
      </c>
      <c r="G32" s="1">
        <f t="shared" si="1"/>
        <v>671213.85599999991</v>
      </c>
      <c r="H32" s="1">
        <f t="shared" ref="H32:AA32" si="28">G32</f>
        <v>671213.85599999991</v>
      </c>
      <c r="I32" s="1">
        <f t="shared" si="28"/>
        <v>671213.85599999991</v>
      </c>
      <c r="J32" s="1">
        <f t="shared" si="28"/>
        <v>671213.85599999991</v>
      </c>
      <c r="K32" s="1">
        <f t="shared" si="28"/>
        <v>671213.85599999991</v>
      </c>
      <c r="L32" s="1">
        <f t="shared" si="28"/>
        <v>671213.85599999991</v>
      </c>
      <c r="M32" s="1">
        <f t="shared" si="28"/>
        <v>671213.85599999991</v>
      </c>
      <c r="N32" s="1">
        <f t="shared" si="28"/>
        <v>671213.85599999991</v>
      </c>
      <c r="O32" s="1">
        <f t="shared" si="28"/>
        <v>671213.85599999991</v>
      </c>
      <c r="P32" s="1">
        <f t="shared" si="28"/>
        <v>671213.85599999991</v>
      </c>
      <c r="Q32" s="1">
        <f t="shared" si="28"/>
        <v>671213.85599999991</v>
      </c>
      <c r="R32" s="1">
        <f t="shared" si="28"/>
        <v>671213.85599999991</v>
      </c>
      <c r="S32" s="1">
        <f t="shared" si="28"/>
        <v>671213.85599999991</v>
      </c>
      <c r="T32" s="1">
        <f t="shared" si="28"/>
        <v>671213.85599999991</v>
      </c>
      <c r="U32" s="1">
        <f t="shared" si="28"/>
        <v>671213.85599999991</v>
      </c>
      <c r="V32" s="1">
        <f t="shared" si="28"/>
        <v>671213.85599999991</v>
      </c>
      <c r="W32" s="1">
        <f t="shared" si="28"/>
        <v>671213.85599999991</v>
      </c>
      <c r="X32" s="1">
        <f t="shared" si="28"/>
        <v>671213.85599999991</v>
      </c>
      <c r="Y32" s="1">
        <f t="shared" si="28"/>
        <v>671213.85599999991</v>
      </c>
      <c r="Z32" s="1">
        <f t="shared" si="28"/>
        <v>671213.85599999991</v>
      </c>
      <c r="AA32" s="1">
        <f t="shared" si="28"/>
        <v>671213.85599999991</v>
      </c>
    </row>
    <row r="33" spans="1:27">
      <c r="A33" s="84" t="s">
        <v>140</v>
      </c>
      <c r="B33" s="85" t="s">
        <v>139</v>
      </c>
      <c r="C33" s="85" t="s">
        <v>99</v>
      </c>
      <c r="D33" s="84" t="s">
        <v>84</v>
      </c>
      <c r="E33" s="84">
        <f>VLOOKUP(A33,'2a. SI Pop'!$A$5:$E$198,5,FALSE)</f>
        <v>4</v>
      </c>
      <c r="F33" s="89">
        <v>1834658.6390000002</v>
      </c>
      <c r="G33" s="1">
        <f t="shared" si="1"/>
        <v>1834658.6390000002</v>
      </c>
      <c r="H33" s="1">
        <f t="shared" ref="H33:AA33" si="29">G33</f>
        <v>1834658.6390000002</v>
      </c>
      <c r="I33" s="1">
        <f t="shared" si="29"/>
        <v>1834658.6390000002</v>
      </c>
      <c r="J33" s="1">
        <f t="shared" si="29"/>
        <v>1834658.6390000002</v>
      </c>
      <c r="K33" s="1">
        <f t="shared" si="29"/>
        <v>1834658.6390000002</v>
      </c>
      <c r="L33" s="1">
        <f t="shared" si="29"/>
        <v>1834658.6390000002</v>
      </c>
      <c r="M33" s="1">
        <f t="shared" si="29"/>
        <v>1834658.6390000002</v>
      </c>
      <c r="N33" s="1">
        <f t="shared" si="29"/>
        <v>1834658.6390000002</v>
      </c>
      <c r="O33" s="1">
        <f t="shared" si="29"/>
        <v>1834658.6390000002</v>
      </c>
      <c r="P33" s="1">
        <f t="shared" si="29"/>
        <v>1834658.6390000002</v>
      </c>
      <c r="Q33" s="1">
        <f t="shared" si="29"/>
        <v>1834658.6390000002</v>
      </c>
      <c r="R33" s="1">
        <f t="shared" si="29"/>
        <v>1834658.6390000002</v>
      </c>
      <c r="S33" s="1">
        <f t="shared" si="29"/>
        <v>1834658.6390000002</v>
      </c>
      <c r="T33" s="1">
        <f t="shared" si="29"/>
        <v>1834658.6390000002</v>
      </c>
      <c r="U33" s="1">
        <f t="shared" si="29"/>
        <v>1834658.6390000002</v>
      </c>
      <c r="V33" s="1">
        <f t="shared" si="29"/>
        <v>1834658.6390000002</v>
      </c>
      <c r="W33" s="1">
        <f t="shared" si="29"/>
        <v>1834658.6390000002</v>
      </c>
      <c r="X33" s="1">
        <f t="shared" si="29"/>
        <v>1834658.6390000002</v>
      </c>
      <c r="Y33" s="1">
        <f t="shared" si="29"/>
        <v>1834658.6390000002</v>
      </c>
      <c r="Z33" s="1">
        <f t="shared" si="29"/>
        <v>1834658.6390000002</v>
      </c>
      <c r="AA33" s="1">
        <f t="shared" si="29"/>
        <v>1834658.6390000002</v>
      </c>
    </row>
    <row r="34" spans="1:27">
      <c r="A34" s="84" t="s">
        <v>142</v>
      </c>
      <c r="B34" s="85" t="s">
        <v>141</v>
      </c>
      <c r="C34" s="85" t="s">
        <v>83</v>
      </c>
      <c r="D34" s="84" t="s">
        <v>84</v>
      </c>
      <c r="E34" s="84">
        <f>VLOOKUP(A34,'2a. SI Pop'!$A$5:$E$198,5,FALSE)</f>
        <v>3</v>
      </c>
      <c r="F34" s="89">
        <v>4627763.2799999993</v>
      </c>
      <c r="G34" s="1">
        <f t="shared" si="1"/>
        <v>4627763.2799999993</v>
      </c>
      <c r="H34" s="1">
        <f t="shared" ref="H34:AA34" si="30">G34</f>
        <v>4627763.2799999993</v>
      </c>
      <c r="I34" s="1">
        <f t="shared" si="30"/>
        <v>4627763.2799999993</v>
      </c>
      <c r="J34" s="1">
        <f t="shared" si="30"/>
        <v>4627763.2799999993</v>
      </c>
      <c r="K34" s="1">
        <f t="shared" si="30"/>
        <v>4627763.2799999993</v>
      </c>
      <c r="L34" s="1">
        <f t="shared" si="30"/>
        <v>4627763.2799999993</v>
      </c>
      <c r="M34" s="1">
        <f t="shared" si="30"/>
        <v>4627763.2799999993</v>
      </c>
      <c r="N34" s="1">
        <f t="shared" si="30"/>
        <v>4627763.2799999993</v>
      </c>
      <c r="O34" s="1">
        <f t="shared" si="30"/>
        <v>4627763.2799999993</v>
      </c>
      <c r="P34" s="1">
        <f t="shared" si="30"/>
        <v>4627763.2799999993</v>
      </c>
      <c r="Q34" s="1">
        <f t="shared" si="30"/>
        <v>4627763.2799999993</v>
      </c>
      <c r="R34" s="1">
        <f t="shared" si="30"/>
        <v>4627763.2799999993</v>
      </c>
      <c r="S34" s="1">
        <f t="shared" si="30"/>
        <v>4627763.2799999993</v>
      </c>
      <c r="T34" s="1">
        <f t="shared" si="30"/>
        <v>4627763.2799999993</v>
      </c>
      <c r="U34" s="1">
        <f t="shared" si="30"/>
        <v>4627763.2799999993</v>
      </c>
      <c r="V34" s="1">
        <f t="shared" si="30"/>
        <v>4627763.2799999993</v>
      </c>
      <c r="W34" s="1">
        <f t="shared" si="30"/>
        <v>4627763.2799999993</v>
      </c>
      <c r="X34" s="1">
        <f t="shared" si="30"/>
        <v>4627763.2799999993</v>
      </c>
      <c r="Y34" s="1">
        <f t="shared" si="30"/>
        <v>4627763.2799999993</v>
      </c>
      <c r="Z34" s="1">
        <f t="shared" si="30"/>
        <v>4627763.2799999993</v>
      </c>
      <c r="AA34" s="1">
        <f t="shared" si="30"/>
        <v>4627763.2799999993</v>
      </c>
    </row>
    <row r="35" spans="1:27">
      <c r="A35" s="84" t="s">
        <v>144</v>
      </c>
      <c r="B35" s="85" t="s">
        <v>143</v>
      </c>
      <c r="C35" s="85" t="s">
        <v>92</v>
      </c>
      <c r="D35" s="84" t="s">
        <v>87</v>
      </c>
      <c r="E35" s="84">
        <f>VLOOKUP(A35,'2a. SI Pop'!$A$5:$E$198,5,FALSE)</f>
        <v>1</v>
      </c>
      <c r="F35" s="89">
        <v>0</v>
      </c>
      <c r="G35" s="1">
        <f t="shared" si="1"/>
        <v>0</v>
      </c>
      <c r="H35" s="1">
        <f t="shared" ref="H35:AA35" si="31">G35</f>
        <v>0</v>
      </c>
      <c r="I35" s="1">
        <f t="shared" si="31"/>
        <v>0</v>
      </c>
      <c r="J35" s="1">
        <f t="shared" si="31"/>
        <v>0</v>
      </c>
      <c r="K35" s="1">
        <f t="shared" si="31"/>
        <v>0</v>
      </c>
      <c r="L35" s="1">
        <f t="shared" si="31"/>
        <v>0</v>
      </c>
      <c r="M35" s="1">
        <f t="shared" si="31"/>
        <v>0</v>
      </c>
      <c r="N35" s="1">
        <f t="shared" si="31"/>
        <v>0</v>
      </c>
      <c r="O35" s="1">
        <f t="shared" si="31"/>
        <v>0</v>
      </c>
      <c r="P35" s="1">
        <f t="shared" si="31"/>
        <v>0</v>
      </c>
      <c r="Q35" s="1">
        <f t="shared" si="31"/>
        <v>0</v>
      </c>
      <c r="R35" s="1">
        <f t="shared" si="31"/>
        <v>0</v>
      </c>
      <c r="S35" s="1">
        <f t="shared" si="31"/>
        <v>0</v>
      </c>
      <c r="T35" s="1">
        <f t="shared" si="31"/>
        <v>0</v>
      </c>
      <c r="U35" s="1">
        <f t="shared" si="31"/>
        <v>0</v>
      </c>
      <c r="V35" s="1">
        <f t="shared" si="31"/>
        <v>0</v>
      </c>
      <c r="W35" s="1">
        <f t="shared" si="31"/>
        <v>0</v>
      </c>
      <c r="X35" s="1">
        <f t="shared" si="31"/>
        <v>0</v>
      </c>
      <c r="Y35" s="1">
        <f t="shared" si="31"/>
        <v>0</v>
      </c>
      <c r="Z35" s="1">
        <f t="shared" si="31"/>
        <v>0</v>
      </c>
      <c r="AA35" s="1">
        <f t="shared" si="31"/>
        <v>0</v>
      </c>
    </row>
    <row r="36" spans="1:27">
      <c r="A36" s="84" t="s">
        <v>146</v>
      </c>
      <c r="B36" s="85" t="s">
        <v>145</v>
      </c>
      <c r="C36" s="85" t="s">
        <v>83</v>
      </c>
      <c r="D36" s="84" t="s">
        <v>84</v>
      </c>
      <c r="E36" s="84">
        <f>VLOOKUP(A36,'2a. SI Pop'!$A$5:$E$198,5,FALSE)</f>
        <v>2</v>
      </c>
      <c r="F36" s="89">
        <v>0</v>
      </c>
      <c r="G36" s="1">
        <f t="shared" si="1"/>
        <v>0</v>
      </c>
      <c r="H36" s="1">
        <f t="shared" ref="H36:AA36" si="32">G36</f>
        <v>0</v>
      </c>
      <c r="I36" s="1">
        <f t="shared" si="32"/>
        <v>0</v>
      </c>
      <c r="J36" s="1">
        <f t="shared" si="32"/>
        <v>0</v>
      </c>
      <c r="K36" s="1">
        <f t="shared" si="32"/>
        <v>0</v>
      </c>
      <c r="L36" s="1">
        <f t="shared" si="32"/>
        <v>0</v>
      </c>
      <c r="M36" s="1">
        <f t="shared" si="32"/>
        <v>0</v>
      </c>
      <c r="N36" s="1">
        <f t="shared" si="32"/>
        <v>0</v>
      </c>
      <c r="O36" s="1">
        <f t="shared" si="32"/>
        <v>0</v>
      </c>
      <c r="P36" s="1">
        <f t="shared" si="32"/>
        <v>0</v>
      </c>
      <c r="Q36" s="1">
        <f t="shared" si="32"/>
        <v>0</v>
      </c>
      <c r="R36" s="1">
        <f t="shared" si="32"/>
        <v>0</v>
      </c>
      <c r="S36" s="1">
        <f t="shared" si="32"/>
        <v>0</v>
      </c>
      <c r="T36" s="1">
        <f t="shared" si="32"/>
        <v>0</v>
      </c>
      <c r="U36" s="1">
        <f t="shared" si="32"/>
        <v>0</v>
      </c>
      <c r="V36" s="1">
        <f t="shared" si="32"/>
        <v>0</v>
      </c>
      <c r="W36" s="1">
        <f t="shared" si="32"/>
        <v>0</v>
      </c>
      <c r="X36" s="1">
        <f t="shared" si="32"/>
        <v>0</v>
      </c>
      <c r="Y36" s="1">
        <f t="shared" si="32"/>
        <v>0</v>
      </c>
      <c r="Z36" s="1">
        <f t="shared" si="32"/>
        <v>0</v>
      </c>
      <c r="AA36" s="1">
        <f t="shared" si="32"/>
        <v>0</v>
      </c>
    </row>
    <row r="37" spans="1:27">
      <c r="A37" s="84" t="s">
        <v>148</v>
      </c>
      <c r="B37" s="85" t="s">
        <v>147</v>
      </c>
      <c r="C37" s="85" t="s">
        <v>83</v>
      </c>
      <c r="D37" s="84" t="s">
        <v>75</v>
      </c>
      <c r="E37" s="84">
        <f>VLOOKUP(A37,'2a. SI Pop'!$A$5:$E$198,5,FALSE)</f>
        <v>3</v>
      </c>
      <c r="F37" s="89">
        <v>1664322.72</v>
      </c>
      <c r="G37" s="1">
        <f t="shared" si="1"/>
        <v>1664322.72</v>
      </c>
      <c r="H37" s="1">
        <f t="shared" ref="H37:AA37" si="33">G37</f>
        <v>1664322.72</v>
      </c>
      <c r="I37" s="1">
        <f t="shared" si="33"/>
        <v>1664322.72</v>
      </c>
      <c r="J37" s="1">
        <f t="shared" si="33"/>
        <v>1664322.72</v>
      </c>
      <c r="K37" s="1">
        <f t="shared" si="33"/>
        <v>1664322.72</v>
      </c>
      <c r="L37" s="1">
        <f t="shared" si="33"/>
        <v>1664322.72</v>
      </c>
      <c r="M37" s="1">
        <f t="shared" si="33"/>
        <v>1664322.72</v>
      </c>
      <c r="N37" s="1">
        <f t="shared" si="33"/>
        <v>1664322.72</v>
      </c>
      <c r="O37" s="1">
        <f t="shared" si="33"/>
        <v>1664322.72</v>
      </c>
      <c r="P37" s="1">
        <f t="shared" si="33"/>
        <v>1664322.72</v>
      </c>
      <c r="Q37" s="1">
        <f t="shared" si="33"/>
        <v>1664322.72</v>
      </c>
      <c r="R37" s="1">
        <f t="shared" si="33"/>
        <v>1664322.72</v>
      </c>
      <c r="S37" s="1">
        <f t="shared" si="33"/>
        <v>1664322.72</v>
      </c>
      <c r="T37" s="1">
        <f t="shared" si="33"/>
        <v>1664322.72</v>
      </c>
      <c r="U37" s="1">
        <f t="shared" si="33"/>
        <v>1664322.72</v>
      </c>
      <c r="V37" s="1">
        <f t="shared" si="33"/>
        <v>1664322.72</v>
      </c>
      <c r="W37" s="1">
        <f t="shared" si="33"/>
        <v>1664322.72</v>
      </c>
      <c r="X37" s="1">
        <f t="shared" si="33"/>
        <v>1664322.72</v>
      </c>
      <c r="Y37" s="1">
        <f t="shared" si="33"/>
        <v>1664322.72</v>
      </c>
      <c r="Z37" s="1">
        <f t="shared" si="33"/>
        <v>1664322.72</v>
      </c>
      <c r="AA37" s="1">
        <f t="shared" si="33"/>
        <v>1664322.72</v>
      </c>
    </row>
    <row r="38" spans="1:27">
      <c r="A38" s="84" t="s">
        <v>150</v>
      </c>
      <c r="B38" s="85" t="s">
        <v>149</v>
      </c>
      <c r="C38" s="85" t="s">
        <v>83</v>
      </c>
      <c r="D38" s="84" t="s">
        <v>75</v>
      </c>
      <c r="E38" s="84" t="str">
        <f>VLOOKUP(A38,'2a. SI Pop'!$A$5:$E$198,5,FALSE)</f>
        <v>Key</v>
      </c>
      <c r="F38" s="89">
        <v>2696107.3020000001</v>
      </c>
      <c r="G38" s="1">
        <f t="shared" ref="G38:G69" si="34">F38</f>
        <v>2696107.3020000001</v>
      </c>
      <c r="H38" s="1">
        <f t="shared" ref="H38:AA38" si="35">G38</f>
        <v>2696107.3020000001</v>
      </c>
      <c r="I38" s="1">
        <f t="shared" si="35"/>
        <v>2696107.3020000001</v>
      </c>
      <c r="J38" s="1">
        <f t="shared" si="35"/>
        <v>2696107.3020000001</v>
      </c>
      <c r="K38" s="1">
        <f t="shared" si="35"/>
        <v>2696107.3020000001</v>
      </c>
      <c r="L38" s="1">
        <f t="shared" si="35"/>
        <v>2696107.3020000001</v>
      </c>
      <c r="M38" s="1">
        <f t="shared" si="35"/>
        <v>2696107.3020000001</v>
      </c>
      <c r="N38" s="1">
        <f t="shared" si="35"/>
        <v>2696107.3020000001</v>
      </c>
      <c r="O38" s="1">
        <f t="shared" si="35"/>
        <v>2696107.3020000001</v>
      </c>
      <c r="P38" s="1">
        <f t="shared" si="35"/>
        <v>2696107.3020000001</v>
      </c>
      <c r="Q38" s="1">
        <f t="shared" si="35"/>
        <v>2696107.3020000001</v>
      </c>
      <c r="R38" s="1">
        <f t="shared" si="35"/>
        <v>2696107.3020000001</v>
      </c>
      <c r="S38" s="1">
        <f t="shared" si="35"/>
        <v>2696107.3020000001</v>
      </c>
      <c r="T38" s="1">
        <f t="shared" si="35"/>
        <v>2696107.3020000001</v>
      </c>
      <c r="U38" s="1">
        <f t="shared" si="35"/>
        <v>2696107.3020000001</v>
      </c>
      <c r="V38" s="1">
        <f t="shared" si="35"/>
        <v>2696107.3020000001</v>
      </c>
      <c r="W38" s="1">
        <f t="shared" si="35"/>
        <v>2696107.3020000001</v>
      </c>
      <c r="X38" s="1">
        <f t="shared" si="35"/>
        <v>2696107.3020000001</v>
      </c>
      <c r="Y38" s="1">
        <f t="shared" si="35"/>
        <v>2696107.3020000001</v>
      </c>
      <c r="Z38" s="1">
        <f t="shared" si="35"/>
        <v>2696107.3020000001</v>
      </c>
      <c r="AA38" s="1">
        <f t="shared" si="35"/>
        <v>2696107.3020000001</v>
      </c>
    </row>
    <row r="39" spans="1:27">
      <c r="A39" s="84" t="s">
        <v>152</v>
      </c>
      <c r="B39" s="85" t="s">
        <v>151</v>
      </c>
      <c r="C39" s="85" t="s">
        <v>92</v>
      </c>
      <c r="D39" s="84" t="s">
        <v>87</v>
      </c>
      <c r="E39" s="84">
        <f>VLOOKUP(A39,'2a. SI Pop'!$A$5:$E$198,5,FALSE)</f>
        <v>2</v>
      </c>
      <c r="F39" s="89">
        <v>0</v>
      </c>
      <c r="G39" s="1">
        <f t="shared" si="34"/>
        <v>0</v>
      </c>
      <c r="H39" s="1">
        <f t="shared" ref="H39:AA39" si="36">G39</f>
        <v>0</v>
      </c>
      <c r="I39" s="1">
        <f t="shared" si="36"/>
        <v>0</v>
      </c>
      <c r="J39" s="1">
        <f t="shared" si="36"/>
        <v>0</v>
      </c>
      <c r="K39" s="1">
        <f t="shared" si="36"/>
        <v>0</v>
      </c>
      <c r="L39" s="1">
        <f t="shared" si="36"/>
        <v>0</v>
      </c>
      <c r="M39" s="1">
        <f t="shared" si="36"/>
        <v>0</v>
      </c>
      <c r="N39" s="1">
        <f t="shared" si="36"/>
        <v>0</v>
      </c>
      <c r="O39" s="1">
        <f t="shared" si="36"/>
        <v>0</v>
      </c>
      <c r="P39" s="1">
        <f t="shared" si="36"/>
        <v>0</v>
      </c>
      <c r="Q39" s="1">
        <f t="shared" si="36"/>
        <v>0</v>
      </c>
      <c r="R39" s="1">
        <f t="shared" si="36"/>
        <v>0</v>
      </c>
      <c r="S39" s="1">
        <f t="shared" si="36"/>
        <v>0</v>
      </c>
      <c r="T39" s="1">
        <f t="shared" si="36"/>
        <v>0</v>
      </c>
      <c r="U39" s="1">
        <f t="shared" si="36"/>
        <v>0</v>
      </c>
      <c r="V39" s="1">
        <f t="shared" si="36"/>
        <v>0</v>
      </c>
      <c r="W39" s="1">
        <f t="shared" si="36"/>
        <v>0</v>
      </c>
      <c r="X39" s="1">
        <f t="shared" si="36"/>
        <v>0</v>
      </c>
      <c r="Y39" s="1">
        <f t="shared" si="36"/>
        <v>0</v>
      </c>
      <c r="Z39" s="1">
        <f t="shared" si="36"/>
        <v>0</v>
      </c>
      <c r="AA39" s="1">
        <f t="shared" si="36"/>
        <v>0</v>
      </c>
    </row>
    <row r="40" spans="1:27">
      <c r="A40" s="84" t="s">
        <v>154</v>
      </c>
      <c r="B40" s="85" t="s">
        <v>153</v>
      </c>
      <c r="C40" s="85" t="s">
        <v>99</v>
      </c>
      <c r="D40" s="84" t="s">
        <v>80</v>
      </c>
      <c r="E40" s="84">
        <f>VLOOKUP(A40,'2a. SI Pop'!$A$5:$E$198,5,FALSE)</f>
        <v>1</v>
      </c>
      <c r="F40" s="89">
        <v>186540293.26800001</v>
      </c>
      <c r="G40" s="1">
        <f t="shared" si="34"/>
        <v>186540293.26800001</v>
      </c>
      <c r="H40" s="1">
        <f t="shared" ref="H40:AA40" si="37">G40</f>
        <v>186540293.26800001</v>
      </c>
      <c r="I40" s="1">
        <f t="shared" si="37"/>
        <v>186540293.26800001</v>
      </c>
      <c r="J40" s="1">
        <f t="shared" si="37"/>
        <v>186540293.26800001</v>
      </c>
      <c r="K40" s="1">
        <f t="shared" si="37"/>
        <v>186540293.26800001</v>
      </c>
      <c r="L40" s="1">
        <f t="shared" si="37"/>
        <v>186540293.26800001</v>
      </c>
      <c r="M40" s="1">
        <f t="shared" si="37"/>
        <v>186540293.26800001</v>
      </c>
      <c r="N40" s="1">
        <f t="shared" si="37"/>
        <v>186540293.26800001</v>
      </c>
      <c r="O40" s="1">
        <f t="shared" si="37"/>
        <v>186540293.26800001</v>
      </c>
      <c r="P40" s="1">
        <f t="shared" si="37"/>
        <v>186540293.26800001</v>
      </c>
      <c r="Q40" s="1">
        <f t="shared" si="37"/>
        <v>186540293.26800001</v>
      </c>
      <c r="R40" s="1">
        <f t="shared" si="37"/>
        <v>186540293.26800001</v>
      </c>
      <c r="S40" s="1">
        <f t="shared" si="37"/>
        <v>186540293.26800001</v>
      </c>
      <c r="T40" s="1">
        <f t="shared" si="37"/>
        <v>186540293.26800001</v>
      </c>
      <c r="U40" s="1">
        <f t="shared" si="37"/>
        <v>186540293.26800001</v>
      </c>
      <c r="V40" s="1">
        <f t="shared" si="37"/>
        <v>186540293.26800001</v>
      </c>
      <c r="W40" s="1">
        <f t="shared" si="37"/>
        <v>186540293.26800001</v>
      </c>
      <c r="X40" s="1">
        <f t="shared" si="37"/>
        <v>186540293.26800001</v>
      </c>
      <c r="Y40" s="1">
        <f t="shared" si="37"/>
        <v>186540293.26800001</v>
      </c>
      <c r="Z40" s="1">
        <f t="shared" si="37"/>
        <v>186540293.26800001</v>
      </c>
      <c r="AA40" s="1">
        <f t="shared" si="37"/>
        <v>186540293.26800001</v>
      </c>
    </row>
    <row r="41" spans="1:27">
      <c r="A41" s="84" t="s">
        <v>156</v>
      </c>
      <c r="B41" s="85" t="s">
        <v>155</v>
      </c>
      <c r="C41" s="85" t="s">
        <v>92</v>
      </c>
      <c r="D41" s="84" t="s">
        <v>80</v>
      </c>
      <c r="E41" s="84">
        <f>VLOOKUP(A41,'2a. SI Pop'!$A$5:$E$198,5,FALSE)</f>
        <v>2</v>
      </c>
      <c r="F41" s="89">
        <v>4886378.2070000004</v>
      </c>
      <c r="G41" s="1">
        <f t="shared" si="34"/>
        <v>4886378.2070000004</v>
      </c>
      <c r="H41" s="1">
        <f t="shared" ref="H41:AA41" si="38">G41</f>
        <v>4886378.2070000004</v>
      </c>
      <c r="I41" s="1">
        <f t="shared" si="38"/>
        <v>4886378.2070000004</v>
      </c>
      <c r="J41" s="1">
        <f t="shared" si="38"/>
        <v>4886378.2070000004</v>
      </c>
      <c r="K41" s="1">
        <f t="shared" si="38"/>
        <v>4886378.2070000004</v>
      </c>
      <c r="L41" s="1">
        <f t="shared" si="38"/>
        <v>4886378.2070000004</v>
      </c>
      <c r="M41" s="1">
        <f t="shared" si="38"/>
        <v>4886378.2070000004</v>
      </c>
      <c r="N41" s="1">
        <f t="shared" si="38"/>
        <v>4886378.2070000004</v>
      </c>
      <c r="O41" s="1">
        <f t="shared" si="38"/>
        <v>4886378.2070000004</v>
      </c>
      <c r="P41" s="1">
        <f t="shared" si="38"/>
        <v>4886378.2070000004</v>
      </c>
      <c r="Q41" s="1">
        <f t="shared" si="38"/>
        <v>4886378.2070000004</v>
      </c>
      <c r="R41" s="1">
        <f t="shared" si="38"/>
        <v>4886378.2070000004</v>
      </c>
      <c r="S41" s="1">
        <f t="shared" si="38"/>
        <v>4886378.2070000004</v>
      </c>
      <c r="T41" s="1">
        <f t="shared" si="38"/>
        <v>4886378.2070000004</v>
      </c>
      <c r="U41" s="1">
        <f t="shared" si="38"/>
        <v>4886378.2070000004</v>
      </c>
      <c r="V41" s="1">
        <f t="shared" si="38"/>
        <v>4886378.2070000004</v>
      </c>
      <c r="W41" s="1">
        <f t="shared" si="38"/>
        <v>4886378.2070000004</v>
      </c>
      <c r="X41" s="1">
        <f t="shared" si="38"/>
        <v>4886378.2070000004</v>
      </c>
      <c r="Y41" s="1">
        <f t="shared" si="38"/>
        <v>4886378.2070000004</v>
      </c>
      <c r="Z41" s="1">
        <f t="shared" si="38"/>
        <v>4886378.2070000004</v>
      </c>
      <c r="AA41" s="1">
        <f t="shared" si="38"/>
        <v>4886378.2070000004</v>
      </c>
    </row>
    <row r="42" spans="1:27">
      <c r="A42" s="84" t="s">
        <v>158</v>
      </c>
      <c r="B42" s="85" t="s">
        <v>157</v>
      </c>
      <c r="C42" s="85" t="s">
        <v>83</v>
      </c>
      <c r="D42" s="84" t="s">
        <v>84</v>
      </c>
      <c r="E42" s="84">
        <f>VLOOKUP(A42,'2a. SI Pop'!$A$5:$E$198,5,FALSE)</f>
        <v>3</v>
      </c>
      <c r="F42" s="89">
        <v>149776.416</v>
      </c>
      <c r="G42" s="1">
        <f t="shared" si="34"/>
        <v>149776.416</v>
      </c>
      <c r="H42" s="1">
        <f t="shared" ref="H42:AA42" si="39">G42</f>
        <v>149776.416</v>
      </c>
      <c r="I42" s="1">
        <f t="shared" si="39"/>
        <v>149776.416</v>
      </c>
      <c r="J42" s="1">
        <f t="shared" si="39"/>
        <v>149776.416</v>
      </c>
      <c r="K42" s="1">
        <f t="shared" si="39"/>
        <v>149776.416</v>
      </c>
      <c r="L42" s="1">
        <f t="shared" si="39"/>
        <v>149776.416</v>
      </c>
      <c r="M42" s="1">
        <f t="shared" si="39"/>
        <v>149776.416</v>
      </c>
      <c r="N42" s="1">
        <f t="shared" si="39"/>
        <v>149776.416</v>
      </c>
      <c r="O42" s="1">
        <f t="shared" si="39"/>
        <v>149776.416</v>
      </c>
      <c r="P42" s="1">
        <f t="shared" si="39"/>
        <v>149776.416</v>
      </c>
      <c r="Q42" s="1">
        <f t="shared" si="39"/>
        <v>149776.416</v>
      </c>
      <c r="R42" s="1">
        <f t="shared" si="39"/>
        <v>149776.416</v>
      </c>
      <c r="S42" s="1">
        <f t="shared" si="39"/>
        <v>149776.416</v>
      </c>
      <c r="T42" s="1">
        <f t="shared" si="39"/>
        <v>149776.416</v>
      </c>
      <c r="U42" s="1">
        <f t="shared" si="39"/>
        <v>149776.416</v>
      </c>
      <c r="V42" s="1">
        <f t="shared" si="39"/>
        <v>149776.416</v>
      </c>
      <c r="W42" s="1">
        <f t="shared" si="39"/>
        <v>149776.416</v>
      </c>
      <c r="X42" s="1">
        <f t="shared" si="39"/>
        <v>149776.416</v>
      </c>
      <c r="Y42" s="1">
        <f t="shared" si="39"/>
        <v>149776.416</v>
      </c>
      <c r="Z42" s="1">
        <f t="shared" si="39"/>
        <v>149776.416</v>
      </c>
      <c r="AA42" s="1">
        <f t="shared" si="39"/>
        <v>149776.416</v>
      </c>
    </row>
    <row r="43" spans="1:27">
      <c r="A43" s="84" t="s">
        <v>160</v>
      </c>
      <c r="B43" s="85" t="s">
        <v>159</v>
      </c>
      <c r="C43" s="85" t="s">
        <v>83</v>
      </c>
      <c r="D43" s="84" t="s">
        <v>84</v>
      </c>
      <c r="E43" s="84">
        <f>VLOOKUP(A43,'2a. SI Pop'!$A$5:$E$198,5,FALSE)</f>
        <v>3</v>
      </c>
      <c r="F43" s="89">
        <v>1445955.14</v>
      </c>
      <c r="G43" s="1">
        <f t="shared" si="34"/>
        <v>1445955.14</v>
      </c>
      <c r="H43" s="1">
        <f t="shared" ref="H43:AA43" si="40">G43</f>
        <v>1445955.14</v>
      </c>
      <c r="I43" s="1">
        <f t="shared" si="40"/>
        <v>1445955.14</v>
      </c>
      <c r="J43" s="1">
        <f t="shared" si="40"/>
        <v>1445955.14</v>
      </c>
      <c r="K43" s="1">
        <f t="shared" si="40"/>
        <v>1445955.14</v>
      </c>
      <c r="L43" s="1">
        <f t="shared" si="40"/>
        <v>1445955.14</v>
      </c>
      <c r="M43" s="1">
        <f t="shared" si="40"/>
        <v>1445955.14</v>
      </c>
      <c r="N43" s="1">
        <f t="shared" si="40"/>
        <v>1445955.14</v>
      </c>
      <c r="O43" s="1">
        <f t="shared" si="40"/>
        <v>1445955.14</v>
      </c>
      <c r="P43" s="1">
        <f t="shared" si="40"/>
        <v>1445955.14</v>
      </c>
      <c r="Q43" s="1">
        <f t="shared" si="40"/>
        <v>1445955.14</v>
      </c>
      <c r="R43" s="1">
        <f t="shared" si="40"/>
        <v>1445955.14</v>
      </c>
      <c r="S43" s="1">
        <f t="shared" si="40"/>
        <v>1445955.14</v>
      </c>
      <c r="T43" s="1">
        <f t="shared" si="40"/>
        <v>1445955.14</v>
      </c>
      <c r="U43" s="1">
        <f t="shared" si="40"/>
        <v>1445955.14</v>
      </c>
      <c r="V43" s="1">
        <f t="shared" si="40"/>
        <v>1445955.14</v>
      </c>
      <c r="W43" s="1">
        <f t="shared" si="40"/>
        <v>1445955.14</v>
      </c>
      <c r="X43" s="1">
        <f t="shared" si="40"/>
        <v>1445955.14</v>
      </c>
      <c r="Y43" s="1">
        <f t="shared" si="40"/>
        <v>1445955.14</v>
      </c>
      <c r="Z43" s="1">
        <f t="shared" si="40"/>
        <v>1445955.14</v>
      </c>
      <c r="AA43" s="1">
        <f t="shared" si="40"/>
        <v>1445955.14</v>
      </c>
    </row>
    <row r="44" spans="1:27">
      <c r="A44" s="84" t="s">
        <v>162</v>
      </c>
      <c r="B44" s="85" t="s">
        <v>161</v>
      </c>
      <c r="C44" s="85" t="s">
        <v>99</v>
      </c>
      <c r="D44" s="84" t="e">
        <v>#N/A</v>
      </c>
      <c r="E44" s="84">
        <f>VLOOKUP(A44,'2a. SI Pop'!$A$5:$E$198,5,FALSE)</f>
        <v>1</v>
      </c>
      <c r="F44" s="89"/>
      <c r="G44" s="1">
        <f t="shared" si="34"/>
        <v>0</v>
      </c>
      <c r="H44" s="1">
        <f t="shared" ref="H44:AA44" si="41">G44</f>
        <v>0</v>
      </c>
      <c r="I44" s="1">
        <f t="shared" si="41"/>
        <v>0</v>
      </c>
      <c r="J44" s="1">
        <f t="shared" si="41"/>
        <v>0</v>
      </c>
      <c r="K44" s="1">
        <f t="shared" si="41"/>
        <v>0</v>
      </c>
      <c r="L44" s="1">
        <f t="shared" si="41"/>
        <v>0</v>
      </c>
      <c r="M44" s="1">
        <f t="shared" si="41"/>
        <v>0</v>
      </c>
      <c r="N44" s="1">
        <f t="shared" si="41"/>
        <v>0</v>
      </c>
      <c r="O44" s="1">
        <f t="shared" si="41"/>
        <v>0</v>
      </c>
      <c r="P44" s="1">
        <f t="shared" si="41"/>
        <v>0</v>
      </c>
      <c r="Q44" s="1">
        <f t="shared" si="41"/>
        <v>0</v>
      </c>
      <c r="R44" s="1">
        <f t="shared" si="41"/>
        <v>0</v>
      </c>
      <c r="S44" s="1">
        <f t="shared" si="41"/>
        <v>0</v>
      </c>
      <c r="T44" s="1">
        <f t="shared" si="41"/>
        <v>0</v>
      </c>
      <c r="U44" s="1">
        <f t="shared" si="41"/>
        <v>0</v>
      </c>
      <c r="V44" s="1">
        <f t="shared" si="41"/>
        <v>0</v>
      </c>
      <c r="W44" s="1">
        <f t="shared" si="41"/>
        <v>0</v>
      </c>
      <c r="X44" s="1">
        <f t="shared" si="41"/>
        <v>0</v>
      </c>
      <c r="Y44" s="1">
        <f t="shared" si="41"/>
        <v>0</v>
      </c>
      <c r="Z44" s="1">
        <f t="shared" si="41"/>
        <v>0</v>
      </c>
      <c r="AA44" s="1">
        <f t="shared" si="41"/>
        <v>0</v>
      </c>
    </row>
    <row r="45" spans="1:27">
      <c r="A45" s="84" t="s">
        <v>164</v>
      </c>
      <c r="B45" s="85" t="s">
        <v>163</v>
      </c>
      <c r="C45" s="85" t="s">
        <v>92</v>
      </c>
      <c r="D45" s="84" t="s">
        <v>80</v>
      </c>
      <c r="E45" s="84">
        <f>VLOOKUP(A45,'2a. SI Pop'!$A$5:$E$198,5,FALSE)</f>
        <v>2</v>
      </c>
      <c r="F45" s="89">
        <v>200291.96</v>
      </c>
      <c r="G45" s="1">
        <f t="shared" si="34"/>
        <v>200291.96</v>
      </c>
      <c r="H45" s="1">
        <f t="shared" ref="H45:AA45" si="42">G45</f>
        <v>200291.96</v>
      </c>
      <c r="I45" s="1">
        <f t="shared" si="42"/>
        <v>200291.96</v>
      </c>
      <c r="J45" s="1">
        <f t="shared" si="42"/>
        <v>200291.96</v>
      </c>
      <c r="K45" s="1">
        <f t="shared" si="42"/>
        <v>200291.96</v>
      </c>
      <c r="L45" s="1">
        <f t="shared" si="42"/>
        <v>200291.96</v>
      </c>
      <c r="M45" s="1">
        <f t="shared" si="42"/>
        <v>200291.96</v>
      </c>
      <c r="N45" s="1">
        <f t="shared" si="42"/>
        <v>200291.96</v>
      </c>
      <c r="O45" s="1">
        <f t="shared" si="42"/>
        <v>200291.96</v>
      </c>
      <c r="P45" s="1">
        <f t="shared" si="42"/>
        <v>200291.96</v>
      </c>
      <c r="Q45" s="1">
        <f t="shared" si="42"/>
        <v>200291.96</v>
      </c>
      <c r="R45" s="1">
        <f t="shared" si="42"/>
        <v>200291.96</v>
      </c>
      <c r="S45" s="1">
        <f t="shared" si="42"/>
        <v>200291.96</v>
      </c>
      <c r="T45" s="1">
        <f t="shared" si="42"/>
        <v>200291.96</v>
      </c>
      <c r="U45" s="1">
        <f t="shared" si="42"/>
        <v>200291.96</v>
      </c>
      <c r="V45" s="1">
        <f t="shared" si="42"/>
        <v>200291.96</v>
      </c>
      <c r="W45" s="1">
        <f t="shared" si="42"/>
        <v>200291.96</v>
      </c>
      <c r="X45" s="1">
        <f t="shared" si="42"/>
        <v>200291.96</v>
      </c>
      <c r="Y45" s="1">
        <f t="shared" si="42"/>
        <v>200291.96</v>
      </c>
      <c r="Z45" s="1">
        <f t="shared" si="42"/>
        <v>200291.96</v>
      </c>
      <c r="AA45" s="1">
        <f t="shared" si="42"/>
        <v>200291.96</v>
      </c>
    </row>
    <row r="46" spans="1:27">
      <c r="A46" s="84" t="s">
        <v>166</v>
      </c>
      <c r="B46" s="85" t="s">
        <v>165</v>
      </c>
      <c r="C46" s="85" t="s">
        <v>83</v>
      </c>
      <c r="D46" s="84" t="s">
        <v>84</v>
      </c>
      <c r="E46" s="84">
        <f>VLOOKUP(A46,'2a. SI Pop'!$A$5:$E$198,5,FALSE)</f>
        <v>3</v>
      </c>
      <c r="F46" s="89">
        <v>6216299.6000000006</v>
      </c>
      <c r="G46" s="1">
        <f t="shared" si="34"/>
        <v>6216299.6000000006</v>
      </c>
      <c r="H46" s="1">
        <f t="shared" ref="H46:AA46" si="43">G46</f>
        <v>6216299.6000000006</v>
      </c>
      <c r="I46" s="1">
        <f t="shared" si="43"/>
        <v>6216299.6000000006</v>
      </c>
      <c r="J46" s="1">
        <f t="shared" si="43"/>
        <v>6216299.6000000006</v>
      </c>
      <c r="K46" s="1">
        <f t="shared" si="43"/>
        <v>6216299.6000000006</v>
      </c>
      <c r="L46" s="1">
        <f t="shared" si="43"/>
        <v>6216299.6000000006</v>
      </c>
      <c r="M46" s="1">
        <f t="shared" si="43"/>
        <v>6216299.6000000006</v>
      </c>
      <c r="N46" s="1">
        <f t="shared" si="43"/>
        <v>6216299.6000000006</v>
      </c>
      <c r="O46" s="1">
        <f t="shared" si="43"/>
        <v>6216299.6000000006</v>
      </c>
      <c r="P46" s="1">
        <f t="shared" si="43"/>
        <v>6216299.6000000006</v>
      </c>
      <c r="Q46" s="1">
        <f t="shared" si="43"/>
        <v>6216299.6000000006</v>
      </c>
      <c r="R46" s="1">
        <f t="shared" si="43"/>
        <v>6216299.6000000006</v>
      </c>
      <c r="S46" s="1">
        <f t="shared" si="43"/>
        <v>6216299.6000000006</v>
      </c>
      <c r="T46" s="1">
        <f t="shared" si="43"/>
        <v>6216299.6000000006</v>
      </c>
      <c r="U46" s="1">
        <f t="shared" si="43"/>
        <v>6216299.6000000006</v>
      </c>
      <c r="V46" s="1">
        <f t="shared" si="43"/>
        <v>6216299.6000000006</v>
      </c>
      <c r="W46" s="1">
        <f t="shared" si="43"/>
        <v>6216299.6000000006</v>
      </c>
      <c r="X46" s="1">
        <f t="shared" si="43"/>
        <v>6216299.6000000006</v>
      </c>
      <c r="Y46" s="1">
        <f t="shared" si="43"/>
        <v>6216299.6000000006</v>
      </c>
      <c r="Z46" s="1">
        <f t="shared" si="43"/>
        <v>6216299.6000000006</v>
      </c>
      <c r="AA46" s="1">
        <f t="shared" si="43"/>
        <v>6216299.6000000006</v>
      </c>
    </row>
    <row r="47" spans="1:27">
      <c r="A47" s="84" t="s">
        <v>168</v>
      </c>
      <c r="B47" s="85" t="s">
        <v>167</v>
      </c>
      <c r="C47" s="85" t="s">
        <v>79</v>
      </c>
      <c r="D47" s="84" t="s">
        <v>87</v>
      </c>
      <c r="E47" s="84">
        <f>VLOOKUP(A47,'2a. SI Pop'!$A$5:$E$198,5,FALSE)</f>
        <v>1</v>
      </c>
      <c r="F47" s="89">
        <v>0</v>
      </c>
      <c r="G47" s="1">
        <f t="shared" si="34"/>
        <v>0</v>
      </c>
      <c r="H47" s="1">
        <f t="shared" ref="H47:AA47" si="44">G47</f>
        <v>0</v>
      </c>
      <c r="I47" s="1">
        <f t="shared" si="44"/>
        <v>0</v>
      </c>
      <c r="J47" s="1">
        <f t="shared" si="44"/>
        <v>0</v>
      </c>
      <c r="K47" s="1">
        <f t="shared" si="44"/>
        <v>0</v>
      </c>
      <c r="L47" s="1">
        <f t="shared" si="44"/>
        <v>0</v>
      </c>
      <c r="M47" s="1">
        <f t="shared" si="44"/>
        <v>0</v>
      </c>
      <c r="N47" s="1">
        <f t="shared" si="44"/>
        <v>0</v>
      </c>
      <c r="O47" s="1">
        <f t="shared" si="44"/>
        <v>0</v>
      </c>
      <c r="P47" s="1">
        <f t="shared" si="44"/>
        <v>0</v>
      </c>
      <c r="Q47" s="1">
        <f t="shared" si="44"/>
        <v>0</v>
      </c>
      <c r="R47" s="1">
        <f t="shared" si="44"/>
        <v>0</v>
      </c>
      <c r="S47" s="1">
        <f t="shared" si="44"/>
        <v>0</v>
      </c>
      <c r="T47" s="1">
        <f t="shared" si="44"/>
        <v>0</v>
      </c>
      <c r="U47" s="1">
        <f t="shared" si="44"/>
        <v>0</v>
      </c>
      <c r="V47" s="1">
        <f t="shared" si="44"/>
        <v>0</v>
      </c>
      <c r="W47" s="1">
        <f t="shared" si="44"/>
        <v>0</v>
      </c>
      <c r="X47" s="1">
        <f t="shared" si="44"/>
        <v>0</v>
      </c>
      <c r="Y47" s="1">
        <f t="shared" si="44"/>
        <v>0</v>
      </c>
      <c r="Z47" s="1">
        <f t="shared" si="44"/>
        <v>0</v>
      </c>
      <c r="AA47" s="1">
        <f t="shared" si="44"/>
        <v>0</v>
      </c>
    </row>
    <row r="48" spans="1:27">
      <c r="A48" s="84" t="s">
        <v>170</v>
      </c>
      <c r="B48" s="85" t="s">
        <v>169</v>
      </c>
      <c r="C48" s="85" t="s">
        <v>92</v>
      </c>
      <c r="D48" s="84" t="s">
        <v>80</v>
      </c>
      <c r="E48" s="84">
        <f>VLOOKUP(A48,'2a. SI Pop'!$A$5:$E$198,5,FALSE)</f>
        <v>1</v>
      </c>
      <c r="F48" s="89">
        <v>0</v>
      </c>
      <c r="G48" s="1">
        <f t="shared" si="34"/>
        <v>0</v>
      </c>
      <c r="H48" s="1">
        <f t="shared" ref="H48:AA48" si="45">G48</f>
        <v>0</v>
      </c>
      <c r="I48" s="1">
        <f t="shared" si="45"/>
        <v>0</v>
      </c>
      <c r="J48" s="1">
        <f t="shared" si="45"/>
        <v>0</v>
      </c>
      <c r="K48" s="1">
        <f t="shared" si="45"/>
        <v>0</v>
      </c>
      <c r="L48" s="1">
        <f t="shared" si="45"/>
        <v>0</v>
      </c>
      <c r="M48" s="1">
        <f t="shared" si="45"/>
        <v>0</v>
      </c>
      <c r="N48" s="1">
        <f t="shared" si="45"/>
        <v>0</v>
      </c>
      <c r="O48" s="1">
        <f t="shared" si="45"/>
        <v>0</v>
      </c>
      <c r="P48" s="1">
        <f t="shared" si="45"/>
        <v>0</v>
      </c>
      <c r="Q48" s="1">
        <f t="shared" si="45"/>
        <v>0</v>
      </c>
      <c r="R48" s="1">
        <f t="shared" si="45"/>
        <v>0</v>
      </c>
      <c r="S48" s="1">
        <f t="shared" si="45"/>
        <v>0</v>
      </c>
      <c r="T48" s="1">
        <f t="shared" si="45"/>
        <v>0</v>
      </c>
      <c r="U48" s="1">
        <f t="shared" si="45"/>
        <v>0</v>
      </c>
      <c r="V48" s="1">
        <f t="shared" si="45"/>
        <v>0</v>
      </c>
      <c r="W48" s="1">
        <f t="shared" si="45"/>
        <v>0</v>
      </c>
      <c r="X48" s="1">
        <f t="shared" si="45"/>
        <v>0</v>
      </c>
      <c r="Y48" s="1">
        <f t="shared" si="45"/>
        <v>0</v>
      </c>
      <c r="Z48" s="1">
        <f t="shared" si="45"/>
        <v>0</v>
      </c>
      <c r="AA48" s="1">
        <f t="shared" si="45"/>
        <v>0</v>
      </c>
    </row>
    <row r="49" spans="1:27">
      <c r="A49" s="84" t="s">
        <v>172</v>
      </c>
      <c r="B49" s="85" t="s">
        <v>171</v>
      </c>
      <c r="C49" s="85" t="s">
        <v>79</v>
      </c>
      <c r="D49" s="84" t="s">
        <v>87</v>
      </c>
      <c r="E49" s="84">
        <f>VLOOKUP(A49,'2a. SI Pop'!$A$5:$E$198,5,FALSE)</f>
        <v>1</v>
      </c>
      <c r="F49" s="89">
        <v>0</v>
      </c>
      <c r="G49" s="1">
        <f t="shared" si="34"/>
        <v>0</v>
      </c>
      <c r="H49" s="1">
        <f t="shared" ref="H49:AA49" si="46">G49</f>
        <v>0</v>
      </c>
      <c r="I49" s="1">
        <f t="shared" si="46"/>
        <v>0</v>
      </c>
      <c r="J49" s="1">
        <f t="shared" si="46"/>
        <v>0</v>
      </c>
      <c r="K49" s="1">
        <f t="shared" si="46"/>
        <v>0</v>
      </c>
      <c r="L49" s="1">
        <f t="shared" si="46"/>
        <v>0</v>
      </c>
      <c r="M49" s="1">
        <f t="shared" si="46"/>
        <v>0</v>
      </c>
      <c r="N49" s="1">
        <f t="shared" si="46"/>
        <v>0</v>
      </c>
      <c r="O49" s="1">
        <f t="shared" si="46"/>
        <v>0</v>
      </c>
      <c r="P49" s="1">
        <f t="shared" si="46"/>
        <v>0</v>
      </c>
      <c r="Q49" s="1">
        <f t="shared" si="46"/>
        <v>0</v>
      </c>
      <c r="R49" s="1">
        <f t="shared" si="46"/>
        <v>0</v>
      </c>
      <c r="S49" s="1">
        <f t="shared" si="46"/>
        <v>0</v>
      </c>
      <c r="T49" s="1">
        <f t="shared" si="46"/>
        <v>0</v>
      </c>
      <c r="U49" s="1">
        <f t="shared" si="46"/>
        <v>0</v>
      </c>
      <c r="V49" s="1">
        <f t="shared" si="46"/>
        <v>0</v>
      </c>
      <c r="W49" s="1">
        <f t="shared" si="46"/>
        <v>0</v>
      </c>
      <c r="X49" s="1">
        <f t="shared" si="46"/>
        <v>0</v>
      </c>
      <c r="Y49" s="1">
        <f t="shared" si="46"/>
        <v>0</v>
      </c>
      <c r="Z49" s="1">
        <f t="shared" si="46"/>
        <v>0</v>
      </c>
      <c r="AA49" s="1">
        <f t="shared" si="46"/>
        <v>0</v>
      </c>
    </row>
    <row r="50" spans="1:27">
      <c r="A50" s="84" t="s">
        <v>174</v>
      </c>
      <c r="B50" s="85" t="s">
        <v>173</v>
      </c>
      <c r="C50" s="85" t="s">
        <v>79</v>
      </c>
      <c r="D50" s="84" t="s">
        <v>87</v>
      </c>
      <c r="E50" s="84">
        <f>VLOOKUP(A50,'2a. SI Pop'!$A$5:$E$198,5,FALSE)</f>
        <v>1</v>
      </c>
      <c r="F50" s="89">
        <v>0</v>
      </c>
      <c r="G50" s="1">
        <f t="shared" si="34"/>
        <v>0</v>
      </c>
      <c r="H50" s="1">
        <f t="shared" ref="H50:AA50" si="47">G50</f>
        <v>0</v>
      </c>
      <c r="I50" s="1">
        <f t="shared" si="47"/>
        <v>0</v>
      </c>
      <c r="J50" s="1">
        <f t="shared" si="47"/>
        <v>0</v>
      </c>
      <c r="K50" s="1">
        <f t="shared" si="47"/>
        <v>0</v>
      </c>
      <c r="L50" s="1">
        <f t="shared" si="47"/>
        <v>0</v>
      </c>
      <c r="M50" s="1">
        <f t="shared" si="47"/>
        <v>0</v>
      </c>
      <c r="N50" s="1">
        <f t="shared" si="47"/>
        <v>0</v>
      </c>
      <c r="O50" s="1">
        <f t="shared" si="47"/>
        <v>0</v>
      </c>
      <c r="P50" s="1">
        <f t="shared" si="47"/>
        <v>0</v>
      </c>
      <c r="Q50" s="1">
        <f t="shared" si="47"/>
        <v>0</v>
      </c>
      <c r="R50" s="1">
        <f t="shared" si="47"/>
        <v>0</v>
      </c>
      <c r="S50" s="1">
        <f t="shared" si="47"/>
        <v>0</v>
      </c>
      <c r="T50" s="1">
        <f t="shared" si="47"/>
        <v>0</v>
      </c>
      <c r="U50" s="1">
        <f t="shared" si="47"/>
        <v>0</v>
      </c>
      <c r="V50" s="1">
        <f t="shared" si="47"/>
        <v>0</v>
      </c>
      <c r="W50" s="1">
        <f t="shared" si="47"/>
        <v>0</v>
      </c>
      <c r="X50" s="1">
        <f t="shared" si="47"/>
        <v>0</v>
      </c>
      <c r="Y50" s="1">
        <f t="shared" si="47"/>
        <v>0</v>
      </c>
      <c r="Z50" s="1">
        <f t="shared" si="47"/>
        <v>0</v>
      </c>
      <c r="AA50" s="1">
        <f t="shared" si="47"/>
        <v>0</v>
      </c>
    </row>
    <row r="51" spans="1:27">
      <c r="A51" s="84" t="s">
        <v>176</v>
      </c>
      <c r="B51" s="85" t="s">
        <v>175</v>
      </c>
      <c r="C51" s="85" t="s">
        <v>110</v>
      </c>
      <c r="D51" s="84" t="s">
        <v>75</v>
      </c>
      <c r="E51" s="84">
        <f>VLOOKUP(A51,'2a. SI Pop'!$A$5:$E$198,5,FALSE)</f>
        <v>4</v>
      </c>
      <c r="F51" s="89">
        <v>0</v>
      </c>
      <c r="G51" s="1">
        <f t="shared" si="34"/>
        <v>0</v>
      </c>
      <c r="H51" s="1">
        <f t="shared" ref="H51:AA51" si="48">G51</f>
        <v>0</v>
      </c>
      <c r="I51" s="1">
        <f t="shared" si="48"/>
        <v>0</v>
      </c>
      <c r="J51" s="1">
        <f t="shared" si="48"/>
        <v>0</v>
      </c>
      <c r="K51" s="1">
        <f t="shared" si="48"/>
        <v>0</v>
      </c>
      <c r="L51" s="1">
        <f t="shared" si="48"/>
        <v>0</v>
      </c>
      <c r="M51" s="1">
        <f t="shared" si="48"/>
        <v>0</v>
      </c>
      <c r="N51" s="1">
        <f t="shared" si="48"/>
        <v>0</v>
      </c>
      <c r="O51" s="1">
        <f t="shared" si="48"/>
        <v>0</v>
      </c>
      <c r="P51" s="1">
        <f t="shared" si="48"/>
        <v>0</v>
      </c>
      <c r="Q51" s="1">
        <f t="shared" si="48"/>
        <v>0</v>
      </c>
      <c r="R51" s="1">
        <f t="shared" si="48"/>
        <v>0</v>
      </c>
      <c r="S51" s="1">
        <f t="shared" si="48"/>
        <v>0</v>
      </c>
      <c r="T51" s="1">
        <f t="shared" si="48"/>
        <v>0</v>
      </c>
      <c r="U51" s="1">
        <f t="shared" si="48"/>
        <v>0</v>
      </c>
      <c r="V51" s="1">
        <f t="shared" si="48"/>
        <v>0</v>
      </c>
      <c r="W51" s="1">
        <f t="shared" si="48"/>
        <v>0</v>
      </c>
      <c r="X51" s="1">
        <f t="shared" si="48"/>
        <v>0</v>
      </c>
      <c r="Y51" s="1">
        <f t="shared" si="48"/>
        <v>0</v>
      </c>
      <c r="Z51" s="1">
        <f t="shared" si="48"/>
        <v>0</v>
      </c>
      <c r="AA51" s="1">
        <f t="shared" si="48"/>
        <v>0</v>
      </c>
    </row>
    <row r="52" spans="1:27">
      <c r="A52" s="84" t="s">
        <v>178</v>
      </c>
      <c r="B52" s="85" t="s">
        <v>177</v>
      </c>
      <c r="C52" s="85" t="s">
        <v>83</v>
      </c>
      <c r="D52" s="84" t="s">
        <v>75</v>
      </c>
      <c r="E52" s="84" t="str">
        <f>VLOOKUP(A52,'2a. SI Pop'!$A$5:$E$198,5,FALSE)</f>
        <v>Key</v>
      </c>
      <c r="F52" s="89">
        <v>23274101.532000002</v>
      </c>
      <c r="G52" s="1">
        <f t="shared" si="34"/>
        <v>23274101.532000002</v>
      </c>
      <c r="H52" s="1">
        <f t="shared" ref="H52:AA52" si="49">G52</f>
        <v>23274101.532000002</v>
      </c>
      <c r="I52" s="1">
        <f t="shared" si="49"/>
        <v>23274101.532000002</v>
      </c>
      <c r="J52" s="1">
        <f t="shared" si="49"/>
        <v>23274101.532000002</v>
      </c>
      <c r="K52" s="1">
        <f t="shared" si="49"/>
        <v>23274101.532000002</v>
      </c>
      <c r="L52" s="1">
        <f t="shared" si="49"/>
        <v>23274101.532000002</v>
      </c>
      <c r="M52" s="1">
        <f t="shared" si="49"/>
        <v>23274101.532000002</v>
      </c>
      <c r="N52" s="1">
        <f t="shared" si="49"/>
        <v>23274101.532000002</v>
      </c>
      <c r="O52" s="1">
        <f t="shared" si="49"/>
        <v>23274101.532000002</v>
      </c>
      <c r="P52" s="1">
        <f t="shared" si="49"/>
        <v>23274101.532000002</v>
      </c>
      <c r="Q52" s="1">
        <f t="shared" si="49"/>
        <v>23274101.532000002</v>
      </c>
      <c r="R52" s="1">
        <f t="shared" si="49"/>
        <v>23274101.532000002</v>
      </c>
      <c r="S52" s="1">
        <f t="shared" si="49"/>
        <v>23274101.532000002</v>
      </c>
      <c r="T52" s="1">
        <f t="shared" si="49"/>
        <v>23274101.532000002</v>
      </c>
      <c r="U52" s="1">
        <f t="shared" si="49"/>
        <v>23274101.532000002</v>
      </c>
      <c r="V52" s="1">
        <f t="shared" si="49"/>
        <v>23274101.532000002</v>
      </c>
      <c r="W52" s="1">
        <f t="shared" si="49"/>
        <v>23274101.532000002</v>
      </c>
      <c r="X52" s="1">
        <f t="shared" si="49"/>
        <v>23274101.532000002</v>
      </c>
      <c r="Y52" s="1">
        <f t="shared" si="49"/>
        <v>23274101.532000002</v>
      </c>
      <c r="Z52" s="1">
        <f t="shared" si="49"/>
        <v>23274101.532000002</v>
      </c>
      <c r="AA52" s="1">
        <f t="shared" si="49"/>
        <v>23274101.532000002</v>
      </c>
    </row>
    <row r="53" spans="1:27">
      <c r="A53" s="84" t="s">
        <v>180</v>
      </c>
      <c r="B53" s="85" t="s">
        <v>179</v>
      </c>
      <c r="C53" s="85" t="s">
        <v>79</v>
      </c>
      <c r="D53" s="84" t="s">
        <v>87</v>
      </c>
      <c r="E53" s="84">
        <f>VLOOKUP(A53,'2a. SI Pop'!$A$5:$E$198,5,FALSE)</f>
        <v>1</v>
      </c>
      <c r="F53" s="89">
        <v>0</v>
      </c>
      <c r="G53" s="1">
        <f t="shared" si="34"/>
        <v>0</v>
      </c>
      <c r="H53" s="1">
        <f t="shared" ref="H53:AA53" si="50">G53</f>
        <v>0</v>
      </c>
      <c r="I53" s="1">
        <f t="shared" si="50"/>
        <v>0</v>
      </c>
      <c r="J53" s="1">
        <f t="shared" si="50"/>
        <v>0</v>
      </c>
      <c r="K53" s="1">
        <f t="shared" si="50"/>
        <v>0</v>
      </c>
      <c r="L53" s="1">
        <f t="shared" si="50"/>
        <v>0</v>
      </c>
      <c r="M53" s="1">
        <f t="shared" si="50"/>
        <v>0</v>
      </c>
      <c r="N53" s="1">
        <f t="shared" si="50"/>
        <v>0</v>
      </c>
      <c r="O53" s="1">
        <f t="shared" si="50"/>
        <v>0</v>
      </c>
      <c r="P53" s="1">
        <f t="shared" si="50"/>
        <v>0</v>
      </c>
      <c r="Q53" s="1">
        <f t="shared" si="50"/>
        <v>0</v>
      </c>
      <c r="R53" s="1">
        <f t="shared" si="50"/>
        <v>0</v>
      </c>
      <c r="S53" s="1">
        <f t="shared" si="50"/>
        <v>0</v>
      </c>
      <c r="T53" s="1">
        <f t="shared" si="50"/>
        <v>0</v>
      </c>
      <c r="U53" s="1">
        <f t="shared" si="50"/>
        <v>0</v>
      </c>
      <c r="V53" s="1">
        <f t="shared" si="50"/>
        <v>0</v>
      </c>
      <c r="W53" s="1">
        <f t="shared" si="50"/>
        <v>0</v>
      </c>
      <c r="X53" s="1">
        <f t="shared" si="50"/>
        <v>0</v>
      </c>
      <c r="Y53" s="1">
        <f t="shared" si="50"/>
        <v>0</v>
      </c>
      <c r="Z53" s="1">
        <f t="shared" si="50"/>
        <v>0</v>
      </c>
      <c r="AA53" s="1">
        <f t="shared" si="50"/>
        <v>0</v>
      </c>
    </row>
    <row r="54" spans="1:27">
      <c r="A54" s="84" t="s">
        <v>182</v>
      </c>
      <c r="B54" s="85" t="s">
        <v>181</v>
      </c>
      <c r="C54" s="85" t="s">
        <v>74</v>
      </c>
      <c r="D54" s="84" t="s">
        <v>84</v>
      </c>
      <c r="E54" s="84">
        <f>VLOOKUP(A54,'2a. SI Pop'!$A$5:$E$198,5,FALSE)</f>
        <v>3</v>
      </c>
      <c r="F54" s="89">
        <v>455800.60799999995</v>
      </c>
      <c r="G54" s="1">
        <f t="shared" si="34"/>
        <v>455800.60799999995</v>
      </c>
      <c r="H54" s="1">
        <f t="shared" ref="H54:AA54" si="51">G54</f>
        <v>455800.60799999995</v>
      </c>
      <c r="I54" s="1">
        <f t="shared" si="51"/>
        <v>455800.60799999995</v>
      </c>
      <c r="J54" s="1">
        <f t="shared" si="51"/>
        <v>455800.60799999995</v>
      </c>
      <c r="K54" s="1">
        <f t="shared" si="51"/>
        <v>455800.60799999995</v>
      </c>
      <c r="L54" s="1">
        <f t="shared" si="51"/>
        <v>455800.60799999995</v>
      </c>
      <c r="M54" s="1">
        <f t="shared" si="51"/>
        <v>455800.60799999995</v>
      </c>
      <c r="N54" s="1">
        <f t="shared" si="51"/>
        <v>455800.60799999995</v>
      </c>
      <c r="O54" s="1">
        <f t="shared" si="51"/>
        <v>455800.60799999995</v>
      </c>
      <c r="P54" s="1">
        <f t="shared" si="51"/>
        <v>455800.60799999995</v>
      </c>
      <c r="Q54" s="1">
        <f t="shared" si="51"/>
        <v>455800.60799999995</v>
      </c>
      <c r="R54" s="1">
        <f t="shared" si="51"/>
        <v>455800.60799999995</v>
      </c>
      <c r="S54" s="1">
        <f t="shared" si="51"/>
        <v>455800.60799999995</v>
      </c>
      <c r="T54" s="1">
        <f t="shared" si="51"/>
        <v>455800.60799999995</v>
      </c>
      <c r="U54" s="1">
        <f t="shared" si="51"/>
        <v>455800.60799999995</v>
      </c>
      <c r="V54" s="1">
        <f t="shared" si="51"/>
        <v>455800.60799999995</v>
      </c>
      <c r="W54" s="1">
        <f t="shared" si="51"/>
        <v>455800.60799999995</v>
      </c>
      <c r="X54" s="1">
        <f t="shared" si="51"/>
        <v>455800.60799999995</v>
      </c>
      <c r="Y54" s="1">
        <f t="shared" si="51"/>
        <v>455800.60799999995</v>
      </c>
      <c r="Z54" s="1">
        <f t="shared" si="51"/>
        <v>455800.60799999995</v>
      </c>
      <c r="AA54" s="1">
        <f t="shared" si="51"/>
        <v>455800.60799999995</v>
      </c>
    </row>
    <row r="55" spans="1:27">
      <c r="A55" s="84" t="s">
        <v>184</v>
      </c>
      <c r="B55" s="85" t="s">
        <v>183</v>
      </c>
      <c r="C55" s="85" t="s">
        <v>92</v>
      </c>
      <c r="D55" s="84" t="s">
        <v>80</v>
      </c>
      <c r="E55" s="84">
        <f>VLOOKUP(A55,'2a. SI Pop'!$A$5:$E$198,5,FALSE)</f>
        <v>2</v>
      </c>
      <c r="F55" s="89">
        <v>955330.57400000002</v>
      </c>
      <c r="G55" s="1">
        <f t="shared" si="34"/>
        <v>955330.57400000002</v>
      </c>
      <c r="H55" s="1">
        <f t="shared" ref="H55:AA55" si="52">G55</f>
        <v>955330.57400000002</v>
      </c>
      <c r="I55" s="1">
        <f t="shared" si="52"/>
        <v>955330.57400000002</v>
      </c>
      <c r="J55" s="1">
        <f t="shared" si="52"/>
        <v>955330.57400000002</v>
      </c>
      <c r="K55" s="1">
        <f t="shared" si="52"/>
        <v>955330.57400000002</v>
      </c>
      <c r="L55" s="1">
        <f t="shared" si="52"/>
        <v>955330.57400000002</v>
      </c>
      <c r="M55" s="1">
        <f t="shared" si="52"/>
        <v>955330.57400000002</v>
      </c>
      <c r="N55" s="1">
        <f t="shared" si="52"/>
        <v>955330.57400000002</v>
      </c>
      <c r="O55" s="1">
        <f t="shared" si="52"/>
        <v>955330.57400000002</v>
      </c>
      <c r="P55" s="1">
        <f t="shared" si="52"/>
        <v>955330.57400000002</v>
      </c>
      <c r="Q55" s="1">
        <f t="shared" si="52"/>
        <v>955330.57400000002</v>
      </c>
      <c r="R55" s="1">
        <f t="shared" si="52"/>
        <v>955330.57400000002</v>
      </c>
      <c r="S55" s="1">
        <f t="shared" si="52"/>
        <v>955330.57400000002</v>
      </c>
      <c r="T55" s="1">
        <f t="shared" si="52"/>
        <v>955330.57400000002</v>
      </c>
      <c r="U55" s="1">
        <f t="shared" si="52"/>
        <v>955330.57400000002</v>
      </c>
      <c r="V55" s="1">
        <f t="shared" si="52"/>
        <v>955330.57400000002</v>
      </c>
      <c r="W55" s="1">
        <f t="shared" si="52"/>
        <v>955330.57400000002</v>
      </c>
      <c r="X55" s="1">
        <f t="shared" si="52"/>
        <v>955330.57400000002</v>
      </c>
      <c r="Y55" s="1">
        <f t="shared" si="52"/>
        <v>955330.57400000002</v>
      </c>
      <c r="Z55" s="1">
        <f t="shared" si="52"/>
        <v>955330.57400000002</v>
      </c>
      <c r="AA55" s="1">
        <f t="shared" si="52"/>
        <v>955330.57400000002</v>
      </c>
    </row>
    <row r="56" spans="1:27">
      <c r="A56" s="84" t="s">
        <v>184</v>
      </c>
      <c r="B56" s="85" t="s">
        <v>185</v>
      </c>
      <c r="C56" s="85" t="s">
        <v>92</v>
      </c>
      <c r="D56" s="84" t="s">
        <v>80</v>
      </c>
      <c r="E56" s="84">
        <f>VLOOKUP(A56,'2a. SI Pop'!$A$5:$E$198,5,FALSE)</f>
        <v>2</v>
      </c>
      <c r="F56" s="89">
        <v>955330.57400000002</v>
      </c>
      <c r="G56" s="1">
        <f t="shared" si="34"/>
        <v>955330.57400000002</v>
      </c>
      <c r="H56" s="1">
        <f t="shared" ref="H56:AA56" si="53">G56</f>
        <v>955330.57400000002</v>
      </c>
      <c r="I56" s="1">
        <f t="shared" si="53"/>
        <v>955330.57400000002</v>
      </c>
      <c r="J56" s="1">
        <f t="shared" si="53"/>
        <v>955330.57400000002</v>
      </c>
      <c r="K56" s="1">
        <f t="shared" si="53"/>
        <v>955330.57400000002</v>
      </c>
      <c r="L56" s="1">
        <f t="shared" si="53"/>
        <v>955330.57400000002</v>
      </c>
      <c r="M56" s="1">
        <f t="shared" si="53"/>
        <v>955330.57400000002</v>
      </c>
      <c r="N56" s="1">
        <f t="shared" si="53"/>
        <v>955330.57400000002</v>
      </c>
      <c r="O56" s="1">
        <f t="shared" si="53"/>
        <v>955330.57400000002</v>
      </c>
      <c r="P56" s="1">
        <f t="shared" si="53"/>
        <v>955330.57400000002</v>
      </c>
      <c r="Q56" s="1">
        <f t="shared" si="53"/>
        <v>955330.57400000002</v>
      </c>
      <c r="R56" s="1">
        <f t="shared" si="53"/>
        <v>955330.57400000002</v>
      </c>
      <c r="S56" s="1">
        <f t="shared" si="53"/>
        <v>955330.57400000002</v>
      </c>
      <c r="T56" s="1">
        <f t="shared" si="53"/>
        <v>955330.57400000002</v>
      </c>
      <c r="U56" s="1">
        <f t="shared" si="53"/>
        <v>955330.57400000002</v>
      </c>
      <c r="V56" s="1">
        <f t="shared" si="53"/>
        <v>955330.57400000002</v>
      </c>
      <c r="W56" s="1">
        <f t="shared" si="53"/>
        <v>955330.57400000002</v>
      </c>
      <c r="X56" s="1">
        <f t="shared" si="53"/>
        <v>955330.57400000002</v>
      </c>
      <c r="Y56" s="1">
        <f t="shared" si="53"/>
        <v>955330.57400000002</v>
      </c>
      <c r="Z56" s="1">
        <f t="shared" si="53"/>
        <v>955330.57400000002</v>
      </c>
      <c r="AA56" s="1">
        <f t="shared" si="53"/>
        <v>955330.57400000002</v>
      </c>
    </row>
    <row r="57" spans="1:27">
      <c r="A57" s="84" t="s">
        <v>187</v>
      </c>
      <c r="B57" s="85" t="s">
        <v>186</v>
      </c>
      <c r="C57" s="85" t="s">
        <v>92</v>
      </c>
      <c r="D57" s="84" t="s">
        <v>80</v>
      </c>
      <c r="E57" s="84">
        <f>VLOOKUP(A57,'2a. SI Pop'!$A$5:$E$198,5,FALSE)</f>
        <v>2</v>
      </c>
      <c r="F57" s="89">
        <v>3632865.1199999996</v>
      </c>
      <c r="G57" s="1">
        <f t="shared" si="34"/>
        <v>3632865.1199999996</v>
      </c>
      <c r="H57" s="1">
        <f t="shared" ref="H57:AA57" si="54">G57</f>
        <v>3632865.1199999996</v>
      </c>
      <c r="I57" s="1">
        <f t="shared" si="54"/>
        <v>3632865.1199999996</v>
      </c>
      <c r="J57" s="1">
        <f t="shared" si="54"/>
        <v>3632865.1199999996</v>
      </c>
      <c r="K57" s="1">
        <f t="shared" si="54"/>
        <v>3632865.1199999996</v>
      </c>
      <c r="L57" s="1">
        <f t="shared" si="54"/>
        <v>3632865.1199999996</v>
      </c>
      <c r="M57" s="1">
        <f t="shared" si="54"/>
        <v>3632865.1199999996</v>
      </c>
      <c r="N57" s="1">
        <f t="shared" si="54"/>
        <v>3632865.1199999996</v>
      </c>
      <c r="O57" s="1">
        <f t="shared" si="54"/>
        <v>3632865.1199999996</v>
      </c>
      <c r="P57" s="1">
        <f t="shared" si="54"/>
        <v>3632865.1199999996</v>
      </c>
      <c r="Q57" s="1">
        <f t="shared" si="54"/>
        <v>3632865.1199999996</v>
      </c>
      <c r="R57" s="1">
        <f t="shared" si="54"/>
        <v>3632865.1199999996</v>
      </c>
      <c r="S57" s="1">
        <f t="shared" si="54"/>
        <v>3632865.1199999996</v>
      </c>
      <c r="T57" s="1">
        <f t="shared" si="54"/>
        <v>3632865.1199999996</v>
      </c>
      <c r="U57" s="1">
        <f t="shared" si="54"/>
        <v>3632865.1199999996</v>
      </c>
      <c r="V57" s="1">
        <f t="shared" si="54"/>
        <v>3632865.1199999996</v>
      </c>
      <c r="W57" s="1">
        <f t="shared" si="54"/>
        <v>3632865.1199999996</v>
      </c>
      <c r="X57" s="1">
        <f t="shared" si="54"/>
        <v>3632865.1199999996</v>
      </c>
      <c r="Y57" s="1">
        <f t="shared" si="54"/>
        <v>3632865.1199999996</v>
      </c>
      <c r="Z57" s="1">
        <f t="shared" si="54"/>
        <v>3632865.1199999996</v>
      </c>
      <c r="AA57" s="1">
        <f t="shared" si="54"/>
        <v>3632865.1199999996</v>
      </c>
    </row>
    <row r="58" spans="1:27">
      <c r="A58" s="84" t="s">
        <v>189</v>
      </c>
      <c r="B58" s="85" t="s">
        <v>188</v>
      </c>
      <c r="C58" s="85" t="s">
        <v>74</v>
      </c>
      <c r="D58" s="84" t="s">
        <v>84</v>
      </c>
      <c r="E58" s="84">
        <f>VLOOKUP(A58,'2a. SI Pop'!$A$5:$E$198,5,FALSE)</f>
        <v>2</v>
      </c>
      <c r="F58" s="89">
        <v>4106123.9079999998</v>
      </c>
      <c r="G58" s="1">
        <f t="shared" si="34"/>
        <v>4106123.9079999998</v>
      </c>
      <c r="H58" s="1">
        <f t="shared" ref="H58:AA58" si="55">G58</f>
        <v>4106123.9079999998</v>
      </c>
      <c r="I58" s="1">
        <f t="shared" si="55"/>
        <v>4106123.9079999998</v>
      </c>
      <c r="J58" s="1">
        <f t="shared" si="55"/>
        <v>4106123.9079999998</v>
      </c>
      <c r="K58" s="1">
        <f t="shared" si="55"/>
        <v>4106123.9079999998</v>
      </c>
      <c r="L58" s="1">
        <f t="shared" si="55"/>
        <v>4106123.9079999998</v>
      </c>
      <c r="M58" s="1">
        <f t="shared" si="55"/>
        <v>4106123.9079999998</v>
      </c>
      <c r="N58" s="1">
        <f t="shared" si="55"/>
        <v>4106123.9079999998</v>
      </c>
      <c r="O58" s="1">
        <f t="shared" si="55"/>
        <v>4106123.9079999998</v>
      </c>
      <c r="P58" s="1">
        <f t="shared" si="55"/>
        <v>4106123.9079999998</v>
      </c>
      <c r="Q58" s="1">
        <f t="shared" si="55"/>
        <v>4106123.9079999998</v>
      </c>
      <c r="R58" s="1">
        <f t="shared" si="55"/>
        <v>4106123.9079999998</v>
      </c>
      <c r="S58" s="1">
        <f t="shared" si="55"/>
        <v>4106123.9079999998</v>
      </c>
      <c r="T58" s="1">
        <f t="shared" si="55"/>
        <v>4106123.9079999998</v>
      </c>
      <c r="U58" s="1">
        <f t="shared" si="55"/>
        <v>4106123.9079999998</v>
      </c>
      <c r="V58" s="1">
        <f t="shared" si="55"/>
        <v>4106123.9079999998</v>
      </c>
      <c r="W58" s="1">
        <f t="shared" si="55"/>
        <v>4106123.9079999998</v>
      </c>
      <c r="X58" s="1">
        <f t="shared" si="55"/>
        <v>4106123.9079999998</v>
      </c>
      <c r="Y58" s="1">
        <f t="shared" si="55"/>
        <v>4106123.9079999998</v>
      </c>
      <c r="Z58" s="1">
        <f t="shared" si="55"/>
        <v>4106123.9079999998</v>
      </c>
      <c r="AA58" s="1">
        <f t="shared" si="55"/>
        <v>4106123.9079999998</v>
      </c>
    </row>
    <row r="59" spans="1:27">
      <c r="A59" s="84" t="s">
        <v>191</v>
      </c>
      <c r="B59" s="85" t="s">
        <v>190</v>
      </c>
      <c r="C59" s="85" t="s">
        <v>92</v>
      </c>
      <c r="D59" s="84" t="s">
        <v>84</v>
      </c>
      <c r="E59" s="84">
        <f>VLOOKUP(A59,'2a. SI Pop'!$A$5:$E$198,5,FALSE)</f>
        <v>1</v>
      </c>
      <c r="F59" s="89">
        <v>0</v>
      </c>
      <c r="G59" s="1">
        <f t="shared" si="34"/>
        <v>0</v>
      </c>
      <c r="H59" s="1">
        <f t="shared" ref="H59:AA59" si="56">G59</f>
        <v>0</v>
      </c>
      <c r="I59" s="1">
        <f t="shared" si="56"/>
        <v>0</v>
      </c>
      <c r="J59" s="1">
        <f t="shared" si="56"/>
        <v>0</v>
      </c>
      <c r="K59" s="1">
        <f t="shared" si="56"/>
        <v>0</v>
      </c>
      <c r="L59" s="1">
        <f t="shared" si="56"/>
        <v>0</v>
      </c>
      <c r="M59" s="1">
        <f t="shared" si="56"/>
        <v>0</v>
      </c>
      <c r="N59" s="1">
        <f t="shared" si="56"/>
        <v>0</v>
      </c>
      <c r="O59" s="1">
        <f t="shared" si="56"/>
        <v>0</v>
      </c>
      <c r="P59" s="1">
        <f t="shared" si="56"/>
        <v>0</v>
      </c>
      <c r="Q59" s="1">
        <f t="shared" si="56"/>
        <v>0</v>
      </c>
      <c r="R59" s="1">
        <f t="shared" si="56"/>
        <v>0</v>
      </c>
      <c r="S59" s="1">
        <f t="shared" si="56"/>
        <v>0</v>
      </c>
      <c r="T59" s="1">
        <f t="shared" si="56"/>
        <v>0</v>
      </c>
      <c r="U59" s="1">
        <f t="shared" si="56"/>
        <v>0</v>
      </c>
      <c r="V59" s="1">
        <f t="shared" si="56"/>
        <v>0</v>
      </c>
      <c r="W59" s="1">
        <f t="shared" si="56"/>
        <v>0</v>
      </c>
      <c r="X59" s="1">
        <f t="shared" si="56"/>
        <v>0</v>
      </c>
      <c r="Y59" s="1">
        <f t="shared" si="56"/>
        <v>0</v>
      </c>
      <c r="Z59" s="1">
        <f t="shared" si="56"/>
        <v>0</v>
      </c>
      <c r="AA59" s="1">
        <f t="shared" si="56"/>
        <v>0</v>
      </c>
    </row>
    <row r="60" spans="1:27">
      <c r="A60" s="84" t="s">
        <v>193</v>
      </c>
      <c r="B60" s="85" t="s">
        <v>192</v>
      </c>
      <c r="C60" s="85" t="s">
        <v>83</v>
      </c>
      <c r="D60" s="84" t="s">
        <v>80</v>
      </c>
      <c r="E60" s="84">
        <f>VLOOKUP(A60,'2a. SI Pop'!$A$5:$E$198,5,FALSE)</f>
        <v>3</v>
      </c>
      <c r="F60" s="89">
        <v>520679.55000000005</v>
      </c>
      <c r="G60" s="1">
        <f t="shared" si="34"/>
        <v>520679.55000000005</v>
      </c>
      <c r="H60" s="1">
        <f t="shared" ref="H60:AA60" si="57">G60</f>
        <v>520679.55000000005</v>
      </c>
      <c r="I60" s="1">
        <f t="shared" si="57"/>
        <v>520679.55000000005</v>
      </c>
      <c r="J60" s="1">
        <f t="shared" si="57"/>
        <v>520679.55000000005</v>
      </c>
      <c r="K60" s="1">
        <f t="shared" si="57"/>
        <v>520679.55000000005</v>
      </c>
      <c r="L60" s="1">
        <f t="shared" si="57"/>
        <v>520679.55000000005</v>
      </c>
      <c r="M60" s="1">
        <f t="shared" si="57"/>
        <v>520679.55000000005</v>
      </c>
      <c r="N60" s="1">
        <f t="shared" si="57"/>
        <v>520679.55000000005</v>
      </c>
      <c r="O60" s="1">
        <f t="shared" si="57"/>
        <v>520679.55000000005</v>
      </c>
      <c r="P60" s="1">
        <f t="shared" si="57"/>
        <v>520679.55000000005</v>
      </c>
      <c r="Q60" s="1">
        <f t="shared" si="57"/>
        <v>520679.55000000005</v>
      </c>
      <c r="R60" s="1">
        <f t="shared" si="57"/>
        <v>520679.55000000005</v>
      </c>
      <c r="S60" s="1">
        <f t="shared" si="57"/>
        <v>520679.55000000005</v>
      </c>
      <c r="T60" s="1">
        <f t="shared" si="57"/>
        <v>520679.55000000005</v>
      </c>
      <c r="U60" s="1">
        <f t="shared" si="57"/>
        <v>520679.55000000005</v>
      </c>
      <c r="V60" s="1">
        <f t="shared" si="57"/>
        <v>520679.55000000005</v>
      </c>
      <c r="W60" s="1">
        <f t="shared" si="57"/>
        <v>520679.55000000005</v>
      </c>
      <c r="X60" s="1">
        <f t="shared" si="57"/>
        <v>520679.55000000005</v>
      </c>
      <c r="Y60" s="1">
        <f t="shared" si="57"/>
        <v>520679.55000000005</v>
      </c>
      <c r="Z60" s="1">
        <f t="shared" si="57"/>
        <v>520679.55000000005</v>
      </c>
      <c r="AA60" s="1">
        <f t="shared" si="57"/>
        <v>520679.55000000005</v>
      </c>
    </row>
    <row r="61" spans="1:27">
      <c r="A61" s="84" t="s">
        <v>195</v>
      </c>
      <c r="B61" s="85" t="s">
        <v>194</v>
      </c>
      <c r="C61" s="85" t="s">
        <v>83</v>
      </c>
      <c r="D61" s="84" t="s">
        <v>75</v>
      </c>
      <c r="E61" s="84">
        <f>VLOOKUP(A61,'2a. SI Pop'!$A$5:$E$198,5,FALSE)</f>
        <v>3</v>
      </c>
      <c r="F61" s="89">
        <v>0</v>
      </c>
      <c r="G61" s="1">
        <f t="shared" si="34"/>
        <v>0</v>
      </c>
      <c r="H61" s="1">
        <f t="shared" ref="H61:AA61" si="58">G61</f>
        <v>0</v>
      </c>
      <c r="I61" s="1">
        <f t="shared" si="58"/>
        <v>0</v>
      </c>
      <c r="J61" s="1">
        <f t="shared" si="58"/>
        <v>0</v>
      </c>
      <c r="K61" s="1">
        <f t="shared" si="58"/>
        <v>0</v>
      </c>
      <c r="L61" s="1">
        <f t="shared" si="58"/>
        <v>0</v>
      </c>
      <c r="M61" s="1">
        <f t="shared" si="58"/>
        <v>0</v>
      </c>
      <c r="N61" s="1">
        <f t="shared" si="58"/>
        <v>0</v>
      </c>
      <c r="O61" s="1">
        <f t="shared" si="58"/>
        <v>0</v>
      </c>
      <c r="P61" s="1">
        <f t="shared" si="58"/>
        <v>0</v>
      </c>
      <c r="Q61" s="1">
        <f t="shared" si="58"/>
        <v>0</v>
      </c>
      <c r="R61" s="1">
        <f t="shared" si="58"/>
        <v>0</v>
      </c>
      <c r="S61" s="1">
        <f t="shared" si="58"/>
        <v>0</v>
      </c>
      <c r="T61" s="1">
        <f t="shared" si="58"/>
        <v>0</v>
      </c>
      <c r="U61" s="1">
        <f t="shared" si="58"/>
        <v>0</v>
      </c>
      <c r="V61" s="1">
        <f t="shared" si="58"/>
        <v>0</v>
      </c>
      <c r="W61" s="1">
        <f t="shared" si="58"/>
        <v>0</v>
      </c>
      <c r="X61" s="1">
        <f t="shared" si="58"/>
        <v>0</v>
      </c>
      <c r="Y61" s="1">
        <f t="shared" si="58"/>
        <v>0</v>
      </c>
      <c r="Z61" s="1">
        <f t="shared" si="58"/>
        <v>0</v>
      </c>
      <c r="AA61" s="1">
        <f t="shared" si="58"/>
        <v>0</v>
      </c>
    </row>
    <row r="62" spans="1:27">
      <c r="A62" s="84" t="s">
        <v>197</v>
      </c>
      <c r="B62" s="85" t="s">
        <v>196</v>
      </c>
      <c r="C62" s="85" t="s">
        <v>79</v>
      </c>
      <c r="D62" s="84" t="s">
        <v>87</v>
      </c>
      <c r="E62" s="84">
        <f>VLOOKUP(A62,'2a. SI Pop'!$A$5:$E$198,5,FALSE)</f>
        <v>1</v>
      </c>
      <c r="F62" s="89">
        <v>0</v>
      </c>
      <c r="G62" s="1">
        <f t="shared" si="34"/>
        <v>0</v>
      </c>
      <c r="H62" s="1">
        <f t="shared" ref="H62:AA62" si="59">G62</f>
        <v>0</v>
      </c>
      <c r="I62" s="1">
        <f t="shared" si="59"/>
        <v>0</v>
      </c>
      <c r="J62" s="1">
        <f t="shared" si="59"/>
        <v>0</v>
      </c>
      <c r="K62" s="1">
        <f t="shared" si="59"/>
        <v>0</v>
      </c>
      <c r="L62" s="1">
        <f t="shared" si="59"/>
        <v>0</v>
      </c>
      <c r="M62" s="1">
        <f t="shared" si="59"/>
        <v>0</v>
      </c>
      <c r="N62" s="1">
        <f t="shared" si="59"/>
        <v>0</v>
      </c>
      <c r="O62" s="1">
        <f t="shared" si="59"/>
        <v>0</v>
      </c>
      <c r="P62" s="1">
        <f t="shared" si="59"/>
        <v>0</v>
      </c>
      <c r="Q62" s="1">
        <f t="shared" si="59"/>
        <v>0</v>
      </c>
      <c r="R62" s="1">
        <f t="shared" si="59"/>
        <v>0</v>
      </c>
      <c r="S62" s="1">
        <f t="shared" si="59"/>
        <v>0</v>
      </c>
      <c r="T62" s="1">
        <f t="shared" si="59"/>
        <v>0</v>
      </c>
      <c r="U62" s="1">
        <f t="shared" si="59"/>
        <v>0</v>
      </c>
      <c r="V62" s="1">
        <f t="shared" si="59"/>
        <v>0</v>
      </c>
      <c r="W62" s="1">
        <f t="shared" si="59"/>
        <v>0</v>
      </c>
      <c r="X62" s="1">
        <f t="shared" si="59"/>
        <v>0</v>
      </c>
      <c r="Y62" s="1">
        <f t="shared" si="59"/>
        <v>0</v>
      </c>
      <c r="Z62" s="1">
        <f t="shared" si="59"/>
        <v>0</v>
      </c>
      <c r="AA62" s="1">
        <f t="shared" si="59"/>
        <v>0</v>
      </c>
    </row>
    <row r="63" spans="1:27">
      <c r="A63" s="84" t="s">
        <v>199</v>
      </c>
      <c r="B63" s="85" t="s">
        <v>198</v>
      </c>
      <c r="C63" s="85" t="s">
        <v>83</v>
      </c>
      <c r="D63" s="84" t="s">
        <v>75</v>
      </c>
      <c r="E63" s="84" t="str">
        <f>VLOOKUP(A63,'2a. SI Pop'!$A$5:$E$198,5,FALSE)</f>
        <v>Key</v>
      </c>
      <c r="F63" s="89">
        <v>13771964.094000002</v>
      </c>
      <c r="G63" s="1">
        <f t="shared" si="34"/>
        <v>13771964.094000002</v>
      </c>
      <c r="H63" s="1">
        <f t="shared" ref="H63:AA63" si="60">G63</f>
        <v>13771964.094000002</v>
      </c>
      <c r="I63" s="1">
        <f t="shared" si="60"/>
        <v>13771964.094000002</v>
      </c>
      <c r="J63" s="1">
        <f t="shared" si="60"/>
        <v>13771964.094000002</v>
      </c>
      <c r="K63" s="1">
        <f t="shared" si="60"/>
        <v>13771964.094000002</v>
      </c>
      <c r="L63" s="1">
        <f t="shared" si="60"/>
        <v>13771964.094000002</v>
      </c>
      <c r="M63" s="1">
        <f t="shared" si="60"/>
        <v>13771964.094000002</v>
      </c>
      <c r="N63" s="1">
        <f t="shared" si="60"/>
        <v>13771964.094000002</v>
      </c>
      <c r="O63" s="1">
        <f t="shared" si="60"/>
        <v>13771964.094000002</v>
      </c>
      <c r="P63" s="1">
        <f t="shared" si="60"/>
        <v>13771964.094000002</v>
      </c>
      <c r="Q63" s="1">
        <f t="shared" si="60"/>
        <v>13771964.094000002</v>
      </c>
      <c r="R63" s="1">
        <f t="shared" si="60"/>
        <v>13771964.094000002</v>
      </c>
      <c r="S63" s="1">
        <f t="shared" si="60"/>
        <v>13771964.094000002</v>
      </c>
      <c r="T63" s="1">
        <f t="shared" si="60"/>
        <v>13771964.094000002</v>
      </c>
      <c r="U63" s="1">
        <f t="shared" si="60"/>
        <v>13771964.094000002</v>
      </c>
      <c r="V63" s="1">
        <f t="shared" si="60"/>
        <v>13771964.094000002</v>
      </c>
      <c r="W63" s="1">
        <f t="shared" si="60"/>
        <v>13771964.094000002</v>
      </c>
      <c r="X63" s="1">
        <f t="shared" si="60"/>
        <v>13771964.094000002</v>
      </c>
      <c r="Y63" s="1">
        <f t="shared" si="60"/>
        <v>13771964.094000002</v>
      </c>
      <c r="Z63" s="1">
        <f t="shared" si="60"/>
        <v>13771964.094000002</v>
      </c>
      <c r="AA63" s="1">
        <f t="shared" si="60"/>
        <v>13771964.094000002</v>
      </c>
    </row>
    <row r="64" spans="1:27">
      <c r="A64" s="84" t="s">
        <v>201</v>
      </c>
      <c r="B64" s="85" t="s">
        <v>200</v>
      </c>
      <c r="C64" s="85" t="s">
        <v>99</v>
      </c>
      <c r="D64" s="84" t="s">
        <v>80</v>
      </c>
      <c r="E64" s="84">
        <f>VLOOKUP(A64,'2a. SI Pop'!$A$5:$E$198,5,FALSE)</f>
        <v>4</v>
      </c>
      <c r="F64" s="89">
        <v>0</v>
      </c>
      <c r="G64" s="1">
        <f t="shared" si="34"/>
        <v>0</v>
      </c>
      <c r="H64" s="1">
        <f t="shared" ref="H64:AA64" si="61">G64</f>
        <v>0</v>
      </c>
      <c r="I64" s="1">
        <f t="shared" si="61"/>
        <v>0</v>
      </c>
      <c r="J64" s="1">
        <f t="shared" si="61"/>
        <v>0</v>
      </c>
      <c r="K64" s="1">
        <f t="shared" si="61"/>
        <v>0</v>
      </c>
      <c r="L64" s="1">
        <f t="shared" si="61"/>
        <v>0</v>
      </c>
      <c r="M64" s="1">
        <f t="shared" si="61"/>
        <v>0</v>
      </c>
      <c r="N64" s="1">
        <f t="shared" si="61"/>
        <v>0</v>
      </c>
      <c r="O64" s="1">
        <f t="shared" si="61"/>
        <v>0</v>
      </c>
      <c r="P64" s="1">
        <f t="shared" si="61"/>
        <v>0</v>
      </c>
      <c r="Q64" s="1">
        <f t="shared" si="61"/>
        <v>0</v>
      </c>
      <c r="R64" s="1">
        <f t="shared" si="61"/>
        <v>0</v>
      </c>
      <c r="S64" s="1">
        <f t="shared" si="61"/>
        <v>0</v>
      </c>
      <c r="T64" s="1">
        <f t="shared" si="61"/>
        <v>0</v>
      </c>
      <c r="U64" s="1">
        <f t="shared" si="61"/>
        <v>0</v>
      </c>
      <c r="V64" s="1">
        <f t="shared" si="61"/>
        <v>0</v>
      </c>
      <c r="W64" s="1">
        <f t="shared" si="61"/>
        <v>0</v>
      </c>
      <c r="X64" s="1">
        <f t="shared" si="61"/>
        <v>0</v>
      </c>
      <c r="Y64" s="1">
        <f t="shared" si="61"/>
        <v>0</v>
      </c>
      <c r="Z64" s="1">
        <f t="shared" si="61"/>
        <v>0</v>
      </c>
      <c r="AA64" s="1">
        <f t="shared" si="61"/>
        <v>0</v>
      </c>
    </row>
    <row r="65" spans="1:27">
      <c r="A65" s="84" t="s">
        <v>203</v>
      </c>
      <c r="B65" s="85" t="s">
        <v>202</v>
      </c>
      <c r="C65" s="85" t="s">
        <v>79</v>
      </c>
      <c r="D65" s="84" t="s">
        <v>87</v>
      </c>
      <c r="E65" s="84">
        <f>VLOOKUP(A65,'2a. SI Pop'!$A$5:$E$198,5,FALSE)</f>
        <v>1</v>
      </c>
      <c r="F65" s="89">
        <v>0</v>
      </c>
      <c r="G65" s="1">
        <f t="shared" si="34"/>
        <v>0</v>
      </c>
      <c r="H65" s="1">
        <f t="shared" ref="H65:AA65" si="62">G65</f>
        <v>0</v>
      </c>
      <c r="I65" s="1">
        <f t="shared" si="62"/>
        <v>0</v>
      </c>
      <c r="J65" s="1">
        <f t="shared" si="62"/>
        <v>0</v>
      </c>
      <c r="K65" s="1">
        <f t="shared" si="62"/>
        <v>0</v>
      </c>
      <c r="L65" s="1">
        <f t="shared" si="62"/>
        <v>0</v>
      </c>
      <c r="M65" s="1">
        <f t="shared" si="62"/>
        <v>0</v>
      </c>
      <c r="N65" s="1">
        <f t="shared" si="62"/>
        <v>0</v>
      </c>
      <c r="O65" s="1">
        <f t="shared" si="62"/>
        <v>0</v>
      </c>
      <c r="P65" s="1">
        <f t="shared" si="62"/>
        <v>0</v>
      </c>
      <c r="Q65" s="1">
        <f t="shared" si="62"/>
        <v>0</v>
      </c>
      <c r="R65" s="1">
        <f t="shared" si="62"/>
        <v>0</v>
      </c>
      <c r="S65" s="1">
        <f t="shared" si="62"/>
        <v>0</v>
      </c>
      <c r="T65" s="1">
        <f t="shared" si="62"/>
        <v>0</v>
      </c>
      <c r="U65" s="1">
        <f t="shared" si="62"/>
        <v>0</v>
      </c>
      <c r="V65" s="1">
        <f t="shared" si="62"/>
        <v>0</v>
      </c>
      <c r="W65" s="1">
        <f t="shared" si="62"/>
        <v>0</v>
      </c>
      <c r="X65" s="1">
        <f t="shared" si="62"/>
        <v>0</v>
      </c>
      <c r="Y65" s="1">
        <f t="shared" si="62"/>
        <v>0</v>
      </c>
      <c r="Z65" s="1">
        <f t="shared" si="62"/>
        <v>0</v>
      </c>
      <c r="AA65" s="1">
        <f t="shared" si="62"/>
        <v>0</v>
      </c>
    </row>
    <row r="66" spans="1:27">
      <c r="A66" s="84" t="s">
        <v>205</v>
      </c>
      <c r="B66" s="85" t="s">
        <v>204</v>
      </c>
      <c r="C66" s="85" t="s">
        <v>79</v>
      </c>
      <c r="D66" s="84" t="s">
        <v>87</v>
      </c>
      <c r="E66" s="84">
        <f>VLOOKUP(A66,'2a. SI Pop'!$A$5:$E$198,5,FALSE)</f>
        <v>1</v>
      </c>
      <c r="F66" s="89">
        <v>0</v>
      </c>
      <c r="G66" s="1">
        <f t="shared" si="34"/>
        <v>0</v>
      </c>
      <c r="H66" s="1">
        <f t="shared" ref="H66:AA66" si="63">G66</f>
        <v>0</v>
      </c>
      <c r="I66" s="1">
        <f t="shared" si="63"/>
        <v>0</v>
      </c>
      <c r="J66" s="1">
        <f t="shared" si="63"/>
        <v>0</v>
      </c>
      <c r="K66" s="1">
        <f t="shared" si="63"/>
        <v>0</v>
      </c>
      <c r="L66" s="1">
        <f t="shared" si="63"/>
        <v>0</v>
      </c>
      <c r="M66" s="1">
        <f t="shared" si="63"/>
        <v>0</v>
      </c>
      <c r="N66" s="1">
        <f t="shared" si="63"/>
        <v>0</v>
      </c>
      <c r="O66" s="1">
        <f t="shared" si="63"/>
        <v>0</v>
      </c>
      <c r="P66" s="1">
        <f t="shared" si="63"/>
        <v>0</v>
      </c>
      <c r="Q66" s="1">
        <f t="shared" si="63"/>
        <v>0</v>
      </c>
      <c r="R66" s="1">
        <f t="shared" si="63"/>
        <v>0</v>
      </c>
      <c r="S66" s="1">
        <f t="shared" si="63"/>
        <v>0</v>
      </c>
      <c r="T66" s="1">
        <f t="shared" si="63"/>
        <v>0</v>
      </c>
      <c r="U66" s="1">
        <f t="shared" si="63"/>
        <v>0</v>
      </c>
      <c r="V66" s="1">
        <f t="shared" si="63"/>
        <v>0</v>
      </c>
      <c r="W66" s="1">
        <f t="shared" si="63"/>
        <v>0</v>
      </c>
      <c r="X66" s="1">
        <f t="shared" si="63"/>
        <v>0</v>
      </c>
      <c r="Y66" s="1">
        <f t="shared" si="63"/>
        <v>0</v>
      </c>
      <c r="Z66" s="1">
        <f t="shared" si="63"/>
        <v>0</v>
      </c>
      <c r="AA66" s="1">
        <f t="shared" si="63"/>
        <v>0</v>
      </c>
    </row>
    <row r="67" spans="1:27">
      <c r="A67" s="84" t="s">
        <v>207</v>
      </c>
      <c r="B67" s="85" t="s">
        <v>206</v>
      </c>
      <c r="C67" s="85" t="s">
        <v>83</v>
      </c>
      <c r="D67" s="84" t="s">
        <v>80</v>
      </c>
      <c r="E67" s="84">
        <f>VLOOKUP(A67,'2a. SI Pop'!$A$5:$E$198,5,FALSE)</f>
        <v>3</v>
      </c>
      <c r="F67" s="89">
        <v>610932.9</v>
      </c>
      <c r="G67" s="1">
        <f t="shared" si="34"/>
        <v>610932.9</v>
      </c>
      <c r="H67" s="1">
        <f t="shared" ref="H67:AA67" si="64">G67</f>
        <v>610932.9</v>
      </c>
      <c r="I67" s="1">
        <f t="shared" si="64"/>
        <v>610932.9</v>
      </c>
      <c r="J67" s="1">
        <f t="shared" si="64"/>
        <v>610932.9</v>
      </c>
      <c r="K67" s="1">
        <f t="shared" si="64"/>
        <v>610932.9</v>
      </c>
      <c r="L67" s="1">
        <f t="shared" si="64"/>
        <v>610932.9</v>
      </c>
      <c r="M67" s="1">
        <f t="shared" si="64"/>
        <v>610932.9</v>
      </c>
      <c r="N67" s="1">
        <f t="shared" si="64"/>
        <v>610932.9</v>
      </c>
      <c r="O67" s="1">
        <f t="shared" si="64"/>
        <v>610932.9</v>
      </c>
      <c r="P67" s="1">
        <f t="shared" si="64"/>
        <v>610932.9</v>
      </c>
      <c r="Q67" s="1">
        <f t="shared" si="64"/>
        <v>610932.9</v>
      </c>
      <c r="R67" s="1">
        <f t="shared" si="64"/>
        <v>610932.9</v>
      </c>
      <c r="S67" s="1">
        <f t="shared" si="64"/>
        <v>610932.9</v>
      </c>
      <c r="T67" s="1">
        <f t="shared" si="64"/>
        <v>610932.9</v>
      </c>
      <c r="U67" s="1">
        <f t="shared" si="64"/>
        <v>610932.9</v>
      </c>
      <c r="V67" s="1">
        <f t="shared" si="64"/>
        <v>610932.9</v>
      </c>
      <c r="W67" s="1">
        <f t="shared" si="64"/>
        <v>610932.9</v>
      </c>
      <c r="X67" s="1">
        <f t="shared" si="64"/>
        <v>610932.9</v>
      </c>
      <c r="Y67" s="1">
        <f t="shared" si="64"/>
        <v>610932.9</v>
      </c>
      <c r="Z67" s="1">
        <f t="shared" si="64"/>
        <v>610932.9</v>
      </c>
      <c r="AA67" s="1">
        <f t="shared" si="64"/>
        <v>610932.9</v>
      </c>
    </row>
    <row r="68" spans="1:27">
      <c r="A68" s="84" t="s">
        <v>209</v>
      </c>
      <c r="B68" s="85" t="s">
        <v>208</v>
      </c>
      <c r="C68" s="85" t="s">
        <v>83</v>
      </c>
      <c r="D68" s="84" t="s">
        <v>75</v>
      </c>
      <c r="E68" s="84">
        <f>VLOOKUP(A68,'2a. SI Pop'!$A$5:$E$198,5,FALSE)</f>
        <v>3</v>
      </c>
      <c r="F68" s="89">
        <v>412251.58799999999</v>
      </c>
      <c r="G68" s="1">
        <f t="shared" si="34"/>
        <v>412251.58799999999</v>
      </c>
      <c r="H68" s="1">
        <f t="shared" ref="H68:AA68" si="65">G68</f>
        <v>412251.58799999999</v>
      </c>
      <c r="I68" s="1">
        <f t="shared" si="65"/>
        <v>412251.58799999999</v>
      </c>
      <c r="J68" s="1">
        <f t="shared" si="65"/>
        <v>412251.58799999999</v>
      </c>
      <c r="K68" s="1">
        <f t="shared" si="65"/>
        <v>412251.58799999999</v>
      </c>
      <c r="L68" s="1">
        <f t="shared" si="65"/>
        <v>412251.58799999999</v>
      </c>
      <c r="M68" s="1">
        <f t="shared" si="65"/>
        <v>412251.58799999999</v>
      </c>
      <c r="N68" s="1">
        <f t="shared" si="65"/>
        <v>412251.58799999999</v>
      </c>
      <c r="O68" s="1">
        <f t="shared" si="65"/>
        <v>412251.58799999999</v>
      </c>
      <c r="P68" s="1">
        <f t="shared" si="65"/>
        <v>412251.58799999999</v>
      </c>
      <c r="Q68" s="1">
        <f t="shared" si="65"/>
        <v>412251.58799999999</v>
      </c>
      <c r="R68" s="1">
        <f t="shared" si="65"/>
        <v>412251.58799999999</v>
      </c>
      <c r="S68" s="1">
        <f t="shared" si="65"/>
        <v>412251.58799999999</v>
      </c>
      <c r="T68" s="1">
        <f t="shared" si="65"/>
        <v>412251.58799999999</v>
      </c>
      <c r="U68" s="1">
        <f t="shared" si="65"/>
        <v>412251.58799999999</v>
      </c>
      <c r="V68" s="1">
        <f t="shared" si="65"/>
        <v>412251.58799999999</v>
      </c>
      <c r="W68" s="1">
        <f t="shared" si="65"/>
        <v>412251.58799999999</v>
      </c>
      <c r="X68" s="1">
        <f t="shared" si="65"/>
        <v>412251.58799999999</v>
      </c>
      <c r="Y68" s="1">
        <f t="shared" si="65"/>
        <v>412251.58799999999</v>
      </c>
      <c r="Z68" s="1">
        <f t="shared" si="65"/>
        <v>412251.58799999999</v>
      </c>
      <c r="AA68" s="1">
        <f t="shared" si="65"/>
        <v>412251.58799999999</v>
      </c>
    </row>
    <row r="69" spans="1:27">
      <c r="A69" s="84" t="s">
        <v>211</v>
      </c>
      <c r="B69" s="85" t="s">
        <v>210</v>
      </c>
      <c r="C69" s="85" t="s">
        <v>79</v>
      </c>
      <c r="D69" s="84" t="s">
        <v>80</v>
      </c>
      <c r="E69" s="84">
        <f>VLOOKUP(A69,'2a. SI Pop'!$A$5:$E$198,5,FALSE)</f>
        <v>1</v>
      </c>
      <c r="F69" s="89">
        <v>0</v>
      </c>
      <c r="G69" s="1">
        <f t="shared" si="34"/>
        <v>0</v>
      </c>
      <c r="H69" s="1">
        <f t="shared" ref="H69:AA69" si="66">G69</f>
        <v>0</v>
      </c>
      <c r="I69" s="1">
        <f t="shared" si="66"/>
        <v>0</v>
      </c>
      <c r="J69" s="1">
        <f t="shared" si="66"/>
        <v>0</v>
      </c>
      <c r="K69" s="1">
        <f t="shared" si="66"/>
        <v>0</v>
      </c>
      <c r="L69" s="1">
        <f t="shared" si="66"/>
        <v>0</v>
      </c>
      <c r="M69" s="1">
        <f t="shared" si="66"/>
        <v>0</v>
      </c>
      <c r="N69" s="1">
        <f t="shared" si="66"/>
        <v>0</v>
      </c>
      <c r="O69" s="1">
        <f t="shared" si="66"/>
        <v>0</v>
      </c>
      <c r="P69" s="1">
        <f t="shared" si="66"/>
        <v>0</v>
      </c>
      <c r="Q69" s="1">
        <f t="shared" si="66"/>
        <v>0</v>
      </c>
      <c r="R69" s="1">
        <f t="shared" si="66"/>
        <v>0</v>
      </c>
      <c r="S69" s="1">
        <f t="shared" si="66"/>
        <v>0</v>
      </c>
      <c r="T69" s="1">
        <f t="shared" si="66"/>
        <v>0</v>
      </c>
      <c r="U69" s="1">
        <f t="shared" si="66"/>
        <v>0</v>
      </c>
      <c r="V69" s="1">
        <f t="shared" si="66"/>
        <v>0</v>
      </c>
      <c r="W69" s="1">
        <f t="shared" si="66"/>
        <v>0</v>
      </c>
      <c r="X69" s="1">
        <f t="shared" si="66"/>
        <v>0</v>
      </c>
      <c r="Y69" s="1">
        <f t="shared" si="66"/>
        <v>0</v>
      </c>
      <c r="Z69" s="1">
        <f t="shared" si="66"/>
        <v>0</v>
      </c>
      <c r="AA69" s="1">
        <f t="shared" si="66"/>
        <v>0</v>
      </c>
    </row>
    <row r="70" spans="1:27">
      <c r="A70" s="84" t="s">
        <v>213</v>
      </c>
      <c r="B70" s="85" t="s">
        <v>212</v>
      </c>
      <c r="C70" s="85" t="s">
        <v>79</v>
      </c>
      <c r="D70" s="84" t="s">
        <v>87</v>
      </c>
      <c r="E70" s="84">
        <f>VLOOKUP(A70,'2a. SI Pop'!$A$5:$E$198,5,FALSE)</f>
        <v>1</v>
      </c>
      <c r="F70" s="89">
        <v>0</v>
      </c>
      <c r="G70" s="1">
        <f t="shared" ref="G70:G101" si="67">F70</f>
        <v>0</v>
      </c>
      <c r="H70" s="1">
        <f t="shared" ref="H70:AA70" si="68">G70</f>
        <v>0</v>
      </c>
      <c r="I70" s="1">
        <f t="shared" si="68"/>
        <v>0</v>
      </c>
      <c r="J70" s="1">
        <f t="shared" si="68"/>
        <v>0</v>
      </c>
      <c r="K70" s="1">
        <f t="shared" si="68"/>
        <v>0</v>
      </c>
      <c r="L70" s="1">
        <f t="shared" si="68"/>
        <v>0</v>
      </c>
      <c r="M70" s="1">
        <f t="shared" si="68"/>
        <v>0</v>
      </c>
      <c r="N70" s="1">
        <f t="shared" si="68"/>
        <v>0</v>
      </c>
      <c r="O70" s="1">
        <f t="shared" si="68"/>
        <v>0</v>
      </c>
      <c r="P70" s="1">
        <f t="shared" si="68"/>
        <v>0</v>
      </c>
      <c r="Q70" s="1">
        <f t="shared" si="68"/>
        <v>0</v>
      </c>
      <c r="R70" s="1">
        <f t="shared" si="68"/>
        <v>0</v>
      </c>
      <c r="S70" s="1">
        <f t="shared" si="68"/>
        <v>0</v>
      </c>
      <c r="T70" s="1">
        <f t="shared" si="68"/>
        <v>0</v>
      </c>
      <c r="U70" s="1">
        <f t="shared" si="68"/>
        <v>0</v>
      </c>
      <c r="V70" s="1">
        <f t="shared" si="68"/>
        <v>0</v>
      </c>
      <c r="W70" s="1">
        <f t="shared" si="68"/>
        <v>0</v>
      </c>
      <c r="X70" s="1">
        <f t="shared" si="68"/>
        <v>0</v>
      </c>
      <c r="Y70" s="1">
        <f t="shared" si="68"/>
        <v>0</v>
      </c>
      <c r="Z70" s="1">
        <f t="shared" si="68"/>
        <v>0</v>
      </c>
      <c r="AA70" s="1">
        <f t="shared" si="68"/>
        <v>0</v>
      </c>
    </row>
    <row r="71" spans="1:27">
      <c r="A71" s="84" t="s">
        <v>215</v>
      </c>
      <c r="B71" s="85" t="s">
        <v>214</v>
      </c>
      <c r="C71" s="85" t="s">
        <v>83</v>
      </c>
      <c r="D71" s="84" t="s">
        <v>84</v>
      </c>
      <c r="E71" s="84">
        <f>VLOOKUP(A71,'2a. SI Pop'!$A$5:$E$198,5,FALSE)</f>
        <v>3</v>
      </c>
      <c r="F71" s="89">
        <v>5511812.5389999999</v>
      </c>
      <c r="G71" s="1">
        <f t="shared" si="67"/>
        <v>5511812.5389999999</v>
      </c>
      <c r="H71" s="1">
        <f t="shared" ref="H71:AA71" si="69">G71</f>
        <v>5511812.5389999999</v>
      </c>
      <c r="I71" s="1">
        <f t="shared" si="69"/>
        <v>5511812.5389999999</v>
      </c>
      <c r="J71" s="1">
        <f t="shared" si="69"/>
        <v>5511812.5389999999</v>
      </c>
      <c r="K71" s="1">
        <f t="shared" si="69"/>
        <v>5511812.5389999999</v>
      </c>
      <c r="L71" s="1">
        <f t="shared" si="69"/>
        <v>5511812.5389999999</v>
      </c>
      <c r="M71" s="1">
        <f t="shared" si="69"/>
        <v>5511812.5389999999</v>
      </c>
      <c r="N71" s="1">
        <f t="shared" si="69"/>
        <v>5511812.5389999999</v>
      </c>
      <c r="O71" s="1">
        <f t="shared" si="69"/>
        <v>5511812.5389999999</v>
      </c>
      <c r="P71" s="1">
        <f t="shared" si="69"/>
        <v>5511812.5389999999</v>
      </c>
      <c r="Q71" s="1">
        <f t="shared" si="69"/>
        <v>5511812.5389999999</v>
      </c>
      <c r="R71" s="1">
        <f t="shared" si="69"/>
        <v>5511812.5389999999</v>
      </c>
      <c r="S71" s="1">
        <f t="shared" si="69"/>
        <v>5511812.5389999999</v>
      </c>
      <c r="T71" s="1">
        <f t="shared" si="69"/>
        <v>5511812.5389999999</v>
      </c>
      <c r="U71" s="1">
        <f t="shared" si="69"/>
        <v>5511812.5389999999</v>
      </c>
      <c r="V71" s="1">
        <f t="shared" si="69"/>
        <v>5511812.5389999999</v>
      </c>
      <c r="W71" s="1">
        <f t="shared" si="69"/>
        <v>5511812.5389999999</v>
      </c>
      <c r="X71" s="1">
        <f t="shared" si="69"/>
        <v>5511812.5389999999</v>
      </c>
      <c r="Y71" s="1">
        <f t="shared" si="69"/>
        <v>5511812.5389999999</v>
      </c>
      <c r="Z71" s="1">
        <f t="shared" si="69"/>
        <v>5511812.5389999999</v>
      </c>
      <c r="AA71" s="1">
        <f t="shared" si="69"/>
        <v>5511812.5389999999</v>
      </c>
    </row>
    <row r="72" spans="1:27">
      <c r="A72" s="84" t="s">
        <v>217</v>
      </c>
      <c r="B72" s="85" t="s">
        <v>216</v>
      </c>
      <c r="C72" s="85" t="s">
        <v>79</v>
      </c>
      <c r="D72" s="84" t="s">
        <v>87</v>
      </c>
      <c r="E72" s="84">
        <f>VLOOKUP(A72,'2a. SI Pop'!$A$5:$E$198,5,FALSE)</f>
        <v>1</v>
      </c>
      <c r="F72" s="89">
        <v>0</v>
      </c>
      <c r="G72" s="1">
        <f t="shared" si="67"/>
        <v>0</v>
      </c>
      <c r="H72" s="1">
        <f t="shared" ref="H72:AA72" si="70">G72</f>
        <v>0</v>
      </c>
      <c r="I72" s="1">
        <f t="shared" si="70"/>
        <v>0</v>
      </c>
      <c r="J72" s="1">
        <f t="shared" si="70"/>
        <v>0</v>
      </c>
      <c r="K72" s="1">
        <f t="shared" si="70"/>
        <v>0</v>
      </c>
      <c r="L72" s="1">
        <f t="shared" si="70"/>
        <v>0</v>
      </c>
      <c r="M72" s="1">
        <f t="shared" si="70"/>
        <v>0</v>
      </c>
      <c r="N72" s="1">
        <f t="shared" si="70"/>
        <v>0</v>
      </c>
      <c r="O72" s="1">
        <f t="shared" si="70"/>
        <v>0</v>
      </c>
      <c r="P72" s="1">
        <f t="shared" si="70"/>
        <v>0</v>
      </c>
      <c r="Q72" s="1">
        <f t="shared" si="70"/>
        <v>0</v>
      </c>
      <c r="R72" s="1">
        <f t="shared" si="70"/>
        <v>0</v>
      </c>
      <c r="S72" s="1">
        <f t="shared" si="70"/>
        <v>0</v>
      </c>
      <c r="T72" s="1">
        <f t="shared" si="70"/>
        <v>0</v>
      </c>
      <c r="U72" s="1">
        <f t="shared" si="70"/>
        <v>0</v>
      </c>
      <c r="V72" s="1">
        <f t="shared" si="70"/>
        <v>0</v>
      </c>
      <c r="W72" s="1">
        <f t="shared" si="70"/>
        <v>0</v>
      </c>
      <c r="X72" s="1">
        <f t="shared" si="70"/>
        <v>0</v>
      </c>
      <c r="Y72" s="1">
        <f t="shared" si="70"/>
        <v>0</v>
      </c>
      <c r="Z72" s="1">
        <f t="shared" si="70"/>
        <v>0</v>
      </c>
      <c r="AA72" s="1">
        <f t="shared" si="70"/>
        <v>0</v>
      </c>
    </row>
    <row r="73" spans="1:27">
      <c r="A73" s="84" t="s">
        <v>219</v>
      </c>
      <c r="B73" s="85" t="s">
        <v>218</v>
      </c>
      <c r="C73" s="85" t="s">
        <v>92</v>
      </c>
      <c r="D73" s="84" t="s">
        <v>80</v>
      </c>
      <c r="E73" s="84">
        <f>VLOOKUP(A73,'2a. SI Pop'!$A$5:$E$198,5,FALSE)</f>
        <v>1</v>
      </c>
      <c r="F73" s="89">
        <v>0</v>
      </c>
      <c r="G73" s="1">
        <f t="shared" si="67"/>
        <v>0</v>
      </c>
      <c r="H73" s="1">
        <f t="shared" ref="H73:AA73" si="71">G73</f>
        <v>0</v>
      </c>
      <c r="I73" s="1">
        <f t="shared" si="71"/>
        <v>0</v>
      </c>
      <c r="J73" s="1">
        <f t="shared" si="71"/>
        <v>0</v>
      </c>
      <c r="K73" s="1">
        <f t="shared" si="71"/>
        <v>0</v>
      </c>
      <c r="L73" s="1">
        <f t="shared" si="71"/>
        <v>0</v>
      </c>
      <c r="M73" s="1">
        <f t="shared" si="71"/>
        <v>0</v>
      </c>
      <c r="N73" s="1">
        <f t="shared" si="71"/>
        <v>0</v>
      </c>
      <c r="O73" s="1">
        <f t="shared" si="71"/>
        <v>0</v>
      </c>
      <c r="P73" s="1">
        <f t="shared" si="71"/>
        <v>0</v>
      </c>
      <c r="Q73" s="1">
        <f t="shared" si="71"/>
        <v>0</v>
      </c>
      <c r="R73" s="1">
        <f t="shared" si="71"/>
        <v>0</v>
      </c>
      <c r="S73" s="1">
        <f t="shared" si="71"/>
        <v>0</v>
      </c>
      <c r="T73" s="1">
        <f t="shared" si="71"/>
        <v>0</v>
      </c>
      <c r="U73" s="1">
        <f t="shared" si="71"/>
        <v>0</v>
      </c>
      <c r="V73" s="1">
        <f t="shared" si="71"/>
        <v>0</v>
      </c>
      <c r="W73" s="1">
        <f t="shared" si="71"/>
        <v>0</v>
      </c>
      <c r="X73" s="1">
        <f t="shared" si="71"/>
        <v>0</v>
      </c>
      <c r="Y73" s="1">
        <f t="shared" si="71"/>
        <v>0</v>
      </c>
      <c r="Z73" s="1">
        <f t="shared" si="71"/>
        <v>0</v>
      </c>
      <c r="AA73" s="1">
        <f t="shared" si="71"/>
        <v>0</v>
      </c>
    </row>
    <row r="74" spans="1:27">
      <c r="A74" s="84" t="s">
        <v>221</v>
      </c>
      <c r="B74" s="85" t="s">
        <v>220</v>
      </c>
      <c r="C74" s="85" t="s">
        <v>92</v>
      </c>
      <c r="D74" s="84" t="s">
        <v>80</v>
      </c>
      <c r="E74" s="84">
        <f>VLOOKUP(A74,'2a. SI Pop'!$A$5:$E$198,5,FALSE)</f>
        <v>1</v>
      </c>
      <c r="F74" s="89">
        <v>2621012.2649999997</v>
      </c>
      <c r="G74" s="1">
        <f t="shared" si="67"/>
        <v>2621012.2649999997</v>
      </c>
      <c r="H74" s="1">
        <f t="shared" ref="H74:AA74" si="72">G74</f>
        <v>2621012.2649999997</v>
      </c>
      <c r="I74" s="1">
        <f t="shared" si="72"/>
        <v>2621012.2649999997</v>
      </c>
      <c r="J74" s="1">
        <f t="shared" si="72"/>
        <v>2621012.2649999997</v>
      </c>
      <c r="K74" s="1">
        <f t="shared" si="72"/>
        <v>2621012.2649999997</v>
      </c>
      <c r="L74" s="1">
        <f t="shared" si="72"/>
        <v>2621012.2649999997</v>
      </c>
      <c r="M74" s="1">
        <f t="shared" si="72"/>
        <v>2621012.2649999997</v>
      </c>
      <c r="N74" s="1">
        <f t="shared" si="72"/>
        <v>2621012.2649999997</v>
      </c>
      <c r="O74" s="1">
        <f t="shared" si="72"/>
        <v>2621012.2649999997</v>
      </c>
      <c r="P74" s="1">
        <f t="shared" si="72"/>
        <v>2621012.2649999997</v>
      </c>
      <c r="Q74" s="1">
        <f t="shared" si="72"/>
        <v>2621012.2649999997</v>
      </c>
      <c r="R74" s="1">
        <f t="shared" si="72"/>
        <v>2621012.2649999997</v>
      </c>
      <c r="S74" s="1">
        <f t="shared" si="72"/>
        <v>2621012.2649999997</v>
      </c>
      <c r="T74" s="1">
        <f t="shared" si="72"/>
        <v>2621012.2649999997</v>
      </c>
      <c r="U74" s="1">
        <f t="shared" si="72"/>
        <v>2621012.2649999997</v>
      </c>
      <c r="V74" s="1">
        <f t="shared" si="72"/>
        <v>2621012.2649999997</v>
      </c>
      <c r="W74" s="1">
        <f t="shared" si="72"/>
        <v>2621012.2649999997</v>
      </c>
      <c r="X74" s="1">
        <f t="shared" si="72"/>
        <v>2621012.2649999997</v>
      </c>
      <c r="Y74" s="1">
        <f t="shared" si="72"/>
        <v>2621012.2649999997</v>
      </c>
      <c r="Z74" s="1">
        <f t="shared" si="72"/>
        <v>2621012.2649999997</v>
      </c>
      <c r="AA74" s="1">
        <f t="shared" si="72"/>
        <v>2621012.2649999997</v>
      </c>
    </row>
    <row r="75" spans="1:27">
      <c r="A75" s="84" t="s">
        <v>223</v>
      </c>
      <c r="B75" s="85" t="s">
        <v>222</v>
      </c>
      <c r="C75" s="85" t="s">
        <v>83</v>
      </c>
      <c r="D75" s="84" t="s">
        <v>75</v>
      </c>
      <c r="E75" s="84">
        <f>VLOOKUP(A75,'2a. SI Pop'!$A$5:$E$198,5,FALSE)</f>
        <v>3</v>
      </c>
      <c r="F75" s="89">
        <v>1682011.882</v>
      </c>
      <c r="G75" s="1">
        <f t="shared" si="67"/>
        <v>1682011.882</v>
      </c>
      <c r="H75" s="1">
        <f t="shared" ref="H75:AA75" si="73">G75</f>
        <v>1682011.882</v>
      </c>
      <c r="I75" s="1">
        <f t="shared" si="73"/>
        <v>1682011.882</v>
      </c>
      <c r="J75" s="1">
        <f t="shared" si="73"/>
        <v>1682011.882</v>
      </c>
      <c r="K75" s="1">
        <f t="shared" si="73"/>
        <v>1682011.882</v>
      </c>
      <c r="L75" s="1">
        <f t="shared" si="73"/>
        <v>1682011.882</v>
      </c>
      <c r="M75" s="1">
        <f t="shared" si="73"/>
        <v>1682011.882</v>
      </c>
      <c r="N75" s="1">
        <f t="shared" si="73"/>
        <v>1682011.882</v>
      </c>
      <c r="O75" s="1">
        <f t="shared" si="73"/>
        <v>1682011.882</v>
      </c>
      <c r="P75" s="1">
        <f t="shared" si="73"/>
        <v>1682011.882</v>
      </c>
      <c r="Q75" s="1">
        <f t="shared" si="73"/>
        <v>1682011.882</v>
      </c>
      <c r="R75" s="1">
        <f t="shared" si="73"/>
        <v>1682011.882</v>
      </c>
      <c r="S75" s="1">
        <f t="shared" si="73"/>
        <v>1682011.882</v>
      </c>
      <c r="T75" s="1">
        <f t="shared" si="73"/>
        <v>1682011.882</v>
      </c>
      <c r="U75" s="1">
        <f t="shared" si="73"/>
        <v>1682011.882</v>
      </c>
      <c r="V75" s="1">
        <f t="shared" si="73"/>
        <v>1682011.882</v>
      </c>
      <c r="W75" s="1">
        <f t="shared" si="73"/>
        <v>1682011.882</v>
      </c>
      <c r="X75" s="1">
        <f t="shared" si="73"/>
        <v>1682011.882</v>
      </c>
      <c r="Y75" s="1">
        <f t="shared" si="73"/>
        <v>1682011.882</v>
      </c>
      <c r="Z75" s="1">
        <f t="shared" si="73"/>
        <v>1682011.882</v>
      </c>
      <c r="AA75" s="1">
        <f t="shared" si="73"/>
        <v>1682011.882</v>
      </c>
    </row>
    <row r="76" spans="1:27">
      <c r="A76" s="84" t="s">
        <v>225</v>
      </c>
      <c r="B76" s="85" t="s">
        <v>224</v>
      </c>
      <c r="C76" s="85" t="s">
        <v>83</v>
      </c>
      <c r="D76" s="84" t="s">
        <v>75</v>
      </c>
      <c r="E76" s="84">
        <f>VLOOKUP(A76,'2a. SI Pop'!$A$5:$E$198,5,FALSE)</f>
        <v>3</v>
      </c>
      <c r="F76" s="89">
        <v>581038.82299999997</v>
      </c>
      <c r="G76" s="1">
        <f t="shared" si="67"/>
        <v>581038.82299999997</v>
      </c>
      <c r="H76" s="1">
        <f t="shared" ref="H76:AA76" si="74">G76</f>
        <v>581038.82299999997</v>
      </c>
      <c r="I76" s="1">
        <f t="shared" si="74"/>
        <v>581038.82299999997</v>
      </c>
      <c r="J76" s="1">
        <f t="shared" si="74"/>
        <v>581038.82299999997</v>
      </c>
      <c r="K76" s="1">
        <f t="shared" si="74"/>
        <v>581038.82299999997</v>
      </c>
      <c r="L76" s="1">
        <f t="shared" si="74"/>
        <v>581038.82299999997</v>
      </c>
      <c r="M76" s="1">
        <f t="shared" si="74"/>
        <v>581038.82299999997</v>
      </c>
      <c r="N76" s="1">
        <f t="shared" si="74"/>
        <v>581038.82299999997</v>
      </c>
      <c r="O76" s="1">
        <f t="shared" si="74"/>
        <v>581038.82299999997</v>
      </c>
      <c r="P76" s="1">
        <f t="shared" si="74"/>
        <v>581038.82299999997</v>
      </c>
      <c r="Q76" s="1">
        <f t="shared" si="74"/>
        <v>581038.82299999997</v>
      </c>
      <c r="R76" s="1">
        <f t="shared" si="74"/>
        <v>581038.82299999997</v>
      </c>
      <c r="S76" s="1">
        <f t="shared" si="74"/>
        <v>581038.82299999997</v>
      </c>
      <c r="T76" s="1">
        <f t="shared" si="74"/>
        <v>581038.82299999997</v>
      </c>
      <c r="U76" s="1">
        <f t="shared" si="74"/>
        <v>581038.82299999997</v>
      </c>
      <c r="V76" s="1">
        <f t="shared" si="74"/>
        <v>581038.82299999997</v>
      </c>
      <c r="W76" s="1">
        <f t="shared" si="74"/>
        <v>581038.82299999997</v>
      </c>
      <c r="X76" s="1">
        <f t="shared" si="74"/>
        <v>581038.82299999997</v>
      </c>
      <c r="Y76" s="1">
        <f t="shared" si="74"/>
        <v>581038.82299999997</v>
      </c>
      <c r="Z76" s="1">
        <f t="shared" si="74"/>
        <v>581038.82299999997</v>
      </c>
      <c r="AA76" s="1">
        <f t="shared" si="74"/>
        <v>581038.82299999997</v>
      </c>
    </row>
    <row r="77" spans="1:27">
      <c r="A77" s="84" t="s">
        <v>227</v>
      </c>
      <c r="B77" s="85" t="s">
        <v>226</v>
      </c>
      <c r="C77" s="85" t="s">
        <v>92</v>
      </c>
      <c r="D77" s="84" t="s">
        <v>80</v>
      </c>
      <c r="E77" s="84">
        <f>VLOOKUP(A77,'2a. SI Pop'!$A$5:$E$198,5,FALSE)</f>
        <v>2</v>
      </c>
      <c r="F77" s="89">
        <v>66742.509000000005</v>
      </c>
      <c r="G77" s="1">
        <f t="shared" si="67"/>
        <v>66742.509000000005</v>
      </c>
      <c r="H77" s="1">
        <f t="shared" ref="H77:AA77" si="75">G77</f>
        <v>66742.509000000005</v>
      </c>
      <c r="I77" s="1">
        <f t="shared" si="75"/>
        <v>66742.509000000005</v>
      </c>
      <c r="J77" s="1">
        <f t="shared" si="75"/>
        <v>66742.509000000005</v>
      </c>
      <c r="K77" s="1">
        <f t="shared" si="75"/>
        <v>66742.509000000005</v>
      </c>
      <c r="L77" s="1">
        <f t="shared" si="75"/>
        <v>66742.509000000005</v>
      </c>
      <c r="M77" s="1">
        <f t="shared" si="75"/>
        <v>66742.509000000005</v>
      </c>
      <c r="N77" s="1">
        <f t="shared" si="75"/>
        <v>66742.509000000005</v>
      </c>
      <c r="O77" s="1">
        <f t="shared" si="75"/>
        <v>66742.509000000005</v>
      </c>
      <c r="P77" s="1">
        <f t="shared" si="75"/>
        <v>66742.509000000005</v>
      </c>
      <c r="Q77" s="1">
        <f t="shared" si="75"/>
        <v>66742.509000000005</v>
      </c>
      <c r="R77" s="1">
        <f t="shared" si="75"/>
        <v>66742.509000000005</v>
      </c>
      <c r="S77" s="1">
        <f t="shared" si="75"/>
        <v>66742.509000000005</v>
      </c>
      <c r="T77" s="1">
        <f t="shared" si="75"/>
        <v>66742.509000000005</v>
      </c>
      <c r="U77" s="1">
        <f t="shared" si="75"/>
        <v>66742.509000000005</v>
      </c>
      <c r="V77" s="1">
        <f t="shared" si="75"/>
        <v>66742.509000000005</v>
      </c>
      <c r="W77" s="1">
        <f t="shared" si="75"/>
        <v>66742.509000000005</v>
      </c>
      <c r="X77" s="1">
        <f t="shared" si="75"/>
        <v>66742.509000000005</v>
      </c>
      <c r="Y77" s="1">
        <f t="shared" si="75"/>
        <v>66742.509000000005</v>
      </c>
      <c r="Z77" s="1">
        <f t="shared" si="75"/>
        <v>66742.509000000005</v>
      </c>
      <c r="AA77" s="1">
        <f t="shared" si="75"/>
        <v>66742.509000000005</v>
      </c>
    </row>
    <row r="78" spans="1:27">
      <c r="A78" s="84" t="s">
        <v>229</v>
      </c>
      <c r="B78" s="85" t="s">
        <v>228</v>
      </c>
      <c r="C78" s="85" t="s">
        <v>92</v>
      </c>
      <c r="D78" s="84" t="s">
        <v>75</v>
      </c>
      <c r="E78" s="84">
        <f>VLOOKUP(A78,'2a. SI Pop'!$A$5:$E$198,5,FALSE)</f>
        <v>2</v>
      </c>
      <c r="F78" s="89">
        <v>4037563.0080000004</v>
      </c>
      <c r="G78" s="1">
        <f t="shared" si="67"/>
        <v>4037563.0080000004</v>
      </c>
      <c r="H78" s="1">
        <f t="shared" ref="H78:AA78" si="76">G78</f>
        <v>4037563.0080000004</v>
      </c>
      <c r="I78" s="1">
        <f t="shared" si="76"/>
        <v>4037563.0080000004</v>
      </c>
      <c r="J78" s="1">
        <f t="shared" si="76"/>
        <v>4037563.0080000004</v>
      </c>
      <c r="K78" s="1">
        <f t="shared" si="76"/>
        <v>4037563.0080000004</v>
      </c>
      <c r="L78" s="1">
        <f t="shared" si="76"/>
        <v>4037563.0080000004</v>
      </c>
      <c r="M78" s="1">
        <f t="shared" si="76"/>
        <v>4037563.0080000004</v>
      </c>
      <c r="N78" s="1">
        <f t="shared" si="76"/>
        <v>4037563.0080000004</v>
      </c>
      <c r="O78" s="1">
        <f t="shared" si="76"/>
        <v>4037563.0080000004</v>
      </c>
      <c r="P78" s="1">
        <f t="shared" si="76"/>
        <v>4037563.0080000004</v>
      </c>
      <c r="Q78" s="1">
        <f t="shared" si="76"/>
        <v>4037563.0080000004</v>
      </c>
      <c r="R78" s="1">
        <f t="shared" si="76"/>
        <v>4037563.0080000004</v>
      </c>
      <c r="S78" s="1">
        <f t="shared" si="76"/>
        <v>4037563.0080000004</v>
      </c>
      <c r="T78" s="1">
        <f t="shared" si="76"/>
        <v>4037563.0080000004</v>
      </c>
      <c r="U78" s="1">
        <f t="shared" si="76"/>
        <v>4037563.0080000004</v>
      </c>
      <c r="V78" s="1">
        <f t="shared" si="76"/>
        <v>4037563.0080000004</v>
      </c>
      <c r="W78" s="1">
        <f t="shared" si="76"/>
        <v>4037563.0080000004</v>
      </c>
      <c r="X78" s="1">
        <f t="shared" si="76"/>
        <v>4037563.0080000004</v>
      </c>
      <c r="Y78" s="1">
        <f t="shared" si="76"/>
        <v>4037563.0080000004</v>
      </c>
      <c r="Z78" s="1">
        <f t="shared" si="76"/>
        <v>4037563.0080000004</v>
      </c>
      <c r="AA78" s="1">
        <f t="shared" si="76"/>
        <v>4037563.0080000004</v>
      </c>
    </row>
    <row r="79" spans="1:27">
      <c r="A79" s="84" t="s">
        <v>231</v>
      </c>
      <c r="B79" s="85" t="s">
        <v>230</v>
      </c>
      <c r="C79" s="85" t="s">
        <v>92</v>
      </c>
      <c r="D79" s="84" t="s">
        <v>84</v>
      </c>
      <c r="E79" s="84">
        <f>VLOOKUP(A79,'2a. SI Pop'!$A$5:$E$198,5,FALSE)</f>
        <v>1</v>
      </c>
      <c r="F79" s="89">
        <v>1342563.75</v>
      </c>
      <c r="G79" s="1">
        <f t="shared" si="67"/>
        <v>1342563.75</v>
      </c>
      <c r="H79" s="1">
        <f t="shared" ref="H79:AA79" si="77">G79</f>
        <v>1342563.75</v>
      </c>
      <c r="I79" s="1">
        <f t="shared" si="77"/>
        <v>1342563.75</v>
      </c>
      <c r="J79" s="1">
        <f t="shared" si="77"/>
        <v>1342563.75</v>
      </c>
      <c r="K79" s="1">
        <f t="shared" si="77"/>
        <v>1342563.75</v>
      </c>
      <c r="L79" s="1">
        <f t="shared" si="77"/>
        <v>1342563.75</v>
      </c>
      <c r="M79" s="1">
        <f t="shared" si="77"/>
        <v>1342563.75</v>
      </c>
      <c r="N79" s="1">
        <f t="shared" si="77"/>
        <v>1342563.75</v>
      </c>
      <c r="O79" s="1">
        <f t="shared" si="77"/>
        <v>1342563.75</v>
      </c>
      <c r="P79" s="1">
        <f t="shared" si="77"/>
        <v>1342563.75</v>
      </c>
      <c r="Q79" s="1">
        <f t="shared" si="77"/>
        <v>1342563.75</v>
      </c>
      <c r="R79" s="1">
        <f t="shared" si="77"/>
        <v>1342563.75</v>
      </c>
      <c r="S79" s="1">
        <f t="shared" si="77"/>
        <v>1342563.75</v>
      </c>
      <c r="T79" s="1">
        <f t="shared" si="77"/>
        <v>1342563.75</v>
      </c>
      <c r="U79" s="1">
        <f t="shared" si="77"/>
        <v>1342563.75</v>
      </c>
      <c r="V79" s="1">
        <f t="shared" si="77"/>
        <v>1342563.75</v>
      </c>
      <c r="W79" s="1">
        <f t="shared" si="77"/>
        <v>1342563.75</v>
      </c>
      <c r="X79" s="1">
        <f t="shared" si="77"/>
        <v>1342563.75</v>
      </c>
      <c r="Y79" s="1">
        <f t="shared" si="77"/>
        <v>1342563.75</v>
      </c>
      <c r="Z79" s="1">
        <f t="shared" si="77"/>
        <v>1342563.75</v>
      </c>
      <c r="AA79" s="1">
        <f t="shared" si="77"/>
        <v>1342563.75</v>
      </c>
    </row>
    <row r="80" spans="1:27">
      <c r="A80" s="84" t="s">
        <v>233</v>
      </c>
      <c r="B80" s="85" t="s">
        <v>232</v>
      </c>
      <c r="C80" s="85" t="s">
        <v>79</v>
      </c>
      <c r="D80" s="84" t="s">
        <v>87</v>
      </c>
      <c r="E80" s="84">
        <f>VLOOKUP(A80,'2a. SI Pop'!$A$5:$E$198,5,FALSE)</f>
        <v>1</v>
      </c>
      <c r="F80" s="89">
        <v>0</v>
      </c>
      <c r="G80" s="1">
        <f t="shared" si="67"/>
        <v>0</v>
      </c>
      <c r="H80" s="1">
        <f t="shared" ref="H80:AA80" si="78">G80</f>
        <v>0</v>
      </c>
      <c r="I80" s="1">
        <f t="shared" si="78"/>
        <v>0</v>
      </c>
      <c r="J80" s="1">
        <f t="shared" si="78"/>
        <v>0</v>
      </c>
      <c r="K80" s="1">
        <f t="shared" si="78"/>
        <v>0</v>
      </c>
      <c r="L80" s="1">
        <f t="shared" si="78"/>
        <v>0</v>
      </c>
      <c r="M80" s="1">
        <f t="shared" si="78"/>
        <v>0</v>
      </c>
      <c r="N80" s="1">
        <f t="shared" si="78"/>
        <v>0</v>
      </c>
      <c r="O80" s="1">
        <f t="shared" si="78"/>
        <v>0</v>
      </c>
      <c r="P80" s="1">
        <f t="shared" si="78"/>
        <v>0</v>
      </c>
      <c r="Q80" s="1">
        <f t="shared" si="78"/>
        <v>0</v>
      </c>
      <c r="R80" s="1">
        <f t="shared" si="78"/>
        <v>0</v>
      </c>
      <c r="S80" s="1">
        <f t="shared" si="78"/>
        <v>0</v>
      </c>
      <c r="T80" s="1">
        <f t="shared" si="78"/>
        <v>0</v>
      </c>
      <c r="U80" s="1">
        <f t="shared" si="78"/>
        <v>0</v>
      </c>
      <c r="V80" s="1">
        <f t="shared" si="78"/>
        <v>0</v>
      </c>
      <c r="W80" s="1">
        <f t="shared" si="78"/>
        <v>0</v>
      </c>
      <c r="X80" s="1">
        <f t="shared" si="78"/>
        <v>0</v>
      </c>
      <c r="Y80" s="1">
        <f t="shared" si="78"/>
        <v>0</v>
      </c>
      <c r="Z80" s="1">
        <f t="shared" si="78"/>
        <v>0</v>
      </c>
      <c r="AA80" s="1">
        <f t="shared" si="78"/>
        <v>0</v>
      </c>
    </row>
    <row r="81" spans="1:27">
      <c r="A81" s="84" t="s">
        <v>235</v>
      </c>
      <c r="B81" s="85" t="s">
        <v>234</v>
      </c>
      <c r="C81" s="85" t="s">
        <v>79</v>
      </c>
      <c r="D81" s="84" t="s">
        <v>87</v>
      </c>
      <c r="E81" s="84">
        <f>VLOOKUP(A81,'2a. SI Pop'!$A$5:$E$198,5,FALSE)</f>
        <v>1</v>
      </c>
      <c r="F81" s="89">
        <v>0</v>
      </c>
      <c r="G81" s="1">
        <f t="shared" si="67"/>
        <v>0</v>
      </c>
      <c r="H81" s="1">
        <f t="shared" ref="H81:AA81" si="79">G81</f>
        <v>0</v>
      </c>
      <c r="I81" s="1">
        <f t="shared" si="79"/>
        <v>0</v>
      </c>
      <c r="J81" s="1">
        <f t="shared" si="79"/>
        <v>0</v>
      </c>
      <c r="K81" s="1">
        <f t="shared" si="79"/>
        <v>0</v>
      </c>
      <c r="L81" s="1">
        <f t="shared" si="79"/>
        <v>0</v>
      </c>
      <c r="M81" s="1">
        <f t="shared" si="79"/>
        <v>0</v>
      </c>
      <c r="N81" s="1">
        <f t="shared" si="79"/>
        <v>0</v>
      </c>
      <c r="O81" s="1">
        <f t="shared" si="79"/>
        <v>0</v>
      </c>
      <c r="P81" s="1">
        <f t="shared" si="79"/>
        <v>0</v>
      </c>
      <c r="Q81" s="1">
        <f t="shared" si="79"/>
        <v>0</v>
      </c>
      <c r="R81" s="1">
        <f t="shared" si="79"/>
        <v>0</v>
      </c>
      <c r="S81" s="1">
        <f t="shared" si="79"/>
        <v>0</v>
      </c>
      <c r="T81" s="1">
        <f t="shared" si="79"/>
        <v>0</v>
      </c>
      <c r="U81" s="1">
        <f t="shared" si="79"/>
        <v>0</v>
      </c>
      <c r="V81" s="1">
        <f t="shared" si="79"/>
        <v>0</v>
      </c>
      <c r="W81" s="1">
        <f t="shared" si="79"/>
        <v>0</v>
      </c>
      <c r="X81" s="1">
        <f t="shared" si="79"/>
        <v>0</v>
      </c>
      <c r="Y81" s="1">
        <f t="shared" si="79"/>
        <v>0</v>
      </c>
      <c r="Z81" s="1">
        <f t="shared" si="79"/>
        <v>0</v>
      </c>
      <c r="AA81" s="1">
        <f t="shared" si="79"/>
        <v>0</v>
      </c>
    </row>
    <row r="82" spans="1:27">
      <c r="A82" s="84" t="s">
        <v>237</v>
      </c>
      <c r="B82" s="85" t="s">
        <v>236</v>
      </c>
      <c r="C82" s="85" t="s">
        <v>110</v>
      </c>
      <c r="D82" s="84" t="s">
        <v>84</v>
      </c>
      <c r="E82" s="84" t="str">
        <f>VLOOKUP(A82,'2a. SI Pop'!$A$5:$E$198,5,FALSE)</f>
        <v>Key</v>
      </c>
      <c r="F82" s="89">
        <v>100696430.16</v>
      </c>
      <c r="G82" s="1">
        <f t="shared" si="67"/>
        <v>100696430.16</v>
      </c>
      <c r="H82" s="1">
        <f t="shared" ref="H82:AA82" si="80">G82</f>
        <v>100696430.16</v>
      </c>
      <c r="I82" s="1">
        <f t="shared" si="80"/>
        <v>100696430.16</v>
      </c>
      <c r="J82" s="1">
        <f t="shared" si="80"/>
        <v>100696430.16</v>
      </c>
      <c r="K82" s="1">
        <f t="shared" si="80"/>
        <v>100696430.16</v>
      </c>
      <c r="L82" s="1">
        <f t="shared" si="80"/>
        <v>100696430.16</v>
      </c>
      <c r="M82" s="1">
        <f t="shared" si="80"/>
        <v>100696430.16</v>
      </c>
      <c r="N82" s="1">
        <f t="shared" si="80"/>
        <v>100696430.16</v>
      </c>
      <c r="O82" s="1">
        <f t="shared" si="80"/>
        <v>100696430.16</v>
      </c>
      <c r="P82" s="1">
        <f t="shared" si="80"/>
        <v>100696430.16</v>
      </c>
      <c r="Q82" s="1">
        <f t="shared" si="80"/>
        <v>100696430.16</v>
      </c>
      <c r="R82" s="1">
        <f t="shared" si="80"/>
        <v>100696430.16</v>
      </c>
      <c r="S82" s="1">
        <f t="shared" si="80"/>
        <v>100696430.16</v>
      </c>
      <c r="T82" s="1">
        <f t="shared" si="80"/>
        <v>100696430.16</v>
      </c>
      <c r="U82" s="1">
        <f t="shared" si="80"/>
        <v>100696430.16</v>
      </c>
      <c r="V82" s="1">
        <f t="shared" si="80"/>
        <v>100696430.16</v>
      </c>
      <c r="W82" s="1">
        <f t="shared" si="80"/>
        <v>100696430.16</v>
      </c>
      <c r="X82" s="1">
        <f t="shared" si="80"/>
        <v>100696430.16</v>
      </c>
      <c r="Y82" s="1">
        <f t="shared" si="80"/>
        <v>100696430.16</v>
      </c>
      <c r="Z82" s="1">
        <f t="shared" si="80"/>
        <v>100696430.16</v>
      </c>
      <c r="AA82" s="1">
        <f t="shared" si="80"/>
        <v>100696430.16</v>
      </c>
    </row>
    <row r="83" spans="1:27">
      <c r="A83" s="84" t="s">
        <v>239</v>
      </c>
      <c r="B83" s="85" t="s">
        <v>238</v>
      </c>
      <c r="C83" s="85" t="s">
        <v>110</v>
      </c>
      <c r="D83" s="84" t="s">
        <v>80</v>
      </c>
      <c r="E83" s="84" t="str">
        <f>VLOOKUP(A83,'2a. SI Pop'!$A$5:$E$198,5,FALSE)</f>
        <v>Key</v>
      </c>
      <c r="F83" s="89">
        <v>29274598.918000001</v>
      </c>
      <c r="G83" s="1">
        <f t="shared" si="67"/>
        <v>29274598.918000001</v>
      </c>
      <c r="H83" s="1">
        <f t="shared" ref="H83:AA83" si="81">G83</f>
        <v>29274598.918000001</v>
      </c>
      <c r="I83" s="1">
        <f t="shared" si="81"/>
        <v>29274598.918000001</v>
      </c>
      <c r="J83" s="1">
        <f t="shared" si="81"/>
        <v>29274598.918000001</v>
      </c>
      <c r="K83" s="1">
        <f t="shared" si="81"/>
        <v>29274598.918000001</v>
      </c>
      <c r="L83" s="1">
        <f t="shared" si="81"/>
        <v>29274598.918000001</v>
      </c>
      <c r="M83" s="1">
        <f t="shared" si="81"/>
        <v>29274598.918000001</v>
      </c>
      <c r="N83" s="1">
        <f t="shared" si="81"/>
        <v>29274598.918000001</v>
      </c>
      <c r="O83" s="1">
        <f t="shared" si="81"/>
        <v>29274598.918000001</v>
      </c>
      <c r="P83" s="1">
        <f t="shared" si="81"/>
        <v>29274598.918000001</v>
      </c>
      <c r="Q83" s="1">
        <f t="shared" si="81"/>
        <v>29274598.918000001</v>
      </c>
      <c r="R83" s="1">
        <f t="shared" si="81"/>
        <v>29274598.918000001</v>
      </c>
      <c r="S83" s="1">
        <f t="shared" si="81"/>
        <v>29274598.918000001</v>
      </c>
      <c r="T83" s="1">
        <f t="shared" si="81"/>
        <v>29274598.918000001</v>
      </c>
      <c r="U83" s="1">
        <f t="shared" si="81"/>
        <v>29274598.918000001</v>
      </c>
      <c r="V83" s="1">
        <f t="shared" si="81"/>
        <v>29274598.918000001</v>
      </c>
      <c r="W83" s="1">
        <f t="shared" si="81"/>
        <v>29274598.918000001</v>
      </c>
      <c r="X83" s="1">
        <f t="shared" si="81"/>
        <v>29274598.918000001</v>
      </c>
      <c r="Y83" s="1">
        <f t="shared" si="81"/>
        <v>29274598.918000001</v>
      </c>
      <c r="Z83" s="1">
        <f t="shared" si="81"/>
        <v>29274598.918000001</v>
      </c>
      <c r="AA83" s="1">
        <f t="shared" si="81"/>
        <v>29274598.918000001</v>
      </c>
    </row>
    <row r="84" spans="1:27">
      <c r="A84" s="84" t="s">
        <v>241</v>
      </c>
      <c r="B84" s="85" t="s">
        <v>240</v>
      </c>
      <c r="C84" s="85" t="s">
        <v>74</v>
      </c>
      <c r="D84" s="84" t="s">
        <v>80</v>
      </c>
      <c r="E84" s="84">
        <f>VLOOKUP(A84,'2a. SI Pop'!$A$5:$E$198,5,FALSE)</f>
        <v>2</v>
      </c>
      <c r="F84" s="89">
        <v>0</v>
      </c>
      <c r="G84" s="1">
        <f t="shared" si="67"/>
        <v>0</v>
      </c>
      <c r="H84" s="1">
        <f t="shared" ref="H84:AA84" si="82">G84</f>
        <v>0</v>
      </c>
      <c r="I84" s="1">
        <f t="shared" si="82"/>
        <v>0</v>
      </c>
      <c r="J84" s="1">
        <f t="shared" si="82"/>
        <v>0</v>
      </c>
      <c r="K84" s="1">
        <f t="shared" si="82"/>
        <v>0</v>
      </c>
      <c r="L84" s="1">
        <f t="shared" si="82"/>
        <v>0</v>
      </c>
      <c r="M84" s="1">
        <f t="shared" si="82"/>
        <v>0</v>
      </c>
      <c r="N84" s="1">
        <f t="shared" si="82"/>
        <v>0</v>
      </c>
      <c r="O84" s="1">
        <f t="shared" si="82"/>
        <v>0</v>
      </c>
      <c r="P84" s="1">
        <f t="shared" si="82"/>
        <v>0</v>
      </c>
      <c r="Q84" s="1">
        <f t="shared" si="82"/>
        <v>0</v>
      </c>
      <c r="R84" s="1">
        <f t="shared" si="82"/>
        <v>0</v>
      </c>
      <c r="S84" s="1">
        <f t="shared" si="82"/>
        <v>0</v>
      </c>
      <c r="T84" s="1">
        <f t="shared" si="82"/>
        <v>0</v>
      </c>
      <c r="U84" s="1">
        <f t="shared" si="82"/>
        <v>0</v>
      </c>
      <c r="V84" s="1">
        <f t="shared" si="82"/>
        <v>0</v>
      </c>
      <c r="W84" s="1">
        <f t="shared" si="82"/>
        <v>0</v>
      </c>
      <c r="X84" s="1">
        <f t="shared" si="82"/>
        <v>0</v>
      </c>
      <c r="Y84" s="1">
        <f t="shared" si="82"/>
        <v>0</v>
      </c>
      <c r="Z84" s="1">
        <f t="shared" si="82"/>
        <v>0</v>
      </c>
      <c r="AA84" s="1">
        <f t="shared" si="82"/>
        <v>0</v>
      </c>
    </row>
    <row r="85" spans="1:27">
      <c r="A85" s="84" t="s">
        <v>243</v>
      </c>
      <c r="B85" s="85" t="s">
        <v>242</v>
      </c>
      <c r="C85" s="85" t="s">
        <v>74</v>
      </c>
      <c r="D85" s="84" t="s">
        <v>80</v>
      </c>
      <c r="E85" s="84">
        <f>VLOOKUP(A85,'2a. SI Pop'!$A$5:$E$198,5,FALSE)</f>
        <v>2</v>
      </c>
      <c r="F85" s="89">
        <v>11330402.008000001</v>
      </c>
      <c r="G85" s="1">
        <f t="shared" si="67"/>
        <v>11330402.008000001</v>
      </c>
      <c r="H85" s="1">
        <f t="shared" ref="H85:AA85" si="83">G85</f>
        <v>11330402.008000001</v>
      </c>
      <c r="I85" s="1">
        <f t="shared" si="83"/>
        <v>11330402.008000001</v>
      </c>
      <c r="J85" s="1">
        <f t="shared" si="83"/>
        <v>11330402.008000001</v>
      </c>
      <c r="K85" s="1">
        <f t="shared" si="83"/>
        <v>11330402.008000001</v>
      </c>
      <c r="L85" s="1">
        <f t="shared" si="83"/>
        <v>11330402.008000001</v>
      </c>
      <c r="M85" s="1">
        <f t="shared" si="83"/>
        <v>11330402.008000001</v>
      </c>
      <c r="N85" s="1">
        <f t="shared" si="83"/>
        <v>11330402.008000001</v>
      </c>
      <c r="O85" s="1">
        <f t="shared" si="83"/>
        <v>11330402.008000001</v>
      </c>
      <c r="P85" s="1">
        <f t="shared" si="83"/>
        <v>11330402.008000001</v>
      </c>
      <c r="Q85" s="1">
        <f t="shared" si="83"/>
        <v>11330402.008000001</v>
      </c>
      <c r="R85" s="1">
        <f t="shared" si="83"/>
        <v>11330402.008000001</v>
      </c>
      <c r="S85" s="1">
        <f t="shared" si="83"/>
        <v>11330402.008000001</v>
      </c>
      <c r="T85" s="1">
        <f t="shared" si="83"/>
        <v>11330402.008000001</v>
      </c>
      <c r="U85" s="1">
        <f t="shared" si="83"/>
        <v>11330402.008000001</v>
      </c>
      <c r="V85" s="1">
        <f t="shared" si="83"/>
        <v>11330402.008000001</v>
      </c>
      <c r="W85" s="1">
        <f t="shared" si="83"/>
        <v>11330402.008000001</v>
      </c>
      <c r="X85" s="1">
        <f t="shared" si="83"/>
        <v>11330402.008000001</v>
      </c>
      <c r="Y85" s="1">
        <f t="shared" si="83"/>
        <v>11330402.008000001</v>
      </c>
      <c r="Z85" s="1">
        <f t="shared" si="83"/>
        <v>11330402.008000001</v>
      </c>
      <c r="AA85" s="1">
        <f t="shared" si="83"/>
        <v>11330402.008000001</v>
      </c>
    </row>
    <row r="86" spans="1:27">
      <c r="A86" s="84" t="s">
        <v>245</v>
      </c>
      <c r="B86" s="85" t="s">
        <v>244</v>
      </c>
      <c r="C86" s="85" t="s">
        <v>79</v>
      </c>
      <c r="D86" s="84" t="s">
        <v>87</v>
      </c>
      <c r="E86" s="84">
        <f>VLOOKUP(A86,'2a. SI Pop'!$A$5:$E$198,5,FALSE)</f>
        <v>1</v>
      </c>
      <c r="F86" s="89">
        <v>0</v>
      </c>
      <c r="G86" s="1">
        <f t="shared" si="67"/>
        <v>0</v>
      </c>
      <c r="H86" s="1">
        <f t="shared" ref="H86:AA86" si="84">G86</f>
        <v>0</v>
      </c>
      <c r="I86" s="1">
        <f t="shared" si="84"/>
        <v>0</v>
      </c>
      <c r="J86" s="1">
        <f t="shared" si="84"/>
        <v>0</v>
      </c>
      <c r="K86" s="1">
        <f t="shared" si="84"/>
        <v>0</v>
      </c>
      <c r="L86" s="1">
        <f t="shared" si="84"/>
        <v>0</v>
      </c>
      <c r="M86" s="1">
        <f t="shared" si="84"/>
        <v>0</v>
      </c>
      <c r="N86" s="1">
        <f t="shared" si="84"/>
        <v>0</v>
      </c>
      <c r="O86" s="1">
        <f t="shared" si="84"/>
        <v>0</v>
      </c>
      <c r="P86" s="1">
        <f t="shared" si="84"/>
        <v>0</v>
      </c>
      <c r="Q86" s="1">
        <f t="shared" si="84"/>
        <v>0</v>
      </c>
      <c r="R86" s="1">
        <f t="shared" si="84"/>
        <v>0</v>
      </c>
      <c r="S86" s="1">
        <f t="shared" si="84"/>
        <v>0</v>
      </c>
      <c r="T86" s="1">
        <f t="shared" si="84"/>
        <v>0</v>
      </c>
      <c r="U86" s="1">
        <f t="shared" si="84"/>
        <v>0</v>
      </c>
      <c r="V86" s="1">
        <f t="shared" si="84"/>
        <v>0</v>
      </c>
      <c r="W86" s="1">
        <f t="shared" si="84"/>
        <v>0</v>
      </c>
      <c r="X86" s="1">
        <f t="shared" si="84"/>
        <v>0</v>
      </c>
      <c r="Y86" s="1">
        <f t="shared" si="84"/>
        <v>0</v>
      </c>
      <c r="Z86" s="1">
        <f t="shared" si="84"/>
        <v>0</v>
      </c>
      <c r="AA86" s="1">
        <f t="shared" si="84"/>
        <v>0</v>
      </c>
    </row>
    <row r="87" spans="1:27">
      <c r="A87" s="84" t="s">
        <v>247</v>
      </c>
      <c r="B87" s="85" t="s">
        <v>246</v>
      </c>
      <c r="C87" s="85" t="s">
        <v>79</v>
      </c>
      <c r="D87" s="84" t="s">
        <v>87</v>
      </c>
      <c r="E87" s="84">
        <f>VLOOKUP(A87,'2a. SI Pop'!$A$5:$E$198,5,FALSE)</f>
        <v>1</v>
      </c>
      <c r="F87" s="89">
        <v>0</v>
      </c>
      <c r="G87" s="1">
        <f t="shared" si="67"/>
        <v>0</v>
      </c>
      <c r="H87" s="1">
        <f t="shared" ref="H87:AA87" si="85">G87</f>
        <v>0</v>
      </c>
      <c r="I87" s="1">
        <f t="shared" si="85"/>
        <v>0</v>
      </c>
      <c r="J87" s="1">
        <f t="shared" si="85"/>
        <v>0</v>
      </c>
      <c r="K87" s="1">
        <f t="shared" si="85"/>
        <v>0</v>
      </c>
      <c r="L87" s="1">
        <f t="shared" si="85"/>
        <v>0</v>
      </c>
      <c r="M87" s="1">
        <f t="shared" si="85"/>
        <v>0</v>
      </c>
      <c r="N87" s="1">
        <f t="shared" si="85"/>
        <v>0</v>
      </c>
      <c r="O87" s="1">
        <f t="shared" si="85"/>
        <v>0</v>
      </c>
      <c r="P87" s="1">
        <f t="shared" si="85"/>
        <v>0</v>
      </c>
      <c r="Q87" s="1">
        <f t="shared" si="85"/>
        <v>0</v>
      </c>
      <c r="R87" s="1">
        <f t="shared" si="85"/>
        <v>0</v>
      </c>
      <c r="S87" s="1">
        <f t="shared" si="85"/>
        <v>0</v>
      </c>
      <c r="T87" s="1">
        <f t="shared" si="85"/>
        <v>0</v>
      </c>
      <c r="U87" s="1">
        <f t="shared" si="85"/>
        <v>0</v>
      </c>
      <c r="V87" s="1">
        <f t="shared" si="85"/>
        <v>0</v>
      </c>
      <c r="W87" s="1">
        <f t="shared" si="85"/>
        <v>0</v>
      </c>
      <c r="X87" s="1">
        <f t="shared" si="85"/>
        <v>0</v>
      </c>
      <c r="Y87" s="1">
        <f t="shared" si="85"/>
        <v>0</v>
      </c>
      <c r="Z87" s="1">
        <f t="shared" si="85"/>
        <v>0</v>
      </c>
      <c r="AA87" s="1">
        <f t="shared" si="85"/>
        <v>0</v>
      </c>
    </row>
    <row r="88" spans="1:27">
      <c r="A88" s="84" t="s">
        <v>249</v>
      </c>
      <c r="B88" s="85" t="s">
        <v>248</v>
      </c>
      <c r="C88" s="85" t="s">
        <v>79</v>
      </c>
      <c r="D88" s="84" t="s">
        <v>87</v>
      </c>
      <c r="E88" s="84">
        <f>VLOOKUP(A88,'2a. SI Pop'!$A$5:$E$198,5,FALSE)</f>
        <v>1</v>
      </c>
      <c r="F88" s="89">
        <v>0</v>
      </c>
      <c r="G88" s="1">
        <f t="shared" si="67"/>
        <v>0</v>
      </c>
      <c r="H88" s="1">
        <f t="shared" ref="H88:AA88" si="86">G88</f>
        <v>0</v>
      </c>
      <c r="I88" s="1">
        <f t="shared" si="86"/>
        <v>0</v>
      </c>
      <c r="J88" s="1">
        <f t="shared" si="86"/>
        <v>0</v>
      </c>
      <c r="K88" s="1">
        <f t="shared" si="86"/>
        <v>0</v>
      </c>
      <c r="L88" s="1">
        <f t="shared" si="86"/>
        <v>0</v>
      </c>
      <c r="M88" s="1">
        <f t="shared" si="86"/>
        <v>0</v>
      </c>
      <c r="N88" s="1">
        <f t="shared" si="86"/>
        <v>0</v>
      </c>
      <c r="O88" s="1">
        <f t="shared" si="86"/>
        <v>0</v>
      </c>
      <c r="P88" s="1">
        <f t="shared" si="86"/>
        <v>0</v>
      </c>
      <c r="Q88" s="1">
        <f t="shared" si="86"/>
        <v>0</v>
      </c>
      <c r="R88" s="1">
        <f t="shared" si="86"/>
        <v>0</v>
      </c>
      <c r="S88" s="1">
        <f t="shared" si="86"/>
        <v>0</v>
      </c>
      <c r="T88" s="1">
        <f t="shared" si="86"/>
        <v>0</v>
      </c>
      <c r="U88" s="1">
        <f t="shared" si="86"/>
        <v>0</v>
      </c>
      <c r="V88" s="1">
        <f t="shared" si="86"/>
        <v>0</v>
      </c>
      <c r="W88" s="1">
        <f t="shared" si="86"/>
        <v>0</v>
      </c>
      <c r="X88" s="1">
        <f t="shared" si="86"/>
        <v>0</v>
      </c>
      <c r="Y88" s="1">
        <f t="shared" si="86"/>
        <v>0</v>
      </c>
      <c r="Z88" s="1">
        <f t="shared" si="86"/>
        <v>0</v>
      </c>
      <c r="AA88" s="1">
        <f t="shared" si="86"/>
        <v>0</v>
      </c>
    </row>
    <row r="89" spans="1:27">
      <c r="A89" s="84" t="s">
        <v>251</v>
      </c>
      <c r="B89" s="85" t="s">
        <v>250</v>
      </c>
      <c r="C89" s="85" t="s">
        <v>92</v>
      </c>
      <c r="D89" s="84" t="s">
        <v>80</v>
      </c>
      <c r="E89" s="84">
        <f>VLOOKUP(A89,'2a. SI Pop'!$A$5:$E$198,5,FALSE)</f>
        <v>1</v>
      </c>
      <c r="F89" s="89">
        <v>0</v>
      </c>
      <c r="G89" s="1">
        <f t="shared" si="67"/>
        <v>0</v>
      </c>
      <c r="H89" s="1">
        <f t="shared" ref="H89:AA89" si="87">G89</f>
        <v>0</v>
      </c>
      <c r="I89" s="1">
        <f t="shared" si="87"/>
        <v>0</v>
      </c>
      <c r="J89" s="1">
        <f t="shared" si="87"/>
        <v>0</v>
      </c>
      <c r="K89" s="1">
        <f t="shared" si="87"/>
        <v>0</v>
      </c>
      <c r="L89" s="1">
        <f t="shared" si="87"/>
        <v>0</v>
      </c>
      <c r="M89" s="1">
        <f t="shared" si="87"/>
        <v>0</v>
      </c>
      <c r="N89" s="1">
        <f t="shared" si="87"/>
        <v>0</v>
      </c>
      <c r="O89" s="1">
        <f t="shared" si="87"/>
        <v>0</v>
      </c>
      <c r="P89" s="1">
        <f t="shared" si="87"/>
        <v>0</v>
      </c>
      <c r="Q89" s="1">
        <f t="shared" si="87"/>
        <v>0</v>
      </c>
      <c r="R89" s="1">
        <f t="shared" si="87"/>
        <v>0</v>
      </c>
      <c r="S89" s="1">
        <f t="shared" si="87"/>
        <v>0</v>
      </c>
      <c r="T89" s="1">
        <f t="shared" si="87"/>
        <v>0</v>
      </c>
      <c r="U89" s="1">
        <f t="shared" si="87"/>
        <v>0</v>
      </c>
      <c r="V89" s="1">
        <f t="shared" si="87"/>
        <v>0</v>
      </c>
      <c r="W89" s="1">
        <f t="shared" si="87"/>
        <v>0</v>
      </c>
      <c r="X89" s="1">
        <f t="shared" si="87"/>
        <v>0</v>
      </c>
      <c r="Y89" s="1">
        <f t="shared" si="87"/>
        <v>0</v>
      </c>
      <c r="Z89" s="1">
        <f t="shared" si="87"/>
        <v>0</v>
      </c>
      <c r="AA89" s="1">
        <f t="shared" si="87"/>
        <v>0</v>
      </c>
    </row>
    <row r="90" spans="1:27">
      <c r="A90" s="84" t="s">
        <v>253</v>
      </c>
      <c r="B90" s="85" t="s">
        <v>252</v>
      </c>
      <c r="C90" s="85" t="s">
        <v>99</v>
      </c>
      <c r="D90" s="84" t="s">
        <v>87</v>
      </c>
      <c r="E90" s="84">
        <f>VLOOKUP(A90,'2a. SI Pop'!$A$5:$E$198,5,FALSE)</f>
        <v>4</v>
      </c>
      <c r="F90" s="89">
        <v>0</v>
      </c>
      <c r="G90" s="1">
        <f t="shared" si="67"/>
        <v>0</v>
      </c>
      <c r="H90" s="1">
        <f t="shared" ref="H90:AA90" si="88">G90</f>
        <v>0</v>
      </c>
      <c r="I90" s="1">
        <f t="shared" si="88"/>
        <v>0</v>
      </c>
      <c r="J90" s="1">
        <f t="shared" si="88"/>
        <v>0</v>
      </c>
      <c r="K90" s="1">
        <f t="shared" si="88"/>
        <v>0</v>
      </c>
      <c r="L90" s="1">
        <f t="shared" si="88"/>
        <v>0</v>
      </c>
      <c r="M90" s="1">
        <f t="shared" si="88"/>
        <v>0</v>
      </c>
      <c r="N90" s="1">
        <f t="shared" si="88"/>
        <v>0</v>
      </c>
      <c r="O90" s="1">
        <f t="shared" si="88"/>
        <v>0</v>
      </c>
      <c r="P90" s="1">
        <f t="shared" si="88"/>
        <v>0</v>
      </c>
      <c r="Q90" s="1">
        <f t="shared" si="88"/>
        <v>0</v>
      </c>
      <c r="R90" s="1">
        <f t="shared" si="88"/>
        <v>0</v>
      </c>
      <c r="S90" s="1">
        <f t="shared" si="88"/>
        <v>0</v>
      </c>
      <c r="T90" s="1">
        <f t="shared" si="88"/>
        <v>0</v>
      </c>
      <c r="U90" s="1">
        <f t="shared" si="88"/>
        <v>0</v>
      </c>
      <c r="V90" s="1">
        <f t="shared" si="88"/>
        <v>0</v>
      </c>
      <c r="W90" s="1">
        <f t="shared" si="88"/>
        <v>0</v>
      </c>
      <c r="X90" s="1">
        <f t="shared" si="88"/>
        <v>0</v>
      </c>
      <c r="Y90" s="1">
        <f t="shared" si="88"/>
        <v>0</v>
      </c>
      <c r="Z90" s="1">
        <f t="shared" si="88"/>
        <v>0</v>
      </c>
      <c r="AA90" s="1">
        <f t="shared" si="88"/>
        <v>0</v>
      </c>
    </row>
    <row r="91" spans="1:27">
      <c r="A91" s="84" t="s">
        <v>255</v>
      </c>
      <c r="B91" s="85" t="s">
        <v>254</v>
      </c>
      <c r="C91" s="85" t="s">
        <v>74</v>
      </c>
      <c r="D91" s="84" t="s">
        <v>80</v>
      </c>
      <c r="E91" s="84">
        <f>VLOOKUP(A91,'2a. SI Pop'!$A$5:$E$198,5,FALSE)</f>
        <v>2</v>
      </c>
      <c r="F91" s="89">
        <v>1035617.676</v>
      </c>
      <c r="G91" s="1">
        <f t="shared" si="67"/>
        <v>1035617.676</v>
      </c>
      <c r="H91" s="1">
        <f t="shared" ref="H91:AA91" si="89">G91</f>
        <v>1035617.676</v>
      </c>
      <c r="I91" s="1">
        <f t="shared" si="89"/>
        <v>1035617.676</v>
      </c>
      <c r="J91" s="1">
        <f t="shared" si="89"/>
        <v>1035617.676</v>
      </c>
      <c r="K91" s="1">
        <f t="shared" si="89"/>
        <v>1035617.676</v>
      </c>
      <c r="L91" s="1">
        <f t="shared" si="89"/>
        <v>1035617.676</v>
      </c>
      <c r="M91" s="1">
        <f t="shared" si="89"/>
        <v>1035617.676</v>
      </c>
      <c r="N91" s="1">
        <f t="shared" si="89"/>
        <v>1035617.676</v>
      </c>
      <c r="O91" s="1">
        <f t="shared" si="89"/>
        <v>1035617.676</v>
      </c>
      <c r="P91" s="1">
        <f t="shared" si="89"/>
        <v>1035617.676</v>
      </c>
      <c r="Q91" s="1">
        <f t="shared" si="89"/>
        <v>1035617.676</v>
      </c>
      <c r="R91" s="1">
        <f t="shared" si="89"/>
        <v>1035617.676</v>
      </c>
      <c r="S91" s="1">
        <f t="shared" si="89"/>
        <v>1035617.676</v>
      </c>
      <c r="T91" s="1">
        <f t="shared" si="89"/>
        <v>1035617.676</v>
      </c>
      <c r="U91" s="1">
        <f t="shared" si="89"/>
        <v>1035617.676</v>
      </c>
      <c r="V91" s="1">
        <f t="shared" si="89"/>
        <v>1035617.676</v>
      </c>
      <c r="W91" s="1">
        <f t="shared" si="89"/>
        <v>1035617.676</v>
      </c>
      <c r="X91" s="1">
        <f t="shared" si="89"/>
        <v>1035617.676</v>
      </c>
      <c r="Y91" s="1">
        <f t="shared" si="89"/>
        <v>1035617.676</v>
      </c>
      <c r="Z91" s="1">
        <f t="shared" si="89"/>
        <v>1035617.676</v>
      </c>
      <c r="AA91" s="1">
        <f t="shared" si="89"/>
        <v>1035617.676</v>
      </c>
    </row>
    <row r="92" spans="1:27">
      <c r="A92" s="84" t="s">
        <v>257</v>
      </c>
      <c r="B92" s="85" t="s">
        <v>256</v>
      </c>
      <c r="C92" s="85" t="s">
        <v>79</v>
      </c>
      <c r="D92" s="84" t="s">
        <v>80</v>
      </c>
      <c r="E92" s="84">
        <f>VLOOKUP(A92,'2a. SI Pop'!$A$5:$E$198,5,FALSE)</f>
        <v>2</v>
      </c>
      <c r="F92" s="89">
        <v>0</v>
      </c>
      <c r="G92" s="1">
        <f t="shared" si="67"/>
        <v>0</v>
      </c>
      <c r="H92" s="1">
        <f t="shared" ref="H92:AA92" si="90">G92</f>
        <v>0</v>
      </c>
      <c r="I92" s="1">
        <f t="shared" si="90"/>
        <v>0</v>
      </c>
      <c r="J92" s="1">
        <f t="shared" si="90"/>
        <v>0</v>
      </c>
      <c r="K92" s="1">
        <f t="shared" si="90"/>
        <v>0</v>
      </c>
      <c r="L92" s="1">
        <f t="shared" si="90"/>
        <v>0</v>
      </c>
      <c r="M92" s="1">
        <f t="shared" si="90"/>
        <v>0</v>
      </c>
      <c r="N92" s="1">
        <f t="shared" si="90"/>
        <v>0</v>
      </c>
      <c r="O92" s="1">
        <f t="shared" si="90"/>
        <v>0</v>
      </c>
      <c r="P92" s="1">
        <f t="shared" si="90"/>
        <v>0</v>
      </c>
      <c r="Q92" s="1">
        <f t="shared" si="90"/>
        <v>0</v>
      </c>
      <c r="R92" s="1">
        <f t="shared" si="90"/>
        <v>0</v>
      </c>
      <c r="S92" s="1">
        <f t="shared" si="90"/>
        <v>0</v>
      </c>
      <c r="T92" s="1">
        <f t="shared" si="90"/>
        <v>0</v>
      </c>
      <c r="U92" s="1">
        <f t="shared" si="90"/>
        <v>0</v>
      </c>
      <c r="V92" s="1">
        <f t="shared" si="90"/>
        <v>0</v>
      </c>
      <c r="W92" s="1">
        <f t="shared" si="90"/>
        <v>0</v>
      </c>
      <c r="X92" s="1">
        <f t="shared" si="90"/>
        <v>0</v>
      </c>
      <c r="Y92" s="1">
        <f t="shared" si="90"/>
        <v>0</v>
      </c>
      <c r="Z92" s="1">
        <f t="shared" si="90"/>
        <v>0</v>
      </c>
      <c r="AA92" s="1">
        <f t="shared" si="90"/>
        <v>0</v>
      </c>
    </row>
    <row r="93" spans="1:27">
      <c r="A93" s="84" t="s">
        <v>259</v>
      </c>
      <c r="B93" s="85" t="s">
        <v>258</v>
      </c>
      <c r="C93" s="85" t="s">
        <v>83</v>
      </c>
      <c r="D93" s="84" t="s">
        <v>84</v>
      </c>
      <c r="E93" s="84">
        <f>VLOOKUP(A93,'2a. SI Pop'!$A$5:$E$198,5,FALSE)</f>
        <v>3</v>
      </c>
      <c r="F93" s="89">
        <v>6595793.120000001</v>
      </c>
      <c r="G93" s="1">
        <f t="shared" si="67"/>
        <v>6595793.120000001</v>
      </c>
      <c r="H93" s="1">
        <f t="shared" ref="H93:AA93" si="91">G93</f>
        <v>6595793.120000001</v>
      </c>
      <c r="I93" s="1">
        <f t="shared" si="91"/>
        <v>6595793.120000001</v>
      </c>
      <c r="J93" s="1">
        <f t="shared" si="91"/>
        <v>6595793.120000001</v>
      </c>
      <c r="K93" s="1">
        <f t="shared" si="91"/>
        <v>6595793.120000001</v>
      </c>
      <c r="L93" s="1">
        <f t="shared" si="91"/>
        <v>6595793.120000001</v>
      </c>
      <c r="M93" s="1">
        <f t="shared" si="91"/>
        <v>6595793.120000001</v>
      </c>
      <c r="N93" s="1">
        <f t="shared" si="91"/>
        <v>6595793.120000001</v>
      </c>
      <c r="O93" s="1">
        <f t="shared" si="91"/>
        <v>6595793.120000001</v>
      </c>
      <c r="P93" s="1">
        <f t="shared" si="91"/>
        <v>6595793.120000001</v>
      </c>
      <c r="Q93" s="1">
        <f t="shared" si="91"/>
        <v>6595793.120000001</v>
      </c>
      <c r="R93" s="1">
        <f t="shared" si="91"/>
        <v>6595793.120000001</v>
      </c>
      <c r="S93" s="1">
        <f t="shared" si="91"/>
        <v>6595793.120000001</v>
      </c>
      <c r="T93" s="1">
        <f t="shared" si="91"/>
        <v>6595793.120000001</v>
      </c>
      <c r="U93" s="1">
        <f t="shared" si="91"/>
        <v>6595793.120000001</v>
      </c>
      <c r="V93" s="1">
        <f t="shared" si="91"/>
        <v>6595793.120000001</v>
      </c>
      <c r="W93" s="1">
        <f t="shared" si="91"/>
        <v>6595793.120000001</v>
      </c>
      <c r="X93" s="1">
        <f t="shared" si="91"/>
        <v>6595793.120000001</v>
      </c>
      <c r="Y93" s="1">
        <f t="shared" si="91"/>
        <v>6595793.120000001</v>
      </c>
      <c r="Z93" s="1">
        <f t="shared" si="91"/>
        <v>6595793.120000001</v>
      </c>
      <c r="AA93" s="1">
        <f t="shared" si="91"/>
        <v>6595793.120000001</v>
      </c>
    </row>
    <row r="94" spans="1:27">
      <c r="A94" s="84" t="s">
        <v>261</v>
      </c>
      <c r="B94" s="85" t="s">
        <v>260</v>
      </c>
      <c r="C94" s="85" t="s">
        <v>99</v>
      </c>
      <c r="D94" s="84" t="s">
        <v>84</v>
      </c>
      <c r="E94" s="84">
        <f>VLOOKUP(A94,'2a. SI Pop'!$A$5:$E$198,5,FALSE)</f>
        <v>4</v>
      </c>
      <c r="F94" s="89">
        <v>0</v>
      </c>
      <c r="G94" s="1">
        <f t="shared" si="67"/>
        <v>0</v>
      </c>
      <c r="H94" s="1">
        <f t="shared" ref="H94:AA94" si="92">G94</f>
        <v>0</v>
      </c>
      <c r="I94" s="1">
        <f t="shared" si="92"/>
        <v>0</v>
      </c>
      <c r="J94" s="1">
        <f t="shared" si="92"/>
        <v>0</v>
      </c>
      <c r="K94" s="1">
        <f t="shared" si="92"/>
        <v>0</v>
      </c>
      <c r="L94" s="1">
        <f t="shared" si="92"/>
        <v>0</v>
      </c>
      <c r="M94" s="1">
        <f t="shared" si="92"/>
        <v>0</v>
      </c>
      <c r="N94" s="1">
        <f t="shared" si="92"/>
        <v>0</v>
      </c>
      <c r="O94" s="1">
        <f t="shared" si="92"/>
        <v>0</v>
      </c>
      <c r="P94" s="1">
        <f t="shared" si="92"/>
        <v>0</v>
      </c>
      <c r="Q94" s="1">
        <f t="shared" si="92"/>
        <v>0</v>
      </c>
      <c r="R94" s="1">
        <f t="shared" si="92"/>
        <v>0</v>
      </c>
      <c r="S94" s="1">
        <f t="shared" si="92"/>
        <v>0</v>
      </c>
      <c r="T94" s="1">
        <f t="shared" si="92"/>
        <v>0</v>
      </c>
      <c r="U94" s="1">
        <f t="shared" si="92"/>
        <v>0</v>
      </c>
      <c r="V94" s="1">
        <f t="shared" si="92"/>
        <v>0</v>
      </c>
      <c r="W94" s="1">
        <f t="shared" si="92"/>
        <v>0</v>
      </c>
      <c r="X94" s="1">
        <f t="shared" si="92"/>
        <v>0</v>
      </c>
      <c r="Y94" s="1">
        <f t="shared" si="92"/>
        <v>0</v>
      </c>
      <c r="Z94" s="1">
        <f t="shared" si="92"/>
        <v>0</v>
      </c>
      <c r="AA94" s="1">
        <f t="shared" si="92"/>
        <v>0</v>
      </c>
    </row>
    <row r="95" spans="1:27">
      <c r="A95" s="84" t="s">
        <v>263</v>
      </c>
      <c r="B95" s="85" t="s">
        <v>262</v>
      </c>
      <c r="C95" s="85" t="s">
        <v>99</v>
      </c>
      <c r="D95" s="84" t="s">
        <v>87</v>
      </c>
      <c r="E95" s="84">
        <f>VLOOKUP(A95,'2a. SI Pop'!$A$5:$E$198,5,FALSE)</f>
        <v>1</v>
      </c>
      <c r="F95" s="89">
        <v>0</v>
      </c>
      <c r="G95" s="1">
        <f t="shared" si="67"/>
        <v>0</v>
      </c>
      <c r="H95" s="1">
        <f t="shared" ref="H95:AA95" si="93">G95</f>
        <v>0</v>
      </c>
      <c r="I95" s="1">
        <f t="shared" si="93"/>
        <v>0</v>
      </c>
      <c r="J95" s="1">
        <f t="shared" si="93"/>
        <v>0</v>
      </c>
      <c r="K95" s="1">
        <f t="shared" si="93"/>
        <v>0</v>
      </c>
      <c r="L95" s="1">
        <f t="shared" si="93"/>
        <v>0</v>
      </c>
      <c r="M95" s="1">
        <f t="shared" si="93"/>
        <v>0</v>
      </c>
      <c r="N95" s="1">
        <f t="shared" si="93"/>
        <v>0</v>
      </c>
      <c r="O95" s="1">
        <f t="shared" si="93"/>
        <v>0</v>
      </c>
      <c r="P95" s="1">
        <f t="shared" si="93"/>
        <v>0</v>
      </c>
      <c r="Q95" s="1">
        <f t="shared" si="93"/>
        <v>0</v>
      </c>
      <c r="R95" s="1">
        <f t="shared" si="93"/>
        <v>0</v>
      </c>
      <c r="S95" s="1">
        <f t="shared" si="93"/>
        <v>0</v>
      </c>
      <c r="T95" s="1">
        <f t="shared" si="93"/>
        <v>0</v>
      </c>
      <c r="U95" s="1">
        <f t="shared" si="93"/>
        <v>0</v>
      </c>
      <c r="V95" s="1">
        <f t="shared" si="93"/>
        <v>0</v>
      </c>
      <c r="W95" s="1">
        <f t="shared" si="93"/>
        <v>0</v>
      </c>
      <c r="X95" s="1">
        <f t="shared" si="93"/>
        <v>0</v>
      </c>
      <c r="Y95" s="1">
        <f t="shared" si="93"/>
        <v>0</v>
      </c>
      <c r="Z95" s="1">
        <f t="shared" si="93"/>
        <v>0</v>
      </c>
      <c r="AA95" s="1">
        <f t="shared" si="93"/>
        <v>0</v>
      </c>
    </row>
    <row r="96" spans="1:27">
      <c r="A96" s="84" t="s">
        <v>265</v>
      </c>
      <c r="B96" s="85" t="s">
        <v>264</v>
      </c>
      <c r="C96" s="85" t="s">
        <v>74</v>
      </c>
      <c r="D96" s="84" t="s">
        <v>87</v>
      </c>
      <c r="E96" s="84">
        <f>VLOOKUP(A96,'2a. SI Pop'!$A$5:$E$198,5,FALSE)</f>
        <v>1</v>
      </c>
      <c r="F96" s="89">
        <v>0</v>
      </c>
      <c r="G96" s="1">
        <f t="shared" si="67"/>
        <v>0</v>
      </c>
      <c r="H96" s="1">
        <f t="shared" ref="H96:AA96" si="94">G96</f>
        <v>0</v>
      </c>
      <c r="I96" s="1">
        <f t="shared" si="94"/>
        <v>0</v>
      </c>
      <c r="J96" s="1">
        <f t="shared" si="94"/>
        <v>0</v>
      </c>
      <c r="K96" s="1">
        <f t="shared" si="94"/>
        <v>0</v>
      </c>
      <c r="L96" s="1">
        <f t="shared" si="94"/>
        <v>0</v>
      </c>
      <c r="M96" s="1">
        <f t="shared" si="94"/>
        <v>0</v>
      </c>
      <c r="N96" s="1">
        <f t="shared" si="94"/>
        <v>0</v>
      </c>
      <c r="O96" s="1">
        <f t="shared" si="94"/>
        <v>0</v>
      </c>
      <c r="P96" s="1">
        <f t="shared" si="94"/>
        <v>0</v>
      </c>
      <c r="Q96" s="1">
        <f t="shared" si="94"/>
        <v>0</v>
      </c>
      <c r="R96" s="1">
        <f t="shared" si="94"/>
        <v>0</v>
      </c>
      <c r="S96" s="1">
        <f t="shared" si="94"/>
        <v>0</v>
      </c>
      <c r="T96" s="1">
        <f t="shared" si="94"/>
        <v>0</v>
      </c>
      <c r="U96" s="1">
        <f t="shared" si="94"/>
        <v>0</v>
      </c>
      <c r="V96" s="1">
        <f t="shared" si="94"/>
        <v>0</v>
      </c>
      <c r="W96" s="1">
        <f t="shared" si="94"/>
        <v>0</v>
      </c>
      <c r="X96" s="1">
        <f t="shared" si="94"/>
        <v>0</v>
      </c>
      <c r="Y96" s="1">
        <f t="shared" si="94"/>
        <v>0</v>
      </c>
      <c r="Z96" s="1">
        <f t="shared" si="94"/>
        <v>0</v>
      </c>
      <c r="AA96" s="1">
        <f t="shared" si="94"/>
        <v>0</v>
      </c>
    </row>
    <row r="97" spans="1:27">
      <c r="A97" s="84" t="s">
        <v>267</v>
      </c>
      <c r="B97" s="85" t="s">
        <v>266</v>
      </c>
      <c r="C97" s="85" t="s">
        <v>79</v>
      </c>
      <c r="D97" s="84" t="s">
        <v>84</v>
      </c>
      <c r="E97" s="84">
        <f>VLOOKUP(A97,'2a. SI Pop'!$A$5:$E$198,5,FALSE)</f>
        <v>1</v>
      </c>
      <c r="F97" s="89">
        <v>0</v>
      </c>
      <c r="G97" s="1">
        <f t="shared" si="67"/>
        <v>0</v>
      </c>
      <c r="H97" s="1">
        <f t="shared" ref="H97:AA97" si="95">G97</f>
        <v>0</v>
      </c>
      <c r="I97" s="1">
        <f t="shared" si="95"/>
        <v>0</v>
      </c>
      <c r="J97" s="1">
        <f t="shared" si="95"/>
        <v>0</v>
      </c>
      <c r="K97" s="1">
        <f t="shared" si="95"/>
        <v>0</v>
      </c>
      <c r="L97" s="1">
        <f t="shared" si="95"/>
        <v>0</v>
      </c>
      <c r="M97" s="1">
        <f t="shared" si="95"/>
        <v>0</v>
      </c>
      <c r="N97" s="1">
        <f t="shared" si="95"/>
        <v>0</v>
      </c>
      <c r="O97" s="1">
        <f t="shared" si="95"/>
        <v>0</v>
      </c>
      <c r="P97" s="1">
        <f t="shared" si="95"/>
        <v>0</v>
      </c>
      <c r="Q97" s="1">
        <f t="shared" si="95"/>
        <v>0</v>
      </c>
      <c r="R97" s="1">
        <f t="shared" si="95"/>
        <v>0</v>
      </c>
      <c r="S97" s="1">
        <f t="shared" si="95"/>
        <v>0</v>
      </c>
      <c r="T97" s="1">
        <f t="shared" si="95"/>
        <v>0</v>
      </c>
      <c r="U97" s="1">
        <f t="shared" si="95"/>
        <v>0</v>
      </c>
      <c r="V97" s="1">
        <f t="shared" si="95"/>
        <v>0</v>
      </c>
      <c r="W97" s="1">
        <f t="shared" si="95"/>
        <v>0</v>
      </c>
      <c r="X97" s="1">
        <f t="shared" si="95"/>
        <v>0</v>
      </c>
      <c r="Y97" s="1">
        <f t="shared" si="95"/>
        <v>0</v>
      </c>
      <c r="Z97" s="1">
        <f t="shared" si="95"/>
        <v>0</v>
      </c>
      <c r="AA97" s="1">
        <f t="shared" si="95"/>
        <v>0</v>
      </c>
    </row>
    <row r="98" spans="1:27">
      <c r="A98" s="84" t="s">
        <v>269</v>
      </c>
      <c r="B98" s="85" t="s">
        <v>268</v>
      </c>
      <c r="C98" s="85" t="s">
        <v>99</v>
      </c>
      <c r="D98" s="84" t="s">
        <v>84</v>
      </c>
      <c r="E98" s="84">
        <f>VLOOKUP(A98,'2a. SI Pop'!$A$5:$E$198,5,FALSE)</f>
        <v>4</v>
      </c>
      <c r="F98" s="89">
        <v>677316.21200000006</v>
      </c>
      <c r="G98" s="1">
        <f t="shared" si="67"/>
        <v>677316.21200000006</v>
      </c>
      <c r="H98" s="1">
        <f t="shared" ref="H98:AA98" si="96">G98</f>
        <v>677316.21200000006</v>
      </c>
      <c r="I98" s="1">
        <f t="shared" si="96"/>
        <v>677316.21200000006</v>
      </c>
      <c r="J98" s="1">
        <f t="shared" si="96"/>
        <v>677316.21200000006</v>
      </c>
      <c r="K98" s="1">
        <f t="shared" si="96"/>
        <v>677316.21200000006</v>
      </c>
      <c r="L98" s="1">
        <f t="shared" si="96"/>
        <v>677316.21200000006</v>
      </c>
      <c r="M98" s="1">
        <f t="shared" si="96"/>
        <v>677316.21200000006</v>
      </c>
      <c r="N98" s="1">
        <f t="shared" si="96"/>
        <v>677316.21200000006</v>
      </c>
      <c r="O98" s="1">
        <f t="shared" si="96"/>
        <v>677316.21200000006</v>
      </c>
      <c r="P98" s="1">
        <f t="shared" si="96"/>
        <v>677316.21200000006</v>
      </c>
      <c r="Q98" s="1">
        <f t="shared" si="96"/>
        <v>677316.21200000006</v>
      </c>
      <c r="R98" s="1">
        <f t="shared" si="96"/>
        <v>677316.21200000006</v>
      </c>
      <c r="S98" s="1">
        <f t="shared" si="96"/>
        <v>677316.21200000006</v>
      </c>
      <c r="T98" s="1">
        <f t="shared" si="96"/>
        <v>677316.21200000006</v>
      </c>
      <c r="U98" s="1">
        <f t="shared" si="96"/>
        <v>677316.21200000006</v>
      </c>
      <c r="V98" s="1">
        <f t="shared" si="96"/>
        <v>677316.21200000006</v>
      </c>
      <c r="W98" s="1">
        <f t="shared" si="96"/>
        <v>677316.21200000006</v>
      </c>
      <c r="X98" s="1">
        <f t="shared" si="96"/>
        <v>677316.21200000006</v>
      </c>
      <c r="Y98" s="1">
        <f t="shared" si="96"/>
        <v>677316.21200000006</v>
      </c>
      <c r="Z98" s="1">
        <f t="shared" si="96"/>
        <v>677316.21200000006</v>
      </c>
      <c r="AA98" s="1">
        <f t="shared" si="96"/>
        <v>677316.21200000006</v>
      </c>
    </row>
    <row r="99" spans="1:27">
      <c r="A99" s="84" t="s">
        <v>271</v>
      </c>
      <c r="B99" s="85" t="s">
        <v>270</v>
      </c>
      <c r="C99" s="85" t="s">
        <v>79</v>
      </c>
      <c r="D99" s="84" t="s">
        <v>87</v>
      </c>
      <c r="E99" s="84">
        <f>VLOOKUP(A99,'2a. SI Pop'!$A$5:$E$198,5,FALSE)</f>
        <v>1</v>
      </c>
      <c r="F99" s="89">
        <v>0</v>
      </c>
      <c r="G99" s="1">
        <f t="shared" si="67"/>
        <v>0</v>
      </c>
      <c r="H99" s="1">
        <f t="shared" ref="H99:AA99" si="97">G99</f>
        <v>0</v>
      </c>
      <c r="I99" s="1">
        <f t="shared" si="97"/>
        <v>0</v>
      </c>
      <c r="J99" s="1">
        <f t="shared" si="97"/>
        <v>0</v>
      </c>
      <c r="K99" s="1">
        <f t="shared" si="97"/>
        <v>0</v>
      </c>
      <c r="L99" s="1">
        <f t="shared" si="97"/>
        <v>0</v>
      </c>
      <c r="M99" s="1">
        <f t="shared" si="97"/>
        <v>0</v>
      </c>
      <c r="N99" s="1">
        <f t="shared" si="97"/>
        <v>0</v>
      </c>
      <c r="O99" s="1">
        <f t="shared" si="97"/>
        <v>0</v>
      </c>
      <c r="P99" s="1">
        <f t="shared" si="97"/>
        <v>0</v>
      </c>
      <c r="Q99" s="1">
        <f t="shared" si="97"/>
        <v>0</v>
      </c>
      <c r="R99" s="1">
        <f t="shared" si="97"/>
        <v>0</v>
      </c>
      <c r="S99" s="1">
        <f t="shared" si="97"/>
        <v>0</v>
      </c>
      <c r="T99" s="1">
        <f t="shared" si="97"/>
        <v>0</v>
      </c>
      <c r="U99" s="1">
        <f t="shared" si="97"/>
        <v>0</v>
      </c>
      <c r="V99" s="1">
        <f t="shared" si="97"/>
        <v>0</v>
      </c>
      <c r="W99" s="1">
        <f t="shared" si="97"/>
        <v>0</v>
      </c>
      <c r="X99" s="1">
        <f t="shared" si="97"/>
        <v>0</v>
      </c>
      <c r="Y99" s="1">
        <f t="shared" si="97"/>
        <v>0</v>
      </c>
      <c r="Z99" s="1">
        <f t="shared" si="97"/>
        <v>0</v>
      </c>
      <c r="AA99" s="1">
        <f t="shared" si="97"/>
        <v>0</v>
      </c>
    </row>
    <row r="100" spans="1:27">
      <c r="A100" s="84" t="s">
        <v>273</v>
      </c>
      <c r="B100" s="85" t="s">
        <v>272</v>
      </c>
      <c r="C100" s="85" t="s">
        <v>74</v>
      </c>
      <c r="D100" s="84" t="s">
        <v>80</v>
      </c>
      <c r="E100" s="84">
        <f>VLOOKUP(A100,'2a. SI Pop'!$A$5:$E$198,5,FALSE)</f>
        <v>2</v>
      </c>
      <c r="F100" s="89">
        <v>0</v>
      </c>
      <c r="G100" s="1">
        <f t="shared" si="67"/>
        <v>0</v>
      </c>
      <c r="H100" s="1">
        <f t="shared" ref="H100:AA100" si="98">G100</f>
        <v>0</v>
      </c>
      <c r="I100" s="1">
        <f t="shared" si="98"/>
        <v>0</v>
      </c>
      <c r="J100" s="1">
        <f t="shared" si="98"/>
        <v>0</v>
      </c>
      <c r="K100" s="1">
        <f t="shared" si="98"/>
        <v>0</v>
      </c>
      <c r="L100" s="1">
        <f t="shared" si="98"/>
        <v>0</v>
      </c>
      <c r="M100" s="1">
        <f t="shared" si="98"/>
        <v>0</v>
      </c>
      <c r="N100" s="1">
        <f t="shared" si="98"/>
        <v>0</v>
      </c>
      <c r="O100" s="1">
        <f t="shared" si="98"/>
        <v>0</v>
      </c>
      <c r="P100" s="1">
        <f t="shared" si="98"/>
        <v>0</v>
      </c>
      <c r="Q100" s="1">
        <f t="shared" si="98"/>
        <v>0</v>
      </c>
      <c r="R100" s="1">
        <f t="shared" si="98"/>
        <v>0</v>
      </c>
      <c r="S100" s="1">
        <f t="shared" si="98"/>
        <v>0</v>
      </c>
      <c r="T100" s="1">
        <f t="shared" si="98"/>
        <v>0</v>
      </c>
      <c r="U100" s="1">
        <f t="shared" si="98"/>
        <v>0</v>
      </c>
      <c r="V100" s="1">
        <f t="shared" si="98"/>
        <v>0</v>
      </c>
      <c r="W100" s="1">
        <f t="shared" si="98"/>
        <v>0</v>
      </c>
      <c r="X100" s="1">
        <f t="shared" si="98"/>
        <v>0</v>
      </c>
      <c r="Y100" s="1">
        <f t="shared" si="98"/>
        <v>0</v>
      </c>
      <c r="Z100" s="1">
        <f t="shared" si="98"/>
        <v>0</v>
      </c>
      <c r="AA100" s="1">
        <f t="shared" si="98"/>
        <v>0</v>
      </c>
    </row>
    <row r="101" spans="1:27">
      <c r="A101" s="84" t="s">
        <v>275</v>
      </c>
      <c r="B101" s="85" t="s">
        <v>274</v>
      </c>
      <c r="C101" s="85" t="s">
        <v>83</v>
      </c>
      <c r="D101" s="84" t="s">
        <v>84</v>
      </c>
      <c r="E101" s="84">
        <f>VLOOKUP(A101,'2a. SI Pop'!$A$5:$E$198,5,FALSE)</f>
        <v>3</v>
      </c>
      <c r="F101" s="89">
        <v>275108.41600000003</v>
      </c>
      <c r="G101" s="1">
        <f t="shared" si="67"/>
        <v>275108.41600000003</v>
      </c>
      <c r="H101" s="1">
        <f t="shared" ref="H101:AA101" si="99">G101</f>
        <v>275108.41600000003</v>
      </c>
      <c r="I101" s="1">
        <f t="shared" si="99"/>
        <v>275108.41600000003</v>
      </c>
      <c r="J101" s="1">
        <f t="shared" si="99"/>
        <v>275108.41600000003</v>
      </c>
      <c r="K101" s="1">
        <f t="shared" si="99"/>
        <v>275108.41600000003</v>
      </c>
      <c r="L101" s="1">
        <f t="shared" si="99"/>
        <v>275108.41600000003</v>
      </c>
      <c r="M101" s="1">
        <f t="shared" si="99"/>
        <v>275108.41600000003</v>
      </c>
      <c r="N101" s="1">
        <f t="shared" si="99"/>
        <v>275108.41600000003</v>
      </c>
      <c r="O101" s="1">
        <f t="shared" si="99"/>
        <v>275108.41600000003</v>
      </c>
      <c r="P101" s="1">
        <f t="shared" si="99"/>
        <v>275108.41600000003</v>
      </c>
      <c r="Q101" s="1">
        <f t="shared" si="99"/>
        <v>275108.41600000003</v>
      </c>
      <c r="R101" s="1">
        <f t="shared" si="99"/>
        <v>275108.41600000003</v>
      </c>
      <c r="S101" s="1">
        <f t="shared" si="99"/>
        <v>275108.41600000003</v>
      </c>
      <c r="T101" s="1">
        <f t="shared" si="99"/>
        <v>275108.41600000003</v>
      </c>
      <c r="U101" s="1">
        <f t="shared" si="99"/>
        <v>275108.41600000003</v>
      </c>
      <c r="V101" s="1">
        <f t="shared" si="99"/>
        <v>275108.41600000003</v>
      </c>
      <c r="W101" s="1">
        <f t="shared" si="99"/>
        <v>275108.41600000003</v>
      </c>
      <c r="X101" s="1">
        <f t="shared" si="99"/>
        <v>275108.41600000003</v>
      </c>
      <c r="Y101" s="1">
        <f t="shared" si="99"/>
        <v>275108.41600000003</v>
      </c>
      <c r="Z101" s="1">
        <f t="shared" si="99"/>
        <v>275108.41600000003</v>
      </c>
      <c r="AA101" s="1">
        <f t="shared" si="99"/>
        <v>275108.41600000003</v>
      </c>
    </row>
    <row r="102" spans="1:27">
      <c r="A102" s="84" t="s">
        <v>277</v>
      </c>
      <c r="B102" s="85" t="s">
        <v>276</v>
      </c>
      <c r="C102" s="85" t="s">
        <v>83</v>
      </c>
      <c r="D102" s="84" t="s">
        <v>75</v>
      </c>
      <c r="E102" s="84">
        <f>VLOOKUP(A102,'2a. SI Pop'!$A$5:$E$198,5,FALSE)</f>
        <v>3</v>
      </c>
      <c r="F102" s="89">
        <v>1414826.5050000001</v>
      </c>
      <c r="G102" s="1">
        <f t="shared" ref="G102:G133" si="100">F102</f>
        <v>1414826.5050000001</v>
      </c>
      <c r="H102" s="1">
        <f t="shared" ref="H102:AA102" si="101">G102</f>
        <v>1414826.5050000001</v>
      </c>
      <c r="I102" s="1">
        <f t="shared" si="101"/>
        <v>1414826.5050000001</v>
      </c>
      <c r="J102" s="1">
        <f t="shared" si="101"/>
        <v>1414826.5050000001</v>
      </c>
      <c r="K102" s="1">
        <f t="shared" si="101"/>
        <v>1414826.5050000001</v>
      </c>
      <c r="L102" s="1">
        <f t="shared" si="101"/>
        <v>1414826.5050000001</v>
      </c>
      <c r="M102" s="1">
        <f t="shared" si="101"/>
        <v>1414826.5050000001</v>
      </c>
      <c r="N102" s="1">
        <f t="shared" si="101"/>
        <v>1414826.5050000001</v>
      </c>
      <c r="O102" s="1">
        <f t="shared" si="101"/>
        <v>1414826.5050000001</v>
      </c>
      <c r="P102" s="1">
        <f t="shared" si="101"/>
        <v>1414826.5050000001</v>
      </c>
      <c r="Q102" s="1">
        <f t="shared" si="101"/>
        <v>1414826.5050000001</v>
      </c>
      <c r="R102" s="1">
        <f t="shared" si="101"/>
        <v>1414826.5050000001</v>
      </c>
      <c r="S102" s="1">
        <f t="shared" si="101"/>
        <v>1414826.5050000001</v>
      </c>
      <c r="T102" s="1">
        <f t="shared" si="101"/>
        <v>1414826.5050000001</v>
      </c>
      <c r="U102" s="1">
        <f t="shared" si="101"/>
        <v>1414826.5050000001</v>
      </c>
      <c r="V102" s="1">
        <f t="shared" si="101"/>
        <v>1414826.5050000001</v>
      </c>
      <c r="W102" s="1">
        <f t="shared" si="101"/>
        <v>1414826.5050000001</v>
      </c>
      <c r="X102" s="1">
        <f t="shared" si="101"/>
        <v>1414826.5050000001</v>
      </c>
      <c r="Y102" s="1">
        <f t="shared" si="101"/>
        <v>1414826.5050000001</v>
      </c>
      <c r="Z102" s="1">
        <f t="shared" si="101"/>
        <v>1414826.5050000001</v>
      </c>
      <c r="AA102" s="1">
        <f t="shared" si="101"/>
        <v>1414826.5050000001</v>
      </c>
    </row>
    <row r="103" spans="1:27">
      <c r="A103" s="84" t="s">
        <v>279</v>
      </c>
      <c r="B103" s="85" t="s">
        <v>278</v>
      </c>
      <c r="C103" s="85" t="s">
        <v>74</v>
      </c>
      <c r="D103" s="84" t="s">
        <v>80</v>
      </c>
      <c r="E103" s="84">
        <f>VLOOKUP(A103,'2a. SI Pop'!$A$5:$E$198,5,FALSE)</f>
        <v>2</v>
      </c>
      <c r="F103" s="89">
        <v>0</v>
      </c>
      <c r="G103" s="1">
        <f t="shared" si="100"/>
        <v>0</v>
      </c>
      <c r="H103" s="1">
        <f t="shared" ref="H103:AA103" si="102">G103</f>
        <v>0</v>
      </c>
      <c r="I103" s="1">
        <f t="shared" si="102"/>
        <v>0</v>
      </c>
      <c r="J103" s="1">
        <f t="shared" si="102"/>
        <v>0</v>
      </c>
      <c r="K103" s="1">
        <f t="shared" si="102"/>
        <v>0</v>
      </c>
      <c r="L103" s="1">
        <f t="shared" si="102"/>
        <v>0</v>
      </c>
      <c r="M103" s="1">
        <f t="shared" si="102"/>
        <v>0</v>
      </c>
      <c r="N103" s="1">
        <f t="shared" si="102"/>
        <v>0</v>
      </c>
      <c r="O103" s="1">
        <f t="shared" si="102"/>
        <v>0</v>
      </c>
      <c r="P103" s="1">
        <f t="shared" si="102"/>
        <v>0</v>
      </c>
      <c r="Q103" s="1">
        <f t="shared" si="102"/>
        <v>0</v>
      </c>
      <c r="R103" s="1">
        <f t="shared" si="102"/>
        <v>0</v>
      </c>
      <c r="S103" s="1">
        <f t="shared" si="102"/>
        <v>0</v>
      </c>
      <c r="T103" s="1">
        <f t="shared" si="102"/>
        <v>0</v>
      </c>
      <c r="U103" s="1">
        <f t="shared" si="102"/>
        <v>0</v>
      </c>
      <c r="V103" s="1">
        <f t="shared" si="102"/>
        <v>0</v>
      </c>
      <c r="W103" s="1">
        <f t="shared" si="102"/>
        <v>0</v>
      </c>
      <c r="X103" s="1">
        <f t="shared" si="102"/>
        <v>0</v>
      </c>
      <c r="Y103" s="1">
        <f t="shared" si="102"/>
        <v>0</v>
      </c>
      <c r="Z103" s="1">
        <f t="shared" si="102"/>
        <v>0</v>
      </c>
      <c r="AA103" s="1">
        <f t="shared" si="102"/>
        <v>0</v>
      </c>
    </row>
    <row r="104" spans="1:27">
      <c r="A104" s="84" t="s">
        <v>281</v>
      </c>
      <c r="B104" s="85" t="s">
        <v>280</v>
      </c>
      <c r="C104" s="85" t="s">
        <v>79</v>
      </c>
      <c r="D104" s="84" t="s">
        <v>87</v>
      </c>
      <c r="E104" s="84">
        <f>VLOOKUP(A104,'2a. SI Pop'!$A$5:$E$198,5,FALSE)</f>
        <v>1</v>
      </c>
      <c r="F104" s="89">
        <v>0</v>
      </c>
      <c r="G104" s="1">
        <f t="shared" si="100"/>
        <v>0</v>
      </c>
      <c r="H104" s="1">
        <f t="shared" ref="H104:AA104" si="103">G104</f>
        <v>0</v>
      </c>
      <c r="I104" s="1">
        <f t="shared" si="103"/>
        <v>0</v>
      </c>
      <c r="J104" s="1">
        <f t="shared" si="103"/>
        <v>0</v>
      </c>
      <c r="K104" s="1">
        <f t="shared" si="103"/>
        <v>0</v>
      </c>
      <c r="L104" s="1">
        <f t="shared" si="103"/>
        <v>0</v>
      </c>
      <c r="M104" s="1">
        <f t="shared" si="103"/>
        <v>0</v>
      </c>
      <c r="N104" s="1">
        <f t="shared" si="103"/>
        <v>0</v>
      </c>
      <c r="O104" s="1">
        <f t="shared" si="103"/>
        <v>0</v>
      </c>
      <c r="P104" s="1">
        <f t="shared" si="103"/>
        <v>0</v>
      </c>
      <c r="Q104" s="1">
        <f t="shared" si="103"/>
        <v>0</v>
      </c>
      <c r="R104" s="1">
        <f t="shared" si="103"/>
        <v>0</v>
      </c>
      <c r="S104" s="1">
        <f t="shared" si="103"/>
        <v>0</v>
      </c>
      <c r="T104" s="1">
        <f t="shared" si="103"/>
        <v>0</v>
      </c>
      <c r="U104" s="1">
        <f t="shared" si="103"/>
        <v>0</v>
      </c>
      <c r="V104" s="1">
        <f t="shared" si="103"/>
        <v>0</v>
      </c>
      <c r="W104" s="1">
        <f t="shared" si="103"/>
        <v>0</v>
      </c>
      <c r="X104" s="1">
        <f t="shared" si="103"/>
        <v>0</v>
      </c>
      <c r="Y104" s="1">
        <f t="shared" si="103"/>
        <v>0</v>
      </c>
      <c r="Z104" s="1">
        <f t="shared" si="103"/>
        <v>0</v>
      </c>
      <c r="AA104" s="1">
        <f t="shared" si="103"/>
        <v>0</v>
      </c>
    </row>
    <row r="105" spans="1:27">
      <c r="A105" s="84" t="s">
        <v>283</v>
      </c>
      <c r="B105" s="85" t="s">
        <v>282</v>
      </c>
      <c r="C105" s="85" t="s">
        <v>79</v>
      </c>
      <c r="D105" s="84" t="s">
        <v>87</v>
      </c>
      <c r="E105" s="84">
        <f>VLOOKUP(A105,'2a. SI Pop'!$A$5:$E$198,5,FALSE)</f>
        <v>1</v>
      </c>
      <c r="F105" s="89">
        <v>0</v>
      </c>
      <c r="G105" s="1">
        <f t="shared" si="100"/>
        <v>0</v>
      </c>
      <c r="H105" s="1">
        <f t="shared" ref="H105:AA105" si="104">G105</f>
        <v>0</v>
      </c>
      <c r="I105" s="1">
        <f t="shared" si="104"/>
        <v>0</v>
      </c>
      <c r="J105" s="1">
        <f t="shared" si="104"/>
        <v>0</v>
      </c>
      <c r="K105" s="1">
        <f t="shared" si="104"/>
        <v>0</v>
      </c>
      <c r="L105" s="1">
        <f t="shared" si="104"/>
        <v>0</v>
      </c>
      <c r="M105" s="1">
        <f t="shared" si="104"/>
        <v>0</v>
      </c>
      <c r="N105" s="1">
        <f t="shared" si="104"/>
        <v>0</v>
      </c>
      <c r="O105" s="1">
        <f t="shared" si="104"/>
        <v>0</v>
      </c>
      <c r="P105" s="1">
        <f t="shared" si="104"/>
        <v>0</v>
      </c>
      <c r="Q105" s="1">
        <f t="shared" si="104"/>
        <v>0</v>
      </c>
      <c r="R105" s="1">
        <f t="shared" si="104"/>
        <v>0</v>
      </c>
      <c r="S105" s="1">
        <f t="shared" si="104"/>
        <v>0</v>
      </c>
      <c r="T105" s="1">
        <f t="shared" si="104"/>
        <v>0</v>
      </c>
      <c r="U105" s="1">
        <f t="shared" si="104"/>
        <v>0</v>
      </c>
      <c r="V105" s="1">
        <f t="shared" si="104"/>
        <v>0</v>
      </c>
      <c r="W105" s="1">
        <f t="shared" si="104"/>
        <v>0</v>
      </c>
      <c r="X105" s="1">
        <f t="shared" si="104"/>
        <v>0</v>
      </c>
      <c r="Y105" s="1">
        <f t="shared" si="104"/>
        <v>0</v>
      </c>
      <c r="Z105" s="1">
        <f t="shared" si="104"/>
        <v>0</v>
      </c>
      <c r="AA105" s="1">
        <f t="shared" si="104"/>
        <v>0</v>
      </c>
    </row>
    <row r="106" spans="1:27">
      <c r="A106" s="84" t="s">
        <v>285</v>
      </c>
      <c r="B106" s="85" t="s">
        <v>284</v>
      </c>
      <c r="C106" s="85" t="s">
        <v>79</v>
      </c>
      <c r="D106" s="84" t="s">
        <v>80</v>
      </c>
      <c r="E106" s="84">
        <f>VLOOKUP(A106,'2a. SI Pop'!$A$5:$E$198,5,FALSE)</f>
        <v>1</v>
      </c>
      <c r="F106" s="89">
        <v>0</v>
      </c>
      <c r="G106" s="1">
        <f t="shared" si="100"/>
        <v>0</v>
      </c>
      <c r="H106" s="1">
        <f t="shared" ref="H106:AA106" si="105">G106</f>
        <v>0</v>
      </c>
      <c r="I106" s="1">
        <f t="shared" si="105"/>
        <v>0</v>
      </c>
      <c r="J106" s="1">
        <f t="shared" si="105"/>
        <v>0</v>
      </c>
      <c r="K106" s="1">
        <f t="shared" si="105"/>
        <v>0</v>
      </c>
      <c r="L106" s="1">
        <f t="shared" si="105"/>
        <v>0</v>
      </c>
      <c r="M106" s="1">
        <f t="shared" si="105"/>
        <v>0</v>
      </c>
      <c r="N106" s="1">
        <f t="shared" si="105"/>
        <v>0</v>
      </c>
      <c r="O106" s="1">
        <f t="shared" si="105"/>
        <v>0</v>
      </c>
      <c r="P106" s="1">
        <f t="shared" si="105"/>
        <v>0</v>
      </c>
      <c r="Q106" s="1">
        <f t="shared" si="105"/>
        <v>0</v>
      </c>
      <c r="R106" s="1">
        <f t="shared" si="105"/>
        <v>0</v>
      </c>
      <c r="S106" s="1">
        <f t="shared" si="105"/>
        <v>0</v>
      </c>
      <c r="T106" s="1">
        <f t="shared" si="105"/>
        <v>0</v>
      </c>
      <c r="U106" s="1">
        <f t="shared" si="105"/>
        <v>0</v>
      </c>
      <c r="V106" s="1">
        <f t="shared" si="105"/>
        <v>0</v>
      </c>
      <c r="W106" s="1">
        <f t="shared" si="105"/>
        <v>0</v>
      </c>
      <c r="X106" s="1">
        <f t="shared" si="105"/>
        <v>0</v>
      </c>
      <c r="Y106" s="1">
        <f t="shared" si="105"/>
        <v>0</v>
      </c>
      <c r="Z106" s="1">
        <f t="shared" si="105"/>
        <v>0</v>
      </c>
      <c r="AA106" s="1">
        <f t="shared" si="105"/>
        <v>0</v>
      </c>
    </row>
    <row r="107" spans="1:27">
      <c r="A107" s="84" t="s">
        <v>287</v>
      </c>
      <c r="B107" s="85" t="s">
        <v>286</v>
      </c>
      <c r="C107" s="85" t="s">
        <v>83</v>
      </c>
      <c r="D107" s="84" t="s">
        <v>75</v>
      </c>
      <c r="E107" s="84">
        <f>VLOOKUP(A107,'2a. SI Pop'!$A$5:$E$198,5,FALSE)</f>
        <v>3</v>
      </c>
      <c r="F107" s="89">
        <v>6289122.7039999999</v>
      </c>
      <c r="G107" s="1">
        <f t="shared" si="100"/>
        <v>6289122.7039999999</v>
      </c>
      <c r="H107" s="1">
        <f t="shared" ref="H107:AA107" si="106">G107</f>
        <v>6289122.7039999999</v>
      </c>
      <c r="I107" s="1">
        <f t="shared" si="106"/>
        <v>6289122.7039999999</v>
      </c>
      <c r="J107" s="1">
        <f t="shared" si="106"/>
        <v>6289122.7039999999</v>
      </c>
      <c r="K107" s="1">
        <f t="shared" si="106"/>
        <v>6289122.7039999999</v>
      </c>
      <c r="L107" s="1">
        <f t="shared" si="106"/>
        <v>6289122.7039999999</v>
      </c>
      <c r="M107" s="1">
        <f t="shared" si="106"/>
        <v>6289122.7039999999</v>
      </c>
      <c r="N107" s="1">
        <f t="shared" si="106"/>
        <v>6289122.7039999999</v>
      </c>
      <c r="O107" s="1">
        <f t="shared" si="106"/>
        <v>6289122.7039999999</v>
      </c>
      <c r="P107" s="1">
        <f t="shared" si="106"/>
        <v>6289122.7039999999</v>
      </c>
      <c r="Q107" s="1">
        <f t="shared" si="106"/>
        <v>6289122.7039999999</v>
      </c>
      <c r="R107" s="1">
        <f t="shared" si="106"/>
        <v>6289122.7039999999</v>
      </c>
      <c r="S107" s="1">
        <f t="shared" si="106"/>
        <v>6289122.7039999999</v>
      </c>
      <c r="T107" s="1">
        <f t="shared" si="106"/>
        <v>6289122.7039999999</v>
      </c>
      <c r="U107" s="1">
        <f t="shared" si="106"/>
        <v>6289122.7039999999</v>
      </c>
      <c r="V107" s="1">
        <f t="shared" si="106"/>
        <v>6289122.7039999999</v>
      </c>
      <c r="W107" s="1">
        <f t="shared" si="106"/>
        <v>6289122.7039999999</v>
      </c>
      <c r="X107" s="1">
        <f t="shared" si="106"/>
        <v>6289122.7039999999</v>
      </c>
      <c r="Y107" s="1">
        <f t="shared" si="106"/>
        <v>6289122.7039999999</v>
      </c>
      <c r="Z107" s="1">
        <f t="shared" si="106"/>
        <v>6289122.7039999999</v>
      </c>
      <c r="AA107" s="1">
        <f t="shared" si="106"/>
        <v>6289122.7039999999</v>
      </c>
    </row>
    <row r="108" spans="1:27">
      <c r="A108" s="84" t="s">
        <v>289</v>
      </c>
      <c r="B108" s="85" t="s">
        <v>288</v>
      </c>
      <c r="C108" s="85" t="s">
        <v>83</v>
      </c>
      <c r="D108" s="84" t="s">
        <v>75</v>
      </c>
      <c r="E108" s="84">
        <f>VLOOKUP(A108,'2a. SI Pop'!$A$5:$E$198,5,FALSE)</f>
        <v>3</v>
      </c>
      <c r="F108" s="89">
        <v>1752761.9430000002</v>
      </c>
      <c r="G108" s="1">
        <f t="shared" si="100"/>
        <v>1752761.9430000002</v>
      </c>
      <c r="H108" s="1">
        <f t="shared" ref="H108:AA108" si="107">G108</f>
        <v>1752761.9430000002</v>
      </c>
      <c r="I108" s="1">
        <f t="shared" si="107"/>
        <v>1752761.9430000002</v>
      </c>
      <c r="J108" s="1">
        <f t="shared" si="107"/>
        <v>1752761.9430000002</v>
      </c>
      <c r="K108" s="1">
        <f t="shared" si="107"/>
        <v>1752761.9430000002</v>
      </c>
      <c r="L108" s="1">
        <f t="shared" si="107"/>
        <v>1752761.9430000002</v>
      </c>
      <c r="M108" s="1">
        <f t="shared" si="107"/>
        <v>1752761.9430000002</v>
      </c>
      <c r="N108" s="1">
        <f t="shared" si="107"/>
        <v>1752761.9430000002</v>
      </c>
      <c r="O108" s="1">
        <f t="shared" si="107"/>
        <v>1752761.9430000002</v>
      </c>
      <c r="P108" s="1">
        <f t="shared" si="107"/>
        <v>1752761.9430000002</v>
      </c>
      <c r="Q108" s="1">
        <f t="shared" si="107"/>
        <v>1752761.9430000002</v>
      </c>
      <c r="R108" s="1">
        <f t="shared" si="107"/>
        <v>1752761.9430000002</v>
      </c>
      <c r="S108" s="1">
        <f t="shared" si="107"/>
        <v>1752761.9430000002</v>
      </c>
      <c r="T108" s="1">
        <f t="shared" si="107"/>
        <v>1752761.9430000002</v>
      </c>
      <c r="U108" s="1">
        <f t="shared" si="107"/>
        <v>1752761.9430000002</v>
      </c>
      <c r="V108" s="1">
        <f t="shared" si="107"/>
        <v>1752761.9430000002</v>
      </c>
      <c r="W108" s="1">
        <f t="shared" si="107"/>
        <v>1752761.9430000002</v>
      </c>
      <c r="X108" s="1">
        <f t="shared" si="107"/>
        <v>1752761.9430000002</v>
      </c>
      <c r="Y108" s="1">
        <f t="shared" si="107"/>
        <v>1752761.9430000002</v>
      </c>
      <c r="Z108" s="1">
        <f t="shared" si="107"/>
        <v>1752761.9430000002</v>
      </c>
      <c r="AA108" s="1">
        <f t="shared" si="107"/>
        <v>1752761.9430000002</v>
      </c>
    </row>
    <row r="109" spans="1:27">
      <c r="A109" s="84" t="s">
        <v>291</v>
      </c>
      <c r="B109" s="85" t="s">
        <v>290</v>
      </c>
      <c r="C109" s="85" t="s">
        <v>99</v>
      </c>
      <c r="D109" s="84" t="s">
        <v>80</v>
      </c>
      <c r="E109" s="84">
        <f>VLOOKUP(A109,'2a. SI Pop'!$A$5:$E$198,5,FALSE)</f>
        <v>2</v>
      </c>
      <c r="F109" s="89">
        <v>0</v>
      </c>
      <c r="G109" s="1">
        <f t="shared" si="100"/>
        <v>0</v>
      </c>
      <c r="H109" s="1">
        <f t="shared" ref="H109:AA109" si="108">G109</f>
        <v>0</v>
      </c>
      <c r="I109" s="1">
        <f t="shared" si="108"/>
        <v>0</v>
      </c>
      <c r="J109" s="1">
        <f t="shared" si="108"/>
        <v>0</v>
      </c>
      <c r="K109" s="1">
        <f t="shared" si="108"/>
        <v>0</v>
      </c>
      <c r="L109" s="1">
        <f t="shared" si="108"/>
        <v>0</v>
      </c>
      <c r="M109" s="1">
        <f t="shared" si="108"/>
        <v>0</v>
      </c>
      <c r="N109" s="1">
        <f t="shared" si="108"/>
        <v>0</v>
      </c>
      <c r="O109" s="1">
        <f t="shared" si="108"/>
        <v>0</v>
      </c>
      <c r="P109" s="1">
        <f t="shared" si="108"/>
        <v>0</v>
      </c>
      <c r="Q109" s="1">
        <f t="shared" si="108"/>
        <v>0</v>
      </c>
      <c r="R109" s="1">
        <f t="shared" si="108"/>
        <v>0</v>
      </c>
      <c r="S109" s="1">
        <f t="shared" si="108"/>
        <v>0</v>
      </c>
      <c r="T109" s="1">
        <f t="shared" si="108"/>
        <v>0</v>
      </c>
      <c r="U109" s="1">
        <f t="shared" si="108"/>
        <v>0</v>
      </c>
      <c r="V109" s="1">
        <f t="shared" si="108"/>
        <v>0</v>
      </c>
      <c r="W109" s="1">
        <f t="shared" si="108"/>
        <v>0</v>
      </c>
      <c r="X109" s="1">
        <f t="shared" si="108"/>
        <v>0</v>
      </c>
      <c r="Y109" s="1">
        <f t="shared" si="108"/>
        <v>0</v>
      </c>
      <c r="Z109" s="1">
        <f t="shared" si="108"/>
        <v>0</v>
      </c>
      <c r="AA109" s="1">
        <f t="shared" si="108"/>
        <v>0</v>
      </c>
    </row>
    <row r="110" spans="1:27">
      <c r="A110" s="84" t="s">
        <v>293</v>
      </c>
      <c r="B110" s="85" t="s">
        <v>292</v>
      </c>
      <c r="C110" s="85" t="s">
        <v>110</v>
      </c>
      <c r="D110" s="84" t="s">
        <v>80</v>
      </c>
      <c r="E110" s="84">
        <f>VLOOKUP(A110,'2a. SI Pop'!$A$5:$E$198,5,FALSE)</f>
        <v>2</v>
      </c>
      <c r="F110" s="89">
        <v>0</v>
      </c>
      <c r="G110" s="1">
        <f t="shared" si="100"/>
        <v>0</v>
      </c>
      <c r="H110" s="1">
        <f t="shared" ref="H110:AA110" si="109">G110</f>
        <v>0</v>
      </c>
      <c r="I110" s="1">
        <f t="shared" si="109"/>
        <v>0</v>
      </c>
      <c r="J110" s="1">
        <f t="shared" si="109"/>
        <v>0</v>
      </c>
      <c r="K110" s="1">
        <f t="shared" si="109"/>
        <v>0</v>
      </c>
      <c r="L110" s="1">
        <f t="shared" si="109"/>
        <v>0</v>
      </c>
      <c r="M110" s="1">
        <f t="shared" si="109"/>
        <v>0</v>
      </c>
      <c r="N110" s="1">
        <f t="shared" si="109"/>
        <v>0</v>
      </c>
      <c r="O110" s="1">
        <f t="shared" si="109"/>
        <v>0</v>
      </c>
      <c r="P110" s="1">
        <f t="shared" si="109"/>
        <v>0</v>
      </c>
      <c r="Q110" s="1">
        <f t="shared" si="109"/>
        <v>0</v>
      </c>
      <c r="R110" s="1">
        <f t="shared" si="109"/>
        <v>0</v>
      </c>
      <c r="S110" s="1">
        <f t="shared" si="109"/>
        <v>0</v>
      </c>
      <c r="T110" s="1">
        <f t="shared" si="109"/>
        <v>0</v>
      </c>
      <c r="U110" s="1">
        <f t="shared" si="109"/>
        <v>0</v>
      </c>
      <c r="V110" s="1">
        <f t="shared" si="109"/>
        <v>0</v>
      </c>
      <c r="W110" s="1">
        <f t="shared" si="109"/>
        <v>0</v>
      </c>
      <c r="X110" s="1">
        <f t="shared" si="109"/>
        <v>0</v>
      </c>
      <c r="Y110" s="1">
        <f t="shared" si="109"/>
        <v>0</v>
      </c>
      <c r="Z110" s="1">
        <f t="shared" si="109"/>
        <v>0</v>
      </c>
      <c r="AA110" s="1">
        <f t="shared" si="109"/>
        <v>0</v>
      </c>
    </row>
    <row r="111" spans="1:27">
      <c r="A111" s="84" t="s">
        <v>295</v>
      </c>
      <c r="B111" s="85" t="s">
        <v>294</v>
      </c>
      <c r="C111" s="85" t="s">
        <v>83</v>
      </c>
      <c r="D111" s="84" t="s">
        <v>75</v>
      </c>
      <c r="E111" s="84">
        <f>VLOOKUP(A111,'2a. SI Pop'!$A$5:$E$198,5,FALSE)</f>
        <v>3</v>
      </c>
      <c r="F111" s="89">
        <v>3736933.3309999998</v>
      </c>
      <c r="G111" s="1">
        <f t="shared" si="100"/>
        <v>3736933.3309999998</v>
      </c>
      <c r="H111" s="1">
        <f t="shared" ref="H111:AA111" si="110">G111</f>
        <v>3736933.3309999998</v>
      </c>
      <c r="I111" s="1">
        <f t="shared" si="110"/>
        <v>3736933.3309999998</v>
      </c>
      <c r="J111" s="1">
        <f t="shared" si="110"/>
        <v>3736933.3309999998</v>
      </c>
      <c r="K111" s="1">
        <f t="shared" si="110"/>
        <v>3736933.3309999998</v>
      </c>
      <c r="L111" s="1">
        <f t="shared" si="110"/>
        <v>3736933.3309999998</v>
      </c>
      <c r="M111" s="1">
        <f t="shared" si="110"/>
        <v>3736933.3309999998</v>
      </c>
      <c r="N111" s="1">
        <f t="shared" si="110"/>
        <v>3736933.3309999998</v>
      </c>
      <c r="O111" s="1">
        <f t="shared" si="110"/>
        <v>3736933.3309999998</v>
      </c>
      <c r="P111" s="1">
        <f t="shared" si="110"/>
        <v>3736933.3309999998</v>
      </c>
      <c r="Q111" s="1">
        <f t="shared" si="110"/>
        <v>3736933.3309999998</v>
      </c>
      <c r="R111" s="1">
        <f t="shared" si="110"/>
        <v>3736933.3309999998</v>
      </c>
      <c r="S111" s="1">
        <f t="shared" si="110"/>
        <v>3736933.3309999998</v>
      </c>
      <c r="T111" s="1">
        <f t="shared" si="110"/>
        <v>3736933.3309999998</v>
      </c>
      <c r="U111" s="1">
        <f t="shared" si="110"/>
        <v>3736933.3309999998</v>
      </c>
      <c r="V111" s="1">
        <f t="shared" si="110"/>
        <v>3736933.3309999998</v>
      </c>
      <c r="W111" s="1">
        <f t="shared" si="110"/>
        <v>3736933.3309999998</v>
      </c>
      <c r="X111" s="1">
        <f t="shared" si="110"/>
        <v>3736933.3309999998</v>
      </c>
      <c r="Y111" s="1">
        <f t="shared" si="110"/>
        <v>3736933.3309999998</v>
      </c>
      <c r="Z111" s="1">
        <f t="shared" si="110"/>
        <v>3736933.3309999998</v>
      </c>
      <c r="AA111" s="1">
        <f t="shared" si="110"/>
        <v>3736933.3309999998</v>
      </c>
    </row>
    <row r="112" spans="1:27">
      <c r="A112" s="84" t="s">
        <v>297</v>
      </c>
      <c r="B112" s="85" t="s">
        <v>296</v>
      </c>
      <c r="C112" s="85" t="s">
        <v>79</v>
      </c>
      <c r="D112" s="84" t="s">
        <v>87</v>
      </c>
      <c r="E112" s="84">
        <f>VLOOKUP(A112,'2a. SI Pop'!$A$5:$E$198,5,FALSE)</f>
        <v>1</v>
      </c>
      <c r="F112" s="89">
        <v>0</v>
      </c>
      <c r="G112" s="1">
        <f t="shared" si="100"/>
        <v>0</v>
      </c>
      <c r="H112" s="1">
        <f t="shared" ref="H112:AA112" si="111">G112</f>
        <v>0</v>
      </c>
      <c r="I112" s="1">
        <f t="shared" si="111"/>
        <v>0</v>
      </c>
      <c r="J112" s="1">
        <f t="shared" si="111"/>
        <v>0</v>
      </c>
      <c r="K112" s="1">
        <f t="shared" si="111"/>
        <v>0</v>
      </c>
      <c r="L112" s="1">
        <f t="shared" si="111"/>
        <v>0</v>
      </c>
      <c r="M112" s="1">
        <f t="shared" si="111"/>
        <v>0</v>
      </c>
      <c r="N112" s="1">
        <f t="shared" si="111"/>
        <v>0</v>
      </c>
      <c r="O112" s="1">
        <f t="shared" si="111"/>
        <v>0</v>
      </c>
      <c r="P112" s="1">
        <f t="shared" si="111"/>
        <v>0</v>
      </c>
      <c r="Q112" s="1">
        <f t="shared" si="111"/>
        <v>0</v>
      </c>
      <c r="R112" s="1">
        <f t="shared" si="111"/>
        <v>0</v>
      </c>
      <c r="S112" s="1">
        <f t="shared" si="111"/>
        <v>0</v>
      </c>
      <c r="T112" s="1">
        <f t="shared" si="111"/>
        <v>0</v>
      </c>
      <c r="U112" s="1">
        <f t="shared" si="111"/>
        <v>0</v>
      </c>
      <c r="V112" s="1">
        <f t="shared" si="111"/>
        <v>0</v>
      </c>
      <c r="W112" s="1">
        <f t="shared" si="111"/>
        <v>0</v>
      </c>
      <c r="X112" s="1">
        <f t="shared" si="111"/>
        <v>0</v>
      </c>
      <c r="Y112" s="1">
        <f t="shared" si="111"/>
        <v>0</v>
      </c>
      <c r="Z112" s="1">
        <f t="shared" si="111"/>
        <v>0</v>
      </c>
      <c r="AA112" s="1">
        <f t="shared" si="111"/>
        <v>0</v>
      </c>
    </row>
    <row r="113" spans="1:27">
      <c r="A113" s="84" t="s">
        <v>299</v>
      </c>
      <c r="B113" s="85" t="s">
        <v>298</v>
      </c>
      <c r="C113" s="85" t="s">
        <v>99</v>
      </c>
      <c r="D113" s="84" t="s">
        <v>80</v>
      </c>
      <c r="E113" s="84">
        <f>VLOOKUP(A113,'2a. SI Pop'!$A$5:$E$198,5,FALSE)</f>
        <v>1</v>
      </c>
      <c r="F113" s="89">
        <v>0</v>
      </c>
      <c r="G113" s="1">
        <f t="shared" si="100"/>
        <v>0</v>
      </c>
      <c r="H113" s="1">
        <f t="shared" ref="H113:AA113" si="112">G113</f>
        <v>0</v>
      </c>
      <c r="I113" s="1">
        <f t="shared" si="112"/>
        <v>0</v>
      </c>
      <c r="J113" s="1">
        <f t="shared" si="112"/>
        <v>0</v>
      </c>
      <c r="K113" s="1">
        <f t="shared" si="112"/>
        <v>0</v>
      </c>
      <c r="L113" s="1">
        <f t="shared" si="112"/>
        <v>0</v>
      </c>
      <c r="M113" s="1">
        <f t="shared" si="112"/>
        <v>0</v>
      </c>
      <c r="N113" s="1">
        <f t="shared" si="112"/>
        <v>0</v>
      </c>
      <c r="O113" s="1">
        <f t="shared" si="112"/>
        <v>0</v>
      </c>
      <c r="P113" s="1">
        <f t="shared" si="112"/>
        <v>0</v>
      </c>
      <c r="Q113" s="1">
        <f t="shared" si="112"/>
        <v>0</v>
      </c>
      <c r="R113" s="1">
        <f t="shared" si="112"/>
        <v>0</v>
      </c>
      <c r="S113" s="1">
        <f t="shared" si="112"/>
        <v>0</v>
      </c>
      <c r="T113" s="1">
        <f t="shared" si="112"/>
        <v>0</v>
      </c>
      <c r="U113" s="1">
        <f t="shared" si="112"/>
        <v>0</v>
      </c>
      <c r="V113" s="1">
        <f t="shared" si="112"/>
        <v>0</v>
      </c>
      <c r="W113" s="1">
        <f t="shared" si="112"/>
        <v>0</v>
      </c>
      <c r="X113" s="1">
        <f t="shared" si="112"/>
        <v>0</v>
      </c>
      <c r="Y113" s="1">
        <f t="shared" si="112"/>
        <v>0</v>
      </c>
      <c r="Z113" s="1">
        <f t="shared" si="112"/>
        <v>0</v>
      </c>
      <c r="AA113" s="1">
        <f t="shared" si="112"/>
        <v>0</v>
      </c>
    </row>
    <row r="114" spans="1:27">
      <c r="A114" s="84" t="s">
        <v>301</v>
      </c>
      <c r="B114" s="85" t="s">
        <v>300</v>
      </c>
      <c r="C114" s="85" t="s">
        <v>83</v>
      </c>
      <c r="D114" s="84" t="s">
        <v>84</v>
      </c>
      <c r="E114" s="84">
        <f>VLOOKUP(A114,'2a. SI Pop'!$A$5:$E$198,5,FALSE)</f>
        <v>3</v>
      </c>
      <c r="F114" s="89">
        <v>1576768.9720000001</v>
      </c>
      <c r="G114" s="1">
        <f t="shared" si="100"/>
        <v>1576768.9720000001</v>
      </c>
      <c r="H114" s="1">
        <f t="shared" ref="H114:AA114" si="113">G114</f>
        <v>1576768.9720000001</v>
      </c>
      <c r="I114" s="1">
        <f t="shared" si="113"/>
        <v>1576768.9720000001</v>
      </c>
      <c r="J114" s="1">
        <f t="shared" si="113"/>
        <v>1576768.9720000001</v>
      </c>
      <c r="K114" s="1">
        <f t="shared" si="113"/>
        <v>1576768.9720000001</v>
      </c>
      <c r="L114" s="1">
        <f t="shared" si="113"/>
        <v>1576768.9720000001</v>
      </c>
      <c r="M114" s="1">
        <f t="shared" si="113"/>
        <v>1576768.9720000001</v>
      </c>
      <c r="N114" s="1">
        <f t="shared" si="113"/>
        <v>1576768.9720000001</v>
      </c>
      <c r="O114" s="1">
        <f t="shared" si="113"/>
        <v>1576768.9720000001</v>
      </c>
      <c r="P114" s="1">
        <f t="shared" si="113"/>
        <v>1576768.9720000001</v>
      </c>
      <c r="Q114" s="1">
        <f t="shared" si="113"/>
        <v>1576768.9720000001</v>
      </c>
      <c r="R114" s="1">
        <f t="shared" si="113"/>
        <v>1576768.9720000001</v>
      </c>
      <c r="S114" s="1">
        <f t="shared" si="113"/>
        <v>1576768.9720000001</v>
      </c>
      <c r="T114" s="1">
        <f t="shared" si="113"/>
        <v>1576768.9720000001</v>
      </c>
      <c r="U114" s="1">
        <f t="shared" si="113"/>
        <v>1576768.9720000001</v>
      </c>
      <c r="V114" s="1">
        <f t="shared" si="113"/>
        <v>1576768.9720000001</v>
      </c>
      <c r="W114" s="1">
        <f t="shared" si="113"/>
        <v>1576768.9720000001</v>
      </c>
      <c r="X114" s="1">
        <f t="shared" si="113"/>
        <v>1576768.9720000001</v>
      </c>
      <c r="Y114" s="1">
        <f t="shared" si="113"/>
        <v>1576768.9720000001</v>
      </c>
      <c r="Z114" s="1">
        <f t="shared" si="113"/>
        <v>1576768.9720000001</v>
      </c>
      <c r="AA114" s="1">
        <f t="shared" si="113"/>
        <v>1576768.9720000001</v>
      </c>
    </row>
    <row r="115" spans="1:27">
      <c r="A115" s="84" t="s">
        <v>303</v>
      </c>
      <c r="B115" s="85" t="s">
        <v>302</v>
      </c>
      <c r="C115" s="85" t="s">
        <v>83</v>
      </c>
      <c r="D115" s="84" t="s">
        <v>87</v>
      </c>
      <c r="E115" s="84">
        <f>VLOOKUP(A115,'2a. SI Pop'!$A$5:$E$198,5,FALSE)</f>
        <v>1</v>
      </c>
      <c r="F115" s="89">
        <v>0</v>
      </c>
      <c r="G115" s="1">
        <f t="shared" si="100"/>
        <v>0</v>
      </c>
      <c r="H115" s="1">
        <f t="shared" ref="H115:AA115" si="114">G115</f>
        <v>0</v>
      </c>
      <c r="I115" s="1">
        <f t="shared" si="114"/>
        <v>0</v>
      </c>
      <c r="J115" s="1">
        <f t="shared" si="114"/>
        <v>0</v>
      </c>
      <c r="K115" s="1">
        <f t="shared" si="114"/>
        <v>0</v>
      </c>
      <c r="L115" s="1">
        <f t="shared" si="114"/>
        <v>0</v>
      </c>
      <c r="M115" s="1">
        <f t="shared" si="114"/>
        <v>0</v>
      </c>
      <c r="N115" s="1">
        <f t="shared" si="114"/>
        <v>0</v>
      </c>
      <c r="O115" s="1">
        <f t="shared" si="114"/>
        <v>0</v>
      </c>
      <c r="P115" s="1">
        <f t="shared" si="114"/>
        <v>0</v>
      </c>
      <c r="Q115" s="1">
        <f t="shared" si="114"/>
        <v>0</v>
      </c>
      <c r="R115" s="1">
        <f t="shared" si="114"/>
        <v>0</v>
      </c>
      <c r="S115" s="1">
        <f t="shared" si="114"/>
        <v>0</v>
      </c>
      <c r="T115" s="1">
        <f t="shared" si="114"/>
        <v>0</v>
      </c>
      <c r="U115" s="1">
        <f t="shared" si="114"/>
        <v>0</v>
      </c>
      <c r="V115" s="1">
        <f t="shared" si="114"/>
        <v>0</v>
      </c>
      <c r="W115" s="1">
        <f t="shared" si="114"/>
        <v>0</v>
      </c>
      <c r="X115" s="1">
        <f t="shared" si="114"/>
        <v>0</v>
      </c>
      <c r="Y115" s="1">
        <f t="shared" si="114"/>
        <v>0</v>
      </c>
      <c r="Z115" s="1">
        <f t="shared" si="114"/>
        <v>0</v>
      </c>
      <c r="AA115" s="1">
        <f t="shared" si="114"/>
        <v>0</v>
      </c>
    </row>
    <row r="116" spans="1:27">
      <c r="A116" s="84" t="s">
        <v>305</v>
      </c>
      <c r="B116" s="85" t="s">
        <v>304</v>
      </c>
      <c r="C116" s="85" t="s">
        <v>92</v>
      </c>
      <c r="D116" s="84" t="s">
        <v>80</v>
      </c>
      <c r="E116" s="84">
        <f>VLOOKUP(A116,'2a. SI Pop'!$A$5:$E$198,5,FALSE)</f>
        <v>2</v>
      </c>
      <c r="F116" s="89">
        <v>10553005.986</v>
      </c>
      <c r="G116" s="1">
        <f t="shared" si="100"/>
        <v>10553005.986</v>
      </c>
      <c r="H116" s="1">
        <f t="shared" ref="H116:AA116" si="115">G116</f>
        <v>10553005.986</v>
      </c>
      <c r="I116" s="1">
        <f t="shared" si="115"/>
        <v>10553005.986</v>
      </c>
      <c r="J116" s="1">
        <f t="shared" si="115"/>
        <v>10553005.986</v>
      </c>
      <c r="K116" s="1">
        <f t="shared" si="115"/>
        <v>10553005.986</v>
      </c>
      <c r="L116" s="1">
        <f t="shared" si="115"/>
        <v>10553005.986</v>
      </c>
      <c r="M116" s="1">
        <f t="shared" si="115"/>
        <v>10553005.986</v>
      </c>
      <c r="N116" s="1">
        <f t="shared" si="115"/>
        <v>10553005.986</v>
      </c>
      <c r="O116" s="1">
        <f t="shared" si="115"/>
        <v>10553005.986</v>
      </c>
      <c r="P116" s="1">
        <f t="shared" si="115"/>
        <v>10553005.986</v>
      </c>
      <c r="Q116" s="1">
        <f t="shared" si="115"/>
        <v>10553005.986</v>
      </c>
      <c r="R116" s="1">
        <f t="shared" si="115"/>
        <v>10553005.986</v>
      </c>
      <c r="S116" s="1">
        <f t="shared" si="115"/>
        <v>10553005.986</v>
      </c>
      <c r="T116" s="1">
        <f t="shared" si="115"/>
        <v>10553005.986</v>
      </c>
      <c r="U116" s="1">
        <f t="shared" si="115"/>
        <v>10553005.986</v>
      </c>
      <c r="V116" s="1">
        <f t="shared" si="115"/>
        <v>10553005.986</v>
      </c>
      <c r="W116" s="1">
        <f t="shared" si="115"/>
        <v>10553005.986</v>
      </c>
      <c r="X116" s="1">
        <f t="shared" si="115"/>
        <v>10553005.986</v>
      </c>
      <c r="Y116" s="1">
        <f t="shared" si="115"/>
        <v>10553005.986</v>
      </c>
      <c r="Z116" s="1">
        <f t="shared" si="115"/>
        <v>10553005.986</v>
      </c>
      <c r="AA116" s="1">
        <f t="shared" si="115"/>
        <v>10553005.986</v>
      </c>
    </row>
    <row r="117" spans="1:27">
      <c r="A117" s="84" t="s">
        <v>307</v>
      </c>
      <c r="B117" s="85" t="s">
        <v>306</v>
      </c>
      <c r="C117" s="85" t="s">
        <v>99</v>
      </c>
      <c r="D117" s="84" t="s">
        <v>84</v>
      </c>
      <c r="E117" s="84">
        <f>VLOOKUP(A117,'2a. SI Pop'!$A$5:$E$198,5,FALSE)</f>
        <v>1</v>
      </c>
      <c r="F117" s="89">
        <v>0</v>
      </c>
      <c r="G117" s="1">
        <f t="shared" si="100"/>
        <v>0</v>
      </c>
      <c r="H117" s="1">
        <f t="shared" ref="H117:AA117" si="116">G117</f>
        <v>0</v>
      </c>
      <c r="I117" s="1">
        <f t="shared" si="116"/>
        <v>0</v>
      </c>
      <c r="J117" s="1">
        <f t="shared" si="116"/>
        <v>0</v>
      </c>
      <c r="K117" s="1">
        <f t="shared" si="116"/>
        <v>0</v>
      </c>
      <c r="L117" s="1">
        <f t="shared" si="116"/>
        <v>0</v>
      </c>
      <c r="M117" s="1">
        <f t="shared" si="116"/>
        <v>0</v>
      </c>
      <c r="N117" s="1">
        <f t="shared" si="116"/>
        <v>0</v>
      </c>
      <c r="O117" s="1">
        <f t="shared" si="116"/>
        <v>0</v>
      </c>
      <c r="P117" s="1">
        <f t="shared" si="116"/>
        <v>0</v>
      </c>
      <c r="Q117" s="1">
        <f t="shared" si="116"/>
        <v>0</v>
      </c>
      <c r="R117" s="1">
        <f t="shared" si="116"/>
        <v>0</v>
      </c>
      <c r="S117" s="1">
        <f t="shared" si="116"/>
        <v>0</v>
      </c>
      <c r="T117" s="1">
        <f t="shared" si="116"/>
        <v>0</v>
      </c>
      <c r="U117" s="1">
        <f t="shared" si="116"/>
        <v>0</v>
      </c>
      <c r="V117" s="1">
        <f t="shared" si="116"/>
        <v>0</v>
      </c>
      <c r="W117" s="1">
        <f t="shared" si="116"/>
        <v>0</v>
      </c>
      <c r="X117" s="1">
        <f t="shared" si="116"/>
        <v>0</v>
      </c>
      <c r="Y117" s="1">
        <f t="shared" si="116"/>
        <v>0</v>
      </c>
      <c r="Z117" s="1">
        <f t="shared" si="116"/>
        <v>0</v>
      </c>
      <c r="AA117" s="1">
        <f t="shared" si="116"/>
        <v>0</v>
      </c>
    </row>
    <row r="118" spans="1:27">
      <c r="A118" s="84" t="s">
        <v>309</v>
      </c>
      <c r="B118" s="85" t="s">
        <v>308</v>
      </c>
      <c r="C118" s="85" t="s">
        <v>79</v>
      </c>
      <c r="D118" s="84" t="s">
        <v>84</v>
      </c>
      <c r="E118" s="84">
        <f>VLOOKUP(A118,'2a. SI Pop'!$A$5:$E$198,5,FALSE)</f>
        <v>1</v>
      </c>
      <c r="F118" s="89">
        <v>0</v>
      </c>
      <c r="G118" s="1">
        <f t="shared" si="100"/>
        <v>0</v>
      </c>
      <c r="H118" s="1">
        <f t="shared" ref="H118:AA118" si="117">G118</f>
        <v>0</v>
      </c>
      <c r="I118" s="1">
        <f t="shared" si="117"/>
        <v>0</v>
      </c>
      <c r="J118" s="1">
        <f t="shared" si="117"/>
        <v>0</v>
      </c>
      <c r="K118" s="1">
        <f t="shared" si="117"/>
        <v>0</v>
      </c>
      <c r="L118" s="1">
        <f t="shared" si="117"/>
        <v>0</v>
      </c>
      <c r="M118" s="1">
        <f t="shared" si="117"/>
        <v>0</v>
      </c>
      <c r="N118" s="1">
        <f t="shared" si="117"/>
        <v>0</v>
      </c>
      <c r="O118" s="1">
        <f t="shared" si="117"/>
        <v>0</v>
      </c>
      <c r="P118" s="1">
        <f t="shared" si="117"/>
        <v>0</v>
      </c>
      <c r="Q118" s="1">
        <f t="shared" si="117"/>
        <v>0</v>
      </c>
      <c r="R118" s="1">
        <f t="shared" si="117"/>
        <v>0</v>
      </c>
      <c r="S118" s="1">
        <f t="shared" si="117"/>
        <v>0</v>
      </c>
      <c r="T118" s="1">
        <f t="shared" si="117"/>
        <v>0</v>
      </c>
      <c r="U118" s="1">
        <f t="shared" si="117"/>
        <v>0</v>
      </c>
      <c r="V118" s="1">
        <f t="shared" si="117"/>
        <v>0</v>
      </c>
      <c r="W118" s="1">
        <f t="shared" si="117"/>
        <v>0</v>
      </c>
      <c r="X118" s="1">
        <f t="shared" si="117"/>
        <v>0</v>
      </c>
      <c r="Y118" s="1">
        <f t="shared" si="117"/>
        <v>0</v>
      </c>
      <c r="Z118" s="1">
        <f t="shared" si="117"/>
        <v>0</v>
      </c>
      <c r="AA118" s="1">
        <f t="shared" si="117"/>
        <v>0</v>
      </c>
    </row>
    <row r="119" spans="1:27">
      <c r="A119" s="84" t="s">
        <v>311</v>
      </c>
      <c r="B119" s="85" t="s">
        <v>310</v>
      </c>
      <c r="C119" s="85" t="s">
        <v>79</v>
      </c>
      <c r="D119" s="84" t="s">
        <v>87</v>
      </c>
      <c r="E119" s="84">
        <f>VLOOKUP(A119,'2a. SI Pop'!$A$5:$E$198,5,FALSE)</f>
        <v>1</v>
      </c>
      <c r="F119" s="89">
        <v>0</v>
      </c>
      <c r="G119" s="1">
        <f t="shared" si="100"/>
        <v>0</v>
      </c>
      <c r="H119" s="1">
        <f t="shared" ref="H119:AA119" si="118">G119</f>
        <v>0</v>
      </c>
      <c r="I119" s="1">
        <f t="shared" si="118"/>
        <v>0</v>
      </c>
      <c r="J119" s="1">
        <f t="shared" si="118"/>
        <v>0</v>
      </c>
      <c r="K119" s="1">
        <f t="shared" si="118"/>
        <v>0</v>
      </c>
      <c r="L119" s="1">
        <f t="shared" si="118"/>
        <v>0</v>
      </c>
      <c r="M119" s="1">
        <f t="shared" si="118"/>
        <v>0</v>
      </c>
      <c r="N119" s="1">
        <f t="shared" si="118"/>
        <v>0</v>
      </c>
      <c r="O119" s="1">
        <f t="shared" si="118"/>
        <v>0</v>
      </c>
      <c r="P119" s="1">
        <f t="shared" si="118"/>
        <v>0</v>
      </c>
      <c r="Q119" s="1">
        <f t="shared" si="118"/>
        <v>0</v>
      </c>
      <c r="R119" s="1">
        <f t="shared" si="118"/>
        <v>0</v>
      </c>
      <c r="S119" s="1">
        <f t="shared" si="118"/>
        <v>0</v>
      </c>
      <c r="T119" s="1">
        <f t="shared" si="118"/>
        <v>0</v>
      </c>
      <c r="U119" s="1">
        <f t="shared" si="118"/>
        <v>0</v>
      </c>
      <c r="V119" s="1">
        <f t="shared" si="118"/>
        <v>0</v>
      </c>
      <c r="W119" s="1">
        <f t="shared" si="118"/>
        <v>0</v>
      </c>
      <c r="X119" s="1">
        <f t="shared" si="118"/>
        <v>0</v>
      </c>
      <c r="Y119" s="1">
        <f t="shared" si="118"/>
        <v>0</v>
      </c>
      <c r="Z119" s="1">
        <f t="shared" si="118"/>
        <v>0</v>
      </c>
      <c r="AA119" s="1">
        <f t="shared" si="118"/>
        <v>0</v>
      </c>
    </row>
    <row r="120" spans="1:27">
      <c r="A120" s="84" t="s">
        <v>313</v>
      </c>
      <c r="B120" s="85" t="s">
        <v>312</v>
      </c>
      <c r="C120" s="85" t="s">
        <v>99</v>
      </c>
      <c r="D120" s="84" t="s">
        <v>84</v>
      </c>
      <c r="E120" s="84">
        <f>VLOOKUP(A120,'2a. SI Pop'!$A$5:$E$198,5,FALSE)</f>
        <v>2</v>
      </c>
      <c r="F120" s="89">
        <v>855736.18200000015</v>
      </c>
      <c r="G120" s="1">
        <f t="shared" si="100"/>
        <v>855736.18200000015</v>
      </c>
      <c r="H120" s="1">
        <f t="shared" ref="H120:AA120" si="119">G120</f>
        <v>855736.18200000015</v>
      </c>
      <c r="I120" s="1">
        <f t="shared" si="119"/>
        <v>855736.18200000015</v>
      </c>
      <c r="J120" s="1">
        <f t="shared" si="119"/>
        <v>855736.18200000015</v>
      </c>
      <c r="K120" s="1">
        <f t="shared" si="119"/>
        <v>855736.18200000015</v>
      </c>
      <c r="L120" s="1">
        <f t="shared" si="119"/>
        <v>855736.18200000015</v>
      </c>
      <c r="M120" s="1">
        <f t="shared" si="119"/>
        <v>855736.18200000015</v>
      </c>
      <c r="N120" s="1">
        <f t="shared" si="119"/>
        <v>855736.18200000015</v>
      </c>
      <c r="O120" s="1">
        <f t="shared" si="119"/>
        <v>855736.18200000015</v>
      </c>
      <c r="P120" s="1">
        <f t="shared" si="119"/>
        <v>855736.18200000015</v>
      </c>
      <c r="Q120" s="1">
        <f t="shared" si="119"/>
        <v>855736.18200000015</v>
      </c>
      <c r="R120" s="1">
        <f t="shared" si="119"/>
        <v>855736.18200000015</v>
      </c>
      <c r="S120" s="1">
        <f t="shared" si="119"/>
        <v>855736.18200000015</v>
      </c>
      <c r="T120" s="1">
        <f t="shared" si="119"/>
        <v>855736.18200000015</v>
      </c>
      <c r="U120" s="1">
        <f t="shared" si="119"/>
        <v>855736.18200000015</v>
      </c>
      <c r="V120" s="1">
        <f t="shared" si="119"/>
        <v>855736.18200000015</v>
      </c>
      <c r="W120" s="1">
        <f t="shared" si="119"/>
        <v>855736.18200000015</v>
      </c>
      <c r="X120" s="1">
        <f t="shared" si="119"/>
        <v>855736.18200000015</v>
      </c>
      <c r="Y120" s="1">
        <f t="shared" si="119"/>
        <v>855736.18200000015</v>
      </c>
      <c r="Z120" s="1">
        <f t="shared" si="119"/>
        <v>855736.18200000015</v>
      </c>
      <c r="AA120" s="1">
        <f t="shared" si="119"/>
        <v>855736.18200000015</v>
      </c>
    </row>
    <row r="121" spans="1:27">
      <c r="A121" s="84" t="s">
        <v>315</v>
      </c>
      <c r="B121" s="85" t="s">
        <v>314</v>
      </c>
      <c r="C121" s="85" t="s">
        <v>79</v>
      </c>
      <c r="D121" s="84" t="s">
        <v>80</v>
      </c>
      <c r="E121" s="84">
        <f>VLOOKUP(A121,'2a. SI Pop'!$A$5:$E$198,5,FALSE)</f>
        <v>1</v>
      </c>
      <c r="F121" s="89">
        <v>0</v>
      </c>
      <c r="G121" s="1">
        <f t="shared" si="100"/>
        <v>0</v>
      </c>
      <c r="H121" s="1">
        <f t="shared" ref="H121:AA121" si="120">G121</f>
        <v>0</v>
      </c>
      <c r="I121" s="1">
        <f t="shared" si="120"/>
        <v>0</v>
      </c>
      <c r="J121" s="1">
        <f t="shared" si="120"/>
        <v>0</v>
      </c>
      <c r="K121" s="1">
        <f t="shared" si="120"/>
        <v>0</v>
      </c>
      <c r="L121" s="1">
        <f t="shared" si="120"/>
        <v>0</v>
      </c>
      <c r="M121" s="1">
        <f t="shared" si="120"/>
        <v>0</v>
      </c>
      <c r="N121" s="1">
        <f t="shared" si="120"/>
        <v>0</v>
      </c>
      <c r="O121" s="1">
        <f t="shared" si="120"/>
        <v>0</v>
      </c>
      <c r="P121" s="1">
        <f t="shared" si="120"/>
        <v>0</v>
      </c>
      <c r="Q121" s="1">
        <f t="shared" si="120"/>
        <v>0</v>
      </c>
      <c r="R121" s="1">
        <f t="shared" si="120"/>
        <v>0</v>
      </c>
      <c r="S121" s="1">
        <f t="shared" si="120"/>
        <v>0</v>
      </c>
      <c r="T121" s="1">
        <f t="shared" si="120"/>
        <v>0</v>
      </c>
      <c r="U121" s="1">
        <f t="shared" si="120"/>
        <v>0</v>
      </c>
      <c r="V121" s="1">
        <f t="shared" si="120"/>
        <v>0</v>
      </c>
      <c r="W121" s="1">
        <f t="shared" si="120"/>
        <v>0</v>
      </c>
      <c r="X121" s="1">
        <f t="shared" si="120"/>
        <v>0</v>
      </c>
      <c r="Y121" s="1">
        <f t="shared" si="120"/>
        <v>0</v>
      </c>
      <c r="Z121" s="1">
        <f t="shared" si="120"/>
        <v>0</v>
      </c>
      <c r="AA121" s="1">
        <f t="shared" si="120"/>
        <v>0</v>
      </c>
    </row>
    <row r="122" spans="1:27">
      <c r="A122" s="84" t="s">
        <v>317</v>
      </c>
      <c r="B122" s="85" t="s">
        <v>316</v>
      </c>
      <c r="C122" s="85" t="s">
        <v>74</v>
      </c>
      <c r="D122" s="84" t="s">
        <v>84</v>
      </c>
      <c r="E122" s="84">
        <f>VLOOKUP(A122,'2a. SI Pop'!$A$5:$E$198,5,FALSE)</f>
        <v>3</v>
      </c>
      <c r="F122" s="89">
        <v>2698985.2710000002</v>
      </c>
      <c r="G122" s="1">
        <f t="shared" si="100"/>
        <v>2698985.2710000002</v>
      </c>
      <c r="H122" s="1">
        <f t="shared" ref="H122:AA122" si="121">G122</f>
        <v>2698985.2710000002</v>
      </c>
      <c r="I122" s="1">
        <f t="shared" si="121"/>
        <v>2698985.2710000002</v>
      </c>
      <c r="J122" s="1">
        <f t="shared" si="121"/>
        <v>2698985.2710000002</v>
      </c>
      <c r="K122" s="1">
        <f t="shared" si="121"/>
        <v>2698985.2710000002</v>
      </c>
      <c r="L122" s="1">
        <f t="shared" si="121"/>
        <v>2698985.2710000002</v>
      </c>
      <c r="M122" s="1">
        <f t="shared" si="121"/>
        <v>2698985.2710000002</v>
      </c>
      <c r="N122" s="1">
        <f t="shared" si="121"/>
        <v>2698985.2710000002</v>
      </c>
      <c r="O122" s="1">
        <f t="shared" si="121"/>
        <v>2698985.2710000002</v>
      </c>
      <c r="P122" s="1">
        <f t="shared" si="121"/>
        <v>2698985.2710000002</v>
      </c>
      <c r="Q122" s="1">
        <f t="shared" si="121"/>
        <v>2698985.2710000002</v>
      </c>
      <c r="R122" s="1">
        <f t="shared" si="121"/>
        <v>2698985.2710000002</v>
      </c>
      <c r="S122" s="1">
        <f t="shared" si="121"/>
        <v>2698985.2710000002</v>
      </c>
      <c r="T122" s="1">
        <f t="shared" si="121"/>
        <v>2698985.2710000002</v>
      </c>
      <c r="U122" s="1">
        <f t="shared" si="121"/>
        <v>2698985.2710000002</v>
      </c>
      <c r="V122" s="1">
        <f t="shared" si="121"/>
        <v>2698985.2710000002</v>
      </c>
      <c r="W122" s="1">
        <f t="shared" si="121"/>
        <v>2698985.2710000002</v>
      </c>
      <c r="X122" s="1">
        <f t="shared" si="121"/>
        <v>2698985.2710000002</v>
      </c>
      <c r="Y122" s="1">
        <f t="shared" si="121"/>
        <v>2698985.2710000002</v>
      </c>
      <c r="Z122" s="1">
        <f t="shared" si="121"/>
        <v>2698985.2710000002</v>
      </c>
      <c r="AA122" s="1">
        <f t="shared" si="121"/>
        <v>2698985.2710000002</v>
      </c>
    </row>
    <row r="123" spans="1:27">
      <c r="A123" s="84" t="s">
        <v>319</v>
      </c>
      <c r="B123" s="85" t="s">
        <v>318</v>
      </c>
      <c r="C123" s="85" t="s">
        <v>83</v>
      </c>
      <c r="D123" s="84" t="s">
        <v>75</v>
      </c>
      <c r="E123" s="84" t="str">
        <f>VLOOKUP(A123,'2a. SI Pop'!$A$5:$E$198,5,FALSE)</f>
        <v>Key</v>
      </c>
      <c r="F123" s="89">
        <v>7150896.4779999992</v>
      </c>
      <c r="G123" s="1">
        <f t="shared" si="100"/>
        <v>7150896.4779999992</v>
      </c>
      <c r="H123" s="1">
        <f t="shared" ref="H123:AA123" si="122">G123</f>
        <v>7150896.4779999992</v>
      </c>
      <c r="I123" s="1">
        <f t="shared" si="122"/>
        <v>7150896.4779999992</v>
      </c>
      <c r="J123" s="1">
        <f t="shared" si="122"/>
        <v>7150896.4779999992</v>
      </c>
      <c r="K123" s="1">
        <f t="shared" si="122"/>
        <v>7150896.4779999992</v>
      </c>
      <c r="L123" s="1">
        <f t="shared" si="122"/>
        <v>7150896.4779999992</v>
      </c>
      <c r="M123" s="1">
        <f t="shared" si="122"/>
        <v>7150896.4779999992</v>
      </c>
      <c r="N123" s="1">
        <f t="shared" si="122"/>
        <v>7150896.4779999992</v>
      </c>
      <c r="O123" s="1">
        <f t="shared" si="122"/>
        <v>7150896.4779999992</v>
      </c>
      <c r="P123" s="1">
        <f t="shared" si="122"/>
        <v>7150896.4779999992</v>
      </c>
      <c r="Q123" s="1">
        <f t="shared" si="122"/>
        <v>7150896.4779999992</v>
      </c>
      <c r="R123" s="1">
        <f t="shared" si="122"/>
        <v>7150896.4779999992</v>
      </c>
      <c r="S123" s="1">
        <f t="shared" si="122"/>
        <v>7150896.4779999992</v>
      </c>
      <c r="T123" s="1">
        <f t="shared" si="122"/>
        <v>7150896.4779999992</v>
      </c>
      <c r="U123" s="1">
        <f t="shared" si="122"/>
        <v>7150896.4779999992</v>
      </c>
      <c r="V123" s="1">
        <f t="shared" si="122"/>
        <v>7150896.4779999992</v>
      </c>
      <c r="W123" s="1">
        <f t="shared" si="122"/>
        <v>7150896.4779999992</v>
      </c>
      <c r="X123" s="1">
        <f t="shared" si="122"/>
        <v>7150896.4779999992</v>
      </c>
      <c r="Y123" s="1">
        <f t="shared" si="122"/>
        <v>7150896.4779999992</v>
      </c>
      <c r="Z123" s="1">
        <f t="shared" si="122"/>
        <v>7150896.4779999992</v>
      </c>
      <c r="AA123" s="1">
        <f t="shared" si="122"/>
        <v>7150896.4779999992</v>
      </c>
    </row>
    <row r="124" spans="1:27">
      <c r="A124" s="84" t="s">
        <v>321</v>
      </c>
      <c r="B124" s="85" t="s">
        <v>320</v>
      </c>
      <c r="C124" s="85" t="s">
        <v>110</v>
      </c>
      <c r="D124" s="84" t="s">
        <v>84</v>
      </c>
      <c r="E124" s="84">
        <f>VLOOKUP(A124,'2a. SI Pop'!$A$5:$E$198,5,FALSE)</f>
        <v>4</v>
      </c>
      <c r="F124" s="89">
        <v>6355516.1899999995</v>
      </c>
      <c r="G124" s="1">
        <f t="shared" si="100"/>
        <v>6355516.1899999995</v>
      </c>
      <c r="H124" s="1">
        <f t="shared" ref="H124:AA124" si="123">G124</f>
        <v>6355516.1899999995</v>
      </c>
      <c r="I124" s="1">
        <f t="shared" si="123"/>
        <v>6355516.1899999995</v>
      </c>
      <c r="J124" s="1">
        <f t="shared" si="123"/>
        <v>6355516.1899999995</v>
      </c>
      <c r="K124" s="1">
        <f t="shared" si="123"/>
        <v>6355516.1899999995</v>
      </c>
      <c r="L124" s="1">
        <f t="shared" si="123"/>
        <v>6355516.1899999995</v>
      </c>
      <c r="M124" s="1">
        <f t="shared" si="123"/>
        <v>6355516.1899999995</v>
      </c>
      <c r="N124" s="1">
        <f t="shared" si="123"/>
        <v>6355516.1899999995</v>
      </c>
      <c r="O124" s="1">
        <f t="shared" si="123"/>
        <v>6355516.1899999995</v>
      </c>
      <c r="P124" s="1">
        <f t="shared" si="123"/>
        <v>6355516.1899999995</v>
      </c>
      <c r="Q124" s="1">
        <f t="shared" si="123"/>
        <v>6355516.1899999995</v>
      </c>
      <c r="R124" s="1">
        <f t="shared" si="123"/>
        <v>6355516.1899999995</v>
      </c>
      <c r="S124" s="1">
        <f t="shared" si="123"/>
        <v>6355516.1899999995</v>
      </c>
      <c r="T124" s="1">
        <f t="shared" si="123"/>
        <v>6355516.1899999995</v>
      </c>
      <c r="U124" s="1">
        <f t="shared" si="123"/>
        <v>6355516.1899999995</v>
      </c>
      <c r="V124" s="1">
        <f t="shared" si="123"/>
        <v>6355516.1899999995</v>
      </c>
      <c r="W124" s="1">
        <f t="shared" si="123"/>
        <v>6355516.1899999995</v>
      </c>
      <c r="X124" s="1">
        <f t="shared" si="123"/>
        <v>6355516.1899999995</v>
      </c>
      <c r="Y124" s="1">
        <f t="shared" si="123"/>
        <v>6355516.1899999995</v>
      </c>
      <c r="Z124" s="1">
        <f t="shared" si="123"/>
        <v>6355516.1899999995</v>
      </c>
      <c r="AA124" s="1">
        <f t="shared" si="123"/>
        <v>6355516.1899999995</v>
      </c>
    </row>
    <row r="125" spans="1:27">
      <c r="A125" s="84" t="s">
        <v>323</v>
      </c>
      <c r="B125" s="85" t="s">
        <v>322</v>
      </c>
      <c r="C125" s="85" t="s">
        <v>83</v>
      </c>
      <c r="D125" s="84" t="s">
        <v>80</v>
      </c>
      <c r="E125" s="84">
        <f>VLOOKUP(A125,'2a. SI Pop'!$A$5:$E$198,5,FALSE)</f>
        <v>3</v>
      </c>
      <c r="F125" s="89">
        <v>345884.90400000004</v>
      </c>
      <c r="G125" s="1">
        <f t="shared" si="100"/>
        <v>345884.90400000004</v>
      </c>
      <c r="H125" s="1">
        <f t="shared" ref="H125:AA125" si="124">G125</f>
        <v>345884.90400000004</v>
      </c>
      <c r="I125" s="1">
        <f t="shared" si="124"/>
        <v>345884.90400000004</v>
      </c>
      <c r="J125" s="1">
        <f t="shared" si="124"/>
        <v>345884.90400000004</v>
      </c>
      <c r="K125" s="1">
        <f t="shared" si="124"/>
        <v>345884.90400000004</v>
      </c>
      <c r="L125" s="1">
        <f t="shared" si="124"/>
        <v>345884.90400000004</v>
      </c>
      <c r="M125" s="1">
        <f t="shared" si="124"/>
        <v>345884.90400000004</v>
      </c>
      <c r="N125" s="1">
        <f t="shared" si="124"/>
        <v>345884.90400000004</v>
      </c>
      <c r="O125" s="1">
        <f t="shared" si="124"/>
        <v>345884.90400000004</v>
      </c>
      <c r="P125" s="1">
        <f t="shared" si="124"/>
        <v>345884.90400000004</v>
      </c>
      <c r="Q125" s="1">
        <f t="shared" si="124"/>
        <v>345884.90400000004</v>
      </c>
      <c r="R125" s="1">
        <f t="shared" si="124"/>
        <v>345884.90400000004</v>
      </c>
      <c r="S125" s="1">
        <f t="shared" si="124"/>
        <v>345884.90400000004</v>
      </c>
      <c r="T125" s="1">
        <f t="shared" si="124"/>
        <v>345884.90400000004</v>
      </c>
      <c r="U125" s="1">
        <f t="shared" si="124"/>
        <v>345884.90400000004</v>
      </c>
      <c r="V125" s="1">
        <f t="shared" si="124"/>
        <v>345884.90400000004</v>
      </c>
      <c r="W125" s="1">
        <f t="shared" si="124"/>
        <v>345884.90400000004</v>
      </c>
      <c r="X125" s="1">
        <f t="shared" si="124"/>
        <v>345884.90400000004</v>
      </c>
      <c r="Y125" s="1">
        <f t="shared" si="124"/>
        <v>345884.90400000004</v>
      </c>
      <c r="Z125" s="1">
        <f t="shared" si="124"/>
        <v>345884.90400000004</v>
      </c>
      <c r="AA125" s="1">
        <f t="shared" si="124"/>
        <v>345884.90400000004</v>
      </c>
    </row>
    <row r="126" spans="1:27">
      <c r="A126" s="84" t="s">
        <v>325</v>
      </c>
      <c r="B126" s="85" t="s">
        <v>324</v>
      </c>
      <c r="C126" s="85" t="s">
        <v>99</v>
      </c>
      <c r="D126" s="84" t="s">
        <v>87</v>
      </c>
      <c r="E126" s="84">
        <f>VLOOKUP(A126,'2a. SI Pop'!$A$5:$E$198,5,FALSE)</f>
        <v>1</v>
      </c>
      <c r="F126" s="89">
        <v>0</v>
      </c>
      <c r="G126" s="1">
        <f t="shared" si="100"/>
        <v>0</v>
      </c>
      <c r="H126" s="1">
        <f t="shared" ref="H126:AA126" si="125">G126</f>
        <v>0</v>
      </c>
      <c r="I126" s="1">
        <f t="shared" si="125"/>
        <v>0</v>
      </c>
      <c r="J126" s="1">
        <f t="shared" si="125"/>
        <v>0</v>
      </c>
      <c r="K126" s="1">
        <f t="shared" si="125"/>
        <v>0</v>
      </c>
      <c r="L126" s="1">
        <f t="shared" si="125"/>
        <v>0</v>
      </c>
      <c r="M126" s="1">
        <f t="shared" si="125"/>
        <v>0</v>
      </c>
      <c r="N126" s="1">
        <f t="shared" si="125"/>
        <v>0</v>
      </c>
      <c r="O126" s="1">
        <f t="shared" si="125"/>
        <v>0</v>
      </c>
      <c r="P126" s="1">
        <f t="shared" si="125"/>
        <v>0</v>
      </c>
      <c r="Q126" s="1">
        <f t="shared" si="125"/>
        <v>0</v>
      </c>
      <c r="R126" s="1">
        <f t="shared" si="125"/>
        <v>0</v>
      </c>
      <c r="S126" s="1">
        <f t="shared" si="125"/>
        <v>0</v>
      </c>
      <c r="T126" s="1">
        <f t="shared" si="125"/>
        <v>0</v>
      </c>
      <c r="U126" s="1">
        <f t="shared" si="125"/>
        <v>0</v>
      </c>
      <c r="V126" s="1">
        <f t="shared" si="125"/>
        <v>0</v>
      </c>
      <c r="W126" s="1">
        <f t="shared" si="125"/>
        <v>0</v>
      </c>
      <c r="X126" s="1">
        <f t="shared" si="125"/>
        <v>0</v>
      </c>
      <c r="Y126" s="1">
        <f t="shared" si="125"/>
        <v>0</v>
      </c>
      <c r="Z126" s="1">
        <f t="shared" si="125"/>
        <v>0</v>
      </c>
      <c r="AA126" s="1">
        <f t="shared" si="125"/>
        <v>0</v>
      </c>
    </row>
    <row r="127" spans="1:27">
      <c r="A127" s="84" t="s">
        <v>327</v>
      </c>
      <c r="B127" s="85" t="s">
        <v>326</v>
      </c>
      <c r="C127" s="85" t="s">
        <v>110</v>
      </c>
      <c r="D127" s="84" t="s">
        <v>84</v>
      </c>
      <c r="E127" s="84">
        <f>VLOOKUP(A127,'2a. SI Pop'!$A$5:$E$198,5,FALSE)</f>
        <v>4</v>
      </c>
      <c r="F127" s="89">
        <v>2656473.8309999998</v>
      </c>
      <c r="G127" s="1">
        <f t="shared" si="100"/>
        <v>2656473.8309999998</v>
      </c>
      <c r="H127" s="1">
        <f t="shared" ref="H127:AA127" si="126">G127</f>
        <v>2656473.8309999998</v>
      </c>
      <c r="I127" s="1">
        <f t="shared" si="126"/>
        <v>2656473.8309999998</v>
      </c>
      <c r="J127" s="1">
        <f t="shared" si="126"/>
        <v>2656473.8309999998</v>
      </c>
      <c r="K127" s="1">
        <f t="shared" si="126"/>
        <v>2656473.8309999998</v>
      </c>
      <c r="L127" s="1">
        <f t="shared" si="126"/>
        <v>2656473.8309999998</v>
      </c>
      <c r="M127" s="1">
        <f t="shared" si="126"/>
        <v>2656473.8309999998</v>
      </c>
      <c r="N127" s="1">
        <f t="shared" si="126"/>
        <v>2656473.8309999998</v>
      </c>
      <c r="O127" s="1">
        <f t="shared" si="126"/>
        <v>2656473.8309999998</v>
      </c>
      <c r="P127" s="1">
        <f t="shared" si="126"/>
        <v>2656473.8309999998</v>
      </c>
      <c r="Q127" s="1">
        <f t="shared" si="126"/>
        <v>2656473.8309999998</v>
      </c>
      <c r="R127" s="1">
        <f t="shared" si="126"/>
        <v>2656473.8309999998</v>
      </c>
      <c r="S127" s="1">
        <f t="shared" si="126"/>
        <v>2656473.8309999998</v>
      </c>
      <c r="T127" s="1">
        <f t="shared" si="126"/>
        <v>2656473.8309999998</v>
      </c>
      <c r="U127" s="1">
        <f t="shared" si="126"/>
        <v>2656473.8309999998</v>
      </c>
      <c r="V127" s="1">
        <f t="shared" si="126"/>
        <v>2656473.8309999998</v>
      </c>
      <c r="W127" s="1">
        <f t="shared" si="126"/>
        <v>2656473.8309999998</v>
      </c>
      <c r="X127" s="1">
        <f t="shared" si="126"/>
        <v>2656473.8309999998</v>
      </c>
      <c r="Y127" s="1">
        <f t="shared" si="126"/>
        <v>2656473.8309999998</v>
      </c>
      <c r="Z127" s="1">
        <f t="shared" si="126"/>
        <v>2656473.8309999998</v>
      </c>
      <c r="AA127" s="1">
        <f t="shared" si="126"/>
        <v>2656473.8309999998</v>
      </c>
    </row>
    <row r="128" spans="1:27">
      <c r="A128" s="84" t="s">
        <v>329</v>
      </c>
      <c r="B128" s="85" t="s">
        <v>328</v>
      </c>
      <c r="C128" s="85" t="s">
        <v>79</v>
      </c>
      <c r="D128" s="84" t="s">
        <v>87</v>
      </c>
      <c r="E128" s="84">
        <f>VLOOKUP(A128,'2a. SI Pop'!$A$5:$E$198,5,FALSE)</f>
        <v>1</v>
      </c>
      <c r="F128" s="89">
        <v>0</v>
      </c>
      <c r="G128" s="1">
        <f t="shared" si="100"/>
        <v>0</v>
      </c>
      <c r="H128" s="1">
        <f t="shared" ref="H128:AA128" si="127">G128</f>
        <v>0</v>
      </c>
      <c r="I128" s="1">
        <f t="shared" si="127"/>
        <v>0</v>
      </c>
      <c r="J128" s="1">
        <f t="shared" si="127"/>
        <v>0</v>
      </c>
      <c r="K128" s="1">
        <f t="shared" si="127"/>
        <v>0</v>
      </c>
      <c r="L128" s="1">
        <f t="shared" si="127"/>
        <v>0</v>
      </c>
      <c r="M128" s="1">
        <f t="shared" si="127"/>
        <v>0</v>
      </c>
      <c r="N128" s="1">
        <f t="shared" si="127"/>
        <v>0</v>
      </c>
      <c r="O128" s="1">
        <f t="shared" si="127"/>
        <v>0</v>
      </c>
      <c r="P128" s="1">
        <f t="shared" si="127"/>
        <v>0</v>
      </c>
      <c r="Q128" s="1">
        <f t="shared" si="127"/>
        <v>0</v>
      </c>
      <c r="R128" s="1">
        <f t="shared" si="127"/>
        <v>0</v>
      </c>
      <c r="S128" s="1">
        <f t="shared" si="127"/>
        <v>0</v>
      </c>
      <c r="T128" s="1">
        <f t="shared" si="127"/>
        <v>0</v>
      </c>
      <c r="U128" s="1">
        <f t="shared" si="127"/>
        <v>0</v>
      </c>
      <c r="V128" s="1">
        <f t="shared" si="127"/>
        <v>0</v>
      </c>
      <c r="W128" s="1">
        <f t="shared" si="127"/>
        <v>0</v>
      </c>
      <c r="X128" s="1">
        <f t="shared" si="127"/>
        <v>0</v>
      </c>
      <c r="Y128" s="1">
        <f t="shared" si="127"/>
        <v>0</v>
      </c>
      <c r="Z128" s="1">
        <f t="shared" si="127"/>
        <v>0</v>
      </c>
      <c r="AA128" s="1">
        <f t="shared" si="127"/>
        <v>0</v>
      </c>
    </row>
    <row r="129" spans="1:27">
      <c r="A129" s="84" t="s">
        <v>331</v>
      </c>
      <c r="B129" s="85" t="s">
        <v>330</v>
      </c>
      <c r="C129" s="85" t="s">
        <v>99</v>
      </c>
      <c r="D129" s="84" t="s">
        <v>87</v>
      </c>
      <c r="E129" s="84">
        <f>VLOOKUP(A129,'2a. SI Pop'!$A$5:$E$198,5,FALSE)</f>
        <v>1</v>
      </c>
      <c r="F129" s="89">
        <v>0</v>
      </c>
      <c r="G129" s="1">
        <f t="shared" si="100"/>
        <v>0</v>
      </c>
      <c r="H129" s="1">
        <f t="shared" ref="H129:AA129" si="128">G129</f>
        <v>0</v>
      </c>
      <c r="I129" s="1">
        <f t="shared" si="128"/>
        <v>0</v>
      </c>
      <c r="J129" s="1">
        <f t="shared" si="128"/>
        <v>0</v>
      </c>
      <c r="K129" s="1">
        <f t="shared" si="128"/>
        <v>0</v>
      </c>
      <c r="L129" s="1">
        <f t="shared" si="128"/>
        <v>0</v>
      </c>
      <c r="M129" s="1">
        <f t="shared" si="128"/>
        <v>0</v>
      </c>
      <c r="N129" s="1">
        <f t="shared" si="128"/>
        <v>0</v>
      </c>
      <c r="O129" s="1">
        <f t="shared" si="128"/>
        <v>0</v>
      </c>
      <c r="P129" s="1">
        <f t="shared" si="128"/>
        <v>0</v>
      </c>
      <c r="Q129" s="1">
        <f t="shared" si="128"/>
        <v>0</v>
      </c>
      <c r="R129" s="1">
        <f t="shared" si="128"/>
        <v>0</v>
      </c>
      <c r="S129" s="1">
        <f t="shared" si="128"/>
        <v>0</v>
      </c>
      <c r="T129" s="1">
        <f t="shared" si="128"/>
        <v>0</v>
      </c>
      <c r="U129" s="1">
        <f t="shared" si="128"/>
        <v>0</v>
      </c>
      <c r="V129" s="1">
        <f t="shared" si="128"/>
        <v>0</v>
      </c>
      <c r="W129" s="1">
        <f t="shared" si="128"/>
        <v>0</v>
      </c>
      <c r="X129" s="1">
        <f t="shared" si="128"/>
        <v>0</v>
      </c>
      <c r="Y129" s="1">
        <f t="shared" si="128"/>
        <v>0</v>
      </c>
      <c r="Z129" s="1">
        <f t="shared" si="128"/>
        <v>0</v>
      </c>
      <c r="AA129" s="1">
        <f t="shared" si="128"/>
        <v>0</v>
      </c>
    </row>
    <row r="130" spans="1:27">
      <c r="A130" s="84" t="s">
        <v>333</v>
      </c>
      <c r="B130" s="85" t="s">
        <v>332</v>
      </c>
      <c r="C130" s="85" t="s">
        <v>92</v>
      </c>
      <c r="D130" s="84" t="s">
        <v>84</v>
      </c>
      <c r="E130" s="84">
        <f>VLOOKUP(A130,'2a. SI Pop'!$A$5:$E$198,5,FALSE)</f>
        <v>2</v>
      </c>
      <c r="F130" s="89">
        <v>0</v>
      </c>
      <c r="G130" s="1">
        <f t="shared" si="100"/>
        <v>0</v>
      </c>
      <c r="H130" s="1">
        <f t="shared" ref="H130:AA130" si="129">G130</f>
        <v>0</v>
      </c>
      <c r="I130" s="1">
        <f t="shared" si="129"/>
        <v>0</v>
      </c>
      <c r="J130" s="1">
        <f t="shared" si="129"/>
        <v>0</v>
      </c>
      <c r="K130" s="1">
        <f t="shared" si="129"/>
        <v>0</v>
      </c>
      <c r="L130" s="1">
        <f t="shared" si="129"/>
        <v>0</v>
      </c>
      <c r="M130" s="1">
        <f t="shared" si="129"/>
        <v>0</v>
      </c>
      <c r="N130" s="1">
        <f t="shared" si="129"/>
        <v>0</v>
      </c>
      <c r="O130" s="1">
        <f t="shared" si="129"/>
        <v>0</v>
      </c>
      <c r="P130" s="1">
        <f t="shared" si="129"/>
        <v>0</v>
      </c>
      <c r="Q130" s="1">
        <f t="shared" si="129"/>
        <v>0</v>
      </c>
      <c r="R130" s="1">
        <f t="shared" si="129"/>
        <v>0</v>
      </c>
      <c r="S130" s="1">
        <f t="shared" si="129"/>
        <v>0</v>
      </c>
      <c r="T130" s="1">
        <f t="shared" si="129"/>
        <v>0</v>
      </c>
      <c r="U130" s="1">
        <f t="shared" si="129"/>
        <v>0</v>
      </c>
      <c r="V130" s="1">
        <f t="shared" si="129"/>
        <v>0</v>
      </c>
      <c r="W130" s="1">
        <f t="shared" si="129"/>
        <v>0</v>
      </c>
      <c r="X130" s="1">
        <f t="shared" si="129"/>
        <v>0</v>
      </c>
      <c r="Y130" s="1">
        <f t="shared" si="129"/>
        <v>0</v>
      </c>
      <c r="Z130" s="1">
        <f t="shared" si="129"/>
        <v>0</v>
      </c>
      <c r="AA130" s="1">
        <f t="shared" si="129"/>
        <v>0</v>
      </c>
    </row>
    <row r="131" spans="1:27">
      <c r="A131" s="84" t="s">
        <v>335</v>
      </c>
      <c r="B131" s="85" t="s">
        <v>334</v>
      </c>
      <c r="C131" s="85" t="s">
        <v>83</v>
      </c>
      <c r="D131" s="84" t="s">
        <v>75</v>
      </c>
      <c r="E131" s="84">
        <f>VLOOKUP(A131,'2a. SI Pop'!$A$5:$E$198,5,FALSE)</f>
        <v>3</v>
      </c>
      <c r="F131" s="89">
        <v>2187513.2609999999</v>
      </c>
      <c r="G131" s="1">
        <f t="shared" si="100"/>
        <v>2187513.2609999999</v>
      </c>
      <c r="H131" s="1">
        <f t="shared" ref="H131:AA131" si="130">G131</f>
        <v>2187513.2609999999</v>
      </c>
      <c r="I131" s="1">
        <f t="shared" si="130"/>
        <v>2187513.2609999999</v>
      </c>
      <c r="J131" s="1">
        <f t="shared" si="130"/>
        <v>2187513.2609999999</v>
      </c>
      <c r="K131" s="1">
        <f t="shared" si="130"/>
        <v>2187513.2609999999</v>
      </c>
      <c r="L131" s="1">
        <f t="shared" si="130"/>
        <v>2187513.2609999999</v>
      </c>
      <c r="M131" s="1">
        <f t="shared" si="130"/>
        <v>2187513.2609999999</v>
      </c>
      <c r="N131" s="1">
        <f t="shared" si="130"/>
        <v>2187513.2609999999</v>
      </c>
      <c r="O131" s="1">
        <f t="shared" si="130"/>
        <v>2187513.2609999999</v>
      </c>
      <c r="P131" s="1">
        <f t="shared" si="130"/>
        <v>2187513.2609999999</v>
      </c>
      <c r="Q131" s="1">
        <f t="shared" si="130"/>
        <v>2187513.2609999999</v>
      </c>
      <c r="R131" s="1">
        <f t="shared" si="130"/>
        <v>2187513.2609999999</v>
      </c>
      <c r="S131" s="1">
        <f t="shared" si="130"/>
        <v>2187513.2609999999</v>
      </c>
      <c r="T131" s="1">
        <f t="shared" si="130"/>
        <v>2187513.2609999999</v>
      </c>
      <c r="U131" s="1">
        <f t="shared" si="130"/>
        <v>2187513.2609999999</v>
      </c>
      <c r="V131" s="1">
        <f t="shared" si="130"/>
        <v>2187513.2609999999</v>
      </c>
      <c r="W131" s="1">
        <f t="shared" si="130"/>
        <v>2187513.2609999999</v>
      </c>
      <c r="X131" s="1">
        <f t="shared" si="130"/>
        <v>2187513.2609999999</v>
      </c>
      <c r="Y131" s="1">
        <f t="shared" si="130"/>
        <v>2187513.2609999999</v>
      </c>
      <c r="Z131" s="1">
        <f t="shared" si="130"/>
        <v>2187513.2609999999</v>
      </c>
      <c r="AA131" s="1">
        <f t="shared" si="130"/>
        <v>2187513.2609999999</v>
      </c>
    </row>
    <row r="132" spans="1:27">
      <c r="A132" s="84" t="s">
        <v>337</v>
      </c>
      <c r="B132" s="85" t="s">
        <v>336</v>
      </c>
      <c r="C132" s="85" t="s">
        <v>83</v>
      </c>
      <c r="D132" s="84" t="s">
        <v>84</v>
      </c>
      <c r="E132" s="84" t="str">
        <f>VLOOKUP(A132,'2a. SI Pop'!$A$5:$E$198,5,FALSE)</f>
        <v>Key</v>
      </c>
      <c r="F132" s="89">
        <v>41605032.601999998</v>
      </c>
      <c r="G132" s="1">
        <f t="shared" si="100"/>
        <v>41605032.601999998</v>
      </c>
      <c r="H132" s="1">
        <f t="shared" ref="H132:AA132" si="131">G132</f>
        <v>41605032.601999998</v>
      </c>
      <c r="I132" s="1">
        <f t="shared" si="131"/>
        <v>41605032.601999998</v>
      </c>
      <c r="J132" s="1">
        <f t="shared" si="131"/>
        <v>41605032.601999998</v>
      </c>
      <c r="K132" s="1">
        <f t="shared" si="131"/>
        <v>41605032.601999998</v>
      </c>
      <c r="L132" s="1">
        <f t="shared" si="131"/>
        <v>41605032.601999998</v>
      </c>
      <c r="M132" s="1">
        <f t="shared" si="131"/>
        <v>41605032.601999998</v>
      </c>
      <c r="N132" s="1">
        <f t="shared" si="131"/>
        <v>41605032.601999998</v>
      </c>
      <c r="O132" s="1">
        <f t="shared" si="131"/>
        <v>41605032.601999998</v>
      </c>
      <c r="P132" s="1">
        <f t="shared" si="131"/>
        <v>41605032.601999998</v>
      </c>
      <c r="Q132" s="1">
        <f t="shared" si="131"/>
        <v>41605032.601999998</v>
      </c>
      <c r="R132" s="1">
        <f t="shared" si="131"/>
        <v>41605032.601999998</v>
      </c>
      <c r="S132" s="1">
        <f t="shared" si="131"/>
        <v>41605032.601999998</v>
      </c>
      <c r="T132" s="1">
        <f t="shared" si="131"/>
        <v>41605032.601999998</v>
      </c>
      <c r="U132" s="1">
        <f t="shared" si="131"/>
        <v>41605032.601999998</v>
      </c>
      <c r="V132" s="1">
        <f t="shared" si="131"/>
        <v>41605032.601999998</v>
      </c>
      <c r="W132" s="1">
        <f t="shared" si="131"/>
        <v>41605032.601999998</v>
      </c>
      <c r="X132" s="1">
        <f t="shared" si="131"/>
        <v>41605032.601999998</v>
      </c>
      <c r="Y132" s="1">
        <f t="shared" si="131"/>
        <v>41605032.601999998</v>
      </c>
      <c r="Z132" s="1">
        <f t="shared" si="131"/>
        <v>41605032.601999998</v>
      </c>
      <c r="AA132" s="1">
        <f t="shared" si="131"/>
        <v>41605032.601999998</v>
      </c>
    </row>
    <row r="133" spans="1:27">
      <c r="A133" s="84" t="s">
        <v>339</v>
      </c>
      <c r="B133" s="85" t="s">
        <v>338</v>
      </c>
      <c r="C133" s="85" t="s">
        <v>99</v>
      </c>
      <c r="D133" s="84" t="e">
        <v>#N/A</v>
      </c>
      <c r="E133" s="84">
        <f>VLOOKUP(A133,'2a. SI Pop'!$A$5:$E$198,5,FALSE)</f>
        <v>1</v>
      </c>
      <c r="F133" s="89"/>
      <c r="G133" s="1">
        <f t="shared" si="100"/>
        <v>0</v>
      </c>
      <c r="H133" s="1">
        <f t="shared" ref="H133:AA133" si="132">G133</f>
        <v>0</v>
      </c>
      <c r="I133" s="1">
        <f t="shared" si="132"/>
        <v>0</v>
      </c>
      <c r="J133" s="1">
        <f t="shared" si="132"/>
        <v>0</v>
      </c>
      <c r="K133" s="1">
        <f t="shared" si="132"/>
        <v>0</v>
      </c>
      <c r="L133" s="1">
        <f t="shared" si="132"/>
        <v>0</v>
      </c>
      <c r="M133" s="1">
        <f t="shared" si="132"/>
        <v>0</v>
      </c>
      <c r="N133" s="1">
        <f t="shared" si="132"/>
        <v>0</v>
      </c>
      <c r="O133" s="1">
        <f t="shared" si="132"/>
        <v>0</v>
      </c>
      <c r="P133" s="1">
        <f t="shared" si="132"/>
        <v>0</v>
      </c>
      <c r="Q133" s="1">
        <f t="shared" si="132"/>
        <v>0</v>
      </c>
      <c r="R133" s="1">
        <f t="shared" si="132"/>
        <v>0</v>
      </c>
      <c r="S133" s="1">
        <f t="shared" si="132"/>
        <v>0</v>
      </c>
      <c r="T133" s="1">
        <f t="shared" si="132"/>
        <v>0</v>
      </c>
      <c r="U133" s="1">
        <f t="shared" si="132"/>
        <v>0</v>
      </c>
      <c r="V133" s="1">
        <f t="shared" si="132"/>
        <v>0</v>
      </c>
      <c r="W133" s="1">
        <f t="shared" si="132"/>
        <v>0</v>
      </c>
      <c r="X133" s="1">
        <f t="shared" si="132"/>
        <v>0</v>
      </c>
      <c r="Y133" s="1">
        <f t="shared" si="132"/>
        <v>0</v>
      </c>
      <c r="Z133" s="1">
        <f t="shared" si="132"/>
        <v>0</v>
      </c>
      <c r="AA133" s="1">
        <f t="shared" si="132"/>
        <v>0</v>
      </c>
    </row>
    <row r="134" spans="1:27">
      <c r="A134" s="84" t="s">
        <v>341</v>
      </c>
      <c r="B134" s="85" t="s">
        <v>340</v>
      </c>
      <c r="C134" s="85" t="s">
        <v>79</v>
      </c>
      <c r="D134" s="84" t="s">
        <v>87</v>
      </c>
      <c r="E134" s="84">
        <f>VLOOKUP(A134,'2a. SI Pop'!$A$5:$E$198,5,FALSE)</f>
        <v>1</v>
      </c>
      <c r="F134" s="89">
        <v>0</v>
      </c>
      <c r="G134" s="1">
        <f t="shared" ref="G134:G165" si="133">F134</f>
        <v>0</v>
      </c>
      <c r="H134" s="1">
        <f t="shared" ref="H134:AA134" si="134">G134</f>
        <v>0</v>
      </c>
      <c r="I134" s="1">
        <f t="shared" si="134"/>
        <v>0</v>
      </c>
      <c r="J134" s="1">
        <f t="shared" si="134"/>
        <v>0</v>
      </c>
      <c r="K134" s="1">
        <f t="shared" si="134"/>
        <v>0</v>
      </c>
      <c r="L134" s="1">
        <f t="shared" si="134"/>
        <v>0</v>
      </c>
      <c r="M134" s="1">
        <f t="shared" si="134"/>
        <v>0</v>
      </c>
      <c r="N134" s="1">
        <f t="shared" si="134"/>
        <v>0</v>
      </c>
      <c r="O134" s="1">
        <f t="shared" si="134"/>
        <v>0</v>
      </c>
      <c r="P134" s="1">
        <f t="shared" si="134"/>
        <v>0</v>
      </c>
      <c r="Q134" s="1">
        <f t="shared" si="134"/>
        <v>0</v>
      </c>
      <c r="R134" s="1">
        <f t="shared" si="134"/>
        <v>0</v>
      </c>
      <c r="S134" s="1">
        <f t="shared" si="134"/>
        <v>0</v>
      </c>
      <c r="T134" s="1">
        <f t="shared" si="134"/>
        <v>0</v>
      </c>
      <c r="U134" s="1">
        <f t="shared" si="134"/>
        <v>0</v>
      </c>
      <c r="V134" s="1">
        <f t="shared" si="134"/>
        <v>0</v>
      </c>
      <c r="W134" s="1">
        <f t="shared" si="134"/>
        <v>0</v>
      </c>
      <c r="X134" s="1">
        <f t="shared" si="134"/>
        <v>0</v>
      </c>
      <c r="Y134" s="1">
        <f t="shared" si="134"/>
        <v>0</v>
      </c>
      <c r="Z134" s="1">
        <f t="shared" si="134"/>
        <v>0</v>
      </c>
      <c r="AA134" s="1">
        <f t="shared" si="134"/>
        <v>0</v>
      </c>
    </row>
    <row r="135" spans="1:27">
      <c r="A135" s="84" t="s">
        <v>343</v>
      </c>
      <c r="B135" s="85" t="s">
        <v>342</v>
      </c>
      <c r="C135" s="85" t="s">
        <v>74</v>
      </c>
      <c r="D135" s="84" t="s">
        <v>87</v>
      </c>
      <c r="E135" s="84">
        <f>VLOOKUP(A135,'2a. SI Pop'!$A$5:$E$198,5,FALSE)</f>
        <v>1</v>
      </c>
      <c r="F135" s="89">
        <v>0</v>
      </c>
      <c r="G135" s="1">
        <f t="shared" si="133"/>
        <v>0</v>
      </c>
      <c r="H135" s="1">
        <f t="shared" ref="H135:AA135" si="135">G135</f>
        <v>0</v>
      </c>
      <c r="I135" s="1">
        <f t="shared" si="135"/>
        <v>0</v>
      </c>
      <c r="J135" s="1">
        <f t="shared" si="135"/>
        <v>0</v>
      </c>
      <c r="K135" s="1">
        <f t="shared" si="135"/>
        <v>0</v>
      </c>
      <c r="L135" s="1">
        <f t="shared" si="135"/>
        <v>0</v>
      </c>
      <c r="M135" s="1">
        <f t="shared" si="135"/>
        <v>0</v>
      </c>
      <c r="N135" s="1">
        <f t="shared" si="135"/>
        <v>0</v>
      </c>
      <c r="O135" s="1">
        <f t="shared" si="135"/>
        <v>0</v>
      </c>
      <c r="P135" s="1">
        <f t="shared" si="135"/>
        <v>0</v>
      </c>
      <c r="Q135" s="1">
        <f t="shared" si="135"/>
        <v>0</v>
      </c>
      <c r="R135" s="1">
        <f t="shared" si="135"/>
        <v>0</v>
      </c>
      <c r="S135" s="1">
        <f t="shared" si="135"/>
        <v>0</v>
      </c>
      <c r="T135" s="1">
        <f t="shared" si="135"/>
        <v>0</v>
      </c>
      <c r="U135" s="1">
        <f t="shared" si="135"/>
        <v>0</v>
      </c>
      <c r="V135" s="1">
        <f t="shared" si="135"/>
        <v>0</v>
      </c>
      <c r="W135" s="1">
        <f t="shared" si="135"/>
        <v>0</v>
      </c>
      <c r="X135" s="1">
        <f t="shared" si="135"/>
        <v>0</v>
      </c>
      <c r="Y135" s="1">
        <f t="shared" si="135"/>
        <v>0</v>
      </c>
      <c r="Z135" s="1">
        <f t="shared" si="135"/>
        <v>0</v>
      </c>
      <c r="AA135" s="1">
        <f t="shared" si="135"/>
        <v>0</v>
      </c>
    </row>
    <row r="136" spans="1:27">
      <c r="A136" s="84" t="s">
        <v>345</v>
      </c>
      <c r="B136" s="85" t="s">
        <v>344</v>
      </c>
      <c r="C136" s="85" t="s">
        <v>74</v>
      </c>
      <c r="D136" s="84" t="s">
        <v>84</v>
      </c>
      <c r="E136" s="84" t="str">
        <f>VLOOKUP(A136,'2a. SI Pop'!$A$5:$E$198,5,FALSE)</f>
        <v>Key</v>
      </c>
      <c r="F136" s="89">
        <v>31830413.16</v>
      </c>
      <c r="G136" s="1">
        <f t="shared" si="133"/>
        <v>31830413.16</v>
      </c>
      <c r="H136" s="1">
        <f t="shared" ref="H136:AA136" si="136">G136</f>
        <v>31830413.16</v>
      </c>
      <c r="I136" s="1">
        <f t="shared" si="136"/>
        <v>31830413.16</v>
      </c>
      <c r="J136" s="1">
        <f t="shared" si="136"/>
        <v>31830413.16</v>
      </c>
      <c r="K136" s="1">
        <f t="shared" si="136"/>
        <v>31830413.16</v>
      </c>
      <c r="L136" s="1">
        <f t="shared" si="136"/>
        <v>31830413.16</v>
      </c>
      <c r="M136" s="1">
        <f t="shared" si="136"/>
        <v>31830413.16</v>
      </c>
      <c r="N136" s="1">
        <f t="shared" si="136"/>
        <v>31830413.16</v>
      </c>
      <c r="O136" s="1">
        <f t="shared" si="136"/>
        <v>31830413.16</v>
      </c>
      <c r="P136" s="1">
        <f t="shared" si="136"/>
        <v>31830413.16</v>
      </c>
      <c r="Q136" s="1">
        <f t="shared" si="136"/>
        <v>31830413.16</v>
      </c>
      <c r="R136" s="1">
        <f t="shared" si="136"/>
        <v>31830413.16</v>
      </c>
      <c r="S136" s="1">
        <f t="shared" si="136"/>
        <v>31830413.16</v>
      </c>
      <c r="T136" s="1">
        <f t="shared" si="136"/>
        <v>31830413.16</v>
      </c>
      <c r="U136" s="1">
        <f t="shared" si="136"/>
        <v>31830413.16</v>
      </c>
      <c r="V136" s="1">
        <f t="shared" si="136"/>
        <v>31830413.16</v>
      </c>
      <c r="W136" s="1">
        <f t="shared" si="136"/>
        <v>31830413.16</v>
      </c>
      <c r="X136" s="1">
        <f t="shared" si="136"/>
        <v>31830413.16</v>
      </c>
      <c r="Y136" s="1">
        <f t="shared" si="136"/>
        <v>31830413.16</v>
      </c>
      <c r="Z136" s="1">
        <f t="shared" si="136"/>
        <v>31830413.16</v>
      </c>
      <c r="AA136" s="1">
        <f t="shared" si="136"/>
        <v>31830413.16</v>
      </c>
    </row>
    <row r="137" spans="1:27">
      <c r="A137" s="84" t="s">
        <v>347</v>
      </c>
      <c r="B137" s="85" t="s">
        <v>346</v>
      </c>
      <c r="C137" s="85" t="s">
        <v>99</v>
      </c>
      <c r="D137" s="84" t="s">
        <v>87</v>
      </c>
      <c r="E137" s="84">
        <f>VLOOKUP(A137,'2a. SI Pop'!$A$5:$E$198,5,FALSE)</f>
        <v>1</v>
      </c>
      <c r="F137" s="89">
        <v>0</v>
      </c>
      <c r="G137" s="1">
        <f t="shared" si="133"/>
        <v>0</v>
      </c>
      <c r="H137" s="1">
        <f t="shared" ref="H137:AA137" si="137">G137</f>
        <v>0</v>
      </c>
      <c r="I137" s="1">
        <f t="shared" si="137"/>
        <v>0</v>
      </c>
      <c r="J137" s="1">
        <f t="shared" si="137"/>
        <v>0</v>
      </c>
      <c r="K137" s="1">
        <f t="shared" si="137"/>
        <v>0</v>
      </c>
      <c r="L137" s="1">
        <f t="shared" si="137"/>
        <v>0</v>
      </c>
      <c r="M137" s="1">
        <f t="shared" si="137"/>
        <v>0</v>
      </c>
      <c r="N137" s="1">
        <f t="shared" si="137"/>
        <v>0</v>
      </c>
      <c r="O137" s="1">
        <f t="shared" si="137"/>
        <v>0</v>
      </c>
      <c r="P137" s="1">
        <f t="shared" si="137"/>
        <v>0</v>
      </c>
      <c r="Q137" s="1">
        <f t="shared" si="137"/>
        <v>0</v>
      </c>
      <c r="R137" s="1">
        <f t="shared" si="137"/>
        <v>0</v>
      </c>
      <c r="S137" s="1">
        <f t="shared" si="137"/>
        <v>0</v>
      </c>
      <c r="T137" s="1">
        <f t="shared" si="137"/>
        <v>0</v>
      </c>
      <c r="U137" s="1">
        <f t="shared" si="137"/>
        <v>0</v>
      </c>
      <c r="V137" s="1">
        <f t="shared" si="137"/>
        <v>0</v>
      </c>
      <c r="W137" s="1">
        <f t="shared" si="137"/>
        <v>0</v>
      </c>
      <c r="X137" s="1">
        <f t="shared" si="137"/>
        <v>0</v>
      </c>
      <c r="Y137" s="1">
        <f t="shared" si="137"/>
        <v>0</v>
      </c>
      <c r="Z137" s="1">
        <f t="shared" si="137"/>
        <v>0</v>
      </c>
      <c r="AA137" s="1">
        <f t="shared" si="137"/>
        <v>0</v>
      </c>
    </row>
    <row r="138" spans="1:27">
      <c r="A138" s="84" t="s">
        <v>349</v>
      </c>
      <c r="B138" s="85" t="s">
        <v>348</v>
      </c>
      <c r="C138" s="85" t="s">
        <v>92</v>
      </c>
      <c r="D138" s="84" t="s">
        <v>87</v>
      </c>
      <c r="E138" s="84">
        <f>VLOOKUP(A138,'2a. SI Pop'!$A$5:$E$198,5,FALSE)</f>
        <v>1</v>
      </c>
      <c r="F138" s="89">
        <v>668050.23600000003</v>
      </c>
      <c r="G138" s="1">
        <f t="shared" si="133"/>
        <v>668050.23600000003</v>
      </c>
      <c r="H138" s="1">
        <f t="shared" ref="H138:AA138" si="138">G138</f>
        <v>668050.23600000003</v>
      </c>
      <c r="I138" s="1">
        <f t="shared" si="138"/>
        <v>668050.23600000003</v>
      </c>
      <c r="J138" s="1">
        <f t="shared" si="138"/>
        <v>668050.23600000003</v>
      </c>
      <c r="K138" s="1">
        <f t="shared" si="138"/>
        <v>668050.23600000003</v>
      </c>
      <c r="L138" s="1">
        <f t="shared" si="138"/>
        <v>668050.23600000003</v>
      </c>
      <c r="M138" s="1">
        <f t="shared" si="138"/>
        <v>668050.23600000003</v>
      </c>
      <c r="N138" s="1">
        <f t="shared" si="138"/>
        <v>668050.23600000003</v>
      </c>
      <c r="O138" s="1">
        <f t="shared" si="138"/>
        <v>668050.23600000003</v>
      </c>
      <c r="P138" s="1">
        <f t="shared" si="138"/>
        <v>668050.23600000003</v>
      </c>
      <c r="Q138" s="1">
        <f t="shared" si="138"/>
        <v>668050.23600000003</v>
      </c>
      <c r="R138" s="1">
        <f t="shared" si="138"/>
        <v>668050.23600000003</v>
      </c>
      <c r="S138" s="1">
        <f t="shared" si="138"/>
        <v>668050.23600000003</v>
      </c>
      <c r="T138" s="1">
        <f t="shared" si="138"/>
        <v>668050.23600000003</v>
      </c>
      <c r="U138" s="1">
        <f t="shared" si="138"/>
        <v>668050.23600000003</v>
      </c>
      <c r="V138" s="1">
        <f t="shared" si="138"/>
        <v>668050.23600000003</v>
      </c>
      <c r="W138" s="1">
        <f t="shared" si="138"/>
        <v>668050.23600000003</v>
      </c>
      <c r="X138" s="1">
        <f t="shared" si="138"/>
        <v>668050.23600000003</v>
      </c>
      <c r="Y138" s="1">
        <f t="shared" si="138"/>
        <v>668050.23600000003</v>
      </c>
      <c r="Z138" s="1">
        <f t="shared" si="138"/>
        <v>668050.23600000003</v>
      </c>
      <c r="AA138" s="1">
        <f t="shared" si="138"/>
        <v>668050.23600000003</v>
      </c>
    </row>
    <row r="139" spans="1:27">
      <c r="A139" s="84" t="s">
        <v>351</v>
      </c>
      <c r="B139" s="85" t="s">
        <v>350</v>
      </c>
      <c r="C139" s="85" t="s">
        <v>99</v>
      </c>
      <c r="D139" s="84" t="s">
        <v>84</v>
      </c>
      <c r="E139" s="84">
        <f>VLOOKUP(A139,'2a. SI Pop'!$A$5:$E$198,5,FALSE)</f>
        <v>4</v>
      </c>
      <c r="F139" s="89">
        <v>0</v>
      </c>
      <c r="G139" s="1">
        <f t="shared" si="133"/>
        <v>0</v>
      </c>
      <c r="H139" s="1">
        <f t="shared" ref="H139:AA139" si="139">G139</f>
        <v>0</v>
      </c>
      <c r="I139" s="1">
        <f t="shared" si="139"/>
        <v>0</v>
      </c>
      <c r="J139" s="1">
        <f t="shared" si="139"/>
        <v>0</v>
      </c>
      <c r="K139" s="1">
        <f t="shared" si="139"/>
        <v>0</v>
      </c>
      <c r="L139" s="1">
        <f t="shared" si="139"/>
        <v>0</v>
      </c>
      <c r="M139" s="1">
        <f t="shared" si="139"/>
        <v>0</v>
      </c>
      <c r="N139" s="1">
        <f t="shared" si="139"/>
        <v>0</v>
      </c>
      <c r="O139" s="1">
        <f t="shared" si="139"/>
        <v>0</v>
      </c>
      <c r="P139" s="1">
        <f t="shared" si="139"/>
        <v>0</v>
      </c>
      <c r="Q139" s="1">
        <f t="shared" si="139"/>
        <v>0</v>
      </c>
      <c r="R139" s="1">
        <f t="shared" si="139"/>
        <v>0</v>
      </c>
      <c r="S139" s="1">
        <f t="shared" si="139"/>
        <v>0</v>
      </c>
      <c r="T139" s="1">
        <f t="shared" si="139"/>
        <v>0</v>
      </c>
      <c r="U139" s="1">
        <f t="shared" si="139"/>
        <v>0</v>
      </c>
      <c r="V139" s="1">
        <f t="shared" si="139"/>
        <v>0</v>
      </c>
      <c r="W139" s="1">
        <f t="shared" si="139"/>
        <v>0</v>
      </c>
      <c r="X139" s="1">
        <f t="shared" si="139"/>
        <v>0</v>
      </c>
      <c r="Y139" s="1">
        <f t="shared" si="139"/>
        <v>0</v>
      </c>
      <c r="Z139" s="1">
        <f t="shared" si="139"/>
        <v>0</v>
      </c>
      <c r="AA139" s="1">
        <f t="shared" si="139"/>
        <v>0</v>
      </c>
    </row>
    <row r="140" spans="1:27">
      <c r="A140" s="84" t="s">
        <v>353</v>
      </c>
      <c r="B140" s="85" t="s">
        <v>352</v>
      </c>
      <c r="C140" s="85" t="s">
        <v>92</v>
      </c>
      <c r="D140" s="84" t="s">
        <v>80</v>
      </c>
      <c r="E140" s="84">
        <f>VLOOKUP(A140,'2a. SI Pop'!$A$5:$E$198,5,FALSE)</f>
        <v>1</v>
      </c>
      <c r="F140" s="89">
        <v>0</v>
      </c>
      <c r="G140" s="1">
        <f t="shared" si="133"/>
        <v>0</v>
      </c>
      <c r="H140" s="1">
        <f t="shared" ref="H140:AA140" si="140">G140</f>
        <v>0</v>
      </c>
      <c r="I140" s="1">
        <f t="shared" si="140"/>
        <v>0</v>
      </c>
      <c r="J140" s="1">
        <f t="shared" si="140"/>
        <v>0</v>
      </c>
      <c r="K140" s="1">
        <f t="shared" si="140"/>
        <v>0</v>
      </c>
      <c r="L140" s="1">
        <f t="shared" si="140"/>
        <v>0</v>
      </c>
      <c r="M140" s="1">
        <f t="shared" si="140"/>
        <v>0</v>
      </c>
      <c r="N140" s="1">
        <f t="shared" si="140"/>
        <v>0</v>
      </c>
      <c r="O140" s="1">
        <f t="shared" si="140"/>
        <v>0</v>
      </c>
      <c r="P140" s="1">
        <f t="shared" si="140"/>
        <v>0</v>
      </c>
      <c r="Q140" s="1">
        <f t="shared" si="140"/>
        <v>0</v>
      </c>
      <c r="R140" s="1">
        <f t="shared" si="140"/>
        <v>0</v>
      </c>
      <c r="S140" s="1">
        <f t="shared" si="140"/>
        <v>0</v>
      </c>
      <c r="T140" s="1">
        <f t="shared" si="140"/>
        <v>0</v>
      </c>
      <c r="U140" s="1">
        <f t="shared" si="140"/>
        <v>0</v>
      </c>
      <c r="V140" s="1">
        <f t="shared" si="140"/>
        <v>0</v>
      </c>
      <c r="W140" s="1">
        <f t="shared" si="140"/>
        <v>0</v>
      </c>
      <c r="X140" s="1">
        <f t="shared" si="140"/>
        <v>0</v>
      </c>
      <c r="Y140" s="1">
        <f t="shared" si="140"/>
        <v>0</v>
      </c>
      <c r="Z140" s="1">
        <f t="shared" si="140"/>
        <v>0</v>
      </c>
      <c r="AA140" s="1">
        <f t="shared" si="140"/>
        <v>0</v>
      </c>
    </row>
    <row r="141" spans="1:27">
      <c r="A141" s="84" t="s">
        <v>355</v>
      </c>
      <c r="B141" s="85" t="s">
        <v>354</v>
      </c>
      <c r="C141" s="85" t="s">
        <v>92</v>
      </c>
      <c r="D141" s="84" t="s">
        <v>80</v>
      </c>
      <c r="E141" s="84">
        <f>VLOOKUP(A141,'2a. SI Pop'!$A$5:$E$198,5,FALSE)</f>
        <v>2</v>
      </c>
      <c r="F141" s="89">
        <v>7941798.4860000005</v>
      </c>
      <c r="G141" s="1">
        <f t="shared" si="133"/>
        <v>7941798.4860000005</v>
      </c>
      <c r="H141" s="1">
        <f t="shared" ref="H141:AA141" si="141">G141</f>
        <v>7941798.4860000005</v>
      </c>
      <c r="I141" s="1">
        <f t="shared" si="141"/>
        <v>7941798.4860000005</v>
      </c>
      <c r="J141" s="1">
        <f t="shared" si="141"/>
        <v>7941798.4860000005</v>
      </c>
      <c r="K141" s="1">
        <f t="shared" si="141"/>
        <v>7941798.4860000005</v>
      </c>
      <c r="L141" s="1">
        <f t="shared" si="141"/>
        <v>7941798.4860000005</v>
      </c>
      <c r="M141" s="1">
        <f t="shared" si="141"/>
        <v>7941798.4860000005</v>
      </c>
      <c r="N141" s="1">
        <f t="shared" si="141"/>
        <v>7941798.4860000005</v>
      </c>
      <c r="O141" s="1">
        <f t="shared" si="141"/>
        <v>7941798.4860000005</v>
      </c>
      <c r="P141" s="1">
        <f t="shared" si="141"/>
        <v>7941798.4860000005</v>
      </c>
      <c r="Q141" s="1">
        <f t="shared" si="141"/>
        <v>7941798.4860000005</v>
      </c>
      <c r="R141" s="1">
        <f t="shared" si="141"/>
        <v>7941798.4860000005</v>
      </c>
      <c r="S141" s="1">
        <f t="shared" si="141"/>
        <v>7941798.4860000005</v>
      </c>
      <c r="T141" s="1">
        <f t="shared" si="141"/>
        <v>7941798.4860000005</v>
      </c>
      <c r="U141" s="1">
        <f t="shared" si="141"/>
        <v>7941798.4860000005</v>
      </c>
      <c r="V141" s="1">
        <f t="shared" si="141"/>
        <v>7941798.4860000005</v>
      </c>
      <c r="W141" s="1">
        <f t="shared" si="141"/>
        <v>7941798.4860000005</v>
      </c>
      <c r="X141" s="1">
        <f t="shared" si="141"/>
        <v>7941798.4860000005</v>
      </c>
      <c r="Y141" s="1">
        <f t="shared" si="141"/>
        <v>7941798.4860000005</v>
      </c>
      <c r="Z141" s="1">
        <f t="shared" si="141"/>
        <v>7941798.4860000005</v>
      </c>
      <c r="AA141" s="1">
        <f t="shared" si="141"/>
        <v>7941798.4860000005</v>
      </c>
    </row>
    <row r="142" spans="1:27">
      <c r="A142" s="84" t="s">
        <v>357</v>
      </c>
      <c r="B142" s="85" t="s">
        <v>356</v>
      </c>
      <c r="C142" s="85" t="s">
        <v>99</v>
      </c>
      <c r="D142" s="84" t="s">
        <v>84</v>
      </c>
      <c r="E142" s="84" t="str">
        <f>VLOOKUP(A142,'2a. SI Pop'!$A$5:$E$198,5,FALSE)</f>
        <v>Key</v>
      </c>
      <c r="F142" s="89">
        <v>17744206.542999998</v>
      </c>
      <c r="G142" s="1">
        <f t="shared" si="133"/>
        <v>17744206.542999998</v>
      </c>
      <c r="H142" s="1">
        <f t="shared" ref="H142:AA142" si="142">G142</f>
        <v>17744206.542999998</v>
      </c>
      <c r="I142" s="1">
        <f t="shared" si="142"/>
        <v>17744206.542999998</v>
      </c>
      <c r="J142" s="1">
        <f t="shared" si="142"/>
        <v>17744206.542999998</v>
      </c>
      <c r="K142" s="1">
        <f t="shared" si="142"/>
        <v>17744206.542999998</v>
      </c>
      <c r="L142" s="1">
        <f t="shared" si="142"/>
        <v>17744206.542999998</v>
      </c>
      <c r="M142" s="1">
        <f t="shared" si="142"/>
        <v>17744206.542999998</v>
      </c>
      <c r="N142" s="1">
        <f t="shared" si="142"/>
        <v>17744206.542999998</v>
      </c>
      <c r="O142" s="1">
        <f t="shared" si="142"/>
        <v>17744206.542999998</v>
      </c>
      <c r="P142" s="1">
        <f t="shared" si="142"/>
        <v>17744206.542999998</v>
      </c>
      <c r="Q142" s="1">
        <f t="shared" si="142"/>
        <v>17744206.542999998</v>
      </c>
      <c r="R142" s="1">
        <f t="shared" si="142"/>
        <v>17744206.542999998</v>
      </c>
      <c r="S142" s="1">
        <f t="shared" si="142"/>
        <v>17744206.542999998</v>
      </c>
      <c r="T142" s="1">
        <f t="shared" si="142"/>
        <v>17744206.542999998</v>
      </c>
      <c r="U142" s="1">
        <f t="shared" si="142"/>
        <v>17744206.542999998</v>
      </c>
      <c r="V142" s="1">
        <f t="shared" si="142"/>
        <v>17744206.542999998</v>
      </c>
      <c r="W142" s="1">
        <f t="shared" si="142"/>
        <v>17744206.542999998</v>
      </c>
      <c r="X142" s="1">
        <f t="shared" si="142"/>
        <v>17744206.542999998</v>
      </c>
      <c r="Y142" s="1">
        <f t="shared" si="142"/>
        <v>17744206.542999998</v>
      </c>
      <c r="Z142" s="1">
        <f t="shared" si="142"/>
        <v>17744206.542999998</v>
      </c>
      <c r="AA142" s="1">
        <f t="shared" si="142"/>
        <v>17744206.542999998</v>
      </c>
    </row>
    <row r="143" spans="1:27">
      <c r="A143" s="84" t="s">
        <v>359</v>
      </c>
      <c r="B143" s="85" t="s">
        <v>358</v>
      </c>
      <c r="C143" s="85" t="s">
        <v>79</v>
      </c>
      <c r="D143" s="84" t="s">
        <v>87</v>
      </c>
      <c r="E143" s="84">
        <f>VLOOKUP(A143,'2a. SI Pop'!$A$5:$E$198,5,FALSE)</f>
        <v>1</v>
      </c>
      <c r="F143" s="89">
        <v>0</v>
      </c>
      <c r="G143" s="1">
        <f t="shared" si="133"/>
        <v>0</v>
      </c>
      <c r="H143" s="1">
        <f t="shared" ref="H143:AA143" si="143">G143</f>
        <v>0</v>
      </c>
      <c r="I143" s="1">
        <f t="shared" si="143"/>
        <v>0</v>
      </c>
      <c r="J143" s="1">
        <f t="shared" si="143"/>
        <v>0</v>
      </c>
      <c r="K143" s="1">
        <f t="shared" si="143"/>
        <v>0</v>
      </c>
      <c r="L143" s="1">
        <f t="shared" si="143"/>
        <v>0</v>
      </c>
      <c r="M143" s="1">
        <f t="shared" si="143"/>
        <v>0</v>
      </c>
      <c r="N143" s="1">
        <f t="shared" si="143"/>
        <v>0</v>
      </c>
      <c r="O143" s="1">
        <f t="shared" si="143"/>
        <v>0</v>
      </c>
      <c r="P143" s="1">
        <f t="shared" si="143"/>
        <v>0</v>
      </c>
      <c r="Q143" s="1">
        <f t="shared" si="143"/>
        <v>0</v>
      </c>
      <c r="R143" s="1">
        <f t="shared" si="143"/>
        <v>0</v>
      </c>
      <c r="S143" s="1">
        <f t="shared" si="143"/>
        <v>0</v>
      </c>
      <c r="T143" s="1">
        <f t="shared" si="143"/>
        <v>0</v>
      </c>
      <c r="U143" s="1">
        <f t="shared" si="143"/>
        <v>0</v>
      </c>
      <c r="V143" s="1">
        <f t="shared" si="143"/>
        <v>0</v>
      </c>
      <c r="W143" s="1">
        <f t="shared" si="143"/>
        <v>0</v>
      </c>
      <c r="X143" s="1">
        <f t="shared" si="143"/>
        <v>0</v>
      </c>
      <c r="Y143" s="1">
        <f t="shared" si="143"/>
        <v>0</v>
      </c>
      <c r="Z143" s="1">
        <f t="shared" si="143"/>
        <v>0</v>
      </c>
      <c r="AA143" s="1">
        <f t="shared" si="143"/>
        <v>0</v>
      </c>
    </row>
    <row r="144" spans="1:27">
      <c r="A144" s="84" t="s">
        <v>361</v>
      </c>
      <c r="B144" s="85" t="s">
        <v>360</v>
      </c>
      <c r="C144" s="85" t="s">
        <v>79</v>
      </c>
      <c r="D144" s="84" t="s">
        <v>87</v>
      </c>
      <c r="E144" s="84">
        <f>VLOOKUP(A144,'2a. SI Pop'!$A$5:$E$198,5,FALSE)</f>
        <v>1</v>
      </c>
      <c r="F144" s="89">
        <v>0</v>
      </c>
      <c r="G144" s="1">
        <f t="shared" si="133"/>
        <v>0</v>
      </c>
      <c r="H144" s="1">
        <f t="shared" ref="H144:AA144" si="144">G144</f>
        <v>0</v>
      </c>
      <c r="I144" s="1">
        <f t="shared" si="144"/>
        <v>0</v>
      </c>
      <c r="J144" s="1">
        <f t="shared" si="144"/>
        <v>0</v>
      </c>
      <c r="K144" s="1">
        <f t="shared" si="144"/>
        <v>0</v>
      </c>
      <c r="L144" s="1">
        <f t="shared" si="144"/>
        <v>0</v>
      </c>
      <c r="M144" s="1">
        <f t="shared" si="144"/>
        <v>0</v>
      </c>
      <c r="N144" s="1">
        <f t="shared" si="144"/>
        <v>0</v>
      </c>
      <c r="O144" s="1">
        <f t="shared" si="144"/>
        <v>0</v>
      </c>
      <c r="P144" s="1">
        <f t="shared" si="144"/>
        <v>0</v>
      </c>
      <c r="Q144" s="1">
        <f t="shared" si="144"/>
        <v>0</v>
      </c>
      <c r="R144" s="1">
        <f t="shared" si="144"/>
        <v>0</v>
      </c>
      <c r="S144" s="1">
        <f t="shared" si="144"/>
        <v>0</v>
      </c>
      <c r="T144" s="1">
        <f t="shared" si="144"/>
        <v>0</v>
      </c>
      <c r="U144" s="1">
        <f t="shared" si="144"/>
        <v>0</v>
      </c>
      <c r="V144" s="1">
        <f t="shared" si="144"/>
        <v>0</v>
      </c>
      <c r="W144" s="1">
        <f t="shared" si="144"/>
        <v>0</v>
      </c>
      <c r="X144" s="1">
        <f t="shared" si="144"/>
        <v>0</v>
      </c>
      <c r="Y144" s="1">
        <f t="shared" si="144"/>
        <v>0</v>
      </c>
      <c r="Z144" s="1">
        <f t="shared" si="144"/>
        <v>0</v>
      </c>
      <c r="AA144" s="1">
        <f t="shared" si="144"/>
        <v>0</v>
      </c>
    </row>
    <row r="145" spans="1:27">
      <c r="A145" s="84" t="s">
        <v>363</v>
      </c>
      <c r="B145" s="85" t="s">
        <v>362</v>
      </c>
      <c r="C145" s="85" t="s">
        <v>74</v>
      </c>
      <c r="D145" s="84" t="s">
        <v>87</v>
      </c>
      <c r="E145" s="84">
        <f>VLOOKUP(A145,'2a. SI Pop'!$A$5:$E$198,5,FALSE)</f>
        <v>1</v>
      </c>
      <c r="F145" s="89">
        <v>0</v>
      </c>
      <c r="G145" s="1">
        <f t="shared" si="133"/>
        <v>0</v>
      </c>
      <c r="H145" s="1">
        <f t="shared" ref="H145:AA145" si="145">G145</f>
        <v>0</v>
      </c>
      <c r="I145" s="1">
        <f t="shared" si="145"/>
        <v>0</v>
      </c>
      <c r="J145" s="1">
        <f t="shared" si="145"/>
        <v>0</v>
      </c>
      <c r="K145" s="1">
        <f t="shared" si="145"/>
        <v>0</v>
      </c>
      <c r="L145" s="1">
        <f t="shared" si="145"/>
        <v>0</v>
      </c>
      <c r="M145" s="1">
        <f t="shared" si="145"/>
        <v>0</v>
      </c>
      <c r="N145" s="1">
        <f t="shared" si="145"/>
        <v>0</v>
      </c>
      <c r="O145" s="1">
        <f t="shared" si="145"/>
        <v>0</v>
      </c>
      <c r="P145" s="1">
        <f t="shared" si="145"/>
        <v>0</v>
      </c>
      <c r="Q145" s="1">
        <f t="shared" si="145"/>
        <v>0</v>
      </c>
      <c r="R145" s="1">
        <f t="shared" si="145"/>
        <v>0</v>
      </c>
      <c r="S145" s="1">
        <f t="shared" si="145"/>
        <v>0</v>
      </c>
      <c r="T145" s="1">
        <f t="shared" si="145"/>
        <v>0</v>
      </c>
      <c r="U145" s="1">
        <f t="shared" si="145"/>
        <v>0</v>
      </c>
      <c r="V145" s="1">
        <f t="shared" si="145"/>
        <v>0</v>
      </c>
      <c r="W145" s="1">
        <f t="shared" si="145"/>
        <v>0</v>
      </c>
      <c r="X145" s="1">
        <f t="shared" si="145"/>
        <v>0</v>
      </c>
      <c r="Y145" s="1">
        <f t="shared" si="145"/>
        <v>0</v>
      </c>
      <c r="Z145" s="1">
        <f t="shared" si="145"/>
        <v>0</v>
      </c>
      <c r="AA145" s="1">
        <f t="shared" si="145"/>
        <v>0</v>
      </c>
    </row>
    <row r="146" spans="1:27">
      <c r="A146" s="84" t="s">
        <v>365</v>
      </c>
      <c r="B146" s="85" t="s">
        <v>364</v>
      </c>
      <c r="C146" s="85" t="s">
        <v>79</v>
      </c>
      <c r="D146" s="84" t="s">
        <v>87</v>
      </c>
      <c r="E146" s="84">
        <f>VLOOKUP(A146,'2a. SI Pop'!$A$5:$E$198,5,FALSE)</f>
        <v>2</v>
      </c>
      <c r="F146" s="89">
        <v>0</v>
      </c>
      <c r="G146" s="1">
        <f t="shared" si="133"/>
        <v>0</v>
      </c>
      <c r="H146" s="1">
        <f t="shared" ref="H146:AA146" si="146">G146</f>
        <v>0</v>
      </c>
      <c r="I146" s="1">
        <f t="shared" si="146"/>
        <v>0</v>
      </c>
      <c r="J146" s="1">
        <f t="shared" si="146"/>
        <v>0</v>
      </c>
      <c r="K146" s="1">
        <f t="shared" si="146"/>
        <v>0</v>
      </c>
      <c r="L146" s="1">
        <f t="shared" si="146"/>
        <v>0</v>
      </c>
      <c r="M146" s="1">
        <f t="shared" si="146"/>
        <v>0</v>
      </c>
      <c r="N146" s="1">
        <f t="shared" si="146"/>
        <v>0</v>
      </c>
      <c r="O146" s="1">
        <f t="shared" si="146"/>
        <v>0</v>
      </c>
      <c r="P146" s="1">
        <f t="shared" si="146"/>
        <v>0</v>
      </c>
      <c r="Q146" s="1">
        <f t="shared" si="146"/>
        <v>0</v>
      </c>
      <c r="R146" s="1">
        <f t="shared" si="146"/>
        <v>0</v>
      </c>
      <c r="S146" s="1">
        <f t="shared" si="146"/>
        <v>0</v>
      </c>
      <c r="T146" s="1">
        <f t="shared" si="146"/>
        <v>0</v>
      </c>
      <c r="U146" s="1">
        <f t="shared" si="146"/>
        <v>0</v>
      </c>
      <c r="V146" s="1">
        <f t="shared" si="146"/>
        <v>0</v>
      </c>
      <c r="W146" s="1">
        <f t="shared" si="146"/>
        <v>0</v>
      </c>
      <c r="X146" s="1">
        <f t="shared" si="146"/>
        <v>0</v>
      </c>
      <c r="Y146" s="1">
        <f t="shared" si="146"/>
        <v>0</v>
      </c>
      <c r="Z146" s="1">
        <f t="shared" si="146"/>
        <v>0</v>
      </c>
      <c r="AA146" s="1">
        <f t="shared" si="146"/>
        <v>0</v>
      </c>
    </row>
    <row r="147" spans="1:27">
      <c r="A147" s="84" t="s">
        <v>367</v>
      </c>
      <c r="B147" s="85" t="s">
        <v>366</v>
      </c>
      <c r="C147" s="85" t="s">
        <v>79</v>
      </c>
      <c r="D147" s="84" t="s">
        <v>80</v>
      </c>
      <c r="E147" s="84">
        <f>VLOOKUP(A147,'2a. SI Pop'!$A$5:$E$198,5,FALSE)</f>
        <v>2</v>
      </c>
      <c r="F147" s="89">
        <v>0</v>
      </c>
      <c r="G147" s="1">
        <f t="shared" si="133"/>
        <v>0</v>
      </c>
      <c r="H147" s="1">
        <f t="shared" ref="H147:AA147" si="147">G147</f>
        <v>0</v>
      </c>
      <c r="I147" s="1">
        <f t="shared" si="147"/>
        <v>0</v>
      </c>
      <c r="J147" s="1">
        <f t="shared" si="147"/>
        <v>0</v>
      </c>
      <c r="K147" s="1">
        <f t="shared" si="147"/>
        <v>0</v>
      </c>
      <c r="L147" s="1">
        <f t="shared" si="147"/>
        <v>0</v>
      </c>
      <c r="M147" s="1">
        <f t="shared" si="147"/>
        <v>0</v>
      </c>
      <c r="N147" s="1">
        <f t="shared" si="147"/>
        <v>0</v>
      </c>
      <c r="O147" s="1">
        <f t="shared" si="147"/>
        <v>0</v>
      </c>
      <c r="P147" s="1">
        <f t="shared" si="147"/>
        <v>0</v>
      </c>
      <c r="Q147" s="1">
        <f t="shared" si="147"/>
        <v>0</v>
      </c>
      <c r="R147" s="1">
        <f t="shared" si="147"/>
        <v>0</v>
      </c>
      <c r="S147" s="1">
        <f t="shared" si="147"/>
        <v>0</v>
      </c>
      <c r="T147" s="1">
        <f t="shared" si="147"/>
        <v>0</v>
      </c>
      <c r="U147" s="1">
        <f t="shared" si="147"/>
        <v>0</v>
      </c>
      <c r="V147" s="1">
        <f t="shared" si="147"/>
        <v>0</v>
      </c>
      <c r="W147" s="1">
        <f t="shared" si="147"/>
        <v>0</v>
      </c>
      <c r="X147" s="1">
        <f t="shared" si="147"/>
        <v>0</v>
      </c>
      <c r="Y147" s="1">
        <f t="shared" si="147"/>
        <v>0</v>
      </c>
      <c r="Z147" s="1">
        <f t="shared" si="147"/>
        <v>0</v>
      </c>
      <c r="AA147" s="1">
        <f t="shared" si="147"/>
        <v>0</v>
      </c>
    </row>
    <row r="148" spans="1:27">
      <c r="A148" s="84" t="s">
        <v>369</v>
      </c>
      <c r="B148" s="85" t="s">
        <v>368</v>
      </c>
      <c r="C148" s="85" t="s">
        <v>83</v>
      </c>
      <c r="D148" s="84" t="s">
        <v>75</v>
      </c>
      <c r="E148" s="84">
        <f>VLOOKUP(A148,'2a. SI Pop'!$A$5:$E$198,5,FALSE)</f>
        <v>3</v>
      </c>
      <c r="F148" s="89">
        <v>1000457.92</v>
      </c>
      <c r="G148" s="1">
        <f t="shared" si="133"/>
        <v>1000457.92</v>
      </c>
      <c r="H148" s="1">
        <f t="shared" ref="H148:AA148" si="148">G148</f>
        <v>1000457.92</v>
      </c>
      <c r="I148" s="1">
        <f t="shared" si="148"/>
        <v>1000457.92</v>
      </c>
      <c r="J148" s="1">
        <f t="shared" si="148"/>
        <v>1000457.92</v>
      </c>
      <c r="K148" s="1">
        <f t="shared" si="148"/>
        <v>1000457.92</v>
      </c>
      <c r="L148" s="1">
        <f t="shared" si="148"/>
        <v>1000457.92</v>
      </c>
      <c r="M148" s="1">
        <f t="shared" si="148"/>
        <v>1000457.92</v>
      </c>
      <c r="N148" s="1">
        <f t="shared" si="148"/>
        <v>1000457.92</v>
      </c>
      <c r="O148" s="1">
        <f t="shared" si="148"/>
        <v>1000457.92</v>
      </c>
      <c r="P148" s="1">
        <f t="shared" si="148"/>
        <v>1000457.92</v>
      </c>
      <c r="Q148" s="1">
        <f t="shared" si="148"/>
        <v>1000457.92</v>
      </c>
      <c r="R148" s="1">
        <f t="shared" si="148"/>
        <v>1000457.92</v>
      </c>
      <c r="S148" s="1">
        <f t="shared" si="148"/>
        <v>1000457.92</v>
      </c>
      <c r="T148" s="1">
        <f t="shared" si="148"/>
        <v>1000457.92</v>
      </c>
      <c r="U148" s="1">
        <f t="shared" si="148"/>
        <v>1000457.92</v>
      </c>
      <c r="V148" s="1">
        <f t="shared" si="148"/>
        <v>1000457.92</v>
      </c>
      <c r="W148" s="1">
        <f t="shared" si="148"/>
        <v>1000457.92</v>
      </c>
      <c r="X148" s="1">
        <f t="shared" si="148"/>
        <v>1000457.92</v>
      </c>
      <c r="Y148" s="1">
        <f t="shared" si="148"/>
        <v>1000457.92</v>
      </c>
      <c r="Z148" s="1">
        <f t="shared" si="148"/>
        <v>1000457.92</v>
      </c>
      <c r="AA148" s="1">
        <f t="shared" si="148"/>
        <v>1000457.92</v>
      </c>
    </row>
    <row r="149" spans="1:27">
      <c r="A149" s="84" t="s">
        <v>371</v>
      </c>
      <c r="B149" s="85" t="s">
        <v>370</v>
      </c>
      <c r="C149" s="85" t="s">
        <v>92</v>
      </c>
      <c r="D149" s="84" t="s">
        <v>87</v>
      </c>
      <c r="E149" s="84">
        <f>VLOOKUP(A149,'2a. SI Pop'!$A$5:$E$198,5,FALSE)</f>
        <v>1</v>
      </c>
      <c r="F149" s="89">
        <v>0</v>
      </c>
      <c r="G149" s="1">
        <f t="shared" si="133"/>
        <v>0</v>
      </c>
      <c r="H149" s="1">
        <f t="shared" ref="H149:AA149" si="149">G149</f>
        <v>0</v>
      </c>
      <c r="I149" s="1">
        <f t="shared" si="149"/>
        <v>0</v>
      </c>
      <c r="J149" s="1">
        <f t="shared" si="149"/>
        <v>0</v>
      </c>
      <c r="K149" s="1">
        <f t="shared" si="149"/>
        <v>0</v>
      </c>
      <c r="L149" s="1">
        <f t="shared" si="149"/>
        <v>0</v>
      </c>
      <c r="M149" s="1">
        <f t="shared" si="149"/>
        <v>0</v>
      </c>
      <c r="N149" s="1">
        <f t="shared" si="149"/>
        <v>0</v>
      </c>
      <c r="O149" s="1">
        <f t="shared" si="149"/>
        <v>0</v>
      </c>
      <c r="P149" s="1">
        <f t="shared" si="149"/>
        <v>0</v>
      </c>
      <c r="Q149" s="1">
        <f t="shared" si="149"/>
        <v>0</v>
      </c>
      <c r="R149" s="1">
        <f t="shared" si="149"/>
        <v>0</v>
      </c>
      <c r="S149" s="1">
        <f t="shared" si="149"/>
        <v>0</v>
      </c>
      <c r="T149" s="1">
        <f t="shared" si="149"/>
        <v>0</v>
      </c>
      <c r="U149" s="1">
        <f t="shared" si="149"/>
        <v>0</v>
      </c>
      <c r="V149" s="1">
        <f t="shared" si="149"/>
        <v>0</v>
      </c>
      <c r="W149" s="1">
        <f t="shared" si="149"/>
        <v>0</v>
      </c>
      <c r="X149" s="1">
        <f t="shared" si="149"/>
        <v>0</v>
      </c>
      <c r="Y149" s="1">
        <f t="shared" si="149"/>
        <v>0</v>
      </c>
      <c r="Z149" s="1">
        <f t="shared" si="149"/>
        <v>0</v>
      </c>
      <c r="AA149" s="1">
        <f t="shared" si="149"/>
        <v>0</v>
      </c>
    </row>
    <row r="150" spans="1:27">
      <c r="A150" s="84" t="s">
        <v>373</v>
      </c>
      <c r="B150" s="85" t="s">
        <v>372</v>
      </c>
      <c r="C150" s="85" t="s">
        <v>92</v>
      </c>
      <c r="D150" s="84" t="s">
        <v>80</v>
      </c>
      <c r="E150" s="84">
        <f>VLOOKUP(A150,'2a. SI Pop'!$A$5:$E$198,5,FALSE)</f>
        <v>1</v>
      </c>
      <c r="F150" s="89">
        <v>0</v>
      </c>
      <c r="G150" s="1">
        <f t="shared" si="133"/>
        <v>0</v>
      </c>
      <c r="H150" s="1">
        <f t="shared" ref="H150:AA150" si="150">G150</f>
        <v>0</v>
      </c>
      <c r="I150" s="1">
        <f t="shared" si="150"/>
        <v>0</v>
      </c>
      <c r="J150" s="1">
        <f t="shared" si="150"/>
        <v>0</v>
      </c>
      <c r="K150" s="1">
        <f t="shared" si="150"/>
        <v>0</v>
      </c>
      <c r="L150" s="1">
        <f t="shared" si="150"/>
        <v>0</v>
      </c>
      <c r="M150" s="1">
        <f t="shared" si="150"/>
        <v>0</v>
      </c>
      <c r="N150" s="1">
        <f t="shared" si="150"/>
        <v>0</v>
      </c>
      <c r="O150" s="1">
        <f t="shared" si="150"/>
        <v>0</v>
      </c>
      <c r="P150" s="1">
        <f t="shared" si="150"/>
        <v>0</v>
      </c>
      <c r="Q150" s="1">
        <f t="shared" si="150"/>
        <v>0</v>
      </c>
      <c r="R150" s="1">
        <f t="shared" si="150"/>
        <v>0</v>
      </c>
      <c r="S150" s="1">
        <f t="shared" si="150"/>
        <v>0</v>
      </c>
      <c r="T150" s="1">
        <f t="shared" si="150"/>
        <v>0</v>
      </c>
      <c r="U150" s="1">
        <f t="shared" si="150"/>
        <v>0</v>
      </c>
      <c r="V150" s="1">
        <f t="shared" si="150"/>
        <v>0</v>
      </c>
      <c r="W150" s="1">
        <f t="shared" si="150"/>
        <v>0</v>
      </c>
      <c r="X150" s="1">
        <f t="shared" si="150"/>
        <v>0</v>
      </c>
      <c r="Y150" s="1">
        <f t="shared" si="150"/>
        <v>0</v>
      </c>
      <c r="Z150" s="1">
        <f t="shared" si="150"/>
        <v>0</v>
      </c>
      <c r="AA150" s="1">
        <f t="shared" si="150"/>
        <v>0</v>
      </c>
    </row>
    <row r="151" spans="1:27">
      <c r="A151" s="84" t="s">
        <v>375</v>
      </c>
      <c r="B151" s="85" t="s">
        <v>374</v>
      </c>
      <c r="C151" s="85" t="s">
        <v>92</v>
      </c>
      <c r="D151" s="84" t="s">
        <v>80</v>
      </c>
      <c r="E151" s="84">
        <f>VLOOKUP(A151,'2a. SI Pop'!$A$5:$E$198,5,FALSE)</f>
        <v>1</v>
      </c>
      <c r="F151" s="89">
        <v>0</v>
      </c>
      <c r="G151" s="1">
        <f t="shared" si="133"/>
        <v>0</v>
      </c>
      <c r="H151" s="1">
        <f t="shared" ref="H151:AA151" si="151">G151</f>
        <v>0</v>
      </c>
      <c r="I151" s="1">
        <f t="shared" si="151"/>
        <v>0</v>
      </c>
      <c r="J151" s="1">
        <f t="shared" si="151"/>
        <v>0</v>
      </c>
      <c r="K151" s="1">
        <f t="shared" si="151"/>
        <v>0</v>
      </c>
      <c r="L151" s="1">
        <f t="shared" si="151"/>
        <v>0</v>
      </c>
      <c r="M151" s="1">
        <f t="shared" si="151"/>
        <v>0</v>
      </c>
      <c r="N151" s="1">
        <f t="shared" si="151"/>
        <v>0</v>
      </c>
      <c r="O151" s="1">
        <f t="shared" si="151"/>
        <v>0</v>
      </c>
      <c r="P151" s="1">
        <f t="shared" si="151"/>
        <v>0</v>
      </c>
      <c r="Q151" s="1">
        <f t="shared" si="151"/>
        <v>0</v>
      </c>
      <c r="R151" s="1">
        <f t="shared" si="151"/>
        <v>0</v>
      </c>
      <c r="S151" s="1">
        <f t="shared" si="151"/>
        <v>0</v>
      </c>
      <c r="T151" s="1">
        <f t="shared" si="151"/>
        <v>0</v>
      </c>
      <c r="U151" s="1">
        <f t="shared" si="151"/>
        <v>0</v>
      </c>
      <c r="V151" s="1">
        <f t="shared" si="151"/>
        <v>0</v>
      </c>
      <c r="W151" s="1">
        <f t="shared" si="151"/>
        <v>0</v>
      </c>
      <c r="X151" s="1">
        <f t="shared" si="151"/>
        <v>0</v>
      </c>
      <c r="Y151" s="1">
        <f t="shared" si="151"/>
        <v>0</v>
      </c>
      <c r="Z151" s="1">
        <f t="shared" si="151"/>
        <v>0</v>
      </c>
      <c r="AA151" s="1">
        <f t="shared" si="151"/>
        <v>0</v>
      </c>
    </row>
    <row r="152" spans="1:27">
      <c r="A152" s="84" t="s">
        <v>377</v>
      </c>
      <c r="B152" s="85" t="s">
        <v>376</v>
      </c>
      <c r="C152" s="85" t="s">
        <v>99</v>
      </c>
      <c r="D152" s="84" t="s">
        <v>80</v>
      </c>
      <c r="E152" s="84">
        <f>VLOOKUP(A152,'2a. SI Pop'!$A$5:$E$198,5,FALSE)</f>
        <v>2</v>
      </c>
      <c r="F152" s="89">
        <v>0</v>
      </c>
      <c r="G152" s="1">
        <f t="shared" si="133"/>
        <v>0</v>
      </c>
      <c r="H152" s="1">
        <f t="shared" ref="H152:AA152" si="152">G152</f>
        <v>0</v>
      </c>
      <c r="I152" s="1">
        <f t="shared" si="152"/>
        <v>0</v>
      </c>
      <c r="J152" s="1">
        <f t="shared" si="152"/>
        <v>0</v>
      </c>
      <c r="K152" s="1">
        <f t="shared" si="152"/>
        <v>0</v>
      </c>
      <c r="L152" s="1">
        <f t="shared" si="152"/>
        <v>0</v>
      </c>
      <c r="M152" s="1">
        <f t="shared" si="152"/>
        <v>0</v>
      </c>
      <c r="N152" s="1">
        <f t="shared" si="152"/>
        <v>0</v>
      </c>
      <c r="O152" s="1">
        <f t="shared" si="152"/>
        <v>0</v>
      </c>
      <c r="P152" s="1">
        <f t="shared" si="152"/>
        <v>0</v>
      </c>
      <c r="Q152" s="1">
        <f t="shared" si="152"/>
        <v>0</v>
      </c>
      <c r="R152" s="1">
        <f t="shared" si="152"/>
        <v>0</v>
      </c>
      <c r="S152" s="1">
        <f t="shared" si="152"/>
        <v>0</v>
      </c>
      <c r="T152" s="1">
        <f t="shared" si="152"/>
        <v>0</v>
      </c>
      <c r="U152" s="1">
        <f t="shared" si="152"/>
        <v>0</v>
      </c>
      <c r="V152" s="1">
        <f t="shared" si="152"/>
        <v>0</v>
      </c>
      <c r="W152" s="1">
        <f t="shared" si="152"/>
        <v>0</v>
      </c>
      <c r="X152" s="1">
        <f t="shared" si="152"/>
        <v>0</v>
      </c>
      <c r="Y152" s="1">
        <f t="shared" si="152"/>
        <v>0</v>
      </c>
      <c r="Z152" s="1">
        <f t="shared" si="152"/>
        <v>0</v>
      </c>
      <c r="AA152" s="1">
        <f t="shared" si="152"/>
        <v>0</v>
      </c>
    </row>
    <row r="153" spans="1:27">
      <c r="A153" s="84" t="s">
        <v>379</v>
      </c>
      <c r="B153" s="85" t="s">
        <v>378</v>
      </c>
      <c r="C153" s="85" t="s">
        <v>79</v>
      </c>
      <c r="D153" s="84" t="s">
        <v>87</v>
      </c>
      <c r="E153" s="84">
        <f>VLOOKUP(A153,'2a. SI Pop'!$A$5:$E$198,5,FALSE)</f>
        <v>1</v>
      </c>
      <c r="F153" s="89">
        <v>0</v>
      </c>
      <c r="G153" s="1">
        <f t="shared" si="133"/>
        <v>0</v>
      </c>
      <c r="H153" s="1">
        <f t="shared" ref="H153:AA153" si="153">G153</f>
        <v>0</v>
      </c>
      <c r="I153" s="1">
        <f t="shared" si="153"/>
        <v>0</v>
      </c>
      <c r="J153" s="1">
        <f t="shared" si="153"/>
        <v>0</v>
      </c>
      <c r="K153" s="1">
        <f t="shared" si="153"/>
        <v>0</v>
      </c>
      <c r="L153" s="1">
        <f t="shared" si="153"/>
        <v>0</v>
      </c>
      <c r="M153" s="1">
        <f t="shared" si="153"/>
        <v>0</v>
      </c>
      <c r="N153" s="1">
        <f t="shared" si="153"/>
        <v>0</v>
      </c>
      <c r="O153" s="1">
        <f t="shared" si="153"/>
        <v>0</v>
      </c>
      <c r="P153" s="1">
        <f t="shared" si="153"/>
        <v>0</v>
      </c>
      <c r="Q153" s="1">
        <f t="shared" si="153"/>
        <v>0</v>
      </c>
      <c r="R153" s="1">
        <f t="shared" si="153"/>
        <v>0</v>
      </c>
      <c r="S153" s="1">
        <f t="shared" si="153"/>
        <v>0</v>
      </c>
      <c r="T153" s="1">
        <f t="shared" si="153"/>
        <v>0</v>
      </c>
      <c r="U153" s="1">
        <f t="shared" si="153"/>
        <v>0</v>
      </c>
      <c r="V153" s="1">
        <f t="shared" si="153"/>
        <v>0</v>
      </c>
      <c r="W153" s="1">
        <f t="shared" si="153"/>
        <v>0</v>
      </c>
      <c r="X153" s="1">
        <f t="shared" si="153"/>
        <v>0</v>
      </c>
      <c r="Y153" s="1">
        <f t="shared" si="153"/>
        <v>0</v>
      </c>
      <c r="Z153" s="1">
        <f t="shared" si="153"/>
        <v>0</v>
      </c>
      <c r="AA153" s="1">
        <f t="shared" si="153"/>
        <v>0</v>
      </c>
    </row>
    <row r="154" spans="1:27">
      <c r="A154" s="84" t="s">
        <v>381</v>
      </c>
      <c r="B154" s="85" t="s">
        <v>380</v>
      </c>
      <c r="C154" s="85" t="s">
        <v>83</v>
      </c>
      <c r="D154" s="84" t="s">
        <v>84</v>
      </c>
      <c r="E154" s="84">
        <f>VLOOKUP(A154,'2a. SI Pop'!$A$5:$E$198,5,FALSE)</f>
        <v>3</v>
      </c>
      <c r="F154" s="89">
        <v>117316.15399999999</v>
      </c>
      <c r="G154" s="1">
        <f t="shared" si="133"/>
        <v>117316.15399999999</v>
      </c>
      <c r="H154" s="1">
        <f t="shared" ref="H154:AA154" si="154">G154</f>
        <v>117316.15399999999</v>
      </c>
      <c r="I154" s="1">
        <f t="shared" si="154"/>
        <v>117316.15399999999</v>
      </c>
      <c r="J154" s="1">
        <f t="shared" si="154"/>
        <v>117316.15399999999</v>
      </c>
      <c r="K154" s="1">
        <f t="shared" si="154"/>
        <v>117316.15399999999</v>
      </c>
      <c r="L154" s="1">
        <f t="shared" si="154"/>
        <v>117316.15399999999</v>
      </c>
      <c r="M154" s="1">
        <f t="shared" si="154"/>
        <v>117316.15399999999</v>
      </c>
      <c r="N154" s="1">
        <f t="shared" si="154"/>
        <v>117316.15399999999</v>
      </c>
      <c r="O154" s="1">
        <f t="shared" si="154"/>
        <v>117316.15399999999</v>
      </c>
      <c r="P154" s="1">
        <f t="shared" si="154"/>
        <v>117316.15399999999</v>
      </c>
      <c r="Q154" s="1">
        <f t="shared" si="154"/>
        <v>117316.15399999999</v>
      </c>
      <c r="R154" s="1">
        <f t="shared" si="154"/>
        <v>117316.15399999999</v>
      </c>
      <c r="S154" s="1">
        <f t="shared" si="154"/>
        <v>117316.15399999999</v>
      </c>
      <c r="T154" s="1">
        <f t="shared" si="154"/>
        <v>117316.15399999999</v>
      </c>
      <c r="U154" s="1">
        <f t="shared" si="154"/>
        <v>117316.15399999999</v>
      </c>
      <c r="V154" s="1">
        <f t="shared" si="154"/>
        <v>117316.15399999999</v>
      </c>
      <c r="W154" s="1">
        <f t="shared" si="154"/>
        <v>117316.15399999999</v>
      </c>
      <c r="X154" s="1">
        <f t="shared" si="154"/>
        <v>117316.15399999999</v>
      </c>
      <c r="Y154" s="1">
        <f t="shared" si="154"/>
        <v>117316.15399999999</v>
      </c>
      <c r="Z154" s="1">
        <f t="shared" si="154"/>
        <v>117316.15399999999</v>
      </c>
      <c r="AA154" s="1">
        <f t="shared" si="154"/>
        <v>117316.15399999999</v>
      </c>
    </row>
    <row r="155" spans="1:27">
      <c r="A155" s="84" t="s">
        <v>383</v>
      </c>
      <c r="B155" s="85" t="s">
        <v>382</v>
      </c>
      <c r="C155" s="85" t="s">
        <v>74</v>
      </c>
      <c r="D155" s="84" t="s">
        <v>87</v>
      </c>
      <c r="E155" s="84">
        <f>VLOOKUP(A155,'2a. SI Pop'!$A$5:$E$198,5,FALSE)</f>
        <v>1</v>
      </c>
      <c r="F155" s="89">
        <v>0</v>
      </c>
      <c r="G155" s="1">
        <f t="shared" si="133"/>
        <v>0</v>
      </c>
      <c r="H155" s="1">
        <f t="shared" ref="H155:AA155" si="155">G155</f>
        <v>0</v>
      </c>
      <c r="I155" s="1">
        <f t="shared" si="155"/>
        <v>0</v>
      </c>
      <c r="J155" s="1">
        <f t="shared" si="155"/>
        <v>0</v>
      </c>
      <c r="K155" s="1">
        <f t="shared" si="155"/>
        <v>0</v>
      </c>
      <c r="L155" s="1">
        <f t="shared" si="155"/>
        <v>0</v>
      </c>
      <c r="M155" s="1">
        <f t="shared" si="155"/>
        <v>0</v>
      </c>
      <c r="N155" s="1">
        <f t="shared" si="155"/>
        <v>0</v>
      </c>
      <c r="O155" s="1">
        <f t="shared" si="155"/>
        <v>0</v>
      </c>
      <c r="P155" s="1">
        <f t="shared" si="155"/>
        <v>0</v>
      </c>
      <c r="Q155" s="1">
        <f t="shared" si="155"/>
        <v>0</v>
      </c>
      <c r="R155" s="1">
        <f t="shared" si="155"/>
        <v>0</v>
      </c>
      <c r="S155" s="1">
        <f t="shared" si="155"/>
        <v>0</v>
      </c>
      <c r="T155" s="1">
        <f t="shared" si="155"/>
        <v>0</v>
      </c>
      <c r="U155" s="1">
        <f t="shared" si="155"/>
        <v>0</v>
      </c>
      <c r="V155" s="1">
        <f t="shared" si="155"/>
        <v>0</v>
      </c>
      <c r="W155" s="1">
        <f t="shared" si="155"/>
        <v>0</v>
      </c>
      <c r="X155" s="1">
        <f t="shared" si="155"/>
        <v>0</v>
      </c>
      <c r="Y155" s="1">
        <f t="shared" si="155"/>
        <v>0</v>
      </c>
      <c r="Z155" s="1">
        <f t="shared" si="155"/>
        <v>0</v>
      </c>
      <c r="AA155" s="1">
        <f t="shared" si="155"/>
        <v>0</v>
      </c>
    </row>
    <row r="156" spans="1:27">
      <c r="A156" s="84" t="s">
        <v>385</v>
      </c>
      <c r="B156" s="85" t="s">
        <v>384</v>
      </c>
      <c r="C156" s="85" t="s">
        <v>83</v>
      </c>
      <c r="D156" s="84" t="s">
        <v>84</v>
      </c>
      <c r="E156" s="84">
        <f>VLOOKUP(A156,'2a. SI Pop'!$A$5:$E$198,5,FALSE)</f>
        <v>3</v>
      </c>
      <c r="F156" s="89">
        <v>2537529.8139999998</v>
      </c>
      <c r="G156" s="1">
        <f t="shared" si="133"/>
        <v>2537529.8139999998</v>
      </c>
      <c r="H156" s="1">
        <f t="shared" ref="H156:AA156" si="156">G156</f>
        <v>2537529.8139999998</v>
      </c>
      <c r="I156" s="1">
        <f t="shared" si="156"/>
        <v>2537529.8139999998</v>
      </c>
      <c r="J156" s="1">
        <f t="shared" si="156"/>
        <v>2537529.8139999998</v>
      </c>
      <c r="K156" s="1">
        <f t="shared" si="156"/>
        <v>2537529.8139999998</v>
      </c>
      <c r="L156" s="1">
        <f t="shared" si="156"/>
        <v>2537529.8139999998</v>
      </c>
      <c r="M156" s="1">
        <f t="shared" si="156"/>
        <v>2537529.8139999998</v>
      </c>
      <c r="N156" s="1">
        <f t="shared" si="156"/>
        <v>2537529.8139999998</v>
      </c>
      <c r="O156" s="1">
        <f t="shared" si="156"/>
        <v>2537529.8139999998</v>
      </c>
      <c r="P156" s="1">
        <f t="shared" si="156"/>
        <v>2537529.8139999998</v>
      </c>
      <c r="Q156" s="1">
        <f t="shared" si="156"/>
        <v>2537529.8139999998</v>
      </c>
      <c r="R156" s="1">
        <f t="shared" si="156"/>
        <v>2537529.8139999998</v>
      </c>
      <c r="S156" s="1">
        <f t="shared" si="156"/>
        <v>2537529.8139999998</v>
      </c>
      <c r="T156" s="1">
        <f t="shared" si="156"/>
        <v>2537529.8139999998</v>
      </c>
      <c r="U156" s="1">
        <f t="shared" si="156"/>
        <v>2537529.8139999998</v>
      </c>
      <c r="V156" s="1">
        <f t="shared" si="156"/>
        <v>2537529.8139999998</v>
      </c>
      <c r="W156" s="1">
        <f t="shared" si="156"/>
        <v>2537529.8139999998</v>
      </c>
      <c r="X156" s="1">
        <f t="shared" si="156"/>
        <v>2537529.8139999998</v>
      </c>
      <c r="Y156" s="1">
        <f t="shared" si="156"/>
        <v>2537529.8139999998</v>
      </c>
      <c r="Z156" s="1">
        <f t="shared" si="156"/>
        <v>2537529.8139999998</v>
      </c>
      <c r="AA156" s="1">
        <f t="shared" si="156"/>
        <v>2537529.8139999998</v>
      </c>
    </row>
    <row r="157" spans="1:27">
      <c r="A157" s="84" t="s">
        <v>387</v>
      </c>
      <c r="B157" s="85" t="s">
        <v>386</v>
      </c>
      <c r="C157" s="85" t="s">
        <v>79</v>
      </c>
      <c r="D157" s="84" t="s">
        <v>80</v>
      </c>
      <c r="E157" s="84">
        <f>VLOOKUP(A157,'2a. SI Pop'!$A$5:$E$198,5,FALSE)</f>
        <v>1</v>
      </c>
      <c r="F157" s="89">
        <v>0</v>
      </c>
      <c r="G157" s="1">
        <f t="shared" si="133"/>
        <v>0</v>
      </c>
      <c r="H157" s="1">
        <f t="shared" ref="H157:AA157" si="157">G157</f>
        <v>0</v>
      </c>
      <c r="I157" s="1">
        <f t="shared" si="157"/>
        <v>0</v>
      </c>
      <c r="J157" s="1">
        <f t="shared" si="157"/>
        <v>0</v>
      </c>
      <c r="K157" s="1">
        <f t="shared" si="157"/>
        <v>0</v>
      </c>
      <c r="L157" s="1">
        <f t="shared" si="157"/>
        <v>0</v>
      </c>
      <c r="M157" s="1">
        <f t="shared" si="157"/>
        <v>0</v>
      </c>
      <c r="N157" s="1">
        <f t="shared" si="157"/>
        <v>0</v>
      </c>
      <c r="O157" s="1">
        <f t="shared" si="157"/>
        <v>0</v>
      </c>
      <c r="P157" s="1">
        <f t="shared" si="157"/>
        <v>0</v>
      </c>
      <c r="Q157" s="1">
        <f t="shared" si="157"/>
        <v>0</v>
      </c>
      <c r="R157" s="1">
        <f t="shared" si="157"/>
        <v>0</v>
      </c>
      <c r="S157" s="1">
        <f t="shared" si="157"/>
        <v>0</v>
      </c>
      <c r="T157" s="1">
        <f t="shared" si="157"/>
        <v>0</v>
      </c>
      <c r="U157" s="1">
        <f t="shared" si="157"/>
        <v>0</v>
      </c>
      <c r="V157" s="1">
        <f t="shared" si="157"/>
        <v>0</v>
      </c>
      <c r="W157" s="1">
        <f t="shared" si="157"/>
        <v>0</v>
      </c>
      <c r="X157" s="1">
        <f t="shared" si="157"/>
        <v>0</v>
      </c>
      <c r="Y157" s="1">
        <f t="shared" si="157"/>
        <v>0</v>
      </c>
      <c r="Z157" s="1">
        <f t="shared" si="157"/>
        <v>0</v>
      </c>
      <c r="AA157" s="1">
        <f t="shared" si="157"/>
        <v>0</v>
      </c>
    </row>
    <row r="158" spans="1:27">
      <c r="A158" s="84" t="s">
        <v>389</v>
      </c>
      <c r="B158" s="85" t="s">
        <v>388</v>
      </c>
      <c r="C158" s="85" t="s">
        <v>83</v>
      </c>
      <c r="D158" s="84" t="s">
        <v>87</v>
      </c>
      <c r="E158" s="84">
        <f>VLOOKUP(A158,'2a. SI Pop'!$A$5:$E$198,5,FALSE)</f>
        <v>1</v>
      </c>
      <c r="F158" s="89">
        <v>0</v>
      </c>
      <c r="G158" s="1">
        <f t="shared" si="133"/>
        <v>0</v>
      </c>
      <c r="H158" s="1">
        <f t="shared" ref="H158:AA158" si="158">G158</f>
        <v>0</v>
      </c>
      <c r="I158" s="1">
        <f t="shared" si="158"/>
        <v>0</v>
      </c>
      <c r="J158" s="1">
        <f t="shared" si="158"/>
        <v>0</v>
      </c>
      <c r="K158" s="1">
        <f t="shared" si="158"/>
        <v>0</v>
      </c>
      <c r="L158" s="1">
        <f t="shared" si="158"/>
        <v>0</v>
      </c>
      <c r="M158" s="1">
        <f t="shared" si="158"/>
        <v>0</v>
      </c>
      <c r="N158" s="1">
        <f t="shared" si="158"/>
        <v>0</v>
      </c>
      <c r="O158" s="1">
        <f t="shared" si="158"/>
        <v>0</v>
      </c>
      <c r="P158" s="1">
        <f t="shared" si="158"/>
        <v>0</v>
      </c>
      <c r="Q158" s="1">
        <f t="shared" si="158"/>
        <v>0</v>
      </c>
      <c r="R158" s="1">
        <f t="shared" si="158"/>
        <v>0</v>
      </c>
      <c r="S158" s="1">
        <f t="shared" si="158"/>
        <v>0</v>
      </c>
      <c r="T158" s="1">
        <f t="shared" si="158"/>
        <v>0</v>
      </c>
      <c r="U158" s="1">
        <f t="shared" si="158"/>
        <v>0</v>
      </c>
      <c r="V158" s="1">
        <f t="shared" si="158"/>
        <v>0</v>
      </c>
      <c r="W158" s="1">
        <f t="shared" si="158"/>
        <v>0</v>
      </c>
      <c r="X158" s="1">
        <f t="shared" si="158"/>
        <v>0</v>
      </c>
      <c r="Y158" s="1">
        <f t="shared" si="158"/>
        <v>0</v>
      </c>
      <c r="Z158" s="1">
        <f t="shared" si="158"/>
        <v>0</v>
      </c>
      <c r="AA158" s="1">
        <f t="shared" si="158"/>
        <v>0</v>
      </c>
    </row>
    <row r="159" spans="1:27">
      <c r="A159" s="84" t="s">
        <v>391</v>
      </c>
      <c r="B159" s="85" t="s">
        <v>390</v>
      </c>
      <c r="C159" s="85" t="s">
        <v>83</v>
      </c>
      <c r="D159" s="84" t="s">
        <v>75</v>
      </c>
      <c r="E159" s="84">
        <f>VLOOKUP(A159,'2a. SI Pop'!$A$5:$E$198,5,FALSE)</f>
        <v>3</v>
      </c>
      <c r="F159" s="89">
        <v>2144902.0319999997</v>
      </c>
      <c r="G159" s="1">
        <f t="shared" si="133"/>
        <v>2144902.0319999997</v>
      </c>
      <c r="H159" s="1">
        <f t="shared" ref="H159:AA159" si="159">G159</f>
        <v>2144902.0319999997</v>
      </c>
      <c r="I159" s="1">
        <f t="shared" si="159"/>
        <v>2144902.0319999997</v>
      </c>
      <c r="J159" s="1">
        <f t="shared" si="159"/>
        <v>2144902.0319999997</v>
      </c>
      <c r="K159" s="1">
        <f t="shared" si="159"/>
        <v>2144902.0319999997</v>
      </c>
      <c r="L159" s="1">
        <f t="shared" si="159"/>
        <v>2144902.0319999997</v>
      </c>
      <c r="M159" s="1">
        <f t="shared" si="159"/>
        <v>2144902.0319999997</v>
      </c>
      <c r="N159" s="1">
        <f t="shared" si="159"/>
        <v>2144902.0319999997</v>
      </c>
      <c r="O159" s="1">
        <f t="shared" si="159"/>
        <v>2144902.0319999997</v>
      </c>
      <c r="P159" s="1">
        <f t="shared" si="159"/>
        <v>2144902.0319999997</v>
      </c>
      <c r="Q159" s="1">
        <f t="shared" si="159"/>
        <v>2144902.0319999997</v>
      </c>
      <c r="R159" s="1">
        <f t="shared" si="159"/>
        <v>2144902.0319999997</v>
      </c>
      <c r="S159" s="1">
        <f t="shared" si="159"/>
        <v>2144902.0319999997</v>
      </c>
      <c r="T159" s="1">
        <f t="shared" si="159"/>
        <v>2144902.0319999997</v>
      </c>
      <c r="U159" s="1">
        <f t="shared" si="159"/>
        <v>2144902.0319999997</v>
      </c>
      <c r="V159" s="1">
        <f t="shared" si="159"/>
        <v>2144902.0319999997</v>
      </c>
      <c r="W159" s="1">
        <f t="shared" si="159"/>
        <v>2144902.0319999997</v>
      </c>
      <c r="X159" s="1">
        <f t="shared" si="159"/>
        <v>2144902.0319999997</v>
      </c>
      <c r="Y159" s="1">
        <f t="shared" si="159"/>
        <v>2144902.0319999997</v>
      </c>
      <c r="Z159" s="1">
        <f t="shared" si="159"/>
        <v>2144902.0319999997</v>
      </c>
      <c r="AA159" s="1">
        <f t="shared" si="159"/>
        <v>2144902.0319999997</v>
      </c>
    </row>
    <row r="160" spans="1:27">
      <c r="A160" s="84" t="s">
        <v>393</v>
      </c>
      <c r="B160" s="85" t="s">
        <v>392</v>
      </c>
      <c r="C160" s="85" t="s">
        <v>99</v>
      </c>
      <c r="D160" s="84" t="s">
        <v>87</v>
      </c>
      <c r="E160" s="84">
        <f>VLOOKUP(A160,'2a. SI Pop'!$A$5:$E$198,5,FALSE)</f>
        <v>1</v>
      </c>
      <c r="F160" s="89">
        <v>0</v>
      </c>
      <c r="G160" s="1">
        <f t="shared" si="133"/>
        <v>0</v>
      </c>
      <c r="H160" s="1">
        <f t="shared" ref="H160:AA160" si="160">G160</f>
        <v>0</v>
      </c>
      <c r="I160" s="1">
        <f t="shared" si="160"/>
        <v>0</v>
      </c>
      <c r="J160" s="1">
        <f t="shared" si="160"/>
        <v>0</v>
      </c>
      <c r="K160" s="1">
        <f t="shared" si="160"/>
        <v>0</v>
      </c>
      <c r="L160" s="1">
        <f t="shared" si="160"/>
        <v>0</v>
      </c>
      <c r="M160" s="1">
        <f t="shared" si="160"/>
        <v>0</v>
      </c>
      <c r="N160" s="1">
        <f t="shared" si="160"/>
        <v>0</v>
      </c>
      <c r="O160" s="1">
        <f t="shared" si="160"/>
        <v>0</v>
      </c>
      <c r="P160" s="1">
        <f t="shared" si="160"/>
        <v>0</v>
      </c>
      <c r="Q160" s="1">
        <f t="shared" si="160"/>
        <v>0</v>
      </c>
      <c r="R160" s="1">
        <f t="shared" si="160"/>
        <v>0</v>
      </c>
      <c r="S160" s="1">
        <f t="shared" si="160"/>
        <v>0</v>
      </c>
      <c r="T160" s="1">
        <f t="shared" si="160"/>
        <v>0</v>
      </c>
      <c r="U160" s="1">
        <f t="shared" si="160"/>
        <v>0</v>
      </c>
      <c r="V160" s="1">
        <f t="shared" si="160"/>
        <v>0</v>
      </c>
      <c r="W160" s="1">
        <f t="shared" si="160"/>
        <v>0</v>
      </c>
      <c r="X160" s="1">
        <f t="shared" si="160"/>
        <v>0</v>
      </c>
      <c r="Y160" s="1">
        <f t="shared" si="160"/>
        <v>0</v>
      </c>
      <c r="Z160" s="1">
        <f t="shared" si="160"/>
        <v>0</v>
      </c>
      <c r="AA160" s="1">
        <f t="shared" si="160"/>
        <v>0</v>
      </c>
    </row>
    <row r="161" spans="1:27">
      <c r="A161" s="84" t="s">
        <v>395</v>
      </c>
      <c r="B161" s="85" t="s">
        <v>394</v>
      </c>
      <c r="C161" s="85" t="s">
        <v>79</v>
      </c>
      <c r="D161" s="84" t="s">
        <v>87</v>
      </c>
      <c r="E161" s="84">
        <f>VLOOKUP(A161,'2a. SI Pop'!$A$5:$E$198,5,FALSE)</f>
        <v>1</v>
      </c>
      <c r="F161" s="89">
        <v>0</v>
      </c>
      <c r="G161" s="1">
        <f t="shared" si="133"/>
        <v>0</v>
      </c>
      <c r="H161" s="1">
        <f t="shared" ref="H161:AA161" si="161">G161</f>
        <v>0</v>
      </c>
      <c r="I161" s="1">
        <f t="shared" si="161"/>
        <v>0</v>
      </c>
      <c r="J161" s="1">
        <f t="shared" si="161"/>
        <v>0</v>
      </c>
      <c r="K161" s="1">
        <f t="shared" si="161"/>
        <v>0</v>
      </c>
      <c r="L161" s="1">
        <f t="shared" si="161"/>
        <v>0</v>
      </c>
      <c r="M161" s="1">
        <f t="shared" si="161"/>
        <v>0</v>
      </c>
      <c r="N161" s="1">
        <f t="shared" si="161"/>
        <v>0</v>
      </c>
      <c r="O161" s="1">
        <f t="shared" si="161"/>
        <v>0</v>
      </c>
      <c r="P161" s="1">
        <f t="shared" si="161"/>
        <v>0</v>
      </c>
      <c r="Q161" s="1">
        <f t="shared" si="161"/>
        <v>0</v>
      </c>
      <c r="R161" s="1">
        <f t="shared" si="161"/>
        <v>0</v>
      </c>
      <c r="S161" s="1">
        <f t="shared" si="161"/>
        <v>0</v>
      </c>
      <c r="T161" s="1">
        <f t="shared" si="161"/>
        <v>0</v>
      </c>
      <c r="U161" s="1">
        <f t="shared" si="161"/>
        <v>0</v>
      </c>
      <c r="V161" s="1">
        <f t="shared" si="161"/>
        <v>0</v>
      </c>
      <c r="W161" s="1">
        <f t="shared" si="161"/>
        <v>0</v>
      </c>
      <c r="X161" s="1">
        <f t="shared" si="161"/>
        <v>0</v>
      </c>
      <c r="Y161" s="1">
        <f t="shared" si="161"/>
        <v>0</v>
      </c>
      <c r="Z161" s="1">
        <f t="shared" si="161"/>
        <v>0</v>
      </c>
      <c r="AA161" s="1">
        <f t="shared" si="161"/>
        <v>0</v>
      </c>
    </row>
    <row r="162" spans="1:27">
      <c r="A162" s="84" t="s">
        <v>397</v>
      </c>
      <c r="B162" s="85" t="s">
        <v>396</v>
      </c>
      <c r="C162" s="85" t="s">
        <v>79</v>
      </c>
      <c r="D162" s="84" t="s">
        <v>87</v>
      </c>
      <c r="E162" s="84">
        <f>VLOOKUP(A162,'2a. SI Pop'!$A$5:$E$198,5,FALSE)</f>
        <v>1</v>
      </c>
      <c r="F162" s="89">
        <v>0</v>
      </c>
      <c r="G162" s="1">
        <f t="shared" si="133"/>
        <v>0</v>
      </c>
      <c r="H162" s="1">
        <f t="shared" ref="H162:AA162" si="162">G162</f>
        <v>0</v>
      </c>
      <c r="I162" s="1">
        <f t="shared" si="162"/>
        <v>0</v>
      </c>
      <c r="J162" s="1">
        <f t="shared" si="162"/>
        <v>0</v>
      </c>
      <c r="K162" s="1">
        <f t="shared" si="162"/>
        <v>0</v>
      </c>
      <c r="L162" s="1">
        <f t="shared" si="162"/>
        <v>0</v>
      </c>
      <c r="M162" s="1">
        <f t="shared" si="162"/>
        <v>0</v>
      </c>
      <c r="N162" s="1">
        <f t="shared" si="162"/>
        <v>0</v>
      </c>
      <c r="O162" s="1">
        <f t="shared" si="162"/>
        <v>0</v>
      </c>
      <c r="P162" s="1">
        <f t="shared" si="162"/>
        <v>0</v>
      </c>
      <c r="Q162" s="1">
        <f t="shared" si="162"/>
        <v>0</v>
      </c>
      <c r="R162" s="1">
        <f t="shared" si="162"/>
        <v>0</v>
      </c>
      <c r="S162" s="1">
        <f t="shared" si="162"/>
        <v>0</v>
      </c>
      <c r="T162" s="1">
        <f t="shared" si="162"/>
        <v>0</v>
      </c>
      <c r="U162" s="1">
        <f t="shared" si="162"/>
        <v>0</v>
      </c>
      <c r="V162" s="1">
        <f t="shared" si="162"/>
        <v>0</v>
      </c>
      <c r="W162" s="1">
        <f t="shared" si="162"/>
        <v>0</v>
      </c>
      <c r="X162" s="1">
        <f t="shared" si="162"/>
        <v>0</v>
      </c>
      <c r="Y162" s="1">
        <f t="shared" si="162"/>
        <v>0</v>
      </c>
      <c r="Z162" s="1">
        <f t="shared" si="162"/>
        <v>0</v>
      </c>
      <c r="AA162" s="1">
        <f t="shared" si="162"/>
        <v>0</v>
      </c>
    </row>
    <row r="163" spans="1:27">
      <c r="A163" s="84" t="s">
        <v>399</v>
      </c>
      <c r="B163" s="85" t="s">
        <v>398</v>
      </c>
      <c r="C163" s="85" t="s">
        <v>74</v>
      </c>
      <c r="D163" s="84" t="s">
        <v>75</v>
      </c>
      <c r="E163" s="84">
        <f>VLOOKUP(A163,'2a. SI Pop'!$A$5:$E$198,5,FALSE)</f>
        <v>3</v>
      </c>
      <c r="F163" s="89">
        <v>4216579.3279999997</v>
      </c>
      <c r="G163" s="1">
        <f t="shared" si="133"/>
        <v>4216579.3279999997</v>
      </c>
      <c r="H163" s="1">
        <f t="shared" ref="H163:AA163" si="163">G163</f>
        <v>4216579.3279999997</v>
      </c>
      <c r="I163" s="1">
        <f t="shared" si="163"/>
        <v>4216579.3279999997</v>
      </c>
      <c r="J163" s="1">
        <f t="shared" si="163"/>
        <v>4216579.3279999997</v>
      </c>
      <c r="K163" s="1">
        <f t="shared" si="163"/>
        <v>4216579.3279999997</v>
      </c>
      <c r="L163" s="1">
        <f t="shared" si="163"/>
        <v>4216579.3279999997</v>
      </c>
      <c r="M163" s="1">
        <f t="shared" si="163"/>
        <v>4216579.3279999997</v>
      </c>
      <c r="N163" s="1">
        <f t="shared" si="163"/>
        <v>4216579.3279999997</v>
      </c>
      <c r="O163" s="1">
        <f t="shared" si="163"/>
        <v>4216579.3279999997</v>
      </c>
      <c r="P163" s="1">
        <f t="shared" si="163"/>
        <v>4216579.3279999997</v>
      </c>
      <c r="Q163" s="1">
        <f t="shared" si="163"/>
        <v>4216579.3279999997</v>
      </c>
      <c r="R163" s="1">
        <f t="shared" si="163"/>
        <v>4216579.3279999997</v>
      </c>
      <c r="S163" s="1">
        <f t="shared" si="163"/>
        <v>4216579.3279999997</v>
      </c>
      <c r="T163" s="1">
        <f t="shared" si="163"/>
        <v>4216579.3279999997</v>
      </c>
      <c r="U163" s="1">
        <f t="shared" si="163"/>
        <v>4216579.3279999997</v>
      </c>
      <c r="V163" s="1">
        <f t="shared" si="163"/>
        <v>4216579.3279999997</v>
      </c>
      <c r="W163" s="1">
        <f t="shared" si="163"/>
        <v>4216579.3279999997</v>
      </c>
      <c r="X163" s="1">
        <f t="shared" si="163"/>
        <v>4216579.3279999997</v>
      </c>
      <c r="Y163" s="1">
        <f t="shared" si="163"/>
        <v>4216579.3279999997</v>
      </c>
      <c r="Z163" s="1">
        <f t="shared" si="163"/>
        <v>4216579.3279999997</v>
      </c>
      <c r="AA163" s="1">
        <f t="shared" si="163"/>
        <v>4216579.3279999997</v>
      </c>
    </row>
    <row r="164" spans="1:27">
      <c r="A164" s="84" t="s">
        <v>401</v>
      </c>
      <c r="B164" s="85" t="s">
        <v>400</v>
      </c>
      <c r="C164" s="85" t="s">
        <v>99</v>
      </c>
      <c r="D164" s="84" t="s">
        <v>84</v>
      </c>
      <c r="E164" s="84">
        <f>VLOOKUP(A164,'2a. SI Pop'!$A$5:$E$198,5,FALSE)</f>
        <v>4</v>
      </c>
      <c r="F164" s="89">
        <v>0</v>
      </c>
      <c r="G164" s="1">
        <f t="shared" si="133"/>
        <v>0</v>
      </c>
      <c r="H164" s="1">
        <f t="shared" ref="H164:AA164" si="164">G164</f>
        <v>0</v>
      </c>
      <c r="I164" s="1">
        <f t="shared" si="164"/>
        <v>0</v>
      </c>
      <c r="J164" s="1">
        <f t="shared" si="164"/>
        <v>0</v>
      </c>
      <c r="K164" s="1">
        <f t="shared" si="164"/>
        <v>0</v>
      </c>
      <c r="L164" s="1">
        <f t="shared" si="164"/>
        <v>0</v>
      </c>
      <c r="M164" s="1">
        <f t="shared" si="164"/>
        <v>0</v>
      </c>
      <c r="N164" s="1">
        <f t="shared" si="164"/>
        <v>0</v>
      </c>
      <c r="O164" s="1">
        <f t="shared" si="164"/>
        <v>0</v>
      </c>
      <c r="P164" s="1">
        <f t="shared" si="164"/>
        <v>0</v>
      </c>
      <c r="Q164" s="1">
        <f t="shared" si="164"/>
        <v>0</v>
      </c>
      <c r="R164" s="1">
        <f t="shared" si="164"/>
        <v>0</v>
      </c>
      <c r="S164" s="1">
        <f t="shared" si="164"/>
        <v>0</v>
      </c>
      <c r="T164" s="1">
        <f t="shared" si="164"/>
        <v>0</v>
      </c>
      <c r="U164" s="1">
        <f t="shared" si="164"/>
        <v>0</v>
      </c>
      <c r="V164" s="1">
        <f t="shared" si="164"/>
        <v>0</v>
      </c>
      <c r="W164" s="1">
        <f t="shared" si="164"/>
        <v>0</v>
      </c>
      <c r="X164" s="1">
        <f t="shared" si="164"/>
        <v>0</v>
      </c>
      <c r="Y164" s="1">
        <f t="shared" si="164"/>
        <v>0</v>
      </c>
      <c r="Z164" s="1">
        <f t="shared" si="164"/>
        <v>0</v>
      </c>
      <c r="AA164" s="1">
        <f t="shared" si="164"/>
        <v>0</v>
      </c>
    </row>
    <row r="165" spans="1:27">
      <c r="A165" s="84" t="s">
        <v>403</v>
      </c>
      <c r="B165" s="85" t="s">
        <v>402</v>
      </c>
      <c r="C165" s="85" t="s">
        <v>83</v>
      </c>
      <c r="D165" s="84" t="s">
        <v>80</v>
      </c>
      <c r="E165" s="84" t="str">
        <f>VLOOKUP(A165,'2a. SI Pop'!$A$5:$E$198,5,FALSE)</f>
        <v>Key</v>
      </c>
      <c r="F165" s="89">
        <v>8068312.1400000006</v>
      </c>
      <c r="G165" s="1">
        <f t="shared" si="133"/>
        <v>8068312.1400000006</v>
      </c>
      <c r="H165" s="1">
        <f t="shared" ref="H165:AA165" si="165">G165</f>
        <v>8068312.1400000006</v>
      </c>
      <c r="I165" s="1">
        <f t="shared" si="165"/>
        <v>8068312.1400000006</v>
      </c>
      <c r="J165" s="1">
        <f t="shared" si="165"/>
        <v>8068312.1400000006</v>
      </c>
      <c r="K165" s="1">
        <f t="shared" si="165"/>
        <v>8068312.1400000006</v>
      </c>
      <c r="L165" s="1">
        <f t="shared" si="165"/>
        <v>8068312.1400000006</v>
      </c>
      <c r="M165" s="1">
        <f t="shared" si="165"/>
        <v>8068312.1400000006</v>
      </c>
      <c r="N165" s="1">
        <f t="shared" si="165"/>
        <v>8068312.1400000006</v>
      </c>
      <c r="O165" s="1">
        <f t="shared" si="165"/>
        <v>8068312.1400000006</v>
      </c>
      <c r="P165" s="1">
        <f t="shared" si="165"/>
        <v>8068312.1400000006</v>
      </c>
      <c r="Q165" s="1">
        <f t="shared" si="165"/>
        <v>8068312.1400000006</v>
      </c>
      <c r="R165" s="1">
        <f t="shared" si="165"/>
        <v>8068312.1400000006</v>
      </c>
      <c r="S165" s="1">
        <f t="shared" si="165"/>
        <v>8068312.1400000006</v>
      </c>
      <c r="T165" s="1">
        <f t="shared" si="165"/>
        <v>8068312.1400000006</v>
      </c>
      <c r="U165" s="1">
        <f t="shared" si="165"/>
        <v>8068312.1400000006</v>
      </c>
      <c r="V165" s="1">
        <f t="shared" si="165"/>
        <v>8068312.1400000006</v>
      </c>
      <c r="W165" s="1">
        <f t="shared" si="165"/>
        <v>8068312.1400000006</v>
      </c>
      <c r="X165" s="1">
        <f t="shared" si="165"/>
        <v>8068312.1400000006</v>
      </c>
      <c r="Y165" s="1">
        <f t="shared" si="165"/>
        <v>8068312.1400000006</v>
      </c>
      <c r="Z165" s="1">
        <f t="shared" si="165"/>
        <v>8068312.1400000006</v>
      </c>
      <c r="AA165" s="1">
        <f t="shared" si="165"/>
        <v>8068312.1400000006</v>
      </c>
    </row>
    <row r="166" spans="1:27">
      <c r="A166" s="84" t="s">
        <v>405</v>
      </c>
      <c r="B166" s="85" t="s">
        <v>404</v>
      </c>
      <c r="C166" s="85" t="s">
        <v>79</v>
      </c>
      <c r="D166" s="84" t="s">
        <v>87</v>
      </c>
      <c r="E166" s="84">
        <f>VLOOKUP(A166,'2a. SI Pop'!$A$5:$E$198,5,FALSE)</f>
        <v>1</v>
      </c>
      <c r="F166" s="89">
        <v>0</v>
      </c>
      <c r="G166" s="1">
        <f t="shared" ref="G166:G197" si="166">F166</f>
        <v>0</v>
      </c>
      <c r="H166" s="1">
        <f t="shared" ref="H166:AA166" si="167">G166</f>
        <v>0</v>
      </c>
      <c r="I166" s="1">
        <f t="shared" si="167"/>
        <v>0</v>
      </c>
      <c r="J166" s="1">
        <f t="shared" si="167"/>
        <v>0</v>
      </c>
      <c r="K166" s="1">
        <f t="shared" si="167"/>
        <v>0</v>
      </c>
      <c r="L166" s="1">
        <f t="shared" si="167"/>
        <v>0</v>
      </c>
      <c r="M166" s="1">
        <f t="shared" si="167"/>
        <v>0</v>
      </c>
      <c r="N166" s="1">
        <f t="shared" si="167"/>
        <v>0</v>
      </c>
      <c r="O166" s="1">
        <f t="shared" si="167"/>
        <v>0</v>
      </c>
      <c r="P166" s="1">
        <f t="shared" si="167"/>
        <v>0</v>
      </c>
      <c r="Q166" s="1">
        <f t="shared" si="167"/>
        <v>0</v>
      </c>
      <c r="R166" s="1">
        <f t="shared" si="167"/>
        <v>0</v>
      </c>
      <c r="S166" s="1">
        <f t="shared" si="167"/>
        <v>0</v>
      </c>
      <c r="T166" s="1">
        <f t="shared" si="167"/>
        <v>0</v>
      </c>
      <c r="U166" s="1">
        <f t="shared" si="167"/>
        <v>0</v>
      </c>
      <c r="V166" s="1">
        <f t="shared" si="167"/>
        <v>0</v>
      </c>
      <c r="W166" s="1">
        <f t="shared" si="167"/>
        <v>0</v>
      </c>
      <c r="X166" s="1">
        <f t="shared" si="167"/>
        <v>0</v>
      </c>
      <c r="Y166" s="1">
        <f t="shared" si="167"/>
        <v>0</v>
      </c>
      <c r="Z166" s="1">
        <f t="shared" si="167"/>
        <v>0</v>
      </c>
      <c r="AA166" s="1">
        <f t="shared" si="167"/>
        <v>0</v>
      </c>
    </row>
    <row r="167" spans="1:27">
      <c r="A167" s="84" t="s">
        <v>407</v>
      </c>
      <c r="B167" s="85" t="s">
        <v>406</v>
      </c>
      <c r="C167" s="85" t="s">
        <v>110</v>
      </c>
      <c r="D167" s="84" t="s">
        <v>84</v>
      </c>
      <c r="E167" s="84">
        <f>VLOOKUP(A167,'2a. SI Pop'!$A$5:$E$198,5,FALSE)</f>
        <v>2</v>
      </c>
      <c r="F167" s="89">
        <v>0</v>
      </c>
      <c r="G167" s="1">
        <f t="shared" si="166"/>
        <v>0</v>
      </c>
      <c r="H167" s="1">
        <f t="shared" ref="H167:AA167" si="168">G167</f>
        <v>0</v>
      </c>
      <c r="I167" s="1">
        <f t="shared" si="168"/>
        <v>0</v>
      </c>
      <c r="J167" s="1">
        <f t="shared" si="168"/>
        <v>0</v>
      </c>
      <c r="K167" s="1">
        <f t="shared" si="168"/>
        <v>0</v>
      </c>
      <c r="L167" s="1">
        <f t="shared" si="168"/>
        <v>0</v>
      </c>
      <c r="M167" s="1">
        <f t="shared" si="168"/>
        <v>0</v>
      </c>
      <c r="N167" s="1">
        <f t="shared" si="168"/>
        <v>0</v>
      </c>
      <c r="O167" s="1">
        <f t="shared" si="168"/>
        <v>0</v>
      </c>
      <c r="P167" s="1">
        <f t="shared" si="168"/>
        <v>0</v>
      </c>
      <c r="Q167" s="1">
        <f t="shared" si="168"/>
        <v>0</v>
      </c>
      <c r="R167" s="1">
        <f t="shared" si="168"/>
        <v>0</v>
      </c>
      <c r="S167" s="1">
        <f t="shared" si="168"/>
        <v>0</v>
      </c>
      <c r="T167" s="1">
        <f t="shared" si="168"/>
        <v>0</v>
      </c>
      <c r="U167" s="1">
        <f t="shared" si="168"/>
        <v>0</v>
      </c>
      <c r="V167" s="1">
        <f t="shared" si="168"/>
        <v>0</v>
      </c>
      <c r="W167" s="1">
        <f t="shared" si="168"/>
        <v>0</v>
      </c>
      <c r="X167" s="1">
        <f t="shared" si="168"/>
        <v>0</v>
      </c>
      <c r="Y167" s="1">
        <f t="shared" si="168"/>
        <v>0</v>
      </c>
      <c r="Z167" s="1">
        <f t="shared" si="168"/>
        <v>0</v>
      </c>
      <c r="AA167" s="1">
        <f t="shared" si="168"/>
        <v>0</v>
      </c>
    </row>
    <row r="168" spans="1:27">
      <c r="A168" s="84" t="s">
        <v>409</v>
      </c>
      <c r="B168" s="85" t="s">
        <v>408</v>
      </c>
      <c r="C168" s="85" t="s">
        <v>74</v>
      </c>
      <c r="D168" s="84" t="s">
        <v>75</v>
      </c>
      <c r="E168" s="84">
        <f>VLOOKUP(A168,'2a. SI Pop'!$A$5:$E$198,5,FALSE)</f>
        <v>3</v>
      </c>
      <c r="F168" s="89">
        <v>11719571.471999999</v>
      </c>
      <c r="G168" s="1">
        <f t="shared" si="166"/>
        <v>11719571.471999999</v>
      </c>
      <c r="H168" s="1">
        <f t="shared" ref="H168:AA168" si="169">G168</f>
        <v>11719571.471999999</v>
      </c>
      <c r="I168" s="1">
        <f t="shared" si="169"/>
        <v>11719571.471999999</v>
      </c>
      <c r="J168" s="1">
        <f t="shared" si="169"/>
        <v>11719571.471999999</v>
      </c>
      <c r="K168" s="1">
        <f t="shared" si="169"/>
        <v>11719571.471999999</v>
      </c>
      <c r="L168" s="1">
        <f t="shared" si="169"/>
        <v>11719571.471999999</v>
      </c>
      <c r="M168" s="1">
        <f t="shared" si="169"/>
        <v>11719571.471999999</v>
      </c>
      <c r="N168" s="1">
        <f t="shared" si="169"/>
        <v>11719571.471999999</v>
      </c>
      <c r="O168" s="1">
        <f t="shared" si="169"/>
        <v>11719571.471999999</v>
      </c>
      <c r="P168" s="1">
        <f t="shared" si="169"/>
        <v>11719571.471999999</v>
      </c>
      <c r="Q168" s="1">
        <f t="shared" si="169"/>
        <v>11719571.471999999</v>
      </c>
      <c r="R168" s="1">
        <f t="shared" si="169"/>
        <v>11719571.471999999</v>
      </c>
      <c r="S168" s="1">
        <f t="shared" si="169"/>
        <v>11719571.471999999</v>
      </c>
      <c r="T168" s="1">
        <f t="shared" si="169"/>
        <v>11719571.471999999</v>
      </c>
      <c r="U168" s="1">
        <f t="shared" si="169"/>
        <v>11719571.471999999</v>
      </c>
      <c r="V168" s="1">
        <f t="shared" si="169"/>
        <v>11719571.471999999</v>
      </c>
      <c r="W168" s="1">
        <f t="shared" si="169"/>
        <v>11719571.471999999</v>
      </c>
      <c r="X168" s="1">
        <f t="shared" si="169"/>
        <v>11719571.471999999</v>
      </c>
      <c r="Y168" s="1">
        <f t="shared" si="169"/>
        <v>11719571.471999999</v>
      </c>
      <c r="Z168" s="1">
        <f t="shared" si="169"/>
        <v>11719571.471999999</v>
      </c>
      <c r="AA168" s="1">
        <f t="shared" si="169"/>
        <v>11719571.471999999</v>
      </c>
    </row>
    <row r="169" spans="1:27">
      <c r="A169" s="84" t="s">
        <v>411</v>
      </c>
      <c r="B169" s="85" t="s">
        <v>410</v>
      </c>
      <c r="C169" s="85" t="s">
        <v>74</v>
      </c>
      <c r="D169" s="84" t="s">
        <v>75</v>
      </c>
      <c r="E169" s="84">
        <f>VLOOKUP(A169,'2a. SI Pop'!$A$5:$E$198,5,FALSE)</f>
        <v>3</v>
      </c>
      <c r="F169" s="89">
        <v>1879451.068</v>
      </c>
      <c r="G169" s="1">
        <f t="shared" si="166"/>
        <v>1879451.068</v>
      </c>
      <c r="H169" s="1">
        <f t="shared" ref="H169:AA169" si="170">G169</f>
        <v>1879451.068</v>
      </c>
      <c r="I169" s="1">
        <f t="shared" si="170"/>
        <v>1879451.068</v>
      </c>
      <c r="J169" s="1">
        <f t="shared" si="170"/>
        <v>1879451.068</v>
      </c>
      <c r="K169" s="1">
        <f t="shared" si="170"/>
        <v>1879451.068</v>
      </c>
      <c r="L169" s="1">
        <f t="shared" si="170"/>
        <v>1879451.068</v>
      </c>
      <c r="M169" s="1">
        <f t="shared" si="170"/>
        <v>1879451.068</v>
      </c>
      <c r="N169" s="1">
        <f t="shared" si="170"/>
        <v>1879451.068</v>
      </c>
      <c r="O169" s="1">
        <f t="shared" si="170"/>
        <v>1879451.068</v>
      </c>
      <c r="P169" s="1">
        <f t="shared" si="170"/>
        <v>1879451.068</v>
      </c>
      <c r="Q169" s="1">
        <f t="shared" si="170"/>
        <v>1879451.068</v>
      </c>
      <c r="R169" s="1">
        <f t="shared" si="170"/>
        <v>1879451.068</v>
      </c>
      <c r="S169" s="1">
        <f t="shared" si="170"/>
        <v>1879451.068</v>
      </c>
      <c r="T169" s="1">
        <f t="shared" si="170"/>
        <v>1879451.068</v>
      </c>
      <c r="U169" s="1">
        <f t="shared" si="170"/>
        <v>1879451.068</v>
      </c>
      <c r="V169" s="1">
        <f t="shared" si="170"/>
        <v>1879451.068</v>
      </c>
      <c r="W169" s="1">
        <f t="shared" si="170"/>
        <v>1879451.068</v>
      </c>
      <c r="X169" s="1">
        <f t="shared" si="170"/>
        <v>1879451.068</v>
      </c>
      <c r="Y169" s="1">
        <f t="shared" si="170"/>
        <v>1879451.068</v>
      </c>
      <c r="Z169" s="1">
        <f t="shared" si="170"/>
        <v>1879451.068</v>
      </c>
      <c r="AA169" s="1">
        <f t="shared" si="170"/>
        <v>1879451.068</v>
      </c>
    </row>
    <row r="170" spans="1:27">
      <c r="A170" s="84" t="s">
        <v>413</v>
      </c>
      <c r="B170" s="85" t="s">
        <v>412</v>
      </c>
      <c r="C170" s="85" t="s">
        <v>92</v>
      </c>
      <c r="D170" s="84" t="s">
        <v>80</v>
      </c>
      <c r="E170" s="84">
        <f>VLOOKUP(A170,'2a. SI Pop'!$A$5:$E$198,5,FALSE)</f>
        <v>1</v>
      </c>
      <c r="F170" s="89">
        <v>26692.668999999998</v>
      </c>
      <c r="G170" s="1">
        <f t="shared" si="166"/>
        <v>26692.668999999998</v>
      </c>
      <c r="H170" s="1">
        <f t="shared" ref="H170:AA170" si="171">G170</f>
        <v>26692.668999999998</v>
      </c>
      <c r="I170" s="1">
        <f t="shared" si="171"/>
        <v>26692.668999999998</v>
      </c>
      <c r="J170" s="1">
        <f t="shared" si="171"/>
        <v>26692.668999999998</v>
      </c>
      <c r="K170" s="1">
        <f t="shared" si="171"/>
        <v>26692.668999999998</v>
      </c>
      <c r="L170" s="1">
        <f t="shared" si="171"/>
        <v>26692.668999999998</v>
      </c>
      <c r="M170" s="1">
        <f t="shared" si="171"/>
        <v>26692.668999999998</v>
      </c>
      <c r="N170" s="1">
        <f t="shared" si="171"/>
        <v>26692.668999999998</v>
      </c>
      <c r="O170" s="1">
        <f t="shared" si="171"/>
        <v>26692.668999999998</v>
      </c>
      <c r="P170" s="1">
        <f t="shared" si="171"/>
        <v>26692.668999999998</v>
      </c>
      <c r="Q170" s="1">
        <f t="shared" si="171"/>
        <v>26692.668999999998</v>
      </c>
      <c r="R170" s="1">
        <f t="shared" si="171"/>
        <v>26692.668999999998</v>
      </c>
      <c r="S170" s="1">
        <f t="shared" si="171"/>
        <v>26692.668999999998</v>
      </c>
      <c r="T170" s="1">
        <f t="shared" si="171"/>
        <v>26692.668999999998</v>
      </c>
      <c r="U170" s="1">
        <f t="shared" si="171"/>
        <v>26692.668999999998</v>
      </c>
      <c r="V170" s="1">
        <f t="shared" si="171"/>
        <v>26692.668999999998</v>
      </c>
      <c r="W170" s="1">
        <f t="shared" si="171"/>
        <v>26692.668999999998</v>
      </c>
      <c r="X170" s="1">
        <f t="shared" si="171"/>
        <v>26692.668999999998</v>
      </c>
      <c r="Y170" s="1">
        <f t="shared" si="171"/>
        <v>26692.668999999998</v>
      </c>
      <c r="Z170" s="1">
        <f t="shared" si="171"/>
        <v>26692.668999999998</v>
      </c>
      <c r="AA170" s="1">
        <f t="shared" si="171"/>
        <v>26692.668999999998</v>
      </c>
    </row>
    <row r="171" spans="1:27">
      <c r="A171" s="84" t="s">
        <v>415</v>
      </c>
      <c r="B171" s="85" t="s">
        <v>414</v>
      </c>
      <c r="C171" s="85" t="s">
        <v>83</v>
      </c>
      <c r="D171" s="84" t="s">
        <v>84</v>
      </c>
      <c r="E171" s="84">
        <f>VLOOKUP(A171,'2a. SI Pop'!$A$5:$E$198,5,FALSE)</f>
        <v>3</v>
      </c>
      <c r="F171" s="89">
        <v>82889.922000000006</v>
      </c>
      <c r="G171" s="1">
        <f t="shared" si="166"/>
        <v>82889.922000000006</v>
      </c>
      <c r="H171" s="1">
        <f t="shared" ref="H171:AA171" si="172">G171</f>
        <v>82889.922000000006</v>
      </c>
      <c r="I171" s="1">
        <f t="shared" si="172"/>
        <v>82889.922000000006</v>
      </c>
      <c r="J171" s="1">
        <f t="shared" si="172"/>
        <v>82889.922000000006</v>
      </c>
      <c r="K171" s="1">
        <f t="shared" si="172"/>
        <v>82889.922000000006</v>
      </c>
      <c r="L171" s="1">
        <f t="shared" si="172"/>
        <v>82889.922000000006</v>
      </c>
      <c r="M171" s="1">
        <f t="shared" si="172"/>
        <v>82889.922000000006</v>
      </c>
      <c r="N171" s="1">
        <f t="shared" si="172"/>
        <v>82889.922000000006</v>
      </c>
      <c r="O171" s="1">
        <f t="shared" si="172"/>
        <v>82889.922000000006</v>
      </c>
      <c r="P171" s="1">
        <f t="shared" si="172"/>
        <v>82889.922000000006</v>
      </c>
      <c r="Q171" s="1">
        <f t="shared" si="172"/>
        <v>82889.922000000006</v>
      </c>
      <c r="R171" s="1">
        <f t="shared" si="172"/>
        <v>82889.922000000006</v>
      </c>
      <c r="S171" s="1">
        <f t="shared" si="172"/>
        <v>82889.922000000006</v>
      </c>
      <c r="T171" s="1">
        <f t="shared" si="172"/>
        <v>82889.922000000006</v>
      </c>
      <c r="U171" s="1">
        <f t="shared" si="172"/>
        <v>82889.922000000006</v>
      </c>
      <c r="V171" s="1">
        <f t="shared" si="172"/>
        <v>82889.922000000006</v>
      </c>
      <c r="W171" s="1">
        <f t="shared" si="172"/>
        <v>82889.922000000006</v>
      </c>
      <c r="X171" s="1">
        <f t="shared" si="172"/>
        <v>82889.922000000006</v>
      </c>
      <c r="Y171" s="1">
        <f t="shared" si="172"/>
        <v>82889.922000000006</v>
      </c>
      <c r="Z171" s="1">
        <f t="shared" si="172"/>
        <v>82889.922000000006</v>
      </c>
      <c r="AA171" s="1">
        <f t="shared" si="172"/>
        <v>82889.922000000006</v>
      </c>
    </row>
    <row r="172" spans="1:27">
      <c r="A172" s="84" t="s">
        <v>417</v>
      </c>
      <c r="B172" s="85" t="s">
        <v>416</v>
      </c>
      <c r="C172" s="85" t="s">
        <v>79</v>
      </c>
      <c r="D172" s="84" t="s">
        <v>87</v>
      </c>
      <c r="E172" s="84">
        <f>VLOOKUP(A172,'2a. SI Pop'!$A$5:$E$198,5,FALSE)</f>
        <v>1</v>
      </c>
      <c r="F172" s="89">
        <v>0</v>
      </c>
      <c r="G172" s="1">
        <f t="shared" si="166"/>
        <v>0</v>
      </c>
      <c r="H172" s="1">
        <f t="shared" ref="H172:AA172" si="173">G172</f>
        <v>0</v>
      </c>
      <c r="I172" s="1">
        <f t="shared" si="173"/>
        <v>0</v>
      </c>
      <c r="J172" s="1">
        <f t="shared" si="173"/>
        <v>0</v>
      </c>
      <c r="K172" s="1">
        <f t="shared" si="173"/>
        <v>0</v>
      </c>
      <c r="L172" s="1">
        <f t="shared" si="173"/>
        <v>0</v>
      </c>
      <c r="M172" s="1">
        <f t="shared" si="173"/>
        <v>0</v>
      </c>
      <c r="N172" s="1">
        <f t="shared" si="173"/>
        <v>0</v>
      </c>
      <c r="O172" s="1">
        <f t="shared" si="173"/>
        <v>0</v>
      </c>
      <c r="P172" s="1">
        <f t="shared" si="173"/>
        <v>0</v>
      </c>
      <c r="Q172" s="1">
        <f t="shared" si="173"/>
        <v>0</v>
      </c>
      <c r="R172" s="1">
        <f t="shared" si="173"/>
        <v>0</v>
      </c>
      <c r="S172" s="1">
        <f t="shared" si="173"/>
        <v>0</v>
      </c>
      <c r="T172" s="1">
        <f t="shared" si="173"/>
        <v>0</v>
      </c>
      <c r="U172" s="1">
        <f t="shared" si="173"/>
        <v>0</v>
      </c>
      <c r="V172" s="1">
        <f t="shared" si="173"/>
        <v>0</v>
      </c>
      <c r="W172" s="1">
        <f t="shared" si="173"/>
        <v>0</v>
      </c>
      <c r="X172" s="1">
        <f t="shared" si="173"/>
        <v>0</v>
      </c>
      <c r="Y172" s="1">
        <f t="shared" si="173"/>
        <v>0</v>
      </c>
      <c r="Z172" s="1">
        <f t="shared" si="173"/>
        <v>0</v>
      </c>
      <c r="AA172" s="1">
        <f t="shared" si="173"/>
        <v>0</v>
      </c>
    </row>
    <row r="173" spans="1:27">
      <c r="A173" s="84" t="s">
        <v>419</v>
      </c>
      <c r="B173" s="85" t="s">
        <v>418</v>
      </c>
      <c r="C173" s="85" t="s">
        <v>79</v>
      </c>
      <c r="D173" s="84" t="s">
        <v>87</v>
      </c>
      <c r="E173" s="84">
        <f>VLOOKUP(A173,'2a. SI Pop'!$A$5:$E$198,5,FALSE)</f>
        <v>1</v>
      </c>
      <c r="F173" s="89">
        <v>0</v>
      </c>
      <c r="G173" s="1">
        <f t="shared" si="166"/>
        <v>0</v>
      </c>
      <c r="H173" s="1">
        <f t="shared" ref="H173:AA173" si="174">G173</f>
        <v>0</v>
      </c>
      <c r="I173" s="1">
        <f t="shared" si="174"/>
        <v>0</v>
      </c>
      <c r="J173" s="1">
        <f t="shared" si="174"/>
        <v>0</v>
      </c>
      <c r="K173" s="1">
        <f t="shared" si="174"/>
        <v>0</v>
      </c>
      <c r="L173" s="1">
        <f t="shared" si="174"/>
        <v>0</v>
      </c>
      <c r="M173" s="1">
        <f t="shared" si="174"/>
        <v>0</v>
      </c>
      <c r="N173" s="1">
        <f t="shared" si="174"/>
        <v>0</v>
      </c>
      <c r="O173" s="1">
        <f t="shared" si="174"/>
        <v>0</v>
      </c>
      <c r="P173" s="1">
        <f t="shared" si="174"/>
        <v>0</v>
      </c>
      <c r="Q173" s="1">
        <f t="shared" si="174"/>
        <v>0</v>
      </c>
      <c r="R173" s="1">
        <f t="shared" si="174"/>
        <v>0</v>
      </c>
      <c r="S173" s="1">
        <f t="shared" si="174"/>
        <v>0</v>
      </c>
      <c r="T173" s="1">
        <f t="shared" si="174"/>
        <v>0</v>
      </c>
      <c r="U173" s="1">
        <f t="shared" si="174"/>
        <v>0</v>
      </c>
      <c r="V173" s="1">
        <f t="shared" si="174"/>
        <v>0</v>
      </c>
      <c r="W173" s="1">
        <f t="shared" si="174"/>
        <v>0</v>
      </c>
      <c r="X173" s="1">
        <f t="shared" si="174"/>
        <v>0</v>
      </c>
      <c r="Y173" s="1">
        <f t="shared" si="174"/>
        <v>0</v>
      </c>
      <c r="Z173" s="1">
        <f t="shared" si="174"/>
        <v>0</v>
      </c>
      <c r="AA173" s="1">
        <f t="shared" si="174"/>
        <v>0</v>
      </c>
    </row>
    <row r="174" spans="1:27">
      <c r="A174" s="84" t="s">
        <v>421</v>
      </c>
      <c r="B174" s="85" t="s">
        <v>420</v>
      </c>
      <c r="C174" s="85" t="s">
        <v>74</v>
      </c>
      <c r="D174" s="84" t="s">
        <v>75</v>
      </c>
      <c r="E174" s="84">
        <f>VLOOKUP(A174,'2a. SI Pop'!$A$5:$E$198,5,FALSE)</f>
        <v>2</v>
      </c>
      <c r="F174" s="89">
        <v>1860244.203</v>
      </c>
      <c r="G174" s="1">
        <f t="shared" si="166"/>
        <v>1860244.203</v>
      </c>
      <c r="H174" s="1">
        <f t="shared" ref="H174:AA174" si="175">G174</f>
        <v>1860244.203</v>
      </c>
      <c r="I174" s="1">
        <f t="shared" si="175"/>
        <v>1860244.203</v>
      </c>
      <c r="J174" s="1">
        <f t="shared" si="175"/>
        <v>1860244.203</v>
      </c>
      <c r="K174" s="1">
        <f t="shared" si="175"/>
        <v>1860244.203</v>
      </c>
      <c r="L174" s="1">
        <f t="shared" si="175"/>
        <v>1860244.203</v>
      </c>
      <c r="M174" s="1">
        <f t="shared" si="175"/>
        <v>1860244.203</v>
      </c>
      <c r="N174" s="1">
        <f t="shared" si="175"/>
        <v>1860244.203</v>
      </c>
      <c r="O174" s="1">
        <f t="shared" si="175"/>
        <v>1860244.203</v>
      </c>
      <c r="P174" s="1">
        <f t="shared" si="175"/>
        <v>1860244.203</v>
      </c>
      <c r="Q174" s="1">
        <f t="shared" si="175"/>
        <v>1860244.203</v>
      </c>
      <c r="R174" s="1">
        <f t="shared" si="175"/>
        <v>1860244.203</v>
      </c>
      <c r="S174" s="1">
        <f t="shared" si="175"/>
        <v>1860244.203</v>
      </c>
      <c r="T174" s="1">
        <f t="shared" si="175"/>
        <v>1860244.203</v>
      </c>
      <c r="U174" s="1">
        <f t="shared" si="175"/>
        <v>1860244.203</v>
      </c>
      <c r="V174" s="1">
        <f t="shared" si="175"/>
        <v>1860244.203</v>
      </c>
      <c r="W174" s="1">
        <f t="shared" si="175"/>
        <v>1860244.203</v>
      </c>
      <c r="X174" s="1">
        <f t="shared" si="175"/>
        <v>1860244.203</v>
      </c>
      <c r="Y174" s="1">
        <f t="shared" si="175"/>
        <v>1860244.203</v>
      </c>
      <c r="Z174" s="1">
        <f t="shared" si="175"/>
        <v>1860244.203</v>
      </c>
      <c r="AA174" s="1">
        <f t="shared" si="175"/>
        <v>1860244.203</v>
      </c>
    </row>
    <row r="175" spans="1:27">
      <c r="A175" s="84" t="s">
        <v>423</v>
      </c>
      <c r="B175" s="85" t="s">
        <v>422</v>
      </c>
      <c r="C175" s="85" t="s">
        <v>83</v>
      </c>
      <c r="D175" s="84" t="s">
        <v>84</v>
      </c>
      <c r="E175" s="84" t="str">
        <f>VLOOKUP(A175,'2a. SI Pop'!$A$5:$E$198,5,FALSE)</f>
        <v>Key</v>
      </c>
      <c r="F175" s="89">
        <v>7827868.5810000002</v>
      </c>
      <c r="G175" s="1">
        <f t="shared" si="166"/>
        <v>7827868.5810000002</v>
      </c>
      <c r="H175" s="1">
        <f t="shared" ref="H175:AA175" si="176">G175</f>
        <v>7827868.5810000002</v>
      </c>
      <c r="I175" s="1">
        <f t="shared" si="176"/>
        <v>7827868.5810000002</v>
      </c>
      <c r="J175" s="1">
        <f t="shared" si="176"/>
        <v>7827868.5810000002</v>
      </c>
      <c r="K175" s="1">
        <f t="shared" si="176"/>
        <v>7827868.5810000002</v>
      </c>
      <c r="L175" s="1">
        <f t="shared" si="176"/>
        <v>7827868.5810000002</v>
      </c>
      <c r="M175" s="1">
        <f t="shared" si="176"/>
        <v>7827868.5810000002</v>
      </c>
      <c r="N175" s="1">
        <f t="shared" si="176"/>
        <v>7827868.5810000002</v>
      </c>
      <c r="O175" s="1">
        <f t="shared" si="176"/>
        <v>7827868.5810000002</v>
      </c>
      <c r="P175" s="1">
        <f t="shared" si="176"/>
        <v>7827868.5810000002</v>
      </c>
      <c r="Q175" s="1">
        <f t="shared" si="176"/>
        <v>7827868.5810000002</v>
      </c>
      <c r="R175" s="1">
        <f t="shared" si="176"/>
        <v>7827868.5810000002</v>
      </c>
      <c r="S175" s="1">
        <f t="shared" si="176"/>
        <v>7827868.5810000002</v>
      </c>
      <c r="T175" s="1">
        <f t="shared" si="176"/>
        <v>7827868.5810000002</v>
      </c>
      <c r="U175" s="1">
        <f t="shared" si="176"/>
        <v>7827868.5810000002</v>
      </c>
      <c r="V175" s="1">
        <f t="shared" si="176"/>
        <v>7827868.5810000002</v>
      </c>
      <c r="W175" s="1">
        <f t="shared" si="176"/>
        <v>7827868.5810000002</v>
      </c>
      <c r="X175" s="1">
        <f t="shared" si="176"/>
        <v>7827868.5810000002</v>
      </c>
      <c r="Y175" s="1">
        <f t="shared" si="176"/>
        <v>7827868.5810000002</v>
      </c>
      <c r="Z175" s="1">
        <f t="shared" si="176"/>
        <v>7827868.5810000002</v>
      </c>
      <c r="AA175" s="1">
        <f t="shared" si="176"/>
        <v>7827868.5810000002</v>
      </c>
    </row>
    <row r="176" spans="1:27">
      <c r="A176" s="84" t="s">
        <v>425</v>
      </c>
      <c r="B176" s="85" t="s">
        <v>424</v>
      </c>
      <c r="C176" s="85" t="s">
        <v>79</v>
      </c>
      <c r="D176" s="84" t="s">
        <v>75</v>
      </c>
      <c r="E176" s="84">
        <f>VLOOKUP(A176,'2a. SI Pop'!$A$5:$E$198,5,FALSE)</f>
        <v>2</v>
      </c>
      <c r="F176" s="89">
        <v>0</v>
      </c>
      <c r="G176" s="1">
        <f t="shared" si="166"/>
        <v>0</v>
      </c>
      <c r="H176" s="1">
        <f t="shared" ref="H176:AA176" si="177">G176</f>
        <v>0</v>
      </c>
      <c r="I176" s="1">
        <f t="shared" si="177"/>
        <v>0</v>
      </c>
      <c r="J176" s="1">
        <f t="shared" si="177"/>
        <v>0</v>
      </c>
      <c r="K176" s="1">
        <f t="shared" si="177"/>
        <v>0</v>
      </c>
      <c r="L176" s="1">
        <f t="shared" si="177"/>
        <v>0</v>
      </c>
      <c r="M176" s="1">
        <f t="shared" si="177"/>
        <v>0</v>
      </c>
      <c r="N176" s="1">
        <f t="shared" si="177"/>
        <v>0</v>
      </c>
      <c r="O176" s="1">
        <f t="shared" si="177"/>
        <v>0</v>
      </c>
      <c r="P176" s="1">
        <f t="shared" si="177"/>
        <v>0</v>
      </c>
      <c r="Q176" s="1">
        <f t="shared" si="177"/>
        <v>0</v>
      </c>
      <c r="R176" s="1">
        <f t="shared" si="177"/>
        <v>0</v>
      </c>
      <c r="S176" s="1">
        <f t="shared" si="177"/>
        <v>0</v>
      </c>
      <c r="T176" s="1">
        <f t="shared" si="177"/>
        <v>0</v>
      </c>
      <c r="U176" s="1">
        <f t="shared" si="177"/>
        <v>0</v>
      </c>
      <c r="V176" s="1">
        <f t="shared" si="177"/>
        <v>0</v>
      </c>
      <c r="W176" s="1">
        <f t="shared" si="177"/>
        <v>0</v>
      </c>
      <c r="X176" s="1">
        <f t="shared" si="177"/>
        <v>0</v>
      </c>
      <c r="Y176" s="1">
        <f t="shared" si="177"/>
        <v>0</v>
      </c>
      <c r="Z176" s="1">
        <f t="shared" si="177"/>
        <v>0</v>
      </c>
      <c r="AA176" s="1">
        <f t="shared" si="177"/>
        <v>0</v>
      </c>
    </row>
    <row r="177" spans="1:27">
      <c r="A177" s="84" t="s">
        <v>427</v>
      </c>
      <c r="B177" s="85" t="s">
        <v>426</v>
      </c>
      <c r="C177" s="85" t="s">
        <v>110</v>
      </c>
      <c r="D177" s="84" t="s">
        <v>80</v>
      </c>
      <c r="E177" s="84">
        <f>VLOOKUP(A177,'2a. SI Pop'!$A$5:$E$198,5,FALSE)</f>
        <v>1</v>
      </c>
      <c r="F177" s="89">
        <v>8031798.25</v>
      </c>
      <c r="G177" s="1">
        <f t="shared" si="166"/>
        <v>8031798.25</v>
      </c>
      <c r="H177" s="1">
        <f t="shared" ref="H177:AA177" si="178">G177</f>
        <v>8031798.25</v>
      </c>
      <c r="I177" s="1">
        <f t="shared" si="178"/>
        <v>8031798.25</v>
      </c>
      <c r="J177" s="1">
        <f t="shared" si="178"/>
        <v>8031798.25</v>
      </c>
      <c r="K177" s="1">
        <f t="shared" si="178"/>
        <v>8031798.25</v>
      </c>
      <c r="L177" s="1">
        <f t="shared" si="178"/>
        <v>8031798.25</v>
      </c>
      <c r="M177" s="1">
        <f t="shared" si="178"/>
        <v>8031798.25</v>
      </c>
      <c r="N177" s="1">
        <f t="shared" si="178"/>
        <v>8031798.25</v>
      </c>
      <c r="O177" s="1">
        <f t="shared" si="178"/>
        <v>8031798.25</v>
      </c>
      <c r="P177" s="1">
        <f t="shared" si="178"/>
        <v>8031798.25</v>
      </c>
      <c r="Q177" s="1">
        <f t="shared" si="178"/>
        <v>8031798.25</v>
      </c>
      <c r="R177" s="1">
        <f t="shared" si="178"/>
        <v>8031798.25</v>
      </c>
      <c r="S177" s="1">
        <f t="shared" si="178"/>
        <v>8031798.25</v>
      </c>
      <c r="T177" s="1">
        <f t="shared" si="178"/>
        <v>8031798.25</v>
      </c>
      <c r="U177" s="1">
        <f t="shared" si="178"/>
        <v>8031798.25</v>
      </c>
      <c r="V177" s="1">
        <f t="shared" si="178"/>
        <v>8031798.25</v>
      </c>
      <c r="W177" s="1">
        <f t="shared" si="178"/>
        <v>8031798.25</v>
      </c>
      <c r="X177" s="1">
        <f t="shared" si="178"/>
        <v>8031798.25</v>
      </c>
      <c r="Y177" s="1">
        <f t="shared" si="178"/>
        <v>8031798.25</v>
      </c>
      <c r="Z177" s="1">
        <f t="shared" si="178"/>
        <v>8031798.25</v>
      </c>
      <c r="AA177" s="1">
        <f t="shared" si="178"/>
        <v>8031798.25</v>
      </c>
    </row>
    <row r="178" spans="1:27">
      <c r="A178" s="84" t="s">
        <v>429</v>
      </c>
      <c r="B178" s="85" t="s">
        <v>428</v>
      </c>
      <c r="C178" s="85" t="s">
        <v>110</v>
      </c>
      <c r="D178" s="84" t="s">
        <v>84</v>
      </c>
      <c r="E178" s="84">
        <f>VLOOKUP(A178,'2a. SI Pop'!$A$5:$E$198,5,FALSE)</f>
        <v>4</v>
      </c>
      <c r="F178" s="89">
        <v>0</v>
      </c>
      <c r="G178" s="1">
        <f t="shared" si="166"/>
        <v>0</v>
      </c>
      <c r="H178" s="1">
        <f t="shared" ref="H178:AA178" si="179">G178</f>
        <v>0</v>
      </c>
      <c r="I178" s="1">
        <f t="shared" si="179"/>
        <v>0</v>
      </c>
      <c r="J178" s="1">
        <f t="shared" si="179"/>
        <v>0</v>
      </c>
      <c r="K178" s="1">
        <f t="shared" si="179"/>
        <v>0</v>
      </c>
      <c r="L178" s="1">
        <f t="shared" si="179"/>
        <v>0</v>
      </c>
      <c r="M178" s="1">
        <f t="shared" si="179"/>
        <v>0</v>
      </c>
      <c r="N178" s="1">
        <f t="shared" si="179"/>
        <v>0</v>
      </c>
      <c r="O178" s="1">
        <f t="shared" si="179"/>
        <v>0</v>
      </c>
      <c r="P178" s="1">
        <f t="shared" si="179"/>
        <v>0</v>
      </c>
      <c r="Q178" s="1">
        <f t="shared" si="179"/>
        <v>0</v>
      </c>
      <c r="R178" s="1">
        <f t="shared" si="179"/>
        <v>0</v>
      </c>
      <c r="S178" s="1">
        <f t="shared" si="179"/>
        <v>0</v>
      </c>
      <c r="T178" s="1">
        <f t="shared" si="179"/>
        <v>0</v>
      </c>
      <c r="U178" s="1">
        <f t="shared" si="179"/>
        <v>0</v>
      </c>
      <c r="V178" s="1">
        <f t="shared" si="179"/>
        <v>0</v>
      </c>
      <c r="W178" s="1">
        <f t="shared" si="179"/>
        <v>0</v>
      </c>
      <c r="X178" s="1">
        <f t="shared" si="179"/>
        <v>0</v>
      </c>
      <c r="Y178" s="1">
        <f t="shared" si="179"/>
        <v>0</v>
      </c>
      <c r="Z178" s="1">
        <f t="shared" si="179"/>
        <v>0</v>
      </c>
      <c r="AA178" s="1">
        <f t="shared" si="179"/>
        <v>0</v>
      </c>
    </row>
    <row r="179" spans="1:27">
      <c r="A179" s="84" t="s">
        <v>431</v>
      </c>
      <c r="B179" s="85" t="s">
        <v>430</v>
      </c>
      <c r="C179" s="85" t="s">
        <v>83</v>
      </c>
      <c r="D179" s="84" t="s">
        <v>75</v>
      </c>
      <c r="E179" s="84">
        <f>VLOOKUP(A179,'2a. SI Pop'!$A$5:$E$198,5,FALSE)</f>
        <v>3</v>
      </c>
      <c r="F179" s="89">
        <v>1446475.7760000001</v>
      </c>
      <c r="G179" s="1">
        <f t="shared" si="166"/>
        <v>1446475.7760000001</v>
      </c>
      <c r="H179" s="1">
        <f t="shared" ref="H179:AA179" si="180">G179</f>
        <v>1446475.7760000001</v>
      </c>
      <c r="I179" s="1">
        <f t="shared" si="180"/>
        <v>1446475.7760000001</v>
      </c>
      <c r="J179" s="1">
        <f t="shared" si="180"/>
        <v>1446475.7760000001</v>
      </c>
      <c r="K179" s="1">
        <f t="shared" si="180"/>
        <v>1446475.7760000001</v>
      </c>
      <c r="L179" s="1">
        <f t="shared" si="180"/>
        <v>1446475.7760000001</v>
      </c>
      <c r="M179" s="1">
        <f t="shared" si="180"/>
        <v>1446475.7760000001</v>
      </c>
      <c r="N179" s="1">
        <f t="shared" si="180"/>
        <v>1446475.7760000001</v>
      </c>
      <c r="O179" s="1">
        <f t="shared" si="180"/>
        <v>1446475.7760000001</v>
      </c>
      <c r="P179" s="1">
        <f t="shared" si="180"/>
        <v>1446475.7760000001</v>
      </c>
      <c r="Q179" s="1">
        <f t="shared" si="180"/>
        <v>1446475.7760000001</v>
      </c>
      <c r="R179" s="1">
        <f t="shared" si="180"/>
        <v>1446475.7760000001</v>
      </c>
      <c r="S179" s="1">
        <f t="shared" si="180"/>
        <v>1446475.7760000001</v>
      </c>
      <c r="T179" s="1">
        <f t="shared" si="180"/>
        <v>1446475.7760000001</v>
      </c>
      <c r="U179" s="1">
        <f t="shared" si="180"/>
        <v>1446475.7760000001</v>
      </c>
      <c r="V179" s="1">
        <f t="shared" si="180"/>
        <v>1446475.7760000001</v>
      </c>
      <c r="W179" s="1">
        <f t="shared" si="180"/>
        <v>1446475.7760000001</v>
      </c>
      <c r="X179" s="1">
        <f t="shared" si="180"/>
        <v>1446475.7760000001</v>
      </c>
      <c r="Y179" s="1">
        <f t="shared" si="180"/>
        <v>1446475.7760000001</v>
      </c>
      <c r="Z179" s="1">
        <f t="shared" si="180"/>
        <v>1446475.7760000001</v>
      </c>
      <c r="AA179" s="1">
        <f t="shared" si="180"/>
        <v>1446475.7760000001</v>
      </c>
    </row>
    <row r="180" spans="1:27">
      <c r="A180" s="84" t="s">
        <v>433</v>
      </c>
      <c r="B180" s="85" t="s">
        <v>432</v>
      </c>
      <c r="C180" s="85" t="s">
        <v>99</v>
      </c>
      <c r="D180" s="84" t="s">
        <v>80</v>
      </c>
      <c r="E180" s="84">
        <f>VLOOKUP(A180,'2a. SI Pop'!$A$5:$E$198,5,FALSE)</f>
        <v>1</v>
      </c>
      <c r="F180" s="89">
        <v>0</v>
      </c>
      <c r="G180" s="1">
        <f t="shared" si="166"/>
        <v>0</v>
      </c>
      <c r="H180" s="1">
        <f t="shared" ref="H180:AA180" si="181">G180</f>
        <v>0</v>
      </c>
      <c r="I180" s="1">
        <f t="shared" si="181"/>
        <v>0</v>
      </c>
      <c r="J180" s="1">
        <f t="shared" si="181"/>
        <v>0</v>
      </c>
      <c r="K180" s="1">
        <f t="shared" si="181"/>
        <v>0</v>
      </c>
      <c r="L180" s="1">
        <f t="shared" si="181"/>
        <v>0</v>
      </c>
      <c r="M180" s="1">
        <f t="shared" si="181"/>
        <v>0</v>
      </c>
      <c r="N180" s="1">
        <f t="shared" si="181"/>
        <v>0</v>
      </c>
      <c r="O180" s="1">
        <f t="shared" si="181"/>
        <v>0</v>
      </c>
      <c r="P180" s="1">
        <f t="shared" si="181"/>
        <v>0</v>
      </c>
      <c r="Q180" s="1">
        <f t="shared" si="181"/>
        <v>0</v>
      </c>
      <c r="R180" s="1">
        <f t="shared" si="181"/>
        <v>0</v>
      </c>
      <c r="S180" s="1">
        <f t="shared" si="181"/>
        <v>0</v>
      </c>
      <c r="T180" s="1">
        <f t="shared" si="181"/>
        <v>0</v>
      </c>
      <c r="U180" s="1">
        <f t="shared" si="181"/>
        <v>0</v>
      </c>
      <c r="V180" s="1">
        <f t="shared" si="181"/>
        <v>0</v>
      </c>
      <c r="W180" s="1">
        <f t="shared" si="181"/>
        <v>0</v>
      </c>
      <c r="X180" s="1">
        <f t="shared" si="181"/>
        <v>0</v>
      </c>
      <c r="Y180" s="1">
        <f t="shared" si="181"/>
        <v>0</v>
      </c>
      <c r="Z180" s="1">
        <f t="shared" si="181"/>
        <v>0</v>
      </c>
      <c r="AA180" s="1">
        <f t="shared" si="181"/>
        <v>0</v>
      </c>
    </row>
    <row r="181" spans="1:27">
      <c r="A181" s="84" t="s">
        <v>435</v>
      </c>
      <c r="B181" s="85" t="s">
        <v>434</v>
      </c>
      <c r="C181" s="85" t="s">
        <v>92</v>
      </c>
      <c r="D181" s="84" t="s">
        <v>87</v>
      </c>
      <c r="E181" s="84">
        <f>VLOOKUP(A181,'2a. SI Pop'!$A$5:$E$198,5,FALSE)</f>
        <v>1</v>
      </c>
      <c r="F181" s="89">
        <v>0</v>
      </c>
      <c r="G181" s="1">
        <f t="shared" si="166"/>
        <v>0</v>
      </c>
      <c r="H181" s="1">
        <f t="shared" ref="H181:AA181" si="182">G181</f>
        <v>0</v>
      </c>
      <c r="I181" s="1">
        <f t="shared" si="182"/>
        <v>0</v>
      </c>
      <c r="J181" s="1">
        <f t="shared" si="182"/>
        <v>0</v>
      </c>
      <c r="K181" s="1">
        <f t="shared" si="182"/>
        <v>0</v>
      </c>
      <c r="L181" s="1">
        <f t="shared" si="182"/>
        <v>0</v>
      </c>
      <c r="M181" s="1">
        <f t="shared" si="182"/>
        <v>0</v>
      </c>
      <c r="N181" s="1">
        <f t="shared" si="182"/>
        <v>0</v>
      </c>
      <c r="O181" s="1">
        <f t="shared" si="182"/>
        <v>0</v>
      </c>
      <c r="P181" s="1">
        <f t="shared" si="182"/>
        <v>0</v>
      </c>
      <c r="Q181" s="1">
        <f t="shared" si="182"/>
        <v>0</v>
      </c>
      <c r="R181" s="1">
        <f t="shared" si="182"/>
        <v>0</v>
      </c>
      <c r="S181" s="1">
        <f t="shared" si="182"/>
        <v>0</v>
      </c>
      <c r="T181" s="1">
        <f t="shared" si="182"/>
        <v>0</v>
      </c>
      <c r="U181" s="1">
        <f t="shared" si="182"/>
        <v>0</v>
      </c>
      <c r="V181" s="1">
        <f t="shared" si="182"/>
        <v>0</v>
      </c>
      <c r="W181" s="1">
        <f t="shared" si="182"/>
        <v>0</v>
      </c>
      <c r="X181" s="1">
        <f t="shared" si="182"/>
        <v>0</v>
      </c>
      <c r="Y181" s="1">
        <f t="shared" si="182"/>
        <v>0</v>
      </c>
      <c r="Z181" s="1">
        <f t="shared" si="182"/>
        <v>0</v>
      </c>
      <c r="AA181" s="1">
        <f t="shared" si="182"/>
        <v>0</v>
      </c>
    </row>
    <row r="182" spans="1:27">
      <c r="A182" s="84" t="s">
        <v>437</v>
      </c>
      <c r="B182" s="85" t="s">
        <v>436</v>
      </c>
      <c r="C182" s="85" t="s">
        <v>74</v>
      </c>
      <c r="D182" s="84" t="s">
        <v>84</v>
      </c>
      <c r="E182" s="84">
        <f>VLOOKUP(A182,'2a. SI Pop'!$A$5:$E$198,5,FALSE)</f>
        <v>3</v>
      </c>
      <c r="F182" s="89">
        <v>599820.24</v>
      </c>
      <c r="G182" s="1">
        <f t="shared" si="166"/>
        <v>599820.24</v>
      </c>
      <c r="H182" s="1">
        <f t="shared" ref="H182:AA182" si="183">G182</f>
        <v>599820.24</v>
      </c>
      <c r="I182" s="1">
        <f t="shared" si="183"/>
        <v>599820.24</v>
      </c>
      <c r="J182" s="1">
        <f t="shared" si="183"/>
        <v>599820.24</v>
      </c>
      <c r="K182" s="1">
        <f t="shared" si="183"/>
        <v>599820.24</v>
      </c>
      <c r="L182" s="1">
        <f t="shared" si="183"/>
        <v>599820.24</v>
      </c>
      <c r="M182" s="1">
        <f t="shared" si="183"/>
        <v>599820.24</v>
      </c>
      <c r="N182" s="1">
        <f t="shared" si="183"/>
        <v>599820.24</v>
      </c>
      <c r="O182" s="1">
        <f t="shared" si="183"/>
        <v>599820.24</v>
      </c>
      <c r="P182" s="1">
        <f t="shared" si="183"/>
        <v>599820.24</v>
      </c>
      <c r="Q182" s="1">
        <f t="shared" si="183"/>
        <v>599820.24</v>
      </c>
      <c r="R182" s="1">
        <f t="shared" si="183"/>
        <v>599820.24</v>
      </c>
      <c r="S182" s="1">
        <f t="shared" si="183"/>
        <v>599820.24</v>
      </c>
      <c r="T182" s="1">
        <f t="shared" si="183"/>
        <v>599820.24</v>
      </c>
      <c r="U182" s="1">
        <f t="shared" si="183"/>
        <v>599820.24</v>
      </c>
      <c r="V182" s="1">
        <f t="shared" si="183"/>
        <v>599820.24</v>
      </c>
      <c r="W182" s="1">
        <f t="shared" si="183"/>
        <v>599820.24</v>
      </c>
      <c r="X182" s="1">
        <f t="shared" si="183"/>
        <v>599820.24</v>
      </c>
      <c r="Y182" s="1">
        <f t="shared" si="183"/>
        <v>599820.24</v>
      </c>
      <c r="Z182" s="1">
        <f t="shared" si="183"/>
        <v>599820.24</v>
      </c>
      <c r="AA182" s="1">
        <f t="shared" si="183"/>
        <v>599820.24</v>
      </c>
    </row>
    <row r="183" spans="1:27">
      <c r="A183" s="84" t="s">
        <v>439</v>
      </c>
      <c r="B183" s="85" t="s">
        <v>438</v>
      </c>
      <c r="C183" s="85" t="s">
        <v>79</v>
      </c>
      <c r="D183" s="84" t="s">
        <v>80</v>
      </c>
      <c r="E183" s="84">
        <f>VLOOKUP(A183,'2a. SI Pop'!$A$5:$E$198,5,FALSE)</f>
        <v>1</v>
      </c>
      <c r="F183" s="89">
        <v>6716212.5590000004</v>
      </c>
      <c r="G183" s="1">
        <f t="shared" si="166"/>
        <v>6716212.5590000004</v>
      </c>
      <c r="H183" s="1">
        <f t="shared" ref="H183:AA183" si="184">G183</f>
        <v>6716212.5590000004</v>
      </c>
      <c r="I183" s="1">
        <f t="shared" si="184"/>
        <v>6716212.5590000004</v>
      </c>
      <c r="J183" s="1">
        <f t="shared" si="184"/>
        <v>6716212.5590000004</v>
      </c>
      <c r="K183" s="1">
        <f t="shared" si="184"/>
        <v>6716212.5590000004</v>
      </c>
      <c r="L183" s="1">
        <f t="shared" si="184"/>
        <v>6716212.5590000004</v>
      </c>
      <c r="M183" s="1">
        <f t="shared" si="184"/>
        <v>6716212.5590000004</v>
      </c>
      <c r="N183" s="1">
        <f t="shared" si="184"/>
        <v>6716212.5590000004</v>
      </c>
      <c r="O183" s="1">
        <f t="shared" si="184"/>
        <v>6716212.5590000004</v>
      </c>
      <c r="P183" s="1">
        <f t="shared" si="184"/>
        <v>6716212.5590000004</v>
      </c>
      <c r="Q183" s="1">
        <f t="shared" si="184"/>
        <v>6716212.5590000004</v>
      </c>
      <c r="R183" s="1">
        <f t="shared" si="184"/>
        <v>6716212.5590000004</v>
      </c>
      <c r="S183" s="1">
        <f t="shared" si="184"/>
        <v>6716212.5590000004</v>
      </c>
      <c r="T183" s="1">
        <f t="shared" si="184"/>
        <v>6716212.5590000004</v>
      </c>
      <c r="U183" s="1">
        <f t="shared" si="184"/>
        <v>6716212.5590000004</v>
      </c>
      <c r="V183" s="1">
        <f t="shared" si="184"/>
        <v>6716212.5590000004</v>
      </c>
      <c r="W183" s="1">
        <f t="shared" si="184"/>
        <v>6716212.5590000004</v>
      </c>
      <c r="X183" s="1">
        <f t="shared" si="184"/>
        <v>6716212.5590000004</v>
      </c>
      <c r="Y183" s="1">
        <f t="shared" si="184"/>
        <v>6716212.5590000004</v>
      </c>
      <c r="Z183" s="1">
        <f t="shared" si="184"/>
        <v>6716212.5590000004</v>
      </c>
      <c r="AA183" s="1">
        <f t="shared" si="184"/>
        <v>6716212.5590000004</v>
      </c>
    </row>
    <row r="184" spans="1:27">
      <c r="A184" s="84" t="s">
        <v>441</v>
      </c>
      <c r="B184" s="85" t="s">
        <v>440</v>
      </c>
      <c r="C184" s="85" t="s">
        <v>79</v>
      </c>
      <c r="D184" s="84" t="s">
        <v>80</v>
      </c>
      <c r="E184" s="84">
        <f>VLOOKUP(A184,'2a. SI Pop'!$A$5:$E$198,5,FALSE)</f>
        <v>1</v>
      </c>
      <c r="F184" s="89">
        <v>0</v>
      </c>
      <c r="G184" s="1">
        <f t="shared" si="166"/>
        <v>0</v>
      </c>
      <c r="H184" s="1">
        <f t="shared" ref="H184:AA184" si="185">G184</f>
        <v>0</v>
      </c>
      <c r="I184" s="1">
        <f t="shared" si="185"/>
        <v>0</v>
      </c>
      <c r="J184" s="1">
        <f t="shared" si="185"/>
        <v>0</v>
      </c>
      <c r="K184" s="1">
        <f t="shared" si="185"/>
        <v>0</v>
      </c>
      <c r="L184" s="1">
        <f t="shared" si="185"/>
        <v>0</v>
      </c>
      <c r="M184" s="1">
        <f t="shared" si="185"/>
        <v>0</v>
      </c>
      <c r="N184" s="1">
        <f t="shared" si="185"/>
        <v>0</v>
      </c>
      <c r="O184" s="1">
        <f t="shared" si="185"/>
        <v>0</v>
      </c>
      <c r="P184" s="1">
        <f t="shared" si="185"/>
        <v>0</v>
      </c>
      <c r="Q184" s="1">
        <f t="shared" si="185"/>
        <v>0</v>
      </c>
      <c r="R184" s="1">
        <f t="shared" si="185"/>
        <v>0</v>
      </c>
      <c r="S184" s="1">
        <f t="shared" si="185"/>
        <v>0</v>
      </c>
      <c r="T184" s="1">
        <f t="shared" si="185"/>
        <v>0</v>
      </c>
      <c r="U184" s="1">
        <f t="shared" si="185"/>
        <v>0</v>
      </c>
      <c r="V184" s="1">
        <f t="shared" si="185"/>
        <v>0</v>
      </c>
      <c r="W184" s="1">
        <f t="shared" si="185"/>
        <v>0</v>
      </c>
      <c r="X184" s="1">
        <f t="shared" si="185"/>
        <v>0</v>
      </c>
      <c r="Y184" s="1">
        <f t="shared" si="185"/>
        <v>0</v>
      </c>
      <c r="Z184" s="1">
        <f t="shared" si="185"/>
        <v>0</v>
      </c>
      <c r="AA184" s="1">
        <f t="shared" si="185"/>
        <v>0</v>
      </c>
    </row>
    <row r="185" spans="1:27">
      <c r="A185" s="84" t="s">
        <v>443</v>
      </c>
      <c r="B185" s="85" t="s">
        <v>442</v>
      </c>
      <c r="C185" s="85" t="s">
        <v>99</v>
      </c>
      <c r="D185" s="84" t="s">
        <v>80</v>
      </c>
      <c r="E185" s="84">
        <f>VLOOKUP(A185,'2a. SI Pop'!$A$5:$E$198,5,FALSE)</f>
        <v>4</v>
      </c>
      <c r="F185" s="89">
        <v>0</v>
      </c>
      <c r="G185" s="1">
        <f t="shared" si="166"/>
        <v>0</v>
      </c>
      <c r="H185" s="1">
        <f t="shared" ref="H185:AA185" si="186">G185</f>
        <v>0</v>
      </c>
      <c r="I185" s="1">
        <f t="shared" si="186"/>
        <v>0</v>
      </c>
      <c r="J185" s="1">
        <f t="shared" si="186"/>
        <v>0</v>
      </c>
      <c r="K185" s="1">
        <f t="shared" si="186"/>
        <v>0</v>
      </c>
      <c r="L185" s="1">
        <f t="shared" si="186"/>
        <v>0</v>
      </c>
      <c r="M185" s="1">
        <f t="shared" si="186"/>
        <v>0</v>
      </c>
      <c r="N185" s="1">
        <f t="shared" si="186"/>
        <v>0</v>
      </c>
      <c r="O185" s="1">
        <f t="shared" si="186"/>
        <v>0</v>
      </c>
      <c r="P185" s="1">
        <f t="shared" si="186"/>
        <v>0</v>
      </c>
      <c r="Q185" s="1">
        <f t="shared" si="186"/>
        <v>0</v>
      </c>
      <c r="R185" s="1">
        <f t="shared" si="186"/>
        <v>0</v>
      </c>
      <c r="S185" s="1">
        <f t="shared" si="186"/>
        <v>0</v>
      </c>
      <c r="T185" s="1">
        <f t="shared" si="186"/>
        <v>0</v>
      </c>
      <c r="U185" s="1">
        <f t="shared" si="186"/>
        <v>0</v>
      </c>
      <c r="V185" s="1">
        <f t="shared" si="186"/>
        <v>0</v>
      </c>
      <c r="W185" s="1">
        <f t="shared" si="186"/>
        <v>0</v>
      </c>
      <c r="X185" s="1">
        <f t="shared" si="186"/>
        <v>0</v>
      </c>
      <c r="Y185" s="1">
        <f t="shared" si="186"/>
        <v>0</v>
      </c>
      <c r="Z185" s="1">
        <f t="shared" si="186"/>
        <v>0</v>
      </c>
      <c r="AA185" s="1">
        <f t="shared" si="186"/>
        <v>0</v>
      </c>
    </row>
    <row r="186" spans="1:27">
      <c r="A186" s="84" t="s">
        <v>445</v>
      </c>
      <c r="B186" s="85" t="s">
        <v>444</v>
      </c>
      <c r="C186" s="85" t="s">
        <v>83</v>
      </c>
      <c r="D186" s="84" t="s">
        <v>75</v>
      </c>
      <c r="E186" s="84" t="str">
        <f>VLOOKUP(A186,'2a. SI Pop'!$A$5:$E$198,5,FALSE)</f>
        <v>Key</v>
      </c>
      <c r="F186" s="89">
        <v>4254547.1680000005</v>
      </c>
      <c r="G186" s="1">
        <f t="shared" si="166"/>
        <v>4254547.1680000005</v>
      </c>
      <c r="H186" s="1">
        <f t="shared" ref="H186:AA186" si="187">G186</f>
        <v>4254547.1680000005</v>
      </c>
      <c r="I186" s="1">
        <f t="shared" si="187"/>
        <v>4254547.1680000005</v>
      </c>
      <c r="J186" s="1">
        <f t="shared" si="187"/>
        <v>4254547.1680000005</v>
      </c>
      <c r="K186" s="1">
        <f t="shared" si="187"/>
        <v>4254547.1680000005</v>
      </c>
      <c r="L186" s="1">
        <f t="shared" si="187"/>
        <v>4254547.1680000005</v>
      </c>
      <c r="M186" s="1">
        <f t="shared" si="187"/>
        <v>4254547.1680000005</v>
      </c>
      <c r="N186" s="1">
        <f t="shared" si="187"/>
        <v>4254547.1680000005</v>
      </c>
      <c r="O186" s="1">
        <f t="shared" si="187"/>
        <v>4254547.1680000005</v>
      </c>
      <c r="P186" s="1">
        <f t="shared" si="187"/>
        <v>4254547.1680000005</v>
      </c>
      <c r="Q186" s="1">
        <f t="shared" si="187"/>
        <v>4254547.1680000005</v>
      </c>
      <c r="R186" s="1">
        <f t="shared" si="187"/>
        <v>4254547.1680000005</v>
      </c>
      <c r="S186" s="1">
        <f t="shared" si="187"/>
        <v>4254547.1680000005</v>
      </c>
      <c r="T186" s="1">
        <f t="shared" si="187"/>
        <v>4254547.1680000005</v>
      </c>
      <c r="U186" s="1">
        <f t="shared" si="187"/>
        <v>4254547.1680000005</v>
      </c>
      <c r="V186" s="1">
        <f t="shared" si="187"/>
        <v>4254547.1680000005</v>
      </c>
      <c r="W186" s="1">
        <f t="shared" si="187"/>
        <v>4254547.1680000005</v>
      </c>
      <c r="X186" s="1">
        <f t="shared" si="187"/>
        <v>4254547.1680000005</v>
      </c>
      <c r="Y186" s="1">
        <f t="shared" si="187"/>
        <v>4254547.1680000005</v>
      </c>
      <c r="Z186" s="1">
        <f t="shared" si="187"/>
        <v>4254547.1680000005</v>
      </c>
      <c r="AA186" s="1">
        <f t="shared" si="187"/>
        <v>4254547.1680000005</v>
      </c>
    </row>
    <row r="187" spans="1:27">
      <c r="A187" s="84" t="s">
        <v>447</v>
      </c>
      <c r="B187" s="85" t="s">
        <v>446</v>
      </c>
      <c r="C187" s="85" t="s">
        <v>79</v>
      </c>
      <c r="D187" s="84" t="s">
        <v>84</v>
      </c>
      <c r="E187" s="84">
        <f>VLOOKUP(A187,'2a. SI Pop'!$A$5:$E$198,5,FALSE)</f>
        <v>1</v>
      </c>
      <c r="F187" s="89">
        <v>0</v>
      </c>
      <c r="G187" s="1">
        <f t="shared" si="166"/>
        <v>0</v>
      </c>
      <c r="H187" s="1">
        <f t="shared" ref="H187:AA187" si="188">G187</f>
        <v>0</v>
      </c>
      <c r="I187" s="1">
        <f t="shared" si="188"/>
        <v>0</v>
      </c>
      <c r="J187" s="1">
        <f t="shared" si="188"/>
        <v>0</v>
      </c>
      <c r="K187" s="1">
        <f t="shared" si="188"/>
        <v>0</v>
      </c>
      <c r="L187" s="1">
        <f t="shared" si="188"/>
        <v>0</v>
      </c>
      <c r="M187" s="1">
        <f t="shared" si="188"/>
        <v>0</v>
      </c>
      <c r="N187" s="1">
        <f t="shared" si="188"/>
        <v>0</v>
      </c>
      <c r="O187" s="1">
        <f t="shared" si="188"/>
        <v>0</v>
      </c>
      <c r="P187" s="1">
        <f t="shared" si="188"/>
        <v>0</v>
      </c>
      <c r="Q187" s="1">
        <f t="shared" si="188"/>
        <v>0</v>
      </c>
      <c r="R187" s="1">
        <f t="shared" si="188"/>
        <v>0</v>
      </c>
      <c r="S187" s="1">
        <f t="shared" si="188"/>
        <v>0</v>
      </c>
      <c r="T187" s="1">
        <f t="shared" si="188"/>
        <v>0</v>
      </c>
      <c r="U187" s="1">
        <f t="shared" si="188"/>
        <v>0</v>
      </c>
      <c r="V187" s="1">
        <f t="shared" si="188"/>
        <v>0</v>
      </c>
      <c r="W187" s="1">
        <f t="shared" si="188"/>
        <v>0</v>
      </c>
      <c r="X187" s="1">
        <f t="shared" si="188"/>
        <v>0</v>
      </c>
      <c r="Y187" s="1">
        <f t="shared" si="188"/>
        <v>0</v>
      </c>
      <c r="Z187" s="1">
        <f t="shared" si="188"/>
        <v>0</v>
      </c>
      <c r="AA187" s="1">
        <f t="shared" si="188"/>
        <v>0</v>
      </c>
    </row>
    <row r="188" spans="1:27">
      <c r="A188" s="84" t="s">
        <v>449</v>
      </c>
      <c r="B188" s="85" t="s">
        <v>448</v>
      </c>
      <c r="C188" s="85" t="s">
        <v>74</v>
      </c>
      <c r="D188" s="84" t="s">
        <v>87</v>
      </c>
      <c r="E188" s="84">
        <f>VLOOKUP(A188,'2a. SI Pop'!$A$5:$E$198,5,FALSE)</f>
        <v>1</v>
      </c>
      <c r="F188" s="89">
        <v>0</v>
      </c>
      <c r="G188" s="1">
        <f t="shared" si="166"/>
        <v>0</v>
      </c>
      <c r="H188" s="1">
        <f t="shared" ref="H188:AA188" si="189">G188</f>
        <v>0</v>
      </c>
      <c r="I188" s="1">
        <f t="shared" si="189"/>
        <v>0</v>
      </c>
      <c r="J188" s="1">
        <f t="shared" si="189"/>
        <v>0</v>
      </c>
      <c r="K188" s="1">
        <f t="shared" si="189"/>
        <v>0</v>
      </c>
      <c r="L188" s="1">
        <f t="shared" si="189"/>
        <v>0</v>
      </c>
      <c r="M188" s="1">
        <f t="shared" si="189"/>
        <v>0</v>
      </c>
      <c r="N188" s="1">
        <f t="shared" si="189"/>
        <v>0</v>
      </c>
      <c r="O188" s="1">
        <f t="shared" si="189"/>
        <v>0</v>
      </c>
      <c r="P188" s="1">
        <f t="shared" si="189"/>
        <v>0</v>
      </c>
      <c r="Q188" s="1">
        <f t="shared" si="189"/>
        <v>0</v>
      </c>
      <c r="R188" s="1">
        <f t="shared" si="189"/>
        <v>0</v>
      </c>
      <c r="S188" s="1">
        <f t="shared" si="189"/>
        <v>0</v>
      </c>
      <c r="T188" s="1">
        <f t="shared" si="189"/>
        <v>0</v>
      </c>
      <c r="U188" s="1">
        <f t="shared" si="189"/>
        <v>0</v>
      </c>
      <c r="V188" s="1">
        <f t="shared" si="189"/>
        <v>0</v>
      </c>
      <c r="W188" s="1">
        <f t="shared" si="189"/>
        <v>0</v>
      </c>
      <c r="X188" s="1">
        <f t="shared" si="189"/>
        <v>0</v>
      </c>
      <c r="Y188" s="1">
        <f t="shared" si="189"/>
        <v>0</v>
      </c>
      <c r="Z188" s="1">
        <f t="shared" si="189"/>
        <v>0</v>
      </c>
      <c r="AA188" s="1">
        <f t="shared" si="189"/>
        <v>0</v>
      </c>
    </row>
    <row r="189" spans="1:27">
      <c r="A189" s="84" t="s">
        <v>451</v>
      </c>
      <c r="B189" s="85" t="s">
        <v>450</v>
      </c>
      <c r="C189" s="85" t="s">
        <v>79</v>
      </c>
      <c r="D189" s="84" t="s">
        <v>87</v>
      </c>
      <c r="E189" s="84">
        <f>VLOOKUP(A189,'2a. SI Pop'!$A$5:$E$198,5,FALSE)</f>
        <v>1</v>
      </c>
      <c r="F189" s="89">
        <v>0</v>
      </c>
      <c r="G189" s="1">
        <f t="shared" si="166"/>
        <v>0</v>
      </c>
      <c r="H189" s="1">
        <f t="shared" ref="H189:AA189" si="190">G189</f>
        <v>0</v>
      </c>
      <c r="I189" s="1">
        <f t="shared" si="190"/>
        <v>0</v>
      </c>
      <c r="J189" s="1">
        <f t="shared" si="190"/>
        <v>0</v>
      </c>
      <c r="K189" s="1">
        <f t="shared" si="190"/>
        <v>0</v>
      </c>
      <c r="L189" s="1">
        <f t="shared" si="190"/>
        <v>0</v>
      </c>
      <c r="M189" s="1">
        <f t="shared" si="190"/>
        <v>0</v>
      </c>
      <c r="N189" s="1">
        <f t="shared" si="190"/>
        <v>0</v>
      </c>
      <c r="O189" s="1">
        <f t="shared" si="190"/>
        <v>0</v>
      </c>
      <c r="P189" s="1">
        <f t="shared" si="190"/>
        <v>0</v>
      </c>
      <c r="Q189" s="1">
        <f t="shared" si="190"/>
        <v>0</v>
      </c>
      <c r="R189" s="1">
        <f t="shared" si="190"/>
        <v>0</v>
      </c>
      <c r="S189" s="1">
        <f t="shared" si="190"/>
        <v>0</v>
      </c>
      <c r="T189" s="1">
        <f t="shared" si="190"/>
        <v>0</v>
      </c>
      <c r="U189" s="1">
        <f t="shared" si="190"/>
        <v>0</v>
      </c>
      <c r="V189" s="1">
        <f t="shared" si="190"/>
        <v>0</v>
      </c>
      <c r="W189" s="1">
        <f t="shared" si="190"/>
        <v>0</v>
      </c>
      <c r="X189" s="1">
        <f t="shared" si="190"/>
        <v>0</v>
      </c>
      <c r="Y189" s="1">
        <f t="shared" si="190"/>
        <v>0</v>
      </c>
      <c r="Z189" s="1">
        <f t="shared" si="190"/>
        <v>0</v>
      </c>
      <c r="AA189" s="1">
        <f t="shared" si="190"/>
        <v>0</v>
      </c>
    </row>
    <row r="190" spans="1:27">
      <c r="A190" s="84" t="s">
        <v>453</v>
      </c>
      <c r="B190" s="85" t="s">
        <v>452</v>
      </c>
      <c r="C190" s="85" t="s">
        <v>92</v>
      </c>
      <c r="D190" s="84" t="s">
        <v>87</v>
      </c>
      <c r="E190" s="84" t="str">
        <f>VLOOKUP(A190,'2a. SI Pop'!$A$5:$E$198,5,FALSE)</f>
        <v>Key</v>
      </c>
      <c r="F190" s="89">
        <v>0</v>
      </c>
      <c r="G190" s="1">
        <f t="shared" si="166"/>
        <v>0</v>
      </c>
      <c r="H190" s="1">
        <f t="shared" ref="H190:AA190" si="191">G190</f>
        <v>0</v>
      </c>
      <c r="I190" s="1">
        <f t="shared" si="191"/>
        <v>0</v>
      </c>
      <c r="J190" s="1">
        <f t="shared" si="191"/>
        <v>0</v>
      </c>
      <c r="K190" s="1">
        <f t="shared" si="191"/>
        <v>0</v>
      </c>
      <c r="L190" s="1">
        <f t="shared" si="191"/>
        <v>0</v>
      </c>
      <c r="M190" s="1">
        <f t="shared" si="191"/>
        <v>0</v>
      </c>
      <c r="N190" s="1">
        <f t="shared" si="191"/>
        <v>0</v>
      </c>
      <c r="O190" s="1">
        <f t="shared" si="191"/>
        <v>0</v>
      </c>
      <c r="P190" s="1">
        <f t="shared" si="191"/>
        <v>0</v>
      </c>
      <c r="Q190" s="1">
        <f t="shared" si="191"/>
        <v>0</v>
      </c>
      <c r="R190" s="1">
        <f t="shared" si="191"/>
        <v>0</v>
      </c>
      <c r="S190" s="1">
        <f t="shared" si="191"/>
        <v>0</v>
      </c>
      <c r="T190" s="1">
        <f t="shared" si="191"/>
        <v>0</v>
      </c>
      <c r="U190" s="1">
        <f t="shared" si="191"/>
        <v>0</v>
      </c>
      <c r="V190" s="1">
        <f t="shared" si="191"/>
        <v>0</v>
      </c>
      <c r="W190" s="1">
        <f t="shared" si="191"/>
        <v>0</v>
      </c>
      <c r="X190" s="1">
        <f t="shared" si="191"/>
        <v>0</v>
      </c>
      <c r="Y190" s="1">
        <f t="shared" si="191"/>
        <v>0</v>
      </c>
      <c r="Z190" s="1">
        <f t="shared" si="191"/>
        <v>0</v>
      </c>
      <c r="AA190" s="1">
        <f t="shared" si="191"/>
        <v>0</v>
      </c>
    </row>
    <row r="191" spans="1:27">
      <c r="A191" s="84" t="s">
        <v>455</v>
      </c>
      <c r="B191" s="85" t="s">
        <v>454</v>
      </c>
      <c r="C191" s="85" t="s">
        <v>92</v>
      </c>
      <c r="D191" s="84" t="s">
        <v>87</v>
      </c>
      <c r="E191" s="84">
        <f>VLOOKUP(A191,'2a. SI Pop'!$A$5:$E$198,5,FALSE)</f>
        <v>1</v>
      </c>
      <c r="F191" s="89">
        <v>0</v>
      </c>
      <c r="G191" s="1">
        <f t="shared" si="166"/>
        <v>0</v>
      </c>
      <c r="H191" s="1">
        <f t="shared" ref="H191:AA191" si="192">G191</f>
        <v>0</v>
      </c>
      <c r="I191" s="1">
        <f t="shared" si="192"/>
        <v>0</v>
      </c>
      <c r="J191" s="1">
        <f t="shared" si="192"/>
        <v>0</v>
      </c>
      <c r="K191" s="1">
        <f t="shared" si="192"/>
        <v>0</v>
      </c>
      <c r="L191" s="1">
        <f t="shared" si="192"/>
        <v>0</v>
      </c>
      <c r="M191" s="1">
        <f t="shared" si="192"/>
        <v>0</v>
      </c>
      <c r="N191" s="1">
        <f t="shared" si="192"/>
        <v>0</v>
      </c>
      <c r="O191" s="1">
        <f t="shared" si="192"/>
        <v>0</v>
      </c>
      <c r="P191" s="1">
        <f t="shared" si="192"/>
        <v>0</v>
      </c>
      <c r="Q191" s="1">
        <f t="shared" si="192"/>
        <v>0</v>
      </c>
      <c r="R191" s="1">
        <f t="shared" si="192"/>
        <v>0</v>
      </c>
      <c r="S191" s="1">
        <f t="shared" si="192"/>
        <v>0</v>
      </c>
      <c r="T191" s="1">
        <f t="shared" si="192"/>
        <v>0</v>
      </c>
      <c r="U191" s="1">
        <f t="shared" si="192"/>
        <v>0</v>
      </c>
      <c r="V191" s="1">
        <f t="shared" si="192"/>
        <v>0</v>
      </c>
      <c r="W191" s="1">
        <f t="shared" si="192"/>
        <v>0</v>
      </c>
      <c r="X191" s="1">
        <f t="shared" si="192"/>
        <v>0</v>
      </c>
      <c r="Y191" s="1">
        <f t="shared" si="192"/>
        <v>0</v>
      </c>
      <c r="Z191" s="1">
        <f t="shared" si="192"/>
        <v>0</v>
      </c>
      <c r="AA191" s="1">
        <f t="shared" si="192"/>
        <v>0</v>
      </c>
    </row>
    <row r="192" spans="1:27">
      <c r="A192" s="84" t="s">
        <v>457</v>
      </c>
      <c r="B192" s="85" t="s">
        <v>456</v>
      </c>
      <c r="C192" s="85" t="s">
        <v>79</v>
      </c>
      <c r="D192" s="84" t="s">
        <v>84</v>
      </c>
      <c r="E192" s="84">
        <f>VLOOKUP(A192,'2a. SI Pop'!$A$5:$E$198,5,FALSE)</f>
        <v>2</v>
      </c>
      <c r="F192" s="89">
        <v>0</v>
      </c>
      <c r="G192" s="1">
        <f t="shared" si="166"/>
        <v>0</v>
      </c>
      <c r="H192" s="1">
        <f t="shared" ref="H192:AA192" si="193">G192</f>
        <v>0</v>
      </c>
      <c r="I192" s="1">
        <f t="shared" si="193"/>
        <v>0</v>
      </c>
      <c r="J192" s="1">
        <f t="shared" si="193"/>
        <v>0</v>
      </c>
      <c r="K192" s="1">
        <f t="shared" si="193"/>
        <v>0</v>
      </c>
      <c r="L192" s="1">
        <f t="shared" si="193"/>
        <v>0</v>
      </c>
      <c r="M192" s="1">
        <f t="shared" si="193"/>
        <v>0</v>
      </c>
      <c r="N192" s="1">
        <f t="shared" si="193"/>
        <v>0</v>
      </c>
      <c r="O192" s="1">
        <f t="shared" si="193"/>
        <v>0</v>
      </c>
      <c r="P192" s="1">
        <f t="shared" si="193"/>
        <v>0</v>
      </c>
      <c r="Q192" s="1">
        <f t="shared" si="193"/>
        <v>0</v>
      </c>
      <c r="R192" s="1">
        <f t="shared" si="193"/>
        <v>0</v>
      </c>
      <c r="S192" s="1">
        <f t="shared" si="193"/>
        <v>0</v>
      </c>
      <c r="T192" s="1">
        <f t="shared" si="193"/>
        <v>0</v>
      </c>
      <c r="U192" s="1">
        <f t="shared" si="193"/>
        <v>0</v>
      </c>
      <c r="V192" s="1">
        <f t="shared" si="193"/>
        <v>0</v>
      </c>
      <c r="W192" s="1">
        <f t="shared" si="193"/>
        <v>0</v>
      </c>
      <c r="X192" s="1">
        <f t="shared" si="193"/>
        <v>0</v>
      </c>
      <c r="Y192" s="1">
        <f t="shared" si="193"/>
        <v>0</v>
      </c>
      <c r="Z192" s="1">
        <f t="shared" si="193"/>
        <v>0</v>
      </c>
      <c r="AA192" s="1">
        <f t="shared" si="193"/>
        <v>0</v>
      </c>
    </row>
    <row r="193" spans="1:27">
      <c r="A193" s="84" t="s">
        <v>459</v>
      </c>
      <c r="B193" s="85" t="s">
        <v>458</v>
      </c>
      <c r="C193" s="85" t="s">
        <v>99</v>
      </c>
      <c r="D193" s="84" t="s">
        <v>84</v>
      </c>
      <c r="E193" s="84">
        <f>VLOOKUP(A193,'2a. SI Pop'!$A$5:$E$198,5,FALSE)</f>
        <v>4</v>
      </c>
      <c r="F193" s="89">
        <v>0</v>
      </c>
      <c r="G193" s="1">
        <f t="shared" si="166"/>
        <v>0</v>
      </c>
      <c r="H193" s="1">
        <f t="shared" ref="H193:AA193" si="194">G193</f>
        <v>0</v>
      </c>
      <c r="I193" s="1">
        <f t="shared" si="194"/>
        <v>0</v>
      </c>
      <c r="J193" s="1">
        <f t="shared" si="194"/>
        <v>0</v>
      </c>
      <c r="K193" s="1">
        <f t="shared" si="194"/>
        <v>0</v>
      </c>
      <c r="L193" s="1">
        <f t="shared" si="194"/>
        <v>0</v>
      </c>
      <c r="M193" s="1">
        <f t="shared" si="194"/>
        <v>0</v>
      </c>
      <c r="N193" s="1">
        <f t="shared" si="194"/>
        <v>0</v>
      </c>
      <c r="O193" s="1">
        <f t="shared" si="194"/>
        <v>0</v>
      </c>
      <c r="P193" s="1">
        <f t="shared" si="194"/>
        <v>0</v>
      </c>
      <c r="Q193" s="1">
        <f t="shared" si="194"/>
        <v>0</v>
      </c>
      <c r="R193" s="1">
        <f t="shared" si="194"/>
        <v>0</v>
      </c>
      <c r="S193" s="1">
        <f t="shared" si="194"/>
        <v>0</v>
      </c>
      <c r="T193" s="1">
        <f t="shared" si="194"/>
        <v>0</v>
      </c>
      <c r="U193" s="1">
        <f t="shared" si="194"/>
        <v>0</v>
      </c>
      <c r="V193" s="1">
        <f t="shared" si="194"/>
        <v>0</v>
      </c>
      <c r="W193" s="1">
        <f t="shared" si="194"/>
        <v>0</v>
      </c>
      <c r="X193" s="1">
        <f t="shared" si="194"/>
        <v>0</v>
      </c>
      <c r="Y193" s="1">
        <f t="shared" si="194"/>
        <v>0</v>
      </c>
      <c r="Z193" s="1">
        <f t="shared" si="194"/>
        <v>0</v>
      </c>
      <c r="AA193" s="1">
        <f t="shared" si="194"/>
        <v>0</v>
      </c>
    </row>
    <row r="194" spans="1:27">
      <c r="A194" s="84" t="s">
        <v>461</v>
      </c>
      <c r="B194" s="85" t="s">
        <v>460</v>
      </c>
      <c r="C194" s="85" t="s">
        <v>92</v>
      </c>
      <c r="D194" s="84" t="s">
        <v>80</v>
      </c>
      <c r="E194" s="84">
        <f>VLOOKUP(A194,'2a. SI Pop'!$A$5:$E$198,5,FALSE)</f>
        <v>1</v>
      </c>
      <c r="F194" s="89">
        <v>0</v>
      </c>
      <c r="G194" s="1">
        <f t="shared" si="166"/>
        <v>0</v>
      </c>
      <c r="H194" s="1">
        <f t="shared" ref="H194:AA194" si="195">G194</f>
        <v>0</v>
      </c>
      <c r="I194" s="1">
        <f t="shared" si="195"/>
        <v>0</v>
      </c>
      <c r="J194" s="1">
        <f t="shared" si="195"/>
        <v>0</v>
      </c>
      <c r="K194" s="1">
        <f t="shared" si="195"/>
        <v>0</v>
      </c>
      <c r="L194" s="1">
        <f t="shared" si="195"/>
        <v>0</v>
      </c>
      <c r="M194" s="1">
        <f t="shared" si="195"/>
        <v>0</v>
      </c>
      <c r="N194" s="1">
        <f t="shared" si="195"/>
        <v>0</v>
      </c>
      <c r="O194" s="1">
        <f t="shared" si="195"/>
        <v>0</v>
      </c>
      <c r="P194" s="1">
        <f t="shared" si="195"/>
        <v>0</v>
      </c>
      <c r="Q194" s="1">
        <f t="shared" si="195"/>
        <v>0</v>
      </c>
      <c r="R194" s="1">
        <f t="shared" si="195"/>
        <v>0</v>
      </c>
      <c r="S194" s="1">
        <f t="shared" si="195"/>
        <v>0</v>
      </c>
      <c r="T194" s="1">
        <f t="shared" si="195"/>
        <v>0</v>
      </c>
      <c r="U194" s="1">
        <f t="shared" si="195"/>
        <v>0</v>
      </c>
      <c r="V194" s="1">
        <f t="shared" si="195"/>
        <v>0</v>
      </c>
      <c r="W194" s="1">
        <f t="shared" si="195"/>
        <v>0</v>
      </c>
      <c r="X194" s="1">
        <f t="shared" si="195"/>
        <v>0</v>
      </c>
      <c r="Y194" s="1">
        <f t="shared" si="195"/>
        <v>0</v>
      </c>
      <c r="Z194" s="1">
        <f t="shared" si="195"/>
        <v>0</v>
      </c>
      <c r="AA194" s="1">
        <f t="shared" si="195"/>
        <v>0</v>
      </c>
    </row>
    <row r="195" spans="1:27">
      <c r="A195" s="84" t="s">
        <v>463</v>
      </c>
      <c r="B195" s="85" t="s">
        <v>462</v>
      </c>
      <c r="C195" s="85" t="s">
        <v>99</v>
      </c>
      <c r="D195" s="84" t="s">
        <v>84</v>
      </c>
      <c r="E195" s="84">
        <f>VLOOKUP(A195,'2a. SI Pop'!$A$5:$E$198,5,FALSE)</f>
        <v>4</v>
      </c>
      <c r="F195" s="89">
        <v>8260990.3360000011</v>
      </c>
      <c r="G195" s="1">
        <f t="shared" si="166"/>
        <v>8260990.3360000011</v>
      </c>
      <c r="H195" s="1">
        <f t="shared" ref="H195:AA195" si="196">G195</f>
        <v>8260990.3360000011</v>
      </c>
      <c r="I195" s="1">
        <f t="shared" si="196"/>
        <v>8260990.3360000011</v>
      </c>
      <c r="J195" s="1">
        <f t="shared" si="196"/>
        <v>8260990.3360000011</v>
      </c>
      <c r="K195" s="1">
        <f t="shared" si="196"/>
        <v>8260990.3360000011</v>
      </c>
      <c r="L195" s="1">
        <f t="shared" si="196"/>
        <v>8260990.3360000011</v>
      </c>
      <c r="M195" s="1">
        <f t="shared" si="196"/>
        <v>8260990.3360000011</v>
      </c>
      <c r="N195" s="1">
        <f t="shared" si="196"/>
        <v>8260990.3360000011</v>
      </c>
      <c r="O195" s="1">
        <f t="shared" si="196"/>
        <v>8260990.3360000011</v>
      </c>
      <c r="P195" s="1">
        <f t="shared" si="196"/>
        <v>8260990.3360000011</v>
      </c>
      <c r="Q195" s="1">
        <f t="shared" si="196"/>
        <v>8260990.3360000011</v>
      </c>
      <c r="R195" s="1">
        <f t="shared" si="196"/>
        <v>8260990.3360000011</v>
      </c>
      <c r="S195" s="1">
        <f t="shared" si="196"/>
        <v>8260990.3360000011</v>
      </c>
      <c r="T195" s="1">
        <f t="shared" si="196"/>
        <v>8260990.3360000011</v>
      </c>
      <c r="U195" s="1">
        <f t="shared" si="196"/>
        <v>8260990.3360000011</v>
      </c>
      <c r="V195" s="1">
        <f t="shared" si="196"/>
        <v>8260990.3360000011</v>
      </c>
      <c r="W195" s="1">
        <f t="shared" si="196"/>
        <v>8260990.3360000011</v>
      </c>
      <c r="X195" s="1">
        <f t="shared" si="196"/>
        <v>8260990.3360000011</v>
      </c>
      <c r="Y195" s="1">
        <f t="shared" si="196"/>
        <v>8260990.3360000011</v>
      </c>
      <c r="Z195" s="1">
        <f t="shared" si="196"/>
        <v>8260990.3360000011</v>
      </c>
      <c r="AA195" s="1">
        <f t="shared" si="196"/>
        <v>8260990.3360000011</v>
      </c>
    </row>
    <row r="196" spans="1:27">
      <c r="A196" s="84" t="s">
        <v>465</v>
      </c>
      <c r="B196" s="85" t="s">
        <v>464</v>
      </c>
      <c r="C196" s="85" t="s">
        <v>74</v>
      </c>
      <c r="D196" s="84" t="s">
        <v>75</v>
      </c>
      <c r="E196" s="84">
        <f>VLOOKUP(A196,'2a. SI Pop'!$A$5:$E$198,5,FALSE)</f>
        <v>3</v>
      </c>
      <c r="F196" s="89">
        <v>5364137.1519999998</v>
      </c>
      <c r="G196" s="1">
        <f t="shared" si="166"/>
        <v>5364137.1519999998</v>
      </c>
      <c r="H196" s="1">
        <f t="shared" ref="H196:AA196" si="197">G196</f>
        <v>5364137.1519999998</v>
      </c>
      <c r="I196" s="1">
        <f t="shared" si="197"/>
        <v>5364137.1519999998</v>
      </c>
      <c r="J196" s="1">
        <f t="shared" si="197"/>
        <v>5364137.1519999998</v>
      </c>
      <c r="K196" s="1">
        <f t="shared" si="197"/>
        <v>5364137.1519999998</v>
      </c>
      <c r="L196" s="1">
        <f t="shared" si="197"/>
        <v>5364137.1519999998</v>
      </c>
      <c r="M196" s="1">
        <f t="shared" si="197"/>
        <v>5364137.1519999998</v>
      </c>
      <c r="N196" s="1">
        <f t="shared" si="197"/>
        <v>5364137.1519999998</v>
      </c>
      <c r="O196" s="1">
        <f t="shared" si="197"/>
        <v>5364137.1519999998</v>
      </c>
      <c r="P196" s="1">
        <f t="shared" si="197"/>
        <v>5364137.1519999998</v>
      </c>
      <c r="Q196" s="1">
        <f t="shared" si="197"/>
        <v>5364137.1519999998</v>
      </c>
      <c r="R196" s="1">
        <f t="shared" si="197"/>
        <v>5364137.1519999998</v>
      </c>
      <c r="S196" s="1">
        <f t="shared" si="197"/>
        <v>5364137.1519999998</v>
      </c>
      <c r="T196" s="1">
        <f t="shared" si="197"/>
        <v>5364137.1519999998</v>
      </c>
      <c r="U196" s="1">
        <f t="shared" si="197"/>
        <v>5364137.1519999998</v>
      </c>
      <c r="V196" s="1">
        <f t="shared" si="197"/>
        <v>5364137.1519999998</v>
      </c>
      <c r="W196" s="1">
        <f t="shared" si="197"/>
        <v>5364137.1519999998</v>
      </c>
      <c r="X196" s="1">
        <f t="shared" si="197"/>
        <v>5364137.1519999998</v>
      </c>
      <c r="Y196" s="1">
        <f t="shared" si="197"/>
        <v>5364137.1519999998</v>
      </c>
      <c r="Z196" s="1">
        <f t="shared" si="197"/>
        <v>5364137.1519999998</v>
      </c>
      <c r="AA196" s="1">
        <f t="shared" si="197"/>
        <v>5364137.1519999998</v>
      </c>
    </row>
    <row r="197" spans="1:27">
      <c r="A197" s="84" t="s">
        <v>467</v>
      </c>
      <c r="B197" s="85" t="s">
        <v>466</v>
      </c>
      <c r="C197" s="85" t="s">
        <v>83</v>
      </c>
      <c r="D197" s="84" t="s">
        <v>84</v>
      </c>
      <c r="E197" s="84">
        <f>VLOOKUP(A197,'2a. SI Pop'!$A$5:$E$198,5,FALSE)</f>
        <v>3</v>
      </c>
      <c r="F197" s="89">
        <v>3441272.04</v>
      </c>
      <c r="G197" s="1">
        <f t="shared" si="166"/>
        <v>3441272.04</v>
      </c>
      <c r="H197" s="1">
        <f t="shared" ref="H197:AA197" si="198">G197</f>
        <v>3441272.04</v>
      </c>
      <c r="I197" s="1">
        <f t="shared" si="198"/>
        <v>3441272.04</v>
      </c>
      <c r="J197" s="1">
        <f t="shared" si="198"/>
        <v>3441272.04</v>
      </c>
      <c r="K197" s="1">
        <f t="shared" si="198"/>
        <v>3441272.04</v>
      </c>
      <c r="L197" s="1">
        <f t="shared" si="198"/>
        <v>3441272.04</v>
      </c>
      <c r="M197" s="1">
        <f t="shared" si="198"/>
        <v>3441272.04</v>
      </c>
      <c r="N197" s="1">
        <f t="shared" si="198"/>
        <v>3441272.04</v>
      </c>
      <c r="O197" s="1">
        <f t="shared" si="198"/>
        <v>3441272.04</v>
      </c>
      <c r="P197" s="1">
        <f t="shared" si="198"/>
        <v>3441272.04</v>
      </c>
      <c r="Q197" s="1">
        <f t="shared" si="198"/>
        <v>3441272.04</v>
      </c>
      <c r="R197" s="1">
        <f t="shared" si="198"/>
        <v>3441272.04</v>
      </c>
      <c r="S197" s="1">
        <f t="shared" si="198"/>
        <v>3441272.04</v>
      </c>
      <c r="T197" s="1">
        <f t="shared" si="198"/>
        <v>3441272.04</v>
      </c>
      <c r="U197" s="1">
        <f t="shared" si="198"/>
        <v>3441272.04</v>
      </c>
      <c r="V197" s="1">
        <f t="shared" si="198"/>
        <v>3441272.04</v>
      </c>
      <c r="W197" s="1">
        <f t="shared" si="198"/>
        <v>3441272.04</v>
      </c>
      <c r="X197" s="1">
        <f t="shared" si="198"/>
        <v>3441272.04</v>
      </c>
      <c r="Y197" s="1">
        <f t="shared" si="198"/>
        <v>3441272.04</v>
      </c>
      <c r="Z197" s="1">
        <f t="shared" si="198"/>
        <v>3441272.04</v>
      </c>
      <c r="AA197" s="1">
        <f t="shared" si="198"/>
        <v>3441272.04</v>
      </c>
    </row>
    <row r="198" spans="1:27">
      <c r="A198" s="84" t="s">
        <v>469</v>
      </c>
      <c r="B198" s="85" t="s">
        <v>468</v>
      </c>
      <c r="C198" s="85" t="s">
        <v>83</v>
      </c>
      <c r="D198" s="84" t="s">
        <v>84</v>
      </c>
      <c r="E198" s="84">
        <f>VLOOKUP(A198,'2a. SI Pop'!$A$5:$E$198,5,FALSE)</f>
        <v>3</v>
      </c>
      <c r="F198" s="89">
        <v>1108469.9650000001</v>
      </c>
      <c r="G198" s="1">
        <f t="shared" ref="G198" si="199">F198</f>
        <v>1108469.9650000001</v>
      </c>
      <c r="H198" s="1">
        <f t="shared" ref="H198:AA198" si="200">G198</f>
        <v>1108469.9650000001</v>
      </c>
      <c r="I198" s="1">
        <f t="shared" si="200"/>
        <v>1108469.9650000001</v>
      </c>
      <c r="J198" s="1">
        <f t="shared" si="200"/>
        <v>1108469.9650000001</v>
      </c>
      <c r="K198" s="1">
        <f t="shared" si="200"/>
        <v>1108469.9650000001</v>
      </c>
      <c r="L198" s="1">
        <f t="shared" si="200"/>
        <v>1108469.9650000001</v>
      </c>
      <c r="M198" s="1">
        <f t="shared" si="200"/>
        <v>1108469.9650000001</v>
      </c>
      <c r="N198" s="1">
        <f t="shared" si="200"/>
        <v>1108469.9650000001</v>
      </c>
      <c r="O198" s="1">
        <f t="shared" si="200"/>
        <v>1108469.9650000001</v>
      </c>
      <c r="P198" s="1">
        <f t="shared" si="200"/>
        <v>1108469.9650000001</v>
      </c>
      <c r="Q198" s="1">
        <f t="shared" si="200"/>
        <v>1108469.9650000001</v>
      </c>
      <c r="R198" s="1">
        <f t="shared" si="200"/>
        <v>1108469.9650000001</v>
      </c>
      <c r="S198" s="1">
        <f t="shared" si="200"/>
        <v>1108469.9650000001</v>
      </c>
      <c r="T198" s="1">
        <f t="shared" si="200"/>
        <v>1108469.9650000001</v>
      </c>
      <c r="U198" s="1">
        <f t="shared" si="200"/>
        <v>1108469.9650000001</v>
      </c>
      <c r="V198" s="1">
        <f t="shared" si="200"/>
        <v>1108469.9650000001</v>
      </c>
      <c r="W198" s="1">
        <f t="shared" si="200"/>
        <v>1108469.9650000001</v>
      </c>
      <c r="X198" s="1">
        <f t="shared" si="200"/>
        <v>1108469.9650000001</v>
      </c>
      <c r="Y198" s="1">
        <f t="shared" si="200"/>
        <v>1108469.9650000001</v>
      </c>
      <c r="Z198" s="1">
        <f t="shared" si="200"/>
        <v>1108469.9650000001</v>
      </c>
      <c r="AA198" s="1">
        <f t="shared" si="200"/>
        <v>1108469.9650000001</v>
      </c>
    </row>
    <row r="199" spans="1:27">
      <c r="E199" s="2"/>
      <c r="F199" s="2"/>
    </row>
    <row r="200" spans="1:27">
      <c r="E200" s="2"/>
      <c r="F200" s="2"/>
      <c r="G200" s="1"/>
      <c r="H200" s="1"/>
      <c r="I200" s="1"/>
      <c r="J200" s="1"/>
      <c r="K200" s="1"/>
      <c r="L200" s="1"/>
      <c r="M200" s="1"/>
      <c r="N200" s="1"/>
      <c r="O200" s="1"/>
      <c r="P200" s="1"/>
      <c r="Q200" s="1"/>
      <c r="R200" s="1"/>
      <c r="S200" s="1"/>
      <c r="T200" s="1"/>
      <c r="U200" s="1"/>
      <c r="V200" s="1"/>
      <c r="W200" s="1"/>
      <c r="X200" s="1"/>
      <c r="Y200" s="1"/>
      <c r="Z200" s="1"/>
      <c r="AA200" s="1"/>
    </row>
    <row r="201" spans="1:27">
      <c r="E201" s="2"/>
      <c r="F201" s="2"/>
      <c r="G201" s="1"/>
      <c r="H201" s="1"/>
      <c r="I201" s="1"/>
      <c r="J201" s="1"/>
      <c r="K201" s="1"/>
      <c r="L201" s="1"/>
      <c r="M201" s="1"/>
      <c r="N201" s="1"/>
      <c r="O201" s="1"/>
      <c r="P201" s="1"/>
      <c r="Q201" s="1"/>
      <c r="R201" s="1"/>
      <c r="S201" s="1"/>
      <c r="T201" s="1"/>
      <c r="U201" s="1"/>
      <c r="V201" s="1"/>
      <c r="W201" s="1"/>
      <c r="X201" s="1"/>
      <c r="Y201" s="1"/>
      <c r="Z201" s="1"/>
      <c r="AA201" s="1"/>
    </row>
    <row r="202" spans="1:27">
      <c r="E202" s="2"/>
      <c r="F202" s="2"/>
      <c r="G202" s="1"/>
      <c r="H202" s="1"/>
      <c r="I202" s="1"/>
      <c r="J202" s="1"/>
      <c r="K202" s="1"/>
      <c r="L202" s="1"/>
      <c r="M202" s="1"/>
      <c r="N202" s="1"/>
      <c r="O202" s="1"/>
      <c r="P202" s="1"/>
      <c r="Q202" s="1"/>
      <c r="R202" s="1"/>
      <c r="S202" s="1"/>
      <c r="T202" s="1"/>
      <c r="U202" s="1"/>
      <c r="V202" s="1"/>
      <c r="W202" s="1"/>
      <c r="X202" s="1"/>
      <c r="Y202" s="1"/>
      <c r="Z202" s="1"/>
      <c r="AA202" s="1"/>
    </row>
    <row r="203" spans="1:27">
      <c r="E203" s="2"/>
      <c r="F203" s="2"/>
      <c r="G203" s="1"/>
      <c r="H203" s="1"/>
      <c r="I203" s="1"/>
      <c r="J203" s="1"/>
      <c r="K203" s="1"/>
      <c r="L203" s="1"/>
      <c r="M203" s="1"/>
      <c r="N203" s="1"/>
      <c r="O203" s="1"/>
      <c r="P203" s="1"/>
      <c r="Q203" s="1"/>
      <c r="R203" s="1"/>
      <c r="S203" s="1"/>
      <c r="T203" s="1"/>
      <c r="U203" s="1"/>
      <c r="V203" s="1"/>
      <c r="W203" s="1"/>
      <c r="X203" s="1"/>
      <c r="Y203" s="1"/>
      <c r="Z203" s="1"/>
      <c r="AA203" s="1"/>
    </row>
    <row r="204" spans="1:27">
      <c r="E204" s="94"/>
      <c r="F204" s="2"/>
      <c r="G204" s="1"/>
      <c r="H204" s="1"/>
      <c r="I204" s="1"/>
      <c r="J204" s="1"/>
      <c r="K204" s="1"/>
      <c r="L204" s="1"/>
      <c r="M204" s="1"/>
      <c r="N204" s="1"/>
      <c r="O204" s="1"/>
      <c r="P204" s="1"/>
      <c r="Q204" s="1"/>
      <c r="R204" s="1"/>
      <c r="S204" s="1"/>
      <c r="T204" s="1"/>
      <c r="U204" s="1"/>
      <c r="V204" s="1"/>
      <c r="W204" s="1"/>
      <c r="X204" s="1"/>
      <c r="Y204" s="1"/>
      <c r="Z204" s="1"/>
      <c r="AA204" s="1"/>
    </row>
  </sheetData>
  <autoFilter ref="A4:AA204" xr:uid="{316F33C9-7079-374A-A9B5-13BA915ECA5D}"/>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E225C-9568-CF42-BFF0-90BAFFAFAD66}">
  <sheetPr>
    <tabColor theme="8" tint="0.59999389629810485"/>
  </sheetPr>
  <dimension ref="A1:P198"/>
  <sheetViews>
    <sheetView zoomScale="85" zoomScaleNormal="85" workbookViewId="0">
      <selection activeCell="H36" sqref="H36"/>
    </sheetView>
  </sheetViews>
  <sheetFormatPr defaultColWidth="10.85546875" defaultRowHeight="15"/>
  <cols>
    <col min="6" max="16" width="8.140625" bestFit="1" customWidth="1"/>
  </cols>
  <sheetData>
    <row r="1" spans="1:16">
      <c r="A1" t="s">
        <v>470</v>
      </c>
      <c r="B1" t="s">
        <v>490</v>
      </c>
    </row>
    <row r="2" spans="1:16">
      <c r="A2" t="s">
        <v>471</v>
      </c>
      <c r="B2" t="s">
        <v>491</v>
      </c>
    </row>
    <row r="4" spans="1:16" s="88" customFormat="1">
      <c r="A4" s="86" t="s">
        <v>473</v>
      </c>
      <c r="B4" s="87" t="s">
        <v>64</v>
      </c>
      <c r="C4" s="86" t="s">
        <v>66</v>
      </c>
      <c r="D4" s="86" t="s">
        <v>67</v>
      </c>
      <c r="E4" s="86" t="s">
        <v>68</v>
      </c>
      <c r="F4" s="88">
        <v>2030</v>
      </c>
      <c r="G4" s="88">
        <f>F4+1</f>
        <v>2031</v>
      </c>
      <c r="H4" s="88">
        <f t="shared" ref="H4:N4" si="0">G4+1</f>
        <v>2032</v>
      </c>
      <c r="I4" s="88">
        <f t="shared" si="0"/>
        <v>2033</v>
      </c>
      <c r="J4" s="88">
        <f t="shared" si="0"/>
        <v>2034</v>
      </c>
      <c r="K4" s="88">
        <f t="shared" si="0"/>
        <v>2035</v>
      </c>
      <c r="L4" s="88">
        <f t="shared" si="0"/>
        <v>2036</v>
      </c>
      <c r="M4" s="88">
        <f t="shared" si="0"/>
        <v>2037</v>
      </c>
      <c r="N4" s="88">
        <f t="shared" si="0"/>
        <v>2038</v>
      </c>
      <c r="O4" s="88">
        <f t="shared" ref="O4:P4" si="1">N4+1</f>
        <v>2039</v>
      </c>
      <c r="P4" s="88">
        <f t="shared" si="1"/>
        <v>2040</v>
      </c>
    </row>
    <row r="5" spans="1:16">
      <c r="A5" s="84" t="s">
        <v>73</v>
      </c>
      <c r="B5" s="85" t="s">
        <v>72</v>
      </c>
      <c r="C5" s="85" t="s">
        <v>74</v>
      </c>
      <c r="D5" s="84" t="s">
        <v>75</v>
      </c>
      <c r="E5" s="84" t="str">
        <f>VLOOKUP(A5,'2a. SI Pop'!$A$5:$E$198,5,FALSE)</f>
        <v>Key</v>
      </c>
      <c r="F5" s="3">
        <v>0.80317501695805726</v>
      </c>
      <c r="G5" s="3">
        <v>0.81120676712763795</v>
      </c>
      <c r="H5" s="3">
        <v>0.81931883479891443</v>
      </c>
      <c r="I5" s="3">
        <v>0.82751202314690364</v>
      </c>
      <c r="J5" s="3">
        <v>0.83578714337837268</v>
      </c>
      <c r="K5" s="3">
        <v>0.84414501481215642</v>
      </c>
      <c r="L5" s="3">
        <v>0.8525864649602779</v>
      </c>
      <c r="M5" s="3">
        <v>0.85684939728507925</v>
      </c>
      <c r="N5" s="3">
        <v>0.86113364427150463</v>
      </c>
      <c r="O5" s="3">
        <v>0.86543931249286199</v>
      </c>
      <c r="P5" s="3">
        <v>0.86976650905532626</v>
      </c>
    </row>
    <row r="6" spans="1:16">
      <c r="A6" s="84" t="s">
        <v>78</v>
      </c>
      <c r="B6" s="85" t="s">
        <v>77</v>
      </c>
      <c r="C6" s="85" t="s">
        <v>79</v>
      </c>
      <c r="D6" s="84" t="s">
        <v>80</v>
      </c>
      <c r="E6" s="84">
        <f>VLOOKUP(A6,'2a. SI Pop'!$A$5:$E$198,5,FALSE)</f>
        <v>1</v>
      </c>
      <c r="F6" s="3">
        <v>0.99</v>
      </c>
      <c r="G6" s="3">
        <v>0.99</v>
      </c>
      <c r="H6" s="3">
        <v>0.99</v>
      </c>
      <c r="I6" s="3">
        <v>0.99</v>
      </c>
      <c r="J6" s="3">
        <v>0.99</v>
      </c>
      <c r="K6" s="3">
        <v>0.99</v>
      </c>
      <c r="L6" s="3">
        <v>0.99</v>
      </c>
      <c r="M6" s="3">
        <v>0.99</v>
      </c>
      <c r="N6" s="3">
        <v>0.99</v>
      </c>
      <c r="O6" s="3">
        <v>0.99</v>
      </c>
      <c r="P6" s="3">
        <v>0.99</v>
      </c>
    </row>
    <row r="7" spans="1:16">
      <c r="A7" s="84" t="s">
        <v>82</v>
      </c>
      <c r="B7" s="85" t="s">
        <v>81</v>
      </c>
      <c r="C7" s="85" t="s">
        <v>83</v>
      </c>
      <c r="D7" s="84" t="s">
        <v>84</v>
      </c>
      <c r="E7" s="84">
        <f>VLOOKUP(A7,'2a. SI Pop'!$A$5:$E$198,5,FALSE)</f>
        <v>2</v>
      </c>
      <c r="F7" s="3">
        <v>0.87499153295178134</v>
      </c>
      <c r="G7" s="3">
        <v>0.87936649061654004</v>
      </c>
      <c r="H7" s="3">
        <v>0.88376332306962269</v>
      </c>
      <c r="I7" s="3">
        <v>0.88818213968497073</v>
      </c>
      <c r="J7" s="3">
        <v>0.89262305038339551</v>
      </c>
      <c r="K7" s="3">
        <v>0.8970861656353124</v>
      </c>
      <c r="L7" s="3">
        <v>0.90157159646348883</v>
      </c>
      <c r="M7" s="3">
        <v>0.90607945444580618</v>
      </c>
      <c r="N7" s="3">
        <v>0.9106098517180351</v>
      </c>
      <c r="O7" s="3">
        <v>0.91516290097662523</v>
      </c>
      <c r="P7" s="3">
        <v>0.91973871548150821</v>
      </c>
    </row>
    <row r="8" spans="1:16">
      <c r="A8" s="84" t="s">
        <v>86</v>
      </c>
      <c r="B8" s="85" t="s">
        <v>85</v>
      </c>
      <c r="C8" s="85" t="s">
        <v>79</v>
      </c>
      <c r="D8" s="84" t="s">
        <v>87</v>
      </c>
      <c r="E8" s="84">
        <f>VLOOKUP(A8,'2a. SI Pop'!$A$5:$E$198,5,FALSE)</f>
        <v>1</v>
      </c>
      <c r="F8" s="3">
        <v>0.99</v>
      </c>
      <c r="G8" s="3">
        <v>0.99</v>
      </c>
      <c r="H8" s="3">
        <v>0.99</v>
      </c>
      <c r="I8" s="3">
        <v>0.99</v>
      </c>
      <c r="J8" s="3">
        <v>0.99</v>
      </c>
      <c r="K8" s="3">
        <v>0.99</v>
      </c>
      <c r="L8" s="3">
        <v>0.99</v>
      </c>
      <c r="M8" s="3">
        <v>0.99</v>
      </c>
      <c r="N8" s="3">
        <v>0.99</v>
      </c>
      <c r="O8" s="3">
        <v>0.99</v>
      </c>
      <c r="P8" s="3">
        <v>0.99</v>
      </c>
    </row>
    <row r="9" spans="1:16">
      <c r="A9" s="84" t="s">
        <v>89</v>
      </c>
      <c r="B9" s="85" t="s">
        <v>88</v>
      </c>
      <c r="C9" s="85" t="s">
        <v>83</v>
      </c>
      <c r="D9" s="84" t="s">
        <v>84</v>
      </c>
      <c r="E9" s="84">
        <f>VLOOKUP(A9,'2a. SI Pop'!$A$5:$E$198,5,FALSE)</f>
        <v>3</v>
      </c>
      <c r="F9" s="3">
        <v>0.70595927406946746</v>
      </c>
      <c r="G9" s="3">
        <v>0.72713805229155137</v>
      </c>
      <c r="H9" s="3">
        <v>0.74895219386029799</v>
      </c>
      <c r="I9" s="3">
        <v>0.7714207596761069</v>
      </c>
      <c r="J9" s="3">
        <v>0.77913496727286802</v>
      </c>
      <c r="K9" s="3">
        <v>0.78692631694559667</v>
      </c>
      <c r="L9" s="3">
        <v>0.79479558011505258</v>
      </c>
      <c r="M9" s="3">
        <v>0.80274353591620307</v>
      </c>
      <c r="N9" s="3">
        <v>0.81077097127536524</v>
      </c>
      <c r="O9" s="3">
        <v>0.81887868098811878</v>
      </c>
      <c r="P9" s="3">
        <v>0.827067467798</v>
      </c>
    </row>
    <row r="10" spans="1:16">
      <c r="A10" s="84" t="s">
        <v>91</v>
      </c>
      <c r="B10" s="85" t="s">
        <v>90</v>
      </c>
      <c r="C10" s="85" t="s">
        <v>92</v>
      </c>
      <c r="D10" s="84" t="s">
        <v>87</v>
      </c>
      <c r="E10" s="84">
        <f>VLOOKUP(A10,'2a. SI Pop'!$A$5:$E$198,5,FALSE)</f>
        <v>1</v>
      </c>
      <c r="F10" s="3">
        <v>0.98244812441192375</v>
      </c>
      <c r="G10" s="3">
        <v>0.98736036503398339</v>
      </c>
      <c r="H10" s="3">
        <v>0.99229716685915326</v>
      </c>
      <c r="I10" s="3">
        <v>0.99</v>
      </c>
      <c r="J10" s="3">
        <v>0.99</v>
      </c>
      <c r="K10" s="3">
        <v>0.99</v>
      </c>
      <c r="L10" s="3">
        <v>0.99</v>
      </c>
      <c r="M10" s="3">
        <v>0.99</v>
      </c>
      <c r="N10" s="3">
        <v>0.99</v>
      </c>
      <c r="O10" s="3">
        <v>0.99</v>
      </c>
      <c r="P10" s="3">
        <v>0.99</v>
      </c>
    </row>
    <row r="11" spans="1:16">
      <c r="A11" s="84" t="s">
        <v>94</v>
      </c>
      <c r="B11" s="85" t="s">
        <v>93</v>
      </c>
      <c r="C11" s="85" t="s">
        <v>92</v>
      </c>
      <c r="D11" s="84" t="s">
        <v>80</v>
      </c>
      <c r="E11" s="84">
        <f>VLOOKUP(A11,'2a. SI Pop'!$A$5:$E$198,5,FALSE)</f>
        <v>1</v>
      </c>
      <c r="F11" s="3">
        <v>0.99301208273893382</v>
      </c>
      <c r="G11" s="3">
        <v>0.99</v>
      </c>
      <c r="H11" s="3">
        <v>0.99</v>
      </c>
      <c r="I11" s="3">
        <v>0.99</v>
      </c>
      <c r="J11" s="3">
        <v>0.99</v>
      </c>
      <c r="K11" s="3">
        <v>0.99</v>
      </c>
      <c r="L11" s="3">
        <v>0.99</v>
      </c>
      <c r="M11" s="3">
        <v>0.99</v>
      </c>
      <c r="N11" s="3">
        <v>0.99</v>
      </c>
      <c r="O11" s="3">
        <v>0.99</v>
      </c>
      <c r="P11" s="3">
        <v>0.99</v>
      </c>
    </row>
    <row r="12" spans="1:16">
      <c r="A12" s="84" t="s">
        <v>96</v>
      </c>
      <c r="B12" s="85" t="s">
        <v>95</v>
      </c>
      <c r="C12" s="85" t="s">
        <v>79</v>
      </c>
      <c r="D12" s="84" t="s">
        <v>80</v>
      </c>
      <c r="E12" s="84">
        <f>VLOOKUP(A12,'2a. SI Pop'!$A$5:$E$198,5,FALSE)</f>
        <v>1</v>
      </c>
      <c r="F12" s="3">
        <v>0.97</v>
      </c>
      <c r="G12" s="3">
        <v>0.97</v>
      </c>
      <c r="H12" s="3">
        <v>0.97</v>
      </c>
      <c r="I12" s="3">
        <v>0.97</v>
      </c>
      <c r="J12" s="3">
        <v>0.97</v>
      </c>
      <c r="K12" s="3">
        <v>0.97</v>
      </c>
      <c r="L12" s="3">
        <v>0.97</v>
      </c>
      <c r="M12" s="3">
        <v>0.97</v>
      </c>
      <c r="N12" s="3">
        <v>0.97</v>
      </c>
      <c r="O12" s="3">
        <v>0.97</v>
      </c>
      <c r="P12" s="3">
        <v>0.97</v>
      </c>
    </row>
    <row r="13" spans="1:16">
      <c r="A13" s="84" t="s">
        <v>98</v>
      </c>
      <c r="B13" s="85" t="s">
        <v>97</v>
      </c>
      <c r="C13" s="85" t="s">
        <v>99</v>
      </c>
      <c r="D13" s="84" t="s">
        <v>87</v>
      </c>
      <c r="E13" s="84">
        <f>VLOOKUP(A13,'2a. SI Pop'!$A$5:$E$198,5,FALSE)</f>
        <v>1</v>
      </c>
      <c r="F13" s="3">
        <v>0.95474999999999999</v>
      </c>
      <c r="G13" s="3">
        <v>0.95</v>
      </c>
      <c r="H13" s="3">
        <v>0.95474999999999999</v>
      </c>
      <c r="I13" s="3">
        <v>0.95</v>
      </c>
      <c r="J13" s="3">
        <v>0.95474999999999999</v>
      </c>
      <c r="K13" s="3">
        <v>0.95</v>
      </c>
      <c r="L13" s="3">
        <v>0.95474999999999999</v>
      </c>
      <c r="M13" s="3">
        <v>0.95</v>
      </c>
      <c r="N13" s="3">
        <v>0.95474999999999999</v>
      </c>
      <c r="O13" s="3">
        <v>0.95</v>
      </c>
      <c r="P13" s="3">
        <v>0.95474999999999999</v>
      </c>
    </row>
    <row r="14" spans="1:16">
      <c r="A14" s="84" t="s">
        <v>101</v>
      </c>
      <c r="B14" s="85" t="s">
        <v>100</v>
      </c>
      <c r="C14" s="85" t="s">
        <v>79</v>
      </c>
      <c r="D14" s="84" t="s">
        <v>87</v>
      </c>
      <c r="E14" s="84">
        <f>VLOOKUP(A14,'2a. SI Pop'!$A$5:$E$198,5,FALSE)</f>
        <v>1</v>
      </c>
      <c r="F14" s="3">
        <v>0.96</v>
      </c>
      <c r="G14" s="3">
        <v>0.96</v>
      </c>
      <c r="H14" s="3">
        <v>0.96</v>
      </c>
      <c r="I14" s="3">
        <v>0.96</v>
      </c>
      <c r="J14" s="3">
        <v>0.96</v>
      </c>
      <c r="K14" s="3">
        <v>0.96</v>
      </c>
      <c r="L14" s="3">
        <v>0.96</v>
      </c>
      <c r="M14" s="3">
        <v>0.96</v>
      </c>
      <c r="N14" s="3">
        <v>0.96</v>
      </c>
      <c r="O14" s="3">
        <v>0.96</v>
      </c>
      <c r="P14" s="3">
        <v>0.96</v>
      </c>
    </row>
    <row r="15" spans="1:16">
      <c r="A15" s="84" t="s">
        <v>103</v>
      </c>
      <c r="B15" s="85" t="s">
        <v>102</v>
      </c>
      <c r="C15" s="85" t="s">
        <v>79</v>
      </c>
      <c r="D15" s="84" t="s">
        <v>80</v>
      </c>
      <c r="E15" s="84">
        <f>VLOOKUP(A15,'2a. SI Pop'!$A$5:$E$198,5,FALSE)</f>
        <v>1</v>
      </c>
      <c r="F15" s="3">
        <v>0.98</v>
      </c>
      <c r="G15" s="3">
        <v>0.98</v>
      </c>
      <c r="H15" s="3">
        <v>0.98</v>
      </c>
      <c r="I15" s="3">
        <v>0.98</v>
      </c>
      <c r="J15" s="3">
        <v>0.98</v>
      </c>
      <c r="K15" s="3">
        <v>0.98</v>
      </c>
      <c r="L15" s="3">
        <v>0.98</v>
      </c>
      <c r="M15" s="3">
        <v>0.98</v>
      </c>
      <c r="N15" s="3">
        <v>0.98</v>
      </c>
      <c r="O15" s="3">
        <v>0.98</v>
      </c>
      <c r="P15" s="3">
        <v>0.98</v>
      </c>
    </row>
    <row r="16" spans="1:16">
      <c r="A16" s="84" t="s">
        <v>105</v>
      </c>
      <c r="B16" s="85" t="s">
        <v>104</v>
      </c>
      <c r="C16" s="85" t="s">
        <v>92</v>
      </c>
      <c r="D16" s="84" t="s">
        <v>87</v>
      </c>
      <c r="E16" s="84">
        <f>VLOOKUP(A16,'2a. SI Pop'!$A$5:$E$198,5,FALSE)</f>
        <v>1</v>
      </c>
      <c r="F16" s="3">
        <v>0.89793645779584419</v>
      </c>
      <c r="G16" s="3">
        <v>0.90242614008482336</v>
      </c>
      <c r="H16" s="3">
        <v>0.90693827078524736</v>
      </c>
      <c r="I16" s="3">
        <v>0.91147296213917339</v>
      </c>
      <c r="J16" s="3">
        <v>0.91603032694986919</v>
      </c>
      <c r="K16" s="3">
        <v>0.92061047858461853</v>
      </c>
      <c r="L16" s="3">
        <v>0.92521353097754144</v>
      </c>
      <c r="M16" s="3">
        <v>0.92983959863242904</v>
      </c>
      <c r="N16" s="3">
        <v>0.93448879662559103</v>
      </c>
      <c r="O16" s="3">
        <v>0.93916124060871897</v>
      </c>
      <c r="P16" s="3">
        <v>0.94385704681176252</v>
      </c>
    </row>
    <row r="17" spans="1:16">
      <c r="A17" s="84" t="s">
        <v>107</v>
      </c>
      <c r="B17" s="85" t="s">
        <v>106</v>
      </c>
      <c r="C17" s="85" t="s">
        <v>74</v>
      </c>
      <c r="D17" s="84" t="s">
        <v>87</v>
      </c>
      <c r="E17" s="84">
        <f>VLOOKUP(A17,'2a. SI Pop'!$A$5:$E$198,5,FALSE)</f>
        <v>1</v>
      </c>
      <c r="F17" s="3">
        <v>0.99</v>
      </c>
      <c r="G17" s="3">
        <v>0.99</v>
      </c>
      <c r="H17" s="3">
        <v>0.99</v>
      </c>
      <c r="I17" s="3">
        <v>0.99</v>
      </c>
      <c r="J17" s="3">
        <v>0.99</v>
      </c>
      <c r="K17" s="3">
        <v>0.99</v>
      </c>
      <c r="L17" s="3">
        <v>0.99</v>
      </c>
      <c r="M17" s="3">
        <v>0.99</v>
      </c>
      <c r="N17" s="3">
        <v>0.99</v>
      </c>
      <c r="O17" s="3">
        <v>0.99</v>
      </c>
      <c r="P17" s="3">
        <v>0.99</v>
      </c>
    </row>
    <row r="18" spans="1:16">
      <c r="A18" s="84" t="s">
        <v>109</v>
      </c>
      <c r="B18" s="85" t="s">
        <v>108</v>
      </c>
      <c r="C18" s="85" t="s">
        <v>110</v>
      </c>
      <c r="D18" s="84" t="s">
        <v>84</v>
      </c>
      <c r="E18" s="84" t="str">
        <f>VLOOKUP(A18,'2a. SI Pop'!$A$5:$E$198,5,FALSE)</f>
        <v>Key</v>
      </c>
      <c r="F18" s="3">
        <v>0.97</v>
      </c>
      <c r="G18" s="3">
        <v>0.97</v>
      </c>
      <c r="H18" s="3">
        <v>0.97</v>
      </c>
      <c r="I18" s="3">
        <v>0.97</v>
      </c>
      <c r="J18" s="3">
        <v>0.97</v>
      </c>
      <c r="K18" s="3">
        <v>0.97</v>
      </c>
      <c r="L18" s="3">
        <v>0.97</v>
      </c>
      <c r="M18" s="3">
        <v>0.97</v>
      </c>
      <c r="N18" s="3">
        <v>0.97</v>
      </c>
      <c r="O18" s="3">
        <v>0.97</v>
      </c>
      <c r="P18" s="3">
        <v>0.97</v>
      </c>
    </row>
    <row r="19" spans="1:16">
      <c r="A19" s="84" t="s">
        <v>112</v>
      </c>
      <c r="B19" s="85" t="s">
        <v>111</v>
      </c>
      <c r="C19" s="85" t="s">
        <v>92</v>
      </c>
      <c r="D19" s="84" t="s">
        <v>87</v>
      </c>
      <c r="E19" s="84">
        <f>VLOOKUP(A19,'2a. SI Pop'!$A$5:$E$198,5,FALSE)</f>
        <v>1</v>
      </c>
      <c r="F19" s="3">
        <v>0.9718841660849139</v>
      </c>
      <c r="G19" s="3">
        <v>0.97674358691533836</v>
      </c>
      <c r="H19" s="3">
        <v>0.98162730484991501</v>
      </c>
      <c r="I19" s="3">
        <v>0.98</v>
      </c>
      <c r="J19" s="3">
        <v>0.98</v>
      </c>
      <c r="K19" s="3">
        <v>0.98</v>
      </c>
      <c r="L19" s="3">
        <v>0.98</v>
      </c>
      <c r="M19" s="3">
        <v>0.98</v>
      </c>
      <c r="N19" s="3">
        <v>0.98</v>
      </c>
      <c r="O19" s="3">
        <v>0.98</v>
      </c>
      <c r="P19" s="3">
        <v>0.98</v>
      </c>
    </row>
    <row r="20" spans="1:16">
      <c r="A20" s="84" t="s">
        <v>114</v>
      </c>
      <c r="B20" s="85" t="s">
        <v>113</v>
      </c>
      <c r="C20" s="85" t="s">
        <v>79</v>
      </c>
      <c r="D20" s="84" t="s">
        <v>80</v>
      </c>
      <c r="E20" s="84">
        <f>VLOOKUP(A20,'2a. SI Pop'!$A$5:$E$198,5,FALSE)</f>
        <v>2</v>
      </c>
      <c r="F20" s="3">
        <v>0.99</v>
      </c>
      <c r="G20" s="3">
        <v>0.99</v>
      </c>
      <c r="H20" s="3">
        <v>0.99</v>
      </c>
      <c r="I20" s="3">
        <v>0.99</v>
      </c>
      <c r="J20" s="3">
        <v>0.99</v>
      </c>
      <c r="K20" s="3">
        <v>0.99</v>
      </c>
      <c r="L20" s="3">
        <v>0.99</v>
      </c>
      <c r="M20" s="3">
        <v>0.99</v>
      </c>
      <c r="N20" s="3">
        <v>0.99</v>
      </c>
      <c r="O20" s="3">
        <v>0.99</v>
      </c>
      <c r="P20" s="3">
        <v>0.99</v>
      </c>
    </row>
    <row r="21" spans="1:16">
      <c r="A21" s="84" t="s">
        <v>116</v>
      </c>
      <c r="B21" s="85" t="s">
        <v>115</v>
      </c>
      <c r="C21" s="85" t="s">
        <v>79</v>
      </c>
      <c r="D21" s="84" t="s">
        <v>87</v>
      </c>
      <c r="E21" s="84">
        <f>VLOOKUP(A21,'2a. SI Pop'!$A$5:$E$198,5,FALSE)</f>
        <v>1</v>
      </c>
      <c r="F21" s="3">
        <v>0.96</v>
      </c>
      <c r="G21" s="3">
        <v>0.96</v>
      </c>
      <c r="H21" s="3">
        <v>0.96</v>
      </c>
      <c r="I21" s="3">
        <v>0.96</v>
      </c>
      <c r="J21" s="3">
        <v>0.96</v>
      </c>
      <c r="K21" s="3">
        <v>0.96</v>
      </c>
      <c r="L21" s="3">
        <v>0.96</v>
      </c>
      <c r="M21" s="3">
        <v>0.96</v>
      </c>
      <c r="N21" s="3">
        <v>0.96</v>
      </c>
      <c r="O21" s="3">
        <v>0.96</v>
      </c>
      <c r="P21" s="3">
        <v>0.96</v>
      </c>
    </row>
    <row r="22" spans="1:16">
      <c r="A22" s="84" t="s">
        <v>118</v>
      </c>
      <c r="B22" s="85" t="s">
        <v>117</v>
      </c>
      <c r="C22" s="85" t="s">
        <v>92</v>
      </c>
      <c r="D22" s="84" t="s">
        <v>80</v>
      </c>
      <c r="E22" s="84">
        <f>VLOOKUP(A22,'2a. SI Pop'!$A$5:$E$198,5,FALSE)</f>
        <v>1</v>
      </c>
      <c r="F22" s="3">
        <v>0.99</v>
      </c>
      <c r="G22" s="3">
        <v>0.99</v>
      </c>
      <c r="H22" s="3">
        <v>0.99</v>
      </c>
      <c r="I22" s="3">
        <v>0.99</v>
      </c>
      <c r="J22" s="3">
        <v>0.99</v>
      </c>
      <c r="K22" s="3">
        <v>0.99</v>
      </c>
      <c r="L22" s="3">
        <v>0.99</v>
      </c>
      <c r="M22" s="3">
        <v>0.99</v>
      </c>
      <c r="N22" s="3">
        <v>0.99</v>
      </c>
      <c r="O22" s="3">
        <v>0.99</v>
      </c>
      <c r="P22" s="3">
        <v>0.99</v>
      </c>
    </row>
    <row r="23" spans="1:16">
      <c r="A23" s="84" t="s">
        <v>120</v>
      </c>
      <c r="B23" s="85" t="s">
        <v>119</v>
      </c>
      <c r="C23" s="85" t="s">
        <v>83</v>
      </c>
      <c r="D23" s="84" t="s">
        <v>84</v>
      </c>
      <c r="E23" s="84">
        <f>VLOOKUP(A23,'2a. SI Pop'!$A$5:$E$198,5,FALSE)</f>
        <v>3</v>
      </c>
      <c r="F23" s="3">
        <v>0.82380640111149517</v>
      </c>
      <c r="G23" s="3">
        <v>0.8320444651226101</v>
      </c>
      <c r="H23" s="3">
        <v>0.84036490977383627</v>
      </c>
      <c r="I23" s="3">
        <v>0.84876855887157465</v>
      </c>
      <c r="J23" s="3">
        <v>0.85725624446029025</v>
      </c>
      <c r="K23" s="3">
        <v>0.86154252568259171</v>
      </c>
      <c r="L23" s="3">
        <v>0.86585023831100461</v>
      </c>
      <c r="M23" s="3">
        <v>0.87017948950255952</v>
      </c>
      <c r="N23" s="3">
        <v>0.87453038695007224</v>
      </c>
      <c r="O23" s="3">
        <v>0.87890303888482246</v>
      </c>
      <c r="P23" s="3">
        <v>0.88329755407924648</v>
      </c>
    </row>
    <row r="24" spans="1:16">
      <c r="A24" s="84" t="s">
        <v>122</v>
      </c>
      <c r="B24" s="85" t="s">
        <v>121</v>
      </c>
      <c r="C24" s="85" t="s">
        <v>110</v>
      </c>
      <c r="D24" s="84" t="s">
        <v>84</v>
      </c>
      <c r="E24" s="84">
        <f>VLOOKUP(A24,'2a. SI Pop'!$A$5:$E$198,5,FALSE)</f>
        <v>2</v>
      </c>
      <c r="F24" s="3">
        <v>0.99</v>
      </c>
      <c r="G24" s="3">
        <v>0.99</v>
      </c>
      <c r="H24" s="3">
        <v>0.99</v>
      </c>
      <c r="I24" s="3">
        <v>0.99</v>
      </c>
      <c r="J24" s="3">
        <v>0.99</v>
      </c>
      <c r="K24" s="3">
        <v>0.99</v>
      </c>
      <c r="L24" s="3">
        <v>0.99</v>
      </c>
      <c r="M24" s="3">
        <v>0.99</v>
      </c>
      <c r="N24" s="3">
        <v>0.99</v>
      </c>
      <c r="O24" s="3">
        <v>0.99</v>
      </c>
      <c r="P24" s="3">
        <v>0.99</v>
      </c>
    </row>
    <row r="25" spans="1:16">
      <c r="A25" s="84" t="s">
        <v>124</v>
      </c>
      <c r="B25" s="85" t="s">
        <v>123</v>
      </c>
      <c r="C25" s="85" t="s">
        <v>92</v>
      </c>
      <c r="D25" s="84" t="s">
        <v>84</v>
      </c>
      <c r="E25" s="84">
        <f>VLOOKUP(A25,'2a. SI Pop'!$A$5:$E$198,5,FALSE)</f>
        <v>2</v>
      </c>
      <c r="F25" s="3">
        <v>0.868352915599784</v>
      </c>
      <c r="G25" s="3">
        <v>0.87269468017778284</v>
      </c>
      <c r="H25" s="3">
        <v>0.87705815357867167</v>
      </c>
      <c r="I25" s="3">
        <v>0.88144344434656485</v>
      </c>
      <c r="J25" s="3">
        <v>0.88585066156829773</v>
      </c>
      <c r="K25" s="3">
        <v>0.890279914876139</v>
      </c>
      <c r="L25" s="3">
        <v>0.89473131445051957</v>
      </c>
      <c r="M25" s="3">
        <v>0.89920497102277208</v>
      </c>
      <c r="N25" s="3">
        <v>0.90370099587788588</v>
      </c>
      <c r="O25" s="3">
        <v>0.90821950085727521</v>
      </c>
      <c r="P25" s="3">
        <v>0.91276059836156154</v>
      </c>
    </row>
    <row r="26" spans="1:16">
      <c r="A26" s="84" t="s">
        <v>126</v>
      </c>
      <c r="B26" s="85" t="s">
        <v>125</v>
      </c>
      <c r="C26" s="85" t="s">
        <v>79</v>
      </c>
      <c r="D26" s="84" t="s">
        <v>80</v>
      </c>
      <c r="E26" s="84">
        <f>VLOOKUP(A26,'2a. SI Pop'!$A$5:$E$198,5,FALSE)</f>
        <v>1</v>
      </c>
      <c r="F26" s="3">
        <v>0.82055449333004671</v>
      </c>
      <c r="G26" s="3">
        <v>0.82876003826334721</v>
      </c>
      <c r="H26" s="3">
        <v>0.83704763864598075</v>
      </c>
      <c r="I26" s="3">
        <v>0.84541811503244058</v>
      </c>
      <c r="J26" s="3">
        <v>0.85387229618276506</v>
      </c>
      <c r="K26" s="3">
        <v>0.85814165766367878</v>
      </c>
      <c r="L26" s="3">
        <v>0.86243236595199702</v>
      </c>
      <c r="M26" s="3">
        <v>0.86674452778175692</v>
      </c>
      <c r="N26" s="3">
        <v>0.87107825042066567</v>
      </c>
      <c r="O26" s="3">
        <v>0.87543364167276894</v>
      </c>
      <c r="P26" s="3">
        <v>0.87981080988113258</v>
      </c>
    </row>
    <row r="27" spans="1:16">
      <c r="A27" s="84" t="s">
        <v>128</v>
      </c>
      <c r="B27" s="85" t="s">
        <v>127</v>
      </c>
      <c r="C27" s="85" t="s">
        <v>83</v>
      </c>
      <c r="D27" s="84" t="s">
        <v>80</v>
      </c>
      <c r="E27" s="84">
        <f>VLOOKUP(A27,'2a. SI Pop'!$A$5:$E$198,5,FALSE)</f>
        <v>2</v>
      </c>
      <c r="F27" s="3">
        <v>0.97</v>
      </c>
      <c r="G27" s="3">
        <v>0.97</v>
      </c>
      <c r="H27" s="3">
        <v>0.97</v>
      </c>
      <c r="I27" s="3">
        <v>0.97</v>
      </c>
      <c r="J27" s="3">
        <v>0.97</v>
      </c>
      <c r="K27" s="3">
        <v>0.97</v>
      </c>
      <c r="L27" s="3">
        <v>0.97</v>
      </c>
      <c r="M27" s="3">
        <v>0.97</v>
      </c>
      <c r="N27" s="3">
        <v>0.97</v>
      </c>
      <c r="O27" s="3">
        <v>0.97</v>
      </c>
      <c r="P27" s="3">
        <v>0.97</v>
      </c>
    </row>
    <row r="28" spans="1:16">
      <c r="A28" s="84" t="s">
        <v>130</v>
      </c>
      <c r="B28" s="85" t="s">
        <v>129</v>
      </c>
      <c r="C28" s="85" t="s">
        <v>92</v>
      </c>
      <c r="D28" s="84" t="s">
        <v>80</v>
      </c>
      <c r="E28" s="84" t="str">
        <f>VLOOKUP(A28,'2a. SI Pop'!$A$5:$E$198,5,FALSE)</f>
        <v>Key</v>
      </c>
      <c r="F28" s="3">
        <v>0.96132020775790394</v>
      </c>
      <c r="G28" s="3">
        <v>0.96612680879669344</v>
      </c>
      <c r="H28" s="3">
        <v>0.97095744284067675</v>
      </c>
      <c r="I28" s="3">
        <v>0.97581223005487994</v>
      </c>
      <c r="J28" s="3">
        <v>0.9806912912051543</v>
      </c>
      <c r="K28" s="3">
        <v>0.98559474766118005</v>
      </c>
      <c r="L28" s="3">
        <v>0.99052272139948583</v>
      </c>
      <c r="M28" s="3">
        <v>0.99</v>
      </c>
      <c r="N28" s="3">
        <v>0.99</v>
      </c>
      <c r="O28" s="3">
        <v>0.99</v>
      </c>
      <c r="P28" s="3">
        <v>0.99</v>
      </c>
    </row>
    <row r="29" spans="1:16">
      <c r="A29" s="84" t="s">
        <v>132</v>
      </c>
      <c r="B29" s="85" t="s">
        <v>131</v>
      </c>
      <c r="C29" s="85" t="s">
        <v>99</v>
      </c>
      <c r="D29" s="84" t="s">
        <v>87</v>
      </c>
      <c r="E29" s="84">
        <f>VLOOKUP(A29,'2a. SI Pop'!$A$5:$E$198,5,FALSE)</f>
        <v>1</v>
      </c>
      <c r="F29" s="3">
        <v>0.99</v>
      </c>
      <c r="G29" s="3">
        <v>0.99</v>
      </c>
      <c r="H29" s="3">
        <v>0.99</v>
      </c>
      <c r="I29" s="3">
        <v>0.99</v>
      </c>
      <c r="J29" s="3">
        <v>0.99</v>
      </c>
      <c r="K29" s="3">
        <v>0.99</v>
      </c>
      <c r="L29" s="3">
        <v>0.99</v>
      </c>
      <c r="M29" s="3">
        <v>0.99</v>
      </c>
      <c r="N29" s="3">
        <v>0.99</v>
      </c>
      <c r="O29" s="3">
        <v>0.99</v>
      </c>
      <c r="P29" s="3">
        <v>0.99</v>
      </c>
    </row>
    <row r="30" spans="1:16">
      <c r="A30" s="84" t="s">
        <v>134</v>
      </c>
      <c r="B30" s="85" t="s">
        <v>133</v>
      </c>
      <c r="C30" s="85" t="s">
        <v>79</v>
      </c>
      <c r="D30" s="84" t="s">
        <v>80</v>
      </c>
      <c r="E30" s="84">
        <f>VLOOKUP(A30,'2a. SI Pop'!$A$5:$E$198,5,FALSE)</f>
        <v>1</v>
      </c>
      <c r="F30" s="3">
        <v>0.97</v>
      </c>
      <c r="G30" s="3">
        <v>0.97</v>
      </c>
      <c r="H30" s="3">
        <v>0.97</v>
      </c>
      <c r="I30" s="3">
        <v>0.97</v>
      </c>
      <c r="J30" s="3">
        <v>0.97</v>
      </c>
      <c r="K30" s="3">
        <v>0.97</v>
      </c>
      <c r="L30" s="3">
        <v>0.97</v>
      </c>
      <c r="M30" s="3">
        <v>0.97</v>
      </c>
      <c r="N30" s="3">
        <v>0.97</v>
      </c>
      <c r="O30" s="3">
        <v>0.97</v>
      </c>
      <c r="P30" s="3">
        <v>0.97</v>
      </c>
    </row>
    <row r="31" spans="1:16">
      <c r="A31" s="84" t="s">
        <v>136</v>
      </c>
      <c r="B31" s="85" t="s">
        <v>135</v>
      </c>
      <c r="C31" s="85" t="s">
        <v>83</v>
      </c>
      <c r="D31" s="84" t="s">
        <v>75</v>
      </c>
      <c r="E31" s="84">
        <f>VLOOKUP(A31,'2a. SI Pop'!$A$5:$E$198,5,FALSE)</f>
        <v>3</v>
      </c>
      <c r="F31" s="3">
        <v>0.92962833277687418</v>
      </c>
      <c r="G31" s="3">
        <v>0.93427647444075845</v>
      </c>
      <c r="H31" s="3">
        <v>0.93894785681296211</v>
      </c>
      <c r="I31" s="3">
        <v>0.94364259609702683</v>
      </c>
      <c r="J31" s="3">
        <v>0.94836080907751186</v>
      </c>
      <c r="K31" s="3">
        <v>0.95</v>
      </c>
      <c r="L31" s="3">
        <v>0.95</v>
      </c>
      <c r="M31" s="3">
        <v>0.95</v>
      </c>
      <c r="N31" s="3">
        <v>0.95</v>
      </c>
      <c r="O31" s="3">
        <v>0.95</v>
      </c>
      <c r="P31" s="3">
        <v>0.95</v>
      </c>
    </row>
    <row r="32" spans="1:16">
      <c r="A32" s="84" t="s">
        <v>138</v>
      </c>
      <c r="B32" s="85" t="s">
        <v>137</v>
      </c>
      <c r="C32" s="85" t="s">
        <v>83</v>
      </c>
      <c r="D32" s="84" t="s">
        <v>75</v>
      </c>
      <c r="E32" s="84">
        <f>VLOOKUP(A32,'2a. SI Pop'!$A$5:$E$198,5,FALSE)</f>
        <v>3</v>
      </c>
      <c r="F32" s="3">
        <v>0.9718841660849139</v>
      </c>
      <c r="G32" s="3">
        <v>0.97674358691533836</v>
      </c>
      <c r="H32" s="3">
        <v>0.98162730484991501</v>
      </c>
      <c r="I32" s="3">
        <v>0.98</v>
      </c>
      <c r="J32" s="3">
        <v>0.98</v>
      </c>
      <c r="K32" s="3">
        <v>0.98</v>
      </c>
      <c r="L32" s="3">
        <v>0.98</v>
      </c>
      <c r="M32" s="3">
        <v>0.98</v>
      </c>
      <c r="N32" s="3">
        <v>0.98</v>
      </c>
      <c r="O32" s="3">
        <v>0.98</v>
      </c>
      <c r="P32" s="3">
        <v>0.98</v>
      </c>
    </row>
    <row r="33" spans="1:16">
      <c r="A33" s="84" t="s">
        <v>140</v>
      </c>
      <c r="B33" s="85" t="s">
        <v>139</v>
      </c>
      <c r="C33" s="85" t="s">
        <v>99</v>
      </c>
      <c r="D33" s="84" t="s">
        <v>84</v>
      </c>
      <c r="E33" s="84">
        <f>VLOOKUP(A33,'2a. SI Pop'!$A$5:$E$198,5,FALSE)</f>
        <v>4</v>
      </c>
      <c r="F33" s="3">
        <v>0.89622404070013928</v>
      </c>
      <c r="G33" s="3">
        <v>0.90070516090363995</v>
      </c>
      <c r="H33" s="3">
        <v>0.90520868670815802</v>
      </c>
      <c r="I33" s="3">
        <v>0.9097347301416987</v>
      </c>
      <c r="J33" s="3">
        <v>0.91428340379240713</v>
      </c>
      <c r="K33" s="3">
        <v>0.91885482081136904</v>
      </c>
      <c r="L33" s="3">
        <v>0.92344909491542582</v>
      </c>
      <c r="M33" s="3">
        <v>0.92806634039000291</v>
      </c>
      <c r="N33" s="3">
        <v>0.93270667209195279</v>
      </c>
      <c r="O33" s="3">
        <v>0.93737020545241245</v>
      </c>
      <c r="P33" s="3">
        <v>0.94205705647967453</v>
      </c>
    </row>
    <row r="34" spans="1:16">
      <c r="A34" s="84" t="s">
        <v>142</v>
      </c>
      <c r="B34" s="85" t="s">
        <v>141</v>
      </c>
      <c r="C34" s="85" t="s">
        <v>83</v>
      </c>
      <c r="D34" s="84" t="s">
        <v>84</v>
      </c>
      <c r="E34" s="84">
        <f>VLOOKUP(A34,'2a. SI Pop'!$A$5:$E$198,5,FALSE)</f>
        <v>3</v>
      </c>
      <c r="F34" s="3">
        <v>0.78309268897424555</v>
      </c>
      <c r="G34" s="3">
        <v>0.79092361586398807</v>
      </c>
      <c r="H34" s="3">
        <v>0.79883285202262799</v>
      </c>
      <c r="I34" s="3">
        <v>0.80682118054285423</v>
      </c>
      <c r="J34" s="3">
        <v>0.81488939234828284</v>
      </c>
      <c r="K34" s="3">
        <v>0.82303828627176556</v>
      </c>
      <c r="L34" s="3">
        <v>0.83126866913448327</v>
      </c>
      <c r="M34" s="3">
        <v>0.83958135582582816</v>
      </c>
      <c r="N34" s="3">
        <v>0.8479771693840864</v>
      </c>
      <c r="O34" s="3">
        <v>0.85645694107792725</v>
      </c>
      <c r="P34" s="3">
        <v>0.86073922578331674</v>
      </c>
    </row>
    <row r="35" spans="1:16">
      <c r="A35" s="84" t="s">
        <v>144</v>
      </c>
      <c r="B35" s="85" t="s">
        <v>143</v>
      </c>
      <c r="C35" s="85" t="s">
        <v>92</v>
      </c>
      <c r="D35" s="84" t="s">
        <v>87</v>
      </c>
      <c r="E35" s="84">
        <f>VLOOKUP(A35,'2a. SI Pop'!$A$5:$E$198,5,FALSE)</f>
        <v>1</v>
      </c>
      <c r="F35" s="3">
        <v>0.95075624943089398</v>
      </c>
      <c r="G35" s="3">
        <v>0.95551003067804829</v>
      </c>
      <c r="H35" s="3">
        <v>0.96028758083143839</v>
      </c>
      <c r="I35" s="3">
        <v>0.96</v>
      </c>
      <c r="J35" s="3">
        <v>0.96</v>
      </c>
      <c r="K35" s="3">
        <v>0.96</v>
      </c>
      <c r="L35" s="3">
        <v>0.96</v>
      </c>
      <c r="M35" s="3">
        <v>0.96</v>
      </c>
      <c r="N35" s="3">
        <v>0.96</v>
      </c>
      <c r="O35" s="3">
        <v>0.96</v>
      </c>
      <c r="P35" s="3">
        <v>0.96</v>
      </c>
    </row>
    <row r="36" spans="1:16">
      <c r="A36" s="84" t="s">
        <v>146</v>
      </c>
      <c r="B36" s="85" t="s">
        <v>145</v>
      </c>
      <c r="C36" s="85" t="s">
        <v>83</v>
      </c>
      <c r="D36" s="84" t="s">
        <v>84</v>
      </c>
      <c r="E36" s="84">
        <f>VLOOKUP(A36,'2a. SI Pop'!$A$5:$E$198,5,FALSE)</f>
        <v>2</v>
      </c>
      <c r="F36" s="3">
        <v>0.99</v>
      </c>
      <c r="G36" s="3">
        <v>0.99</v>
      </c>
      <c r="H36" s="3">
        <v>0.99</v>
      </c>
      <c r="I36" s="3">
        <v>0.99</v>
      </c>
      <c r="J36" s="3">
        <v>0.99</v>
      </c>
      <c r="K36" s="3">
        <v>0.99</v>
      </c>
      <c r="L36" s="3">
        <v>0.99</v>
      </c>
      <c r="M36" s="3">
        <v>0.99</v>
      </c>
      <c r="N36" s="3">
        <v>0.99</v>
      </c>
      <c r="O36" s="3">
        <v>0.99</v>
      </c>
      <c r="P36" s="3">
        <v>0.99</v>
      </c>
    </row>
    <row r="37" spans="1:16">
      <c r="A37" s="84" t="s">
        <v>148</v>
      </c>
      <c r="B37" s="85" t="s">
        <v>147</v>
      </c>
      <c r="C37" s="85" t="s">
        <v>83</v>
      </c>
      <c r="D37" s="84" t="s">
        <v>75</v>
      </c>
      <c r="E37" s="84">
        <f>VLOOKUP(A37,'2a. SI Pop'!$A$5:$E$198,5,FALSE)</f>
        <v>3</v>
      </c>
      <c r="F37" s="3">
        <v>0.67827459665497825</v>
      </c>
      <c r="G37" s="3">
        <v>0.69862283455462759</v>
      </c>
      <c r="H37" s="3">
        <v>0.71958151959126637</v>
      </c>
      <c r="I37" s="3">
        <v>0.74116896517900444</v>
      </c>
      <c r="J37" s="3">
        <v>0.76340403413437452</v>
      </c>
      <c r="K37" s="3">
        <v>0.77103807447571837</v>
      </c>
      <c r="L37" s="3">
        <v>0.77874845522047564</v>
      </c>
      <c r="M37" s="3">
        <v>0.78653593977268044</v>
      </c>
      <c r="N37" s="3">
        <v>0.79440129917040725</v>
      </c>
      <c r="O37" s="3">
        <v>0.80234531216211125</v>
      </c>
      <c r="P37" s="3">
        <v>0.81036876528373236</v>
      </c>
    </row>
    <row r="38" spans="1:16">
      <c r="A38" s="84" t="s">
        <v>150</v>
      </c>
      <c r="B38" s="85" t="s">
        <v>149</v>
      </c>
      <c r="C38" s="85" t="s">
        <v>83</v>
      </c>
      <c r="D38" s="84" t="s">
        <v>75</v>
      </c>
      <c r="E38" s="84" t="str">
        <f>VLOOKUP(A38,'2a. SI Pop'!$A$5:$E$198,5,FALSE)</f>
        <v>Key</v>
      </c>
      <c r="F38" s="3">
        <v>0.56753588699702295</v>
      </c>
      <c r="G38" s="3">
        <v>0.58456196360693358</v>
      </c>
      <c r="H38" s="3">
        <v>0.60209882251514169</v>
      </c>
      <c r="I38" s="3">
        <v>0.620161787190596</v>
      </c>
      <c r="J38" s="3">
        <v>0.63876664080631385</v>
      </c>
      <c r="K38" s="3">
        <v>0.65792964003050325</v>
      </c>
      <c r="L38" s="3">
        <v>0.67766752923141838</v>
      </c>
      <c r="M38" s="3">
        <v>0.69799755510836092</v>
      </c>
      <c r="N38" s="3">
        <v>0.71893748176161187</v>
      </c>
      <c r="O38" s="3">
        <v>0.74050560621446027</v>
      </c>
      <c r="P38" s="3">
        <v>0.76272077440089403</v>
      </c>
    </row>
    <row r="39" spans="1:16">
      <c r="A39" s="84" t="s">
        <v>152</v>
      </c>
      <c r="B39" s="85" t="s">
        <v>151</v>
      </c>
      <c r="C39" s="85" t="s">
        <v>92</v>
      </c>
      <c r="D39" s="84" t="s">
        <v>87</v>
      </c>
      <c r="E39" s="84">
        <f>VLOOKUP(A39,'2a. SI Pop'!$A$5:$E$198,5,FALSE)</f>
        <v>2</v>
      </c>
      <c r="F39" s="3">
        <v>0.97</v>
      </c>
      <c r="G39" s="3">
        <v>0.97</v>
      </c>
      <c r="H39" s="3">
        <v>0.97</v>
      </c>
      <c r="I39" s="3">
        <v>0.97</v>
      </c>
      <c r="J39" s="3">
        <v>0.97</v>
      </c>
      <c r="K39" s="3">
        <v>0.97</v>
      </c>
      <c r="L39" s="3">
        <v>0.97</v>
      </c>
      <c r="M39" s="3">
        <v>0.97</v>
      </c>
      <c r="N39" s="3">
        <v>0.97</v>
      </c>
      <c r="O39" s="3">
        <v>0.97</v>
      </c>
      <c r="P39" s="3">
        <v>0.97</v>
      </c>
    </row>
    <row r="40" spans="1:16">
      <c r="A40" s="84" t="s">
        <v>154</v>
      </c>
      <c r="B40" s="85" t="s">
        <v>153</v>
      </c>
      <c r="C40" s="85" t="s">
        <v>99</v>
      </c>
      <c r="D40" s="84" t="s">
        <v>80</v>
      </c>
      <c r="E40" s="84">
        <f>VLOOKUP(A40,'2a. SI Pop'!$A$5:$E$198,5,FALSE)</f>
        <v>1</v>
      </c>
      <c r="F40" s="3">
        <v>0.99</v>
      </c>
      <c r="G40" s="3">
        <v>0.99</v>
      </c>
      <c r="H40" s="3">
        <v>0.99</v>
      </c>
      <c r="I40" s="3">
        <v>0.99</v>
      </c>
      <c r="J40" s="3">
        <v>0.99</v>
      </c>
      <c r="K40" s="3">
        <v>0.99</v>
      </c>
      <c r="L40" s="3">
        <v>0.99</v>
      </c>
      <c r="M40" s="3">
        <v>0.99</v>
      </c>
      <c r="N40" s="3">
        <v>0.99</v>
      </c>
      <c r="O40" s="3">
        <v>0.99</v>
      </c>
      <c r="P40" s="3">
        <v>0.99</v>
      </c>
    </row>
    <row r="41" spans="1:16">
      <c r="A41" s="84" t="s">
        <v>156</v>
      </c>
      <c r="B41" s="85" t="s">
        <v>155</v>
      </c>
      <c r="C41" s="85" t="s">
        <v>92</v>
      </c>
      <c r="D41" s="84" t="s">
        <v>80</v>
      </c>
      <c r="E41" s="84">
        <f>VLOOKUP(A41,'2a. SI Pop'!$A$5:$E$198,5,FALSE)</f>
        <v>2</v>
      </c>
      <c r="F41" s="3">
        <v>0.96</v>
      </c>
      <c r="G41" s="3">
        <v>0.96</v>
      </c>
      <c r="H41" s="3">
        <v>0.96</v>
      </c>
      <c r="I41" s="3">
        <v>0.96</v>
      </c>
      <c r="J41" s="3">
        <v>0.96</v>
      </c>
      <c r="K41" s="3">
        <v>0.96</v>
      </c>
      <c r="L41" s="3">
        <v>0.96</v>
      </c>
      <c r="M41" s="3">
        <v>0.96</v>
      </c>
      <c r="N41" s="3">
        <v>0.96</v>
      </c>
      <c r="O41" s="3">
        <v>0.96</v>
      </c>
      <c r="P41" s="3">
        <v>0.96</v>
      </c>
    </row>
    <row r="42" spans="1:16">
      <c r="A42" s="84" t="s">
        <v>158</v>
      </c>
      <c r="B42" s="85" t="s">
        <v>157</v>
      </c>
      <c r="C42" s="85" t="s">
        <v>83</v>
      </c>
      <c r="D42" s="84" t="s">
        <v>84</v>
      </c>
      <c r="E42" s="84">
        <f>VLOOKUP(A42,'2a. SI Pop'!$A$5:$E$198,5,FALSE)</f>
        <v>3</v>
      </c>
      <c r="F42" s="3">
        <v>0.95075624943089398</v>
      </c>
      <c r="G42" s="3">
        <v>0.95</v>
      </c>
      <c r="H42" s="3">
        <v>0.95</v>
      </c>
      <c r="I42" s="3">
        <v>0.95</v>
      </c>
      <c r="J42" s="3">
        <v>0.95</v>
      </c>
      <c r="K42" s="3">
        <v>0.95</v>
      </c>
      <c r="L42" s="3">
        <v>0.95</v>
      </c>
      <c r="M42" s="3">
        <v>0.95</v>
      </c>
      <c r="N42" s="3">
        <v>0.95</v>
      </c>
      <c r="O42" s="3">
        <v>0.95</v>
      </c>
      <c r="P42" s="3">
        <v>0.95</v>
      </c>
    </row>
    <row r="43" spans="1:16">
      <c r="A43" s="84" t="s">
        <v>160</v>
      </c>
      <c r="B43" s="85" t="s">
        <v>159</v>
      </c>
      <c r="C43" s="85" t="s">
        <v>83</v>
      </c>
      <c r="D43" s="84" t="s">
        <v>84</v>
      </c>
      <c r="E43" s="84">
        <f>VLOOKUP(A43,'2a. SI Pop'!$A$5:$E$198,5,FALSE)</f>
        <v>3</v>
      </c>
      <c r="F43" s="3">
        <v>0.83056537609668479</v>
      </c>
      <c r="G43" s="3">
        <v>0.83887102985765172</v>
      </c>
      <c r="H43" s="3">
        <v>0.84725974015622829</v>
      </c>
      <c r="I43" s="3">
        <v>0.85573233755779055</v>
      </c>
      <c r="J43" s="3">
        <v>0.86001099924557944</v>
      </c>
      <c r="K43" s="3">
        <v>0.86431105424180732</v>
      </c>
      <c r="L43" s="3">
        <v>0.86863260951301624</v>
      </c>
      <c r="M43" s="3">
        <v>0.87297577256058123</v>
      </c>
      <c r="N43" s="3">
        <v>0.87734065142338391</v>
      </c>
      <c r="O43" s="3">
        <v>0.88172735468050079</v>
      </c>
      <c r="P43" s="3">
        <v>0.8861359914539032</v>
      </c>
    </row>
    <row r="44" spans="1:16">
      <c r="A44" s="84" t="s">
        <v>162</v>
      </c>
      <c r="B44" s="85" t="s">
        <v>161</v>
      </c>
      <c r="C44" s="85" t="s">
        <v>99</v>
      </c>
      <c r="D44" s="84" t="e">
        <v>#N/A</v>
      </c>
      <c r="E44" s="84">
        <f>VLOOKUP(A44,'2a. SI Pop'!$A$5:$E$198,5,FALSE)</f>
        <v>1</v>
      </c>
      <c r="F44" s="3">
        <v>0.99</v>
      </c>
      <c r="G44" s="3">
        <v>0.99</v>
      </c>
      <c r="H44" s="3">
        <v>0.99</v>
      </c>
      <c r="I44" s="3">
        <v>0.99</v>
      </c>
      <c r="J44" s="3">
        <v>0.99</v>
      </c>
      <c r="K44" s="3">
        <v>0.99</v>
      </c>
      <c r="L44" s="3">
        <v>0.99</v>
      </c>
      <c r="M44" s="3">
        <v>0.99</v>
      </c>
      <c r="N44" s="3">
        <v>0.99</v>
      </c>
      <c r="O44" s="3">
        <v>0.99</v>
      </c>
      <c r="P44" s="3">
        <v>0.99</v>
      </c>
    </row>
    <row r="45" spans="1:16">
      <c r="A45" s="84" t="s">
        <v>164</v>
      </c>
      <c r="B45" s="85" t="s">
        <v>163</v>
      </c>
      <c r="C45" s="85" t="s">
        <v>92</v>
      </c>
      <c r="D45" s="84" t="s">
        <v>80</v>
      </c>
      <c r="E45" s="84">
        <f>VLOOKUP(A45,'2a. SI Pop'!$A$5:$E$198,5,FALSE)</f>
        <v>2</v>
      </c>
      <c r="F45" s="3">
        <v>0.96</v>
      </c>
      <c r="G45" s="3">
        <v>0.96</v>
      </c>
      <c r="H45" s="3">
        <v>0.96</v>
      </c>
      <c r="I45" s="3">
        <v>0.96</v>
      </c>
      <c r="J45" s="3">
        <v>0.96</v>
      </c>
      <c r="K45" s="3">
        <v>0.96</v>
      </c>
      <c r="L45" s="3">
        <v>0.96</v>
      </c>
      <c r="M45" s="3">
        <v>0.96</v>
      </c>
      <c r="N45" s="3">
        <v>0.96</v>
      </c>
      <c r="O45" s="3">
        <v>0.96</v>
      </c>
      <c r="P45" s="3">
        <v>0.96</v>
      </c>
    </row>
    <row r="46" spans="1:16">
      <c r="A46" s="84" t="s">
        <v>166</v>
      </c>
      <c r="B46" s="85" t="s">
        <v>165</v>
      </c>
      <c r="C46" s="85" t="s">
        <v>83</v>
      </c>
      <c r="D46" s="84" t="s">
        <v>84</v>
      </c>
      <c r="E46" s="84">
        <f>VLOOKUP(A46,'2a. SI Pop'!$A$5:$E$198,5,FALSE)</f>
        <v>3</v>
      </c>
      <c r="F46" s="3">
        <v>0.84790794346564069</v>
      </c>
      <c r="G46" s="3">
        <v>0.85638702290029711</v>
      </c>
      <c r="H46" s="3">
        <v>0.86066895801479859</v>
      </c>
      <c r="I46" s="3">
        <v>0.86497230280487247</v>
      </c>
      <c r="J46" s="3">
        <v>0.8692971643188967</v>
      </c>
      <c r="K46" s="3">
        <v>0.87364365014049117</v>
      </c>
      <c r="L46" s="3">
        <v>0.8780118683911935</v>
      </c>
      <c r="M46" s="3">
        <v>0.8824019277331494</v>
      </c>
      <c r="N46" s="3">
        <v>0.88681393737181513</v>
      </c>
      <c r="O46" s="3">
        <v>0.89124800705867402</v>
      </c>
      <c r="P46" s="3">
        <v>0.89570424709396734</v>
      </c>
    </row>
    <row r="47" spans="1:16">
      <c r="A47" s="84" t="s">
        <v>168</v>
      </c>
      <c r="B47" s="85" t="s">
        <v>167</v>
      </c>
      <c r="C47" s="85" t="s">
        <v>79</v>
      </c>
      <c r="D47" s="84" t="s">
        <v>87</v>
      </c>
      <c r="E47" s="84">
        <f>VLOOKUP(A47,'2a. SI Pop'!$A$5:$E$198,5,FALSE)</f>
        <v>1</v>
      </c>
      <c r="F47" s="3">
        <v>0.96</v>
      </c>
      <c r="G47" s="3">
        <v>0.96</v>
      </c>
      <c r="H47" s="3">
        <v>0.96</v>
      </c>
      <c r="I47" s="3">
        <v>0.96</v>
      </c>
      <c r="J47" s="3">
        <v>0.96</v>
      </c>
      <c r="K47" s="3">
        <v>0.96</v>
      </c>
      <c r="L47" s="3">
        <v>0.96</v>
      </c>
      <c r="M47" s="3">
        <v>0.96</v>
      </c>
      <c r="N47" s="3">
        <v>0.96</v>
      </c>
      <c r="O47" s="3">
        <v>0.96</v>
      </c>
      <c r="P47" s="3">
        <v>0.96</v>
      </c>
    </row>
    <row r="48" spans="1:16">
      <c r="A48" s="84" t="s">
        <v>170</v>
      </c>
      <c r="B48" s="85" t="s">
        <v>169</v>
      </c>
      <c r="C48" s="85" t="s">
        <v>92</v>
      </c>
      <c r="D48" s="84" t="s">
        <v>80</v>
      </c>
      <c r="E48" s="84">
        <f>VLOOKUP(A48,'2a. SI Pop'!$A$5:$E$198,5,FALSE)</f>
        <v>1</v>
      </c>
      <c r="F48" s="3">
        <v>0.99</v>
      </c>
      <c r="G48" s="3">
        <v>0.99</v>
      </c>
      <c r="H48" s="3">
        <v>0.99</v>
      </c>
      <c r="I48" s="3">
        <v>0.99</v>
      </c>
      <c r="J48" s="3">
        <v>0.99</v>
      </c>
      <c r="K48" s="3">
        <v>0.99</v>
      </c>
      <c r="L48" s="3">
        <v>0.99</v>
      </c>
      <c r="M48" s="3">
        <v>0.99</v>
      </c>
      <c r="N48" s="3">
        <v>0.99</v>
      </c>
      <c r="O48" s="3">
        <v>0.99</v>
      </c>
      <c r="P48" s="3">
        <v>0.99</v>
      </c>
    </row>
    <row r="49" spans="1:16">
      <c r="A49" s="84" t="s">
        <v>172</v>
      </c>
      <c r="B49" s="85" t="s">
        <v>171</v>
      </c>
      <c r="C49" s="85" t="s">
        <v>79</v>
      </c>
      <c r="D49" s="84" t="s">
        <v>87</v>
      </c>
      <c r="E49" s="84">
        <f>VLOOKUP(A49,'2a. SI Pop'!$A$5:$E$198,5,FALSE)</f>
        <v>1</v>
      </c>
      <c r="F49" s="3">
        <v>0.90850041612285448</v>
      </c>
      <c r="G49" s="3">
        <v>0.91304291820346872</v>
      </c>
      <c r="H49" s="3">
        <v>0.91760813279448594</v>
      </c>
      <c r="I49" s="3">
        <v>0.92219617345845828</v>
      </c>
      <c r="J49" s="3">
        <v>0.92680715432575056</v>
      </c>
      <c r="K49" s="3">
        <v>0.93144119009737925</v>
      </c>
      <c r="L49" s="3">
        <v>0.93609839604786604</v>
      </c>
      <c r="M49" s="3">
        <v>0.94077888802810516</v>
      </c>
      <c r="N49" s="3">
        <v>0.94548278246824569</v>
      </c>
      <c r="O49" s="3">
        <v>0.95021019638058679</v>
      </c>
      <c r="P49" s="3">
        <v>0.95</v>
      </c>
    </row>
    <row r="50" spans="1:16">
      <c r="A50" s="84" t="s">
        <v>174</v>
      </c>
      <c r="B50" s="85" t="s">
        <v>173</v>
      </c>
      <c r="C50" s="85" t="s">
        <v>79</v>
      </c>
      <c r="D50" s="84" t="s">
        <v>87</v>
      </c>
      <c r="E50" s="84">
        <f>VLOOKUP(A50,'2a. SI Pop'!$A$5:$E$198,5,FALSE)</f>
        <v>1</v>
      </c>
      <c r="F50" s="3">
        <v>0.9718841660849139</v>
      </c>
      <c r="G50" s="3">
        <v>0.97674358691533836</v>
      </c>
      <c r="H50" s="3">
        <v>0.98162730484991501</v>
      </c>
      <c r="I50" s="3">
        <v>0.98653544137416449</v>
      </c>
      <c r="J50" s="3">
        <v>0.99146811858103523</v>
      </c>
      <c r="K50" s="3">
        <v>0.99</v>
      </c>
      <c r="L50" s="3">
        <v>0.99</v>
      </c>
      <c r="M50" s="3">
        <v>0.99</v>
      </c>
      <c r="N50" s="3">
        <v>0.99</v>
      </c>
      <c r="O50" s="3">
        <v>0.99</v>
      </c>
      <c r="P50" s="3">
        <v>0.99</v>
      </c>
    </row>
    <row r="51" spans="1:16">
      <c r="A51" s="84" t="s">
        <v>176</v>
      </c>
      <c r="B51" s="85" t="s">
        <v>175</v>
      </c>
      <c r="C51" s="85" t="s">
        <v>110</v>
      </c>
      <c r="D51" s="84" t="s">
        <v>75</v>
      </c>
      <c r="E51" s="84">
        <f>VLOOKUP(A51,'2a. SI Pop'!$A$5:$E$198,5,FALSE)</f>
        <v>4</v>
      </c>
      <c r="F51" s="3">
        <v>0.99</v>
      </c>
      <c r="G51" s="3">
        <v>0.99</v>
      </c>
      <c r="H51" s="3">
        <v>0.99</v>
      </c>
      <c r="I51" s="3">
        <v>0.99</v>
      </c>
      <c r="J51" s="3">
        <v>0.99</v>
      </c>
      <c r="K51" s="3">
        <v>0.99</v>
      </c>
      <c r="L51" s="3">
        <v>0.99</v>
      </c>
      <c r="M51" s="3">
        <v>0.99</v>
      </c>
      <c r="N51" s="3">
        <v>0.99</v>
      </c>
      <c r="O51" s="3">
        <v>0.99</v>
      </c>
      <c r="P51" s="3">
        <v>0.99</v>
      </c>
    </row>
    <row r="52" spans="1:16">
      <c r="A52" s="84" t="s">
        <v>178</v>
      </c>
      <c r="B52" s="85" t="s">
        <v>177</v>
      </c>
      <c r="C52" s="85" t="s">
        <v>83</v>
      </c>
      <c r="D52" s="84" t="s">
        <v>75</v>
      </c>
      <c r="E52" s="84" t="str">
        <f>VLOOKUP(A52,'2a. SI Pop'!$A$5:$E$198,5,FALSE)</f>
        <v>Key</v>
      </c>
      <c r="F52" s="3">
        <v>0.77369265958841127</v>
      </c>
      <c r="G52" s="3">
        <v>0.78142958618429537</v>
      </c>
      <c r="H52" s="3">
        <v>0.78924388204613838</v>
      </c>
      <c r="I52" s="3">
        <v>0.79713632086659969</v>
      </c>
      <c r="J52" s="3">
        <v>0.80510768407526567</v>
      </c>
      <c r="K52" s="3">
        <v>0.81315876091601835</v>
      </c>
      <c r="L52" s="3">
        <v>0.82129034852517857</v>
      </c>
      <c r="M52" s="3">
        <v>0.8295032520104304</v>
      </c>
      <c r="N52" s="3">
        <v>0.83779828453053473</v>
      </c>
      <c r="O52" s="3">
        <v>0.84617626737584006</v>
      </c>
      <c r="P52" s="3">
        <v>0.85463803004959837</v>
      </c>
    </row>
    <row r="53" spans="1:16">
      <c r="A53" s="84" t="s">
        <v>180</v>
      </c>
      <c r="B53" s="85" t="s">
        <v>179</v>
      </c>
      <c r="C53" s="85" t="s">
        <v>79</v>
      </c>
      <c r="D53" s="84" t="s">
        <v>87</v>
      </c>
      <c r="E53" s="84">
        <f>VLOOKUP(A53,'2a. SI Pop'!$A$5:$E$198,5,FALSE)</f>
        <v>1</v>
      </c>
      <c r="F53" s="3">
        <v>0.99</v>
      </c>
      <c r="G53" s="3">
        <v>0.99</v>
      </c>
      <c r="H53" s="3">
        <v>0.99</v>
      </c>
      <c r="I53" s="3">
        <v>0.99</v>
      </c>
      <c r="J53" s="3">
        <v>0.99</v>
      </c>
      <c r="K53" s="3">
        <v>0.99</v>
      </c>
      <c r="L53" s="3">
        <v>0.99</v>
      </c>
      <c r="M53" s="3">
        <v>0.99</v>
      </c>
      <c r="N53" s="3">
        <v>0.99</v>
      </c>
      <c r="O53" s="3">
        <v>0.99</v>
      </c>
      <c r="P53" s="3">
        <v>0.99</v>
      </c>
    </row>
    <row r="54" spans="1:16">
      <c r="A54" s="84" t="s">
        <v>182</v>
      </c>
      <c r="B54" s="85" t="s">
        <v>181</v>
      </c>
      <c r="C54" s="85" t="s">
        <v>74</v>
      </c>
      <c r="D54" s="84" t="s">
        <v>84</v>
      </c>
      <c r="E54" s="84">
        <f>VLOOKUP(A54,'2a. SI Pop'!$A$5:$E$198,5,FALSE)</f>
        <v>3</v>
      </c>
      <c r="F54" s="3">
        <v>0.88996045169264038</v>
      </c>
      <c r="G54" s="3">
        <v>0.89441025395110341</v>
      </c>
      <c r="H54" s="3">
        <v>0.89888230522085888</v>
      </c>
      <c r="I54" s="3">
        <v>0.90337671674696307</v>
      </c>
      <c r="J54" s="3">
        <v>0.90789360033069788</v>
      </c>
      <c r="K54" s="3">
        <v>0.91243306833235127</v>
      </c>
      <c r="L54" s="3">
        <v>0.91699523367401281</v>
      </c>
      <c r="M54" s="3">
        <v>0.92158020984238276</v>
      </c>
      <c r="N54" s="3">
        <v>0.9261881108915947</v>
      </c>
      <c r="O54" s="3">
        <v>0.93081905144605259</v>
      </c>
      <c r="P54" s="3">
        <v>0.93547314670328274</v>
      </c>
    </row>
    <row r="55" spans="1:16">
      <c r="A55" s="84" t="s">
        <v>184</v>
      </c>
      <c r="B55" s="85" t="s">
        <v>183</v>
      </c>
      <c r="C55" s="85" t="s">
        <v>92</v>
      </c>
      <c r="D55" s="84" t="s">
        <v>80</v>
      </c>
      <c r="E55" s="84">
        <f>VLOOKUP(A55,'2a. SI Pop'!$A$5:$E$198,5,FALSE)</f>
        <v>2</v>
      </c>
      <c r="F55" s="3">
        <v>0.96</v>
      </c>
      <c r="G55" s="3">
        <v>0.96</v>
      </c>
      <c r="H55" s="3">
        <v>0.96</v>
      </c>
      <c r="I55" s="3">
        <v>0.96</v>
      </c>
      <c r="J55" s="3">
        <v>0.96</v>
      </c>
      <c r="K55" s="3">
        <v>0.96</v>
      </c>
      <c r="L55" s="3">
        <v>0.96</v>
      </c>
      <c r="M55" s="3">
        <v>0.96</v>
      </c>
      <c r="N55" s="3">
        <v>0.96</v>
      </c>
      <c r="O55" s="3">
        <v>0.96</v>
      </c>
      <c r="P55" s="3">
        <v>0.96</v>
      </c>
    </row>
    <row r="56" spans="1:16">
      <c r="A56" s="84" t="s">
        <v>184</v>
      </c>
      <c r="B56" s="85" t="s">
        <v>185</v>
      </c>
      <c r="C56" s="85" t="s">
        <v>92</v>
      </c>
      <c r="D56" s="84" t="s">
        <v>80</v>
      </c>
      <c r="E56" s="84">
        <f>VLOOKUP(A56,'2a. SI Pop'!$A$5:$E$198,5,FALSE)</f>
        <v>2</v>
      </c>
      <c r="F56" s="3">
        <v>0.96</v>
      </c>
      <c r="G56" s="3">
        <v>0.96</v>
      </c>
      <c r="H56" s="3">
        <v>0.96</v>
      </c>
      <c r="I56" s="3">
        <v>0.96</v>
      </c>
      <c r="J56" s="3">
        <v>0.96</v>
      </c>
      <c r="K56" s="3">
        <v>0.96</v>
      </c>
      <c r="L56" s="3">
        <v>0.96</v>
      </c>
      <c r="M56" s="3">
        <v>0.96</v>
      </c>
      <c r="N56" s="3">
        <v>0.96</v>
      </c>
      <c r="O56" s="3">
        <v>0.96</v>
      </c>
      <c r="P56" s="3">
        <v>0.96</v>
      </c>
    </row>
    <row r="57" spans="1:16">
      <c r="A57" s="84" t="s">
        <v>187</v>
      </c>
      <c r="B57" s="85" t="s">
        <v>186</v>
      </c>
      <c r="C57" s="85" t="s">
        <v>92</v>
      </c>
      <c r="D57" s="84" t="s">
        <v>80</v>
      </c>
      <c r="E57" s="84">
        <f>VLOOKUP(A57,'2a. SI Pop'!$A$5:$E$198,5,FALSE)</f>
        <v>2</v>
      </c>
      <c r="F57" s="3">
        <v>0.88996045169264038</v>
      </c>
      <c r="G57" s="3">
        <v>0.89441025395110341</v>
      </c>
      <c r="H57" s="3">
        <v>0.89888230522085888</v>
      </c>
      <c r="I57" s="3">
        <v>0.90337671674696307</v>
      </c>
      <c r="J57" s="3">
        <v>0.90789360033069788</v>
      </c>
      <c r="K57" s="3">
        <v>0.91243306833235127</v>
      </c>
      <c r="L57" s="3">
        <v>0.91699523367401281</v>
      </c>
      <c r="M57" s="3">
        <v>0.92158020984238276</v>
      </c>
      <c r="N57" s="3">
        <v>0.9261881108915947</v>
      </c>
      <c r="O57" s="3">
        <v>0.93081905144605259</v>
      </c>
      <c r="P57" s="3">
        <v>0.93547314670328274</v>
      </c>
    </row>
    <row r="58" spans="1:16">
      <c r="A58" s="84" t="s">
        <v>189</v>
      </c>
      <c r="B58" s="85" t="s">
        <v>188</v>
      </c>
      <c r="C58" s="85" t="s">
        <v>74</v>
      </c>
      <c r="D58" s="84" t="s">
        <v>84</v>
      </c>
      <c r="E58" s="84">
        <f>VLOOKUP(A58,'2a. SI Pop'!$A$5:$E$198,5,FALSE)</f>
        <v>2</v>
      </c>
      <c r="F58" s="3">
        <v>0.98</v>
      </c>
      <c r="G58" s="3">
        <v>0.98</v>
      </c>
      <c r="H58" s="3">
        <v>0.98</v>
      </c>
      <c r="I58" s="3">
        <v>0.98</v>
      </c>
      <c r="J58" s="3">
        <v>0.98</v>
      </c>
      <c r="K58" s="3">
        <v>0.98</v>
      </c>
      <c r="L58" s="3">
        <v>0.98</v>
      </c>
      <c r="M58" s="3">
        <v>0.98</v>
      </c>
      <c r="N58" s="3">
        <v>0.98</v>
      </c>
      <c r="O58" s="3">
        <v>0.98</v>
      </c>
      <c r="P58" s="3">
        <v>0.98</v>
      </c>
    </row>
    <row r="59" spans="1:16">
      <c r="A59" s="84" t="s">
        <v>191</v>
      </c>
      <c r="B59" s="85" t="s">
        <v>190</v>
      </c>
      <c r="C59" s="85" t="s">
        <v>92</v>
      </c>
      <c r="D59" s="84" t="s">
        <v>84</v>
      </c>
      <c r="E59" s="84">
        <f>VLOOKUP(A59,'2a. SI Pop'!$A$5:$E$198,5,FALSE)</f>
        <v>1</v>
      </c>
      <c r="F59" s="3">
        <v>0.88361235520211567</v>
      </c>
      <c r="G59" s="3">
        <v>0.88803041697812612</v>
      </c>
      <c r="H59" s="3">
        <v>0.89247056906301669</v>
      </c>
      <c r="I59" s="3">
        <v>0.89693292190833163</v>
      </c>
      <c r="J59" s="3">
        <v>0.90141758651787318</v>
      </c>
      <c r="K59" s="3">
        <v>0.90592467445046243</v>
      </c>
      <c r="L59" s="3">
        <v>0.91045429782271459</v>
      </c>
      <c r="M59" s="3">
        <v>0.915006569311828</v>
      </c>
      <c r="N59" s="3">
        <v>0.91958160215838702</v>
      </c>
      <c r="O59" s="3">
        <v>0.92417951016917887</v>
      </c>
      <c r="P59" s="3">
        <v>0.92880040772002459</v>
      </c>
    </row>
    <row r="60" spans="1:16">
      <c r="A60" s="84" t="s">
        <v>193</v>
      </c>
      <c r="B60" s="85" t="s">
        <v>192</v>
      </c>
      <c r="C60" s="85" t="s">
        <v>83</v>
      </c>
      <c r="D60" s="84" t="s">
        <v>80</v>
      </c>
      <c r="E60" s="84">
        <f>VLOOKUP(A60,'2a. SI Pop'!$A$5:$E$198,5,FALSE)</f>
        <v>3</v>
      </c>
      <c r="F60" s="3">
        <v>0.73364395148395645</v>
      </c>
      <c r="G60" s="3">
        <v>0.75565327002847515</v>
      </c>
      <c r="H60" s="3">
        <v>0.76320980272875982</v>
      </c>
      <c r="I60" s="3">
        <v>0.77084190075604753</v>
      </c>
      <c r="J60" s="3">
        <v>0.77855031976360811</v>
      </c>
      <c r="K60" s="3">
        <v>0.78633582296124416</v>
      </c>
      <c r="L60" s="3">
        <v>0.79419918119085664</v>
      </c>
      <c r="M60" s="3">
        <v>0.80214117300276522</v>
      </c>
      <c r="N60" s="3">
        <v>0.8101625847327929</v>
      </c>
      <c r="O60" s="3">
        <v>0.81826421058012089</v>
      </c>
      <c r="P60" s="3">
        <v>0.82644685268592211</v>
      </c>
    </row>
    <row r="61" spans="1:16">
      <c r="A61" s="84" t="s">
        <v>195</v>
      </c>
      <c r="B61" s="85" t="s">
        <v>194</v>
      </c>
      <c r="C61" s="85" t="s">
        <v>83</v>
      </c>
      <c r="D61" s="84" t="s">
        <v>75</v>
      </c>
      <c r="E61" s="84">
        <f>VLOOKUP(A61,'2a. SI Pop'!$A$5:$E$198,5,FALSE)</f>
        <v>3</v>
      </c>
      <c r="F61" s="3">
        <v>0.99</v>
      </c>
      <c r="G61" s="3">
        <v>0.99</v>
      </c>
      <c r="H61" s="3">
        <v>0.99</v>
      </c>
      <c r="I61" s="3">
        <v>0.99</v>
      </c>
      <c r="J61" s="3">
        <v>0.99</v>
      </c>
      <c r="K61" s="3">
        <v>0.99</v>
      </c>
      <c r="L61" s="3">
        <v>0.99</v>
      </c>
      <c r="M61" s="3">
        <v>0.99</v>
      </c>
      <c r="N61" s="3">
        <v>0.99</v>
      </c>
      <c r="O61" s="3">
        <v>0.99</v>
      </c>
      <c r="P61" s="3">
        <v>0.99</v>
      </c>
    </row>
    <row r="62" spans="1:16">
      <c r="A62" s="84" t="s">
        <v>197</v>
      </c>
      <c r="B62" s="85" t="s">
        <v>196</v>
      </c>
      <c r="C62" s="85" t="s">
        <v>79</v>
      </c>
      <c r="D62" s="84" t="s">
        <v>87</v>
      </c>
      <c r="E62" s="84">
        <f>VLOOKUP(A62,'2a. SI Pop'!$A$5:$E$198,5,FALSE)</f>
        <v>1</v>
      </c>
      <c r="F62" s="3">
        <v>0.92962833277687418</v>
      </c>
      <c r="G62" s="3">
        <v>0.93427647444075845</v>
      </c>
      <c r="H62" s="3">
        <v>0.93894785681296211</v>
      </c>
      <c r="I62" s="3">
        <v>0.94364259609702683</v>
      </c>
      <c r="J62" s="3">
        <v>0.94836080907751186</v>
      </c>
      <c r="K62" s="3">
        <v>0.95310261312289923</v>
      </c>
      <c r="L62" s="3">
        <v>0.95786812618851358</v>
      </c>
      <c r="M62" s="3">
        <v>0.96265746681945596</v>
      </c>
      <c r="N62" s="3">
        <v>0.96</v>
      </c>
      <c r="O62" s="3">
        <v>0.96</v>
      </c>
      <c r="P62" s="3">
        <v>0.96</v>
      </c>
    </row>
    <row r="63" spans="1:16">
      <c r="A63" s="84" t="s">
        <v>199</v>
      </c>
      <c r="B63" s="85" t="s">
        <v>198</v>
      </c>
      <c r="C63" s="85" t="s">
        <v>83</v>
      </c>
      <c r="D63" s="84" t="s">
        <v>75</v>
      </c>
      <c r="E63" s="84" t="str">
        <f>VLOOKUP(A63,'2a. SI Pop'!$A$5:$E$198,5,FALSE)</f>
        <v>Key</v>
      </c>
      <c r="F63" s="3">
        <v>0.77197949239804364</v>
      </c>
      <c r="G63" s="3">
        <v>0.77969928732202409</v>
      </c>
      <c r="H63" s="3">
        <v>0.7874962801952442</v>
      </c>
      <c r="I63" s="3">
        <v>0.79537124299719664</v>
      </c>
      <c r="J63" s="3">
        <v>0.80332495542716853</v>
      </c>
      <c r="K63" s="3">
        <v>0.81135820498144029</v>
      </c>
      <c r="L63" s="3">
        <v>0.81947178703125478</v>
      </c>
      <c r="M63" s="3">
        <v>0.82766650490156735</v>
      </c>
      <c r="N63" s="3">
        <v>0.83594316995058304</v>
      </c>
      <c r="O63" s="3">
        <v>0.84430260165008886</v>
      </c>
      <c r="P63" s="3">
        <v>0.85274562766658979</v>
      </c>
    </row>
    <row r="64" spans="1:16">
      <c r="A64" s="84" t="s">
        <v>201</v>
      </c>
      <c r="B64" s="85" t="s">
        <v>200</v>
      </c>
      <c r="C64" s="85" t="s">
        <v>99</v>
      </c>
      <c r="D64" s="84" t="s">
        <v>80</v>
      </c>
      <c r="E64" s="84">
        <f>VLOOKUP(A64,'2a. SI Pop'!$A$5:$E$198,5,FALSE)</f>
        <v>4</v>
      </c>
      <c r="F64" s="3">
        <v>0.96</v>
      </c>
      <c r="G64" s="3">
        <v>0.96</v>
      </c>
      <c r="H64" s="3">
        <v>0.96</v>
      </c>
      <c r="I64" s="3">
        <v>0.96</v>
      </c>
      <c r="J64" s="3">
        <v>0.96</v>
      </c>
      <c r="K64" s="3">
        <v>0.96</v>
      </c>
      <c r="L64" s="3">
        <v>0.96</v>
      </c>
      <c r="M64" s="3">
        <v>0.96</v>
      </c>
      <c r="N64" s="3">
        <v>0.96</v>
      </c>
      <c r="O64" s="3">
        <v>0.96</v>
      </c>
      <c r="P64" s="3">
        <v>0.96</v>
      </c>
    </row>
    <row r="65" spans="1:16">
      <c r="A65" s="84" t="s">
        <v>203</v>
      </c>
      <c r="B65" s="85" t="s">
        <v>202</v>
      </c>
      <c r="C65" s="85" t="s">
        <v>79</v>
      </c>
      <c r="D65" s="84" t="s">
        <v>87</v>
      </c>
      <c r="E65" s="84">
        <f>VLOOKUP(A65,'2a. SI Pop'!$A$5:$E$198,5,FALSE)</f>
        <v>1</v>
      </c>
      <c r="F65" s="3">
        <v>0.98</v>
      </c>
      <c r="G65" s="3">
        <v>0.98</v>
      </c>
      <c r="H65" s="3">
        <v>0.98</v>
      </c>
      <c r="I65" s="3">
        <v>0.98</v>
      </c>
      <c r="J65" s="3">
        <v>0.98</v>
      </c>
      <c r="K65" s="3">
        <v>0.98</v>
      </c>
      <c r="L65" s="3">
        <v>0.98</v>
      </c>
      <c r="M65" s="3">
        <v>0.98</v>
      </c>
      <c r="N65" s="3">
        <v>0.98</v>
      </c>
      <c r="O65" s="3">
        <v>0.98</v>
      </c>
      <c r="P65" s="3">
        <v>0.98</v>
      </c>
    </row>
    <row r="66" spans="1:16">
      <c r="A66" s="84" t="s">
        <v>205</v>
      </c>
      <c r="B66" s="85" t="s">
        <v>204</v>
      </c>
      <c r="C66" s="85" t="s">
        <v>79</v>
      </c>
      <c r="D66" s="84" t="s">
        <v>87</v>
      </c>
      <c r="E66" s="84">
        <f>VLOOKUP(A66,'2a. SI Pop'!$A$5:$E$198,5,FALSE)</f>
        <v>1</v>
      </c>
      <c r="F66" s="3">
        <v>0.95075624943089398</v>
      </c>
      <c r="G66" s="3">
        <v>0.95</v>
      </c>
      <c r="H66" s="3">
        <v>0.95</v>
      </c>
      <c r="I66" s="3">
        <v>0.95</v>
      </c>
      <c r="J66" s="3">
        <v>0.95</v>
      </c>
      <c r="K66" s="3">
        <v>0.95</v>
      </c>
      <c r="L66" s="3">
        <v>0.95</v>
      </c>
      <c r="M66" s="3">
        <v>0.95</v>
      </c>
      <c r="N66" s="3">
        <v>0.95</v>
      </c>
      <c r="O66" s="3">
        <v>0.95</v>
      </c>
      <c r="P66" s="3">
        <v>0.95</v>
      </c>
    </row>
    <row r="67" spans="1:16">
      <c r="A67" s="84" t="s">
        <v>207</v>
      </c>
      <c r="B67" s="85" t="s">
        <v>206</v>
      </c>
      <c r="C67" s="85" t="s">
        <v>83</v>
      </c>
      <c r="D67" s="84" t="s">
        <v>80</v>
      </c>
      <c r="E67" s="84">
        <f>VLOOKUP(A67,'2a. SI Pop'!$A$5:$E$198,5,FALSE)</f>
        <v>3</v>
      </c>
      <c r="F67" s="3">
        <v>0.79348323921629882</v>
      </c>
      <c r="G67" s="3">
        <v>0.80141807160846179</v>
      </c>
      <c r="H67" s="3">
        <v>0.80943225232454652</v>
      </c>
      <c r="I67" s="3">
        <v>0.8175265748477919</v>
      </c>
      <c r="J67" s="3">
        <v>0.82570184059626983</v>
      </c>
      <c r="K67" s="3">
        <v>0.83395885900223243</v>
      </c>
      <c r="L67" s="3">
        <v>0.84229844759225481</v>
      </c>
      <c r="M67" s="3">
        <v>0.85072143206817741</v>
      </c>
      <c r="N67" s="3">
        <v>0.85497503922851825</v>
      </c>
      <c r="O67" s="3">
        <v>0.8592499144246607</v>
      </c>
      <c r="P67" s="3">
        <v>0.86354616399678397</v>
      </c>
    </row>
    <row r="68" spans="1:16">
      <c r="A68" s="84" t="s">
        <v>209</v>
      </c>
      <c r="B68" s="85" t="s">
        <v>208</v>
      </c>
      <c r="C68" s="85" t="s">
        <v>83</v>
      </c>
      <c r="D68" s="84" t="s">
        <v>75</v>
      </c>
      <c r="E68" s="84">
        <f>VLOOKUP(A68,'2a. SI Pop'!$A$5:$E$198,5,FALSE)</f>
        <v>3</v>
      </c>
      <c r="F68" s="3">
        <v>0.89793645779584419</v>
      </c>
      <c r="G68" s="3">
        <v>0.90242614008482336</v>
      </c>
      <c r="H68" s="3">
        <v>0.90693827078524736</v>
      </c>
      <c r="I68" s="3">
        <v>0.91147296213917339</v>
      </c>
      <c r="J68" s="3">
        <v>0.91603032694986919</v>
      </c>
      <c r="K68" s="3">
        <v>0.92061047858461853</v>
      </c>
      <c r="L68" s="3">
        <v>0.92521353097754144</v>
      </c>
      <c r="M68" s="3">
        <v>0.92983959863242904</v>
      </c>
      <c r="N68" s="3">
        <v>0.93448879662559103</v>
      </c>
      <c r="O68" s="3">
        <v>0.93916124060871897</v>
      </c>
      <c r="P68" s="3">
        <v>0.94385704681176252</v>
      </c>
    </row>
    <row r="69" spans="1:16">
      <c r="A69" s="84" t="s">
        <v>211</v>
      </c>
      <c r="B69" s="85" t="s">
        <v>210</v>
      </c>
      <c r="C69" s="85" t="s">
        <v>79</v>
      </c>
      <c r="D69" s="84" t="s">
        <v>80</v>
      </c>
      <c r="E69" s="84">
        <f>VLOOKUP(A69,'2a. SI Pop'!$A$5:$E$198,5,FALSE)</f>
        <v>1</v>
      </c>
      <c r="F69" s="3">
        <v>0.99</v>
      </c>
      <c r="G69" s="3">
        <v>0.99</v>
      </c>
      <c r="H69" s="3">
        <v>0.99</v>
      </c>
      <c r="I69" s="3">
        <v>0.99</v>
      </c>
      <c r="J69" s="3">
        <v>0.99</v>
      </c>
      <c r="K69" s="3">
        <v>0.99</v>
      </c>
      <c r="L69" s="3">
        <v>0.99</v>
      </c>
      <c r="M69" s="3">
        <v>0.99</v>
      </c>
      <c r="N69" s="3">
        <v>0.99</v>
      </c>
      <c r="O69" s="3">
        <v>0.99</v>
      </c>
      <c r="P69" s="3">
        <v>0.99</v>
      </c>
    </row>
    <row r="70" spans="1:16">
      <c r="A70" s="84" t="s">
        <v>213</v>
      </c>
      <c r="B70" s="85" t="s">
        <v>212</v>
      </c>
      <c r="C70" s="85" t="s">
        <v>79</v>
      </c>
      <c r="D70" s="84" t="s">
        <v>87</v>
      </c>
      <c r="E70" s="84">
        <f>VLOOKUP(A70,'2a. SI Pop'!$A$5:$E$198,5,FALSE)</f>
        <v>1</v>
      </c>
      <c r="F70" s="3">
        <v>0.97</v>
      </c>
      <c r="G70" s="3">
        <v>0.97</v>
      </c>
      <c r="H70" s="3">
        <v>0.97</v>
      </c>
      <c r="I70" s="3">
        <v>0.97</v>
      </c>
      <c r="J70" s="3">
        <v>0.97</v>
      </c>
      <c r="K70" s="3">
        <v>0.97</v>
      </c>
      <c r="L70" s="3">
        <v>0.97</v>
      </c>
      <c r="M70" s="3">
        <v>0.97</v>
      </c>
      <c r="N70" s="3">
        <v>0.97</v>
      </c>
      <c r="O70" s="3">
        <v>0.97</v>
      </c>
      <c r="P70" s="3">
        <v>0.97</v>
      </c>
    </row>
    <row r="71" spans="1:16">
      <c r="A71" s="84" t="s">
        <v>215</v>
      </c>
      <c r="B71" s="85" t="s">
        <v>214</v>
      </c>
      <c r="C71" s="85" t="s">
        <v>83</v>
      </c>
      <c r="D71" s="84" t="s">
        <v>84</v>
      </c>
      <c r="E71" s="84">
        <f>VLOOKUP(A71,'2a. SI Pop'!$A$5:$E$198,5,FALSE)</f>
        <v>3</v>
      </c>
      <c r="F71" s="3">
        <v>0.95474999999999999</v>
      </c>
      <c r="G71" s="3">
        <v>0.95</v>
      </c>
      <c r="H71" s="3">
        <v>0.95474999999999999</v>
      </c>
      <c r="I71" s="3">
        <v>0.95</v>
      </c>
      <c r="J71" s="3">
        <v>0.95474999999999999</v>
      </c>
      <c r="K71" s="3">
        <v>0.95</v>
      </c>
      <c r="L71" s="3">
        <v>0.95474999999999999</v>
      </c>
      <c r="M71" s="3">
        <v>0.95</v>
      </c>
      <c r="N71" s="3">
        <v>0.95474999999999999</v>
      </c>
      <c r="O71" s="3">
        <v>0.95</v>
      </c>
      <c r="P71" s="3">
        <v>0.95474999999999999</v>
      </c>
    </row>
    <row r="72" spans="1:16">
      <c r="A72" s="84" t="s">
        <v>217</v>
      </c>
      <c r="B72" s="85" t="s">
        <v>216</v>
      </c>
      <c r="C72" s="85" t="s">
        <v>79</v>
      </c>
      <c r="D72" s="84" t="s">
        <v>87</v>
      </c>
      <c r="E72" s="84">
        <f>VLOOKUP(A72,'2a. SI Pop'!$A$5:$E$198,5,FALSE)</f>
        <v>1</v>
      </c>
      <c r="F72" s="3">
        <v>0.99</v>
      </c>
      <c r="G72" s="3">
        <v>0.99</v>
      </c>
      <c r="H72" s="3">
        <v>0.99</v>
      </c>
      <c r="I72" s="3">
        <v>0.99</v>
      </c>
      <c r="J72" s="3">
        <v>0.99</v>
      </c>
      <c r="K72" s="3">
        <v>0.99</v>
      </c>
      <c r="L72" s="3">
        <v>0.99</v>
      </c>
      <c r="M72" s="3">
        <v>0.99</v>
      </c>
      <c r="N72" s="3">
        <v>0.99</v>
      </c>
      <c r="O72" s="3">
        <v>0.99</v>
      </c>
      <c r="P72" s="3">
        <v>0.99</v>
      </c>
    </row>
    <row r="73" spans="1:16">
      <c r="A73" s="84" t="s">
        <v>219</v>
      </c>
      <c r="B73" s="85" t="s">
        <v>218</v>
      </c>
      <c r="C73" s="85" t="s">
        <v>92</v>
      </c>
      <c r="D73" s="84" t="s">
        <v>80</v>
      </c>
      <c r="E73" s="84">
        <f>VLOOKUP(A73,'2a. SI Pop'!$A$5:$E$198,5,FALSE)</f>
        <v>1</v>
      </c>
      <c r="F73" s="3">
        <v>0.99301208273893382</v>
      </c>
      <c r="G73" s="3">
        <v>0.99</v>
      </c>
      <c r="H73" s="3">
        <v>0.99</v>
      </c>
      <c r="I73" s="3">
        <v>0.99</v>
      </c>
      <c r="J73" s="3">
        <v>0.99</v>
      </c>
      <c r="K73" s="3">
        <v>0.99</v>
      </c>
      <c r="L73" s="3">
        <v>0.99</v>
      </c>
      <c r="M73" s="3">
        <v>0.99</v>
      </c>
      <c r="N73" s="3">
        <v>0.99</v>
      </c>
      <c r="O73" s="3">
        <v>0.99</v>
      </c>
      <c r="P73" s="3">
        <v>0.99</v>
      </c>
    </row>
    <row r="74" spans="1:16">
      <c r="A74" s="84" t="s">
        <v>221</v>
      </c>
      <c r="B74" s="85" t="s">
        <v>220</v>
      </c>
      <c r="C74" s="85" t="s">
        <v>92</v>
      </c>
      <c r="D74" s="84" t="s">
        <v>80</v>
      </c>
      <c r="E74" s="84">
        <f>VLOOKUP(A74,'2a. SI Pop'!$A$5:$E$198,5,FALSE)</f>
        <v>1</v>
      </c>
      <c r="F74" s="3">
        <v>0.95075624943089398</v>
      </c>
      <c r="G74" s="3">
        <v>0.95551003067804829</v>
      </c>
      <c r="H74" s="3">
        <v>0.96028758083143839</v>
      </c>
      <c r="I74" s="3">
        <v>0.96</v>
      </c>
      <c r="J74" s="3">
        <v>0.96</v>
      </c>
      <c r="K74" s="3">
        <v>0.96</v>
      </c>
      <c r="L74" s="3">
        <v>0.96</v>
      </c>
      <c r="M74" s="3">
        <v>0.96</v>
      </c>
      <c r="N74" s="3">
        <v>0.96</v>
      </c>
      <c r="O74" s="3">
        <v>0.96</v>
      </c>
      <c r="P74" s="3">
        <v>0.96</v>
      </c>
    </row>
    <row r="75" spans="1:16">
      <c r="A75" s="84" t="s">
        <v>223</v>
      </c>
      <c r="B75" s="85" t="s">
        <v>222</v>
      </c>
      <c r="C75" s="85" t="s">
        <v>83</v>
      </c>
      <c r="D75" s="84" t="s">
        <v>75</v>
      </c>
      <c r="E75" s="84">
        <f>VLOOKUP(A75,'2a. SI Pop'!$A$5:$E$198,5,FALSE)</f>
        <v>3</v>
      </c>
      <c r="F75" s="3">
        <v>0.65058991924048959</v>
      </c>
      <c r="G75" s="3">
        <v>0.67010761681770414</v>
      </c>
      <c r="H75" s="3">
        <v>0.69021084532223531</v>
      </c>
      <c r="I75" s="3">
        <v>0.7109171706819023</v>
      </c>
      <c r="J75" s="3">
        <v>0.73224468580235946</v>
      </c>
      <c r="K75" s="3">
        <v>0.75421202637643037</v>
      </c>
      <c r="L75" s="3">
        <v>0.7617541466401947</v>
      </c>
      <c r="M75" s="3">
        <v>0.76937168810659673</v>
      </c>
      <c r="N75" s="3">
        <v>0.77706540498766274</v>
      </c>
      <c r="O75" s="3">
        <v>0.78483605903753939</v>
      </c>
      <c r="P75" s="3">
        <v>0.7926844196279148</v>
      </c>
    </row>
    <row r="76" spans="1:16">
      <c r="A76" s="84" t="s">
        <v>225</v>
      </c>
      <c r="B76" s="85" t="s">
        <v>224</v>
      </c>
      <c r="C76" s="85" t="s">
        <v>83</v>
      </c>
      <c r="D76" s="84" t="s">
        <v>75</v>
      </c>
      <c r="E76" s="84">
        <f>VLOOKUP(A76,'2a. SI Pop'!$A$5:$E$198,5,FALSE)</f>
        <v>3</v>
      </c>
      <c r="F76" s="3">
        <v>0.90850041612285448</v>
      </c>
      <c r="G76" s="3">
        <v>0.91304291820346872</v>
      </c>
      <c r="H76" s="3">
        <v>0.91760813279448594</v>
      </c>
      <c r="I76" s="3">
        <v>0.92219617345845828</v>
      </c>
      <c r="J76" s="3">
        <v>0.92680715432575056</v>
      </c>
      <c r="K76" s="3">
        <v>0.93144119009737925</v>
      </c>
      <c r="L76" s="3">
        <v>0.93609839604786604</v>
      </c>
      <c r="M76" s="3">
        <v>0.94077888802810516</v>
      </c>
      <c r="N76" s="3">
        <v>0.94548278246824569</v>
      </c>
      <c r="O76" s="3">
        <v>0.95021019638058679</v>
      </c>
      <c r="P76" s="3">
        <v>0.95</v>
      </c>
    </row>
    <row r="77" spans="1:16">
      <c r="A77" s="84" t="s">
        <v>227</v>
      </c>
      <c r="B77" s="85" t="s">
        <v>226</v>
      </c>
      <c r="C77" s="85" t="s">
        <v>92</v>
      </c>
      <c r="D77" s="84" t="s">
        <v>80</v>
      </c>
      <c r="E77" s="84">
        <f>VLOOKUP(A77,'2a. SI Pop'!$A$5:$E$198,5,FALSE)</f>
        <v>2</v>
      </c>
      <c r="F77" s="3">
        <v>0.99</v>
      </c>
      <c r="G77" s="3">
        <v>0.99</v>
      </c>
      <c r="H77" s="3">
        <v>0.99</v>
      </c>
      <c r="I77" s="3">
        <v>0.99</v>
      </c>
      <c r="J77" s="3">
        <v>0.99</v>
      </c>
      <c r="K77" s="3">
        <v>0.99</v>
      </c>
      <c r="L77" s="3">
        <v>0.99</v>
      </c>
      <c r="M77" s="3">
        <v>0.99</v>
      </c>
      <c r="N77" s="3">
        <v>0.99</v>
      </c>
      <c r="O77" s="3">
        <v>0.99</v>
      </c>
      <c r="P77" s="3">
        <v>0.99</v>
      </c>
    </row>
    <row r="78" spans="1:16">
      <c r="A78" s="84" t="s">
        <v>229</v>
      </c>
      <c r="B78" s="85" t="s">
        <v>228</v>
      </c>
      <c r="C78" s="85" t="s">
        <v>92</v>
      </c>
      <c r="D78" s="84" t="s">
        <v>75</v>
      </c>
      <c r="E78" s="84">
        <f>VLOOKUP(A78,'2a. SI Pop'!$A$5:$E$198,5,FALSE)</f>
        <v>2</v>
      </c>
      <c r="F78" s="3">
        <v>0.79988531346020098</v>
      </c>
      <c r="G78" s="3">
        <v>0.807884166594803</v>
      </c>
      <c r="H78" s="3">
        <v>0.81596300826075108</v>
      </c>
      <c r="I78" s="3">
        <v>0.82412263834335864</v>
      </c>
      <c r="J78" s="3">
        <v>0.83236386472679214</v>
      </c>
      <c r="K78" s="3">
        <v>0.84068750337406006</v>
      </c>
      <c r="L78" s="3">
        <v>0.84909437840780055</v>
      </c>
      <c r="M78" s="3">
        <v>0.85758532219187855</v>
      </c>
      <c r="N78" s="3">
        <v>0.86187324880283778</v>
      </c>
      <c r="O78" s="3">
        <v>0.8661826150468519</v>
      </c>
      <c r="P78" s="3">
        <v>0.87051352812208604</v>
      </c>
    </row>
    <row r="79" spans="1:16">
      <c r="A79" s="84" t="s">
        <v>231</v>
      </c>
      <c r="B79" s="85" t="s">
        <v>230</v>
      </c>
      <c r="C79" s="85" t="s">
        <v>92</v>
      </c>
      <c r="D79" s="84" t="s">
        <v>84</v>
      </c>
      <c r="E79" s="84">
        <f>VLOOKUP(A79,'2a. SI Pop'!$A$5:$E$198,5,FALSE)</f>
        <v>1</v>
      </c>
      <c r="F79" s="3">
        <v>0.91906437444986433</v>
      </c>
      <c r="G79" s="3">
        <v>0.92365969632211364</v>
      </c>
      <c r="H79" s="3">
        <v>0.92827799480372408</v>
      </c>
      <c r="I79" s="3">
        <v>0.9329193847777425</v>
      </c>
      <c r="J79" s="3">
        <v>0.93758398170163115</v>
      </c>
      <c r="K79" s="3">
        <v>0.94227190161013918</v>
      </c>
      <c r="L79" s="3">
        <v>0.94698326111818987</v>
      </c>
      <c r="M79" s="3">
        <v>0.95171817742378062</v>
      </c>
      <c r="N79" s="3">
        <v>0.95647676831089956</v>
      </c>
      <c r="O79" s="3">
        <v>0.96125915215245394</v>
      </c>
      <c r="P79" s="3">
        <v>0.96606544791321614</v>
      </c>
    </row>
    <row r="80" spans="1:16">
      <c r="A80" s="84" t="s">
        <v>233</v>
      </c>
      <c r="B80" s="85" t="s">
        <v>232</v>
      </c>
      <c r="C80" s="85" t="s">
        <v>79</v>
      </c>
      <c r="D80" s="84" t="s">
        <v>87</v>
      </c>
      <c r="E80" s="84">
        <f>VLOOKUP(A80,'2a. SI Pop'!$A$5:$E$198,5,FALSE)</f>
        <v>1</v>
      </c>
      <c r="F80" s="3">
        <v>0.99</v>
      </c>
      <c r="G80" s="3">
        <v>0.99</v>
      </c>
      <c r="H80" s="3">
        <v>0.99</v>
      </c>
      <c r="I80" s="3">
        <v>0.99</v>
      </c>
      <c r="J80" s="3">
        <v>0.99</v>
      </c>
      <c r="K80" s="3">
        <v>0.99</v>
      </c>
      <c r="L80" s="3">
        <v>0.99</v>
      </c>
      <c r="M80" s="3">
        <v>0.99</v>
      </c>
      <c r="N80" s="3">
        <v>0.99</v>
      </c>
      <c r="O80" s="3">
        <v>0.99</v>
      </c>
      <c r="P80" s="3">
        <v>0.99</v>
      </c>
    </row>
    <row r="81" spans="1:16">
      <c r="A81" s="84" t="s">
        <v>235</v>
      </c>
      <c r="B81" s="85" t="s">
        <v>234</v>
      </c>
      <c r="C81" s="85" t="s">
        <v>79</v>
      </c>
      <c r="D81" s="84" t="s">
        <v>87</v>
      </c>
      <c r="E81" s="84">
        <f>VLOOKUP(A81,'2a. SI Pop'!$A$5:$E$198,5,FALSE)</f>
        <v>1</v>
      </c>
      <c r="F81" s="3">
        <v>0.96</v>
      </c>
      <c r="G81" s="3">
        <v>0.96</v>
      </c>
      <c r="H81" s="3">
        <v>0.96</v>
      </c>
      <c r="I81" s="3">
        <v>0.96</v>
      </c>
      <c r="J81" s="3">
        <v>0.96</v>
      </c>
      <c r="K81" s="3">
        <v>0.96</v>
      </c>
      <c r="L81" s="3">
        <v>0.96</v>
      </c>
      <c r="M81" s="3">
        <v>0.96</v>
      </c>
      <c r="N81" s="3">
        <v>0.96</v>
      </c>
      <c r="O81" s="3">
        <v>0.96</v>
      </c>
      <c r="P81" s="3">
        <v>0.96</v>
      </c>
    </row>
    <row r="82" spans="1:16">
      <c r="A82" s="84" t="s">
        <v>237</v>
      </c>
      <c r="B82" s="85" t="s">
        <v>236</v>
      </c>
      <c r="C82" s="85" t="s">
        <v>110</v>
      </c>
      <c r="D82" s="84" t="s">
        <v>84</v>
      </c>
      <c r="E82" s="84" t="str">
        <f>VLOOKUP(A82,'2a. SI Pop'!$A$5:$E$198,5,FALSE)</f>
        <v>Key</v>
      </c>
      <c r="F82" s="3">
        <v>0.95474999999999999</v>
      </c>
      <c r="G82" s="3">
        <v>0.95</v>
      </c>
      <c r="H82" s="3">
        <v>0.95474999999999999</v>
      </c>
      <c r="I82" s="3">
        <v>0.95</v>
      </c>
      <c r="J82" s="3">
        <v>0.95474999999999999</v>
      </c>
      <c r="K82" s="3">
        <v>0.95</v>
      </c>
      <c r="L82" s="3">
        <v>0.95474999999999999</v>
      </c>
      <c r="M82" s="3">
        <v>0.95</v>
      </c>
      <c r="N82" s="3">
        <v>0.95474999999999999</v>
      </c>
      <c r="O82" s="3">
        <v>0.95</v>
      </c>
      <c r="P82" s="3">
        <v>0.95474999999999999</v>
      </c>
    </row>
    <row r="83" spans="1:16">
      <c r="A83" s="84" t="s">
        <v>239</v>
      </c>
      <c r="B83" s="85" t="s">
        <v>238</v>
      </c>
      <c r="C83" s="85" t="s">
        <v>110</v>
      </c>
      <c r="D83" s="84" t="s">
        <v>80</v>
      </c>
      <c r="E83" s="84" t="str">
        <f>VLOOKUP(A83,'2a. SI Pop'!$A$5:$E$198,5,FALSE)</f>
        <v>Key</v>
      </c>
      <c r="F83" s="3">
        <v>0.92962833277687418</v>
      </c>
      <c r="G83" s="3">
        <v>0.93427647444075845</v>
      </c>
      <c r="H83" s="3">
        <v>0.93894785681296211</v>
      </c>
      <c r="I83" s="3">
        <v>0.94364259609702683</v>
      </c>
      <c r="J83" s="3">
        <v>0.94836080907751186</v>
      </c>
      <c r="K83" s="3">
        <v>0.95310261312289923</v>
      </c>
      <c r="L83" s="3">
        <v>0.95</v>
      </c>
      <c r="M83" s="3">
        <v>0.95</v>
      </c>
      <c r="N83" s="3">
        <v>0.95</v>
      </c>
      <c r="O83" s="3">
        <v>0.95</v>
      </c>
      <c r="P83" s="3">
        <v>0.95</v>
      </c>
    </row>
    <row r="84" spans="1:16">
      <c r="A84" s="84" t="s">
        <v>241</v>
      </c>
      <c r="B84" s="85" t="s">
        <v>240</v>
      </c>
      <c r="C84" s="85" t="s">
        <v>74</v>
      </c>
      <c r="D84" s="84" t="s">
        <v>80</v>
      </c>
      <c r="E84" s="84">
        <f>VLOOKUP(A84,'2a. SI Pop'!$A$5:$E$198,5,FALSE)</f>
        <v>2</v>
      </c>
      <c r="F84" s="3">
        <v>0.99</v>
      </c>
      <c r="G84" s="3">
        <v>0.99</v>
      </c>
      <c r="H84" s="3">
        <v>0.99</v>
      </c>
      <c r="I84" s="3">
        <v>0.99</v>
      </c>
      <c r="J84" s="3">
        <v>0.99</v>
      </c>
      <c r="K84" s="3">
        <v>0.99</v>
      </c>
      <c r="L84" s="3">
        <v>0.99</v>
      </c>
      <c r="M84" s="3">
        <v>0.99</v>
      </c>
      <c r="N84" s="3">
        <v>0.99</v>
      </c>
      <c r="O84" s="3">
        <v>0.99</v>
      </c>
      <c r="P84" s="3">
        <v>0.99</v>
      </c>
    </row>
    <row r="85" spans="1:16">
      <c r="A85" s="84" t="s">
        <v>243</v>
      </c>
      <c r="B85" s="85" t="s">
        <v>242</v>
      </c>
      <c r="C85" s="85" t="s">
        <v>74</v>
      </c>
      <c r="D85" s="84" t="s">
        <v>80</v>
      </c>
      <c r="E85" s="84">
        <f>VLOOKUP(A85,'2a. SI Pop'!$A$5:$E$198,5,FALSE)</f>
        <v>2</v>
      </c>
      <c r="F85" s="3">
        <v>0.88361235520211567</v>
      </c>
      <c r="G85" s="3">
        <v>0.88803041697812612</v>
      </c>
      <c r="H85" s="3">
        <v>0.89247056906301669</v>
      </c>
      <c r="I85" s="3">
        <v>0.89693292190833163</v>
      </c>
      <c r="J85" s="3">
        <v>0.90141758651787318</v>
      </c>
      <c r="K85" s="3">
        <v>0.90592467445046243</v>
      </c>
      <c r="L85" s="3">
        <v>0.91045429782271459</v>
      </c>
      <c r="M85" s="3">
        <v>0.915006569311828</v>
      </c>
      <c r="N85" s="3">
        <v>0.91958160215838702</v>
      </c>
      <c r="O85" s="3">
        <v>0.92417951016917887</v>
      </c>
      <c r="P85" s="3">
        <v>0.92880040772002459</v>
      </c>
    </row>
    <row r="86" spans="1:16">
      <c r="A86" s="84" t="s">
        <v>245</v>
      </c>
      <c r="B86" s="85" t="s">
        <v>244</v>
      </c>
      <c r="C86" s="85" t="s">
        <v>79</v>
      </c>
      <c r="D86" s="84" t="s">
        <v>87</v>
      </c>
      <c r="E86" s="84">
        <f>VLOOKUP(A86,'2a. SI Pop'!$A$5:$E$198,5,FALSE)</f>
        <v>1</v>
      </c>
      <c r="F86" s="3">
        <v>0.93464999999999987</v>
      </c>
      <c r="G86" s="3">
        <v>0.93932324999999972</v>
      </c>
      <c r="H86" s="3">
        <v>0.94401986624999967</v>
      </c>
      <c r="I86" s="3">
        <v>0.94873996558124962</v>
      </c>
      <c r="J86" s="3">
        <v>0.95348366540915575</v>
      </c>
      <c r="K86" s="3">
        <v>0.95</v>
      </c>
      <c r="L86" s="3">
        <v>0.95</v>
      </c>
      <c r="M86" s="3">
        <v>0.95</v>
      </c>
      <c r="N86" s="3">
        <v>0.95</v>
      </c>
      <c r="O86" s="3">
        <v>0.95</v>
      </c>
      <c r="P86" s="3">
        <v>0.95474999999999999</v>
      </c>
    </row>
    <row r="87" spans="1:16">
      <c r="A87" s="84" t="s">
        <v>247</v>
      </c>
      <c r="B87" s="85" t="s">
        <v>246</v>
      </c>
      <c r="C87" s="85" t="s">
        <v>79</v>
      </c>
      <c r="D87" s="84" t="s">
        <v>87</v>
      </c>
      <c r="E87" s="84">
        <f>VLOOKUP(A87,'2a. SI Pop'!$A$5:$E$198,5,FALSE)</f>
        <v>1</v>
      </c>
      <c r="F87" s="3">
        <v>0.98</v>
      </c>
      <c r="G87" s="3">
        <v>0.98</v>
      </c>
      <c r="H87" s="3">
        <v>0.98</v>
      </c>
      <c r="I87" s="3">
        <v>0.98</v>
      </c>
      <c r="J87" s="3">
        <v>0.98</v>
      </c>
      <c r="K87" s="3">
        <v>0.98</v>
      </c>
      <c r="L87" s="3">
        <v>0.98</v>
      </c>
      <c r="M87" s="3">
        <v>0.98</v>
      </c>
      <c r="N87" s="3">
        <v>0.98</v>
      </c>
      <c r="O87" s="3">
        <v>0.98</v>
      </c>
      <c r="P87" s="3">
        <v>0.98</v>
      </c>
    </row>
    <row r="88" spans="1:16">
      <c r="A88" s="84" t="s">
        <v>249</v>
      </c>
      <c r="B88" s="85" t="s">
        <v>248</v>
      </c>
      <c r="C88" s="85" t="s">
        <v>79</v>
      </c>
      <c r="D88" s="84" t="s">
        <v>87</v>
      </c>
      <c r="E88" s="84">
        <f>VLOOKUP(A88,'2a. SI Pop'!$A$5:$E$198,5,FALSE)</f>
        <v>1</v>
      </c>
      <c r="F88" s="3">
        <v>0.95</v>
      </c>
      <c r="G88" s="3">
        <v>0.95</v>
      </c>
      <c r="H88" s="3">
        <v>0.95</v>
      </c>
      <c r="I88" s="3">
        <v>0.95</v>
      </c>
      <c r="J88" s="3">
        <v>0.95</v>
      </c>
      <c r="K88" s="3">
        <v>0.95</v>
      </c>
      <c r="L88" s="3">
        <v>0.95</v>
      </c>
      <c r="M88" s="3">
        <v>0.95</v>
      </c>
      <c r="N88" s="3">
        <v>0.95</v>
      </c>
      <c r="O88" s="3">
        <v>0.95</v>
      </c>
      <c r="P88" s="3">
        <v>0.95</v>
      </c>
    </row>
    <row r="89" spans="1:16">
      <c r="A89" s="84" t="s">
        <v>251</v>
      </c>
      <c r="B89" s="85" t="s">
        <v>250</v>
      </c>
      <c r="C89" s="85" t="s">
        <v>92</v>
      </c>
      <c r="D89" s="84" t="s">
        <v>80</v>
      </c>
      <c r="E89" s="84">
        <f>VLOOKUP(A89,'2a. SI Pop'!$A$5:$E$198,5,FALSE)</f>
        <v>1</v>
      </c>
      <c r="F89" s="3">
        <v>0.95474999999999999</v>
      </c>
      <c r="G89" s="3">
        <v>0.95</v>
      </c>
      <c r="H89" s="3">
        <v>0.95474999999999999</v>
      </c>
      <c r="I89" s="3">
        <v>0.95</v>
      </c>
      <c r="J89" s="3">
        <v>0.95474999999999999</v>
      </c>
      <c r="K89" s="3">
        <v>0.95</v>
      </c>
      <c r="L89" s="3">
        <v>0.95474999999999999</v>
      </c>
      <c r="M89" s="3">
        <v>0.95</v>
      </c>
      <c r="N89" s="3">
        <v>0.95474999999999999</v>
      </c>
      <c r="O89" s="3">
        <v>0.95</v>
      </c>
      <c r="P89" s="3">
        <v>0.95474999999999999</v>
      </c>
    </row>
    <row r="90" spans="1:16">
      <c r="A90" s="84" t="s">
        <v>253</v>
      </c>
      <c r="B90" s="85" t="s">
        <v>252</v>
      </c>
      <c r="C90" s="85" t="s">
        <v>99</v>
      </c>
      <c r="D90" s="84" t="s">
        <v>87</v>
      </c>
      <c r="E90" s="84">
        <f>VLOOKUP(A90,'2a. SI Pop'!$A$5:$E$198,5,FALSE)</f>
        <v>4</v>
      </c>
      <c r="F90" s="3">
        <v>0.98</v>
      </c>
      <c r="G90" s="3">
        <v>0.98</v>
      </c>
      <c r="H90" s="3">
        <v>0.98</v>
      </c>
      <c r="I90" s="3">
        <v>0.98</v>
      </c>
      <c r="J90" s="3">
        <v>0.98</v>
      </c>
      <c r="K90" s="3">
        <v>0.98</v>
      </c>
      <c r="L90" s="3">
        <v>0.98</v>
      </c>
      <c r="M90" s="3">
        <v>0.98</v>
      </c>
      <c r="N90" s="3">
        <v>0.98</v>
      </c>
      <c r="O90" s="3">
        <v>0.98</v>
      </c>
      <c r="P90" s="3">
        <v>0.98</v>
      </c>
    </row>
    <row r="91" spans="1:16">
      <c r="A91" s="84" t="s">
        <v>255</v>
      </c>
      <c r="B91" s="85" t="s">
        <v>254</v>
      </c>
      <c r="C91" s="85" t="s">
        <v>74</v>
      </c>
      <c r="D91" s="84" t="s">
        <v>80</v>
      </c>
      <c r="E91" s="84">
        <f>VLOOKUP(A91,'2a. SI Pop'!$A$5:$E$198,5,FALSE)</f>
        <v>2</v>
      </c>
      <c r="F91" s="3">
        <v>0.91906437444986433</v>
      </c>
      <c r="G91" s="3">
        <v>0.92365969632211364</v>
      </c>
      <c r="H91" s="3">
        <v>0.92827799480372408</v>
      </c>
      <c r="I91" s="3">
        <v>0.9329193847777425</v>
      </c>
      <c r="J91" s="3">
        <v>0.93758398170163115</v>
      </c>
      <c r="K91" s="3">
        <v>0.94227190161013918</v>
      </c>
      <c r="L91" s="3">
        <v>0.94698326111818987</v>
      </c>
      <c r="M91" s="3">
        <v>0.95171817742378062</v>
      </c>
      <c r="N91" s="3">
        <v>0.95647676831089956</v>
      </c>
      <c r="O91" s="3">
        <v>0.96125915215245394</v>
      </c>
      <c r="P91" s="3">
        <v>0.96606544791321614</v>
      </c>
    </row>
    <row r="92" spans="1:16">
      <c r="A92" s="84" t="s">
        <v>257</v>
      </c>
      <c r="B92" s="85" t="s">
        <v>256</v>
      </c>
      <c r="C92" s="85" t="s">
        <v>79</v>
      </c>
      <c r="D92" s="84" t="s">
        <v>80</v>
      </c>
      <c r="E92" s="84">
        <f>VLOOKUP(A92,'2a. SI Pop'!$A$5:$E$198,5,FALSE)</f>
        <v>2</v>
      </c>
      <c r="F92" s="3">
        <v>0.99</v>
      </c>
      <c r="G92" s="3">
        <v>0.99</v>
      </c>
      <c r="H92" s="3">
        <v>0.99</v>
      </c>
      <c r="I92" s="3">
        <v>0.99</v>
      </c>
      <c r="J92" s="3">
        <v>0.99</v>
      </c>
      <c r="K92" s="3">
        <v>0.99</v>
      </c>
      <c r="L92" s="3">
        <v>0.99</v>
      </c>
      <c r="M92" s="3">
        <v>0.99</v>
      </c>
      <c r="N92" s="3">
        <v>0.99</v>
      </c>
      <c r="O92" s="3">
        <v>0.99</v>
      </c>
      <c r="P92" s="3">
        <v>0.99</v>
      </c>
    </row>
    <row r="93" spans="1:16">
      <c r="A93" s="84" t="s">
        <v>259</v>
      </c>
      <c r="B93" s="85" t="s">
        <v>258</v>
      </c>
      <c r="C93" s="85" t="s">
        <v>83</v>
      </c>
      <c r="D93" s="84" t="s">
        <v>84</v>
      </c>
      <c r="E93" s="84">
        <f>VLOOKUP(A93,'2a. SI Pop'!$A$5:$E$198,5,FALSE)</f>
        <v>3</v>
      </c>
      <c r="F93" s="3">
        <v>0.94019229110388391</v>
      </c>
      <c r="G93" s="3">
        <v>0.94489325255940326</v>
      </c>
      <c r="H93" s="3">
        <v>0.94961771882220025</v>
      </c>
      <c r="I93" s="3">
        <v>0.95436580741631105</v>
      </c>
      <c r="J93" s="3">
        <v>0.95913763645339245</v>
      </c>
      <c r="K93" s="3">
        <v>0.96393332463565928</v>
      </c>
      <c r="L93" s="3">
        <v>0.96</v>
      </c>
      <c r="M93" s="3">
        <v>0.96</v>
      </c>
      <c r="N93" s="3">
        <v>0.96</v>
      </c>
      <c r="O93" s="3">
        <v>0.96</v>
      </c>
      <c r="P93" s="3">
        <v>0.96</v>
      </c>
    </row>
    <row r="94" spans="1:16">
      <c r="A94" s="84" t="s">
        <v>261</v>
      </c>
      <c r="B94" s="85" t="s">
        <v>260</v>
      </c>
      <c r="C94" s="85" t="s">
        <v>99</v>
      </c>
      <c r="D94" s="84" t="s">
        <v>84</v>
      </c>
      <c r="E94" s="84">
        <f>VLOOKUP(A94,'2a. SI Pop'!$A$5:$E$198,5,FALSE)</f>
        <v>4</v>
      </c>
      <c r="F94" s="3">
        <v>0.95</v>
      </c>
      <c r="G94" s="3">
        <v>0.95</v>
      </c>
      <c r="H94" s="3">
        <v>0.95</v>
      </c>
      <c r="I94" s="3">
        <v>0.95</v>
      </c>
      <c r="J94" s="3">
        <v>0.95</v>
      </c>
      <c r="K94" s="3">
        <v>0.95</v>
      </c>
      <c r="L94" s="3">
        <v>0.95</v>
      </c>
      <c r="M94" s="3">
        <v>0.95</v>
      </c>
      <c r="N94" s="3">
        <v>0.95</v>
      </c>
      <c r="O94" s="3">
        <v>0.95</v>
      </c>
      <c r="P94" s="3">
        <v>0.95</v>
      </c>
    </row>
    <row r="95" spans="1:16">
      <c r="A95" s="84" t="s">
        <v>263</v>
      </c>
      <c r="B95" s="85" t="s">
        <v>262</v>
      </c>
      <c r="C95" s="85" t="s">
        <v>99</v>
      </c>
      <c r="D95" s="84" t="s">
        <v>87</v>
      </c>
      <c r="E95" s="84">
        <f>VLOOKUP(A95,'2a. SI Pop'!$A$5:$E$198,5,FALSE)</f>
        <v>1</v>
      </c>
      <c r="F95" s="3">
        <v>0.99</v>
      </c>
      <c r="G95" s="3">
        <v>0.99</v>
      </c>
      <c r="H95" s="3">
        <v>0.99</v>
      </c>
      <c r="I95" s="3">
        <v>0.99</v>
      </c>
      <c r="J95" s="3">
        <v>0.99</v>
      </c>
      <c r="K95" s="3">
        <v>0.99</v>
      </c>
      <c r="L95" s="3">
        <v>0.99</v>
      </c>
      <c r="M95" s="3">
        <v>0.99</v>
      </c>
      <c r="N95" s="3">
        <v>0.99</v>
      </c>
      <c r="O95" s="3">
        <v>0.99</v>
      </c>
      <c r="P95" s="3">
        <v>0.99</v>
      </c>
    </row>
    <row r="96" spans="1:16">
      <c r="A96" s="84" t="s">
        <v>265</v>
      </c>
      <c r="B96" s="85" t="s">
        <v>264</v>
      </c>
      <c r="C96" s="85" t="s">
        <v>74</v>
      </c>
      <c r="D96" s="84" t="s">
        <v>87</v>
      </c>
      <c r="E96" s="84">
        <f>VLOOKUP(A96,'2a. SI Pop'!$A$5:$E$198,5,FALSE)</f>
        <v>1</v>
      </c>
      <c r="F96" s="3">
        <v>0.99</v>
      </c>
      <c r="G96" s="3">
        <v>0.99</v>
      </c>
      <c r="H96" s="3">
        <v>0.99</v>
      </c>
      <c r="I96" s="3">
        <v>0.99</v>
      </c>
      <c r="J96" s="3">
        <v>0.99</v>
      </c>
      <c r="K96" s="3">
        <v>0.99</v>
      </c>
      <c r="L96" s="3">
        <v>0.99</v>
      </c>
      <c r="M96" s="3">
        <v>0.99</v>
      </c>
      <c r="N96" s="3">
        <v>0.99</v>
      </c>
      <c r="O96" s="3">
        <v>0.99</v>
      </c>
      <c r="P96" s="3">
        <v>0.99</v>
      </c>
    </row>
    <row r="97" spans="1:16">
      <c r="A97" s="84" t="s">
        <v>267</v>
      </c>
      <c r="B97" s="85" t="s">
        <v>266</v>
      </c>
      <c r="C97" s="85" t="s">
        <v>79</v>
      </c>
      <c r="D97" s="84" t="s">
        <v>84</v>
      </c>
      <c r="E97" s="84">
        <f>VLOOKUP(A97,'2a. SI Pop'!$A$5:$E$198,5,FALSE)</f>
        <v>1</v>
      </c>
      <c r="F97" s="3">
        <v>0.99</v>
      </c>
      <c r="G97" s="3">
        <v>0.99</v>
      </c>
      <c r="H97" s="3">
        <v>0.99</v>
      </c>
      <c r="I97" s="3">
        <v>0.99</v>
      </c>
      <c r="J97" s="3">
        <v>0.99</v>
      </c>
      <c r="K97" s="3">
        <v>0.99</v>
      </c>
      <c r="L97" s="3">
        <v>0.99</v>
      </c>
      <c r="M97" s="3">
        <v>0.99</v>
      </c>
      <c r="N97" s="3">
        <v>0.99</v>
      </c>
      <c r="O97" s="3">
        <v>0.99</v>
      </c>
      <c r="P97" s="3">
        <v>0.99</v>
      </c>
    </row>
    <row r="98" spans="1:16">
      <c r="A98" s="84" t="s">
        <v>269</v>
      </c>
      <c r="B98" s="85" t="s">
        <v>268</v>
      </c>
      <c r="C98" s="85" t="s">
        <v>99</v>
      </c>
      <c r="D98" s="84" t="s">
        <v>84</v>
      </c>
      <c r="E98" s="84">
        <f>VLOOKUP(A98,'2a. SI Pop'!$A$5:$E$198,5,FALSE)</f>
        <v>4</v>
      </c>
      <c r="F98" s="3">
        <v>0.81645406396589026</v>
      </c>
      <c r="G98" s="3">
        <v>0.82461860460554914</v>
      </c>
      <c r="H98" s="3">
        <v>0.83286479065160468</v>
      </c>
      <c r="I98" s="3">
        <v>0.84119343855812079</v>
      </c>
      <c r="J98" s="3">
        <v>0.84960537294370198</v>
      </c>
      <c r="K98" s="3">
        <v>0.85810142667313893</v>
      </c>
      <c r="L98" s="3">
        <v>0.86239193380650458</v>
      </c>
      <c r="M98" s="3">
        <v>0.86670389347553711</v>
      </c>
      <c r="N98" s="3">
        <v>0.8710374129429147</v>
      </c>
      <c r="O98" s="3">
        <v>0.87539260000762908</v>
      </c>
      <c r="P98" s="3">
        <v>0.87976956300766718</v>
      </c>
    </row>
    <row r="99" spans="1:16">
      <c r="A99" s="84" t="s">
        <v>271</v>
      </c>
      <c r="B99" s="85" t="s">
        <v>270</v>
      </c>
      <c r="C99" s="85" t="s">
        <v>79</v>
      </c>
      <c r="D99" s="84" t="s">
        <v>87</v>
      </c>
      <c r="E99" s="84">
        <f>VLOOKUP(A99,'2a. SI Pop'!$A$5:$E$198,5,FALSE)</f>
        <v>1</v>
      </c>
      <c r="F99" s="3">
        <v>0.99</v>
      </c>
      <c r="G99" s="3">
        <v>0.99</v>
      </c>
      <c r="H99" s="3">
        <v>0.99</v>
      </c>
      <c r="I99" s="3">
        <v>0.99</v>
      </c>
      <c r="J99" s="3">
        <v>0.99</v>
      </c>
      <c r="K99" s="3">
        <v>0.99</v>
      </c>
      <c r="L99" s="3">
        <v>0.99</v>
      </c>
      <c r="M99" s="3">
        <v>0.99</v>
      </c>
      <c r="N99" s="3">
        <v>0.99</v>
      </c>
      <c r="O99" s="3">
        <v>0.99</v>
      </c>
      <c r="P99" s="3">
        <v>0.99</v>
      </c>
    </row>
    <row r="100" spans="1:16">
      <c r="A100" s="84" t="s">
        <v>273</v>
      </c>
      <c r="B100" s="85" t="s">
        <v>272</v>
      </c>
      <c r="C100" s="85" t="s">
        <v>74</v>
      </c>
      <c r="D100" s="84" t="s">
        <v>80</v>
      </c>
      <c r="E100" s="84">
        <f>VLOOKUP(A100,'2a. SI Pop'!$A$5:$E$198,5,FALSE)</f>
        <v>2</v>
      </c>
      <c r="F100" s="3">
        <v>0.88361235520211567</v>
      </c>
      <c r="G100" s="3">
        <v>0.88803041697812612</v>
      </c>
      <c r="H100" s="3">
        <v>0.89247056906301669</v>
      </c>
      <c r="I100" s="3">
        <v>0.89693292190833163</v>
      </c>
      <c r="J100" s="3">
        <v>0.90141758651787318</v>
      </c>
      <c r="K100" s="3">
        <v>0.90592467445046243</v>
      </c>
      <c r="L100" s="3">
        <v>0.91045429782271459</v>
      </c>
      <c r="M100" s="3">
        <v>0.915006569311828</v>
      </c>
      <c r="N100" s="3">
        <v>0.91958160215838702</v>
      </c>
      <c r="O100" s="3">
        <v>0.92417951016917887</v>
      </c>
      <c r="P100" s="3">
        <v>0.92880040772002459</v>
      </c>
    </row>
    <row r="101" spans="1:16">
      <c r="A101" s="84" t="s">
        <v>275</v>
      </c>
      <c r="B101" s="85" t="s">
        <v>274</v>
      </c>
      <c r="C101" s="85" t="s">
        <v>83</v>
      </c>
      <c r="D101" s="84" t="s">
        <v>84</v>
      </c>
      <c r="E101" s="84">
        <f>VLOOKUP(A101,'2a. SI Pop'!$A$5:$E$198,5,FALSE)</f>
        <v>3</v>
      </c>
      <c r="F101" s="3">
        <v>0.95075624943089398</v>
      </c>
      <c r="G101" s="3">
        <v>0.95</v>
      </c>
      <c r="H101" s="3">
        <v>0.95</v>
      </c>
      <c r="I101" s="3">
        <v>0.95</v>
      </c>
      <c r="J101" s="3">
        <v>0.95</v>
      </c>
      <c r="K101" s="3">
        <v>0.95</v>
      </c>
      <c r="L101" s="3">
        <v>0.95</v>
      </c>
      <c r="M101" s="3">
        <v>0.95</v>
      </c>
      <c r="N101" s="3">
        <v>0.95</v>
      </c>
      <c r="O101" s="3">
        <v>0.95</v>
      </c>
      <c r="P101" s="3">
        <v>0.95</v>
      </c>
    </row>
    <row r="102" spans="1:16">
      <c r="A102" s="84" t="s">
        <v>277</v>
      </c>
      <c r="B102" s="85" t="s">
        <v>276</v>
      </c>
      <c r="C102" s="85" t="s">
        <v>83</v>
      </c>
      <c r="D102" s="84" t="s">
        <v>75</v>
      </c>
      <c r="E102" s="84">
        <f>VLOOKUP(A102,'2a. SI Pop'!$A$5:$E$198,5,FALSE)</f>
        <v>3</v>
      </c>
      <c r="F102" s="3">
        <v>0.89793645779584419</v>
      </c>
      <c r="G102" s="3">
        <v>0.90242614008482336</v>
      </c>
      <c r="H102" s="3">
        <v>0.90693827078524736</v>
      </c>
      <c r="I102" s="3">
        <v>0.91147296213917339</v>
      </c>
      <c r="J102" s="3">
        <v>0.91603032694986919</v>
      </c>
      <c r="K102" s="3">
        <v>0.92061047858461853</v>
      </c>
      <c r="L102" s="3">
        <v>0.92521353097754144</v>
      </c>
      <c r="M102" s="3">
        <v>0.92983959863242904</v>
      </c>
      <c r="N102" s="3">
        <v>0.93448879662559103</v>
      </c>
      <c r="O102" s="3">
        <v>0.93916124060871897</v>
      </c>
      <c r="P102" s="3">
        <v>0.94385704681176252</v>
      </c>
    </row>
    <row r="103" spans="1:16">
      <c r="A103" s="84" t="s">
        <v>279</v>
      </c>
      <c r="B103" s="85" t="s">
        <v>278</v>
      </c>
      <c r="C103" s="85" t="s">
        <v>74</v>
      </c>
      <c r="D103" s="84" t="s">
        <v>80</v>
      </c>
      <c r="E103" s="84">
        <f>VLOOKUP(A103,'2a. SI Pop'!$A$5:$E$198,5,FALSE)</f>
        <v>2</v>
      </c>
      <c r="F103" s="3">
        <v>0.83056537609668479</v>
      </c>
      <c r="G103" s="3">
        <v>0.83887102985765172</v>
      </c>
      <c r="H103" s="3">
        <v>0.84725974015622829</v>
      </c>
      <c r="I103" s="3">
        <v>0.85573233755779055</v>
      </c>
      <c r="J103" s="3">
        <v>0.86001099924557944</v>
      </c>
      <c r="K103" s="3">
        <v>0.86431105424180732</v>
      </c>
      <c r="L103" s="3">
        <v>0.86863260951301624</v>
      </c>
      <c r="M103" s="3">
        <v>0.87297577256058123</v>
      </c>
      <c r="N103" s="3">
        <v>0.87734065142338391</v>
      </c>
      <c r="O103" s="3">
        <v>0.88172735468050079</v>
      </c>
      <c r="P103" s="3">
        <v>0.8861359914539032</v>
      </c>
    </row>
    <row r="104" spans="1:16">
      <c r="A104" s="84" t="s">
        <v>281</v>
      </c>
      <c r="B104" s="85" t="s">
        <v>280</v>
      </c>
      <c r="C104" s="85" t="s">
        <v>79</v>
      </c>
      <c r="D104" s="84" t="s">
        <v>87</v>
      </c>
      <c r="E104" s="84">
        <f>VLOOKUP(A104,'2a. SI Pop'!$A$5:$E$198,5,FALSE)</f>
        <v>1</v>
      </c>
      <c r="F104" s="3">
        <v>0.98244812441192375</v>
      </c>
      <c r="G104" s="3">
        <v>0.98</v>
      </c>
      <c r="H104" s="3">
        <v>0.98</v>
      </c>
      <c r="I104" s="3">
        <v>0.98</v>
      </c>
      <c r="J104" s="3">
        <v>0.98</v>
      </c>
      <c r="K104" s="3">
        <v>0.98</v>
      </c>
      <c r="L104" s="3">
        <v>0.98</v>
      </c>
      <c r="M104" s="3">
        <v>0.98</v>
      </c>
      <c r="N104" s="3">
        <v>0.98</v>
      </c>
      <c r="O104" s="3">
        <v>0.98</v>
      </c>
      <c r="P104" s="3">
        <v>0.98</v>
      </c>
    </row>
    <row r="105" spans="1:16">
      <c r="A105" s="84" t="s">
        <v>283</v>
      </c>
      <c r="B105" s="85" t="s">
        <v>282</v>
      </c>
      <c r="C105" s="85" t="s">
        <v>79</v>
      </c>
      <c r="D105" s="84" t="s">
        <v>87</v>
      </c>
      <c r="E105" s="84">
        <f>VLOOKUP(A105,'2a. SI Pop'!$A$5:$E$198,5,FALSE)</f>
        <v>1</v>
      </c>
      <c r="F105" s="3">
        <v>0.99</v>
      </c>
      <c r="G105" s="3">
        <v>0.99</v>
      </c>
      <c r="H105" s="3">
        <v>0.99</v>
      </c>
      <c r="I105" s="3">
        <v>0.99</v>
      </c>
      <c r="J105" s="3">
        <v>0.99</v>
      </c>
      <c r="K105" s="3">
        <v>0.99</v>
      </c>
      <c r="L105" s="3">
        <v>0.99</v>
      </c>
      <c r="M105" s="3">
        <v>0.99</v>
      </c>
      <c r="N105" s="3">
        <v>0.99</v>
      </c>
      <c r="O105" s="3">
        <v>0.99</v>
      </c>
      <c r="P105" s="3">
        <v>0.99</v>
      </c>
    </row>
    <row r="106" spans="1:16">
      <c r="A106" s="84" t="s">
        <v>285</v>
      </c>
      <c r="B106" s="85" t="s">
        <v>284</v>
      </c>
      <c r="C106" s="85" t="s">
        <v>79</v>
      </c>
      <c r="D106" s="84" t="s">
        <v>80</v>
      </c>
      <c r="E106" s="84">
        <f>VLOOKUP(A106,'2a. SI Pop'!$A$5:$E$198,5,FALSE)</f>
        <v>1</v>
      </c>
      <c r="F106" s="3">
        <v>0.85332059188015574</v>
      </c>
      <c r="G106" s="3">
        <v>0.85758719483955648</v>
      </c>
      <c r="H106" s="3">
        <v>0.86187513081375411</v>
      </c>
      <c r="I106" s="3">
        <v>0.86618450646782275</v>
      </c>
      <c r="J106" s="3">
        <v>0.87051542900016188</v>
      </c>
      <c r="K106" s="3">
        <v>0.87486800614516258</v>
      </c>
      <c r="L106" s="3">
        <v>0.87924234617588826</v>
      </c>
      <c r="M106" s="3">
        <v>0.88363855790676749</v>
      </c>
      <c r="N106" s="3">
        <v>0.8880567506963013</v>
      </c>
      <c r="O106" s="3">
        <v>0.89249703444978268</v>
      </c>
      <c r="P106" s="3">
        <v>0.89695951962203158</v>
      </c>
    </row>
    <row r="107" spans="1:16">
      <c r="A107" s="84" t="s">
        <v>287</v>
      </c>
      <c r="B107" s="85" t="s">
        <v>286</v>
      </c>
      <c r="C107" s="85" t="s">
        <v>83</v>
      </c>
      <c r="D107" s="84" t="s">
        <v>75</v>
      </c>
      <c r="E107" s="84">
        <f>VLOOKUP(A107,'2a. SI Pop'!$A$5:$E$198,5,FALSE)</f>
        <v>3</v>
      </c>
      <c r="F107" s="3">
        <v>0.81645406396589026</v>
      </c>
      <c r="G107" s="3">
        <v>0.82461860460554914</v>
      </c>
      <c r="H107" s="3">
        <v>0.83286479065160468</v>
      </c>
      <c r="I107" s="3">
        <v>0.84119343855812079</v>
      </c>
      <c r="J107" s="3">
        <v>0.84960537294370198</v>
      </c>
      <c r="K107" s="3">
        <v>0.85810142667313893</v>
      </c>
      <c r="L107" s="3">
        <v>0.86239193380650458</v>
      </c>
      <c r="M107" s="3">
        <v>0.86670389347553711</v>
      </c>
      <c r="N107" s="3">
        <v>0.8710374129429147</v>
      </c>
      <c r="O107" s="3">
        <v>0.87539260000762908</v>
      </c>
      <c r="P107" s="3">
        <v>0.87976956300766718</v>
      </c>
    </row>
    <row r="108" spans="1:16">
      <c r="A108" s="84" t="s">
        <v>289</v>
      </c>
      <c r="B108" s="85" t="s">
        <v>288</v>
      </c>
      <c r="C108" s="85" t="s">
        <v>83</v>
      </c>
      <c r="D108" s="84" t="s">
        <v>75</v>
      </c>
      <c r="E108" s="84">
        <f>VLOOKUP(A108,'2a. SI Pop'!$A$5:$E$198,5,FALSE)</f>
        <v>3</v>
      </c>
      <c r="F108" s="3">
        <v>0.96</v>
      </c>
      <c r="G108" s="3">
        <v>0.96</v>
      </c>
      <c r="H108" s="3">
        <v>0.96</v>
      </c>
      <c r="I108" s="3">
        <v>0.96</v>
      </c>
      <c r="J108" s="3">
        <v>0.96</v>
      </c>
      <c r="K108" s="3">
        <v>0.96</v>
      </c>
      <c r="L108" s="3">
        <v>0.96</v>
      </c>
      <c r="M108" s="3">
        <v>0.96</v>
      </c>
      <c r="N108" s="3">
        <v>0.96</v>
      </c>
      <c r="O108" s="3">
        <v>0.96</v>
      </c>
      <c r="P108" s="3">
        <v>0.96</v>
      </c>
    </row>
    <row r="109" spans="1:16">
      <c r="A109" s="84" t="s">
        <v>291</v>
      </c>
      <c r="B109" s="85" t="s">
        <v>290</v>
      </c>
      <c r="C109" s="85" t="s">
        <v>99</v>
      </c>
      <c r="D109" s="84" t="s">
        <v>80</v>
      </c>
      <c r="E109" s="84">
        <f>VLOOKUP(A109,'2a. SI Pop'!$A$5:$E$198,5,FALSE)</f>
        <v>2</v>
      </c>
      <c r="F109" s="3">
        <v>0.97</v>
      </c>
      <c r="G109" s="3">
        <v>0.97</v>
      </c>
      <c r="H109" s="3">
        <v>0.97</v>
      </c>
      <c r="I109" s="3">
        <v>0.97</v>
      </c>
      <c r="J109" s="3">
        <v>0.97</v>
      </c>
      <c r="K109" s="3">
        <v>0.97</v>
      </c>
      <c r="L109" s="3">
        <v>0.97</v>
      </c>
      <c r="M109" s="3">
        <v>0.97</v>
      </c>
      <c r="N109" s="3">
        <v>0.97</v>
      </c>
      <c r="O109" s="3">
        <v>0.97</v>
      </c>
      <c r="P109" s="3">
        <v>0.97</v>
      </c>
    </row>
    <row r="110" spans="1:16">
      <c r="A110" s="84" t="s">
        <v>293</v>
      </c>
      <c r="B110" s="85" t="s">
        <v>292</v>
      </c>
      <c r="C110" s="85" t="s">
        <v>110</v>
      </c>
      <c r="D110" s="84" t="s">
        <v>80</v>
      </c>
      <c r="E110" s="84">
        <f>VLOOKUP(A110,'2a. SI Pop'!$A$5:$E$198,5,FALSE)</f>
        <v>2</v>
      </c>
      <c r="F110" s="3">
        <v>0.99</v>
      </c>
      <c r="G110" s="3">
        <v>0.99</v>
      </c>
      <c r="H110" s="3">
        <v>0.99</v>
      </c>
      <c r="I110" s="3">
        <v>0.99</v>
      </c>
      <c r="J110" s="3">
        <v>0.99</v>
      </c>
      <c r="K110" s="3">
        <v>0.99</v>
      </c>
      <c r="L110" s="3">
        <v>0.99</v>
      </c>
      <c r="M110" s="3">
        <v>0.99</v>
      </c>
      <c r="N110" s="3">
        <v>0.99</v>
      </c>
      <c r="O110" s="3">
        <v>0.99</v>
      </c>
      <c r="P110" s="3">
        <v>0.99</v>
      </c>
    </row>
    <row r="111" spans="1:16">
      <c r="A111" s="84" t="s">
        <v>295</v>
      </c>
      <c r="B111" s="85" t="s">
        <v>294</v>
      </c>
      <c r="C111" s="85" t="s">
        <v>83</v>
      </c>
      <c r="D111" s="84" t="s">
        <v>75</v>
      </c>
      <c r="E111" s="84">
        <f>VLOOKUP(A111,'2a. SI Pop'!$A$5:$E$198,5,FALSE)</f>
        <v>3</v>
      </c>
      <c r="F111" s="3">
        <v>0.82828673155959875</v>
      </c>
      <c r="G111" s="3">
        <v>0.83656959887519478</v>
      </c>
      <c r="H111" s="3">
        <v>0.84493529486394681</v>
      </c>
      <c r="I111" s="3">
        <v>0.85338464781258627</v>
      </c>
      <c r="J111" s="3">
        <v>0.85765157105164902</v>
      </c>
      <c r="K111" s="3">
        <v>0.86193982890690723</v>
      </c>
      <c r="L111" s="3">
        <v>0.86624952805144162</v>
      </c>
      <c r="M111" s="3">
        <v>0.87058077569169867</v>
      </c>
      <c r="N111" s="3">
        <v>0.87493367957015711</v>
      </c>
      <c r="O111" s="3">
        <v>0.87930834796800783</v>
      </c>
      <c r="P111" s="3">
        <v>0.88370488970784777</v>
      </c>
    </row>
    <row r="112" spans="1:16">
      <c r="A112" s="84" t="s">
        <v>297</v>
      </c>
      <c r="B112" s="85" t="s">
        <v>296</v>
      </c>
      <c r="C112" s="85" t="s">
        <v>79</v>
      </c>
      <c r="D112" s="84" t="s">
        <v>87</v>
      </c>
      <c r="E112" s="84">
        <f>VLOOKUP(A112,'2a. SI Pop'!$A$5:$E$198,5,FALSE)</f>
        <v>1</v>
      </c>
      <c r="F112" s="3">
        <v>0.99</v>
      </c>
      <c r="G112" s="3">
        <v>0.99</v>
      </c>
      <c r="H112" s="3">
        <v>0.99</v>
      </c>
      <c r="I112" s="3">
        <v>0.99</v>
      </c>
      <c r="J112" s="3">
        <v>0.99</v>
      </c>
      <c r="K112" s="3">
        <v>0.99</v>
      </c>
      <c r="L112" s="3">
        <v>0.99</v>
      </c>
      <c r="M112" s="3">
        <v>0.99</v>
      </c>
      <c r="N112" s="3">
        <v>0.99</v>
      </c>
      <c r="O112" s="3">
        <v>0.99</v>
      </c>
      <c r="P112" s="3">
        <v>0.99</v>
      </c>
    </row>
    <row r="113" spans="1:16">
      <c r="A113" s="84" t="s">
        <v>299</v>
      </c>
      <c r="B113" s="85" t="s">
        <v>298</v>
      </c>
      <c r="C113" s="85" t="s">
        <v>99</v>
      </c>
      <c r="D113" s="84" t="s">
        <v>80</v>
      </c>
      <c r="E113" s="84">
        <f>VLOOKUP(A113,'2a. SI Pop'!$A$5:$E$198,5,FALSE)</f>
        <v>1</v>
      </c>
      <c r="F113" s="3">
        <v>0.89793645779584419</v>
      </c>
      <c r="G113" s="3">
        <v>0.90242614008482336</v>
      </c>
      <c r="H113" s="3">
        <v>0.90693827078524736</v>
      </c>
      <c r="I113" s="3">
        <v>0.91147296213917339</v>
      </c>
      <c r="J113" s="3">
        <v>0.91603032694986919</v>
      </c>
      <c r="K113" s="3">
        <v>0.92061047858461853</v>
      </c>
      <c r="L113" s="3">
        <v>0.92521353097754144</v>
      </c>
      <c r="M113" s="3">
        <v>0.92983959863242904</v>
      </c>
      <c r="N113" s="3">
        <v>0.93448879662559103</v>
      </c>
      <c r="O113" s="3">
        <v>0.93916124060871897</v>
      </c>
      <c r="P113" s="3">
        <v>0.94385704681176252</v>
      </c>
    </row>
    <row r="114" spans="1:16">
      <c r="A114" s="84" t="s">
        <v>301</v>
      </c>
      <c r="B114" s="85" t="s">
        <v>300</v>
      </c>
      <c r="C114" s="85" t="s">
        <v>83</v>
      </c>
      <c r="D114" s="84" t="s">
        <v>84</v>
      </c>
      <c r="E114" s="84">
        <f>VLOOKUP(A114,'2a. SI Pop'!$A$5:$E$198,5,FALSE)</f>
        <v>3</v>
      </c>
      <c r="F114" s="3">
        <v>0.86162658468355657</v>
      </c>
      <c r="G114" s="3">
        <v>0.86593471760697427</v>
      </c>
      <c r="H114" s="3">
        <v>0.87026439119500909</v>
      </c>
      <c r="I114" s="3">
        <v>0.87461571315098396</v>
      </c>
      <c r="J114" s="3">
        <v>0.87898879171673883</v>
      </c>
      <c r="K114" s="3">
        <v>0.88338373567532247</v>
      </c>
      <c r="L114" s="3">
        <v>0.88780065435369893</v>
      </c>
      <c r="M114" s="3">
        <v>0.89223965762546731</v>
      </c>
      <c r="N114" s="3">
        <v>0.8967008559135945</v>
      </c>
      <c r="O114" s="3">
        <v>0.90118436019316239</v>
      </c>
      <c r="P114" s="3">
        <v>0.90569028199412815</v>
      </c>
    </row>
    <row r="115" spans="1:16">
      <c r="A115" s="84" t="s">
        <v>303</v>
      </c>
      <c r="B115" s="85" t="s">
        <v>302</v>
      </c>
      <c r="C115" s="85" t="s">
        <v>83</v>
      </c>
      <c r="D115" s="84" t="s">
        <v>87</v>
      </c>
      <c r="E115" s="84">
        <f>VLOOKUP(A115,'2a. SI Pop'!$A$5:$E$198,5,FALSE)</f>
        <v>1</v>
      </c>
      <c r="F115" s="3">
        <v>0.99</v>
      </c>
      <c r="G115" s="3">
        <v>0.99</v>
      </c>
      <c r="H115" s="3">
        <v>0.99</v>
      </c>
      <c r="I115" s="3">
        <v>0.99</v>
      </c>
      <c r="J115" s="3">
        <v>0.99</v>
      </c>
      <c r="K115" s="3">
        <v>0.99</v>
      </c>
      <c r="L115" s="3">
        <v>0.99</v>
      </c>
      <c r="M115" s="3">
        <v>0.99</v>
      </c>
      <c r="N115" s="3">
        <v>0.99</v>
      </c>
      <c r="O115" s="3">
        <v>0.99</v>
      </c>
      <c r="P115" s="3">
        <v>0.99</v>
      </c>
    </row>
    <row r="116" spans="1:16">
      <c r="A116" s="84" t="s">
        <v>305</v>
      </c>
      <c r="B116" s="85" t="s">
        <v>304</v>
      </c>
      <c r="C116" s="85" t="s">
        <v>92</v>
      </c>
      <c r="D116" s="84" t="s">
        <v>80</v>
      </c>
      <c r="E116" s="84">
        <f>VLOOKUP(A116,'2a. SI Pop'!$A$5:$E$198,5,FALSE)</f>
        <v>2</v>
      </c>
      <c r="F116" s="3">
        <v>0.83056537609668479</v>
      </c>
      <c r="G116" s="3">
        <v>0.83887102985765172</v>
      </c>
      <c r="H116" s="3">
        <v>0.84725974015622829</v>
      </c>
      <c r="I116" s="3">
        <v>0.85573233755779055</v>
      </c>
      <c r="J116" s="3">
        <v>0.86001099924557944</v>
      </c>
      <c r="K116" s="3">
        <v>0.86431105424180732</v>
      </c>
      <c r="L116" s="3">
        <v>0.86863260951301624</v>
      </c>
      <c r="M116" s="3">
        <v>0.87297577256058123</v>
      </c>
      <c r="N116" s="3">
        <v>0.87734065142338391</v>
      </c>
      <c r="O116" s="3">
        <v>0.88172735468050079</v>
      </c>
      <c r="P116" s="3">
        <v>0.8861359914539032</v>
      </c>
    </row>
    <row r="117" spans="1:16">
      <c r="A117" s="84" t="s">
        <v>307</v>
      </c>
      <c r="B117" s="85" t="s">
        <v>306</v>
      </c>
      <c r="C117" s="85" t="s">
        <v>99</v>
      </c>
      <c r="D117" s="84" t="s">
        <v>84</v>
      </c>
      <c r="E117" s="84">
        <f>VLOOKUP(A117,'2a. SI Pop'!$A$5:$E$198,5,FALSE)</f>
        <v>1</v>
      </c>
      <c r="F117" s="3">
        <v>0.86162658468355657</v>
      </c>
      <c r="G117" s="3">
        <v>0.86593471760697427</v>
      </c>
      <c r="H117" s="3">
        <v>0.87026439119500909</v>
      </c>
      <c r="I117" s="3">
        <v>0.87461571315098396</v>
      </c>
      <c r="J117" s="3">
        <v>0.87898879171673883</v>
      </c>
      <c r="K117" s="3">
        <v>0.88338373567532247</v>
      </c>
      <c r="L117" s="3">
        <v>0.88780065435369893</v>
      </c>
      <c r="M117" s="3">
        <v>0.89223965762546731</v>
      </c>
      <c r="N117" s="3">
        <v>0.8967008559135945</v>
      </c>
      <c r="O117" s="3">
        <v>0.90118436019316239</v>
      </c>
      <c r="P117" s="3">
        <v>0.90569028199412815</v>
      </c>
    </row>
    <row r="118" spans="1:16">
      <c r="A118" s="84" t="s">
        <v>309</v>
      </c>
      <c r="B118" s="85" t="s">
        <v>308</v>
      </c>
      <c r="C118" s="85" t="s">
        <v>79</v>
      </c>
      <c r="D118" s="84" t="s">
        <v>84</v>
      </c>
      <c r="E118" s="84">
        <f>VLOOKUP(A118,'2a. SI Pop'!$A$5:$E$198,5,FALSE)</f>
        <v>1</v>
      </c>
      <c r="F118" s="3">
        <v>0.97</v>
      </c>
      <c r="G118" s="3">
        <v>0.97</v>
      </c>
      <c r="H118" s="3">
        <v>0.97</v>
      </c>
      <c r="I118" s="3">
        <v>0.97</v>
      </c>
      <c r="J118" s="3">
        <v>0.97</v>
      </c>
      <c r="K118" s="3">
        <v>0.97</v>
      </c>
      <c r="L118" s="3">
        <v>0.97</v>
      </c>
      <c r="M118" s="3">
        <v>0.97</v>
      </c>
      <c r="N118" s="3">
        <v>0.97</v>
      </c>
      <c r="O118" s="3">
        <v>0.97</v>
      </c>
      <c r="P118" s="3">
        <v>0.97</v>
      </c>
    </row>
    <row r="119" spans="1:16">
      <c r="A119" s="84" t="s">
        <v>311</v>
      </c>
      <c r="B119" s="85" t="s">
        <v>310</v>
      </c>
      <c r="C119" s="85" t="s">
        <v>79</v>
      </c>
      <c r="D119" s="84" t="s">
        <v>87</v>
      </c>
      <c r="E119" s="84">
        <f>VLOOKUP(A119,'2a. SI Pop'!$A$5:$E$198,5,FALSE)</f>
        <v>1</v>
      </c>
      <c r="F119" s="3">
        <v>0.92962833277687418</v>
      </c>
      <c r="G119" s="3">
        <v>0.93427647444075845</v>
      </c>
      <c r="H119" s="3">
        <v>0.93894785681296211</v>
      </c>
      <c r="I119" s="3">
        <v>0.94364259609702683</v>
      </c>
      <c r="J119" s="3">
        <v>0.94836080907751186</v>
      </c>
      <c r="K119" s="3">
        <v>0.95310261312289923</v>
      </c>
      <c r="L119" s="3">
        <v>0.95786812618851358</v>
      </c>
      <c r="M119" s="3">
        <v>0.96265746681945596</v>
      </c>
      <c r="N119" s="3">
        <v>0.9674707541535531</v>
      </c>
      <c r="O119" s="3">
        <v>0.97230810792432076</v>
      </c>
      <c r="P119" s="3">
        <v>0.97716964846394239</v>
      </c>
    </row>
    <row r="120" spans="1:16">
      <c r="A120" s="84" t="s">
        <v>313</v>
      </c>
      <c r="B120" s="85" t="s">
        <v>312</v>
      </c>
      <c r="C120" s="85" t="s">
        <v>99</v>
      </c>
      <c r="D120" s="84" t="s">
        <v>84</v>
      </c>
      <c r="E120" s="84">
        <f>VLOOKUP(A120,'2a. SI Pop'!$A$5:$E$198,5,FALSE)</f>
        <v>2</v>
      </c>
      <c r="F120" s="3">
        <v>0.99</v>
      </c>
      <c r="G120" s="3">
        <v>0.99</v>
      </c>
      <c r="H120" s="3">
        <v>0.99</v>
      </c>
      <c r="I120" s="3">
        <v>0.99</v>
      </c>
      <c r="J120" s="3">
        <v>0.99</v>
      </c>
      <c r="K120" s="3">
        <v>0.99</v>
      </c>
      <c r="L120" s="3">
        <v>0.99</v>
      </c>
      <c r="M120" s="3">
        <v>0.99</v>
      </c>
      <c r="N120" s="3">
        <v>0.99</v>
      </c>
      <c r="O120" s="3">
        <v>0.99</v>
      </c>
      <c r="P120" s="3">
        <v>0.99</v>
      </c>
    </row>
    <row r="121" spans="1:16">
      <c r="A121" s="84" t="s">
        <v>315</v>
      </c>
      <c r="B121" s="85" t="s">
        <v>314</v>
      </c>
      <c r="C121" s="85" t="s">
        <v>79</v>
      </c>
      <c r="D121" s="84" t="s">
        <v>80</v>
      </c>
      <c r="E121" s="84">
        <f>VLOOKUP(A121,'2a. SI Pop'!$A$5:$E$198,5,FALSE)</f>
        <v>1</v>
      </c>
      <c r="F121" s="3">
        <v>0.58137822570426723</v>
      </c>
      <c r="G121" s="3">
        <v>0.5988195724753953</v>
      </c>
      <c r="H121" s="3">
        <v>0.61678415964965716</v>
      </c>
      <c r="I121" s="3">
        <v>0.63528768443914685</v>
      </c>
      <c r="J121" s="3">
        <v>0.65434631497232132</v>
      </c>
      <c r="K121" s="3">
        <v>0.67397670442149094</v>
      </c>
      <c r="L121" s="3">
        <v>0.69419600555413563</v>
      </c>
      <c r="M121" s="3">
        <v>0.71502188572075975</v>
      </c>
      <c r="N121" s="3">
        <v>0.73647254229238257</v>
      </c>
      <c r="O121" s="3">
        <v>0.7585667185611541</v>
      </c>
      <c r="P121" s="3">
        <v>0.7661523857467657</v>
      </c>
    </row>
    <row r="122" spans="1:16">
      <c r="A122" s="84" t="s">
        <v>317</v>
      </c>
      <c r="B122" s="85" t="s">
        <v>316</v>
      </c>
      <c r="C122" s="85" t="s">
        <v>74</v>
      </c>
      <c r="D122" s="84" t="s">
        <v>84</v>
      </c>
      <c r="E122" s="84">
        <f>VLOOKUP(A122,'2a. SI Pop'!$A$5:$E$198,5,FALSE)</f>
        <v>3</v>
      </c>
      <c r="F122" s="3">
        <v>0.99</v>
      </c>
      <c r="G122" s="3">
        <v>0.99</v>
      </c>
      <c r="H122" s="3">
        <v>0.99</v>
      </c>
      <c r="I122" s="3">
        <v>0.99</v>
      </c>
      <c r="J122" s="3">
        <v>0.99</v>
      </c>
      <c r="K122" s="3">
        <v>0.99</v>
      </c>
      <c r="L122" s="3">
        <v>0.99</v>
      </c>
      <c r="M122" s="3">
        <v>0.99</v>
      </c>
      <c r="N122" s="3">
        <v>0.99</v>
      </c>
      <c r="O122" s="3">
        <v>0.99</v>
      </c>
      <c r="P122" s="3">
        <v>0.99</v>
      </c>
    </row>
    <row r="123" spans="1:16">
      <c r="A123" s="84" t="s">
        <v>319</v>
      </c>
      <c r="B123" s="85" t="s">
        <v>318</v>
      </c>
      <c r="C123" s="85" t="s">
        <v>83</v>
      </c>
      <c r="D123" s="84" t="s">
        <v>75</v>
      </c>
      <c r="E123" s="84" t="str">
        <f>VLOOKUP(A123,'2a. SI Pop'!$A$5:$E$198,5,FALSE)</f>
        <v>Key</v>
      </c>
      <c r="F123" s="3">
        <v>0.91906437444986433</v>
      </c>
      <c r="G123" s="3">
        <v>0.92365969632211364</v>
      </c>
      <c r="H123" s="3">
        <v>0.92827799480372408</v>
      </c>
      <c r="I123" s="3">
        <v>0.9329193847777425</v>
      </c>
      <c r="J123" s="3">
        <v>0.93758398170163115</v>
      </c>
      <c r="K123" s="3">
        <v>0.94227190161013918</v>
      </c>
      <c r="L123" s="3">
        <v>0.94698326111818987</v>
      </c>
      <c r="M123" s="3">
        <v>0.95171817742378062</v>
      </c>
      <c r="N123" s="3">
        <v>0.95</v>
      </c>
      <c r="O123" s="3">
        <v>0.95</v>
      </c>
      <c r="P123" s="3">
        <v>0.95</v>
      </c>
    </row>
    <row r="124" spans="1:16">
      <c r="A124" s="84" t="s">
        <v>321</v>
      </c>
      <c r="B124" s="85" t="s">
        <v>320</v>
      </c>
      <c r="C124" s="85" t="s">
        <v>110</v>
      </c>
      <c r="D124" s="84" t="s">
        <v>84</v>
      </c>
      <c r="E124" s="84">
        <f>VLOOKUP(A124,'2a. SI Pop'!$A$5:$E$198,5,FALSE)</f>
        <v>4</v>
      </c>
      <c r="F124" s="3">
        <v>0.89622404070013928</v>
      </c>
      <c r="G124" s="3">
        <v>0.90070516090363995</v>
      </c>
      <c r="H124" s="3">
        <v>0.90520868670815802</v>
      </c>
      <c r="I124" s="3">
        <v>0.9097347301416987</v>
      </c>
      <c r="J124" s="3">
        <v>0.91428340379240713</v>
      </c>
      <c r="K124" s="3">
        <v>0.91885482081136904</v>
      </c>
      <c r="L124" s="3">
        <v>0.92344909491542582</v>
      </c>
      <c r="M124" s="3">
        <v>0.92806634039000291</v>
      </c>
      <c r="N124" s="3">
        <v>0.93270667209195279</v>
      </c>
      <c r="O124" s="3">
        <v>0.93737020545241245</v>
      </c>
      <c r="P124" s="3">
        <v>0.94205705647967453</v>
      </c>
    </row>
    <row r="125" spans="1:16">
      <c r="A125" s="84" t="s">
        <v>323</v>
      </c>
      <c r="B125" s="85" t="s">
        <v>322</v>
      </c>
      <c r="C125" s="85" t="s">
        <v>83</v>
      </c>
      <c r="D125" s="84" t="s">
        <v>80</v>
      </c>
      <c r="E125" s="84">
        <f>VLOOKUP(A125,'2a. SI Pop'!$A$5:$E$198,5,FALSE)</f>
        <v>3</v>
      </c>
      <c r="F125" s="3">
        <v>0.87499153295178134</v>
      </c>
      <c r="G125" s="3">
        <v>0.87936649061654004</v>
      </c>
      <c r="H125" s="3">
        <v>0.88376332306962269</v>
      </c>
      <c r="I125" s="3">
        <v>0.88818213968497073</v>
      </c>
      <c r="J125" s="3">
        <v>0.89262305038339551</v>
      </c>
      <c r="K125" s="3">
        <v>0.8970861656353124</v>
      </c>
      <c r="L125" s="3">
        <v>0.90157159646348883</v>
      </c>
      <c r="M125" s="3">
        <v>0.90607945444580618</v>
      </c>
      <c r="N125" s="3">
        <v>0.9106098517180351</v>
      </c>
      <c r="O125" s="3">
        <v>0.91516290097662523</v>
      </c>
      <c r="P125" s="3">
        <v>0.91973871548150821</v>
      </c>
    </row>
    <row r="126" spans="1:16">
      <c r="A126" s="84" t="s">
        <v>325</v>
      </c>
      <c r="B126" s="85" t="s">
        <v>324</v>
      </c>
      <c r="C126" s="85" t="s">
        <v>99</v>
      </c>
      <c r="D126" s="84" t="s">
        <v>87</v>
      </c>
      <c r="E126" s="84">
        <f>VLOOKUP(A126,'2a. SI Pop'!$A$5:$E$198,5,FALSE)</f>
        <v>1</v>
      </c>
      <c r="F126" s="3">
        <v>0.99</v>
      </c>
      <c r="G126" s="3">
        <v>0.99</v>
      </c>
      <c r="H126" s="3">
        <v>0.99</v>
      </c>
      <c r="I126" s="3">
        <v>0.99</v>
      </c>
      <c r="J126" s="3">
        <v>0.99</v>
      </c>
      <c r="K126" s="3">
        <v>0.99</v>
      </c>
      <c r="L126" s="3">
        <v>0.99</v>
      </c>
      <c r="M126" s="3">
        <v>0.99</v>
      </c>
      <c r="N126" s="3">
        <v>0.99</v>
      </c>
      <c r="O126" s="3">
        <v>0.99</v>
      </c>
      <c r="P126" s="3">
        <v>0.99</v>
      </c>
    </row>
    <row r="127" spans="1:16">
      <c r="A127" s="84" t="s">
        <v>327</v>
      </c>
      <c r="B127" s="85" t="s">
        <v>326</v>
      </c>
      <c r="C127" s="85" t="s">
        <v>110</v>
      </c>
      <c r="D127" s="84" t="s">
        <v>84</v>
      </c>
      <c r="E127" s="84">
        <f>VLOOKUP(A127,'2a. SI Pop'!$A$5:$E$198,5,FALSE)</f>
        <v>4</v>
      </c>
      <c r="F127" s="3">
        <v>0.95</v>
      </c>
      <c r="G127" s="3">
        <v>0.95</v>
      </c>
      <c r="H127" s="3">
        <v>0.95</v>
      </c>
      <c r="I127" s="3">
        <v>0.95</v>
      </c>
      <c r="J127" s="3">
        <v>0.95</v>
      </c>
      <c r="K127" s="3">
        <v>0.95</v>
      </c>
      <c r="L127" s="3">
        <v>0.95</v>
      </c>
      <c r="M127" s="3">
        <v>0.95</v>
      </c>
      <c r="N127" s="3">
        <v>0.95</v>
      </c>
      <c r="O127" s="3">
        <v>0.95</v>
      </c>
      <c r="P127" s="3">
        <v>0.95</v>
      </c>
    </row>
    <row r="128" spans="1:16">
      <c r="A128" s="84" t="s">
        <v>329</v>
      </c>
      <c r="B128" s="85" t="s">
        <v>328</v>
      </c>
      <c r="C128" s="85" t="s">
        <v>79</v>
      </c>
      <c r="D128" s="84" t="s">
        <v>87</v>
      </c>
      <c r="E128" s="84">
        <f>VLOOKUP(A128,'2a. SI Pop'!$A$5:$E$198,5,FALSE)</f>
        <v>1</v>
      </c>
      <c r="F128" s="3">
        <v>0.96</v>
      </c>
      <c r="G128" s="3">
        <v>0.96</v>
      </c>
      <c r="H128" s="3">
        <v>0.96</v>
      </c>
      <c r="I128" s="3">
        <v>0.96</v>
      </c>
      <c r="J128" s="3">
        <v>0.96</v>
      </c>
      <c r="K128" s="3">
        <v>0.96</v>
      </c>
      <c r="L128" s="3">
        <v>0.96</v>
      </c>
      <c r="M128" s="3">
        <v>0.96</v>
      </c>
      <c r="N128" s="3">
        <v>0.96</v>
      </c>
      <c r="O128" s="3">
        <v>0.96</v>
      </c>
      <c r="P128" s="3">
        <v>0.96</v>
      </c>
    </row>
    <row r="129" spans="1:16">
      <c r="A129" s="84" t="s">
        <v>331</v>
      </c>
      <c r="B129" s="85" t="s">
        <v>330</v>
      </c>
      <c r="C129" s="85" t="s">
        <v>99</v>
      </c>
      <c r="D129" s="84" t="s">
        <v>87</v>
      </c>
      <c r="E129" s="84">
        <f>VLOOKUP(A129,'2a. SI Pop'!$A$5:$E$198,5,FALSE)</f>
        <v>1</v>
      </c>
      <c r="F129" s="3">
        <v>0.95</v>
      </c>
      <c r="G129" s="3">
        <v>0.95</v>
      </c>
      <c r="H129" s="3">
        <v>0.95</v>
      </c>
      <c r="I129" s="3">
        <v>0.95</v>
      </c>
      <c r="J129" s="3">
        <v>0.95</v>
      </c>
      <c r="K129" s="3">
        <v>0.95</v>
      </c>
      <c r="L129" s="3">
        <v>0.95</v>
      </c>
      <c r="M129" s="3">
        <v>0.95</v>
      </c>
      <c r="N129" s="3">
        <v>0.95</v>
      </c>
      <c r="O129" s="3">
        <v>0.95</v>
      </c>
      <c r="P129" s="3">
        <v>0.95</v>
      </c>
    </row>
    <row r="130" spans="1:16">
      <c r="A130" s="84" t="s">
        <v>333</v>
      </c>
      <c r="B130" s="85" t="s">
        <v>332</v>
      </c>
      <c r="C130" s="85" t="s">
        <v>92</v>
      </c>
      <c r="D130" s="84" t="s">
        <v>84</v>
      </c>
      <c r="E130" s="84">
        <f>VLOOKUP(A130,'2a. SI Pop'!$A$5:$E$198,5,FALSE)</f>
        <v>2</v>
      </c>
      <c r="F130" s="3">
        <v>0.99</v>
      </c>
      <c r="G130" s="3">
        <v>0.99</v>
      </c>
      <c r="H130" s="3">
        <v>0.99</v>
      </c>
      <c r="I130" s="3">
        <v>0.99</v>
      </c>
      <c r="J130" s="3">
        <v>0.99</v>
      </c>
      <c r="K130" s="3">
        <v>0.99</v>
      </c>
      <c r="L130" s="3">
        <v>0.99</v>
      </c>
      <c r="M130" s="3">
        <v>0.99</v>
      </c>
      <c r="N130" s="3">
        <v>0.99</v>
      </c>
      <c r="O130" s="3">
        <v>0.99</v>
      </c>
      <c r="P130" s="3">
        <v>0.99</v>
      </c>
    </row>
    <row r="131" spans="1:16">
      <c r="A131" s="84" t="s">
        <v>335</v>
      </c>
      <c r="B131" s="85" t="s">
        <v>334</v>
      </c>
      <c r="C131" s="85" t="s">
        <v>83</v>
      </c>
      <c r="D131" s="84" t="s">
        <v>75</v>
      </c>
      <c r="E131" s="84">
        <f>VLOOKUP(A131,'2a. SI Pop'!$A$5:$E$198,5,FALSE)</f>
        <v>3</v>
      </c>
      <c r="F131" s="3">
        <v>0.868352915599784</v>
      </c>
      <c r="G131" s="3">
        <v>0.87269468017778284</v>
      </c>
      <c r="H131" s="3">
        <v>0.87705815357867167</v>
      </c>
      <c r="I131" s="3">
        <v>0.88144344434656485</v>
      </c>
      <c r="J131" s="3">
        <v>0.88585066156829773</v>
      </c>
      <c r="K131" s="3">
        <v>0.890279914876139</v>
      </c>
      <c r="L131" s="3">
        <v>0.89473131445051957</v>
      </c>
      <c r="M131" s="3">
        <v>0.89920497102277208</v>
      </c>
      <c r="N131" s="3">
        <v>0.90370099587788588</v>
      </c>
      <c r="O131" s="3">
        <v>0.90821950085727521</v>
      </c>
      <c r="P131" s="3">
        <v>0.91276059836156154</v>
      </c>
    </row>
    <row r="132" spans="1:16">
      <c r="A132" s="84" t="s">
        <v>337</v>
      </c>
      <c r="B132" s="85" t="s">
        <v>336</v>
      </c>
      <c r="C132" s="85" t="s">
        <v>83</v>
      </c>
      <c r="D132" s="84" t="s">
        <v>84</v>
      </c>
      <c r="E132" s="84" t="str">
        <f>VLOOKUP(A132,'2a. SI Pop'!$A$5:$E$198,5,FALSE)</f>
        <v>Key</v>
      </c>
      <c r="F132" s="3">
        <v>0.74748629019120083</v>
      </c>
      <c r="G132" s="3">
        <v>0.76991087889693688</v>
      </c>
      <c r="H132" s="3">
        <v>0.77760998768590628</v>
      </c>
      <c r="I132" s="3">
        <v>0.78538608756276529</v>
      </c>
      <c r="J132" s="3">
        <v>0.79323994843839296</v>
      </c>
      <c r="K132" s="3">
        <v>0.80117234792277703</v>
      </c>
      <c r="L132" s="3">
        <v>0.80918407140200477</v>
      </c>
      <c r="M132" s="3">
        <v>0.81727591211602468</v>
      </c>
      <c r="N132" s="3">
        <v>0.82544867123718502</v>
      </c>
      <c r="O132" s="3">
        <v>0.83370315794955685</v>
      </c>
      <c r="P132" s="3">
        <v>0.84204018952905246</v>
      </c>
    </row>
    <row r="133" spans="1:16">
      <c r="A133" s="84" t="s">
        <v>339</v>
      </c>
      <c r="B133" s="85" t="s">
        <v>338</v>
      </c>
      <c r="C133" s="85" t="s">
        <v>99</v>
      </c>
      <c r="D133" s="84" t="e">
        <v>#N/A</v>
      </c>
      <c r="E133" s="84">
        <f>VLOOKUP(A133,'2a. SI Pop'!$A$5:$E$198,5,FALSE)</f>
        <v>1</v>
      </c>
      <c r="F133" s="3">
        <v>0.99</v>
      </c>
      <c r="G133" s="3">
        <v>0.99</v>
      </c>
      <c r="H133" s="3">
        <v>0.99</v>
      </c>
      <c r="I133" s="3">
        <v>0.99</v>
      </c>
      <c r="J133" s="3">
        <v>0.99</v>
      </c>
      <c r="K133" s="3">
        <v>0.99</v>
      </c>
      <c r="L133" s="3">
        <v>0.99</v>
      </c>
      <c r="M133" s="3">
        <v>0.99</v>
      </c>
      <c r="N133" s="3">
        <v>0.99</v>
      </c>
      <c r="O133" s="3">
        <v>0.99</v>
      </c>
      <c r="P133" s="3">
        <v>0.99</v>
      </c>
    </row>
    <row r="134" spans="1:16">
      <c r="A134" s="84" t="s">
        <v>341</v>
      </c>
      <c r="B134" s="85" t="s">
        <v>340</v>
      </c>
      <c r="C134" s="85" t="s">
        <v>79</v>
      </c>
      <c r="D134" s="84" t="s">
        <v>87</v>
      </c>
      <c r="E134" s="84">
        <f>VLOOKUP(A134,'2a. SI Pop'!$A$5:$E$198,5,FALSE)</f>
        <v>1</v>
      </c>
      <c r="F134" s="3">
        <v>0.97</v>
      </c>
      <c r="G134" s="3">
        <v>0.97</v>
      </c>
      <c r="H134" s="3">
        <v>0.97</v>
      </c>
      <c r="I134" s="3">
        <v>0.97</v>
      </c>
      <c r="J134" s="3">
        <v>0.97</v>
      </c>
      <c r="K134" s="3">
        <v>0.97</v>
      </c>
      <c r="L134" s="3">
        <v>0.97</v>
      </c>
      <c r="M134" s="3">
        <v>0.97</v>
      </c>
      <c r="N134" s="3">
        <v>0.97</v>
      </c>
      <c r="O134" s="3">
        <v>0.97</v>
      </c>
      <c r="P134" s="3">
        <v>0.97</v>
      </c>
    </row>
    <row r="135" spans="1:16">
      <c r="A135" s="84" t="s">
        <v>343</v>
      </c>
      <c r="B135" s="85" t="s">
        <v>342</v>
      </c>
      <c r="C135" s="85" t="s">
        <v>74</v>
      </c>
      <c r="D135" s="84" t="s">
        <v>87</v>
      </c>
      <c r="E135" s="84">
        <f>VLOOKUP(A135,'2a. SI Pop'!$A$5:$E$198,5,FALSE)</f>
        <v>1</v>
      </c>
      <c r="F135" s="3">
        <v>0.99</v>
      </c>
      <c r="G135" s="3">
        <v>0.99</v>
      </c>
      <c r="H135" s="3">
        <v>0.99</v>
      </c>
      <c r="I135" s="3">
        <v>0.99</v>
      </c>
      <c r="J135" s="3">
        <v>0.99</v>
      </c>
      <c r="K135" s="3">
        <v>0.99</v>
      </c>
      <c r="L135" s="3">
        <v>0.99</v>
      </c>
      <c r="M135" s="3">
        <v>0.99</v>
      </c>
      <c r="N135" s="3">
        <v>0.99</v>
      </c>
      <c r="O135" s="3">
        <v>0.99</v>
      </c>
      <c r="P135" s="3">
        <v>0.99</v>
      </c>
    </row>
    <row r="136" spans="1:16">
      <c r="A136" s="84" t="s">
        <v>345</v>
      </c>
      <c r="B136" s="85" t="s">
        <v>344</v>
      </c>
      <c r="C136" s="85" t="s">
        <v>74</v>
      </c>
      <c r="D136" s="84" t="s">
        <v>84</v>
      </c>
      <c r="E136" s="84" t="str">
        <f>VLOOKUP(A136,'2a. SI Pop'!$A$5:$E$198,5,FALSE)</f>
        <v>Key</v>
      </c>
      <c r="F136" s="3">
        <v>0.85332059188015574</v>
      </c>
      <c r="G136" s="3">
        <v>0.85758719483955648</v>
      </c>
      <c r="H136" s="3">
        <v>0.86187513081375411</v>
      </c>
      <c r="I136" s="3">
        <v>0.86618450646782275</v>
      </c>
      <c r="J136" s="3">
        <v>0.87051542900016188</v>
      </c>
      <c r="K136" s="3">
        <v>0.87486800614516258</v>
      </c>
      <c r="L136" s="3">
        <v>0.87924234617588826</v>
      </c>
      <c r="M136" s="3">
        <v>0.88363855790676749</v>
      </c>
      <c r="N136" s="3">
        <v>0.8880567506963013</v>
      </c>
      <c r="O136" s="3">
        <v>0.89249703444978268</v>
      </c>
      <c r="P136" s="3">
        <v>0.89695951962203158</v>
      </c>
    </row>
    <row r="137" spans="1:16">
      <c r="A137" s="84" t="s">
        <v>347</v>
      </c>
      <c r="B137" s="85" t="s">
        <v>346</v>
      </c>
      <c r="C137" s="85" t="s">
        <v>99</v>
      </c>
      <c r="D137" s="84" t="s">
        <v>87</v>
      </c>
      <c r="E137" s="84">
        <f>VLOOKUP(A137,'2a. SI Pop'!$A$5:$E$198,5,FALSE)</f>
        <v>1</v>
      </c>
      <c r="F137" s="3">
        <v>0.99</v>
      </c>
      <c r="G137" s="3">
        <v>0.99</v>
      </c>
      <c r="H137" s="3">
        <v>0.99</v>
      </c>
      <c r="I137" s="3">
        <v>0.99</v>
      </c>
      <c r="J137" s="3">
        <v>0.99</v>
      </c>
      <c r="K137" s="3">
        <v>0.99</v>
      </c>
      <c r="L137" s="3">
        <v>0.99</v>
      </c>
      <c r="M137" s="3">
        <v>0.99</v>
      </c>
      <c r="N137" s="3">
        <v>0.99</v>
      </c>
      <c r="O137" s="3">
        <v>0.99</v>
      </c>
      <c r="P137" s="3">
        <v>0.99</v>
      </c>
    </row>
    <row r="138" spans="1:16">
      <c r="A138" s="84" t="s">
        <v>349</v>
      </c>
      <c r="B138" s="85" t="s">
        <v>348</v>
      </c>
      <c r="C138" s="85" t="s">
        <v>92</v>
      </c>
      <c r="D138" s="84" t="s">
        <v>87</v>
      </c>
      <c r="E138" s="84">
        <f>VLOOKUP(A138,'2a. SI Pop'!$A$5:$E$198,5,FALSE)</f>
        <v>1</v>
      </c>
      <c r="F138" s="3">
        <v>0.99</v>
      </c>
      <c r="G138" s="3">
        <v>0.99</v>
      </c>
      <c r="H138" s="3">
        <v>0.99</v>
      </c>
      <c r="I138" s="3">
        <v>0.99</v>
      </c>
      <c r="J138" s="3">
        <v>0.99</v>
      </c>
      <c r="K138" s="3">
        <v>0.99</v>
      </c>
      <c r="L138" s="3">
        <v>0.99</v>
      </c>
      <c r="M138" s="3">
        <v>0.99</v>
      </c>
      <c r="N138" s="3">
        <v>0.99</v>
      </c>
      <c r="O138" s="3">
        <v>0.99</v>
      </c>
      <c r="P138" s="3">
        <v>0.99</v>
      </c>
    </row>
    <row r="139" spans="1:16">
      <c r="A139" s="84" t="s">
        <v>351</v>
      </c>
      <c r="B139" s="85" t="s">
        <v>350</v>
      </c>
      <c r="C139" s="85" t="s">
        <v>99</v>
      </c>
      <c r="D139" s="84" t="s">
        <v>84</v>
      </c>
      <c r="E139" s="84">
        <f>VLOOKUP(A139,'2a. SI Pop'!$A$5:$E$198,5,FALSE)</f>
        <v>4</v>
      </c>
      <c r="F139" s="3">
        <v>0.51216653216804497</v>
      </c>
      <c r="G139" s="3">
        <v>0.52753152813308635</v>
      </c>
      <c r="H139" s="3">
        <v>0.5433574739770789</v>
      </c>
      <c r="I139" s="3">
        <v>0.55965819819639129</v>
      </c>
      <c r="J139" s="3">
        <v>0.57644794414228306</v>
      </c>
      <c r="K139" s="3">
        <v>0.59374138246655161</v>
      </c>
      <c r="L139" s="3">
        <v>0.61155362394054813</v>
      </c>
      <c r="M139" s="3">
        <v>0.6299002326587646</v>
      </c>
      <c r="N139" s="3">
        <v>0.64879723963852753</v>
      </c>
      <c r="O139" s="3">
        <v>0.66826115682768328</v>
      </c>
      <c r="P139" s="3">
        <v>0.68830899153251379</v>
      </c>
    </row>
    <row r="140" spans="1:16">
      <c r="A140" s="84" t="s">
        <v>353</v>
      </c>
      <c r="B140" s="85" t="s">
        <v>352</v>
      </c>
      <c r="C140" s="85" t="s">
        <v>92</v>
      </c>
      <c r="D140" s="84" t="s">
        <v>80</v>
      </c>
      <c r="E140" s="84">
        <f>VLOOKUP(A140,'2a. SI Pop'!$A$5:$E$198,5,FALSE)</f>
        <v>1</v>
      </c>
      <c r="F140" s="3">
        <v>0.91906437444986433</v>
      </c>
      <c r="G140" s="3">
        <v>0.92365969632211364</v>
      </c>
      <c r="H140" s="3">
        <v>0.92827799480372408</v>
      </c>
      <c r="I140" s="3">
        <v>0.9329193847777425</v>
      </c>
      <c r="J140" s="3">
        <v>0.93758398170163115</v>
      </c>
      <c r="K140" s="3">
        <v>0.94227190161013918</v>
      </c>
      <c r="L140" s="3">
        <v>0.94698326111818987</v>
      </c>
      <c r="M140" s="3">
        <v>0.95171817742378062</v>
      </c>
      <c r="N140" s="3">
        <v>0.95</v>
      </c>
      <c r="O140" s="3">
        <v>0.95</v>
      </c>
      <c r="P140" s="3">
        <v>0.95</v>
      </c>
    </row>
    <row r="141" spans="1:16">
      <c r="A141" s="84" t="s">
        <v>355</v>
      </c>
      <c r="B141" s="85" t="s">
        <v>354</v>
      </c>
      <c r="C141" s="85" t="s">
        <v>92</v>
      </c>
      <c r="D141" s="84" t="s">
        <v>80</v>
      </c>
      <c r="E141" s="84">
        <f>VLOOKUP(A141,'2a. SI Pop'!$A$5:$E$198,5,FALSE)</f>
        <v>2</v>
      </c>
      <c r="F141" s="3">
        <v>0.89793645779584419</v>
      </c>
      <c r="G141" s="3">
        <v>0.90242614008482336</v>
      </c>
      <c r="H141" s="3">
        <v>0.90693827078524736</v>
      </c>
      <c r="I141" s="3">
        <v>0.91147296213917339</v>
      </c>
      <c r="J141" s="3">
        <v>0.91603032694986919</v>
      </c>
      <c r="K141" s="3">
        <v>0.92061047858461853</v>
      </c>
      <c r="L141" s="3">
        <v>0.92521353097754144</v>
      </c>
      <c r="M141" s="3">
        <v>0.92983959863242904</v>
      </c>
      <c r="N141" s="3">
        <v>0.93448879662559103</v>
      </c>
      <c r="O141" s="3">
        <v>0.93916124060871897</v>
      </c>
      <c r="P141" s="3">
        <v>0.94385704681176252</v>
      </c>
    </row>
    <row r="142" spans="1:16">
      <c r="A142" s="84" t="s">
        <v>357</v>
      </c>
      <c r="B142" s="85" t="s">
        <v>356</v>
      </c>
      <c r="C142" s="85" t="s">
        <v>99</v>
      </c>
      <c r="D142" s="84" t="s">
        <v>84</v>
      </c>
      <c r="E142" s="84" t="str">
        <f>VLOOKUP(A142,'2a. SI Pop'!$A$5:$E$198,5,FALSE)</f>
        <v>Key</v>
      </c>
      <c r="F142" s="3">
        <v>0.80848751548695774</v>
      </c>
      <c r="G142" s="3">
        <v>0.81657239064182729</v>
      </c>
      <c r="H142" s="3">
        <v>0.82473811454824553</v>
      </c>
      <c r="I142" s="3">
        <v>0.83298549569372793</v>
      </c>
      <c r="J142" s="3">
        <v>0.84131535065066532</v>
      </c>
      <c r="K142" s="3">
        <v>0.84972850415717194</v>
      </c>
      <c r="L142" s="3">
        <v>0.85822578919874359</v>
      </c>
      <c r="M142" s="3">
        <v>0.86251691814473719</v>
      </c>
      <c r="N142" s="3">
        <v>0.86682950273546067</v>
      </c>
      <c r="O142" s="3">
        <v>0.87116365024913789</v>
      </c>
      <c r="P142" s="3">
        <v>0.87551946850038354</v>
      </c>
    </row>
    <row r="143" spans="1:16">
      <c r="A143" s="84" t="s">
        <v>359</v>
      </c>
      <c r="B143" s="85" t="s">
        <v>358</v>
      </c>
      <c r="C143" s="85" t="s">
        <v>79</v>
      </c>
      <c r="D143" s="84" t="s">
        <v>87</v>
      </c>
      <c r="E143" s="84">
        <f>VLOOKUP(A143,'2a. SI Pop'!$A$5:$E$198,5,FALSE)</f>
        <v>1</v>
      </c>
      <c r="F143" s="3">
        <v>0.98244812441192375</v>
      </c>
      <c r="G143" s="3">
        <v>0.98736036503398339</v>
      </c>
      <c r="H143" s="3">
        <v>0.99229716685915326</v>
      </c>
      <c r="I143" s="3">
        <v>0.99</v>
      </c>
      <c r="J143" s="3">
        <v>0.99</v>
      </c>
      <c r="K143" s="3">
        <v>0.99</v>
      </c>
      <c r="L143" s="3">
        <v>0.99</v>
      </c>
      <c r="M143" s="3">
        <v>0.99</v>
      </c>
      <c r="N143" s="3">
        <v>0.99</v>
      </c>
      <c r="O143" s="3">
        <v>0.99</v>
      </c>
      <c r="P143" s="3">
        <v>0.99</v>
      </c>
    </row>
    <row r="144" spans="1:16">
      <c r="A144" s="84" t="s">
        <v>361</v>
      </c>
      <c r="B144" s="85" t="s">
        <v>360</v>
      </c>
      <c r="C144" s="85" t="s">
        <v>79</v>
      </c>
      <c r="D144" s="84" t="s">
        <v>87</v>
      </c>
      <c r="E144" s="84">
        <f>VLOOKUP(A144,'2a. SI Pop'!$A$5:$E$198,5,FALSE)</f>
        <v>1</v>
      </c>
      <c r="F144" s="3">
        <v>0.99</v>
      </c>
      <c r="G144" s="3">
        <v>0.99</v>
      </c>
      <c r="H144" s="3">
        <v>0.99</v>
      </c>
      <c r="I144" s="3">
        <v>0.99</v>
      </c>
      <c r="J144" s="3">
        <v>0.99</v>
      </c>
      <c r="K144" s="3">
        <v>0.99</v>
      </c>
      <c r="L144" s="3">
        <v>0.99</v>
      </c>
      <c r="M144" s="3">
        <v>0.99</v>
      </c>
      <c r="N144" s="3">
        <v>0.99</v>
      </c>
      <c r="O144" s="3">
        <v>0.99</v>
      </c>
      <c r="P144" s="3">
        <v>0.99</v>
      </c>
    </row>
    <row r="145" spans="1:16">
      <c r="A145" s="84" t="s">
        <v>363</v>
      </c>
      <c r="B145" s="85" t="s">
        <v>362</v>
      </c>
      <c r="C145" s="85" t="s">
        <v>74</v>
      </c>
      <c r="D145" s="84" t="s">
        <v>87</v>
      </c>
      <c r="E145" s="84">
        <f>VLOOKUP(A145,'2a. SI Pop'!$A$5:$E$198,5,FALSE)</f>
        <v>1</v>
      </c>
      <c r="F145" s="3">
        <v>0.99</v>
      </c>
      <c r="G145" s="3">
        <v>0.99</v>
      </c>
      <c r="H145" s="3">
        <v>0.99</v>
      </c>
      <c r="I145" s="3">
        <v>0.99</v>
      </c>
      <c r="J145" s="3">
        <v>0.99</v>
      </c>
      <c r="K145" s="3">
        <v>0.99</v>
      </c>
      <c r="L145" s="3">
        <v>0.99</v>
      </c>
      <c r="M145" s="3">
        <v>0.99</v>
      </c>
      <c r="N145" s="3">
        <v>0.99</v>
      </c>
      <c r="O145" s="3">
        <v>0.99</v>
      </c>
      <c r="P145" s="3">
        <v>0.99</v>
      </c>
    </row>
    <row r="146" spans="1:16">
      <c r="A146" s="84" t="s">
        <v>365</v>
      </c>
      <c r="B146" s="85" t="s">
        <v>364</v>
      </c>
      <c r="C146" s="85" t="s">
        <v>79</v>
      </c>
      <c r="D146" s="84" t="s">
        <v>87</v>
      </c>
      <c r="E146" s="84">
        <f>VLOOKUP(A146,'2a. SI Pop'!$A$5:$E$198,5,FALSE)</f>
        <v>2</v>
      </c>
      <c r="F146" s="3">
        <v>0.95075624943089398</v>
      </c>
      <c r="G146" s="3">
        <v>0.95551003067804829</v>
      </c>
      <c r="H146" s="3">
        <v>0.96028758083143839</v>
      </c>
      <c r="I146" s="3">
        <v>0.96508901873559549</v>
      </c>
      <c r="J146" s="3">
        <v>0.96991446382927338</v>
      </c>
      <c r="K146" s="3">
        <v>0.97476403614841955</v>
      </c>
      <c r="L146" s="3">
        <v>0.97963785632916156</v>
      </c>
      <c r="M146" s="3">
        <v>0.98453604561080721</v>
      </c>
      <c r="N146" s="3">
        <v>0.98</v>
      </c>
      <c r="O146" s="3">
        <v>0.98</v>
      </c>
      <c r="P146" s="3">
        <v>0.98</v>
      </c>
    </row>
    <row r="147" spans="1:16">
      <c r="A147" s="84" t="s">
        <v>367</v>
      </c>
      <c r="B147" s="85" t="s">
        <v>366</v>
      </c>
      <c r="C147" s="85" t="s">
        <v>79</v>
      </c>
      <c r="D147" s="84" t="s">
        <v>80</v>
      </c>
      <c r="E147" s="84">
        <f>VLOOKUP(A147,'2a. SI Pop'!$A$5:$E$198,5,FALSE)</f>
        <v>2</v>
      </c>
      <c r="F147" s="3">
        <v>0.99</v>
      </c>
      <c r="G147" s="3">
        <v>0.99</v>
      </c>
      <c r="H147" s="3">
        <v>0.99</v>
      </c>
      <c r="I147" s="3">
        <v>0.99</v>
      </c>
      <c r="J147" s="3">
        <v>0.99</v>
      </c>
      <c r="K147" s="3">
        <v>0.99</v>
      </c>
      <c r="L147" s="3">
        <v>0.99</v>
      </c>
      <c r="M147" s="3">
        <v>0.99</v>
      </c>
      <c r="N147" s="3">
        <v>0.99</v>
      </c>
      <c r="O147" s="3">
        <v>0.99</v>
      </c>
      <c r="P147" s="3">
        <v>0.99</v>
      </c>
    </row>
    <row r="148" spans="1:16">
      <c r="A148" s="84" t="s">
        <v>369</v>
      </c>
      <c r="B148" s="85" t="s">
        <v>368</v>
      </c>
      <c r="C148" s="85" t="s">
        <v>83</v>
      </c>
      <c r="D148" s="84" t="s">
        <v>75</v>
      </c>
      <c r="E148" s="84">
        <f>VLOOKUP(A148,'2a. SI Pop'!$A$5:$E$198,5,FALSE)</f>
        <v>3</v>
      </c>
      <c r="F148" s="3">
        <v>0.99</v>
      </c>
      <c r="G148" s="3">
        <v>0.99</v>
      </c>
      <c r="H148" s="3">
        <v>0.99</v>
      </c>
      <c r="I148" s="3">
        <v>0.99</v>
      </c>
      <c r="J148" s="3">
        <v>0.99</v>
      </c>
      <c r="K148" s="3">
        <v>0.99</v>
      </c>
      <c r="L148" s="3">
        <v>0.99</v>
      </c>
      <c r="M148" s="3">
        <v>0.99</v>
      </c>
      <c r="N148" s="3">
        <v>0.99</v>
      </c>
      <c r="O148" s="3">
        <v>0.99</v>
      </c>
      <c r="P148" s="3">
        <v>0.99</v>
      </c>
    </row>
    <row r="149" spans="1:16">
      <c r="A149" s="84" t="s">
        <v>371</v>
      </c>
      <c r="B149" s="85" t="s">
        <v>370</v>
      </c>
      <c r="C149" s="85" t="s">
        <v>92</v>
      </c>
      <c r="D149" s="84" t="s">
        <v>87</v>
      </c>
      <c r="E149" s="84">
        <f>VLOOKUP(A149,'2a. SI Pop'!$A$5:$E$198,5,FALSE)</f>
        <v>1</v>
      </c>
      <c r="F149" s="3">
        <v>0.99</v>
      </c>
      <c r="G149" s="3">
        <v>0.99</v>
      </c>
      <c r="H149" s="3">
        <v>0.99</v>
      </c>
      <c r="I149" s="3">
        <v>0.99</v>
      </c>
      <c r="J149" s="3">
        <v>0.99</v>
      </c>
      <c r="K149" s="3">
        <v>0.99</v>
      </c>
      <c r="L149" s="3">
        <v>0.99</v>
      </c>
      <c r="M149" s="3">
        <v>0.99</v>
      </c>
      <c r="N149" s="3">
        <v>0.99</v>
      </c>
      <c r="O149" s="3">
        <v>0.99</v>
      </c>
      <c r="P149" s="3">
        <v>0.99</v>
      </c>
    </row>
    <row r="150" spans="1:16">
      <c r="A150" s="84" t="s">
        <v>373</v>
      </c>
      <c r="B150" s="85" t="s">
        <v>372</v>
      </c>
      <c r="C150" s="85" t="s">
        <v>92</v>
      </c>
      <c r="D150" s="84" t="s">
        <v>80</v>
      </c>
      <c r="E150" s="84">
        <f>VLOOKUP(A150,'2a. SI Pop'!$A$5:$E$198,5,FALSE)</f>
        <v>1</v>
      </c>
      <c r="F150" s="3">
        <v>0.99</v>
      </c>
      <c r="G150" s="3">
        <v>0.99</v>
      </c>
      <c r="H150" s="3">
        <v>0.99</v>
      </c>
      <c r="I150" s="3">
        <v>0.99</v>
      </c>
      <c r="J150" s="3">
        <v>0.99</v>
      </c>
      <c r="K150" s="3">
        <v>0.99</v>
      </c>
      <c r="L150" s="3">
        <v>0.99</v>
      </c>
      <c r="M150" s="3">
        <v>0.99</v>
      </c>
      <c r="N150" s="3">
        <v>0.99</v>
      </c>
      <c r="O150" s="3">
        <v>0.99</v>
      </c>
      <c r="P150" s="3">
        <v>0.99</v>
      </c>
    </row>
    <row r="151" spans="1:16">
      <c r="A151" s="84" t="s">
        <v>375</v>
      </c>
      <c r="B151" s="85" t="s">
        <v>374</v>
      </c>
      <c r="C151" s="85" t="s">
        <v>92</v>
      </c>
      <c r="D151" s="84" t="s">
        <v>80</v>
      </c>
      <c r="E151" s="84">
        <f>VLOOKUP(A151,'2a. SI Pop'!$A$5:$E$198,5,FALSE)</f>
        <v>1</v>
      </c>
      <c r="F151" s="3">
        <v>0.99</v>
      </c>
      <c r="G151" s="3">
        <v>0.99</v>
      </c>
      <c r="H151" s="3">
        <v>0.99</v>
      </c>
      <c r="I151" s="3">
        <v>0.99</v>
      </c>
      <c r="J151" s="3">
        <v>0.99</v>
      </c>
      <c r="K151" s="3">
        <v>0.99</v>
      </c>
      <c r="L151" s="3">
        <v>0.99</v>
      </c>
      <c r="M151" s="3">
        <v>0.99</v>
      </c>
      <c r="N151" s="3">
        <v>0.99</v>
      </c>
      <c r="O151" s="3">
        <v>0.99</v>
      </c>
      <c r="P151" s="3">
        <v>0.99</v>
      </c>
    </row>
    <row r="152" spans="1:16">
      <c r="A152" s="84" t="s">
        <v>377</v>
      </c>
      <c r="B152" s="85" t="s">
        <v>376</v>
      </c>
      <c r="C152" s="85" t="s">
        <v>99</v>
      </c>
      <c r="D152" s="84" t="s">
        <v>80</v>
      </c>
      <c r="E152" s="84">
        <f>VLOOKUP(A152,'2a. SI Pop'!$A$5:$E$198,5,FALSE)</f>
        <v>2</v>
      </c>
      <c r="F152" s="3">
        <v>0.91906437444986433</v>
      </c>
      <c r="G152" s="3">
        <v>0.92365969632211364</v>
      </c>
      <c r="H152" s="3">
        <v>0.92827799480372408</v>
      </c>
      <c r="I152" s="3">
        <v>0.9329193847777425</v>
      </c>
      <c r="J152" s="3">
        <v>0.93758398170163115</v>
      </c>
      <c r="K152" s="3">
        <v>0.94227190161013918</v>
      </c>
      <c r="L152" s="3">
        <v>0.94698326111818987</v>
      </c>
      <c r="M152" s="3">
        <v>0.95171817742378062</v>
      </c>
      <c r="N152" s="3">
        <v>0.95647676831089956</v>
      </c>
      <c r="O152" s="3">
        <v>0.96125915215245394</v>
      </c>
      <c r="P152" s="3">
        <v>0.96606544791321614</v>
      </c>
    </row>
    <row r="153" spans="1:16">
      <c r="A153" s="84" t="s">
        <v>379</v>
      </c>
      <c r="B153" s="85" t="s">
        <v>378</v>
      </c>
      <c r="C153" s="85" t="s">
        <v>79</v>
      </c>
      <c r="D153" s="84" t="s">
        <v>87</v>
      </c>
      <c r="E153" s="84">
        <f>VLOOKUP(A153,'2a. SI Pop'!$A$5:$E$198,5,FALSE)</f>
        <v>1</v>
      </c>
      <c r="F153" s="3">
        <v>0.90850041612285448</v>
      </c>
      <c r="G153" s="3">
        <v>0.91304291820346872</v>
      </c>
      <c r="H153" s="3">
        <v>0.91760813279448594</v>
      </c>
      <c r="I153" s="3">
        <v>0.92219617345845828</v>
      </c>
      <c r="J153" s="3">
        <v>0.92680715432575056</v>
      </c>
      <c r="K153" s="3">
        <v>0.93144119009737925</v>
      </c>
      <c r="L153" s="3">
        <v>0.93609839604786604</v>
      </c>
      <c r="M153" s="3">
        <v>0.94077888802810516</v>
      </c>
      <c r="N153" s="3">
        <v>0.94548278246824569</v>
      </c>
      <c r="O153" s="3">
        <v>0.95021019638058679</v>
      </c>
      <c r="P153" s="3">
        <v>0.95496124736248955</v>
      </c>
    </row>
    <row r="154" spans="1:16">
      <c r="A154" s="84" t="s">
        <v>381</v>
      </c>
      <c r="B154" s="85" t="s">
        <v>380</v>
      </c>
      <c r="C154" s="85" t="s">
        <v>83</v>
      </c>
      <c r="D154" s="84" t="s">
        <v>84</v>
      </c>
      <c r="E154" s="84">
        <f>VLOOKUP(A154,'2a. SI Pop'!$A$5:$E$198,5,FALSE)</f>
        <v>3</v>
      </c>
      <c r="F154" s="3">
        <v>0.95474999999999999</v>
      </c>
      <c r="G154" s="3">
        <v>0.95</v>
      </c>
      <c r="H154" s="3">
        <v>0.95474999999999999</v>
      </c>
      <c r="I154" s="3">
        <v>0.95</v>
      </c>
      <c r="J154" s="3">
        <v>0.95474999999999999</v>
      </c>
      <c r="K154" s="3">
        <v>0.95</v>
      </c>
      <c r="L154" s="3">
        <v>0.95474999999999999</v>
      </c>
      <c r="M154" s="3">
        <v>0.95</v>
      </c>
      <c r="N154" s="3">
        <v>0.95474999999999999</v>
      </c>
      <c r="O154" s="3">
        <v>0.95</v>
      </c>
      <c r="P154" s="3">
        <v>0.95474999999999999</v>
      </c>
    </row>
    <row r="155" spans="1:16">
      <c r="A155" s="84" t="s">
        <v>383</v>
      </c>
      <c r="B155" s="85" t="s">
        <v>382</v>
      </c>
      <c r="C155" s="85" t="s">
        <v>74</v>
      </c>
      <c r="D155" s="84" t="s">
        <v>87</v>
      </c>
      <c r="E155" s="84">
        <f>VLOOKUP(A155,'2a. SI Pop'!$A$5:$E$198,5,FALSE)</f>
        <v>1</v>
      </c>
      <c r="F155" s="3">
        <v>0.98</v>
      </c>
      <c r="G155" s="3">
        <v>0.98</v>
      </c>
      <c r="H155" s="3">
        <v>0.98</v>
      </c>
      <c r="I155" s="3">
        <v>0.98</v>
      </c>
      <c r="J155" s="3">
        <v>0.98</v>
      </c>
      <c r="K155" s="3">
        <v>0.98</v>
      </c>
      <c r="L155" s="3">
        <v>0.98</v>
      </c>
      <c r="M155" s="3">
        <v>0.98</v>
      </c>
      <c r="N155" s="3">
        <v>0.98</v>
      </c>
      <c r="O155" s="3">
        <v>0.98</v>
      </c>
      <c r="P155" s="3">
        <v>0.98</v>
      </c>
    </row>
    <row r="156" spans="1:16">
      <c r="A156" s="84" t="s">
        <v>385</v>
      </c>
      <c r="B156" s="85" t="s">
        <v>384</v>
      </c>
      <c r="C156" s="85" t="s">
        <v>83</v>
      </c>
      <c r="D156" s="84" t="s">
        <v>84</v>
      </c>
      <c r="E156" s="84">
        <f>VLOOKUP(A156,'2a. SI Pop'!$A$5:$E$198,5,FALSE)</f>
        <v>3</v>
      </c>
      <c r="F156" s="3">
        <v>0.95075624943089398</v>
      </c>
      <c r="G156" s="3">
        <v>0.95</v>
      </c>
      <c r="H156" s="3">
        <v>0.95</v>
      </c>
      <c r="I156" s="3">
        <v>0.95</v>
      </c>
      <c r="J156" s="3">
        <v>0.95</v>
      </c>
      <c r="K156" s="3">
        <v>0.95</v>
      </c>
      <c r="L156" s="3">
        <v>0.95</v>
      </c>
      <c r="M156" s="3">
        <v>0.95</v>
      </c>
      <c r="N156" s="3">
        <v>0.95</v>
      </c>
      <c r="O156" s="3">
        <v>0.95</v>
      </c>
      <c r="P156" s="3">
        <v>0.95</v>
      </c>
    </row>
    <row r="157" spans="1:16">
      <c r="A157" s="84" t="s">
        <v>387</v>
      </c>
      <c r="B157" s="85" t="s">
        <v>386</v>
      </c>
      <c r="C157" s="85" t="s">
        <v>79</v>
      </c>
      <c r="D157" s="84" t="s">
        <v>80</v>
      </c>
      <c r="E157" s="84">
        <f>VLOOKUP(A157,'2a. SI Pop'!$A$5:$E$198,5,FALSE)</f>
        <v>1</v>
      </c>
      <c r="F157" s="3">
        <v>0.91906437444986433</v>
      </c>
      <c r="G157" s="3">
        <v>0.92365969632211364</v>
      </c>
      <c r="H157" s="3">
        <v>0.92827799480372408</v>
      </c>
      <c r="I157" s="3">
        <v>0.9329193847777425</v>
      </c>
      <c r="J157" s="3">
        <v>0.93758398170163115</v>
      </c>
      <c r="K157" s="3">
        <v>0.94227190161013918</v>
      </c>
      <c r="L157" s="3">
        <v>0.94698326111818987</v>
      </c>
      <c r="M157" s="3">
        <v>0.95171817742378062</v>
      </c>
      <c r="N157" s="3">
        <v>0.95647676831089956</v>
      </c>
      <c r="O157" s="3">
        <v>0.96125915215245394</v>
      </c>
      <c r="P157" s="3">
        <v>0.96</v>
      </c>
    </row>
    <row r="158" spans="1:16">
      <c r="A158" s="84" t="s">
        <v>389</v>
      </c>
      <c r="B158" s="85" t="s">
        <v>388</v>
      </c>
      <c r="C158" s="85" t="s">
        <v>83</v>
      </c>
      <c r="D158" s="84" t="s">
        <v>87</v>
      </c>
      <c r="E158" s="84">
        <f>VLOOKUP(A158,'2a. SI Pop'!$A$5:$E$198,5,FALSE)</f>
        <v>1</v>
      </c>
      <c r="F158" s="3">
        <v>0.99</v>
      </c>
      <c r="G158" s="3">
        <v>0.99</v>
      </c>
      <c r="H158" s="3">
        <v>0.99</v>
      </c>
      <c r="I158" s="3">
        <v>0.99</v>
      </c>
      <c r="J158" s="3">
        <v>0.99</v>
      </c>
      <c r="K158" s="3">
        <v>0.99</v>
      </c>
      <c r="L158" s="3">
        <v>0.99</v>
      </c>
      <c r="M158" s="3">
        <v>0.99</v>
      </c>
      <c r="N158" s="3">
        <v>0.99</v>
      </c>
      <c r="O158" s="3">
        <v>0.99</v>
      </c>
      <c r="P158" s="3">
        <v>0.99</v>
      </c>
    </row>
    <row r="159" spans="1:16">
      <c r="A159" s="84" t="s">
        <v>391</v>
      </c>
      <c r="B159" s="85" t="s">
        <v>390</v>
      </c>
      <c r="C159" s="85" t="s">
        <v>83</v>
      </c>
      <c r="D159" s="84" t="s">
        <v>75</v>
      </c>
      <c r="E159" s="84">
        <f>VLOOKUP(A159,'2a. SI Pop'!$A$5:$E$198,5,FALSE)</f>
        <v>3</v>
      </c>
      <c r="F159" s="3">
        <v>0.95348366540915575</v>
      </c>
      <c r="G159" s="3">
        <v>0.95</v>
      </c>
      <c r="H159" s="3">
        <v>0.95</v>
      </c>
      <c r="I159" s="3">
        <v>0.95</v>
      </c>
      <c r="J159" s="3">
        <v>0.95</v>
      </c>
      <c r="K159" s="3">
        <v>0.95</v>
      </c>
      <c r="L159" s="3">
        <v>0.95</v>
      </c>
      <c r="M159" s="3">
        <v>0.95</v>
      </c>
      <c r="N159" s="3">
        <v>0.95</v>
      </c>
      <c r="O159" s="3">
        <v>0.95</v>
      </c>
      <c r="P159" s="3">
        <v>0.95</v>
      </c>
    </row>
    <row r="160" spans="1:16">
      <c r="A160" s="84" t="s">
        <v>393</v>
      </c>
      <c r="B160" s="85" t="s">
        <v>392</v>
      </c>
      <c r="C160" s="85" t="s">
        <v>99</v>
      </c>
      <c r="D160" s="84" t="s">
        <v>87</v>
      </c>
      <c r="E160" s="84">
        <f>VLOOKUP(A160,'2a. SI Pop'!$A$5:$E$198,5,FALSE)</f>
        <v>1</v>
      </c>
      <c r="F160" s="3">
        <v>0.96</v>
      </c>
      <c r="G160" s="3">
        <v>0.96</v>
      </c>
      <c r="H160" s="3">
        <v>0.96</v>
      </c>
      <c r="I160" s="3">
        <v>0.96</v>
      </c>
      <c r="J160" s="3">
        <v>0.96</v>
      </c>
      <c r="K160" s="3">
        <v>0.96</v>
      </c>
      <c r="L160" s="3">
        <v>0.96</v>
      </c>
      <c r="M160" s="3">
        <v>0.96</v>
      </c>
      <c r="N160" s="3">
        <v>0.96</v>
      </c>
      <c r="O160" s="3">
        <v>0.96</v>
      </c>
      <c r="P160" s="3">
        <v>0.96</v>
      </c>
    </row>
    <row r="161" spans="1:16">
      <c r="A161" s="84" t="s">
        <v>395</v>
      </c>
      <c r="B161" s="85" t="s">
        <v>394</v>
      </c>
      <c r="C161" s="85" t="s">
        <v>79</v>
      </c>
      <c r="D161" s="84" t="s">
        <v>87</v>
      </c>
      <c r="E161" s="84">
        <f>VLOOKUP(A161,'2a. SI Pop'!$A$5:$E$198,5,FALSE)</f>
        <v>1</v>
      </c>
      <c r="F161" s="3">
        <v>0.99</v>
      </c>
      <c r="G161" s="3">
        <v>0.99</v>
      </c>
      <c r="H161" s="3">
        <v>0.99</v>
      </c>
      <c r="I161" s="3">
        <v>0.99</v>
      </c>
      <c r="J161" s="3">
        <v>0.99</v>
      </c>
      <c r="K161" s="3">
        <v>0.99</v>
      </c>
      <c r="L161" s="3">
        <v>0.99</v>
      </c>
      <c r="M161" s="3">
        <v>0.99</v>
      </c>
      <c r="N161" s="3">
        <v>0.99</v>
      </c>
      <c r="O161" s="3">
        <v>0.99</v>
      </c>
      <c r="P161" s="3">
        <v>0.99</v>
      </c>
    </row>
    <row r="162" spans="1:16">
      <c r="A162" s="84" t="s">
        <v>397</v>
      </c>
      <c r="B162" s="85" t="s">
        <v>396</v>
      </c>
      <c r="C162" s="85" t="s">
        <v>79</v>
      </c>
      <c r="D162" s="84" t="s">
        <v>87</v>
      </c>
      <c r="E162" s="84">
        <f>VLOOKUP(A162,'2a. SI Pop'!$A$5:$E$198,5,FALSE)</f>
        <v>1</v>
      </c>
      <c r="F162" s="3">
        <v>0.96</v>
      </c>
      <c r="G162" s="3">
        <v>0.96</v>
      </c>
      <c r="H162" s="3">
        <v>0.96</v>
      </c>
      <c r="I162" s="3">
        <v>0.96</v>
      </c>
      <c r="J162" s="3">
        <v>0.96</v>
      </c>
      <c r="K162" s="3">
        <v>0.96</v>
      </c>
      <c r="L162" s="3">
        <v>0.96</v>
      </c>
      <c r="M162" s="3">
        <v>0.96</v>
      </c>
      <c r="N162" s="3">
        <v>0.96</v>
      </c>
      <c r="O162" s="3">
        <v>0.96</v>
      </c>
      <c r="P162" s="3">
        <v>0.96</v>
      </c>
    </row>
    <row r="163" spans="1:16">
      <c r="A163" s="84" t="s">
        <v>399</v>
      </c>
      <c r="B163" s="85" t="s">
        <v>398</v>
      </c>
      <c r="C163" s="85" t="s">
        <v>74</v>
      </c>
      <c r="D163" s="84" t="s">
        <v>75</v>
      </c>
      <c r="E163" s="84">
        <f>VLOOKUP(A163,'2a. SI Pop'!$A$5:$E$198,5,FALSE)</f>
        <v>3</v>
      </c>
      <c r="F163" s="3">
        <v>0.63674758053324509</v>
      </c>
      <c r="G163" s="3">
        <v>0.65585000794924242</v>
      </c>
      <c r="H163" s="3">
        <v>0.67552550818771973</v>
      </c>
      <c r="I163" s="3">
        <v>0.69579127343335134</v>
      </c>
      <c r="J163" s="3">
        <v>0.71666501163635188</v>
      </c>
      <c r="K163" s="3">
        <v>0.73816496198544246</v>
      </c>
      <c r="L163" s="3">
        <v>0.76030991084500565</v>
      </c>
      <c r="M163" s="3">
        <v>0.76791300995345579</v>
      </c>
      <c r="N163" s="3">
        <v>0.77559214005299038</v>
      </c>
      <c r="O163" s="3">
        <v>0.78334806145352032</v>
      </c>
      <c r="P163" s="3">
        <v>0.79118154206805558</v>
      </c>
    </row>
    <row r="164" spans="1:16">
      <c r="A164" s="84" t="s">
        <v>401</v>
      </c>
      <c r="B164" s="85" t="s">
        <v>400</v>
      </c>
      <c r="C164" s="85" t="s">
        <v>99</v>
      </c>
      <c r="D164" s="84" t="s">
        <v>84</v>
      </c>
      <c r="E164" s="84">
        <f>VLOOKUP(A164,'2a. SI Pop'!$A$5:$E$198,5,FALSE)</f>
        <v>4</v>
      </c>
      <c r="F164" s="3">
        <v>0.87717906539358192</v>
      </c>
      <c r="G164" s="3">
        <v>0.8815649607205498</v>
      </c>
      <c r="H164" s="3">
        <v>0.88597278552415248</v>
      </c>
      <c r="I164" s="3">
        <v>0.89040264945177316</v>
      </c>
      <c r="J164" s="3">
        <v>0.8948546626990318</v>
      </c>
      <c r="K164" s="3">
        <v>0.89932893601252684</v>
      </c>
      <c r="L164" s="3">
        <v>0.90382558069258934</v>
      </c>
      <c r="M164" s="3">
        <v>0.90834470859605221</v>
      </c>
      <c r="N164" s="3">
        <v>0.91288643213903231</v>
      </c>
      <c r="O164" s="3">
        <v>0.91745086429972733</v>
      </c>
      <c r="P164" s="3">
        <v>0.92203811862122576</v>
      </c>
    </row>
    <row r="165" spans="1:16">
      <c r="A165" s="84" t="s">
        <v>403</v>
      </c>
      <c r="B165" s="85" t="s">
        <v>402</v>
      </c>
      <c r="C165" s="85" t="s">
        <v>83</v>
      </c>
      <c r="D165" s="84" t="s">
        <v>80</v>
      </c>
      <c r="E165" s="84" t="str">
        <f>VLOOKUP(A165,'2a. SI Pop'!$A$5:$E$198,5,FALSE)</f>
        <v>Key</v>
      </c>
      <c r="F165" s="3">
        <v>0.83540930816940373</v>
      </c>
      <c r="G165" s="3">
        <v>0.84376340125109772</v>
      </c>
      <c r="H165" s="3">
        <v>0.85220103526360869</v>
      </c>
      <c r="I165" s="3">
        <v>0.85646204043992669</v>
      </c>
      <c r="J165" s="3">
        <v>0.86074435064212618</v>
      </c>
      <c r="K165" s="3">
        <v>0.86504807239533676</v>
      </c>
      <c r="L165" s="3">
        <v>0.86937331275731333</v>
      </c>
      <c r="M165" s="3">
        <v>0.8737201793210998</v>
      </c>
      <c r="N165" s="3">
        <v>0.8780887802177052</v>
      </c>
      <c r="O165" s="3">
        <v>0.88247922411879376</v>
      </c>
      <c r="P165" s="3">
        <v>0.88689162023938761</v>
      </c>
    </row>
    <row r="166" spans="1:16">
      <c r="A166" s="84" t="s">
        <v>405</v>
      </c>
      <c r="B166" s="85" t="s">
        <v>404</v>
      </c>
      <c r="C166" s="85" t="s">
        <v>79</v>
      </c>
      <c r="D166" s="84" t="s">
        <v>87</v>
      </c>
      <c r="E166" s="84">
        <f>VLOOKUP(A166,'2a. SI Pop'!$A$5:$E$198,5,FALSE)</f>
        <v>1</v>
      </c>
      <c r="F166" s="3">
        <v>0.98</v>
      </c>
      <c r="G166" s="3">
        <v>0.98</v>
      </c>
      <c r="H166" s="3">
        <v>0.98</v>
      </c>
      <c r="I166" s="3">
        <v>0.98</v>
      </c>
      <c r="J166" s="3">
        <v>0.98</v>
      </c>
      <c r="K166" s="3">
        <v>0.98</v>
      </c>
      <c r="L166" s="3">
        <v>0.98</v>
      </c>
      <c r="M166" s="3">
        <v>0.98</v>
      </c>
      <c r="N166" s="3">
        <v>0.98</v>
      </c>
      <c r="O166" s="3">
        <v>0.98</v>
      </c>
      <c r="P166" s="3">
        <v>0.98</v>
      </c>
    </row>
    <row r="167" spans="1:16">
      <c r="A167" s="84" t="s">
        <v>407</v>
      </c>
      <c r="B167" s="85" t="s">
        <v>406</v>
      </c>
      <c r="C167" s="85" t="s">
        <v>110</v>
      </c>
      <c r="D167" s="84" t="s">
        <v>84</v>
      </c>
      <c r="E167" s="84">
        <f>VLOOKUP(A167,'2a. SI Pop'!$A$5:$E$198,5,FALSE)</f>
        <v>2</v>
      </c>
      <c r="F167" s="3">
        <v>0.99</v>
      </c>
      <c r="G167" s="3">
        <v>0.99</v>
      </c>
      <c r="H167" s="3">
        <v>0.99</v>
      </c>
      <c r="I167" s="3">
        <v>0.99</v>
      </c>
      <c r="J167" s="3">
        <v>0.99</v>
      </c>
      <c r="K167" s="3">
        <v>0.99</v>
      </c>
      <c r="L167" s="3">
        <v>0.99</v>
      </c>
      <c r="M167" s="3">
        <v>0.99</v>
      </c>
      <c r="N167" s="3">
        <v>0.99</v>
      </c>
      <c r="O167" s="3">
        <v>0.99</v>
      </c>
      <c r="P167" s="3">
        <v>0.99</v>
      </c>
    </row>
    <row r="168" spans="1:16">
      <c r="A168" s="84" t="s">
        <v>409</v>
      </c>
      <c r="B168" s="85" t="s">
        <v>408</v>
      </c>
      <c r="C168" s="85" t="s">
        <v>74</v>
      </c>
      <c r="D168" s="84" t="s">
        <v>75</v>
      </c>
      <c r="E168" s="84">
        <f>VLOOKUP(A168,'2a. SI Pop'!$A$5:$E$198,5,FALSE)</f>
        <v>3</v>
      </c>
      <c r="F168" s="3">
        <v>0.95075624943089398</v>
      </c>
      <c r="G168" s="3">
        <v>0.95</v>
      </c>
      <c r="H168" s="3">
        <v>0.95</v>
      </c>
      <c r="I168" s="3">
        <v>0.95</v>
      </c>
      <c r="J168" s="3">
        <v>0.95</v>
      </c>
      <c r="K168" s="3">
        <v>0.95</v>
      </c>
      <c r="L168" s="3">
        <v>0.95</v>
      </c>
      <c r="M168" s="3">
        <v>0.95</v>
      </c>
      <c r="N168" s="3">
        <v>0.95</v>
      </c>
      <c r="O168" s="3">
        <v>0.95</v>
      </c>
      <c r="P168" s="3">
        <v>0.95</v>
      </c>
    </row>
    <row r="169" spans="1:16">
      <c r="A169" s="84" t="s">
        <v>411</v>
      </c>
      <c r="B169" s="85" t="s">
        <v>410</v>
      </c>
      <c r="C169" s="85" t="s">
        <v>74</v>
      </c>
      <c r="D169" s="84" t="s">
        <v>75</v>
      </c>
      <c r="E169" s="84">
        <f>VLOOKUP(A169,'2a. SI Pop'!$A$5:$E$198,5,FALSE)</f>
        <v>3</v>
      </c>
      <c r="F169" s="3">
        <v>0.67827459665497825</v>
      </c>
      <c r="G169" s="3">
        <v>0.69862283455462759</v>
      </c>
      <c r="H169" s="3">
        <v>0.71958151959126637</v>
      </c>
      <c r="I169" s="3">
        <v>0.74116896517900444</v>
      </c>
      <c r="J169" s="3">
        <v>0.76340403413437452</v>
      </c>
      <c r="K169" s="3">
        <v>0.77103807447571837</v>
      </c>
      <c r="L169" s="3">
        <v>0.77874845522047564</v>
      </c>
      <c r="M169" s="3">
        <v>0.78653593977268044</v>
      </c>
      <c r="N169" s="3">
        <v>0.79440129917040725</v>
      </c>
      <c r="O169" s="3">
        <v>0.80234531216211125</v>
      </c>
      <c r="P169" s="3">
        <v>0.81036876528373236</v>
      </c>
    </row>
    <row r="170" spans="1:16">
      <c r="A170" s="84" t="s">
        <v>413</v>
      </c>
      <c r="B170" s="85" t="s">
        <v>412</v>
      </c>
      <c r="C170" s="85" t="s">
        <v>92</v>
      </c>
      <c r="D170" s="84" t="s">
        <v>80</v>
      </c>
      <c r="E170" s="84">
        <f>VLOOKUP(A170,'2a. SI Pop'!$A$5:$E$198,5,FALSE)</f>
        <v>1</v>
      </c>
      <c r="F170" s="3">
        <v>0.80317501695805726</v>
      </c>
      <c r="G170" s="3">
        <v>0.81120676712763795</v>
      </c>
      <c r="H170" s="3">
        <v>0.81931883479891443</v>
      </c>
      <c r="I170" s="3">
        <v>0.82751202314690364</v>
      </c>
      <c r="J170" s="3">
        <v>0.83578714337837268</v>
      </c>
      <c r="K170" s="3">
        <v>0.84414501481215642</v>
      </c>
      <c r="L170" s="3">
        <v>0.8525864649602779</v>
      </c>
      <c r="M170" s="3">
        <v>0.85684939728507925</v>
      </c>
      <c r="N170" s="3">
        <v>0.86113364427150463</v>
      </c>
      <c r="O170" s="3">
        <v>0.86543931249286199</v>
      </c>
      <c r="P170" s="3">
        <v>0.86976650905532626</v>
      </c>
    </row>
    <row r="171" spans="1:16">
      <c r="A171" s="84" t="s">
        <v>415</v>
      </c>
      <c r="B171" s="85" t="s">
        <v>414</v>
      </c>
      <c r="C171" s="85" t="s">
        <v>83</v>
      </c>
      <c r="D171" s="84" t="s">
        <v>84</v>
      </c>
      <c r="E171" s="84">
        <f>VLOOKUP(A171,'2a. SI Pop'!$A$5:$E$198,5,FALSE)</f>
        <v>3</v>
      </c>
      <c r="F171" s="3">
        <v>0.87717906539358192</v>
      </c>
      <c r="G171" s="3">
        <v>0.8815649607205498</v>
      </c>
      <c r="H171" s="3">
        <v>0.88597278552415248</v>
      </c>
      <c r="I171" s="3">
        <v>0.89040264945177316</v>
      </c>
      <c r="J171" s="3">
        <v>0.8948546626990318</v>
      </c>
      <c r="K171" s="3">
        <v>0.89932893601252684</v>
      </c>
      <c r="L171" s="3">
        <v>0.90382558069258934</v>
      </c>
      <c r="M171" s="3">
        <v>0.90834470859605221</v>
      </c>
      <c r="N171" s="3">
        <v>0.91288643213903231</v>
      </c>
      <c r="O171" s="3">
        <v>0.91745086429972733</v>
      </c>
      <c r="P171" s="3">
        <v>0.92203811862122576</v>
      </c>
    </row>
    <row r="172" spans="1:16">
      <c r="A172" s="84" t="s">
        <v>417</v>
      </c>
      <c r="B172" s="85" t="s">
        <v>416</v>
      </c>
      <c r="C172" s="85" t="s">
        <v>79</v>
      </c>
      <c r="D172" s="84" t="s">
        <v>87</v>
      </c>
      <c r="E172" s="84">
        <f>VLOOKUP(A172,'2a. SI Pop'!$A$5:$E$198,5,FALSE)</f>
        <v>1</v>
      </c>
      <c r="F172" s="3">
        <v>0.98</v>
      </c>
      <c r="G172" s="3">
        <v>0.98</v>
      </c>
      <c r="H172" s="3">
        <v>0.98</v>
      </c>
      <c r="I172" s="3">
        <v>0.98</v>
      </c>
      <c r="J172" s="3">
        <v>0.98</v>
      </c>
      <c r="K172" s="3">
        <v>0.98</v>
      </c>
      <c r="L172" s="3">
        <v>0.98</v>
      </c>
      <c r="M172" s="3">
        <v>0.98</v>
      </c>
      <c r="N172" s="3">
        <v>0.98</v>
      </c>
      <c r="O172" s="3">
        <v>0.98</v>
      </c>
      <c r="P172" s="3">
        <v>0.98</v>
      </c>
    </row>
    <row r="173" spans="1:16">
      <c r="A173" s="84" t="s">
        <v>419</v>
      </c>
      <c r="B173" s="85" t="s">
        <v>418</v>
      </c>
      <c r="C173" s="85" t="s">
        <v>79</v>
      </c>
      <c r="D173" s="84" t="s">
        <v>87</v>
      </c>
      <c r="E173" s="84">
        <f>VLOOKUP(A173,'2a. SI Pop'!$A$5:$E$198,5,FALSE)</f>
        <v>1</v>
      </c>
      <c r="F173" s="3">
        <v>0.95474999999999999</v>
      </c>
      <c r="G173" s="3">
        <v>0.95</v>
      </c>
      <c r="H173" s="3">
        <v>0.95474999999999999</v>
      </c>
      <c r="I173" s="3">
        <v>0.95</v>
      </c>
      <c r="J173" s="3">
        <v>0.95474999999999999</v>
      </c>
      <c r="K173" s="3">
        <v>0.95</v>
      </c>
      <c r="L173" s="3">
        <v>0.95474999999999999</v>
      </c>
      <c r="M173" s="3">
        <v>0.95</v>
      </c>
      <c r="N173" s="3">
        <v>0.95474999999999999</v>
      </c>
      <c r="O173" s="3">
        <v>0.95</v>
      </c>
      <c r="P173" s="3">
        <v>0.95474999999999999</v>
      </c>
    </row>
    <row r="174" spans="1:16">
      <c r="A174" s="84" t="s">
        <v>421</v>
      </c>
      <c r="B174" s="85" t="s">
        <v>420</v>
      </c>
      <c r="C174" s="85" t="s">
        <v>74</v>
      </c>
      <c r="D174" s="84" t="s">
        <v>75</v>
      </c>
      <c r="E174" s="84">
        <f>VLOOKUP(A174,'2a. SI Pop'!$A$5:$E$198,5,FALSE)</f>
        <v>2</v>
      </c>
      <c r="F174" s="3">
        <v>0.78528948364628559</v>
      </c>
      <c r="G174" s="3">
        <v>0.79314237848274838</v>
      </c>
      <c r="H174" s="3">
        <v>0.80107380226757596</v>
      </c>
      <c r="I174" s="3">
        <v>0.80908454029025179</v>
      </c>
      <c r="J174" s="3">
        <v>0.8171753856931544</v>
      </c>
      <c r="K174" s="3">
        <v>0.82534713955008598</v>
      </c>
      <c r="L174" s="3">
        <v>0.83360061094558691</v>
      </c>
      <c r="M174" s="3">
        <v>0.84193661705504264</v>
      </c>
      <c r="N174" s="3">
        <v>0.85035598322559314</v>
      </c>
      <c r="O174" s="3">
        <v>0.85460776314172093</v>
      </c>
      <c r="P174" s="3">
        <v>0.85888080195742944</v>
      </c>
    </row>
    <row r="175" spans="1:16">
      <c r="A175" s="84" t="s">
        <v>423</v>
      </c>
      <c r="B175" s="85" t="s">
        <v>422</v>
      </c>
      <c r="C175" s="85" t="s">
        <v>83</v>
      </c>
      <c r="D175" s="84" t="s">
        <v>84</v>
      </c>
      <c r="E175" s="84" t="str">
        <f>VLOOKUP(A175,'2a. SI Pop'!$A$5:$E$198,5,FALSE)</f>
        <v>Key</v>
      </c>
      <c r="F175" s="3">
        <v>0.92962833277687418</v>
      </c>
      <c r="G175" s="3">
        <v>0.93427647444075845</v>
      </c>
      <c r="H175" s="3">
        <v>0.93894785681296211</v>
      </c>
      <c r="I175" s="3">
        <v>0.94364259609702683</v>
      </c>
      <c r="J175" s="3">
        <v>0.94836080907751186</v>
      </c>
      <c r="K175" s="3">
        <v>0.95310261312289923</v>
      </c>
      <c r="L175" s="3">
        <v>0.95786812618851358</v>
      </c>
      <c r="M175" s="3">
        <v>0.96265746681945596</v>
      </c>
      <c r="N175" s="3">
        <v>0.9674707541535531</v>
      </c>
      <c r="O175" s="3">
        <v>0.97230810792432076</v>
      </c>
      <c r="P175" s="3">
        <v>0.97716964846394239</v>
      </c>
    </row>
    <row r="176" spans="1:16">
      <c r="A176" s="84" t="s">
        <v>425</v>
      </c>
      <c r="B176" s="85" t="s">
        <v>424</v>
      </c>
      <c r="C176" s="85" t="s">
        <v>79</v>
      </c>
      <c r="D176" s="84" t="s">
        <v>75</v>
      </c>
      <c r="E176" s="84">
        <f>VLOOKUP(A176,'2a. SI Pop'!$A$5:$E$198,5,FALSE)</f>
        <v>2</v>
      </c>
      <c r="F176" s="3">
        <v>0.98</v>
      </c>
      <c r="G176" s="3">
        <v>0.98</v>
      </c>
      <c r="H176" s="3">
        <v>0.98</v>
      </c>
      <c r="I176" s="3">
        <v>0.98</v>
      </c>
      <c r="J176" s="3">
        <v>0.98</v>
      </c>
      <c r="K176" s="3">
        <v>0.98</v>
      </c>
      <c r="L176" s="3">
        <v>0.98</v>
      </c>
      <c r="M176" s="3">
        <v>0.98</v>
      </c>
      <c r="N176" s="3">
        <v>0.98</v>
      </c>
      <c r="O176" s="3">
        <v>0.98</v>
      </c>
      <c r="P176" s="3">
        <v>0.98</v>
      </c>
    </row>
    <row r="177" spans="1:16">
      <c r="A177" s="84" t="s">
        <v>427</v>
      </c>
      <c r="B177" s="85" t="s">
        <v>426</v>
      </c>
      <c r="C177" s="85" t="s">
        <v>110</v>
      </c>
      <c r="D177" s="84" t="s">
        <v>80</v>
      </c>
      <c r="E177" s="84">
        <f>VLOOKUP(A177,'2a. SI Pop'!$A$5:$E$198,5,FALSE)</f>
        <v>1</v>
      </c>
      <c r="F177" s="3">
        <v>0.99</v>
      </c>
      <c r="G177" s="3">
        <v>0.99</v>
      </c>
      <c r="H177" s="3">
        <v>0.99</v>
      </c>
      <c r="I177" s="3">
        <v>0.99</v>
      </c>
      <c r="J177" s="3">
        <v>0.99</v>
      </c>
      <c r="K177" s="3">
        <v>0.99</v>
      </c>
      <c r="L177" s="3">
        <v>0.99</v>
      </c>
      <c r="M177" s="3">
        <v>0.99</v>
      </c>
      <c r="N177" s="3">
        <v>0.99</v>
      </c>
      <c r="O177" s="3">
        <v>0.99</v>
      </c>
      <c r="P177" s="3">
        <v>0.99</v>
      </c>
    </row>
    <row r="178" spans="1:16">
      <c r="A178" s="84" t="s">
        <v>429</v>
      </c>
      <c r="B178" s="85" t="s">
        <v>428</v>
      </c>
      <c r="C178" s="85" t="s">
        <v>110</v>
      </c>
      <c r="D178" s="84" t="s">
        <v>84</v>
      </c>
      <c r="E178" s="84">
        <f>VLOOKUP(A178,'2a. SI Pop'!$A$5:$E$198,5,FALSE)</f>
        <v>4</v>
      </c>
      <c r="F178" s="3">
        <v>0.89793645779584419</v>
      </c>
      <c r="G178" s="3">
        <v>0.90242614008482336</v>
      </c>
      <c r="H178" s="3">
        <v>0.90693827078524736</v>
      </c>
      <c r="I178" s="3">
        <v>0.91147296213917339</v>
      </c>
      <c r="J178" s="3">
        <v>0.91603032694986919</v>
      </c>
      <c r="K178" s="3">
        <v>0.92061047858461853</v>
      </c>
      <c r="L178" s="3">
        <v>0.92521353097754144</v>
      </c>
      <c r="M178" s="3">
        <v>0.92983959863242904</v>
      </c>
      <c r="N178" s="3">
        <v>0.93448879662559103</v>
      </c>
      <c r="O178" s="3">
        <v>0.93916124060871897</v>
      </c>
      <c r="P178" s="3">
        <v>0.94385704681176252</v>
      </c>
    </row>
    <row r="179" spans="1:16">
      <c r="A179" s="84" t="s">
        <v>431</v>
      </c>
      <c r="B179" s="85" t="s">
        <v>430</v>
      </c>
      <c r="C179" s="85" t="s">
        <v>83</v>
      </c>
      <c r="D179" s="84" t="s">
        <v>75</v>
      </c>
      <c r="E179" s="84">
        <f>VLOOKUP(A179,'2a. SI Pop'!$A$5:$E$198,5,FALSE)</f>
        <v>3</v>
      </c>
      <c r="F179" s="3">
        <v>0.85332059188015574</v>
      </c>
      <c r="G179" s="3">
        <v>0.85758719483955648</v>
      </c>
      <c r="H179" s="3">
        <v>0.86187513081375411</v>
      </c>
      <c r="I179" s="3">
        <v>0.86618450646782275</v>
      </c>
      <c r="J179" s="3">
        <v>0.87051542900016188</v>
      </c>
      <c r="K179" s="3">
        <v>0.87486800614516258</v>
      </c>
      <c r="L179" s="3">
        <v>0.87924234617588826</v>
      </c>
      <c r="M179" s="3">
        <v>0.88363855790676749</v>
      </c>
      <c r="N179" s="3">
        <v>0.8880567506963013</v>
      </c>
      <c r="O179" s="3">
        <v>0.89249703444978268</v>
      </c>
      <c r="P179" s="3">
        <v>0.89695951962203158</v>
      </c>
    </row>
    <row r="180" spans="1:16">
      <c r="A180" s="84" t="s">
        <v>433</v>
      </c>
      <c r="B180" s="85" t="s">
        <v>432</v>
      </c>
      <c r="C180" s="85" t="s">
        <v>99</v>
      </c>
      <c r="D180" s="84" t="s">
        <v>80</v>
      </c>
      <c r="E180" s="84">
        <f>VLOOKUP(A180,'2a. SI Pop'!$A$5:$E$198,5,FALSE)</f>
        <v>1</v>
      </c>
      <c r="F180" s="3">
        <v>0.99</v>
      </c>
      <c r="G180" s="3">
        <v>0.99</v>
      </c>
      <c r="H180" s="3">
        <v>0.99</v>
      </c>
      <c r="I180" s="3">
        <v>0.99</v>
      </c>
      <c r="J180" s="3">
        <v>0.99</v>
      </c>
      <c r="K180" s="3">
        <v>0.99</v>
      </c>
      <c r="L180" s="3">
        <v>0.99</v>
      </c>
      <c r="M180" s="3">
        <v>0.99</v>
      </c>
      <c r="N180" s="3">
        <v>0.99</v>
      </c>
      <c r="O180" s="3">
        <v>0.99</v>
      </c>
      <c r="P180" s="3">
        <v>0.99</v>
      </c>
    </row>
    <row r="181" spans="1:16">
      <c r="A181" s="84" t="s">
        <v>435</v>
      </c>
      <c r="B181" s="85" t="s">
        <v>434</v>
      </c>
      <c r="C181" s="85" t="s">
        <v>92</v>
      </c>
      <c r="D181" s="84" t="s">
        <v>87</v>
      </c>
      <c r="E181" s="84">
        <f>VLOOKUP(A181,'2a. SI Pop'!$A$5:$E$198,5,FALSE)</f>
        <v>1</v>
      </c>
      <c r="F181" s="3">
        <v>0.99</v>
      </c>
      <c r="G181" s="3">
        <v>0.99</v>
      </c>
      <c r="H181" s="3">
        <v>0.99</v>
      </c>
      <c r="I181" s="3">
        <v>0.99</v>
      </c>
      <c r="J181" s="3">
        <v>0.99</v>
      </c>
      <c r="K181" s="3">
        <v>0.99</v>
      </c>
      <c r="L181" s="3">
        <v>0.99</v>
      </c>
      <c r="M181" s="3">
        <v>0.99</v>
      </c>
      <c r="N181" s="3">
        <v>0.99</v>
      </c>
      <c r="O181" s="3">
        <v>0.99</v>
      </c>
      <c r="P181" s="3">
        <v>0.99</v>
      </c>
    </row>
    <row r="182" spans="1:16">
      <c r="A182" s="84" t="s">
        <v>437</v>
      </c>
      <c r="B182" s="85" t="s">
        <v>436</v>
      </c>
      <c r="C182" s="85" t="s">
        <v>74</v>
      </c>
      <c r="D182" s="84" t="s">
        <v>84</v>
      </c>
      <c r="E182" s="84">
        <f>VLOOKUP(A182,'2a. SI Pop'!$A$5:$E$198,5,FALSE)</f>
        <v>3</v>
      </c>
      <c r="F182" s="3">
        <v>0.98</v>
      </c>
      <c r="G182" s="3">
        <v>0.98</v>
      </c>
      <c r="H182" s="3">
        <v>0.98</v>
      </c>
      <c r="I182" s="3">
        <v>0.98</v>
      </c>
      <c r="J182" s="3">
        <v>0.98</v>
      </c>
      <c r="K182" s="3">
        <v>0.98</v>
      </c>
      <c r="L182" s="3">
        <v>0.98</v>
      </c>
      <c r="M182" s="3">
        <v>0.98</v>
      </c>
      <c r="N182" s="3">
        <v>0.98</v>
      </c>
      <c r="O182" s="3">
        <v>0.98</v>
      </c>
      <c r="P182" s="3">
        <v>0.98</v>
      </c>
    </row>
    <row r="183" spans="1:16">
      <c r="A183" s="84" t="s">
        <v>439</v>
      </c>
      <c r="B183" s="85" t="s">
        <v>438</v>
      </c>
      <c r="C183" s="85" t="s">
        <v>79</v>
      </c>
      <c r="D183" s="84" t="s">
        <v>80</v>
      </c>
      <c r="E183" s="84">
        <f>VLOOKUP(A183,'2a. SI Pop'!$A$5:$E$198,5,FALSE)</f>
        <v>1</v>
      </c>
      <c r="F183" s="3">
        <v>0.98</v>
      </c>
      <c r="G183" s="3">
        <v>0.98</v>
      </c>
      <c r="H183" s="3">
        <v>0.98</v>
      </c>
      <c r="I183" s="3">
        <v>0.98</v>
      </c>
      <c r="J183" s="3">
        <v>0.98</v>
      </c>
      <c r="K183" s="3">
        <v>0.98</v>
      </c>
      <c r="L183" s="3">
        <v>0.98</v>
      </c>
      <c r="M183" s="3">
        <v>0.98</v>
      </c>
      <c r="N183" s="3">
        <v>0.98</v>
      </c>
      <c r="O183" s="3">
        <v>0.98</v>
      </c>
      <c r="P183" s="3">
        <v>0.98</v>
      </c>
    </row>
    <row r="184" spans="1:16">
      <c r="A184" s="84" t="s">
        <v>441</v>
      </c>
      <c r="B184" s="85" t="s">
        <v>440</v>
      </c>
      <c r="C184" s="85" t="s">
        <v>79</v>
      </c>
      <c r="D184" s="84" t="s">
        <v>80</v>
      </c>
      <c r="E184" s="84">
        <f>VLOOKUP(A184,'2a. SI Pop'!$A$5:$E$198,5,FALSE)</f>
        <v>1</v>
      </c>
      <c r="F184" s="3">
        <v>0.99</v>
      </c>
      <c r="G184" s="3">
        <v>0.99</v>
      </c>
      <c r="H184" s="3">
        <v>0.99</v>
      </c>
      <c r="I184" s="3">
        <v>0.99</v>
      </c>
      <c r="J184" s="3">
        <v>0.99</v>
      </c>
      <c r="K184" s="3">
        <v>0.99</v>
      </c>
      <c r="L184" s="3">
        <v>0.99</v>
      </c>
      <c r="M184" s="3">
        <v>0.99</v>
      </c>
      <c r="N184" s="3">
        <v>0.99</v>
      </c>
      <c r="O184" s="3">
        <v>0.99</v>
      </c>
      <c r="P184" s="3">
        <v>0.99</v>
      </c>
    </row>
    <row r="185" spans="1:16">
      <c r="A185" s="84" t="s">
        <v>443</v>
      </c>
      <c r="B185" s="85" t="s">
        <v>442</v>
      </c>
      <c r="C185" s="85" t="s">
        <v>99</v>
      </c>
      <c r="D185" s="84" t="s">
        <v>80</v>
      </c>
      <c r="E185" s="84">
        <f>VLOOKUP(A185,'2a. SI Pop'!$A$5:$E$198,5,FALSE)</f>
        <v>4</v>
      </c>
      <c r="F185" s="3">
        <v>0.99</v>
      </c>
      <c r="G185" s="3">
        <v>0.99</v>
      </c>
      <c r="H185" s="3">
        <v>0.99</v>
      </c>
      <c r="I185" s="3">
        <v>0.99</v>
      </c>
      <c r="J185" s="3">
        <v>0.99</v>
      </c>
      <c r="K185" s="3">
        <v>0.99</v>
      </c>
      <c r="L185" s="3">
        <v>0.99</v>
      </c>
      <c r="M185" s="3">
        <v>0.99</v>
      </c>
      <c r="N185" s="3">
        <v>0.99</v>
      </c>
      <c r="O185" s="3">
        <v>0.99</v>
      </c>
      <c r="P185" s="3">
        <v>0.99</v>
      </c>
    </row>
    <row r="186" spans="1:16">
      <c r="A186" s="84" t="s">
        <v>445</v>
      </c>
      <c r="B186" s="85" t="s">
        <v>444</v>
      </c>
      <c r="C186" s="85" t="s">
        <v>83</v>
      </c>
      <c r="D186" s="84" t="s">
        <v>75</v>
      </c>
      <c r="E186" s="84" t="str">
        <f>VLOOKUP(A186,'2a. SI Pop'!$A$5:$E$198,5,FALSE)</f>
        <v>Key</v>
      </c>
      <c r="F186" s="3">
        <v>0.91906437444986433</v>
      </c>
      <c r="G186" s="3">
        <v>0.92365969632211364</v>
      </c>
      <c r="H186" s="3">
        <v>0.92827799480372408</v>
      </c>
      <c r="I186" s="3">
        <v>0.9329193847777425</v>
      </c>
      <c r="J186" s="3">
        <v>0.93758398170163115</v>
      </c>
      <c r="K186" s="3">
        <v>0.94227190161013918</v>
      </c>
      <c r="L186" s="3">
        <v>0.94698326111818987</v>
      </c>
      <c r="M186" s="3">
        <v>0.95171817742378062</v>
      </c>
      <c r="N186" s="3">
        <v>0.95</v>
      </c>
      <c r="O186" s="3">
        <v>0.95</v>
      </c>
      <c r="P186" s="3">
        <v>0.95</v>
      </c>
    </row>
    <row r="187" spans="1:16">
      <c r="A187" s="84" t="s">
        <v>447</v>
      </c>
      <c r="B187" s="85" t="s">
        <v>446</v>
      </c>
      <c r="C187" s="85" t="s">
        <v>79</v>
      </c>
      <c r="D187" s="84" t="s">
        <v>84</v>
      </c>
      <c r="E187" s="84">
        <f>VLOOKUP(A187,'2a. SI Pop'!$A$5:$E$198,5,FALSE)</f>
        <v>1</v>
      </c>
      <c r="F187" s="3">
        <v>0.98244812441192375</v>
      </c>
      <c r="G187" s="3">
        <v>0.98736036503398339</v>
      </c>
      <c r="H187" s="3">
        <v>0.99229716685915326</v>
      </c>
      <c r="I187" s="3">
        <v>0.99</v>
      </c>
      <c r="J187" s="3">
        <v>0.99</v>
      </c>
      <c r="K187" s="3">
        <v>0.99</v>
      </c>
      <c r="L187" s="3">
        <v>0.99</v>
      </c>
      <c r="M187" s="3">
        <v>0.99</v>
      </c>
      <c r="N187" s="3">
        <v>0.99</v>
      </c>
      <c r="O187" s="3">
        <v>0.99</v>
      </c>
      <c r="P187" s="3">
        <v>0.99</v>
      </c>
    </row>
    <row r="188" spans="1:16">
      <c r="A188" s="84" t="s">
        <v>449</v>
      </c>
      <c r="B188" s="85" t="s">
        <v>448</v>
      </c>
      <c r="C188" s="85" t="s">
        <v>74</v>
      </c>
      <c r="D188" s="84" t="s">
        <v>87</v>
      </c>
      <c r="E188" s="84">
        <f>VLOOKUP(A188,'2a. SI Pop'!$A$5:$E$198,5,FALSE)</f>
        <v>1</v>
      </c>
      <c r="F188" s="3">
        <v>0.99</v>
      </c>
      <c r="G188" s="3">
        <v>0.99</v>
      </c>
      <c r="H188" s="3">
        <v>0.99</v>
      </c>
      <c r="I188" s="3">
        <v>0.99</v>
      </c>
      <c r="J188" s="3">
        <v>0.99</v>
      </c>
      <c r="K188" s="3">
        <v>0.99</v>
      </c>
      <c r="L188" s="3">
        <v>0.99</v>
      </c>
      <c r="M188" s="3">
        <v>0.99</v>
      </c>
      <c r="N188" s="3">
        <v>0.99</v>
      </c>
      <c r="O188" s="3">
        <v>0.99</v>
      </c>
      <c r="P188" s="3">
        <v>0.99</v>
      </c>
    </row>
    <row r="189" spans="1:16">
      <c r="A189" s="84" t="s">
        <v>451</v>
      </c>
      <c r="B189" s="85" t="s">
        <v>450</v>
      </c>
      <c r="C189" s="85" t="s">
        <v>79</v>
      </c>
      <c r="D189" s="84" t="s">
        <v>87</v>
      </c>
      <c r="E189" s="84">
        <f>VLOOKUP(A189,'2a. SI Pop'!$A$5:$E$198,5,FALSE)</f>
        <v>1</v>
      </c>
      <c r="F189" s="3">
        <v>0.95</v>
      </c>
      <c r="G189" s="3">
        <v>0.95</v>
      </c>
      <c r="H189" s="3">
        <v>0.95</v>
      </c>
      <c r="I189" s="3">
        <v>0.95</v>
      </c>
      <c r="J189" s="3">
        <v>0.95</v>
      </c>
      <c r="K189" s="3">
        <v>0.95</v>
      </c>
      <c r="L189" s="3">
        <v>0.95</v>
      </c>
      <c r="M189" s="3">
        <v>0.95</v>
      </c>
      <c r="N189" s="3">
        <v>0.95</v>
      </c>
      <c r="O189" s="3">
        <v>0.95</v>
      </c>
      <c r="P189" s="3">
        <v>0.95</v>
      </c>
    </row>
    <row r="190" spans="1:16">
      <c r="A190" s="84" t="s">
        <v>453</v>
      </c>
      <c r="B190" s="85" t="s">
        <v>452</v>
      </c>
      <c r="C190" s="85" t="s">
        <v>92</v>
      </c>
      <c r="D190" s="84" t="s">
        <v>87</v>
      </c>
      <c r="E190" s="84" t="str">
        <f>VLOOKUP(A190,'2a. SI Pop'!$A$5:$E$198,5,FALSE)</f>
        <v>Key</v>
      </c>
      <c r="F190" s="3">
        <v>0.95075624943089398</v>
      </c>
      <c r="G190" s="3">
        <v>0.95</v>
      </c>
      <c r="H190" s="3">
        <v>0.95</v>
      </c>
      <c r="I190" s="3">
        <v>0.95</v>
      </c>
      <c r="J190" s="3">
        <v>0.95</v>
      </c>
      <c r="K190" s="3">
        <v>0.95</v>
      </c>
      <c r="L190" s="3">
        <v>0.95</v>
      </c>
      <c r="M190" s="3">
        <v>0.95</v>
      </c>
      <c r="N190" s="3">
        <v>0.95</v>
      </c>
      <c r="O190" s="3">
        <v>0.95</v>
      </c>
      <c r="P190" s="3">
        <v>0.95</v>
      </c>
    </row>
    <row r="191" spans="1:16">
      <c r="A191" s="84" t="s">
        <v>455</v>
      </c>
      <c r="B191" s="85" t="s">
        <v>454</v>
      </c>
      <c r="C191" s="85" t="s">
        <v>92</v>
      </c>
      <c r="D191" s="84" t="s">
        <v>87</v>
      </c>
      <c r="E191" s="84">
        <f>VLOOKUP(A191,'2a. SI Pop'!$A$5:$E$198,5,FALSE)</f>
        <v>1</v>
      </c>
      <c r="F191" s="3">
        <v>0.97</v>
      </c>
      <c r="G191" s="3">
        <v>0.97</v>
      </c>
      <c r="H191" s="3">
        <v>0.97</v>
      </c>
      <c r="I191" s="3">
        <v>0.97</v>
      </c>
      <c r="J191" s="3">
        <v>0.97</v>
      </c>
      <c r="K191" s="3">
        <v>0.97</v>
      </c>
      <c r="L191" s="3">
        <v>0.97</v>
      </c>
      <c r="M191" s="3">
        <v>0.97</v>
      </c>
      <c r="N191" s="3">
        <v>0.97</v>
      </c>
      <c r="O191" s="3">
        <v>0.97</v>
      </c>
      <c r="P191" s="3">
        <v>0.97</v>
      </c>
    </row>
    <row r="192" spans="1:16">
      <c r="A192" s="84" t="s">
        <v>457</v>
      </c>
      <c r="B192" s="85" t="s">
        <v>456</v>
      </c>
      <c r="C192" s="85" t="s">
        <v>79</v>
      </c>
      <c r="D192" s="84" t="s">
        <v>84</v>
      </c>
      <c r="E192" s="84">
        <f>VLOOKUP(A192,'2a. SI Pop'!$A$5:$E$198,5,FALSE)</f>
        <v>2</v>
      </c>
      <c r="F192" s="3">
        <v>0.99</v>
      </c>
      <c r="G192" s="3">
        <v>0.99</v>
      </c>
      <c r="H192" s="3">
        <v>0.99</v>
      </c>
      <c r="I192" s="3">
        <v>0.99</v>
      </c>
      <c r="J192" s="3">
        <v>0.99</v>
      </c>
      <c r="K192" s="3">
        <v>0.99</v>
      </c>
      <c r="L192" s="3">
        <v>0.99</v>
      </c>
      <c r="M192" s="3">
        <v>0.99</v>
      </c>
      <c r="N192" s="3">
        <v>0.99</v>
      </c>
      <c r="O192" s="3">
        <v>0.99</v>
      </c>
      <c r="P192" s="3">
        <v>0.99</v>
      </c>
    </row>
    <row r="193" spans="1:16">
      <c r="A193" s="84" t="s">
        <v>459</v>
      </c>
      <c r="B193" s="85" t="s">
        <v>458</v>
      </c>
      <c r="C193" s="85" t="s">
        <v>99</v>
      </c>
      <c r="D193" s="84" t="s">
        <v>84</v>
      </c>
      <c r="E193" s="84">
        <f>VLOOKUP(A193,'2a. SI Pop'!$A$5:$E$198,5,FALSE)</f>
        <v>4</v>
      </c>
      <c r="F193" s="3">
        <v>0.87499153295178134</v>
      </c>
      <c r="G193" s="3">
        <v>0.87936649061654004</v>
      </c>
      <c r="H193" s="3">
        <v>0.88376332306962269</v>
      </c>
      <c r="I193" s="3">
        <v>0.88818213968497073</v>
      </c>
      <c r="J193" s="3">
        <v>0.89262305038339551</v>
      </c>
      <c r="K193" s="3">
        <v>0.8970861656353124</v>
      </c>
      <c r="L193" s="3">
        <v>0.90157159646348883</v>
      </c>
      <c r="M193" s="3">
        <v>0.90607945444580618</v>
      </c>
      <c r="N193" s="3">
        <v>0.9106098517180351</v>
      </c>
      <c r="O193" s="3">
        <v>0.91516290097662523</v>
      </c>
      <c r="P193" s="3">
        <v>0.91973871548150821</v>
      </c>
    </row>
    <row r="194" spans="1:16">
      <c r="A194" s="84" t="s">
        <v>461</v>
      </c>
      <c r="B194" s="85" t="s">
        <v>460</v>
      </c>
      <c r="C194" s="85" t="s">
        <v>92</v>
      </c>
      <c r="D194" s="84" t="s">
        <v>80</v>
      </c>
      <c r="E194" s="84">
        <f>VLOOKUP(A194,'2a. SI Pop'!$A$5:$E$198,5,FALSE)</f>
        <v>1</v>
      </c>
      <c r="F194" s="3">
        <v>0.98244812441192375</v>
      </c>
      <c r="G194" s="3">
        <v>0.98</v>
      </c>
      <c r="H194" s="3">
        <v>0.98</v>
      </c>
      <c r="I194" s="3">
        <v>0.98</v>
      </c>
      <c r="J194" s="3">
        <v>0.98</v>
      </c>
      <c r="K194" s="3">
        <v>0.98</v>
      </c>
      <c r="L194" s="3">
        <v>0.98</v>
      </c>
      <c r="M194" s="3">
        <v>0.98</v>
      </c>
      <c r="N194" s="3">
        <v>0.98</v>
      </c>
      <c r="O194" s="3">
        <v>0.98</v>
      </c>
      <c r="P194" s="3">
        <v>0.98</v>
      </c>
    </row>
    <row r="195" spans="1:16">
      <c r="A195" s="84" t="s">
        <v>463</v>
      </c>
      <c r="B195" s="85" t="s">
        <v>462</v>
      </c>
      <c r="C195" s="85" t="s">
        <v>99</v>
      </c>
      <c r="D195" s="84" t="s">
        <v>84</v>
      </c>
      <c r="E195" s="84">
        <f>VLOOKUP(A195,'2a. SI Pop'!$A$5:$E$198,5,FALSE)</f>
        <v>4</v>
      </c>
      <c r="F195" s="3">
        <v>0.99</v>
      </c>
      <c r="G195" s="3">
        <v>0.99</v>
      </c>
      <c r="H195" s="3">
        <v>0.99</v>
      </c>
      <c r="I195" s="3">
        <v>0.99</v>
      </c>
      <c r="J195" s="3">
        <v>0.99</v>
      </c>
      <c r="K195" s="3">
        <v>0.99</v>
      </c>
      <c r="L195" s="3">
        <v>0.99</v>
      </c>
      <c r="M195" s="3">
        <v>0.99</v>
      </c>
      <c r="N195" s="3">
        <v>0.99</v>
      </c>
      <c r="O195" s="3">
        <v>0.99</v>
      </c>
      <c r="P195" s="3">
        <v>0.99</v>
      </c>
    </row>
    <row r="196" spans="1:16">
      <c r="A196" s="84" t="s">
        <v>465</v>
      </c>
      <c r="B196" s="85" t="s">
        <v>464</v>
      </c>
      <c r="C196" s="85" t="s">
        <v>74</v>
      </c>
      <c r="D196" s="84" t="s">
        <v>75</v>
      </c>
      <c r="E196" s="84">
        <f>VLOOKUP(A196,'2a. SI Pop'!$A$5:$E$198,5,FALSE)</f>
        <v>3</v>
      </c>
      <c r="F196" s="3">
        <v>0.80848751548695774</v>
      </c>
      <c r="G196" s="3">
        <v>0.81657239064182729</v>
      </c>
      <c r="H196" s="3">
        <v>0.82473811454824553</v>
      </c>
      <c r="I196" s="3">
        <v>0.83298549569372793</v>
      </c>
      <c r="J196" s="3">
        <v>0.84131535065066532</v>
      </c>
      <c r="K196" s="3">
        <v>0.84972850415717194</v>
      </c>
      <c r="L196" s="3">
        <v>0.85822578919874359</v>
      </c>
      <c r="M196" s="3">
        <v>0.86251691814473719</v>
      </c>
      <c r="N196" s="3">
        <v>0.86682950273546067</v>
      </c>
      <c r="O196" s="3">
        <v>0.87116365024913789</v>
      </c>
      <c r="P196" s="3">
        <v>0.87551946850038354</v>
      </c>
    </row>
    <row r="197" spans="1:16">
      <c r="A197" s="84" t="s">
        <v>467</v>
      </c>
      <c r="B197" s="85" t="s">
        <v>466</v>
      </c>
      <c r="C197" s="85" t="s">
        <v>83</v>
      </c>
      <c r="D197" s="84" t="s">
        <v>84</v>
      </c>
      <c r="E197" s="84">
        <f>VLOOKUP(A197,'2a. SI Pop'!$A$5:$E$198,5,FALSE)</f>
        <v>3</v>
      </c>
      <c r="F197" s="3">
        <v>0.96</v>
      </c>
      <c r="G197" s="3">
        <v>0.96</v>
      </c>
      <c r="H197" s="3">
        <v>0.96</v>
      </c>
      <c r="I197" s="3">
        <v>0.96</v>
      </c>
      <c r="J197" s="3">
        <v>0.96</v>
      </c>
      <c r="K197" s="3">
        <v>0.96</v>
      </c>
      <c r="L197" s="3">
        <v>0.96</v>
      </c>
      <c r="M197" s="3">
        <v>0.96</v>
      </c>
      <c r="N197" s="3">
        <v>0.96</v>
      </c>
      <c r="O197" s="3">
        <v>0.96</v>
      </c>
      <c r="P197" s="3">
        <v>0.96</v>
      </c>
    </row>
    <row r="198" spans="1:16">
      <c r="A198" s="84" t="s">
        <v>469</v>
      </c>
      <c r="B198" s="85" t="s">
        <v>468</v>
      </c>
      <c r="C198" s="85" t="s">
        <v>83</v>
      </c>
      <c r="D198" s="84" t="s">
        <v>84</v>
      </c>
      <c r="E198" s="84">
        <f>VLOOKUP(A198,'2a. SI Pop'!$A$5:$E$198,5,FALSE)</f>
        <v>3</v>
      </c>
      <c r="F198" s="3">
        <v>0.89793645779584419</v>
      </c>
      <c r="G198" s="3">
        <v>0.90242614008482336</v>
      </c>
      <c r="H198" s="3">
        <v>0.90693827078524736</v>
      </c>
      <c r="I198" s="3">
        <v>0.91147296213917339</v>
      </c>
      <c r="J198" s="3">
        <v>0.91603032694986919</v>
      </c>
      <c r="K198" s="3">
        <v>0.92061047858461853</v>
      </c>
      <c r="L198" s="3">
        <v>0.92521353097754144</v>
      </c>
      <c r="M198" s="3">
        <v>0.92983959863242904</v>
      </c>
      <c r="N198" s="3">
        <v>0.93448879662559103</v>
      </c>
      <c r="O198" s="3">
        <v>0.93916124060871897</v>
      </c>
      <c r="P198" s="3">
        <v>0.94385704681176252</v>
      </c>
    </row>
  </sheetData>
  <autoFilter ref="A4:P198" xr:uid="{1BE26F4C-1587-7C4D-887A-C69327E2A75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899B-798F-7C49-9A5E-E14A41C897F7}">
  <sheetPr>
    <tabColor theme="8" tint="0.59999389629810485"/>
  </sheetPr>
  <dimension ref="A1:Q198"/>
  <sheetViews>
    <sheetView zoomScale="85" zoomScaleNormal="85" workbookViewId="0">
      <pane xSplit="5" ySplit="4" topLeftCell="F5" activePane="bottomRight" state="frozen"/>
      <selection pane="bottomRight" activeCell="H36" sqref="H36"/>
      <selection pane="bottomLeft" activeCell="H36" sqref="H36"/>
      <selection pane="topRight" activeCell="H36" sqref="H36"/>
    </sheetView>
  </sheetViews>
  <sheetFormatPr defaultColWidth="10.85546875" defaultRowHeight="15"/>
  <cols>
    <col min="6" max="16" width="7.28515625" customWidth="1"/>
  </cols>
  <sheetData>
    <row r="1" spans="1:17">
      <c r="A1" t="s">
        <v>470</v>
      </c>
      <c r="B1" t="s">
        <v>492</v>
      </c>
    </row>
    <row r="2" spans="1:17">
      <c r="A2" t="s">
        <v>471</v>
      </c>
      <c r="B2" t="s">
        <v>491</v>
      </c>
    </row>
    <row r="4" spans="1:17" s="88" customFormat="1">
      <c r="A4" s="86" t="s">
        <v>473</v>
      </c>
      <c r="B4" s="87" t="s">
        <v>64</v>
      </c>
      <c r="C4" s="86" t="s">
        <v>66</v>
      </c>
      <c r="D4" s="86" t="s">
        <v>67</v>
      </c>
      <c r="E4" s="86" t="s">
        <v>68</v>
      </c>
      <c r="F4" s="88">
        <v>2030</v>
      </c>
      <c r="G4" s="88">
        <f>F4+1</f>
        <v>2031</v>
      </c>
      <c r="H4" s="88">
        <f t="shared" ref="H4:N4" si="0">G4+1</f>
        <v>2032</v>
      </c>
      <c r="I4" s="88">
        <f t="shared" si="0"/>
        <v>2033</v>
      </c>
      <c r="J4" s="88">
        <f t="shared" si="0"/>
        <v>2034</v>
      </c>
      <c r="K4" s="88">
        <f t="shared" si="0"/>
        <v>2035</v>
      </c>
      <c r="L4" s="88">
        <f t="shared" si="0"/>
        <v>2036</v>
      </c>
      <c r="M4" s="88">
        <f t="shared" si="0"/>
        <v>2037</v>
      </c>
      <c r="N4" s="88">
        <f t="shared" si="0"/>
        <v>2038</v>
      </c>
      <c r="O4" s="88">
        <f t="shared" ref="O4:P4" si="1">N4+1</f>
        <v>2039</v>
      </c>
      <c r="P4" s="88">
        <f t="shared" si="1"/>
        <v>2040</v>
      </c>
    </row>
    <row r="5" spans="1:17">
      <c r="A5" s="84" t="s">
        <v>73</v>
      </c>
      <c r="B5" s="85" t="s">
        <v>72</v>
      </c>
      <c r="C5" s="85" t="s">
        <v>74</v>
      </c>
      <c r="D5" s="84" t="s">
        <v>75</v>
      </c>
      <c r="E5" s="84" t="str">
        <f>VLOOKUP(A5,'2a. SI Pop'!$A$5:$E$198,5,FALSE)</f>
        <v>Key</v>
      </c>
      <c r="F5" s="3">
        <v>0.53985120958253385</v>
      </c>
      <c r="G5" s="3">
        <v>0.55604674587000991</v>
      </c>
      <c r="H5" s="3">
        <v>0.57272814824611018</v>
      </c>
      <c r="I5" s="3">
        <v>0.58990999269349353</v>
      </c>
      <c r="J5" s="3">
        <v>0.60760729247429834</v>
      </c>
      <c r="K5" s="3">
        <v>0.62583551124852732</v>
      </c>
      <c r="L5" s="3">
        <v>0.6446105765859832</v>
      </c>
      <c r="M5" s="3">
        <v>0.66394889388356271</v>
      </c>
      <c r="N5" s="3">
        <v>0.68386736070006959</v>
      </c>
      <c r="O5" s="3">
        <v>0.70438338152107183</v>
      </c>
      <c r="P5" s="3">
        <v>0.72551488296670397</v>
      </c>
      <c r="Q5" s="76"/>
    </row>
    <row r="6" spans="1:17">
      <c r="A6" s="84" t="s">
        <v>78</v>
      </c>
      <c r="B6" s="85" t="s">
        <v>77</v>
      </c>
      <c r="C6" s="85" t="s">
        <v>79</v>
      </c>
      <c r="D6" s="84" t="s">
        <v>80</v>
      </c>
      <c r="E6" s="84">
        <f>VLOOKUP(A6,'2a. SI Pop'!$A$5:$E$198,5,FALSE)</f>
        <v>1</v>
      </c>
      <c r="F6" s="3">
        <v>0.99</v>
      </c>
      <c r="G6" s="3">
        <v>0.99</v>
      </c>
      <c r="H6" s="3">
        <v>0.99</v>
      </c>
      <c r="I6" s="3">
        <v>0.99</v>
      </c>
      <c r="J6" s="3">
        <v>0.99</v>
      </c>
      <c r="K6" s="3">
        <v>0.99</v>
      </c>
      <c r="L6" s="3">
        <v>0.99</v>
      </c>
      <c r="M6" s="3">
        <v>0.99</v>
      </c>
      <c r="N6" s="3">
        <v>0.99</v>
      </c>
      <c r="O6" s="3">
        <v>0.99</v>
      </c>
      <c r="P6" s="3">
        <v>0.99</v>
      </c>
      <c r="Q6" s="76"/>
    </row>
    <row r="7" spans="1:17">
      <c r="A7" s="84" t="s">
        <v>82</v>
      </c>
      <c r="B7" s="85" t="s">
        <v>81</v>
      </c>
      <c r="C7" s="85" t="s">
        <v>83</v>
      </c>
      <c r="D7" s="84" t="s">
        <v>84</v>
      </c>
      <c r="E7" s="84">
        <f>VLOOKUP(A7,'2a. SI Pop'!$A$5:$E$198,5,FALSE)</f>
        <v>2</v>
      </c>
      <c r="F7" s="3">
        <v>0.85481183174946029</v>
      </c>
      <c r="G7" s="3">
        <v>0.85908589090820742</v>
      </c>
      <c r="H7" s="3">
        <v>0.86338132036274828</v>
      </c>
      <c r="I7" s="3">
        <v>0.86769822696456189</v>
      </c>
      <c r="J7" s="3">
        <v>0.87203671809938454</v>
      </c>
      <c r="K7" s="3">
        <v>0.87639690168988138</v>
      </c>
      <c r="L7" s="3">
        <v>0.88077888619833078</v>
      </c>
      <c r="M7" s="3">
        <v>0.88518278062932221</v>
      </c>
      <c r="N7" s="3">
        <v>0.88960869453246871</v>
      </c>
      <c r="O7" s="3">
        <v>0.89405673800513097</v>
      </c>
      <c r="P7" s="3">
        <v>0.89852702169515652</v>
      </c>
      <c r="Q7" s="76"/>
    </row>
    <row r="8" spans="1:17">
      <c r="A8" s="84" t="s">
        <v>86</v>
      </c>
      <c r="B8" s="85" t="s">
        <v>85</v>
      </c>
      <c r="C8" s="85" t="s">
        <v>79</v>
      </c>
      <c r="D8" s="84" t="s">
        <v>87</v>
      </c>
      <c r="E8" s="84">
        <f>VLOOKUP(A8,'2a. SI Pop'!$A$5:$E$198,5,FALSE)</f>
        <v>1</v>
      </c>
      <c r="F8" s="3">
        <v>0.95474999999999999</v>
      </c>
      <c r="G8" s="3">
        <v>0.95</v>
      </c>
      <c r="H8" s="3">
        <v>0.95474999999999999</v>
      </c>
      <c r="I8" s="3">
        <v>0.95</v>
      </c>
      <c r="J8" s="3">
        <v>0.95474999999999999</v>
      </c>
      <c r="K8" s="3">
        <v>0.95</v>
      </c>
      <c r="L8" s="3">
        <v>0.95474999999999999</v>
      </c>
      <c r="M8" s="3">
        <v>0.95</v>
      </c>
      <c r="N8" s="3">
        <v>0.95474999999999999</v>
      </c>
      <c r="O8" s="3">
        <v>0.95</v>
      </c>
      <c r="P8" s="3">
        <v>0.95474999999999999</v>
      </c>
      <c r="Q8" s="76"/>
    </row>
    <row r="9" spans="1:17">
      <c r="A9" s="84" t="s">
        <v>89</v>
      </c>
      <c r="B9" s="85" t="s">
        <v>88</v>
      </c>
      <c r="C9" s="85" t="s">
        <v>83</v>
      </c>
      <c r="D9" s="84" t="s">
        <v>84</v>
      </c>
      <c r="E9" s="84">
        <f>VLOOKUP(A9,'2a. SI Pop'!$A$5:$E$198,5,FALSE)</f>
        <v>3</v>
      </c>
      <c r="F9" s="3">
        <v>0.6229052418260006</v>
      </c>
      <c r="G9" s="3">
        <v>0.64159239908078058</v>
      </c>
      <c r="H9" s="3">
        <v>0.66084017105320414</v>
      </c>
      <c r="I9" s="3">
        <v>0.68066537618480027</v>
      </c>
      <c r="J9" s="3">
        <v>0.70108533747034429</v>
      </c>
      <c r="K9" s="3">
        <v>0.72211789759445466</v>
      </c>
      <c r="L9" s="3">
        <v>0.74378143452228829</v>
      </c>
      <c r="M9" s="3">
        <v>0.76609487755795702</v>
      </c>
      <c r="N9" s="3">
        <v>0.77375582633353657</v>
      </c>
      <c r="O9" s="3">
        <v>0.78149338459687201</v>
      </c>
      <c r="P9" s="3">
        <v>0.78930831844284066</v>
      </c>
      <c r="Q9" s="76"/>
    </row>
    <row r="10" spans="1:17">
      <c r="A10" s="84" t="s">
        <v>91</v>
      </c>
      <c r="B10" s="85" t="s">
        <v>90</v>
      </c>
      <c r="C10" s="85" t="s">
        <v>92</v>
      </c>
      <c r="D10" s="84" t="s">
        <v>87</v>
      </c>
      <c r="E10" s="84">
        <f>VLOOKUP(A10,'2a. SI Pop'!$A$5:$E$198,5,FALSE)</f>
        <v>1</v>
      </c>
      <c r="F10" s="3">
        <v>0.99</v>
      </c>
      <c r="G10" s="3">
        <v>0.99</v>
      </c>
      <c r="H10" s="3">
        <v>0.99</v>
      </c>
      <c r="I10" s="3">
        <v>0.99</v>
      </c>
      <c r="J10" s="3">
        <v>0.99</v>
      </c>
      <c r="K10" s="3">
        <v>0.99</v>
      </c>
      <c r="L10" s="3">
        <v>0.99</v>
      </c>
      <c r="M10" s="3">
        <v>0.99</v>
      </c>
      <c r="N10" s="3">
        <v>0.99</v>
      </c>
      <c r="O10" s="3">
        <v>0.99</v>
      </c>
      <c r="P10" s="3">
        <v>0.99</v>
      </c>
      <c r="Q10" s="76"/>
    </row>
    <row r="11" spans="1:17">
      <c r="A11" s="84" t="s">
        <v>94</v>
      </c>
      <c r="B11" s="85" t="s">
        <v>93</v>
      </c>
      <c r="C11" s="85" t="s">
        <v>92</v>
      </c>
      <c r="D11" s="84" t="s">
        <v>80</v>
      </c>
      <c r="E11" s="84">
        <f>VLOOKUP(A11,'2a. SI Pop'!$A$5:$E$198,5,FALSE)</f>
        <v>1</v>
      </c>
      <c r="F11" s="3">
        <v>0.94019229110388391</v>
      </c>
      <c r="G11" s="3">
        <v>0.94489325255940326</v>
      </c>
      <c r="H11" s="3">
        <v>0.94961771882220025</v>
      </c>
      <c r="I11" s="3">
        <v>0.95436580741631105</v>
      </c>
      <c r="J11" s="3">
        <v>0.95913763645339245</v>
      </c>
      <c r="K11" s="3">
        <v>0.96393332463565928</v>
      </c>
      <c r="L11" s="3">
        <v>0.9687529912588374</v>
      </c>
      <c r="M11" s="3">
        <v>0.97359675621513153</v>
      </c>
      <c r="N11" s="3">
        <v>0.97846473999620698</v>
      </c>
      <c r="O11" s="3">
        <v>0.98335706369618792</v>
      </c>
      <c r="P11" s="3">
        <v>0.98827384901466875</v>
      </c>
      <c r="Q11" s="76"/>
    </row>
    <row r="12" spans="1:17">
      <c r="A12" s="84" t="s">
        <v>96</v>
      </c>
      <c r="B12" s="85" t="s">
        <v>95</v>
      </c>
      <c r="C12" s="85" t="s">
        <v>79</v>
      </c>
      <c r="D12" s="84" t="s">
        <v>80</v>
      </c>
      <c r="E12" s="84">
        <f>VLOOKUP(A12,'2a. SI Pop'!$A$5:$E$198,5,FALSE)</f>
        <v>1</v>
      </c>
      <c r="F12" s="3">
        <v>0.98</v>
      </c>
      <c r="G12" s="3">
        <v>0.98</v>
      </c>
      <c r="H12" s="3">
        <v>0.98</v>
      </c>
      <c r="I12" s="3">
        <v>0.98</v>
      </c>
      <c r="J12" s="3">
        <v>0.98</v>
      </c>
      <c r="K12" s="3">
        <v>0.98</v>
      </c>
      <c r="L12" s="3">
        <v>0.98</v>
      </c>
      <c r="M12" s="3">
        <v>0.98</v>
      </c>
      <c r="N12" s="3">
        <v>0.98</v>
      </c>
      <c r="O12" s="3">
        <v>0.98</v>
      </c>
      <c r="P12" s="3">
        <v>0.98</v>
      </c>
      <c r="Q12" s="76"/>
    </row>
    <row r="13" spans="1:17">
      <c r="A13" s="84" t="s">
        <v>98</v>
      </c>
      <c r="B13" s="85" t="s">
        <v>97</v>
      </c>
      <c r="C13" s="85" t="s">
        <v>99</v>
      </c>
      <c r="D13" s="84" t="s">
        <v>87</v>
      </c>
      <c r="E13" s="84">
        <f>VLOOKUP(A13,'2a. SI Pop'!$A$5:$E$198,5,FALSE)</f>
        <v>1</v>
      </c>
      <c r="F13" s="3">
        <v>0.95417061749999954</v>
      </c>
      <c r="G13" s="3">
        <v>0.95</v>
      </c>
      <c r="H13" s="3">
        <v>0.95</v>
      </c>
      <c r="I13" s="3">
        <v>0.95</v>
      </c>
      <c r="J13" s="3">
        <v>0.95</v>
      </c>
      <c r="K13" s="3">
        <v>0.95</v>
      </c>
      <c r="L13" s="3">
        <v>0.95</v>
      </c>
      <c r="M13" s="3">
        <v>0.95</v>
      </c>
      <c r="N13" s="3">
        <v>0.95</v>
      </c>
      <c r="O13" s="3">
        <v>0.95</v>
      </c>
      <c r="P13" s="3">
        <v>0.95</v>
      </c>
      <c r="Q13" s="76"/>
    </row>
    <row r="14" spans="1:17">
      <c r="A14" s="84" t="s">
        <v>101</v>
      </c>
      <c r="B14" s="85" t="s">
        <v>100</v>
      </c>
      <c r="C14" s="85" t="s">
        <v>79</v>
      </c>
      <c r="D14" s="84" t="s">
        <v>87</v>
      </c>
      <c r="E14" s="84">
        <f>VLOOKUP(A14,'2a. SI Pop'!$A$5:$E$198,5,FALSE)</f>
        <v>1</v>
      </c>
      <c r="F14" s="3">
        <v>0.89622404070013928</v>
      </c>
      <c r="G14" s="3">
        <v>0.90070516090363995</v>
      </c>
      <c r="H14" s="3">
        <v>0.90520868670815802</v>
      </c>
      <c r="I14" s="3">
        <v>0.9097347301416987</v>
      </c>
      <c r="J14" s="3">
        <v>0.91428340379240713</v>
      </c>
      <c r="K14" s="3">
        <v>0.91885482081136904</v>
      </c>
      <c r="L14" s="3">
        <v>0.92344909491542582</v>
      </c>
      <c r="M14" s="3">
        <v>0.92806634039000291</v>
      </c>
      <c r="N14" s="3">
        <v>0.93270667209195279</v>
      </c>
      <c r="O14" s="3">
        <v>0.93737020545241245</v>
      </c>
      <c r="P14" s="3">
        <v>0.94205705647967453</v>
      </c>
      <c r="Q14" s="76"/>
    </row>
    <row r="15" spans="1:17">
      <c r="A15" s="84" t="s">
        <v>103</v>
      </c>
      <c r="B15" s="85" t="s">
        <v>102</v>
      </c>
      <c r="C15" s="85" t="s">
        <v>79</v>
      </c>
      <c r="D15" s="84" t="s">
        <v>80</v>
      </c>
      <c r="E15" s="84">
        <f>VLOOKUP(A15,'2a. SI Pop'!$A$5:$E$198,5,FALSE)</f>
        <v>1</v>
      </c>
      <c r="F15" s="3">
        <v>0.98</v>
      </c>
      <c r="G15" s="3">
        <v>0.98</v>
      </c>
      <c r="H15" s="3">
        <v>0.98</v>
      </c>
      <c r="I15" s="3">
        <v>0.98</v>
      </c>
      <c r="J15" s="3">
        <v>0.98</v>
      </c>
      <c r="K15" s="3">
        <v>0.98</v>
      </c>
      <c r="L15" s="3">
        <v>0.98</v>
      </c>
      <c r="M15" s="3">
        <v>0.98</v>
      </c>
      <c r="N15" s="3">
        <v>0.98</v>
      </c>
      <c r="O15" s="3">
        <v>0.98</v>
      </c>
      <c r="P15" s="3">
        <v>0.98</v>
      </c>
      <c r="Q15" s="76"/>
    </row>
    <row r="16" spans="1:17">
      <c r="A16" s="84" t="s">
        <v>105</v>
      </c>
      <c r="B16" s="85" t="s">
        <v>104</v>
      </c>
      <c r="C16" s="85" t="s">
        <v>92</v>
      </c>
      <c r="D16" s="84" t="s">
        <v>87</v>
      </c>
      <c r="E16" s="84">
        <f>VLOOKUP(A16,'2a. SI Pop'!$A$5:$E$198,5,FALSE)</f>
        <v>1</v>
      </c>
      <c r="F16" s="3">
        <v>0.88361235520211567</v>
      </c>
      <c r="G16" s="3">
        <v>0.88803041697812612</v>
      </c>
      <c r="H16" s="3">
        <v>0.89247056906301669</v>
      </c>
      <c r="I16" s="3">
        <v>0.89693292190833163</v>
      </c>
      <c r="J16" s="3">
        <v>0.90141758651787318</v>
      </c>
      <c r="K16" s="3">
        <v>0.90592467445046243</v>
      </c>
      <c r="L16" s="3">
        <v>0.91045429782271459</v>
      </c>
      <c r="M16" s="3">
        <v>0.915006569311828</v>
      </c>
      <c r="N16" s="3">
        <v>0.91958160215838702</v>
      </c>
      <c r="O16" s="3">
        <v>0.92417951016917887</v>
      </c>
      <c r="P16" s="3">
        <v>0.92880040772002459</v>
      </c>
      <c r="Q16" s="76"/>
    </row>
    <row r="17" spans="1:17">
      <c r="A17" s="84" t="s">
        <v>107</v>
      </c>
      <c r="B17" s="85" t="s">
        <v>106</v>
      </c>
      <c r="C17" s="85" t="s">
        <v>74</v>
      </c>
      <c r="D17" s="84" t="s">
        <v>87</v>
      </c>
      <c r="E17" s="84">
        <f>VLOOKUP(A17,'2a. SI Pop'!$A$5:$E$198,5,FALSE)</f>
        <v>1</v>
      </c>
      <c r="F17" s="3">
        <v>0.99</v>
      </c>
      <c r="G17" s="3">
        <v>0.99</v>
      </c>
      <c r="H17" s="3">
        <v>0.99</v>
      </c>
      <c r="I17" s="3">
        <v>0.99</v>
      </c>
      <c r="J17" s="3">
        <v>0.99</v>
      </c>
      <c r="K17" s="3">
        <v>0.99</v>
      </c>
      <c r="L17" s="3">
        <v>0.99</v>
      </c>
      <c r="M17" s="3">
        <v>0.99</v>
      </c>
      <c r="N17" s="3">
        <v>0.99</v>
      </c>
      <c r="O17" s="3">
        <v>0.99</v>
      </c>
      <c r="P17" s="3">
        <v>0.99</v>
      </c>
      <c r="Q17" s="76"/>
    </row>
    <row r="18" spans="1:17">
      <c r="A18" s="84" t="s">
        <v>109</v>
      </c>
      <c r="B18" s="85" t="s">
        <v>108</v>
      </c>
      <c r="C18" s="85" t="s">
        <v>110</v>
      </c>
      <c r="D18" s="84" t="s">
        <v>84</v>
      </c>
      <c r="E18" s="84" t="str">
        <f>VLOOKUP(A18,'2a. SI Pop'!$A$5:$E$198,5,FALSE)</f>
        <v>Key</v>
      </c>
      <c r="F18" s="3">
        <v>0.95474999999999999</v>
      </c>
      <c r="G18" s="3">
        <v>0.95</v>
      </c>
      <c r="H18" s="3">
        <v>0.95474999999999999</v>
      </c>
      <c r="I18" s="3">
        <v>0.95</v>
      </c>
      <c r="J18" s="3">
        <v>0.95474999999999999</v>
      </c>
      <c r="K18" s="3">
        <v>0.95</v>
      </c>
      <c r="L18" s="3">
        <v>0.95474999999999999</v>
      </c>
      <c r="M18" s="3">
        <v>0.95</v>
      </c>
      <c r="N18" s="3">
        <v>0.95474999999999999</v>
      </c>
      <c r="O18" s="3">
        <v>0.95</v>
      </c>
      <c r="P18" s="3">
        <v>0.95474999999999999</v>
      </c>
      <c r="Q18" s="76"/>
    </row>
    <row r="19" spans="1:17">
      <c r="A19" s="84" t="s">
        <v>112</v>
      </c>
      <c r="B19" s="85" t="s">
        <v>111</v>
      </c>
      <c r="C19" s="85" t="s">
        <v>92</v>
      </c>
      <c r="D19" s="84" t="s">
        <v>87</v>
      </c>
      <c r="E19" s="84">
        <f>VLOOKUP(A19,'2a. SI Pop'!$A$5:$E$198,5,FALSE)</f>
        <v>1</v>
      </c>
      <c r="F19" s="3">
        <v>0.85481183174946029</v>
      </c>
      <c r="G19" s="3">
        <v>0.85908589090820742</v>
      </c>
      <c r="H19" s="3">
        <v>0.86338132036274828</v>
      </c>
      <c r="I19" s="3">
        <v>0.86769822696456189</v>
      </c>
      <c r="J19" s="3">
        <v>0.87203671809938454</v>
      </c>
      <c r="K19" s="3">
        <v>0.87639690168988138</v>
      </c>
      <c r="L19" s="3">
        <v>0.88077888619833078</v>
      </c>
      <c r="M19" s="3">
        <v>0.88518278062932221</v>
      </c>
      <c r="N19" s="3">
        <v>0.88960869453246871</v>
      </c>
      <c r="O19" s="3">
        <v>0.89405673800513097</v>
      </c>
      <c r="P19" s="3">
        <v>0.89852702169515652</v>
      </c>
      <c r="Q19" s="76"/>
    </row>
    <row r="20" spans="1:17">
      <c r="A20" s="84" t="s">
        <v>114</v>
      </c>
      <c r="B20" s="85" t="s">
        <v>113</v>
      </c>
      <c r="C20" s="85" t="s">
        <v>79</v>
      </c>
      <c r="D20" s="84" t="s">
        <v>80</v>
      </c>
      <c r="E20" s="84">
        <f>VLOOKUP(A20,'2a. SI Pop'!$A$5:$E$198,5,FALSE)</f>
        <v>2</v>
      </c>
      <c r="F20" s="3">
        <v>0.99</v>
      </c>
      <c r="G20" s="3">
        <v>0.99</v>
      </c>
      <c r="H20" s="3">
        <v>0.99</v>
      </c>
      <c r="I20" s="3">
        <v>0.99</v>
      </c>
      <c r="J20" s="3">
        <v>0.99</v>
      </c>
      <c r="K20" s="3">
        <v>0.99</v>
      </c>
      <c r="L20" s="3">
        <v>0.99</v>
      </c>
      <c r="M20" s="3">
        <v>0.99</v>
      </c>
      <c r="N20" s="3">
        <v>0.99</v>
      </c>
      <c r="O20" s="3">
        <v>0.99</v>
      </c>
      <c r="P20" s="3">
        <v>0.99</v>
      </c>
      <c r="Q20" s="76"/>
    </row>
    <row r="21" spans="1:17">
      <c r="A21" s="84" t="s">
        <v>116</v>
      </c>
      <c r="B21" s="85" t="s">
        <v>115</v>
      </c>
      <c r="C21" s="85" t="s">
        <v>79</v>
      </c>
      <c r="D21" s="84" t="s">
        <v>87</v>
      </c>
      <c r="E21" s="84">
        <f>VLOOKUP(A21,'2a. SI Pop'!$A$5:$E$198,5,FALSE)</f>
        <v>1</v>
      </c>
      <c r="F21" s="3">
        <v>0.89793645779584419</v>
      </c>
      <c r="G21" s="3">
        <v>0.90242614008482336</v>
      </c>
      <c r="H21" s="3">
        <v>0.90693827078524736</v>
      </c>
      <c r="I21" s="3">
        <v>0.91147296213917339</v>
      </c>
      <c r="J21" s="3">
        <v>0.91603032694986919</v>
      </c>
      <c r="K21" s="3">
        <v>0.92061047858461853</v>
      </c>
      <c r="L21" s="3">
        <v>0.92521353097754144</v>
      </c>
      <c r="M21" s="3">
        <v>0.92983959863242904</v>
      </c>
      <c r="N21" s="3">
        <v>0.93448879662559103</v>
      </c>
      <c r="O21" s="3">
        <v>0.93916124060871897</v>
      </c>
      <c r="P21" s="3">
        <v>0.94385704681176252</v>
      </c>
      <c r="Q21" s="76"/>
    </row>
    <row r="22" spans="1:17">
      <c r="A22" s="84" t="s">
        <v>118</v>
      </c>
      <c r="B22" s="85" t="s">
        <v>117</v>
      </c>
      <c r="C22" s="85" t="s">
        <v>92</v>
      </c>
      <c r="D22" s="84" t="s">
        <v>80</v>
      </c>
      <c r="E22" s="84">
        <f>VLOOKUP(A22,'2a. SI Pop'!$A$5:$E$198,5,FALSE)</f>
        <v>1</v>
      </c>
      <c r="F22" s="3">
        <v>0.98</v>
      </c>
      <c r="G22" s="3">
        <v>0.98</v>
      </c>
      <c r="H22" s="3">
        <v>0.98</v>
      </c>
      <c r="I22" s="3">
        <v>0.98</v>
      </c>
      <c r="J22" s="3">
        <v>0.98</v>
      </c>
      <c r="K22" s="3">
        <v>0.98</v>
      </c>
      <c r="L22" s="3">
        <v>0.98</v>
      </c>
      <c r="M22" s="3">
        <v>0.98</v>
      </c>
      <c r="N22" s="3">
        <v>0.98</v>
      </c>
      <c r="O22" s="3">
        <v>0.98</v>
      </c>
      <c r="P22" s="3">
        <v>0.98</v>
      </c>
      <c r="Q22" s="76"/>
    </row>
    <row r="23" spans="1:17">
      <c r="A23" s="84" t="s">
        <v>120</v>
      </c>
      <c r="B23" s="85" t="s">
        <v>119</v>
      </c>
      <c r="C23" s="85" t="s">
        <v>83</v>
      </c>
      <c r="D23" s="84" t="s">
        <v>84</v>
      </c>
      <c r="E23" s="84">
        <f>VLOOKUP(A23,'2a. SI Pop'!$A$5:$E$198,5,FALSE)</f>
        <v>3</v>
      </c>
      <c r="F23" s="3">
        <v>0.80317501695805726</v>
      </c>
      <c r="G23" s="3">
        <v>0.81120676712763795</v>
      </c>
      <c r="H23" s="3">
        <v>0.81931883479891443</v>
      </c>
      <c r="I23" s="3">
        <v>0.82751202314690364</v>
      </c>
      <c r="J23" s="3">
        <v>0.83578714337837268</v>
      </c>
      <c r="K23" s="3">
        <v>0.84414501481215642</v>
      </c>
      <c r="L23" s="3">
        <v>0.8525864649602779</v>
      </c>
      <c r="M23" s="3">
        <v>0.85684939728507925</v>
      </c>
      <c r="N23" s="3">
        <v>0.86113364427150463</v>
      </c>
      <c r="O23" s="3">
        <v>0.86543931249286199</v>
      </c>
      <c r="P23" s="3">
        <v>0.86976650905532626</v>
      </c>
      <c r="Q23" s="76"/>
    </row>
    <row r="24" spans="1:17">
      <c r="A24" s="84" t="s">
        <v>122</v>
      </c>
      <c r="B24" s="85" t="s">
        <v>121</v>
      </c>
      <c r="C24" s="85" t="s">
        <v>110</v>
      </c>
      <c r="D24" s="84" t="s">
        <v>84</v>
      </c>
      <c r="E24" s="84">
        <f>VLOOKUP(A24,'2a. SI Pop'!$A$5:$E$198,5,FALSE)</f>
        <v>2</v>
      </c>
      <c r="F24" s="3">
        <v>0.9718841660849139</v>
      </c>
      <c r="G24" s="3">
        <v>0.97674358691533836</v>
      </c>
      <c r="H24" s="3">
        <v>0.98162730484991501</v>
      </c>
      <c r="I24" s="3">
        <v>0.98653544137416449</v>
      </c>
      <c r="J24" s="3">
        <v>0.99146811858103523</v>
      </c>
      <c r="K24" s="3">
        <v>0.99</v>
      </c>
      <c r="L24" s="3">
        <v>0.99</v>
      </c>
      <c r="M24" s="3">
        <v>0.99</v>
      </c>
      <c r="N24" s="3">
        <v>0.99</v>
      </c>
      <c r="O24" s="3">
        <v>0.99</v>
      </c>
      <c r="P24" s="3">
        <v>0.99</v>
      </c>
      <c r="Q24" s="76"/>
    </row>
    <row r="25" spans="1:17">
      <c r="A25" s="84" t="s">
        <v>124</v>
      </c>
      <c r="B25" s="85" t="s">
        <v>123</v>
      </c>
      <c r="C25" s="85" t="s">
        <v>92</v>
      </c>
      <c r="D25" s="84" t="s">
        <v>84</v>
      </c>
      <c r="E25" s="84">
        <f>VLOOKUP(A25,'2a. SI Pop'!$A$5:$E$198,5,FALSE)</f>
        <v>2</v>
      </c>
      <c r="F25" s="3">
        <v>0.6090629031187561</v>
      </c>
      <c r="G25" s="3">
        <v>0.62733479021231886</v>
      </c>
      <c r="H25" s="3">
        <v>0.64615483391868844</v>
      </c>
      <c r="I25" s="3">
        <v>0.66553947893624921</v>
      </c>
      <c r="J25" s="3">
        <v>0.68550566330433671</v>
      </c>
      <c r="K25" s="3">
        <v>0.70607083320346675</v>
      </c>
      <c r="L25" s="3">
        <v>0.72725295819957081</v>
      </c>
      <c r="M25" s="3">
        <v>0.74907054694555797</v>
      </c>
      <c r="N25" s="3">
        <v>0.77154266335392474</v>
      </c>
      <c r="O25" s="3">
        <v>0.77925808998746404</v>
      </c>
      <c r="P25" s="3">
        <v>0.78705067088733871</v>
      </c>
      <c r="Q25" s="76"/>
    </row>
    <row r="26" spans="1:17">
      <c r="A26" s="84" t="s">
        <v>126</v>
      </c>
      <c r="B26" s="85" t="s">
        <v>125</v>
      </c>
      <c r="C26" s="85" t="s">
        <v>79</v>
      </c>
      <c r="D26" s="84" t="s">
        <v>80</v>
      </c>
      <c r="E26" s="84">
        <f>VLOOKUP(A26,'2a. SI Pop'!$A$5:$E$198,5,FALSE)</f>
        <v>1</v>
      </c>
      <c r="F26" s="3">
        <v>0.84790794346564069</v>
      </c>
      <c r="G26" s="3">
        <v>0.85638702290029711</v>
      </c>
      <c r="H26" s="3">
        <v>0.86066895801479859</v>
      </c>
      <c r="I26" s="3">
        <v>0.86497230280487247</v>
      </c>
      <c r="J26" s="3">
        <v>0.8692971643188967</v>
      </c>
      <c r="K26" s="3">
        <v>0.87364365014049117</v>
      </c>
      <c r="L26" s="3">
        <v>0.8780118683911935</v>
      </c>
      <c r="M26" s="3">
        <v>0.8824019277331494</v>
      </c>
      <c r="N26" s="3">
        <v>0.88681393737181513</v>
      </c>
      <c r="O26" s="3">
        <v>0.89124800705867402</v>
      </c>
      <c r="P26" s="3">
        <v>0.89570424709396734</v>
      </c>
      <c r="Q26" s="76"/>
    </row>
    <row r="27" spans="1:17">
      <c r="A27" s="84" t="s">
        <v>128</v>
      </c>
      <c r="B27" s="85" t="s">
        <v>127</v>
      </c>
      <c r="C27" s="85" t="s">
        <v>83</v>
      </c>
      <c r="D27" s="84" t="s">
        <v>80</v>
      </c>
      <c r="E27" s="84">
        <f>VLOOKUP(A27,'2a. SI Pop'!$A$5:$E$198,5,FALSE)</f>
        <v>2</v>
      </c>
      <c r="F27" s="3">
        <v>0.84790794346564069</v>
      </c>
      <c r="G27" s="3">
        <v>0.85638702290029711</v>
      </c>
      <c r="H27" s="3">
        <v>0.86066895801479859</v>
      </c>
      <c r="I27" s="3">
        <v>0.86497230280487247</v>
      </c>
      <c r="J27" s="3">
        <v>0.8692971643188967</v>
      </c>
      <c r="K27" s="3">
        <v>0.87364365014049117</v>
      </c>
      <c r="L27" s="3">
        <v>0.8780118683911935</v>
      </c>
      <c r="M27" s="3">
        <v>0.8824019277331494</v>
      </c>
      <c r="N27" s="3">
        <v>0.88681393737181513</v>
      </c>
      <c r="O27" s="3">
        <v>0.89124800705867402</v>
      </c>
      <c r="P27" s="3">
        <v>0.89570424709396734</v>
      </c>
      <c r="Q27" s="76"/>
    </row>
    <row r="28" spans="1:17">
      <c r="A28" s="84" t="s">
        <v>130</v>
      </c>
      <c r="B28" s="85" t="s">
        <v>129</v>
      </c>
      <c r="C28" s="85" t="s">
        <v>92</v>
      </c>
      <c r="D28" s="84" t="s">
        <v>80</v>
      </c>
      <c r="E28" s="84" t="str">
        <f>VLOOKUP(A28,'2a. SI Pop'!$A$5:$E$198,5,FALSE)</f>
        <v>Key</v>
      </c>
      <c r="F28" s="3">
        <v>0.74748629019120083</v>
      </c>
      <c r="G28" s="3">
        <v>0.76991087889693688</v>
      </c>
      <c r="H28" s="3">
        <v>0.77760998768590628</v>
      </c>
      <c r="I28" s="3">
        <v>0.78538608756276529</v>
      </c>
      <c r="J28" s="3">
        <v>0.79323994843839296</v>
      </c>
      <c r="K28" s="3">
        <v>0.80117234792277703</v>
      </c>
      <c r="L28" s="3">
        <v>0.80918407140200477</v>
      </c>
      <c r="M28" s="3">
        <v>0.81727591211602468</v>
      </c>
      <c r="N28" s="3">
        <v>0.82544867123718502</v>
      </c>
      <c r="O28" s="3">
        <v>0.83370315794955685</v>
      </c>
      <c r="P28" s="3">
        <v>0.84204018952905246</v>
      </c>
      <c r="Q28" s="76"/>
    </row>
    <row r="29" spans="1:17">
      <c r="A29" s="84" t="s">
        <v>132</v>
      </c>
      <c r="B29" s="85" t="s">
        <v>131</v>
      </c>
      <c r="C29" s="85" t="s">
        <v>99</v>
      </c>
      <c r="D29" s="84" t="s">
        <v>87</v>
      </c>
      <c r="E29" s="84">
        <f>VLOOKUP(A29,'2a. SI Pop'!$A$5:$E$198,5,FALSE)</f>
        <v>1</v>
      </c>
      <c r="F29" s="3">
        <v>0.99</v>
      </c>
      <c r="G29" s="3">
        <v>0.99</v>
      </c>
      <c r="H29" s="3">
        <v>0.99</v>
      </c>
      <c r="I29" s="3">
        <v>0.99</v>
      </c>
      <c r="J29" s="3">
        <v>0.99</v>
      </c>
      <c r="K29" s="3">
        <v>0.99</v>
      </c>
      <c r="L29" s="3">
        <v>0.99</v>
      </c>
      <c r="M29" s="3">
        <v>0.99</v>
      </c>
      <c r="N29" s="3">
        <v>0.99</v>
      </c>
      <c r="O29" s="3">
        <v>0.99</v>
      </c>
      <c r="P29" s="3">
        <v>0.99</v>
      </c>
      <c r="Q29" s="76"/>
    </row>
    <row r="30" spans="1:17">
      <c r="A30" s="84" t="s">
        <v>134</v>
      </c>
      <c r="B30" s="85" t="s">
        <v>133</v>
      </c>
      <c r="C30" s="85" t="s">
        <v>79</v>
      </c>
      <c r="D30" s="84" t="s">
        <v>80</v>
      </c>
      <c r="E30" s="84">
        <f>VLOOKUP(A30,'2a. SI Pop'!$A$5:$E$198,5,FALSE)</f>
        <v>1</v>
      </c>
      <c r="F30" s="3">
        <v>0.91906437444986433</v>
      </c>
      <c r="G30" s="3">
        <v>0.92365969632211364</v>
      </c>
      <c r="H30" s="3">
        <v>0.92827799480372408</v>
      </c>
      <c r="I30" s="3">
        <v>0.9329193847777425</v>
      </c>
      <c r="J30" s="3">
        <v>0.93758398170163115</v>
      </c>
      <c r="K30" s="3">
        <v>0.94227190161013918</v>
      </c>
      <c r="L30" s="3">
        <v>0.94698326111818987</v>
      </c>
      <c r="M30" s="3">
        <v>0.95171817742378062</v>
      </c>
      <c r="N30" s="3">
        <v>0.95647676831089956</v>
      </c>
      <c r="O30" s="3">
        <v>0.96125915215245394</v>
      </c>
      <c r="P30" s="3">
        <v>0.96</v>
      </c>
      <c r="Q30" s="76"/>
    </row>
    <row r="31" spans="1:17">
      <c r="A31" s="84" t="s">
        <v>136</v>
      </c>
      <c r="B31" s="85" t="s">
        <v>135</v>
      </c>
      <c r="C31" s="85" t="s">
        <v>83</v>
      </c>
      <c r="D31" s="84" t="s">
        <v>75</v>
      </c>
      <c r="E31" s="84">
        <f>VLOOKUP(A31,'2a. SI Pop'!$A$5:$E$198,5,FALSE)</f>
        <v>3</v>
      </c>
      <c r="F31" s="3">
        <v>0.82380640111149517</v>
      </c>
      <c r="G31" s="3">
        <v>0.8320444651226101</v>
      </c>
      <c r="H31" s="3">
        <v>0.84036490977383627</v>
      </c>
      <c r="I31" s="3">
        <v>0.84876855887157465</v>
      </c>
      <c r="J31" s="3">
        <v>0.85725624446029025</v>
      </c>
      <c r="K31" s="3">
        <v>0.86154252568259171</v>
      </c>
      <c r="L31" s="3">
        <v>0.86585023831100461</v>
      </c>
      <c r="M31" s="3">
        <v>0.87017948950255952</v>
      </c>
      <c r="N31" s="3">
        <v>0.87453038695007224</v>
      </c>
      <c r="O31" s="3">
        <v>0.87890303888482246</v>
      </c>
      <c r="P31" s="3">
        <v>0.88329755407924648</v>
      </c>
      <c r="Q31" s="76"/>
    </row>
    <row r="32" spans="1:17">
      <c r="A32" s="84" t="s">
        <v>138</v>
      </c>
      <c r="B32" s="85" t="s">
        <v>137</v>
      </c>
      <c r="C32" s="85" t="s">
        <v>83</v>
      </c>
      <c r="D32" s="84" t="s">
        <v>75</v>
      </c>
      <c r="E32" s="84">
        <f>VLOOKUP(A32,'2a. SI Pop'!$A$5:$E$198,5,FALSE)</f>
        <v>3</v>
      </c>
      <c r="F32" s="3">
        <v>0.87499153295178134</v>
      </c>
      <c r="G32" s="3">
        <v>0.87936649061654004</v>
      </c>
      <c r="H32" s="3">
        <v>0.88376332306962269</v>
      </c>
      <c r="I32" s="3">
        <v>0.88818213968497073</v>
      </c>
      <c r="J32" s="3">
        <v>0.89262305038339551</v>
      </c>
      <c r="K32" s="3">
        <v>0.8970861656353124</v>
      </c>
      <c r="L32" s="3">
        <v>0.90157159646348883</v>
      </c>
      <c r="M32" s="3">
        <v>0.90607945444580618</v>
      </c>
      <c r="N32" s="3">
        <v>0.9106098517180351</v>
      </c>
      <c r="O32" s="3">
        <v>0.91516290097662523</v>
      </c>
      <c r="P32" s="3">
        <v>0.91973871548150821</v>
      </c>
      <c r="Q32" s="76"/>
    </row>
    <row r="33" spans="1:17">
      <c r="A33" s="84" t="s">
        <v>140</v>
      </c>
      <c r="B33" s="85" t="s">
        <v>139</v>
      </c>
      <c r="C33" s="85" t="s">
        <v>99</v>
      </c>
      <c r="D33" s="84" t="s">
        <v>84</v>
      </c>
      <c r="E33" s="84">
        <f>VLOOKUP(A33,'2a. SI Pop'!$A$5:$E$198,5,FALSE)</f>
        <v>4</v>
      </c>
      <c r="F33" s="3">
        <v>0.88361235520211567</v>
      </c>
      <c r="G33" s="3">
        <v>0.88803041697812612</v>
      </c>
      <c r="H33" s="3">
        <v>0.89247056906301669</v>
      </c>
      <c r="I33" s="3">
        <v>0.89693292190833163</v>
      </c>
      <c r="J33" s="3">
        <v>0.90141758651787318</v>
      </c>
      <c r="K33" s="3">
        <v>0.90592467445046243</v>
      </c>
      <c r="L33" s="3">
        <v>0.91045429782271459</v>
      </c>
      <c r="M33" s="3">
        <v>0.915006569311828</v>
      </c>
      <c r="N33" s="3">
        <v>0.91958160215838702</v>
      </c>
      <c r="O33" s="3">
        <v>0.92417951016917887</v>
      </c>
      <c r="P33" s="3">
        <v>0.92880040772002459</v>
      </c>
      <c r="Q33" s="76"/>
    </row>
    <row r="34" spans="1:17">
      <c r="A34" s="84" t="s">
        <v>142</v>
      </c>
      <c r="B34" s="85" t="s">
        <v>141</v>
      </c>
      <c r="C34" s="85" t="s">
        <v>83</v>
      </c>
      <c r="D34" s="84" t="s">
        <v>84</v>
      </c>
      <c r="E34" s="84">
        <f>VLOOKUP(A34,'2a. SI Pop'!$A$5:$E$198,5,FALSE)</f>
        <v>3</v>
      </c>
      <c r="F34" s="3">
        <v>0.73364395148395645</v>
      </c>
      <c r="G34" s="3">
        <v>0.75565327002847515</v>
      </c>
      <c r="H34" s="3">
        <v>0.76320980272875982</v>
      </c>
      <c r="I34" s="3">
        <v>0.77084190075604753</v>
      </c>
      <c r="J34" s="3">
        <v>0.77855031976360811</v>
      </c>
      <c r="K34" s="3">
        <v>0.78633582296124416</v>
      </c>
      <c r="L34" s="3">
        <v>0.79419918119085664</v>
      </c>
      <c r="M34" s="3">
        <v>0.80214117300276522</v>
      </c>
      <c r="N34" s="3">
        <v>0.8101625847327929</v>
      </c>
      <c r="O34" s="3">
        <v>0.81826421058012089</v>
      </c>
      <c r="P34" s="3">
        <v>0.82644685268592211</v>
      </c>
      <c r="Q34" s="76"/>
    </row>
    <row r="35" spans="1:17">
      <c r="A35" s="84" t="s">
        <v>144</v>
      </c>
      <c r="B35" s="85" t="s">
        <v>143</v>
      </c>
      <c r="C35" s="85" t="s">
        <v>92</v>
      </c>
      <c r="D35" s="84" t="s">
        <v>87</v>
      </c>
      <c r="E35" s="84">
        <f>VLOOKUP(A35,'2a. SI Pop'!$A$5:$E$198,5,FALSE)</f>
        <v>1</v>
      </c>
      <c r="F35" s="3">
        <v>0.91906437444986433</v>
      </c>
      <c r="G35" s="3">
        <v>0.92365969632211364</v>
      </c>
      <c r="H35" s="3">
        <v>0.92827799480372408</v>
      </c>
      <c r="I35" s="3">
        <v>0.9329193847777425</v>
      </c>
      <c r="J35" s="3">
        <v>0.93758398170163115</v>
      </c>
      <c r="K35" s="3">
        <v>0.94227190161013918</v>
      </c>
      <c r="L35" s="3">
        <v>0.95</v>
      </c>
      <c r="M35" s="3">
        <v>0.95</v>
      </c>
      <c r="N35" s="3">
        <v>0.95</v>
      </c>
      <c r="O35" s="3">
        <v>0.95</v>
      </c>
      <c r="P35" s="3">
        <v>0.95</v>
      </c>
      <c r="Q35" s="76"/>
    </row>
    <row r="36" spans="1:17">
      <c r="A36" s="84" t="s">
        <v>146</v>
      </c>
      <c r="B36" s="85" t="s">
        <v>145</v>
      </c>
      <c r="C36" s="85" t="s">
        <v>83</v>
      </c>
      <c r="D36" s="84" t="s">
        <v>84</v>
      </c>
      <c r="E36" s="84">
        <f>VLOOKUP(A36,'2a. SI Pop'!$A$5:$E$198,5,FALSE)</f>
        <v>2</v>
      </c>
      <c r="F36" s="3">
        <v>0.96132020775790394</v>
      </c>
      <c r="G36" s="3">
        <v>0.96612680879669344</v>
      </c>
      <c r="H36" s="3">
        <v>0.97095744284067675</v>
      </c>
      <c r="I36" s="3">
        <v>0.97581223005487994</v>
      </c>
      <c r="J36" s="3">
        <v>0.9806912912051543</v>
      </c>
      <c r="K36" s="3">
        <v>0.98559474766118005</v>
      </c>
      <c r="L36" s="3">
        <v>0.99052272139948583</v>
      </c>
      <c r="M36" s="3">
        <v>0.99</v>
      </c>
      <c r="N36" s="3">
        <v>0.99</v>
      </c>
      <c r="O36" s="3">
        <v>0.99</v>
      </c>
      <c r="P36" s="3">
        <v>0.99</v>
      </c>
      <c r="Q36" s="76"/>
    </row>
    <row r="37" spans="1:17">
      <c r="A37" s="84" t="s">
        <v>148</v>
      </c>
      <c r="B37" s="85" t="s">
        <v>147</v>
      </c>
      <c r="C37" s="85" t="s">
        <v>83</v>
      </c>
      <c r="D37" s="84" t="s">
        <v>75</v>
      </c>
      <c r="E37" s="84">
        <f>VLOOKUP(A37,'2a. SI Pop'!$A$5:$E$198,5,FALSE)</f>
        <v>3</v>
      </c>
      <c r="F37" s="3">
        <v>0.58137822570426723</v>
      </c>
      <c r="G37" s="3">
        <v>0.5988195724753953</v>
      </c>
      <c r="H37" s="3">
        <v>0.61678415964965716</v>
      </c>
      <c r="I37" s="3">
        <v>0.63528768443914685</v>
      </c>
      <c r="J37" s="3">
        <v>0.65434631497232132</v>
      </c>
      <c r="K37" s="3">
        <v>0.67397670442149094</v>
      </c>
      <c r="L37" s="3">
        <v>0.69419600555413563</v>
      </c>
      <c r="M37" s="3">
        <v>0.71502188572075975</v>
      </c>
      <c r="N37" s="3">
        <v>0.73647254229238257</v>
      </c>
      <c r="O37" s="3">
        <v>0.7585667185611541</v>
      </c>
      <c r="P37" s="3">
        <v>0.7661523857467657</v>
      </c>
      <c r="Q37" s="76"/>
    </row>
    <row r="38" spans="1:17">
      <c r="A38" s="84" t="s">
        <v>150</v>
      </c>
      <c r="B38" s="85" t="s">
        <v>149</v>
      </c>
      <c r="C38" s="85" t="s">
        <v>83</v>
      </c>
      <c r="D38" s="84" t="s">
        <v>75</v>
      </c>
      <c r="E38" s="84" t="str">
        <f>VLOOKUP(A38,'2a. SI Pop'!$A$5:$E$198,5,FALSE)</f>
        <v>Key</v>
      </c>
      <c r="F38" s="3">
        <v>0.47063951604631171</v>
      </c>
      <c r="G38" s="3">
        <v>0.48475870152770106</v>
      </c>
      <c r="H38" s="3">
        <v>0.49930146257353208</v>
      </c>
      <c r="I38" s="3">
        <v>0.51428050645073808</v>
      </c>
      <c r="J38" s="3">
        <v>0.5297089216442602</v>
      </c>
      <c r="K38" s="3">
        <v>0.545600189293588</v>
      </c>
      <c r="L38" s="3">
        <v>0.56196819497239558</v>
      </c>
      <c r="M38" s="3">
        <v>0.57882724082156745</v>
      </c>
      <c r="N38" s="3">
        <v>0.59619205804621456</v>
      </c>
      <c r="O38" s="3">
        <v>0.61407781978760101</v>
      </c>
      <c r="P38" s="3">
        <v>0.63250015438122897</v>
      </c>
      <c r="Q38" s="76"/>
    </row>
    <row r="39" spans="1:17">
      <c r="A39" s="84" t="s">
        <v>152</v>
      </c>
      <c r="B39" s="85" t="s">
        <v>151</v>
      </c>
      <c r="C39" s="85" t="s">
        <v>92</v>
      </c>
      <c r="D39" s="84" t="s">
        <v>87</v>
      </c>
      <c r="E39" s="84">
        <f>VLOOKUP(A39,'2a. SI Pop'!$A$5:$E$198,5,FALSE)</f>
        <v>2</v>
      </c>
      <c r="F39" s="3">
        <v>0.96132020775790394</v>
      </c>
      <c r="G39" s="3">
        <v>0.96</v>
      </c>
      <c r="H39" s="3">
        <v>0.96</v>
      </c>
      <c r="I39" s="3">
        <v>0.96</v>
      </c>
      <c r="J39" s="3">
        <v>0.96</v>
      </c>
      <c r="K39" s="3">
        <v>0.96</v>
      </c>
      <c r="L39" s="3">
        <v>0.96</v>
      </c>
      <c r="M39" s="3">
        <v>0.96</v>
      </c>
      <c r="N39" s="3">
        <v>0.96</v>
      </c>
      <c r="O39" s="3">
        <v>0.96</v>
      </c>
      <c r="P39" s="3">
        <v>0.96</v>
      </c>
      <c r="Q39" s="76"/>
    </row>
    <row r="40" spans="1:17">
      <c r="A40" s="84" t="s">
        <v>154</v>
      </c>
      <c r="B40" s="85" t="s">
        <v>153</v>
      </c>
      <c r="C40" s="85" t="s">
        <v>99</v>
      </c>
      <c r="D40" s="84" t="s">
        <v>80</v>
      </c>
      <c r="E40" s="84">
        <f>VLOOKUP(A40,'2a. SI Pop'!$A$5:$E$198,5,FALSE)</f>
        <v>1</v>
      </c>
      <c r="F40" s="3">
        <v>0.99</v>
      </c>
      <c r="G40" s="3">
        <v>0.99</v>
      </c>
      <c r="H40" s="3">
        <v>0.99</v>
      </c>
      <c r="I40" s="3">
        <v>0.99</v>
      </c>
      <c r="J40" s="3">
        <v>0.99</v>
      </c>
      <c r="K40" s="3">
        <v>0.99</v>
      </c>
      <c r="L40" s="3">
        <v>0.99</v>
      </c>
      <c r="M40" s="3">
        <v>0.99</v>
      </c>
      <c r="N40" s="3">
        <v>0.99</v>
      </c>
      <c r="O40" s="3">
        <v>0.99</v>
      </c>
      <c r="P40" s="3">
        <v>0.99</v>
      </c>
      <c r="Q40" s="76"/>
    </row>
    <row r="41" spans="1:17">
      <c r="A41" s="84" t="s">
        <v>156</v>
      </c>
      <c r="B41" s="85" t="s">
        <v>155</v>
      </c>
      <c r="C41" s="85" t="s">
        <v>92</v>
      </c>
      <c r="D41" s="84" t="s">
        <v>80</v>
      </c>
      <c r="E41" s="84">
        <f>VLOOKUP(A41,'2a. SI Pop'!$A$5:$E$198,5,FALSE)</f>
        <v>2</v>
      </c>
      <c r="F41" s="3">
        <v>0.92962833277687418</v>
      </c>
      <c r="G41" s="3">
        <v>0.93427647444075845</v>
      </c>
      <c r="H41" s="3">
        <v>0.93894785681296211</v>
      </c>
      <c r="I41" s="3">
        <v>0.94364259609702683</v>
      </c>
      <c r="J41" s="3">
        <v>0.94836080907751186</v>
      </c>
      <c r="K41" s="3">
        <v>0.95310261312289923</v>
      </c>
      <c r="L41" s="3">
        <v>0.95</v>
      </c>
      <c r="M41" s="3">
        <v>0.95</v>
      </c>
      <c r="N41" s="3">
        <v>0.95</v>
      </c>
      <c r="O41" s="3">
        <v>0.95</v>
      </c>
      <c r="P41" s="3">
        <v>0.95</v>
      </c>
      <c r="Q41" s="76"/>
    </row>
    <row r="42" spans="1:17">
      <c r="A42" s="84" t="s">
        <v>158</v>
      </c>
      <c r="B42" s="85" t="s">
        <v>157</v>
      </c>
      <c r="C42" s="85" t="s">
        <v>83</v>
      </c>
      <c r="D42" s="84" t="s">
        <v>84</v>
      </c>
      <c r="E42" s="84">
        <f>VLOOKUP(A42,'2a. SI Pop'!$A$5:$E$198,5,FALSE)</f>
        <v>3</v>
      </c>
      <c r="F42" s="3">
        <v>0.88996045169264038</v>
      </c>
      <c r="G42" s="3">
        <v>0.89441025395110341</v>
      </c>
      <c r="H42" s="3">
        <v>0.89888230522085888</v>
      </c>
      <c r="I42" s="3">
        <v>0.90337671674696307</v>
      </c>
      <c r="J42" s="3">
        <v>0.90789360033069788</v>
      </c>
      <c r="K42" s="3">
        <v>0.91243306833235127</v>
      </c>
      <c r="L42" s="3">
        <v>0.91699523367401281</v>
      </c>
      <c r="M42" s="3">
        <v>0.92158020984238276</v>
      </c>
      <c r="N42" s="3">
        <v>0.9261881108915947</v>
      </c>
      <c r="O42" s="3">
        <v>0.93081905144605259</v>
      </c>
      <c r="P42" s="3">
        <v>0.93547314670328274</v>
      </c>
      <c r="Q42" s="76"/>
    </row>
    <row r="43" spans="1:17">
      <c r="A43" s="84" t="s">
        <v>160</v>
      </c>
      <c r="B43" s="85" t="s">
        <v>159</v>
      </c>
      <c r="C43" s="85" t="s">
        <v>83</v>
      </c>
      <c r="D43" s="84" t="s">
        <v>84</v>
      </c>
      <c r="E43" s="84">
        <f>VLOOKUP(A43,'2a. SI Pop'!$A$5:$E$198,5,FALSE)</f>
        <v>3</v>
      </c>
      <c r="F43" s="3">
        <v>0.12458104836520011</v>
      </c>
      <c r="G43" s="3">
        <v>0.12831847981615613</v>
      </c>
      <c r="H43" s="3">
        <v>0.1321680342106408</v>
      </c>
      <c r="I43" s="3">
        <v>0.13613307523696003</v>
      </c>
      <c r="J43" s="3">
        <v>0.14021706749406884</v>
      </c>
      <c r="K43" s="3">
        <v>0.1444235795188909</v>
      </c>
      <c r="L43" s="3">
        <v>0.14875628690445764</v>
      </c>
      <c r="M43" s="3">
        <v>0.15321897551159136</v>
      </c>
      <c r="N43" s="3">
        <v>0.1578155447769391</v>
      </c>
      <c r="O43" s="3">
        <v>0.16255001112024728</v>
      </c>
      <c r="P43" s="3">
        <v>0.16742651145385473</v>
      </c>
      <c r="Q43" s="76"/>
    </row>
    <row r="44" spans="1:17">
      <c r="A44" s="84" t="s">
        <v>162</v>
      </c>
      <c r="B44" s="85" t="s">
        <v>161</v>
      </c>
      <c r="C44" s="85" t="s">
        <v>99</v>
      </c>
      <c r="D44" s="84" t="e">
        <v>#N/A</v>
      </c>
      <c r="E44" s="84">
        <f>VLOOKUP(A44,'2a. SI Pop'!$A$5:$E$198,5,FALSE)</f>
        <v>1</v>
      </c>
      <c r="F44" s="3">
        <v>0.99</v>
      </c>
      <c r="G44" s="3">
        <v>0.99</v>
      </c>
      <c r="H44" s="3">
        <v>0.99</v>
      </c>
      <c r="I44" s="3">
        <v>0.99</v>
      </c>
      <c r="J44" s="3">
        <v>0.99</v>
      </c>
      <c r="K44" s="3">
        <v>0.99</v>
      </c>
      <c r="L44" s="3">
        <v>0.99</v>
      </c>
      <c r="M44" s="3">
        <v>0.99</v>
      </c>
      <c r="N44" s="3">
        <v>0.99</v>
      </c>
      <c r="O44" s="3">
        <v>0.99</v>
      </c>
      <c r="P44" s="3">
        <v>0.99</v>
      </c>
      <c r="Q44" s="76"/>
    </row>
    <row r="45" spans="1:17">
      <c r="A45" s="84" t="s">
        <v>164</v>
      </c>
      <c r="B45" s="85" t="s">
        <v>163</v>
      </c>
      <c r="C45" s="85" t="s">
        <v>92</v>
      </c>
      <c r="D45" s="84" t="s">
        <v>80</v>
      </c>
      <c r="E45" s="84">
        <f>VLOOKUP(A45,'2a. SI Pop'!$A$5:$E$198,5,FALSE)</f>
        <v>2</v>
      </c>
      <c r="F45" s="3">
        <v>0.95474999999999999</v>
      </c>
      <c r="G45" s="3">
        <v>0.95</v>
      </c>
      <c r="H45" s="3">
        <v>0.95474999999999999</v>
      </c>
      <c r="I45" s="3">
        <v>0.95</v>
      </c>
      <c r="J45" s="3">
        <v>0.95474999999999999</v>
      </c>
      <c r="K45" s="3">
        <v>0.95</v>
      </c>
      <c r="L45" s="3">
        <v>0.95474999999999999</v>
      </c>
      <c r="M45" s="3">
        <v>0.95</v>
      </c>
      <c r="N45" s="3">
        <v>0.95474999999999999</v>
      </c>
      <c r="O45" s="3">
        <v>0.95</v>
      </c>
      <c r="P45" s="3">
        <v>0.95474999999999999</v>
      </c>
      <c r="Q45" s="76"/>
    </row>
    <row r="46" spans="1:17">
      <c r="A46" s="84" t="s">
        <v>166</v>
      </c>
      <c r="B46" s="85" t="s">
        <v>165</v>
      </c>
      <c r="C46" s="85" t="s">
        <v>83</v>
      </c>
      <c r="D46" s="84" t="s">
        <v>84</v>
      </c>
      <c r="E46" s="84">
        <f>VLOOKUP(A46,'2a. SI Pop'!$A$5:$E$198,5,FALSE)</f>
        <v>3</v>
      </c>
      <c r="F46" s="3">
        <v>0.81645406396589026</v>
      </c>
      <c r="G46" s="3">
        <v>0.82461860460554914</v>
      </c>
      <c r="H46" s="3">
        <v>0.83286479065160468</v>
      </c>
      <c r="I46" s="3">
        <v>0.84119343855812079</v>
      </c>
      <c r="J46" s="3">
        <v>0.84960537294370198</v>
      </c>
      <c r="K46" s="3">
        <v>0.85810142667313893</v>
      </c>
      <c r="L46" s="3">
        <v>0.86239193380650458</v>
      </c>
      <c r="M46" s="3">
        <v>0.86670389347553711</v>
      </c>
      <c r="N46" s="3">
        <v>0.8710374129429147</v>
      </c>
      <c r="O46" s="3">
        <v>0.87539260000762908</v>
      </c>
      <c r="P46" s="3">
        <v>0.87976956300766718</v>
      </c>
      <c r="Q46" s="76"/>
    </row>
    <row r="47" spans="1:17">
      <c r="A47" s="84" t="s">
        <v>168</v>
      </c>
      <c r="B47" s="85" t="s">
        <v>167</v>
      </c>
      <c r="C47" s="85" t="s">
        <v>79</v>
      </c>
      <c r="D47" s="84" t="s">
        <v>87</v>
      </c>
      <c r="E47" s="84">
        <f>VLOOKUP(A47,'2a. SI Pop'!$A$5:$E$198,5,FALSE)</f>
        <v>1</v>
      </c>
      <c r="F47" s="3">
        <v>0.98</v>
      </c>
      <c r="G47" s="3">
        <v>0.98</v>
      </c>
      <c r="H47" s="3">
        <v>0.98</v>
      </c>
      <c r="I47" s="3">
        <v>0.98</v>
      </c>
      <c r="J47" s="3">
        <v>0.98</v>
      </c>
      <c r="K47" s="3">
        <v>0.98</v>
      </c>
      <c r="L47" s="3">
        <v>0.98</v>
      </c>
      <c r="M47" s="3">
        <v>0.98</v>
      </c>
      <c r="N47" s="3">
        <v>0.98</v>
      </c>
      <c r="O47" s="3">
        <v>0.98</v>
      </c>
      <c r="P47" s="3">
        <v>0.98</v>
      </c>
      <c r="Q47" s="76"/>
    </row>
    <row r="48" spans="1:17">
      <c r="A48" s="84" t="s">
        <v>170</v>
      </c>
      <c r="B48" s="85" t="s">
        <v>169</v>
      </c>
      <c r="C48" s="85" t="s">
        <v>92</v>
      </c>
      <c r="D48" s="84" t="s">
        <v>80</v>
      </c>
      <c r="E48" s="84">
        <f>VLOOKUP(A48,'2a. SI Pop'!$A$5:$E$198,5,FALSE)</f>
        <v>1</v>
      </c>
      <c r="F48" s="3">
        <v>0.99</v>
      </c>
      <c r="G48" s="3">
        <v>0.99</v>
      </c>
      <c r="H48" s="3">
        <v>0.99</v>
      </c>
      <c r="I48" s="3">
        <v>0.99</v>
      </c>
      <c r="J48" s="3">
        <v>0.99</v>
      </c>
      <c r="K48" s="3">
        <v>0.99</v>
      </c>
      <c r="L48" s="3">
        <v>0.99</v>
      </c>
      <c r="M48" s="3">
        <v>0.99</v>
      </c>
      <c r="N48" s="3">
        <v>0.99</v>
      </c>
      <c r="O48" s="3">
        <v>0.99</v>
      </c>
      <c r="P48" s="3">
        <v>0.99</v>
      </c>
      <c r="Q48" s="76"/>
    </row>
    <row r="49" spans="1:17">
      <c r="A49" s="84" t="s">
        <v>172</v>
      </c>
      <c r="B49" s="85" t="s">
        <v>171</v>
      </c>
      <c r="C49" s="85" t="s">
        <v>79</v>
      </c>
      <c r="D49" s="84" t="s">
        <v>87</v>
      </c>
      <c r="E49" s="84">
        <f>VLOOKUP(A49,'2a. SI Pop'!$A$5:$E$198,5,FALSE)</f>
        <v>1</v>
      </c>
      <c r="F49" s="3">
        <v>0.92962833277687418</v>
      </c>
      <c r="G49" s="3">
        <v>0.93427647444075845</v>
      </c>
      <c r="H49" s="3">
        <v>0.93894785681296211</v>
      </c>
      <c r="I49" s="3">
        <v>0.94364259609702683</v>
      </c>
      <c r="J49" s="3">
        <v>0.94836080907751186</v>
      </c>
      <c r="K49" s="3">
        <v>0.95</v>
      </c>
      <c r="L49" s="3">
        <v>0.95</v>
      </c>
      <c r="M49" s="3">
        <v>0.95</v>
      </c>
      <c r="N49" s="3">
        <v>0.95</v>
      </c>
      <c r="O49" s="3">
        <v>0.95</v>
      </c>
      <c r="P49" s="3">
        <v>0.95</v>
      </c>
      <c r="Q49" s="76"/>
    </row>
    <row r="50" spans="1:17">
      <c r="A50" s="84" t="s">
        <v>174</v>
      </c>
      <c r="B50" s="85" t="s">
        <v>173</v>
      </c>
      <c r="C50" s="85" t="s">
        <v>79</v>
      </c>
      <c r="D50" s="84" t="s">
        <v>87</v>
      </c>
      <c r="E50" s="84">
        <f>VLOOKUP(A50,'2a. SI Pop'!$A$5:$E$198,5,FALSE)</f>
        <v>1</v>
      </c>
      <c r="F50" s="3">
        <v>0.89622404070013928</v>
      </c>
      <c r="G50" s="3">
        <v>0.90070516090363995</v>
      </c>
      <c r="H50" s="3">
        <v>0.90520868670815802</v>
      </c>
      <c r="I50" s="3">
        <v>0.9097347301416987</v>
      </c>
      <c r="J50" s="3">
        <v>0.91428340379240713</v>
      </c>
      <c r="K50" s="3">
        <v>0.91885482081136904</v>
      </c>
      <c r="L50" s="3">
        <v>0.92344909491542582</v>
      </c>
      <c r="M50" s="3">
        <v>0.92806634039000291</v>
      </c>
      <c r="N50" s="3">
        <v>0.93270667209195279</v>
      </c>
      <c r="O50" s="3">
        <v>0.93737020545241245</v>
      </c>
      <c r="P50" s="3">
        <v>0.94205705647967453</v>
      </c>
      <c r="Q50" s="76"/>
    </row>
    <row r="51" spans="1:17">
      <c r="A51" s="84" t="s">
        <v>176</v>
      </c>
      <c r="B51" s="85" t="s">
        <v>175</v>
      </c>
      <c r="C51" s="85" t="s">
        <v>110</v>
      </c>
      <c r="D51" s="84" t="s">
        <v>75</v>
      </c>
      <c r="E51" s="84">
        <f>VLOOKUP(A51,'2a. SI Pop'!$A$5:$E$198,5,FALSE)</f>
        <v>4</v>
      </c>
      <c r="F51" s="3">
        <v>0.99</v>
      </c>
      <c r="G51" s="3">
        <v>0.99</v>
      </c>
      <c r="H51" s="3">
        <v>0.99</v>
      </c>
      <c r="I51" s="3">
        <v>0.99</v>
      </c>
      <c r="J51" s="3">
        <v>0.99</v>
      </c>
      <c r="K51" s="3">
        <v>0.99</v>
      </c>
      <c r="L51" s="3">
        <v>0.99</v>
      </c>
      <c r="M51" s="3">
        <v>0.99</v>
      </c>
      <c r="N51" s="3">
        <v>0.99</v>
      </c>
      <c r="O51" s="3">
        <v>0.99</v>
      </c>
      <c r="P51" s="3">
        <v>0.99</v>
      </c>
      <c r="Q51" s="76"/>
    </row>
    <row r="52" spans="1:17">
      <c r="A52" s="84" t="s">
        <v>178</v>
      </c>
      <c r="B52" s="85" t="s">
        <v>177</v>
      </c>
      <c r="C52" s="85" t="s">
        <v>83</v>
      </c>
      <c r="D52" s="84" t="s">
        <v>75</v>
      </c>
      <c r="E52" s="84" t="str">
        <f>VLOOKUP(A52,'2a. SI Pop'!$A$5:$E$198,5,FALSE)</f>
        <v>Key</v>
      </c>
      <c r="F52" s="3">
        <v>0.69211693536222296</v>
      </c>
      <c r="G52" s="3">
        <v>0.71288044342308965</v>
      </c>
      <c r="H52" s="3">
        <v>0.73426685672578229</v>
      </c>
      <c r="I52" s="3">
        <v>0.75629486242755573</v>
      </c>
      <c r="J52" s="3">
        <v>0.76385781105183126</v>
      </c>
      <c r="K52" s="3">
        <v>0.77149638916234964</v>
      </c>
      <c r="L52" s="3">
        <v>0.77921135305397315</v>
      </c>
      <c r="M52" s="3">
        <v>0.78700346658451292</v>
      </c>
      <c r="N52" s="3">
        <v>0.79487350125035805</v>
      </c>
      <c r="O52" s="3">
        <v>0.80282223626286164</v>
      </c>
      <c r="P52" s="3">
        <v>0.81085045862549021</v>
      </c>
      <c r="Q52" s="76"/>
    </row>
    <row r="53" spans="1:17">
      <c r="A53" s="84" t="s">
        <v>180</v>
      </c>
      <c r="B53" s="85" t="s">
        <v>179</v>
      </c>
      <c r="C53" s="85" t="s">
        <v>79</v>
      </c>
      <c r="D53" s="84" t="s">
        <v>87</v>
      </c>
      <c r="E53" s="84">
        <f>VLOOKUP(A53,'2a. SI Pop'!$A$5:$E$198,5,FALSE)</f>
        <v>1</v>
      </c>
      <c r="F53" s="3">
        <v>0.95075624943089398</v>
      </c>
      <c r="G53" s="3">
        <v>0.95</v>
      </c>
      <c r="H53" s="3">
        <v>0.95</v>
      </c>
      <c r="I53" s="3">
        <v>0.95</v>
      </c>
      <c r="J53" s="3">
        <v>0.95</v>
      </c>
      <c r="K53" s="3">
        <v>0.95</v>
      </c>
      <c r="L53" s="3">
        <v>0.95</v>
      </c>
      <c r="M53" s="3">
        <v>0.95</v>
      </c>
      <c r="N53" s="3">
        <v>0.95</v>
      </c>
      <c r="O53" s="3">
        <v>0.95</v>
      </c>
      <c r="P53" s="3">
        <v>0.95</v>
      </c>
      <c r="Q53" s="76"/>
    </row>
    <row r="54" spans="1:17">
      <c r="A54" s="84" t="s">
        <v>182</v>
      </c>
      <c r="B54" s="85" t="s">
        <v>181</v>
      </c>
      <c r="C54" s="85" t="s">
        <v>74</v>
      </c>
      <c r="D54" s="84" t="s">
        <v>84</v>
      </c>
      <c r="E54" s="84">
        <f>VLOOKUP(A54,'2a. SI Pop'!$A$5:$E$198,5,FALSE)</f>
        <v>3</v>
      </c>
      <c r="F54" s="3">
        <v>0.87717906539358192</v>
      </c>
      <c r="G54" s="3">
        <v>0.8815649607205498</v>
      </c>
      <c r="H54" s="3">
        <v>0.88597278552415248</v>
      </c>
      <c r="I54" s="3">
        <v>0.89040264945177316</v>
      </c>
      <c r="J54" s="3">
        <v>0.8948546626990318</v>
      </c>
      <c r="K54" s="3">
        <v>0.89932893601252684</v>
      </c>
      <c r="L54" s="3">
        <v>0.90382558069258934</v>
      </c>
      <c r="M54" s="3">
        <v>0.90834470859605221</v>
      </c>
      <c r="N54" s="3">
        <v>0.91288643213903231</v>
      </c>
      <c r="O54" s="3">
        <v>0.91745086429972733</v>
      </c>
      <c r="P54" s="3">
        <v>0.92203811862122576</v>
      </c>
      <c r="Q54" s="76"/>
    </row>
    <row r="55" spans="1:17">
      <c r="A55" s="84" t="s">
        <v>184</v>
      </c>
      <c r="B55" s="85" t="s">
        <v>183</v>
      </c>
      <c r="C55" s="85" t="s">
        <v>92</v>
      </c>
      <c r="D55" s="84" t="s">
        <v>80</v>
      </c>
      <c r="E55" s="84">
        <f>VLOOKUP(A55,'2a. SI Pop'!$A$5:$E$198,5,FALSE)</f>
        <v>2</v>
      </c>
      <c r="F55" s="3">
        <v>0.78309268897424555</v>
      </c>
      <c r="G55" s="3">
        <v>0.79092361586398807</v>
      </c>
      <c r="H55" s="3">
        <v>0.79883285202262799</v>
      </c>
      <c r="I55" s="3">
        <v>0.80682118054285423</v>
      </c>
      <c r="J55" s="3">
        <v>0.81488939234828284</v>
      </c>
      <c r="K55" s="3">
        <v>0.82303828627176556</v>
      </c>
      <c r="L55" s="3">
        <v>0.83126866913448327</v>
      </c>
      <c r="M55" s="3">
        <v>0.83958135582582816</v>
      </c>
      <c r="N55" s="3">
        <v>0.8479771693840864</v>
      </c>
      <c r="O55" s="3">
        <v>0.85645694107792725</v>
      </c>
      <c r="P55" s="3">
        <v>0.86073922578331674</v>
      </c>
      <c r="Q55" s="76"/>
    </row>
    <row r="56" spans="1:17">
      <c r="A56" s="84" t="s">
        <v>184</v>
      </c>
      <c r="B56" s="85" t="s">
        <v>185</v>
      </c>
      <c r="C56" s="85" t="s">
        <v>92</v>
      </c>
      <c r="D56" s="84" t="s">
        <v>80</v>
      </c>
      <c r="E56" s="84">
        <f>VLOOKUP(A56,'2a. SI Pop'!$A$5:$E$198,5,FALSE)</f>
        <v>2</v>
      </c>
      <c r="F56" s="3">
        <v>0.78309268897424555</v>
      </c>
      <c r="G56" s="3">
        <v>0.79092361586398807</v>
      </c>
      <c r="H56" s="3">
        <v>0.79883285202262799</v>
      </c>
      <c r="I56" s="3">
        <v>0.80682118054285423</v>
      </c>
      <c r="J56" s="3">
        <v>0.81488939234828284</v>
      </c>
      <c r="K56" s="3">
        <v>0.82303828627176556</v>
      </c>
      <c r="L56" s="3">
        <v>0.83126866913448327</v>
      </c>
      <c r="M56" s="3">
        <v>0.83958135582582816</v>
      </c>
      <c r="N56" s="3">
        <v>0.8479771693840864</v>
      </c>
      <c r="O56" s="3">
        <v>0.85645694107792725</v>
      </c>
      <c r="P56" s="3">
        <v>0.86073922578331674</v>
      </c>
      <c r="Q56" s="76"/>
    </row>
    <row r="57" spans="1:17">
      <c r="A57" s="84" t="s">
        <v>187</v>
      </c>
      <c r="B57" s="85" t="s">
        <v>186</v>
      </c>
      <c r="C57" s="85" t="s">
        <v>92</v>
      </c>
      <c r="D57" s="84" t="s">
        <v>80</v>
      </c>
      <c r="E57" s="84">
        <f>VLOOKUP(A57,'2a. SI Pop'!$A$5:$E$198,5,FALSE)</f>
        <v>2</v>
      </c>
      <c r="F57" s="3">
        <v>0.84790794346564069</v>
      </c>
      <c r="G57" s="3">
        <v>0.85638702290029711</v>
      </c>
      <c r="H57" s="3">
        <v>0.86066895801479859</v>
      </c>
      <c r="I57" s="3">
        <v>0.86497230280487247</v>
      </c>
      <c r="J57" s="3">
        <v>0.8692971643188967</v>
      </c>
      <c r="K57" s="3">
        <v>0.87364365014049117</v>
      </c>
      <c r="L57" s="3">
        <v>0.8780118683911935</v>
      </c>
      <c r="M57" s="3">
        <v>0.8824019277331494</v>
      </c>
      <c r="N57" s="3">
        <v>0.88681393737181513</v>
      </c>
      <c r="O57" s="3">
        <v>0.89124800705867402</v>
      </c>
      <c r="P57" s="3">
        <v>0.89570424709396734</v>
      </c>
      <c r="Q57" s="76"/>
    </row>
    <row r="58" spans="1:17">
      <c r="A58" s="84" t="s">
        <v>189</v>
      </c>
      <c r="B58" s="85" t="s">
        <v>188</v>
      </c>
      <c r="C58" s="85" t="s">
        <v>74</v>
      </c>
      <c r="D58" s="84" t="s">
        <v>84</v>
      </c>
      <c r="E58" s="84">
        <f>VLOOKUP(A58,'2a. SI Pop'!$A$5:$E$198,5,FALSE)</f>
        <v>2</v>
      </c>
      <c r="F58" s="3">
        <v>0.99301208273893382</v>
      </c>
      <c r="G58" s="3">
        <v>0.99</v>
      </c>
      <c r="H58" s="3">
        <v>0.99</v>
      </c>
      <c r="I58" s="3">
        <v>0.99</v>
      </c>
      <c r="J58" s="3">
        <v>0.99</v>
      </c>
      <c r="K58" s="3">
        <v>0.99</v>
      </c>
      <c r="L58" s="3">
        <v>0.99</v>
      </c>
      <c r="M58" s="3">
        <v>0.99</v>
      </c>
      <c r="N58" s="3">
        <v>0.99</v>
      </c>
      <c r="O58" s="3">
        <v>0.99</v>
      </c>
      <c r="P58" s="3">
        <v>0.99</v>
      </c>
      <c r="Q58" s="76"/>
    </row>
    <row r="59" spans="1:17">
      <c r="A59" s="84" t="s">
        <v>191</v>
      </c>
      <c r="B59" s="85" t="s">
        <v>190</v>
      </c>
      <c r="C59" s="85" t="s">
        <v>92</v>
      </c>
      <c r="D59" s="84" t="s">
        <v>84</v>
      </c>
      <c r="E59" s="84">
        <f>VLOOKUP(A59,'2a. SI Pop'!$A$5:$E$198,5,FALSE)</f>
        <v>1</v>
      </c>
      <c r="F59" s="3">
        <v>0.91906437444986433</v>
      </c>
      <c r="G59" s="3">
        <v>0.92365969632211364</v>
      </c>
      <c r="H59" s="3">
        <v>0.92827799480372408</v>
      </c>
      <c r="I59" s="3">
        <v>0.9329193847777425</v>
      </c>
      <c r="J59" s="3">
        <v>0.93758398170163115</v>
      </c>
      <c r="K59" s="3">
        <v>0.94227190161013918</v>
      </c>
      <c r="L59" s="3">
        <v>0.94698326111818987</v>
      </c>
      <c r="M59" s="3">
        <v>0.95171817742378062</v>
      </c>
      <c r="N59" s="3">
        <v>0.95</v>
      </c>
      <c r="O59" s="3">
        <v>0.95474999999999999</v>
      </c>
      <c r="P59" s="3">
        <v>0.95</v>
      </c>
      <c r="Q59" s="76"/>
    </row>
    <row r="60" spans="1:17">
      <c r="A60" s="84" t="s">
        <v>193</v>
      </c>
      <c r="B60" s="85" t="s">
        <v>192</v>
      </c>
      <c r="C60" s="85" t="s">
        <v>83</v>
      </c>
      <c r="D60" s="84" t="s">
        <v>80</v>
      </c>
      <c r="E60" s="84">
        <f>VLOOKUP(A60,'2a. SI Pop'!$A$5:$E$198,5,FALSE)</f>
        <v>3</v>
      </c>
      <c r="F60" s="3">
        <v>0.63674758053324509</v>
      </c>
      <c r="G60" s="3">
        <v>0.65585000794924242</v>
      </c>
      <c r="H60" s="3">
        <v>0.67552550818771973</v>
      </c>
      <c r="I60" s="3">
        <v>0.69579127343335134</v>
      </c>
      <c r="J60" s="3">
        <v>0.71666501163635188</v>
      </c>
      <c r="K60" s="3">
        <v>0.73816496198544246</v>
      </c>
      <c r="L60" s="3">
        <v>0.76030991084500565</v>
      </c>
      <c r="M60" s="3">
        <v>0.76791300995345579</v>
      </c>
      <c r="N60" s="3">
        <v>0.77559214005299038</v>
      </c>
      <c r="O60" s="3">
        <v>0.78334806145352032</v>
      </c>
      <c r="P60" s="3">
        <v>0.79118154206805558</v>
      </c>
      <c r="Q60" s="76"/>
    </row>
    <row r="61" spans="1:17">
      <c r="A61" s="84" t="s">
        <v>195</v>
      </c>
      <c r="B61" s="85" t="s">
        <v>194</v>
      </c>
      <c r="C61" s="85" t="s">
        <v>83</v>
      </c>
      <c r="D61" s="84" t="s">
        <v>75</v>
      </c>
      <c r="E61" s="84">
        <f>VLOOKUP(A61,'2a. SI Pop'!$A$5:$E$198,5,FALSE)</f>
        <v>3</v>
      </c>
      <c r="F61" s="3">
        <v>0.92962833277687418</v>
      </c>
      <c r="G61" s="3">
        <v>0.93427647444075845</v>
      </c>
      <c r="H61" s="3">
        <v>0.93894785681296211</v>
      </c>
      <c r="I61" s="3">
        <v>0.94364259609702683</v>
      </c>
      <c r="J61" s="3">
        <v>0.94836080907751186</v>
      </c>
      <c r="K61" s="3">
        <v>0.95310261312289923</v>
      </c>
      <c r="L61" s="3">
        <v>0.95</v>
      </c>
      <c r="M61" s="3">
        <v>0.95</v>
      </c>
      <c r="N61" s="3">
        <v>0.95</v>
      </c>
      <c r="O61" s="3">
        <v>0.95</v>
      </c>
      <c r="P61" s="3">
        <v>0.95</v>
      </c>
      <c r="Q61" s="76"/>
    </row>
    <row r="62" spans="1:17">
      <c r="A62" s="84" t="s">
        <v>197</v>
      </c>
      <c r="B62" s="85" t="s">
        <v>196</v>
      </c>
      <c r="C62" s="85" t="s">
        <v>79</v>
      </c>
      <c r="D62" s="84" t="s">
        <v>87</v>
      </c>
      <c r="E62" s="84">
        <f>VLOOKUP(A62,'2a. SI Pop'!$A$5:$E$198,5,FALSE)</f>
        <v>1</v>
      </c>
      <c r="F62" s="3">
        <v>0.95075624943089398</v>
      </c>
      <c r="G62" s="3">
        <v>0.95551003067804829</v>
      </c>
      <c r="H62" s="3">
        <v>0.96028758083143839</v>
      </c>
      <c r="I62" s="3">
        <v>0.96508901873559549</v>
      </c>
      <c r="J62" s="3">
        <v>0.96991446382927338</v>
      </c>
      <c r="K62" s="3">
        <v>0.97476403614841955</v>
      </c>
      <c r="L62" s="3">
        <v>0.97963785632916156</v>
      </c>
      <c r="M62" s="3">
        <v>0.98453604561080721</v>
      </c>
      <c r="N62" s="3">
        <v>0.98</v>
      </c>
      <c r="O62" s="3">
        <v>0.98</v>
      </c>
      <c r="P62" s="3">
        <v>0.98</v>
      </c>
      <c r="Q62" s="76"/>
    </row>
    <row r="63" spans="1:17">
      <c r="A63" s="84" t="s">
        <v>199</v>
      </c>
      <c r="B63" s="85" t="s">
        <v>198</v>
      </c>
      <c r="C63" s="85" t="s">
        <v>83</v>
      </c>
      <c r="D63" s="84" t="s">
        <v>75</v>
      </c>
      <c r="E63" s="84" t="str">
        <f>VLOOKUP(A63,'2a. SI Pop'!$A$5:$E$198,5,FALSE)</f>
        <v>Key</v>
      </c>
      <c r="F63" s="3">
        <v>0.56753588699702295</v>
      </c>
      <c r="G63" s="3">
        <v>0.58456196360693358</v>
      </c>
      <c r="H63" s="3">
        <v>0.60209882251514169</v>
      </c>
      <c r="I63" s="3">
        <v>0.620161787190596</v>
      </c>
      <c r="J63" s="3">
        <v>0.63876664080631385</v>
      </c>
      <c r="K63" s="3">
        <v>0.65792964003050325</v>
      </c>
      <c r="L63" s="3">
        <v>0.67766752923141838</v>
      </c>
      <c r="M63" s="3">
        <v>0.69799755510836092</v>
      </c>
      <c r="N63" s="3">
        <v>0.71893748176161187</v>
      </c>
      <c r="O63" s="3">
        <v>0.74050560621446027</v>
      </c>
      <c r="P63" s="3">
        <v>0.76272077440089403</v>
      </c>
      <c r="Q63" s="76"/>
    </row>
    <row r="64" spans="1:17">
      <c r="A64" s="84" t="s">
        <v>201</v>
      </c>
      <c r="B64" s="85" t="s">
        <v>200</v>
      </c>
      <c r="C64" s="85" t="s">
        <v>99</v>
      </c>
      <c r="D64" s="84" t="s">
        <v>80</v>
      </c>
      <c r="E64" s="84">
        <f>VLOOKUP(A64,'2a. SI Pop'!$A$5:$E$198,5,FALSE)</f>
        <v>4</v>
      </c>
      <c r="F64" s="3">
        <v>0.95417061749999954</v>
      </c>
      <c r="G64" s="3">
        <v>0.95</v>
      </c>
      <c r="H64" s="3">
        <v>0.95</v>
      </c>
      <c r="I64" s="3">
        <v>0.95</v>
      </c>
      <c r="J64" s="3">
        <v>0.95</v>
      </c>
      <c r="K64" s="3">
        <v>0.95</v>
      </c>
      <c r="L64" s="3">
        <v>0.95</v>
      </c>
      <c r="M64" s="3">
        <v>0.95</v>
      </c>
      <c r="N64" s="3">
        <v>0.95</v>
      </c>
      <c r="O64" s="3">
        <v>0.95</v>
      </c>
      <c r="P64" s="3">
        <v>0.95</v>
      </c>
      <c r="Q64" s="76"/>
    </row>
    <row r="65" spans="1:17">
      <c r="A65" s="84" t="s">
        <v>203</v>
      </c>
      <c r="B65" s="85" t="s">
        <v>202</v>
      </c>
      <c r="C65" s="85" t="s">
        <v>79</v>
      </c>
      <c r="D65" s="84" t="s">
        <v>87</v>
      </c>
      <c r="E65" s="84">
        <f>VLOOKUP(A65,'2a. SI Pop'!$A$5:$E$198,5,FALSE)</f>
        <v>1</v>
      </c>
      <c r="F65" s="3">
        <v>0.95</v>
      </c>
      <c r="G65" s="3">
        <v>0.95</v>
      </c>
      <c r="H65" s="3">
        <v>0.95</v>
      </c>
      <c r="I65" s="3">
        <v>0.95</v>
      </c>
      <c r="J65" s="3">
        <v>0.95</v>
      </c>
      <c r="K65" s="3">
        <v>0.95</v>
      </c>
      <c r="L65" s="3">
        <v>0.95</v>
      </c>
      <c r="M65" s="3">
        <v>0.95</v>
      </c>
      <c r="N65" s="3">
        <v>0.95</v>
      </c>
      <c r="O65" s="3">
        <v>0.95</v>
      </c>
      <c r="P65" s="3">
        <v>0.95</v>
      </c>
      <c r="Q65" s="76"/>
    </row>
    <row r="66" spans="1:17">
      <c r="A66" s="84" t="s">
        <v>205</v>
      </c>
      <c r="B66" s="85" t="s">
        <v>204</v>
      </c>
      <c r="C66" s="85" t="s">
        <v>79</v>
      </c>
      <c r="D66" s="84" t="s">
        <v>87</v>
      </c>
      <c r="E66" s="84">
        <f>VLOOKUP(A66,'2a. SI Pop'!$A$5:$E$198,5,FALSE)</f>
        <v>1</v>
      </c>
      <c r="F66" s="3">
        <v>0.88996045169264038</v>
      </c>
      <c r="G66" s="3">
        <v>0.89441025395110341</v>
      </c>
      <c r="H66" s="3">
        <v>0.89888230522085888</v>
      </c>
      <c r="I66" s="3">
        <v>0.90337671674696307</v>
      </c>
      <c r="J66" s="3">
        <v>0.90789360033069788</v>
      </c>
      <c r="K66" s="3">
        <v>0.91243306833235127</v>
      </c>
      <c r="L66" s="3">
        <v>0.91699523367401281</v>
      </c>
      <c r="M66" s="3">
        <v>0.92158020984238276</v>
      </c>
      <c r="N66" s="3">
        <v>0.9261881108915947</v>
      </c>
      <c r="O66" s="3">
        <v>0.93081905144605259</v>
      </c>
      <c r="P66" s="3">
        <v>0.93547314670328274</v>
      </c>
      <c r="Q66" s="76"/>
    </row>
    <row r="67" spans="1:17">
      <c r="A67" s="84" t="s">
        <v>207</v>
      </c>
      <c r="B67" s="85" t="s">
        <v>206</v>
      </c>
      <c r="C67" s="85" t="s">
        <v>83</v>
      </c>
      <c r="D67" s="84" t="s">
        <v>80</v>
      </c>
      <c r="E67" s="84">
        <f>VLOOKUP(A67,'2a. SI Pop'!$A$5:$E$198,5,FALSE)</f>
        <v>3</v>
      </c>
      <c r="F67" s="3">
        <v>0.76132862889844499</v>
      </c>
      <c r="G67" s="3">
        <v>0.76894191518742938</v>
      </c>
      <c r="H67" s="3">
        <v>0.77663133433930365</v>
      </c>
      <c r="I67" s="3">
        <v>0.78439764768269671</v>
      </c>
      <c r="J67" s="3">
        <v>0.79224162415952359</v>
      </c>
      <c r="K67" s="3">
        <v>0.80016404040111899</v>
      </c>
      <c r="L67" s="3">
        <v>0.80816568080513007</v>
      </c>
      <c r="M67" s="3">
        <v>0.81624733761318136</v>
      </c>
      <c r="N67" s="3">
        <v>0.82440981098931321</v>
      </c>
      <c r="O67" s="3">
        <v>0.83265390909920622</v>
      </c>
      <c r="P67" s="3">
        <v>0.84098044819019835</v>
      </c>
      <c r="Q67" s="76"/>
    </row>
    <row r="68" spans="1:17">
      <c r="A68" s="84" t="s">
        <v>209</v>
      </c>
      <c r="B68" s="85" t="s">
        <v>208</v>
      </c>
      <c r="C68" s="85" t="s">
        <v>83</v>
      </c>
      <c r="D68" s="84" t="s">
        <v>75</v>
      </c>
      <c r="E68" s="84">
        <f>VLOOKUP(A68,'2a. SI Pop'!$A$5:$E$198,5,FALSE)</f>
        <v>3</v>
      </c>
      <c r="F68" s="3">
        <v>0.7806851224547452</v>
      </c>
      <c r="G68" s="3">
        <v>0.78849197367929269</v>
      </c>
      <c r="H68" s="3">
        <v>0.79637689341608564</v>
      </c>
      <c r="I68" s="3">
        <v>0.80434066235024648</v>
      </c>
      <c r="J68" s="3">
        <v>0.81238406897374882</v>
      </c>
      <c r="K68" s="3">
        <v>0.82050790966348641</v>
      </c>
      <c r="L68" s="3">
        <v>0.82871298876012134</v>
      </c>
      <c r="M68" s="3">
        <v>0.8370001186477225</v>
      </c>
      <c r="N68" s="3">
        <v>0.84537011983419974</v>
      </c>
      <c r="O68" s="3">
        <v>0.85382382103254173</v>
      </c>
      <c r="P68" s="3">
        <v>0.85809294013770443</v>
      </c>
      <c r="Q68" s="76"/>
    </row>
    <row r="69" spans="1:17">
      <c r="A69" s="84" t="s">
        <v>211</v>
      </c>
      <c r="B69" s="85" t="s">
        <v>210</v>
      </c>
      <c r="C69" s="85" t="s">
        <v>79</v>
      </c>
      <c r="D69" s="84" t="s">
        <v>80</v>
      </c>
      <c r="E69" s="84">
        <f>VLOOKUP(A69,'2a. SI Pop'!$A$5:$E$198,5,FALSE)</f>
        <v>1</v>
      </c>
      <c r="F69" s="3">
        <v>0.97</v>
      </c>
      <c r="G69" s="3">
        <v>0.97</v>
      </c>
      <c r="H69" s="3">
        <v>0.97</v>
      </c>
      <c r="I69" s="3">
        <v>0.97</v>
      </c>
      <c r="J69" s="3">
        <v>0.97</v>
      </c>
      <c r="K69" s="3">
        <v>0.97</v>
      </c>
      <c r="L69" s="3">
        <v>0.97</v>
      </c>
      <c r="M69" s="3">
        <v>0.97</v>
      </c>
      <c r="N69" s="3">
        <v>0.97</v>
      </c>
      <c r="O69" s="3">
        <v>0.97</v>
      </c>
      <c r="P69" s="3">
        <v>0.97</v>
      </c>
      <c r="Q69" s="76"/>
    </row>
    <row r="70" spans="1:17">
      <c r="A70" s="84" t="s">
        <v>213</v>
      </c>
      <c r="B70" s="85" t="s">
        <v>212</v>
      </c>
      <c r="C70" s="85" t="s">
        <v>79</v>
      </c>
      <c r="D70" s="84" t="s">
        <v>87</v>
      </c>
      <c r="E70" s="84">
        <f>VLOOKUP(A70,'2a. SI Pop'!$A$5:$E$198,5,FALSE)</f>
        <v>1</v>
      </c>
      <c r="F70" s="3">
        <v>0.95</v>
      </c>
      <c r="G70" s="3">
        <v>0.95</v>
      </c>
      <c r="H70" s="3">
        <v>0.95</v>
      </c>
      <c r="I70" s="3">
        <v>0.95</v>
      </c>
      <c r="J70" s="3">
        <v>0.95</v>
      </c>
      <c r="K70" s="3">
        <v>0.95</v>
      </c>
      <c r="L70" s="3">
        <v>0.95</v>
      </c>
      <c r="M70" s="3">
        <v>0.95</v>
      </c>
      <c r="N70" s="3">
        <v>0.95</v>
      </c>
      <c r="O70" s="3">
        <v>0.95</v>
      </c>
      <c r="P70" s="3">
        <v>0.95</v>
      </c>
      <c r="Q70" s="76"/>
    </row>
    <row r="71" spans="1:17">
      <c r="A71" s="84" t="s">
        <v>215</v>
      </c>
      <c r="B71" s="85" t="s">
        <v>214</v>
      </c>
      <c r="C71" s="85" t="s">
        <v>83</v>
      </c>
      <c r="D71" s="84" t="s">
        <v>84</v>
      </c>
      <c r="E71" s="84">
        <f>VLOOKUP(A71,'2a. SI Pop'!$A$5:$E$198,5,FALSE)</f>
        <v>3</v>
      </c>
      <c r="F71" s="3">
        <v>0.88996045169264038</v>
      </c>
      <c r="G71" s="3">
        <v>0.89441025395110341</v>
      </c>
      <c r="H71" s="3">
        <v>0.89888230522085888</v>
      </c>
      <c r="I71" s="3">
        <v>0.90337671674696307</v>
      </c>
      <c r="J71" s="3">
        <v>0.90789360033069788</v>
      </c>
      <c r="K71" s="3">
        <v>0.91243306833235127</v>
      </c>
      <c r="L71" s="3">
        <v>0.91699523367401281</v>
      </c>
      <c r="M71" s="3">
        <v>0.92158020984238276</v>
      </c>
      <c r="N71" s="3">
        <v>0.9261881108915947</v>
      </c>
      <c r="O71" s="3">
        <v>0.93081905144605259</v>
      </c>
      <c r="P71" s="3">
        <v>0.93547314670328274</v>
      </c>
      <c r="Q71" s="76"/>
    </row>
    <row r="72" spans="1:17">
      <c r="A72" s="84" t="s">
        <v>217</v>
      </c>
      <c r="B72" s="85" t="s">
        <v>216</v>
      </c>
      <c r="C72" s="85" t="s">
        <v>79</v>
      </c>
      <c r="D72" s="84" t="s">
        <v>87</v>
      </c>
      <c r="E72" s="84">
        <f>VLOOKUP(A72,'2a. SI Pop'!$A$5:$E$198,5,FALSE)</f>
        <v>1</v>
      </c>
      <c r="F72" s="3">
        <v>0.88996045169264038</v>
      </c>
      <c r="G72" s="3">
        <v>0.89441025395110341</v>
      </c>
      <c r="H72" s="3">
        <v>0.89888230522085888</v>
      </c>
      <c r="I72" s="3">
        <v>0.90337671674696307</v>
      </c>
      <c r="J72" s="3">
        <v>0.90789360033069788</v>
      </c>
      <c r="K72" s="3">
        <v>0.91243306833235127</v>
      </c>
      <c r="L72" s="3">
        <v>0.91699523367401281</v>
      </c>
      <c r="M72" s="3">
        <v>0.92158020984238276</v>
      </c>
      <c r="N72" s="3">
        <v>0.9261881108915947</v>
      </c>
      <c r="O72" s="3">
        <v>0.93081905144605259</v>
      </c>
      <c r="P72" s="3">
        <v>0.93547314670328274</v>
      </c>
      <c r="Q72" s="76"/>
    </row>
    <row r="73" spans="1:17">
      <c r="A73" s="84" t="s">
        <v>219</v>
      </c>
      <c r="B73" s="85" t="s">
        <v>218</v>
      </c>
      <c r="C73" s="85" t="s">
        <v>92</v>
      </c>
      <c r="D73" s="84" t="s">
        <v>80</v>
      </c>
      <c r="E73" s="84">
        <f>VLOOKUP(A73,'2a. SI Pop'!$A$5:$E$198,5,FALSE)</f>
        <v>1</v>
      </c>
      <c r="F73" s="3">
        <v>0.88361235520211567</v>
      </c>
      <c r="G73" s="3">
        <v>0.88803041697812612</v>
      </c>
      <c r="H73" s="3">
        <v>0.89247056906301669</v>
      </c>
      <c r="I73" s="3">
        <v>0.89693292190833163</v>
      </c>
      <c r="J73" s="3">
        <v>0.90141758651787318</v>
      </c>
      <c r="K73" s="3">
        <v>0.90592467445046243</v>
      </c>
      <c r="L73" s="3">
        <v>0.91045429782271459</v>
      </c>
      <c r="M73" s="3">
        <v>0.915006569311828</v>
      </c>
      <c r="N73" s="3">
        <v>0.91958160215838702</v>
      </c>
      <c r="O73" s="3">
        <v>0.92417951016917887</v>
      </c>
      <c r="P73" s="3">
        <v>0.92880040772002459</v>
      </c>
      <c r="Q73" s="76"/>
    </row>
    <row r="74" spans="1:17">
      <c r="A74" s="84" t="s">
        <v>221</v>
      </c>
      <c r="B74" s="85" t="s">
        <v>220</v>
      </c>
      <c r="C74" s="85" t="s">
        <v>92</v>
      </c>
      <c r="D74" s="84" t="s">
        <v>80</v>
      </c>
      <c r="E74" s="84">
        <f>VLOOKUP(A74,'2a. SI Pop'!$A$5:$E$198,5,FALSE)</f>
        <v>1</v>
      </c>
      <c r="F74" s="3">
        <v>0.86162658468355657</v>
      </c>
      <c r="G74" s="3">
        <v>0.86593471760697427</v>
      </c>
      <c r="H74" s="3">
        <v>0.87026439119500909</v>
      </c>
      <c r="I74" s="3">
        <v>0.87461571315098396</v>
      </c>
      <c r="J74" s="3">
        <v>0.87898879171673883</v>
      </c>
      <c r="K74" s="3">
        <v>0.88338373567532247</v>
      </c>
      <c r="L74" s="3">
        <v>0.88780065435369893</v>
      </c>
      <c r="M74" s="3">
        <v>0.89223965762546731</v>
      </c>
      <c r="N74" s="3">
        <v>0.8967008559135945</v>
      </c>
      <c r="O74" s="3">
        <v>0.90118436019316239</v>
      </c>
      <c r="P74" s="3">
        <v>0.90569028199412815</v>
      </c>
      <c r="Q74" s="76"/>
    </row>
    <row r="75" spans="1:17">
      <c r="A75" s="84" t="s">
        <v>223</v>
      </c>
      <c r="B75" s="85" t="s">
        <v>222</v>
      </c>
      <c r="C75" s="85" t="s">
        <v>83</v>
      </c>
      <c r="D75" s="84" t="s">
        <v>75</v>
      </c>
      <c r="E75" s="84">
        <f>VLOOKUP(A75,'2a. SI Pop'!$A$5:$E$198,5,FALSE)</f>
        <v>3</v>
      </c>
      <c r="F75" s="3">
        <v>0.55369354828977846</v>
      </c>
      <c r="G75" s="3">
        <v>0.57030435473847174</v>
      </c>
      <c r="H75" s="3">
        <v>0.58741348538062599</v>
      </c>
      <c r="I75" s="3">
        <v>0.60503588994204482</v>
      </c>
      <c r="J75" s="3">
        <v>0.62318696664030615</v>
      </c>
      <c r="K75" s="3">
        <v>0.64188257563951534</v>
      </c>
      <c r="L75" s="3">
        <v>0.66113905290870079</v>
      </c>
      <c r="M75" s="3">
        <v>0.68097322449596176</v>
      </c>
      <c r="N75" s="3">
        <v>0.70140242123084062</v>
      </c>
      <c r="O75" s="3">
        <v>0.72244449386776599</v>
      </c>
      <c r="P75" s="3">
        <v>0.74411782868379883</v>
      </c>
      <c r="Q75" s="76"/>
    </row>
    <row r="76" spans="1:17">
      <c r="A76" s="84" t="s">
        <v>225</v>
      </c>
      <c r="B76" s="85" t="s">
        <v>224</v>
      </c>
      <c r="C76" s="85" t="s">
        <v>83</v>
      </c>
      <c r="D76" s="84" t="s">
        <v>75</v>
      </c>
      <c r="E76" s="84">
        <f>VLOOKUP(A76,'2a. SI Pop'!$A$5:$E$198,5,FALSE)</f>
        <v>3</v>
      </c>
      <c r="F76" s="3">
        <v>0.868352915599784</v>
      </c>
      <c r="G76" s="3">
        <v>0.87269468017778284</v>
      </c>
      <c r="H76" s="3">
        <v>0.87705815357867167</v>
      </c>
      <c r="I76" s="3">
        <v>0.88144344434656485</v>
      </c>
      <c r="J76" s="3">
        <v>0.88585066156829773</v>
      </c>
      <c r="K76" s="3">
        <v>0.890279914876139</v>
      </c>
      <c r="L76" s="3">
        <v>0.89473131445051957</v>
      </c>
      <c r="M76" s="3">
        <v>0.89920497102277208</v>
      </c>
      <c r="N76" s="3">
        <v>0.90370099587788588</v>
      </c>
      <c r="O76" s="3">
        <v>0.90821950085727521</v>
      </c>
      <c r="P76" s="3">
        <v>0.91276059836156154</v>
      </c>
      <c r="Q76" s="76"/>
    </row>
    <row r="77" spans="1:17">
      <c r="A77" s="84" t="s">
        <v>227</v>
      </c>
      <c r="B77" s="85" t="s">
        <v>226</v>
      </c>
      <c r="C77" s="85" t="s">
        <v>92</v>
      </c>
      <c r="D77" s="84" t="s">
        <v>80</v>
      </c>
      <c r="E77" s="84">
        <f>VLOOKUP(A77,'2a. SI Pop'!$A$5:$E$198,5,FALSE)</f>
        <v>2</v>
      </c>
      <c r="F77" s="3">
        <v>0.95474999999999999</v>
      </c>
      <c r="G77" s="3">
        <v>0.95</v>
      </c>
      <c r="H77" s="3">
        <v>0.95474999999999999</v>
      </c>
      <c r="I77" s="3">
        <v>0.95</v>
      </c>
      <c r="J77" s="3">
        <v>0.95474999999999999</v>
      </c>
      <c r="K77" s="3">
        <v>0.95</v>
      </c>
      <c r="L77" s="3">
        <v>0.95474999999999999</v>
      </c>
      <c r="M77" s="3">
        <v>0.95</v>
      </c>
      <c r="N77" s="3">
        <v>0.95474999999999999</v>
      </c>
      <c r="O77" s="3">
        <v>0.95</v>
      </c>
      <c r="P77" s="3">
        <v>0.95474999999999999</v>
      </c>
      <c r="Q77" s="76"/>
    </row>
    <row r="78" spans="1:17">
      <c r="A78" s="84" t="s">
        <v>229</v>
      </c>
      <c r="B78" s="85" t="s">
        <v>228</v>
      </c>
      <c r="C78" s="85" t="s">
        <v>92</v>
      </c>
      <c r="D78" s="84" t="s">
        <v>75</v>
      </c>
      <c r="E78" s="84">
        <f>VLOOKUP(A78,'2a. SI Pop'!$A$5:$E$198,5,FALSE)</f>
        <v>2</v>
      </c>
      <c r="F78" s="3">
        <v>0.56753588699702295</v>
      </c>
      <c r="G78" s="3">
        <v>0.58456196360693358</v>
      </c>
      <c r="H78" s="3">
        <v>0.60209882251514169</v>
      </c>
      <c r="I78" s="3">
        <v>0.620161787190596</v>
      </c>
      <c r="J78" s="3">
        <v>0.63876664080631385</v>
      </c>
      <c r="K78" s="3">
        <v>0.65792964003050325</v>
      </c>
      <c r="L78" s="3">
        <v>0.67766752923141838</v>
      </c>
      <c r="M78" s="3">
        <v>0.69799755510836092</v>
      </c>
      <c r="N78" s="3">
        <v>0.71893748176161187</v>
      </c>
      <c r="O78" s="3">
        <v>0.74050560621446027</v>
      </c>
      <c r="P78" s="3">
        <v>0.76272077440089403</v>
      </c>
      <c r="Q78" s="76"/>
    </row>
    <row r="79" spans="1:17">
      <c r="A79" s="84" t="s">
        <v>231</v>
      </c>
      <c r="B79" s="85" t="s">
        <v>230</v>
      </c>
      <c r="C79" s="85" t="s">
        <v>92</v>
      </c>
      <c r="D79" s="84" t="s">
        <v>84</v>
      </c>
      <c r="E79" s="84">
        <f>VLOOKUP(A79,'2a. SI Pop'!$A$5:$E$198,5,FALSE)</f>
        <v>1</v>
      </c>
      <c r="F79" s="3">
        <v>0.89793645779584419</v>
      </c>
      <c r="G79" s="3">
        <v>0.90242614008482336</v>
      </c>
      <c r="H79" s="3">
        <v>0.90693827078524736</v>
      </c>
      <c r="I79" s="3">
        <v>0.91147296213917339</v>
      </c>
      <c r="J79" s="3">
        <v>0.91603032694986919</v>
      </c>
      <c r="K79" s="3">
        <v>0.92061047858461853</v>
      </c>
      <c r="L79" s="3">
        <v>0.92521353097754144</v>
      </c>
      <c r="M79" s="3">
        <v>0.92983959863242904</v>
      </c>
      <c r="N79" s="3">
        <v>0.93448879662559103</v>
      </c>
      <c r="O79" s="3">
        <v>0.93916124060871897</v>
      </c>
      <c r="P79" s="3">
        <v>0.94385704681176252</v>
      </c>
      <c r="Q79" s="76"/>
    </row>
    <row r="80" spans="1:17">
      <c r="A80" s="84" t="s">
        <v>233</v>
      </c>
      <c r="B80" s="85" t="s">
        <v>232</v>
      </c>
      <c r="C80" s="85" t="s">
        <v>79</v>
      </c>
      <c r="D80" s="84" t="s">
        <v>87</v>
      </c>
      <c r="E80" s="84">
        <f>VLOOKUP(A80,'2a. SI Pop'!$A$5:$E$198,5,FALSE)</f>
        <v>1</v>
      </c>
      <c r="F80" s="3">
        <v>0.99</v>
      </c>
      <c r="G80" s="3">
        <v>0.99</v>
      </c>
      <c r="H80" s="3">
        <v>0.99</v>
      </c>
      <c r="I80" s="3">
        <v>0.99</v>
      </c>
      <c r="J80" s="3">
        <v>0.99</v>
      </c>
      <c r="K80" s="3">
        <v>0.99</v>
      </c>
      <c r="L80" s="3">
        <v>0.99</v>
      </c>
      <c r="M80" s="3">
        <v>0.99</v>
      </c>
      <c r="N80" s="3">
        <v>0.99</v>
      </c>
      <c r="O80" s="3">
        <v>0.99</v>
      </c>
      <c r="P80" s="3">
        <v>0.99</v>
      </c>
      <c r="Q80" s="76"/>
    </row>
    <row r="81" spans="1:17">
      <c r="A81" s="84" t="s">
        <v>235</v>
      </c>
      <c r="B81" s="85" t="s">
        <v>234</v>
      </c>
      <c r="C81" s="85" t="s">
        <v>79</v>
      </c>
      <c r="D81" s="84" t="s">
        <v>87</v>
      </c>
      <c r="E81" s="84">
        <f>VLOOKUP(A81,'2a. SI Pop'!$A$5:$E$198,5,FALSE)</f>
        <v>1</v>
      </c>
      <c r="F81" s="3">
        <v>0.97</v>
      </c>
      <c r="G81" s="3">
        <v>0.97</v>
      </c>
      <c r="H81" s="3">
        <v>0.97</v>
      </c>
      <c r="I81" s="3">
        <v>0.97</v>
      </c>
      <c r="J81" s="3">
        <v>0.97</v>
      </c>
      <c r="K81" s="3">
        <v>0.97</v>
      </c>
      <c r="L81" s="3">
        <v>0.97</v>
      </c>
      <c r="M81" s="3">
        <v>0.97</v>
      </c>
      <c r="N81" s="3">
        <v>0.97</v>
      </c>
      <c r="O81" s="3">
        <v>0.97</v>
      </c>
      <c r="P81" s="3">
        <v>0.97</v>
      </c>
      <c r="Q81" s="76"/>
    </row>
    <row r="82" spans="1:17">
      <c r="A82" s="84" t="s">
        <v>237</v>
      </c>
      <c r="B82" s="85" t="s">
        <v>236</v>
      </c>
      <c r="C82" s="85" t="s">
        <v>110</v>
      </c>
      <c r="D82" s="84" t="s">
        <v>84</v>
      </c>
      <c r="E82" s="84" t="str">
        <f>VLOOKUP(A82,'2a. SI Pop'!$A$5:$E$198,5,FALSE)</f>
        <v>Key</v>
      </c>
      <c r="F82" s="3">
        <v>0.89622404070013928</v>
      </c>
      <c r="G82" s="3">
        <v>0.90070516090363995</v>
      </c>
      <c r="H82" s="3">
        <v>0.90520868670815802</v>
      </c>
      <c r="I82" s="3">
        <v>0.9097347301416987</v>
      </c>
      <c r="J82" s="3">
        <v>0.91428340379240713</v>
      </c>
      <c r="K82" s="3">
        <v>0.91885482081136904</v>
      </c>
      <c r="L82" s="3">
        <v>0.92344909491542582</v>
      </c>
      <c r="M82" s="3">
        <v>0.92806634039000291</v>
      </c>
      <c r="N82" s="3">
        <v>0.93270667209195279</v>
      </c>
      <c r="O82" s="3">
        <v>0.93737020545241245</v>
      </c>
      <c r="P82" s="3">
        <v>0.94205705647967453</v>
      </c>
      <c r="Q82" s="76"/>
    </row>
    <row r="83" spans="1:17">
      <c r="A83" s="84" t="s">
        <v>239</v>
      </c>
      <c r="B83" s="85" t="s">
        <v>238</v>
      </c>
      <c r="C83" s="85" t="s">
        <v>110</v>
      </c>
      <c r="D83" s="84" t="s">
        <v>80</v>
      </c>
      <c r="E83" s="84" t="str">
        <f>VLOOKUP(A83,'2a. SI Pop'!$A$5:$E$198,5,FALSE)</f>
        <v>Key</v>
      </c>
      <c r="F83" s="3">
        <v>0.82380640111149517</v>
      </c>
      <c r="G83" s="3">
        <v>0.8320444651226101</v>
      </c>
      <c r="H83" s="3">
        <v>0.84036490977383627</v>
      </c>
      <c r="I83" s="3">
        <v>0.84876855887157465</v>
      </c>
      <c r="J83" s="3">
        <v>0.85725624446029025</v>
      </c>
      <c r="K83" s="3">
        <v>0.86154252568259171</v>
      </c>
      <c r="L83" s="3">
        <v>0.86585023831100461</v>
      </c>
      <c r="M83" s="3">
        <v>0.87017948950255952</v>
      </c>
      <c r="N83" s="3">
        <v>0.87453038695007224</v>
      </c>
      <c r="O83" s="3">
        <v>0.87890303888482246</v>
      </c>
      <c r="P83" s="3">
        <v>0.88329755407924648</v>
      </c>
      <c r="Q83" s="76"/>
    </row>
    <row r="84" spans="1:17">
      <c r="A84" s="84" t="s">
        <v>241</v>
      </c>
      <c r="B84" s="85" t="s">
        <v>240</v>
      </c>
      <c r="C84" s="85" t="s">
        <v>74</v>
      </c>
      <c r="D84" s="84" t="s">
        <v>80</v>
      </c>
      <c r="E84" s="84">
        <f>VLOOKUP(A84,'2a. SI Pop'!$A$5:$E$198,5,FALSE)</f>
        <v>2</v>
      </c>
      <c r="F84" s="3">
        <v>0.99</v>
      </c>
      <c r="G84" s="3">
        <v>0.99</v>
      </c>
      <c r="H84" s="3">
        <v>0.99</v>
      </c>
      <c r="I84" s="3">
        <v>0.99</v>
      </c>
      <c r="J84" s="3">
        <v>0.99</v>
      </c>
      <c r="K84" s="3">
        <v>0.99</v>
      </c>
      <c r="L84" s="3">
        <v>0.99</v>
      </c>
      <c r="M84" s="3">
        <v>0.99</v>
      </c>
      <c r="N84" s="3">
        <v>0.99</v>
      </c>
      <c r="O84" s="3">
        <v>0.99</v>
      </c>
      <c r="P84" s="3">
        <v>0.99</v>
      </c>
      <c r="Q84" s="76"/>
    </row>
    <row r="85" spans="1:17">
      <c r="A85" s="84" t="s">
        <v>243</v>
      </c>
      <c r="B85" s="85" t="s">
        <v>242</v>
      </c>
      <c r="C85" s="85" t="s">
        <v>74</v>
      </c>
      <c r="D85" s="84" t="s">
        <v>80</v>
      </c>
      <c r="E85" s="84">
        <f>VLOOKUP(A85,'2a. SI Pop'!$A$5:$E$198,5,FALSE)</f>
        <v>2</v>
      </c>
      <c r="F85" s="3">
        <v>0.90850041612285448</v>
      </c>
      <c r="G85" s="3">
        <v>0.91304291820346872</v>
      </c>
      <c r="H85" s="3">
        <v>0.91760813279448594</v>
      </c>
      <c r="I85" s="3">
        <v>0.92219617345845828</v>
      </c>
      <c r="J85" s="3">
        <v>0.92680715432575056</v>
      </c>
      <c r="K85" s="3">
        <v>0.93144119009737925</v>
      </c>
      <c r="L85" s="3">
        <v>0.93609839604786604</v>
      </c>
      <c r="M85" s="3">
        <v>0.94077888802810516</v>
      </c>
      <c r="N85" s="3">
        <v>0.94548278246824569</v>
      </c>
      <c r="O85" s="3">
        <v>0.95021019638058679</v>
      </c>
      <c r="P85" s="3">
        <v>0.88</v>
      </c>
      <c r="Q85" s="76"/>
    </row>
    <row r="86" spans="1:17">
      <c r="A86" s="84" t="s">
        <v>245</v>
      </c>
      <c r="B86" s="85" t="s">
        <v>244</v>
      </c>
      <c r="C86" s="85" t="s">
        <v>79</v>
      </c>
      <c r="D86" s="84" t="s">
        <v>87</v>
      </c>
      <c r="E86" s="84">
        <f>VLOOKUP(A86,'2a. SI Pop'!$A$5:$E$198,5,FALSE)</f>
        <v>1</v>
      </c>
      <c r="F86" s="3">
        <v>0.89622404070013928</v>
      </c>
      <c r="G86" s="3">
        <v>0.90070516090363995</v>
      </c>
      <c r="H86" s="3">
        <v>0.90520868670815802</v>
      </c>
      <c r="I86" s="3">
        <v>0.9097347301416987</v>
      </c>
      <c r="J86" s="3">
        <v>0.91428340379240713</v>
      </c>
      <c r="K86" s="3">
        <v>0.91885482081136904</v>
      </c>
      <c r="L86" s="3">
        <v>0.92344909491542582</v>
      </c>
      <c r="M86" s="3">
        <v>0.92806634039000291</v>
      </c>
      <c r="N86" s="3">
        <v>0.93270667209195279</v>
      </c>
      <c r="O86" s="3">
        <v>0.93737020545241245</v>
      </c>
      <c r="P86" s="3">
        <v>0.94205705647967453</v>
      </c>
      <c r="Q86" s="76"/>
    </row>
    <row r="87" spans="1:17">
      <c r="A87" s="84" t="s">
        <v>247</v>
      </c>
      <c r="B87" s="85" t="s">
        <v>246</v>
      </c>
      <c r="C87" s="85" t="s">
        <v>79</v>
      </c>
      <c r="D87" s="84" t="s">
        <v>87</v>
      </c>
      <c r="E87" s="84">
        <f>VLOOKUP(A87,'2a. SI Pop'!$A$5:$E$198,5,FALSE)</f>
        <v>1</v>
      </c>
      <c r="F87" s="3">
        <v>0.97</v>
      </c>
      <c r="G87" s="3">
        <v>0.97</v>
      </c>
      <c r="H87" s="3">
        <v>0.97</v>
      </c>
      <c r="I87" s="3">
        <v>0.97</v>
      </c>
      <c r="J87" s="3">
        <v>0.97</v>
      </c>
      <c r="K87" s="3">
        <v>0.97</v>
      </c>
      <c r="L87" s="3">
        <v>0.97</v>
      </c>
      <c r="M87" s="3">
        <v>0.97</v>
      </c>
      <c r="N87" s="3">
        <v>0.97</v>
      </c>
      <c r="O87" s="3">
        <v>0.97</v>
      </c>
      <c r="P87" s="3">
        <v>0.97</v>
      </c>
      <c r="Q87" s="76"/>
    </row>
    <row r="88" spans="1:17">
      <c r="A88" s="84" t="s">
        <v>249</v>
      </c>
      <c r="B88" s="85" t="s">
        <v>248</v>
      </c>
      <c r="C88" s="85" t="s">
        <v>79</v>
      </c>
      <c r="D88" s="84" t="s">
        <v>87</v>
      </c>
      <c r="E88" s="84">
        <f>VLOOKUP(A88,'2a. SI Pop'!$A$5:$E$198,5,FALSE)</f>
        <v>1</v>
      </c>
      <c r="F88" s="3">
        <v>0.92962833277687418</v>
      </c>
      <c r="G88" s="3">
        <v>0.93427647444075845</v>
      </c>
      <c r="H88" s="3">
        <v>0.93894785681296211</v>
      </c>
      <c r="I88" s="3">
        <v>0.94364259609702683</v>
      </c>
      <c r="J88" s="3">
        <v>0.94836080907751186</v>
      </c>
      <c r="K88" s="3">
        <v>0.95310261312289923</v>
      </c>
      <c r="L88" s="3">
        <v>0.95</v>
      </c>
      <c r="M88" s="3">
        <v>0.95</v>
      </c>
      <c r="N88" s="3">
        <v>0.95</v>
      </c>
      <c r="O88" s="3">
        <v>0.95</v>
      </c>
      <c r="P88" s="3">
        <v>0.95</v>
      </c>
      <c r="Q88" s="76"/>
    </row>
    <row r="89" spans="1:17">
      <c r="A89" s="84" t="s">
        <v>251</v>
      </c>
      <c r="B89" s="85" t="s">
        <v>250</v>
      </c>
      <c r="C89" s="85" t="s">
        <v>92</v>
      </c>
      <c r="D89" s="84" t="s">
        <v>80</v>
      </c>
      <c r="E89" s="84">
        <f>VLOOKUP(A89,'2a. SI Pop'!$A$5:$E$198,5,FALSE)</f>
        <v>1</v>
      </c>
      <c r="F89" s="3">
        <v>0.96</v>
      </c>
      <c r="G89" s="3">
        <v>0.96</v>
      </c>
      <c r="H89" s="3">
        <v>0.96</v>
      </c>
      <c r="I89" s="3">
        <v>0.96</v>
      </c>
      <c r="J89" s="3">
        <v>0.96</v>
      </c>
      <c r="K89" s="3">
        <v>0.96</v>
      </c>
      <c r="L89" s="3">
        <v>0.96</v>
      </c>
      <c r="M89" s="3">
        <v>0.96</v>
      </c>
      <c r="N89" s="3">
        <v>0.96</v>
      </c>
      <c r="O89" s="3">
        <v>0.96</v>
      </c>
      <c r="P89" s="3">
        <v>0.96</v>
      </c>
      <c r="Q89" s="76"/>
    </row>
    <row r="90" spans="1:17">
      <c r="A90" s="84" t="s">
        <v>253</v>
      </c>
      <c r="B90" s="85" t="s">
        <v>252</v>
      </c>
      <c r="C90" s="85" t="s">
        <v>99</v>
      </c>
      <c r="D90" s="84" t="s">
        <v>87</v>
      </c>
      <c r="E90" s="84">
        <f>VLOOKUP(A90,'2a. SI Pop'!$A$5:$E$198,5,FALSE)</f>
        <v>4</v>
      </c>
      <c r="F90" s="3">
        <v>0.97</v>
      </c>
      <c r="G90" s="3">
        <v>0.97</v>
      </c>
      <c r="H90" s="3">
        <v>0.97</v>
      </c>
      <c r="I90" s="3">
        <v>0.97</v>
      </c>
      <c r="J90" s="3">
        <v>0.97</v>
      </c>
      <c r="K90" s="3">
        <v>0.97</v>
      </c>
      <c r="L90" s="3">
        <v>0.97</v>
      </c>
      <c r="M90" s="3">
        <v>0.97</v>
      </c>
      <c r="N90" s="3">
        <v>0.97</v>
      </c>
      <c r="O90" s="3">
        <v>0.97</v>
      </c>
      <c r="P90" s="3">
        <v>0.97</v>
      </c>
      <c r="Q90" s="76"/>
    </row>
    <row r="91" spans="1:17">
      <c r="A91" s="84" t="s">
        <v>255</v>
      </c>
      <c r="B91" s="85" t="s">
        <v>254</v>
      </c>
      <c r="C91" s="85" t="s">
        <v>74</v>
      </c>
      <c r="D91" s="84" t="s">
        <v>80</v>
      </c>
      <c r="E91" s="84">
        <f>VLOOKUP(A91,'2a. SI Pop'!$A$5:$E$198,5,FALSE)</f>
        <v>2</v>
      </c>
      <c r="F91" s="3">
        <v>0.99</v>
      </c>
      <c r="G91" s="3">
        <v>0.99</v>
      </c>
      <c r="H91" s="3">
        <v>0.99</v>
      </c>
      <c r="I91" s="3">
        <v>0.99</v>
      </c>
      <c r="J91" s="3">
        <v>0.99</v>
      </c>
      <c r="K91" s="3">
        <v>0.99</v>
      </c>
      <c r="L91" s="3">
        <v>0.99</v>
      </c>
      <c r="M91" s="3">
        <v>0.99</v>
      </c>
      <c r="N91" s="3">
        <v>0.99</v>
      </c>
      <c r="O91" s="3">
        <v>0.99</v>
      </c>
      <c r="P91" s="3">
        <v>0.99</v>
      </c>
      <c r="Q91" s="76"/>
    </row>
    <row r="92" spans="1:17">
      <c r="A92" s="84" t="s">
        <v>257</v>
      </c>
      <c r="B92" s="85" t="s">
        <v>256</v>
      </c>
      <c r="C92" s="85" t="s">
        <v>79</v>
      </c>
      <c r="D92" s="84" t="s">
        <v>80</v>
      </c>
      <c r="E92" s="84">
        <f>VLOOKUP(A92,'2a. SI Pop'!$A$5:$E$198,5,FALSE)</f>
        <v>2</v>
      </c>
      <c r="F92" s="3">
        <v>0.99</v>
      </c>
      <c r="G92" s="3">
        <v>0.99</v>
      </c>
      <c r="H92" s="3">
        <v>0.99</v>
      </c>
      <c r="I92" s="3">
        <v>0.99</v>
      </c>
      <c r="J92" s="3">
        <v>0.99</v>
      </c>
      <c r="K92" s="3">
        <v>0.99</v>
      </c>
      <c r="L92" s="3">
        <v>0.99</v>
      </c>
      <c r="M92" s="3">
        <v>0.99</v>
      </c>
      <c r="N92" s="3">
        <v>0.99</v>
      </c>
      <c r="O92" s="3">
        <v>0.99</v>
      </c>
      <c r="P92" s="3">
        <v>0.99</v>
      </c>
      <c r="Q92" s="76"/>
    </row>
    <row r="93" spans="1:17">
      <c r="A93" s="84" t="s">
        <v>259</v>
      </c>
      <c r="B93" s="85" t="s">
        <v>258</v>
      </c>
      <c r="C93" s="85" t="s">
        <v>83</v>
      </c>
      <c r="D93" s="84" t="s">
        <v>84</v>
      </c>
      <c r="E93" s="84">
        <f>VLOOKUP(A93,'2a. SI Pop'!$A$5:$E$198,5,FALSE)</f>
        <v>3</v>
      </c>
      <c r="F93" s="3">
        <v>0.6229052418260006</v>
      </c>
      <c r="G93" s="3">
        <v>0.64159239908078058</v>
      </c>
      <c r="H93" s="3">
        <v>0.66084017105320414</v>
      </c>
      <c r="I93" s="3">
        <v>0.68066537618480027</v>
      </c>
      <c r="J93" s="3">
        <v>0.70108533747034429</v>
      </c>
      <c r="K93" s="3">
        <v>0.72211789759445466</v>
      </c>
      <c r="L93" s="3">
        <v>0.74378143452228829</v>
      </c>
      <c r="M93" s="3">
        <v>0.76609487755795702</v>
      </c>
      <c r="N93" s="3">
        <v>0.77375582633353657</v>
      </c>
      <c r="O93" s="3">
        <v>0.78149338459687201</v>
      </c>
      <c r="P93" s="3">
        <v>0.78930831844284066</v>
      </c>
      <c r="Q93" s="76"/>
    </row>
    <row r="94" spans="1:17">
      <c r="A94" s="84" t="s">
        <v>261</v>
      </c>
      <c r="B94" s="85" t="s">
        <v>260</v>
      </c>
      <c r="C94" s="85" t="s">
        <v>99</v>
      </c>
      <c r="D94" s="84" t="s">
        <v>84</v>
      </c>
      <c r="E94" s="84">
        <f>VLOOKUP(A94,'2a. SI Pop'!$A$5:$E$198,5,FALSE)</f>
        <v>4</v>
      </c>
      <c r="F94" s="3">
        <v>0.91454999999999986</v>
      </c>
      <c r="G94" s="3">
        <v>0.91912274999999977</v>
      </c>
      <c r="H94" s="3">
        <v>0.92371836374999972</v>
      </c>
      <c r="I94" s="3">
        <v>0.92833695556874962</v>
      </c>
      <c r="J94" s="3">
        <v>0.93297864034659328</v>
      </c>
      <c r="K94" s="3">
        <v>0.93764353354832608</v>
      </c>
      <c r="L94" s="3">
        <v>0.9423317512160676</v>
      </c>
      <c r="M94" s="3">
        <v>0.94704340997214786</v>
      </c>
      <c r="N94" s="3">
        <v>0.95177862702200855</v>
      </c>
      <c r="O94" s="3">
        <v>0.95</v>
      </c>
      <c r="P94" s="3">
        <v>0.95</v>
      </c>
      <c r="Q94" s="76"/>
    </row>
    <row r="95" spans="1:17">
      <c r="A95" s="84" t="s">
        <v>263</v>
      </c>
      <c r="B95" s="85" t="s">
        <v>262</v>
      </c>
      <c r="C95" s="85" t="s">
        <v>99</v>
      </c>
      <c r="D95" s="84" t="s">
        <v>87</v>
      </c>
      <c r="E95" s="84">
        <f>VLOOKUP(A95,'2a. SI Pop'!$A$5:$E$198,5,FALSE)</f>
        <v>1</v>
      </c>
      <c r="F95" s="3">
        <v>0.99</v>
      </c>
      <c r="G95" s="3">
        <v>0.99</v>
      </c>
      <c r="H95" s="3">
        <v>0.99</v>
      </c>
      <c r="I95" s="3">
        <v>0.99</v>
      </c>
      <c r="J95" s="3">
        <v>0.99</v>
      </c>
      <c r="K95" s="3">
        <v>0.99</v>
      </c>
      <c r="L95" s="3">
        <v>0.99</v>
      </c>
      <c r="M95" s="3">
        <v>0.99</v>
      </c>
      <c r="N95" s="3">
        <v>0.99</v>
      </c>
      <c r="O95" s="3">
        <v>0.99</v>
      </c>
      <c r="P95" s="3">
        <v>0.99</v>
      </c>
      <c r="Q95" s="76"/>
    </row>
    <row r="96" spans="1:17">
      <c r="A96" s="84" t="s">
        <v>265</v>
      </c>
      <c r="B96" s="85" t="s">
        <v>264</v>
      </c>
      <c r="C96" s="85" t="s">
        <v>74</v>
      </c>
      <c r="D96" s="84" t="s">
        <v>87</v>
      </c>
      <c r="E96" s="84">
        <f>VLOOKUP(A96,'2a. SI Pop'!$A$5:$E$198,5,FALSE)</f>
        <v>1</v>
      </c>
      <c r="F96" s="3">
        <v>0.99301208273893382</v>
      </c>
      <c r="G96" s="3">
        <v>0.99</v>
      </c>
      <c r="H96" s="3">
        <v>0.99</v>
      </c>
      <c r="I96" s="3">
        <v>0.99</v>
      </c>
      <c r="J96" s="3">
        <v>0.99</v>
      </c>
      <c r="K96" s="3">
        <v>0.99</v>
      </c>
      <c r="L96" s="3">
        <v>0.99</v>
      </c>
      <c r="M96" s="3">
        <v>0.99</v>
      </c>
      <c r="N96" s="3">
        <v>0.99</v>
      </c>
      <c r="O96" s="3">
        <v>0.99</v>
      </c>
      <c r="P96" s="3">
        <v>0.99</v>
      </c>
      <c r="Q96" s="76"/>
    </row>
    <row r="97" spans="1:17">
      <c r="A97" s="84" t="s">
        <v>267</v>
      </c>
      <c r="B97" s="85" t="s">
        <v>266</v>
      </c>
      <c r="C97" s="85" t="s">
        <v>79</v>
      </c>
      <c r="D97" s="84" t="s">
        <v>84</v>
      </c>
      <c r="E97" s="84">
        <f>VLOOKUP(A97,'2a. SI Pop'!$A$5:$E$198,5,FALSE)</f>
        <v>1</v>
      </c>
      <c r="F97" s="3">
        <v>0.98</v>
      </c>
      <c r="G97" s="3">
        <v>0.98</v>
      </c>
      <c r="H97" s="3">
        <v>0.98</v>
      </c>
      <c r="I97" s="3">
        <v>0.98</v>
      </c>
      <c r="J97" s="3">
        <v>0.98</v>
      </c>
      <c r="K97" s="3">
        <v>0.98</v>
      </c>
      <c r="L97" s="3">
        <v>0.98</v>
      </c>
      <c r="M97" s="3">
        <v>0.98</v>
      </c>
      <c r="N97" s="3">
        <v>0.98</v>
      </c>
      <c r="O97" s="3">
        <v>0.98</v>
      </c>
      <c r="P97" s="3">
        <v>0.98</v>
      </c>
      <c r="Q97" s="76"/>
    </row>
    <row r="98" spans="1:17">
      <c r="A98" s="84" t="s">
        <v>269</v>
      </c>
      <c r="B98" s="85" t="s">
        <v>268</v>
      </c>
      <c r="C98" s="85" t="s">
        <v>99</v>
      </c>
      <c r="D98" s="84" t="s">
        <v>84</v>
      </c>
      <c r="E98" s="84">
        <f>VLOOKUP(A98,'2a. SI Pop'!$A$5:$E$198,5,FALSE)</f>
        <v>4</v>
      </c>
      <c r="F98" s="3">
        <v>0.77369265958841127</v>
      </c>
      <c r="G98" s="3">
        <v>0.78142958618429537</v>
      </c>
      <c r="H98" s="3">
        <v>0.78924388204613838</v>
      </c>
      <c r="I98" s="3">
        <v>0.79713632086659969</v>
      </c>
      <c r="J98" s="3">
        <v>0.80510768407526567</v>
      </c>
      <c r="K98" s="3">
        <v>0.81315876091601835</v>
      </c>
      <c r="L98" s="3">
        <v>0.82129034852517857</v>
      </c>
      <c r="M98" s="3">
        <v>0.8295032520104304</v>
      </c>
      <c r="N98" s="3">
        <v>0.83779828453053473</v>
      </c>
      <c r="O98" s="3">
        <v>0.84617626737584006</v>
      </c>
      <c r="P98" s="3">
        <v>0.85463803004959837</v>
      </c>
      <c r="Q98" s="76"/>
    </row>
    <row r="99" spans="1:17">
      <c r="A99" s="84" t="s">
        <v>271</v>
      </c>
      <c r="B99" s="85" t="s">
        <v>270</v>
      </c>
      <c r="C99" s="85" t="s">
        <v>79</v>
      </c>
      <c r="D99" s="84" t="s">
        <v>87</v>
      </c>
      <c r="E99" s="84">
        <f>VLOOKUP(A99,'2a. SI Pop'!$A$5:$E$198,5,FALSE)</f>
        <v>1</v>
      </c>
      <c r="F99" s="3">
        <v>0.99</v>
      </c>
      <c r="G99" s="3">
        <v>0.99</v>
      </c>
      <c r="H99" s="3">
        <v>0.99</v>
      </c>
      <c r="I99" s="3">
        <v>0.99</v>
      </c>
      <c r="J99" s="3">
        <v>0.99</v>
      </c>
      <c r="K99" s="3">
        <v>0.99</v>
      </c>
      <c r="L99" s="3">
        <v>0.99</v>
      </c>
      <c r="M99" s="3">
        <v>0.99</v>
      </c>
      <c r="N99" s="3">
        <v>0.99</v>
      </c>
      <c r="O99" s="3">
        <v>0.99</v>
      </c>
      <c r="P99" s="3">
        <v>0.99</v>
      </c>
      <c r="Q99" s="76"/>
    </row>
    <row r="100" spans="1:17">
      <c r="A100" s="84" t="s">
        <v>273</v>
      </c>
      <c r="B100" s="85" t="s">
        <v>272</v>
      </c>
      <c r="C100" s="85" t="s">
        <v>74</v>
      </c>
      <c r="D100" s="84" t="s">
        <v>80</v>
      </c>
      <c r="E100" s="84">
        <f>VLOOKUP(A100,'2a. SI Pop'!$A$5:$E$198,5,FALSE)</f>
        <v>2</v>
      </c>
      <c r="F100" s="3">
        <v>0.79062540731808761</v>
      </c>
      <c r="G100" s="3">
        <v>0.79853166139126852</v>
      </c>
      <c r="H100" s="3">
        <v>0.80651697800518118</v>
      </c>
      <c r="I100" s="3">
        <v>0.81458214778523297</v>
      </c>
      <c r="J100" s="3">
        <v>0.82272796926308533</v>
      </c>
      <c r="K100" s="3">
        <v>0.83095524895571615</v>
      </c>
      <c r="L100" s="3">
        <v>0.83926480144527327</v>
      </c>
      <c r="M100" s="3">
        <v>0.84765744945972599</v>
      </c>
      <c r="N100" s="3">
        <v>0.85613402395432336</v>
      </c>
      <c r="O100" s="3">
        <v>0.86041469407409477</v>
      </c>
      <c r="P100" s="3">
        <v>0.86471676754446525</v>
      </c>
      <c r="Q100" s="76"/>
    </row>
    <row r="101" spans="1:17">
      <c r="A101" s="84" t="s">
        <v>275</v>
      </c>
      <c r="B101" s="85" t="s">
        <v>274</v>
      </c>
      <c r="C101" s="85" t="s">
        <v>83</v>
      </c>
      <c r="D101" s="84" t="s">
        <v>84</v>
      </c>
      <c r="E101" s="84">
        <f>VLOOKUP(A101,'2a. SI Pop'!$A$5:$E$198,5,FALSE)</f>
        <v>3</v>
      </c>
      <c r="F101" s="3">
        <v>0.88361235520211567</v>
      </c>
      <c r="G101" s="3">
        <v>0.88803041697812612</v>
      </c>
      <c r="H101" s="3">
        <v>0.89247056906301669</v>
      </c>
      <c r="I101" s="3">
        <v>0.89693292190833163</v>
      </c>
      <c r="J101" s="3">
        <v>0.90141758651787318</v>
      </c>
      <c r="K101" s="3">
        <v>0.90592467445046243</v>
      </c>
      <c r="L101" s="3">
        <v>0.91045429782271459</v>
      </c>
      <c r="M101" s="3">
        <v>0.915006569311828</v>
      </c>
      <c r="N101" s="3">
        <v>0.91958160215838702</v>
      </c>
      <c r="O101" s="3">
        <v>0.92417951016917887</v>
      </c>
      <c r="P101" s="3">
        <v>0.92880040772002459</v>
      </c>
      <c r="Q101" s="76"/>
    </row>
    <row r="102" spans="1:17">
      <c r="A102" s="84" t="s">
        <v>277</v>
      </c>
      <c r="B102" s="85" t="s">
        <v>276</v>
      </c>
      <c r="C102" s="85" t="s">
        <v>83</v>
      </c>
      <c r="D102" s="84" t="s">
        <v>75</v>
      </c>
      <c r="E102" s="84">
        <f>VLOOKUP(A102,'2a. SI Pop'!$A$5:$E$198,5,FALSE)</f>
        <v>3</v>
      </c>
      <c r="F102" s="3">
        <v>0.17995040319417796</v>
      </c>
      <c r="G102" s="3">
        <v>0.1853489152900033</v>
      </c>
      <c r="H102" s="3">
        <v>0.19090938274870339</v>
      </c>
      <c r="I102" s="3">
        <v>0.19663666423116449</v>
      </c>
      <c r="J102" s="3">
        <v>0.20253576415809943</v>
      </c>
      <c r="K102" s="3">
        <v>0.20861183708284239</v>
      </c>
      <c r="L102" s="3">
        <v>0.21487019219532769</v>
      </c>
      <c r="M102" s="3">
        <v>0.22131629796118751</v>
      </c>
      <c r="N102" s="3">
        <v>0.22795578690002316</v>
      </c>
      <c r="O102" s="3">
        <v>0.23479446050702385</v>
      </c>
      <c r="P102" s="3">
        <v>0.24183829432223458</v>
      </c>
      <c r="Q102" s="76"/>
    </row>
    <row r="103" spans="1:17">
      <c r="A103" s="84" t="s">
        <v>279</v>
      </c>
      <c r="B103" s="85" t="s">
        <v>278</v>
      </c>
      <c r="C103" s="85" t="s">
        <v>74</v>
      </c>
      <c r="D103" s="84" t="s">
        <v>80</v>
      </c>
      <c r="E103" s="84">
        <f>VLOOKUP(A103,'2a. SI Pop'!$A$5:$E$198,5,FALSE)</f>
        <v>2</v>
      </c>
      <c r="F103" s="3">
        <v>0.83540930816940373</v>
      </c>
      <c r="G103" s="3">
        <v>0.84376340125109772</v>
      </c>
      <c r="H103" s="3">
        <v>0.85220103526360869</v>
      </c>
      <c r="I103" s="3">
        <v>0.85646204043992669</v>
      </c>
      <c r="J103" s="3">
        <v>0.86074435064212618</v>
      </c>
      <c r="K103" s="3">
        <v>0.86504807239533676</v>
      </c>
      <c r="L103" s="3">
        <v>0.86937331275731333</v>
      </c>
      <c r="M103" s="3">
        <v>0.8737201793210998</v>
      </c>
      <c r="N103" s="3">
        <v>0.8780887802177052</v>
      </c>
      <c r="O103" s="3">
        <v>0.88247922411879376</v>
      </c>
      <c r="P103" s="3">
        <v>0.88689162023938761</v>
      </c>
      <c r="Q103" s="76"/>
    </row>
    <row r="104" spans="1:17">
      <c r="A104" s="84" t="s">
        <v>281</v>
      </c>
      <c r="B104" s="85" t="s">
        <v>280</v>
      </c>
      <c r="C104" s="85" t="s">
        <v>79</v>
      </c>
      <c r="D104" s="84" t="s">
        <v>87</v>
      </c>
      <c r="E104" s="84">
        <f>VLOOKUP(A104,'2a. SI Pop'!$A$5:$E$198,5,FALSE)</f>
        <v>1</v>
      </c>
      <c r="F104" s="3">
        <v>0.97</v>
      </c>
      <c r="G104" s="3">
        <v>0.97</v>
      </c>
      <c r="H104" s="3">
        <v>0.97</v>
      </c>
      <c r="I104" s="3">
        <v>0.97</v>
      </c>
      <c r="J104" s="3">
        <v>0.97</v>
      </c>
      <c r="K104" s="3">
        <v>0.97</v>
      </c>
      <c r="L104" s="3">
        <v>0.97</v>
      </c>
      <c r="M104" s="3">
        <v>0.97</v>
      </c>
      <c r="N104" s="3">
        <v>0.97</v>
      </c>
      <c r="O104" s="3">
        <v>0.97</v>
      </c>
      <c r="P104" s="3">
        <v>0.97</v>
      </c>
      <c r="Q104" s="76"/>
    </row>
    <row r="105" spans="1:17">
      <c r="A105" s="84" t="s">
        <v>283</v>
      </c>
      <c r="B105" s="85" t="s">
        <v>282</v>
      </c>
      <c r="C105" s="85" t="s">
        <v>79</v>
      </c>
      <c r="D105" s="84" t="s">
        <v>87</v>
      </c>
      <c r="E105" s="84">
        <f>VLOOKUP(A105,'2a. SI Pop'!$A$5:$E$198,5,FALSE)</f>
        <v>1</v>
      </c>
      <c r="F105" s="3">
        <v>0.95075624943089398</v>
      </c>
      <c r="G105" s="3">
        <v>0.95</v>
      </c>
      <c r="H105" s="3">
        <v>0.95</v>
      </c>
      <c r="I105" s="3">
        <v>0.95</v>
      </c>
      <c r="J105" s="3">
        <v>0.95</v>
      </c>
      <c r="K105" s="3">
        <v>0.95</v>
      </c>
      <c r="L105" s="3">
        <v>0.95</v>
      </c>
      <c r="M105" s="3">
        <v>0.95</v>
      </c>
      <c r="N105" s="3">
        <v>0.95</v>
      </c>
      <c r="O105" s="3">
        <v>0.95</v>
      </c>
      <c r="P105" s="3">
        <v>0.95</v>
      </c>
      <c r="Q105" s="76"/>
    </row>
    <row r="106" spans="1:17">
      <c r="A106" s="84" t="s">
        <v>285</v>
      </c>
      <c r="B106" s="85" t="s">
        <v>284</v>
      </c>
      <c r="C106" s="85" t="s">
        <v>79</v>
      </c>
      <c r="D106" s="84" t="s">
        <v>80</v>
      </c>
      <c r="E106" s="84">
        <f>VLOOKUP(A106,'2a. SI Pop'!$A$5:$E$198,5,FALSE)</f>
        <v>1</v>
      </c>
      <c r="F106" s="3">
        <v>0.99301208273893382</v>
      </c>
      <c r="G106" s="3">
        <v>0.99</v>
      </c>
      <c r="H106" s="3">
        <v>0.99</v>
      </c>
      <c r="I106" s="3">
        <v>0.99</v>
      </c>
      <c r="J106" s="3">
        <v>0.99</v>
      </c>
      <c r="K106" s="3">
        <v>0.99</v>
      </c>
      <c r="L106" s="3">
        <v>0.99</v>
      </c>
      <c r="M106" s="3">
        <v>0.99</v>
      </c>
      <c r="N106" s="3">
        <v>0.99</v>
      </c>
      <c r="O106" s="3">
        <v>0.99</v>
      </c>
      <c r="P106" s="3">
        <v>0.99</v>
      </c>
      <c r="Q106" s="76"/>
    </row>
    <row r="107" spans="1:17">
      <c r="A107" s="84" t="s">
        <v>287</v>
      </c>
      <c r="B107" s="85" t="s">
        <v>286</v>
      </c>
      <c r="C107" s="85" t="s">
        <v>83</v>
      </c>
      <c r="D107" s="84" t="s">
        <v>75</v>
      </c>
      <c r="E107" s="84">
        <f>VLOOKUP(A107,'2a. SI Pop'!$A$5:$E$198,5,FALSE)</f>
        <v>3</v>
      </c>
      <c r="F107" s="3">
        <v>0.79348323921629882</v>
      </c>
      <c r="G107" s="3">
        <v>0.80141807160846179</v>
      </c>
      <c r="H107" s="3">
        <v>0.80943225232454652</v>
      </c>
      <c r="I107" s="3">
        <v>0.8175265748477919</v>
      </c>
      <c r="J107" s="3">
        <v>0.82570184059626983</v>
      </c>
      <c r="K107" s="3">
        <v>0.83395885900223243</v>
      </c>
      <c r="L107" s="3">
        <v>0.84229844759225481</v>
      </c>
      <c r="M107" s="3">
        <v>0.85072143206817741</v>
      </c>
      <c r="N107" s="3">
        <v>0.85497503922851825</v>
      </c>
      <c r="O107" s="3">
        <v>0.8592499144246607</v>
      </c>
      <c r="P107" s="3">
        <v>0.86354616399678397</v>
      </c>
      <c r="Q107" s="76"/>
    </row>
    <row r="108" spans="1:17">
      <c r="A108" s="84" t="s">
        <v>289</v>
      </c>
      <c r="B108" s="85" t="s">
        <v>288</v>
      </c>
      <c r="C108" s="85" t="s">
        <v>83</v>
      </c>
      <c r="D108" s="84" t="s">
        <v>75</v>
      </c>
      <c r="E108" s="84">
        <f>VLOOKUP(A108,'2a. SI Pop'!$A$5:$E$198,5,FALSE)</f>
        <v>3</v>
      </c>
      <c r="F108" s="3">
        <v>0.85332059188015574</v>
      </c>
      <c r="G108" s="3">
        <v>0.85758719483955648</v>
      </c>
      <c r="H108" s="3">
        <v>0.86187513081375411</v>
      </c>
      <c r="I108" s="3">
        <v>0.86618450646782275</v>
      </c>
      <c r="J108" s="3">
        <v>0.87051542900016188</v>
      </c>
      <c r="K108" s="3">
        <v>0.87486800614516258</v>
      </c>
      <c r="L108" s="3">
        <v>0.87924234617588826</v>
      </c>
      <c r="M108" s="3">
        <v>0.88363855790676749</v>
      </c>
      <c r="N108" s="3">
        <v>0.8880567506963013</v>
      </c>
      <c r="O108" s="3">
        <v>0.89249703444978268</v>
      </c>
      <c r="P108" s="3">
        <v>0.89695951962203158</v>
      </c>
      <c r="Q108" s="76"/>
    </row>
    <row r="109" spans="1:17">
      <c r="A109" s="84" t="s">
        <v>291</v>
      </c>
      <c r="B109" s="85" t="s">
        <v>290</v>
      </c>
      <c r="C109" s="85" t="s">
        <v>99</v>
      </c>
      <c r="D109" s="84" t="s">
        <v>80</v>
      </c>
      <c r="E109" s="84">
        <f>VLOOKUP(A109,'2a. SI Pop'!$A$5:$E$198,5,FALSE)</f>
        <v>2</v>
      </c>
      <c r="F109" s="3">
        <v>0.91906437444986433</v>
      </c>
      <c r="G109" s="3">
        <v>0.92365969632211364</v>
      </c>
      <c r="H109" s="3">
        <v>0.92827799480372408</v>
      </c>
      <c r="I109" s="3">
        <v>0.9329193847777425</v>
      </c>
      <c r="J109" s="3">
        <v>0.93758398170163115</v>
      </c>
      <c r="K109" s="3">
        <v>0.94227190161013918</v>
      </c>
      <c r="L109" s="3">
        <v>0.94698326111818987</v>
      </c>
      <c r="M109" s="3">
        <v>0.95171817742378062</v>
      </c>
      <c r="N109" s="3">
        <v>0.95647676831089956</v>
      </c>
      <c r="O109" s="3">
        <v>0.96125915215245394</v>
      </c>
      <c r="P109" s="3">
        <v>0.96606544791321614</v>
      </c>
      <c r="Q109" s="76"/>
    </row>
    <row r="110" spans="1:17">
      <c r="A110" s="84" t="s">
        <v>293</v>
      </c>
      <c r="B110" s="85" t="s">
        <v>292</v>
      </c>
      <c r="C110" s="85" t="s">
        <v>110</v>
      </c>
      <c r="D110" s="84" t="s">
        <v>80</v>
      </c>
      <c r="E110" s="84">
        <f>VLOOKUP(A110,'2a. SI Pop'!$A$5:$E$198,5,FALSE)</f>
        <v>2</v>
      </c>
      <c r="F110" s="3">
        <v>0.99</v>
      </c>
      <c r="G110" s="3">
        <v>0.99</v>
      </c>
      <c r="H110" s="3">
        <v>0.99</v>
      </c>
      <c r="I110" s="3">
        <v>0.99</v>
      </c>
      <c r="J110" s="3">
        <v>0.99</v>
      </c>
      <c r="K110" s="3">
        <v>0.99</v>
      </c>
      <c r="L110" s="3">
        <v>0.99</v>
      </c>
      <c r="M110" s="3">
        <v>0.99</v>
      </c>
      <c r="N110" s="3">
        <v>0.99</v>
      </c>
      <c r="O110" s="3">
        <v>0.99</v>
      </c>
      <c r="P110" s="3">
        <v>0.99</v>
      </c>
      <c r="Q110" s="76"/>
    </row>
    <row r="111" spans="1:17">
      <c r="A111" s="84" t="s">
        <v>295</v>
      </c>
      <c r="B111" s="85" t="s">
        <v>294</v>
      </c>
      <c r="C111" s="85" t="s">
        <v>83</v>
      </c>
      <c r="D111" s="84" t="s">
        <v>75</v>
      </c>
      <c r="E111" s="84">
        <f>VLOOKUP(A111,'2a. SI Pop'!$A$5:$E$198,5,FALSE)</f>
        <v>3</v>
      </c>
      <c r="F111" s="3">
        <v>5.536935482897784E-2</v>
      </c>
      <c r="G111" s="3">
        <v>5.7030435473847174E-2</v>
      </c>
      <c r="H111" s="3">
        <v>5.8741348538062593E-2</v>
      </c>
      <c r="I111" s="3">
        <v>6.0503588994204473E-2</v>
      </c>
      <c r="J111" s="3">
        <v>6.2318696664030615E-2</v>
      </c>
      <c r="K111" s="3">
        <v>6.4188257563951537E-2</v>
      </c>
      <c r="L111" s="3">
        <v>6.6113905290870079E-2</v>
      </c>
      <c r="M111" s="3">
        <v>6.8097322449596182E-2</v>
      </c>
      <c r="N111" s="3">
        <v>7.0140242123084076E-2</v>
      </c>
      <c r="O111" s="3">
        <v>7.2244449386776599E-2</v>
      </c>
      <c r="P111" s="3">
        <v>7.4411782868379905E-2</v>
      </c>
      <c r="Q111" s="76"/>
    </row>
    <row r="112" spans="1:17">
      <c r="A112" s="84" t="s">
        <v>297</v>
      </c>
      <c r="B112" s="85" t="s">
        <v>296</v>
      </c>
      <c r="C112" s="85" t="s">
        <v>79</v>
      </c>
      <c r="D112" s="84" t="s">
        <v>87</v>
      </c>
      <c r="E112" s="84">
        <f>VLOOKUP(A112,'2a. SI Pop'!$A$5:$E$198,5,FALSE)</f>
        <v>1</v>
      </c>
      <c r="F112" s="3">
        <v>0.95474999999999999</v>
      </c>
      <c r="G112" s="3">
        <v>0.95</v>
      </c>
      <c r="H112" s="3">
        <v>0.95474999999999999</v>
      </c>
      <c r="I112" s="3">
        <v>0.95</v>
      </c>
      <c r="J112" s="3">
        <v>0.95474999999999999</v>
      </c>
      <c r="K112" s="3">
        <v>0.95</v>
      </c>
      <c r="L112" s="3">
        <v>0.95474999999999999</v>
      </c>
      <c r="M112" s="3">
        <v>0.95</v>
      </c>
      <c r="N112" s="3">
        <v>0.95474999999999999</v>
      </c>
      <c r="O112" s="3">
        <v>0.95</v>
      </c>
      <c r="P112" s="3">
        <v>0.95474999999999999</v>
      </c>
      <c r="Q112" s="76"/>
    </row>
    <row r="113" spans="1:17">
      <c r="A113" s="84" t="s">
        <v>299</v>
      </c>
      <c r="B113" s="85" t="s">
        <v>298</v>
      </c>
      <c r="C113" s="85" t="s">
        <v>99</v>
      </c>
      <c r="D113" s="84" t="s">
        <v>80</v>
      </c>
      <c r="E113" s="84">
        <f>VLOOKUP(A113,'2a. SI Pop'!$A$5:$E$198,5,FALSE)</f>
        <v>1</v>
      </c>
      <c r="F113" s="3">
        <v>0.80317501695805726</v>
      </c>
      <c r="G113" s="3">
        <v>0.81120676712763795</v>
      </c>
      <c r="H113" s="3">
        <v>0.81931883479891443</v>
      </c>
      <c r="I113" s="3">
        <v>0.82751202314690364</v>
      </c>
      <c r="J113" s="3">
        <v>0.83578714337837268</v>
      </c>
      <c r="K113" s="3">
        <v>0.84414501481215642</v>
      </c>
      <c r="L113" s="3">
        <v>0.8525864649602779</v>
      </c>
      <c r="M113" s="3">
        <v>0.85684939728507925</v>
      </c>
      <c r="N113" s="3">
        <v>0.86113364427150463</v>
      </c>
      <c r="O113" s="3">
        <v>0.86543931249286199</v>
      </c>
      <c r="P113" s="3">
        <v>0.86976650905532626</v>
      </c>
      <c r="Q113" s="76"/>
    </row>
    <row r="114" spans="1:17">
      <c r="A114" s="84" t="s">
        <v>301</v>
      </c>
      <c r="B114" s="85" t="s">
        <v>300</v>
      </c>
      <c r="C114" s="85" t="s">
        <v>83</v>
      </c>
      <c r="D114" s="84" t="s">
        <v>84</v>
      </c>
      <c r="E114" s="84">
        <f>VLOOKUP(A114,'2a. SI Pop'!$A$5:$E$198,5,FALSE)</f>
        <v>3</v>
      </c>
      <c r="F114" s="3">
        <v>0.82380640111149517</v>
      </c>
      <c r="G114" s="3">
        <v>0.8320444651226101</v>
      </c>
      <c r="H114" s="3">
        <v>0.84036490977383627</v>
      </c>
      <c r="I114" s="3">
        <v>0.84876855887157465</v>
      </c>
      <c r="J114" s="3">
        <v>0.85725624446029025</v>
      </c>
      <c r="K114" s="3">
        <v>0.86154252568259171</v>
      </c>
      <c r="L114" s="3">
        <v>0.86585023831100461</v>
      </c>
      <c r="M114" s="3">
        <v>0.87017948950255952</v>
      </c>
      <c r="N114" s="3">
        <v>0.87453038695007224</v>
      </c>
      <c r="O114" s="3">
        <v>0.87890303888482246</v>
      </c>
      <c r="P114" s="3">
        <v>0.88329755407924648</v>
      </c>
      <c r="Q114" s="76"/>
    </row>
    <row r="115" spans="1:17">
      <c r="A115" s="84" t="s">
        <v>303</v>
      </c>
      <c r="B115" s="85" t="s">
        <v>302</v>
      </c>
      <c r="C115" s="85" t="s">
        <v>83</v>
      </c>
      <c r="D115" s="84" t="s">
        <v>87</v>
      </c>
      <c r="E115" s="84">
        <f>VLOOKUP(A115,'2a. SI Pop'!$A$5:$E$198,5,FALSE)</f>
        <v>1</v>
      </c>
      <c r="F115" s="3">
        <v>0.99</v>
      </c>
      <c r="G115" s="3">
        <v>0.99</v>
      </c>
      <c r="H115" s="3">
        <v>0.99</v>
      </c>
      <c r="I115" s="3">
        <v>0.99</v>
      </c>
      <c r="J115" s="3">
        <v>0.99</v>
      </c>
      <c r="K115" s="3">
        <v>0.99</v>
      </c>
      <c r="L115" s="3">
        <v>0.99</v>
      </c>
      <c r="M115" s="3">
        <v>0.99</v>
      </c>
      <c r="N115" s="3">
        <v>0.99</v>
      </c>
      <c r="O115" s="3">
        <v>0.99</v>
      </c>
      <c r="P115" s="3">
        <v>0.99</v>
      </c>
      <c r="Q115" s="76"/>
    </row>
    <row r="116" spans="1:17">
      <c r="A116" s="84" t="s">
        <v>305</v>
      </c>
      <c r="B116" s="85" t="s">
        <v>304</v>
      </c>
      <c r="C116" s="85" t="s">
        <v>92</v>
      </c>
      <c r="D116" s="84" t="s">
        <v>80</v>
      </c>
      <c r="E116" s="84">
        <f>VLOOKUP(A116,'2a. SI Pop'!$A$5:$E$198,5,FALSE)</f>
        <v>2</v>
      </c>
      <c r="F116" s="3">
        <v>0.83056537609668479</v>
      </c>
      <c r="G116" s="3">
        <v>0.83887102985765172</v>
      </c>
      <c r="H116" s="3">
        <v>0.84725974015622829</v>
      </c>
      <c r="I116" s="3">
        <v>0.85573233755779055</v>
      </c>
      <c r="J116" s="3">
        <v>0.86001099924557944</v>
      </c>
      <c r="K116" s="3">
        <v>0.86431105424180732</v>
      </c>
      <c r="L116" s="3">
        <v>0.86863260951301624</v>
      </c>
      <c r="M116" s="3">
        <v>0.87297577256058123</v>
      </c>
      <c r="N116" s="3">
        <v>0.87734065142338391</v>
      </c>
      <c r="O116" s="3">
        <v>0.88172735468050079</v>
      </c>
      <c r="P116" s="3">
        <v>0.8861359914539032</v>
      </c>
      <c r="Q116" s="76"/>
    </row>
    <row r="117" spans="1:17">
      <c r="A117" s="84" t="s">
        <v>307</v>
      </c>
      <c r="B117" s="85" t="s">
        <v>306</v>
      </c>
      <c r="C117" s="85" t="s">
        <v>99</v>
      </c>
      <c r="D117" s="84" t="s">
        <v>84</v>
      </c>
      <c r="E117" s="84">
        <f>VLOOKUP(A117,'2a. SI Pop'!$A$5:$E$198,5,FALSE)</f>
        <v>1</v>
      </c>
      <c r="F117" s="3">
        <v>0.71980161277671184</v>
      </c>
      <c r="G117" s="3">
        <v>0.74139566116001321</v>
      </c>
      <c r="H117" s="3">
        <v>0.76363753099481357</v>
      </c>
      <c r="I117" s="3">
        <v>0.77127390630476167</v>
      </c>
      <c r="J117" s="3">
        <v>0.77898664536780926</v>
      </c>
      <c r="K117" s="3">
        <v>0.78677651182148733</v>
      </c>
      <c r="L117" s="3">
        <v>0.79464427693970219</v>
      </c>
      <c r="M117" s="3">
        <v>0.80259071970909934</v>
      </c>
      <c r="N117" s="3">
        <v>0.8106166269061903</v>
      </c>
      <c r="O117" s="3">
        <v>0.81872279317525232</v>
      </c>
      <c r="P117" s="3">
        <v>0.82691002110700484</v>
      </c>
      <c r="Q117" s="76"/>
    </row>
    <row r="118" spans="1:17">
      <c r="A118" s="84" t="s">
        <v>309</v>
      </c>
      <c r="B118" s="85" t="s">
        <v>308</v>
      </c>
      <c r="C118" s="85" t="s">
        <v>79</v>
      </c>
      <c r="D118" s="84" t="s">
        <v>84</v>
      </c>
      <c r="E118" s="84">
        <f>VLOOKUP(A118,'2a. SI Pop'!$A$5:$E$198,5,FALSE)</f>
        <v>1</v>
      </c>
      <c r="F118" s="3">
        <v>0.99</v>
      </c>
      <c r="G118" s="3">
        <v>0.99</v>
      </c>
      <c r="H118" s="3">
        <v>0.99</v>
      </c>
      <c r="I118" s="3">
        <v>0.99</v>
      </c>
      <c r="J118" s="3">
        <v>0.99</v>
      </c>
      <c r="K118" s="3">
        <v>0.99</v>
      </c>
      <c r="L118" s="3">
        <v>0.99</v>
      </c>
      <c r="M118" s="3">
        <v>0.99</v>
      </c>
      <c r="N118" s="3">
        <v>0.99</v>
      </c>
      <c r="O118" s="3">
        <v>0.99</v>
      </c>
      <c r="P118" s="3">
        <v>0.99</v>
      </c>
      <c r="Q118" s="76"/>
    </row>
    <row r="119" spans="1:17">
      <c r="A119" s="84" t="s">
        <v>311</v>
      </c>
      <c r="B119" s="85" t="s">
        <v>310</v>
      </c>
      <c r="C119" s="85" t="s">
        <v>79</v>
      </c>
      <c r="D119" s="84" t="s">
        <v>87</v>
      </c>
      <c r="E119" s="84">
        <f>VLOOKUP(A119,'2a. SI Pop'!$A$5:$E$198,5,FALSE)</f>
        <v>1</v>
      </c>
      <c r="F119" s="3">
        <v>0.868352915599784</v>
      </c>
      <c r="G119" s="3">
        <v>0.87269468017778284</v>
      </c>
      <c r="H119" s="3">
        <v>0.87705815357867167</v>
      </c>
      <c r="I119" s="3">
        <v>0.88144344434656485</v>
      </c>
      <c r="J119" s="3">
        <v>0.88585066156829773</v>
      </c>
      <c r="K119" s="3">
        <v>0.890279914876139</v>
      </c>
      <c r="L119" s="3">
        <v>0.89473131445051957</v>
      </c>
      <c r="M119" s="3">
        <v>0.89920497102277208</v>
      </c>
      <c r="N119" s="3">
        <v>0.90370099587788588</v>
      </c>
      <c r="O119" s="3">
        <v>0.90821950085727521</v>
      </c>
      <c r="P119" s="3">
        <v>0.91276059836156154</v>
      </c>
      <c r="Q119" s="76"/>
    </row>
    <row r="120" spans="1:17">
      <c r="A120" s="84" t="s">
        <v>313</v>
      </c>
      <c r="B120" s="85" t="s">
        <v>312</v>
      </c>
      <c r="C120" s="85" t="s">
        <v>99</v>
      </c>
      <c r="D120" s="84" t="s">
        <v>84</v>
      </c>
      <c r="E120" s="84">
        <f>VLOOKUP(A120,'2a. SI Pop'!$A$5:$E$198,5,FALSE)</f>
        <v>2</v>
      </c>
      <c r="F120" s="3">
        <v>0.98</v>
      </c>
      <c r="G120" s="3">
        <v>0.98</v>
      </c>
      <c r="H120" s="3">
        <v>0.98</v>
      </c>
      <c r="I120" s="3">
        <v>0.98</v>
      </c>
      <c r="J120" s="3">
        <v>0.98</v>
      </c>
      <c r="K120" s="3">
        <v>0.98</v>
      </c>
      <c r="L120" s="3">
        <v>0.98</v>
      </c>
      <c r="M120" s="3">
        <v>0.98</v>
      </c>
      <c r="N120" s="3">
        <v>0.98</v>
      </c>
      <c r="O120" s="3">
        <v>0.98</v>
      </c>
      <c r="P120" s="3">
        <v>0.98</v>
      </c>
      <c r="Q120" s="76"/>
    </row>
    <row r="121" spans="1:17">
      <c r="A121" s="84" t="s">
        <v>315</v>
      </c>
      <c r="B121" s="85" t="s">
        <v>314</v>
      </c>
      <c r="C121" s="85" t="s">
        <v>79</v>
      </c>
      <c r="D121" s="84" t="s">
        <v>80</v>
      </c>
      <c r="E121" s="84">
        <f>VLOOKUP(A121,'2a. SI Pop'!$A$5:$E$198,5,FALSE)</f>
        <v>1</v>
      </c>
      <c r="F121" s="3">
        <v>0.90850041612285448</v>
      </c>
      <c r="G121" s="3">
        <v>0.91304291820346872</v>
      </c>
      <c r="H121" s="3">
        <v>0.91760813279448594</v>
      </c>
      <c r="I121" s="3">
        <v>0.92219617345845828</v>
      </c>
      <c r="J121" s="3">
        <v>0.92680715432575056</v>
      </c>
      <c r="K121" s="3">
        <v>0.93144119009737925</v>
      </c>
      <c r="L121" s="3">
        <v>0.93609839604786604</v>
      </c>
      <c r="M121" s="3">
        <v>0.94077888802810516</v>
      </c>
      <c r="N121" s="3">
        <v>0.94548278246824569</v>
      </c>
      <c r="O121" s="3">
        <v>0.95021019638058679</v>
      </c>
      <c r="P121" s="3">
        <v>0.95496124736248955</v>
      </c>
      <c r="Q121" s="76"/>
    </row>
    <row r="122" spans="1:17">
      <c r="A122" s="84" t="s">
        <v>317</v>
      </c>
      <c r="B122" s="85" t="s">
        <v>316</v>
      </c>
      <c r="C122" s="85" t="s">
        <v>74</v>
      </c>
      <c r="D122" s="84" t="s">
        <v>84</v>
      </c>
      <c r="E122" s="84">
        <f>VLOOKUP(A122,'2a. SI Pop'!$A$5:$E$198,5,FALSE)</f>
        <v>3</v>
      </c>
      <c r="F122" s="3">
        <v>0.99</v>
      </c>
      <c r="G122" s="3">
        <v>0.99</v>
      </c>
      <c r="H122" s="3">
        <v>0.99</v>
      </c>
      <c r="I122" s="3">
        <v>0.99</v>
      </c>
      <c r="J122" s="3">
        <v>0.99</v>
      </c>
      <c r="K122" s="3">
        <v>0.99</v>
      </c>
      <c r="L122" s="3">
        <v>0.99</v>
      </c>
      <c r="M122" s="3">
        <v>0.99</v>
      </c>
      <c r="N122" s="3">
        <v>0.99</v>
      </c>
      <c r="O122" s="3">
        <v>0.99</v>
      </c>
      <c r="P122" s="3">
        <v>0.99</v>
      </c>
      <c r="Q122" s="76"/>
    </row>
    <row r="123" spans="1:17">
      <c r="A123" s="84" t="s">
        <v>319</v>
      </c>
      <c r="B123" s="85" t="s">
        <v>318</v>
      </c>
      <c r="C123" s="85" t="s">
        <v>83</v>
      </c>
      <c r="D123" s="84" t="s">
        <v>75</v>
      </c>
      <c r="E123" s="84" t="str">
        <f>VLOOKUP(A123,'2a. SI Pop'!$A$5:$E$198,5,FALSE)</f>
        <v>Key</v>
      </c>
      <c r="F123" s="3">
        <v>0.89793645779584419</v>
      </c>
      <c r="G123" s="3">
        <v>0.90242614008482336</v>
      </c>
      <c r="H123" s="3">
        <v>0.90693827078524736</v>
      </c>
      <c r="I123" s="3">
        <v>0.91147296213917339</v>
      </c>
      <c r="J123" s="3">
        <v>0.91603032694986919</v>
      </c>
      <c r="K123" s="3">
        <v>0.92061047858461853</v>
      </c>
      <c r="L123" s="3">
        <v>0.92521353097754144</v>
      </c>
      <c r="M123" s="3">
        <v>0.92983959863242904</v>
      </c>
      <c r="N123" s="3">
        <v>0.93448879662559103</v>
      </c>
      <c r="O123" s="3">
        <v>0.93916124060871897</v>
      </c>
      <c r="P123" s="3">
        <v>0.94385704681176252</v>
      </c>
      <c r="Q123" s="76"/>
    </row>
    <row r="124" spans="1:17">
      <c r="A124" s="84" t="s">
        <v>321</v>
      </c>
      <c r="B124" s="85" t="s">
        <v>320</v>
      </c>
      <c r="C124" s="85" t="s">
        <v>110</v>
      </c>
      <c r="D124" s="84" t="s">
        <v>84</v>
      </c>
      <c r="E124" s="84">
        <f>VLOOKUP(A124,'2a. SI Pop'!$A$5:$E$198,5,FALSE)</f>
        <v>4</v>
      </c>
      <c r="F124" s="3">
        <v>0.87499153295178134</v>
      </c>
      <c r="G124" s="3">
        <v>0.87936649061654004</v>
      </c>
      <c r="H124" s="3">
        <v>0.88376332306962269</v>
      </c>
      <c r="I124" s="3">
        <v>0.88818213968497073</v>
      </c>
      <c r="J124" s="3">
        <v>0.89262305038339551</v>
      </c>
      <c r="K124" s="3">
        <v>0.8970861656353124</v>
      </c>
      <c r="L124" s="3">
        <v>0.90157159646348883</v>
      </c>
      <c r="M124" s="3">
        <v>0.90607945444580618</v>
      </c>
      <c r="N124" s="3">
        <v>0.9106098517180351</v>
      </c>
      <c r="O124" s="3">
        <v>0.91516290097662523</v>
      </c>
      <c r="P124" s="3">
        <v>0.91973871548150821</v>
      </c>
      <c r="Q124" s="76"/>
    </row>
    <row r="125" spans="1:17">
      <c r="A125" s="84" t="s">
        <v>323</v>
      </c>
      <c r="B125" s="85" t="s">
        <v>322</v>
      </c>
      <c r="C125" s="85" t="s">
        <v>83</v>
      </c>
      <c r="D125" s="84" t="s">
        <v>80</v>
      </c>
      <c r="E125" s="84">
        <f>VLOOKUP(A125,'2a. SI Pop'!$A$5:$E$198,5,FALSE)</f>
        <v>3</v>
      </c>
      <c r="F125" s="3">
        <v>0.76011910415703554</v>
      </c>
      <c r="G125" s="3">
        <v>0.76772029519860596</v>
      </c>
      <c r="H125" s="3">
        <v>0.775397498150592</v>
      </c>
      <c r="I125" s="3">
        <v>0.78315147313209788</v>
      </c>
      <c r="J125" s="3">
        <v>0.79098298786341881</v>
      </c>
      <c r="K125" s="3">
        <v>0.79889281774205301</v>
      </c>
      <c r="L125" s="3">
        <v>0.80688174591947359</v>
      </c>
      <c r="M125" s="3">
        <v>0.81495056337866822</v>
      </c>
      <c r="N125" s="3">
        <v>0.82310006901245503</v>
      </c>
      <c r="O125" s="3">
        <v>0.83133106970257953</v>
      </c>
      <c r="P125" s="3">
        <v>0.83964438039960543</v>
      </c>
      <c r="Q125" s="76"/>
    </row>
    <row r="126" spans="1:17">
      <c r="A126" s="84" t="s">
        <v>325</v>
      </c>
      <c r="B126" s="85" t="s">
        <v>324</v>
      </c>
      <c r="C126" s="85" t="s">
        <v>99</v>
      </c>
      <c r="D126" s="84" t="s">
        <v>87</v>
      </c>
      <c r="E126" s="84">
        <f>VLOOKUP(A126,'2a. SI Pop'!$A$5:$E$198,5,FALSE)</f>
        <v>1</v>
      </c>
      <c r="F126" s="3">
        <v>0.99</v>
      </c>
      <c r="G126" s="3">
        <v>0.99</v>
      </c>
      <c r="H126" s="3">
        <v>0.99</v>
      </c>
      <c r="I126" s="3">
        <v>0.99</v>
      </c>
      <c r="J126" s="3">
        <v>0.99</v>
      </c>
      <c r="K126" s="3">
        <v>0.99</v>
      </c>
      <c r="L126" s="3">
        <v>0.99</v>
      </c>
      <c r="M126" s="3">
        <v>0.99</v>
      </c>
      <c r="N126" s="3">
        <v>0.99</v>
      </c>
      <c r="O126" s="3">
        <v>0.99</v>
      </c>
      <c r="P126" s="3">
        <v>0.99</v>
      </c>
      <c r="Q126" s="76"/>
    </row>
    <row r="127" spans="1:17">
      <c r="A127" s="84" t="s">
        <v>327</v>
      </c>
      <c r="B127" s="85" t="s">
        <v>326</v>
      </c>
      <c r="C127" s="85" t="s">
        <v>110</v>
      </c>
      <c r="D127" s="84" t="s">
        <v>84</v>
      </c>
      <c r="E127" s="84">
        <f>VLOOKUP(A127,'2a. SI Pop'!$A$5:$E$198,5,FALSE)</f>
        <v>4</v>
      </c>
      <c r="F127" s="3">
        <v>0.84790794346564069</v>
      </c>
      <c r="G127" s="3">
        <v>0.85638702290029711</v>
      </c>
      <c r="H127" s="3">
        <v>0.86066895801479859</v>
      </c>
      <c r="I127" s="3">
        <v>0.86497230280487247</v>
      </c>
      <c r="J127" s="3">
        <v>0.8692971643188967</v>
      </c>
      <c r="K127" s="3">
        <v>0.87364365014049117</v>
      </c>
      <c r="L127" s="3">
        <v>0.8780118683911935</v>
      </c>
      <c r="M127" s="3">
        <v>0.8824019277331494</v>
      </c>
      <c r="N127" s="3">
        <v>0.88681393737181513</v>
      </c>
      <c r="O127" s="3">
        <v>0.89124800705867402</v>
      </c>
      <c r="P127" s="3">
        <v>0.89570424709396734</v>
      </c>
      <c r="Q127" s="76"/>
    </row>
    <row r="128" spans="1:17">
      <c r="A128" s="84" t="s">
        <v>329</v>
      </c>
      <c r="B128" s="85" t="s">
        <v>328</v>
      </c>
      <c r="C128" s="85" t="s">
        <v>79</v>
      </c>
      <c r="D128" s="84" t="s">
        <v>87</v>
      </c>
      <c r="E128" s="84">
        <f>VLOOKUP(A128,'2a. SI Pop'!$A$5:$E$198,5,FALSE)</f>
        <v>1</v>
      </c>
      <c r="F128" s="3">
        <v>0.95075624943089398</v>
      </c>
      <c r="G128" s="3">
        <v>0.95551003067804829</v>
      </c>
      <c r="H128" s="3">
        <v>0.96028758083143839</v>
      </c>
      <c r="I128" s="3">
        <v>0.96508901873559549</v>
      </c>
      <c r="J128" s="3">
        <v>0.96991446382927338</v>
      </c>
      <c r="K128" s="3">
        <v>0.97476403614841955</v>
      </c>
      <c r="L128" s="3">
        <v>0.97963785632916156</v>
      </c>
      <c r="M128" s="3">
        <v>0.98453604561080721</v>
      </c>
      <c r="N128" s="3">
        <v>0.98</v>
      </c>
      <c r="O128" s="3">
        <v>0.98</v>
      </c>
      <c r="P128" s="3">
        <v>0.98</v>
      </c>
      <c r="Q128" s="76"/>
    </row>
    <row r="129" spans="1:17">
      <c r="A129" s="84" t="s">
        <v>331</v>
      </c>
      <c r="B129" s="85" t="s">
        <v>330</v>
      </c>
      <c r="C129" s="85" t="s">
        <v>99</v>
      </c>
      <c r="D129" s="84" t="s">
        <v>87</v>
      </c>
      <c r="E129" s="84">
        <f>VLOOKUP(A129,'2a. SI Pop'!$A$5:$E$198,5,FALSE)</f>
        <v>1</v>
      </c>
      <c r="F129" s="3">
        <v>0.95075624943089398</v>
      </c>
      <c r="G129" s="3">
        <v>0.95</v>
      </c>
      <c r="H129" s="3">
        <v>0.95</v>
      </c>
      <c r="I129" s="3">
        <v>0.95</v>
      </c>
      <c r="J129" s="3">
        <v>0.95</v>
      </c>
      <c r="K129" s="3">
        <v>0.95</v>
      </c>
      <c r="L129" s="3">
        <v>0.95</v>
      </c>
      <c r="M129" s="3">
        <v>0.95</v>
      </c>
      <c r="N129" s="3">
        <v>0.95</v>
      </c>
      <c r="O129" s="3">
        <v>0.95</v>
      </c>
      <c r="P129" s="3">
        <v>0.95</v>
      </c>
      <c r="Q129" s="76"/>
    </row>
    <row r="130" spans="1:17">
      <c r="A130" s="84" t="s">
        <v>333</v>
      </c>
      <c r="B130" s="85" t="s">
        <v>332</v>
      </c>
      <c r="C130" s="85" t="s">
        <v>92</v>
      </c>
      <c r="D130" s="84" t="s">
        <v>84</v>
      </c>
      <c r="E130" s="84">
        <f>VLOOKUP(A130,'2a. SI Pop'!$A$5:$E$198,5,FALSE)</f>
        <v>2</v>
      </c>
      <c r="F130" s="3">
        <v>0.99</v>
      </c>
      <c r="G130" s="3">
        <v>0.99</v>
      </c>
      <c r="H130" s="3">
        <v>0.99</v>
      </c>
      <c r="I130" s="3">
        <v>0.99</v>
      </c>
      <c r="J130" s="3">
        <v>0.99</v>
      </c>
      <c r="K130" s="3">
        <v>0.99</v>
      </c>
      <c r="L130" s="3">
        <v>0.99</v>
      </c>
      <c r="M130" s="3">
        <v>0.99</v>
      </c>
      <c r="N130" s="3">
        <v>0.99</v>
      </c>
      <c r="O130" s="3">
        <v>0.99</v>
      </c>
      <c r="P130" s="3">
        <v>0.99</v>
      </c>
      <c r="Q130" s="76"/>
    </row>
    <row r="131" spans="1:17">
      <c r="A131" s="84" t="s">
        <v>335</v>
      </c>
      <c r="B131" s="85" t="s">
        <v>334</v>
      </c>
      <c r="C131" s="85" t="s">
        <v>83</v>
      </c>
      <c r="D131" s="84" t="s">
        <v>75</v>
      </c>
      <c r="E131" s="84">
        <f>VLOOKUP(A131,'2a. SI Pop'!$A$5:$E$198,5,FALSE)</f>
        <v>3</v>
      </c>
      <c r="F131" s="3">
        <v>0.77197949239804364</v>
      </c>
      <c r="G131" s="3">
        <v>0.77969928732202409</v>
      </c>
      <c r="H131" s="3">
        <v>0.7874962801952442</v>
      </c>
      <c r="I131" s="3">
        <v>0.79537124299719664</v>
      </c>
      <c r="J131" s="3">
        <v>0.80332495542716853</v>
      </c>
      <c r="K131" s="3">
        <v>0.81135820498144029</v>
      </c>
      <c r="L131" s="3">
        <v>0.81947178703125478</v>
      </c>
      <c r="M131" s="3">
        <v>0.82766650490156735</v>
      </c>
      <c r="N131" s="3">
        <v>0.83594316995058304</v>
      </c>
      <c r="O131" s="3">
        <v>0.84430260165008886</v>
      </c>
      <c r="P131" s="3">
        <v>0.85274562766658979</v>
      </c>
      <c r="Q131" s="76"/>
    </row>
    <row r="132" spans="1:17">
      <c r="A132" s="84" t="s">
        <v>337</v>
      </c>
      <c r="B132" s="85" t="s">
        <v>336</v>
      </c>
      <c r="C132" s="85" t="s">
        <v>83</v>
      </c>
      <c r="D132" s="84" t="s">
        <v>84</v>
      </c>
      <c r="E132" s="84" t="str">
        <f>VLOOKUP(A132,'2a. SI Pop'!$A$5:$E$198,5,FALSE)</f>
        <v>Key</v>
      </c>
      <c r="F132" s="3">
        <v>0.12458104836520011</v>
      </c>
      <c r="G132" s="3">
        <v>0.12831847981615613</v>
      </c>
      <c r="H132" s="3">
        <v>0.1321680342106408</v>
      </c>
      <c r="I132" s="3">
        <v>0.13613307523696003</v>
      </c>
      <c r="J132" s="3">
        <v>0.14021706749406884</v>
      </c>
      <c r="K132" s="3">
        <v>0.1444235795188909</v>
      </c>
      <c r="L132" s="3">
        <v>0.14875628690445764</v>
      </c>
      <c r="M132" s="3">
        <v>0.15321897551159136</v>
      </c>
      <c r="N132" s="3">
        <v>0.1578155447769391</v>
      </c>
      <c r="O132" s="3">
        <v>0.16255001112024728</v>
      </c>
      <c r="P132" s="3">
        <v>0.16742651145385473</v>
      </c>
      <c r="Q132" s="76"/>
    </row>
    <row r="133" spans="1:17">
      <c r="A133" s="84" t="s">
        <v>339</v>
      </c>
      <c r="B133" s="85" t="s">
        <v>338</v>
      </c>
      <c r="C133" s="85" t="s">
        <v>99</v>
      </c>
      <c r="D133" s="84" t="e">
        <v>#N/A</v>
      </c>
      <c r="E133" s="84">
        <f>VLOOKUP(A133,'2a. SI Pop'!$A$5:$E$198,5,FALSE)</f>
        <v>1</v>
      </c>
      <c r="F133" s="3">
        <v>0.99</v>
      </c>
      <c r="G133" s="3">
        <v>0.99</v>
      </c>
      <c r="H133" s="3">
        <v>0.99</v>
      </c>
      <c r="I133" s="3">
        <v>0.99</v>
      </c>
      <c r="J133" s="3">
        <v>0.99</v>
      </c>
      <c r="K133" s="3">
        <v>0.99</v>
      </c>
      <c r="L133" s="3">
        <v>0.99</v>
      </c>
      <c r="M133" s="3">
        <v>0.99</v>
      </c>
      <c r="N133" s="3">
        <v>0.99</v>
      </c>
      <c r="O133" s="3">
        <v>0.99</v>
      </c>
      <c r="P133" s="3">
        <v>0.99</v>
      </c>
      <c r="Q133" s="76"/>
    </row>
    <row r="134" spans="1:17">
      <c r="A134" s="84" t="s">
        <v>341</v>
      </c>
      <c r="B134" s="85" t="s">
        <v>340</v>
      </c>
      <c r="C134" s="85" t="s">
        <v>79</v>
      </c>
      <c r="D134" s="84" t="s">
        <v>87</v>
      </c>
      <c r="E134" s="84">
        <f>VLOOKUP(A134,'2a. SI Pop'!$A$5:$E$198,5,FALSE)</f>
        <v>1</v>
      </c>
      <c r="F134" s="3">
        <v>0.97</v>
      </c>
      <c r="G134" s="3">
        <v>0.97</v>
      </c>
      <c r="H134" s="3">
        <v>0.97</v>
      </c>
      <c r="I134" s="3">
        <v>0.97</v>
      </c>
      <c r="J134" s="3">
        <v>0.97</v>
      </c>
      <c r="K134" s="3">
        <v>0.97</v>
      </c>
      <c r="L134" s="3">
        <v>0.97</v>
      </c>
      <c r="M134" s="3">
        <v>0.97</v>
      </c>
      <c r="N134" s="3">
        <v>0.97</v>
      </c>
      <c r="O134" s="3">
        <v>0.97</v>
      </c>
      <c r="P134" s="3">
        <v>0.97</v>
      </c>
      <c r="Q134" s="76"/>
    </row>
    <row r="135" spans="1:17">
      <c r="A135" s="84" t="s">
        <v>343</v>
      </c>
      <c r="B135" s="85" t="s">
        <v>342</v>
      </c>
      <c r="C135" s="85" t="s">
        <v>74</v>
      </c>
      <c r="D135" s="84" t="s">
        <v>87</v>
      </c>
      <c r="E135" s="84">
        <f>VLOOKUP(A135,'2a. SI Pop'!$A$5:$E$198,5,FALSE)</f>
        <v>1</v>
      </c>
      <c r="F135" s="3">
        <v>0.99</v>
      </c>
      <c r="G135" s="3">
        <v>0.99</v>
      </c>
      <c r="H135" s="3">
        <v>0.99</v>
      </c>
      <c r="I135" s="3">
        <v>0.99</v>
      </c>
      <c r="J135" s="3">
        <v>0.99</v>
      </c>
      <c r="K135" s="3">
        <v>0.99</v>
      </c>
      <c r="L135" s="3">
        <v>0.99</v>
      </c>
      <c r="M135" s="3">
        <v>0.99</v>
      </c>
      <c r="N135" s="3">
        <v>0.99</v>
      </c>
      <c r="O135" s="3">
        <v>0.99</v>
      </c>
      <c r="P135" s="3">
        <v>0.99</v>
      </c>
      <c r="Q135" s="76"/>
    </row>
    <row r="136" spans="1:17">
      <c r="A136" s="84" t="s">
        <v>345</v>
      </c>
      <c r="B136" s="85" t="s">
        <v>344</v>
      </c>
      <c r="C136" s="85" t="s">
        <v>74</v>
      </c>
      <c r="D136" s="84" t="s">
        <v>84</v>
      </c>
      <c r="E136" s="84" t="str">
        <f>VLOOKUP(A136,'2a. SI Pop'!$A$5:$E$198,5,FALSE)</f>
        <v>Key</v>
      </c>
      <c r="F136" s="3">
        <v>0.82380640111149517</v>
      </c>
      <c r="G136" s="3">
        <v>0.8320444651226101</v>
      </c>
      <c r="H136" s="3">
        <v>0.84036490977383627</v>
      </c>
      <c r="I136" s="3">
        <v>0.84876855887157465</v>
      </c>
      <c r="J136" s="3">
        <v>0.85725624446029025</v>
      </c>
      <c r="K136" s="3">
        <v>0.86154252568259171</v>
      </c>
      <c r="L136" s="3">
        <v>0.86585023831100461</v>
      </c>
      <c r="M136" s="3">
        <v>0.87017948950255952</v>
      </c>
      <c r="N136" s="3">
        <v>0.87453038695007224</v>
      </c>
      <c r="O136" s="3">
        <v>0.87890303888482246</v>
      </c>
      <c r="P136" s="3">
        <v>0.88329755407924648</v>
      </c>
      <c r="Q136" s="76"/>
    </row>
    <row r="137" spans="1:17">
      <c r="A137" s="84" t="s">
        <v>347</v>
      </c>
      <c r="B137" s="85" t="s">
        <v>346</v>
      </c>
      <c r="C137" s="85" t="s">
        <v>99</v>
      </c>
      <c r="D137" s="84" t="s">
        <v>87</v>
      </c>
      <c r="E137" s="84">
        <f>VLOOKUP(A137,'2a. SI Pop'!$A$5:$E$198,5,FALSE)</f>
        <v>1</v>
      </c>
      <c r="F137" s="3">
        <v>0.92962833277687418</v>
      </c>
      <c r="G137" s="3">
        <v>0.93427647444075845</v>
      </c>
      <c r="H137" s="3">
        <v>0.93894785681296211</v>
      </c>
      <c r="I137" s="3">
        <v>0.94364259609702683</v>
      </c>
      <c r="J137" s="3">
        <v>0.94836080907751186</v>
      </c>
      <c r="K137" s="3">
        <v>0.95310261312289923</v>
      </c>
      <c r="L137" s="3">
        <v>0.95786812618851358</v>
      </c>
      <c r="M137" s="3">
        <v>0.96265746681945596</v>
      </c>
      <c r="N137" s="3">
        <v>0.9674707541535531</v>
      </c>
      <c r="O137" s="3">
        <v>0.97230810792432076</v>
      </c>
      <c r="P137" s="3">
        <v>0.97716964846394239</v>
      </c>
      <c r="Q137" s="76"/>
    </row>
    <row r="138" spans="1:17">
      <c r="A138" s="84" t="s">
        <v>349</v>
      </c>
      <c r="B138" s="85" t="s">
        <v>348</v>
      </c>
      <c r="C138" s="85" t="s">
        <v>92</v>
      </c>
      <c r="D138" s="84" t="s">
        <v>87</v>
      </c>
      <c r="E138" s="84">
        <f>VLOOKUP(A138,'2a. SI Pop'!$A$5:$E$198,5,FALSE)</f>
        <v>1</v>
      </c>
      <c r="F138" s="3">
        <v>0.99</v>
      </c>
      <c r="G138" s="3">
        <v>0.99</v>
      </c>
      <c r="H138" s="3">
        <v>0.99</v>
      </c>
      <c r="I138" s="3">
        <v>0.99</v>
      </c>
      <c r="J138" s="3">
        <v>0.99</v>
      </c>
      <c r="K138" s="3">
        <v>0.99</v>
      </c>
      <c r="L138" s="3">
        <v>0.99</v>
      </c>
      <c r="M138" s="3">
        <v>0.99</v>
      </c>
      <c r="N138" s="3">
        <v>0.99</v>
      </c>
      <c r="O138" s="3">
        <v>0.99</v>
      </c>
      <c r="P138" s="3">
        <v>0.99</v>
      </c>
      <c r="Q138" s="76"/>
    </row>
    <row r="139" spans="1:17">
      <c r="A139" s="84" t="s">
        <v>351</v>
      </c>
      <c r="B139" s="85" t="s">
        <v>350</v>
      </c>
      <c r="C139" s="85" t="s">
        <v>99</v>
      </c>
      <c r="D139" s="84" t="s">
        <v>84</v>
      </c>
      <c r="E139" s="84">
        <f>VLOOKUP(A139,'2a. SI Pop'!$A$5:$E$198,5,FALSE)</f>
        <v>4</v>
      </c>
      <c r="F139" s="3">
        <v>0.27684677414488923</v>
      </c>
      <c r="G139" s="3">
        <v>0.28515217736923587</v>
      </c>
      <c r="H139" s="3">
        <v>0.29370674269031299</v>
      </c>
      <c r="I139" s="3">
        <v>0.30251794497102241</v>
      </c>
      <c r="J139" s="3">
        <v>0.31159348332015308</v>
      </c>
      <c r="K139" s="3">
        <v>0.32094128781975767</v>
      </c>
      <c r="L139" s="3">
        <v>0.33056952645435039</v>
      </c>
      <c r="M139" s="3">
        <v>0.34048661224798088</v>
      </c>
      <c r="N139" s="3">
        <v>0.35070121061542031</v>
      </c>
      <c r="O139" s="3">
        <v>0.361222246933883</v>
      </c>
      <c r="P139" s="3">
        <v>0.37205891434189942</v>
      </c>
      <c r="Q139" s="76"/>
    </row>
    <row r="140" spans="1:17">
      <c r="A140" s="84" t="s">
        <v>353</v>
      </c>
      <c r="B140" s="85" t="s">
        <v>352</v>
      </c>
      <c r="C140" s="85" t="s">
        <v>92</v>
      </c>
      <c r="D140" s="84" t="s">
        <v>80</v>
      </c>
      <c r="E140" s="84">
        <f>VLOOKUP(A140,'2a. SI Pop'!$A$5:$E$198,5,FALSE)</f>
        <v>1</v>
      </c>
      <c r="F140" s="3">
        <v>0.88996045169264038</v>
      </c>
      <c r="G140" s="3">
        <v>0.89441025395110341</v>
      </c>
      <c r="H140" s="3">
        <v>0.89888230522085888</v>
      </c>
      <c r="I140" s="3">
        <v>0.90337671674696307</v>
      </c>
      <c r="J140" s="3">
        <v>0.90789360033069788</v>
      </c>
      <c r="K140" s="3">
        <v>0.91243306833235127</v>
      </c>
      <c r="L140" s="3">
        <v>0.91699523367401281</v>
      </c>
      <c r="M140" s="3">
        <v>0.92158020984238276</v>
      </c>
      <c r="N140" s="3">
        <v>0.9261881108915947</v>
      </c>
      <c r="O140" s="3">
        <v>0.93081905144605259</v>
      </c>
      <c r="P140" s="3">
        <v>0.93547314670328274</v>
      </c>
      <c r="Q140" s="76"/>
    </row>
    <row r="141" spans="1:17">
      <c r="A141" s="84" t="s">
        <v>355</v>
      </c>
      <c r="B141" s="85" t="s">
        <v>354</v>
      </c>
      <c r="C141" s="85" t="s">
        <v>92</v>
      </c>
      <c r="D141" s="84" t="s">
        <v>80</v>
      </c>
      <c r="E141" s="84">
        <f>VLOOKUP(A141,'2a. SI Pop'!$A$5:$E$198,5,FALSE)</f>
        <v>2</v>
      </c>
      <c r="F141" s="3">
        <v>0.81219124135958909</v>
      </c>
      <c r="G141" s="3">
        <v>0.82031315377318492</v>
      </c>
      <c r="H141" s="3">
        <v>0.82851628531091681</v>
      </c>
      <c r="I141" s="3">
        <v>0.83680144816402591</v>
      </c>
      <c r="J141" s="3">
        <v>0.84516946264566617</v>
      </c>
      <c r="K141" s="3">
        <v>0.85362115727212284</v>
      </c>
      <c r="L141" s="3">
        <v>0.85788926305848334</v>
      </c>
      <c r="M141" s="3">
        <v>0.86217870937377572</v>
      </c>
      <c r="N141" s="3">
        <v>0.86648960292064447</v>
      </c>
      <c r="O141" s="3">
        <v>0.87082205093524767</v>
      </c>
      <c r="P141" s="3">
        <v>0.87517616118992381</v>
      </c>
      <c r="Q141" s="76"/>
    </row>
    <row r="142" spans="1:17">
      <c r="A142" s="84" t="s">
        <v>357</v>
      </c>
      <c r="B142" s="85" t="s">
        <v>356</v>
      </c>
      <c r="C142" s="85" t="s">
        <v>99</v>
      </c>
      <c r="D142" s="84" t="s">
        <v>84</v>
      </c>
      <c r="E142" s="84" t="str">
        <f>VLOOKUP(A142,'2a. SI Pop'!$A$5:$E$198,5,FALSE)</f>
        <v>Key</v>
      </c>
      <c r="F142" s="3">
        <v>0.55369354828977846</v>
      </c>
      <c r="G142" s="3">
        <v>0.57030435473847174</v>
      </c>
      <c r="H142" s="3">
        <v>0.58741348538062599</v>
      </c>
      <c r="I142" s="3">
        <v>0.60503588994204482</v>
      </c>
      <c r="J142" s="3">
        <v>0.62318696664030615</v>
      </c>
      <c r="K142" s="3">
        <v>0.64188257563951534</v>
      </c>
      <c r="L142" s="3">
        <v>0.66113905290870079</v>
      </c>
      <c r="M142" s="3">
        <v>0.68097322449596176</v>
      </c>
      <c r="N142" s="3">
        <v>0.70140242123084062</v>
      </c>
      <c r="O142" s="3">
        <v>0.72244449386776599</v>
      </c>
      <c r="P142" s="3">
        <v>0.74411782868379883</v>
      </c>
      <c r="Q142" s="76"/>
    </row>
    <row r="143" spans="1:17">
      <c r="A143" s="84" t="s">
        <v>359</v>
      </c>
      <c r="B143" s="85" t="s">
        <v>358</v>
      </c>
      <c r="C143" s="85" t="s">
        <v>79</v>
      </c>
      <c r="D143" s="84" t="s">
        <v>87</v>
      </c>
      <c r="E143" s="84">
        <f>VLOOKUP(A143,'2a. SI Pop'!$A$5:$E$198,5,FALSE)</f>
        <v>1</v>
      </c>
      <c r="F143" s="3">
        <v>0.9718841660849139</v>
      </c>
      <c r="G143" s="3">
        <v>0.97674358691533836</v>
      </c>
      <c r="H143" s="3">
        <v>0.98162730484991501</v>
      </c>
      <c r="I143" s="3">
        <v>0.98653544137416449</v>
      </c>
      <c r="J143" s="3">
        <v>0.99146811858103523</v>
      </c>
      <c r="K143" s="3">
        <v>0.99</v>
      </c>
      <c r="L143" s="3">
        <v>0.99</v>
      </c>
      <c r="M143" s="3">
        <v>0.99</v>
      </c>
      <c r="N143" s="3">
        <v>0.99</v>
      </c>
      <c r="O143" s="3">
        <v>0.99</v>
      </c>
      <c r="P143" s="3">
        <v>0.99</v>
      </c>
      <c r="Q143" s="76"/>
    </row>
    <row r="144" spans="1:17">
      <c r="A144" s="84" t="s">
        <v>361</v>
      </c>
      <c r="B144" s="85" t="s">
        <v>360</v>
      </c>
      <c r="C144" s="85" t="s">
        <v>79</v>
      </c>
      <c r="D144" s="84" t="s">
        <v>87</v>
      </c>
      <c r="E144" s="84">
        <f>VLOOKUP(A144,'2a. SI Pop'!$A$5:$E$198,5,FALSE)</f>
        <v>1</v>
      </c>
      <c r="F144" s="3">
        <v>0.96</v>
      </c>
      <c r="G144" s="3">
        <v>0.96</v>
      </c>
      <c r="H144" s="3">
        <v>0.96</v>
      </c>
      <c r="I144" s="3">
        <v>0.96</v>
      </c>
      <c r="J144" s="3">
        <v>0.96</v>
      </c>
      <c r="K144" s="3">
        <v>0.96</v>
      </c>
      <c r="L144" s="3">
        <v>0.96</v>
      </c>
      <c r="M144" s="3">
        <v>0.96</v>
      </c>
      <c r="N144" s="3">
        <v>0.96</v>
      </c>
      <c r="O144" s="3">
        <v>0.96</v>
      </c>
      <c r="P144" s="3">
        <v>0.96</v>
      </c>
      <c r="Q144" s="76"/>
    </row>
    <row r="145" spans="1:17">
      <c r="A145" s="84" t="s">
        <v>363</v>
      </c>
      <c r="B145" s="85" t="s">
        <v>362</v>
      </c>
      <c r="C145" s="85" t="s">
        <v>74</v>
      </c>
      <c r="D145" s="84" t="s">
        <v>87</v>
      </c>
      <c r="E145" s="84">
        <f>VLOOKUP(A145,'2a. SI Pop'!$A$5:$E$198,5,FALSE)</f>
        <v>1</v>
      </c>
      <c r="F145" s="3">
        <v>0.99</v>
      </c>
      <c r="G145" s="3">
        <v>0.99</v>
      </c>
      <c r="H145" s="3">
        <v>0.99</v>
      </c>
      <c r="I145" s="3">
        <v>0.99</v>
      </c>
      <c r="J145" s="3">
        <v>0.99</v>
      </c>
      <c r="K145" s="3">
        <v>0.99</v>
      </c>
      <c r="L145" s="3">
        <v>0.99</v>
      </c>
      <c r="M145" s="3">
        <v>0.99</v>
      </c>
      <c r="N145" s="3">
        <v>0.99</v>
      </c>
      <c r="O145" s="3">
        <v>0.99</v>
      </c>
      <c r="P145" s="3">
        <v>0.99</v>
      </c>
      <c r="Q145" s="76"/>
    </row>
    <row r="146" spans="1:17">
      <c r="A146" s="84" t="s">
        <v>365</v>
      </c>
      <c r="B146" s="85" t="s">
        <v>364</v>
      </c>
      <c r="C146" s="85" t="s">
        <v>79</v>
      </c>
      <c r="D146" s="84" t="s">
        <v>87</v>
      </c>
      <c r="E146" s="84">
        <f>VLOOKUP(A146,'2a. SI Pop'!$A$5:$E$198,5,FALSE)</f>
        <v>2</v>
      </c>
      <c r="F146" s="3">
        <v>0.84790794346564069</v>
      </c>
      <c r="G146" s="3">
        <v>0.85638702290029711</v>
      </c>
      <c r="H146" s="3">
        <v>0.86066895801479859</v>
      </c>
      <c r="I146" s="3">
        <v>0.86497230280487247</v>
      </c>
      <c r="J146" s="3">
        <v>0.8692971643188967</v>
      </c>
      <c r="K146" s="3">
        <v>0.87364365014049117</v>
      </c>
      <c r="L146" s="3">
        <v>0.8780118683911935</v>
      </c>
      <c r="M146" s="3">
        <v>0.8824019277331494</v>
      </c>
      <c r="N146" s="3">
        <v>0.88681393737181513</v>
      </c>
      <c r="O146" s="3">
        <v>0.89124800705867402</v>
      </c>
      <c r="P146" s="3">
        <v>0.89570424709396734</v>
      </c>
      <c r="Q146" s="76"/>
    </row>
    <row r="147" spans="1:17">
      <c r="A147" s="84" t="s">
        <v>367</v>
      </c>
      <c r="B147" s="85" t="s">
        <v>366</v>
      </c>
      <c r="C147" s="85" t="s">
        <v>79</v>
      </c>
      <c r="D147" s="84" t="s">
        <v>80</v>
      </c>
      <c r="E147" s="84">
        <f>VLOOKUP(A147,'2a. SI Pop'!$A$5:$E$198,5,FALSE)</f>
        <v>2</v>
      </c>
      <c r="F147" s="3">
        <v>0.98</v>
      </c>
      <c r="G147" s="3">
        <v>0.98</v>
      </c>
      <c r="H147" s="3">
        <v>0.98</v>
      </c>
      <c r="I147" s="3">
        <v>0.98</v>
      </c>
      <c r="J147" s="3">
        <v>0.98</v>
      </c>
      <c r="K147" s="3">
        <v>0.98</v>
      </c>
      <c r="L147" s="3">
        <v>0.98</v>
      </c>
      <c r="M147" s="3">
        <v>0.98</v>
      </c>
      <c r="N147" s="3">
        <v>0.98</v>
      </c>
      <c r="O147" s="3">
        <v>0.98</v>
      </c>
      <c r="P147" s="3">
        <v>0.98</v>
      </c>
      <c r="Q147" s="76"/>
    </row>
    <row r="148" spans="1:17">
      <c r="A148" s="84" t="s">
        <v>369</v>
      </c>
      <c r="B148" s="85" t="s">
        <v>368</v>
      </c>
      <c r="C148" s="85" t="s">
        <v>83</v>
      </c>
      <c r="D148" s="84" t="s">
        <v>75</v>
      </c>
      <c r="E148" s="84">
        <f>VLOOKUP(A148,'2a. SI Pop'!$A$5:$E$198,5,FALSE)</f>
        <v>3</v>
      </c>
      <c r="F148" s="3">
        <v>0.96</v>
      </c>
      <c r="G148" s="3">
        <v>0.96</v>
      </c>
      <c r="H148" s="3">
        <v>0.96</v>
      </c>
      <c r="I148" s="3">
        <v>0.96</v>
      </c>
      <c r="J148" s="3">
        <v>0.96</v>
      </c>
      <c r="K148" s="3">
        <v>0.96</v>
      </c>
      <c r="L148" s="3">
        <v>0.96</v>
      </c>
      <c r="M148" s="3">
        <v>0.96</v>
      </c>
      <c r="N148" s="3">
        <v>0.96</v>
      </c>
      <c r="O148" s="3">
        <v>0.96</v>
      </c>
      <c r="P148" s="3">
        <v>0.96</v>
      </c>
      <c r="Q148" s="76"/>
    </row>
    <row r="149" spans="1:17">
      <c r="A149" s="84" t="s">
        <v>371</v>
      </c>
      <c r="B149" s="85" t="s">
        <v>370</v>
      </c>
      <c r="C149" s="85" t="s">
        <v>92</v>
      </c>
      <c r="D149" s="84" t="s">
        <v>87</v>
      </c>
      <c r="E149" s="84">
        <f>VLOOKUP(A149,'2a. SI Pop'!$A$5:$E$198,5,FALSE)</f>
        <v>1</v>
      </c>
      <c r="F149" s="3">
        <v>0.99</v>
      </c>
      <c r="G149" s="3">
        <v>0.99</v>
      </c>
      <c r="H149" s="3">
        <v>0.99</v>
      </c>
      <c r="I149" s="3">
        <v>0.99</v>
      </c>
      <c r="J149" s="3">
        <v>0.99</v>
      </c>
      <c r="K149" s="3">
        <v>0.99</v>
      </c>
      <c r="L149" s="3">
        <v>0.99</v>
      </c>
      <c r="M149" s="3">
        <v>0.99</v>
      </c>
      <c r="N149" s="3">
        <v>0.99</v>
      </c>
      <c r="O149" s="3">
        <v>0.99</v>
      </c>
      <c r="P149" s="3">
        <v>0.99</v>
      </c>
      <c r="Q149" s="76"/>
    </row>
    <row r="150" spans="1:17">
      <c r="A150" s="84" t="s">
        <v>373</v>
      </c>
      <c r="B150" s="85" t="s">
        <v>372</v>
      </c>
      <c r="C150" s="85" t="s">
        <v>92</v>
      </c>
      <c r="D150" s="84" t="s">
        <v>80</v>
      </c>
      <c r="E150" s="84">
        <f>VLOOKUP(A150,'2a. SI Pop'!$A$5:$E$198,5,FALSE)</f>
        <v>1</v>
      </c>
      <c r="F150" s="3">
        <v>0.85332059188015574</v>
      </c>
      <c r="G150" s="3">
        <v>0.85758719483955648</v>
      </c>
      <c r="H150" s="3">
        <v>0.86187513081375411</v>
      </c>
      <c r="I150" s="3">
        <v>0.86618450646782275</v>
      </c>
      <c r="J150" s="3">
        <v>0.87051542900016188</v>
      </c>
      <c r="K150" s="3">
        <v>0.87486800614516258</v>
      </c>
      <c r="L150" s="3">
        <v>0.87924234617588826</v>
      </c>
      <c r="M150" s="3">
        <v>0.88363855790676749</v>
      </c>
      <c r="N150" s="3">
        <v>0.8880567506963013</v>
      </c>
      <c r="O150" s="3">
        <v>0.89249703444978268</v>
      </c>
      <c r="P150" s="3">
        <v>0.89695951962203158</v>
      </c>
      <c r="Q150" s="76"/>
    </row>
    <row r="151" spans="1:17">
      <c r="A151" s="84" t="s">
        <v>375</v>
      </c>
      <c r="B151" s="85" t="s">
        <v>374</v>
      </c>
      <c r="C151" s="85" t="s">
        <v>92</v>
      </c>
      <c r="D151" s="84" t="s">
        <v>80</v>
      </c>
      <c r="E151" s="84">
        <f>VLOOKUP(A151,'2a. SI Pop'!$A$5:$E$198,5,FALSE)</f>
        <v>1</v>
      </c>
      <c r="F151" s="3">
        <v>0.99</v>
      </c>
      <c r="G151" s="3">
        <v>0.99</v>
      </c>
      <c r="H151" s="3">
        <v>0.99</v>
      </c>
      <c r="I151" s="3">
        <v>0.99</v>
      </c>
      <c r="J151" s="3">
        <v>0.99</v>
      </c>
      <c r="K151" s="3">
        <v>0.99</v>
      </c>
      <c r="L151" s="3">
        <v>0.99</v>
      </c>
      <c r="M151" s="3">
        <v>0.99</v>
      </c>
      <c r="N151" s="3">
        <v>0.99</v>
      </c>
      <c r="O151" s="3">
        <v>0.99</v>
      </c>
      <c r="P151" s="3">
        <v>0.99</v>
      </c>
      <c r="Q151" s="76"/>
    </row>
    <row r="152" spans="1:17">
      <c r="A152" s="84" t="s">
        <v>377</v>
      </c>
      <c r="B152" s="85" t="s">
        <v>376</v>
      </c>
      <c r="C152" s="85" t="s">
        <v>99</v>
      </c>
      <c r="D152" s="84" t="s">
        <v>80</v>
      </c>
      <c r="E152" s="84">
        <f>VLOOKUP(A152,'2a. SI Pop'!$A$5:$E$198,5,FALSE)</f>
        <v>2</v>
      </c>
      <c r="F152" s="3">
        <v>0.6090629031187561</v>
      </c>
      <c r="G152" s="3">
        <v>0.62733479021231886</v>
      </c>
      <c r="H152" s="3">
        <v>0.64615483391868844</v>
      </c>
      <c r="I152" s="3">
        <v>0.66553947893624921</v>
      </c>
      <c r="J152" s="3">
        <v>0.68550566330433671</v>
      </c>
      <c r="K152" s="3">
        <v>0.70607083320346675</v>
      </c>
      <c r="L152" s="3">
        <v>0.72725295819957081</v>
      </c>
      <c r="M152" s="3">
        <v>0.74907054694555797</v>
      </c>
      <c r="N152" s="3">
        <v>0.77154266335392474</v>
      </c>
      <c r="O152" s="3">
        <v>0.77925808998746404</v>
      </c>
      <c r="P152" s="3">
        <v>0.78705067088733871</v>
      </c>
      <c r="Q152" s="76"/>
    </row>
    <row r="153" spans="1:17">
      <c r="A153" s="84" t="s">
        <v>379</v>
      </c>
      <c r="B153" s="85" t="s">
        <v>378</v>
      </c>
      <c r="C153" s="85" t="s">
        <v>79</v>
      </c>
      <c r="D153" s="84" t="s">
        <v>87</v>
      </c>
      <c r="E153" s="84">
        <f>VLOOKUP(A153,'2a. SI Pop'!$A$5:$E$198,5,FALSE)</f>
        <v>1</v>
      </c>
      <c r="F153" s="3">
        <v>0.868352915599784</v>
      </c>
      <c r="G153" s="3">
        <v>0.87269468017778284</v>
      </c>
      <c r="H153" s="3">
        <v>0.87705815357867167</v>
      </c>
      <c r="I153" s="3">
        <v>0.88144344434656485</v>
      </c>
      <c r="J153" s="3">
        <v>0.88585066156829773</v>
      </c>
      <c r="K153" s="3">
        <v>0.890279914876139</v>
      </c>
      <c r="L153" s="3">
        <v>0.89473131445051957</v>
      </c>
      <c r="M153" s="3">
        <v>0.89920497102277208</v>
      </c>
      <c r="N153" s="3">
        <v>0.90370099587788588</v>
      </c>
      <c r="O153" s="3">
        <v>0.90821950085727521</v>
      </c>
      <c r="P153" s="3">
        <v>0.91276059836156154</v>
      </c>
      <c r="Q153" s="76"/>
    </row>
    <row r="154" spans="1:17">
      <c r="A154" s="84" t="s">
        <v>381</v>
      </c>
      <c r="B154" s="85" t="s">
        <v>380</v>
      </c>
      <c r="C154" s="85" t="s">
        <v>83</v>
      </c>
      <c r="D154" s="84" t="s">
        <v>84</v>
      </c>
      <c r="E154" s="84">
        <f>VLOOKUP(A154,'2a. SI Pop'!$A$5:$E$198,5,FALSE)</f>
        <v>3</v>
      </c>
      <c r="F154" s="3">
        <v>0.87717906539358192</v>
      </c>
      <c r="G154" s="3">
        <v>0.8815649607205498</v>
      </c>
      <c r="H154" s="3">
        <v>0.88597278552415248</v>
      </c>
      <c r="I154" s="3">
        <v>0.89040264945177316</v>
      </c>
      <c r="J154" s="3">
        <v>0.8948546626990318</v>
      </c>
      <c r="K154" s="3">
        <v>0.89932893601252684</v>
      </c>
      <c r="L154" s="3">
        <v>0.90382558069258934</v>
      </c>
      <c r="M154" s="3">
        <v>0.90834470859605221</v>
      </c>
      <c r="N154" s="3">
        <v>0.91288643213903231</v>
      </c>
      <c r="O154" s="3">
        <v>0.91745086429972733</v>
      </c>
      <c r="P154" s="3">
        <v>0.92203811862122576</v>
      </c>
      <c r="Q154" s="76"/>
    </row>
    <row r="155" spans="1:17">
      <c r="A155" s="84" t="s">
        <v>383</v>
      </c>
      <c r="B155" s="85" t="s">
        <v>382</v>
      </c>
      <c r="C155" s="85" t="s">
        <v>74</v>
      </c>
      <c r="D155" s="84" t="s">
        <v>87</v>
      </c>
      <c r="E155" s="84">
        <f>VLOOKUP(A155,'2a. SI Pop'!$A$5:$E$198,5,FALSE)</f>
        <v>1</v>
      </c>
      <c r="F155" s="3">
        <v>0.99</v>
      </c>
      <c r="G155" s="3">
        <v>0.99</v>
      </c>
      <c r="H155" s="3">
        <v>0.99</v>
      </c>
      <c r="I155" s="3">
        <v>0.99</v>
      </c>
      <c r="J155" s="3">
        <v>0.99</v>
      </c>
      <c r="K155" s="3">
        <v>0.99</v>
      </c>
      <c r="L155" s="3">
        <v>0.99</v>
      </c>
      <c r="M155" s="3">
        <v>0.99</v>
      </c>
      <c r="N155" s="3">
        <v>0.99</v>
      </c>
      <c r="O155" s="3">
        <v>0.99</v>
      </c>
      <c r="P155" s="3">
        <v>0.99</v>
      </c>
      <c r="Q155" s="76"/>
    </row>
    <row r="156" spans="1:17">
      <c r="A156" s="84" t="s">
        <v>385</v>
      </c>
      <c r="B156" s="85" t="s">
        <v>384</v>
      </c>
      <c r="C156" s="85" t="s">
        <v>83</v>
      </c>
      <c r="D156" s="84" t="s">
        <v>84</v>
      </c>
      <c r="E156" s="84">
        <f>VLOOKUP(A156,'2a. SI Pop'!$A$5:$E$198,5,FALSE)</f>
        <v>3</v>
      </c>
      <c r="F156" s="3">
        <v>0.86162658468355657</v>
      </c>
      <c r="G156" s="3">
        <v>0.86593471760697427</v>
      </c>
      <c r="H156" s="3">
        <v>0.87026439119500909</v>
      </c>
      <c r="I156" s="3">
        <v>0.87461571315098396</v>
      </c>
      <c r="J156" s="3">
        <v>0.87898879171673883</v>
      </c>
      <c r="K156" s="3">
        <v>0.88338373567532247</v>
      </c>
      <c r="L156" s="3">
        <v>0.88780065435369893</v>
      </c>
      <c r="M156" s="3">
        <v>0.89223965762546731</v>
      </c>
      <c r="N156" s="3">
        <v>0.8967008559135945</v>
      </c>
      <c r="O156" s="3">
        <v>0.90118436019316239</v>
      </c>
      <c r="P156" s="3">
        <v>0.90569028199412815</v>
      </c>
      <c r="Q156" s="76"/>
    </row>
    <row r="157" spans="1:17">
      <c r="A157" s="84" t="s">
        <v>387</v>
      </c>
      <c r="B157" s="85" t="s">
        <v>386</v>
      </c>
      <c r="C157" s="85" t="s">
        <v>79</v>
      </c>
      <c r="D157" s="84" t="s">
        <v>80</v>
      </c>
      <c r="E157" s="84">
        <f>VLOOKUP(A157,'2a. SI Pop'!$A$5:$E$198,5,FALSE)</f>
        <v>1</v>
      </c>
      <c r="F157" s="3">
        <v>0.96132020775790394</v>
      </c>
      <c r="G157" s="3">
        <v>0.96612680879669344</v>
      </c>
      <c r="H157" s="3">
        <v>0.97095744284067675</v>
      </c>
      <c r="I157" s="3">
        <v>0.97581223005487994</v>
      </c>
      <c r="J157" s="3">
        <v>0.9806912912051543</v>
      </c>
      <c r="K157" s="3">
        <v>0.98</v>
      </c>
      <c r="L157" s="3">
        <v>0.98</v>
      </c>
      <c r="M157" s="3">
        <v>0.98</v>
      </c>
      <c r="N157" s="3">
        <v>0.98</v>
      </c>
      <c r="O157" s="3">
        <v>0.98</v>
      </c>
      <c r="P157" s="3">
        <v>0.98</v>
      </c>
      <c r="Q157" s="76"/>
    </row>
    <row r="158" spans="1:17">
      <c r="A158" s="84" t="s">
        <v>389</v>
      </c>
      <c r="B158" s="85" t="s">
        <v>388</v>
      </c>
      <c r="C158" s="85" t="s">
        <v>83</v>
      </c>
      <c r="D158" s="84" t="s">
        <v>87</v>
      </c>
      <c r="E158" s="84">
        <f>VLOOKUP(A158,'2a. SI Pop'!$A$5:$E$198,5,FALSE)</f>
        <v>1</v>
      </c>
      <c r="F158" s="3">
        <v>0.99</v>
      </c>
      <c r="G158" s="3">
        <v>0.99</v>
      </c>
      <c r="H158" s="3">
        <v>0.99</v>
      </c>
      <c r="I158" s="3">
        <v>0.99</v>
      </c>
      <c r="J158" s="3">
        <v>0.99</v>
      </c>
      <c r="K158" s="3">
        <v>0.99</v>
      </c>
      <c r="L158" s="3">
        <v>0.99</v>
      </c>
      <c r="M158" s="3">
        <v>0.99</v>
      </c>
      <c r="N158" s="3">
        <v>0.99</v>
      </c>
      <c r="O158" s="3">
        <v>0.99</v>
      </c>
      <c r="P158" s="3">
        <v>0.99</v>
      </c>
      <c r="Q158" s="76"/>
    </row>
    <row r="159" spans="1:17">
      <c r="A159" s="84" t="s">
        <v>391</v>
      </c>
      <c r="B159" s="85" t="s">
        <v>390</v>
      </c>
      <c r="C159" s="85" t="s">
        <v>83</v>
      </c>
      <c r="D159" s="84" t="s">
        <v>75</v>
      </c>
      <c r="E159" s="84">
        <f>VLOOKUP(A159,'2a. SI Pop'!$A$5:$E$198,5,FALSE)</f>
        <v>3</v>
      </c>
      <c r="F159" s="3">
        <v>0.83540930816940373</v>
      </c>
      <c r="G159" s="3">
        <v>0.84376340125109772</v>
      </c>
      <c r="H159" s="3">
        <v>0.85220103526360869</v>
      </c>
      <c r="I159" s="3">
        <v>0.85646204043992669</v>
      </c>
      <c r="J159" s="3">
        <v>0.86074435064212618</v>
      </c>
      <c r="K159" s="3">
        <v>0.86504807239533676</v>
      </c>
      <c r="L159" s="3">
        <v>0.86937331275731333</v>
      </c>
      <c r="M159" s="3">
        <v>0.8737201793210998</v>
      </c>
      <c r="N159" s="3">
        <v>0.8780887802177052</v>
      </c>
      <c r="O159" s="3">
        <v>0.88247922411879376</v>
      </c>
      <c r="P159" s="3">
        <v>0.88689162023938761</v>
      </c>
      <c r="Q159" s="76"/>
    </row>
    <row r="160" spans="1:17">
      <c r="A160" s="84" t="s">
        <v>393</v>
      </c>
      <c r="B160" s="85" t="s">
        <v>392</v>
      </c>
      <c r="C160" s="85" t="s">
        <v>99</v>
      </c>
      <c r="D160" s="84" t="s">
        <v>87</v>
      </c>
      <c r="E160" s="84">
        <f>VLOOKUP(A160,'2a. SI Pop'!$A$5:$E$198,5,FALSE)</f>
        <v>1</v>
      </c>
      <c r="F160" s="3">
        <v>0.89622404070013928</v>
      </c>
      <c r="G160" s="3">
        <v>0.90070516090363995</v>
      </c>
      <c r="H160" s="3">
        <v>0.90520868670815802</v>
      </c>
      <c r="I160" s="3">
        <v>0.9097347301416987</v>
      </c>
      <c r="J160" s="3">
        <v>0.91428340379240713</v>
      </c>
      <c r="K160" s="3">
        <v>0.91885482081136904</v>
      </c>
      <c r="L160" s="3">
        <v>0.92344909491542582</v>
      </c>
      <c r="M160" s="3">
        <v>0.92806634039000291</v>
      </c>
      <c r="N160" s="3">
        <v>0.93270667209195279</v>
      </c>
      <c r="O160" s="3">
        <v>0.93737020545241245</v>
      </c>
      <c r="P160" s="3">
        <v>0.94205705647967453</v>
      </c>
      <c r="Q160" s="76"/>
    </row>
    <row r="161" spans="1:17">
      <c r="A161" s="84" t="s">
        <v>395</v>
      </c>
      <c r="B161" s="85" t="s">
        <v>394</v>
      </c>
      <c r="C161" s="85" t="s">
        <v>79</v>
      </c>
      <c r="D161" s="84" t="s">
        <v>87</v>
      </c>
      <c r="E161" s="84">
        <f>VLOOKUP(A161,'2a. SI Pop'!$A$5:$E$198,5,FALSE)</f>
        <v>1</v>
      </c>
      <c r="F161" s="3">
        <v>0.99</v>
      </c>
      <c r="G161" s="3">
        <v>0.99</v>
      </c>
      <c r="H161" s="3">
        <v>0.99</v>
      </c>
      <c r="I161" s="3">
        <v>0.99</v>
      </c>
      <c r="J161" s="3">
        <v>0.99</v>
      </c>
      <c r="K161" s="3">
        <v>0.99</v>
      </c>
      <c r="L161" s="3">
        <v>0.99</v>
      </c>
      <c r="M161" s="3">
        <v>0.99</v>
      </c>
      <c r="N161" s="3">
        <v>0.99</v>
      </c>
      <c r="O161" s="3">
        <v>0.99</v>
      </c>
      <c r="P161" s="3">
        <v>0.99</v>
      </c>
      <c r="Q161" s="76"/>
    </row>
    <row r="162" spans="1:17">
      <c r="A162" s="84" t="s">
        <v>397</v>
      </c>
      <c r="B162" s="85" t="s">
        <v>396</v>
      </c>
      <c r="C162" s="85" t="s">
        <v>79</v>
      </c>
      <c r="D162" s="84" t="s">
        <v>87</v>
      </c>
      <c r="E162" s="84">
        <f>VLOOKUP(A162,'2a. SI Pop'!$A$5:$E$198,5,FALSE)</f>
        <v>1</v>
      </c>
      <c r="F162" s="3">
        <v>0.99301208273893382</v>
      </c>
      <c r="G162" s="3">
        <v>0.99</v>
      </c>
      <c r="H162" s="3">
        <v>0.99</v>
      </c>
      <c r="I162" s="3">
        <v>0.99</v>
      </c>
      <c r="J162" s="3">
        <v>0.99</v>
      </c>
      <c r="K162" s="3">
        <v>0.99</v>
      </c>
      <c r="L162" s="3">
        <v>0.99</v>
      </c>
      <c r="M162" s="3">
        <v>0.99</v>
      </c>
      <c r="N162" s="3">
        <v>0.99</v>
      </c>
      <c r="O162" s="3">
        <v>0.99</v>
      </c>
      <c r="P162" s="3">
        <v>0.99</v>
      </c>
      <c r="Q162" s="76"/>
    </row>
    <row r="163" spans="1:17">
      <c r="A163" s="84" t="s">
        <v>399</v>
      </c>
      <c r="B163" s="85" t="s">
        <v>398</v>
      </c>
      <c r="C163" s="85" t="s">
        <v>74</v>
      </c>
      <c r="D163" s="84" t="s">
        <v>75</v>
      </c>
      <c r="E163" s="84">
        <f>VLOOKUP(A163,'2a. SI Pop'!$A$5:$E$198,5,FALSE)</f>
        <v>3</v>
      </c>
      <c r="F163" s="3">
        <v>0.53985120958253385</v>
      </c>
      <c r="G163" s="3">
        <v>0.55604674587000991</v>
      </c>
      <c r="H163" s="3">
        <v>0.57272814824611018</v>
      </c>
      <c r="I163" s="3">
        <v>0.58990999269349353</v>
      </c>
      <c r="J163" s="3">
        <v>0.60760729247429834</v>
      </c>
      <c r="K163" s="3">
        <v>0.62583551124852732</v>
      </c>
      <c r="L163" s="3">
        <v>0.6446105765859832</v>
      </c>
      <c r="M163" s="3">
        <v>0.66394889388356271</v>
      </c>
      <c r="N163" s="3">
        <v>0.68386736070006959</v>
      </c>
      <c r="O163" s="3">
        <v>0.70438338152107183</v>
      </c>
      <c r="P163" s="3">
        <v>0.72551488296670397</v>
      </c>
      <c r="Q163" s="76"/>
    </row>
    <row r="164" spans="1:17">
      <c r="A164" s="84" t="s">
        <v>401</v>
      </c>
      <c r="B164" s="85" t="s">
        <v>400</v>
      </c>
      <c r="C164" s="85" t="s">
        <v>99</v>
      </c>
      <c r="D164" s="84" t="s">
        <v>84</v>
      </c>
      <c r="E164" s="84">
        <f>VLOOKUP(A164,'2a. SI Pop'!$A$5:$E$198,5,FALSE)</f>
        <v>4</v>
      </c>
      <c r="F164" s="3">
        <v>0.74748629019120083</v>
      </c>
      <c r="G164" s="3">
        <v>0.76991087889693688</v>
      </c>
      <c r="H164" s="3">
        <v>0.77760998768590628</v>
      </c>
      <c r="I164" s="3">
        <v>0.78538608756276529</v>
      </c>
      <c r="J164" s="3">
        <v>0.79323994843839296</v>
      </c>
      <c r="K164" s="3">
        <v>0.80117234792277703</v>
      </c>
      <c r="L164" s="3">
        <v>0.80918407140200477</v>
      </c>
      <c r="M164" s="3">
        <v>0.81727591211602468</v>
      </c>
      <c r="N164" s="3">
        <v>0.82544867123718502</v>
      </c>
      <c r="O164" s="3">
        <v>0.83370315794955685</v>
      </c>
      <c r="P164" s="3">
        <v>0.84204018952905246</v>
      </c>
      <c r="Q164" s="76"/>
    </row>
    <row r="165" spans="1:17">
      <c r="A165" s="84" t="s">
        <v>403</v>
      </c>
      <c r="B165" s="85" t="s">
        <v>402</v>
      </c>
      <c r="C165" s="85" t="s">
        <v>83</v>
      </c>
      <c r="D165" s="84" t="s">
        <v>80</v>
      </c>
      <c r="E165" s="84" t="str">
        <f>VLOOKUP(A165,'2a. SI Pop'!$A$5:$E$198,5,FALSE)</f>
        <v>Key</v>
      </c>
      <c r="F165" s="3">
        <v>0.74748629019120083</v>
      </c>
      <c r="G165" s="3">
        <v>0.76991087889693688</v>
      </c>
      <c r="H165" s="3">
        <v>0.77760998768590628</v>
      </c>
      <c r="I165" s="3">
        <v>0.78538608756276529</v>
      </c>
      <c r="J165" s="3">
        <v>0.79323994843839296</v>
      </c>
      <c r="K165" s="3">
        <v>0.80117234792277703</v>
      </c>
      <c r="L165" s="3">
        <v>0.80918407140200477</v>
      </c>
      <c r="M165" s="3">
        <v>0.81727591211602468</v>
      </c>
      <c r="N165" s="3">
        <v>0.82544867123718502</v>
      </c>
      <c r="O165" s="3">
        <v>0.83370315794955685</v>
      </c>
      <c r="P165" s="3">
        <v>0.84204018952905246</v>
      </c>
      <c r="Q165" s="76"/>
    </row>
    <row r="166" spans="1:17">
      <c r="A166" s="84" t="s">
        <v>405</v>
      </c>
      <c r="B166" s="85" t="s">
        <v>404</v>
      </c>
      <c r="C166" s="85" t="s">
        <v>79</v>
      </c>
      <c r="D166" s="84" t="s">
        <v>87</v>
      </c>
      <c r="E166" s="84">
        <f>VLOOKUP(A166,'2a. SI Pop'!$A$5:$E$198,5,FALSE)</f>
        <v>1</v>
      </c>
      <c r="F166" s="3">
        <v>0.95474999999999999</v>
      </c>
      <c r="G166" s="3">
        <v>0.95</v>
      </c>
      <c r="H166" s="3">
        <v>0.95474999999999999</v>
      </c>
      <c r="I166" s="3">
        <v>0.95</v>
      </c>
      <c r="J166" s="3">
        <v>0.95474999999999999</v>
      </c>
      <c r="K166" s="3">
        <v>0.95</v>
      </c>
      <c r="L166" s="3">
        <v>0.95474999999999999</v>
      </c>
      <c r="M166" s="3">
        <v>0.95</v>
      </c>
      <c r="N166" s="3">
        <v>0.95474999999999999</v>
      </c>
      <c r="O166" s="3">
        <v>0.95</v>
      </c>
      <c r="P166" s="3">
        <v>0.95474999999999999</v>
      </c>
      <c r="Q166" s="76"/>
    </row>
    <row r="167" spans="1:17">
      <c r="A167" s="84" t="s">
        <v>407</v>
      </c>
      <c r="B167" s="85" t="s">
        <v>406</v>
      </c>
      <c r="C167" s="85" t="s">
        <v>110</v>
      </c>
      <c r="D167" s="84" t="s">
        <v>84</v>
      </c>
      <c r="E167" s="84">
        <f>VLOOKUP(A167,'2a. SI Pop'!$A$5:$E$198,5,FALSE)</f>
        <v>2</v>
      </c>
      <c r="F167" s="3">
        <v>0.99</v>
      </c>
      <c r="G167" s="3">
        <v>0.99</v>
      </c>
      <c r="H167" s="3">
        <v>0.99</v>
      </c>
      <c r="I167" s="3">
        <v>0.99</v>
      </c>
      <c r="J167" s="3">
        <v>0.99</v>
      </c>
      <c r="K167" s="3">
        <v>0.99</v>
      </c>
      <c r="L167" s="3">
        <v>0.99</v>
      </c>
      <c r="M167" s="3">
        <v>0.99</v>
      </c>
      <c r="N167" s="3">
        <v>0.99</v>
      </c>
      <c r="O167" s="3">
        <v>0.99</v>
      </c>
      <c r="P167" s="3">
        <v>0.99</v>
      </c>
      <c r="Q167" s="76"/>
    </row>
    <row r="168" spans="1:17">
      <c r="A168" s="84" t="s">
        <v>409</v>
      </c>
      <c r="B168" s="85" t="s">
        <v>408</v>
      </c>
      <c r="C168" s="85" t="s">
        <v>74</v>
      </c>
      <c r="D168" s="84" t="s">
        <v>75</v>
      </c>
      <c r="E168" s="84">
        <f>VLOOKUP(A168,'2a. SI Pop'!$A$5:$E$198,5,FALSE)</f>
        <v>3</v>
      </c>
      <c r="F168" s="3">
        <v>0.84194298398842005</v>
      </c>
      <c r="G168" s="3">
        <v>0.85036241382830424</v>
      </c>
      <c r="H168" s="3">
        <v>0.85461422589744573</v>
      </c>
      <c r="I168" s="3">
        <v>0.85888729702693278</v>
      </c>
      <c r="J168" s="3">
        <v>0.8631817335120674</v>
      </c>
      <c r="K168" s="3">
        <v>0.86749764217962766</v>
      </c>
      <c r="L168" s="3">
        <v>0.87183513039052574</v>
      </c>
      <c r="M168" s="3">
        <v>0.87619430604247828</v>
      </c>
      <c r="N168" s="3">
        <v>0.88057527757269061</v>
      </c>
      <c r="O168" s="3">
        <v>0.8849781539605539</v>
      </c>
      <c r="P168" s="3">
        <v>0.88940304473035647</v>
      </c>
      <c r="Q168" s="76"/>
    </row>
    <row r="169" spans="1:17">
      <c r="A169" s="84" t="s">
        <v>411</v>
      </c>
      <c r="B169" s="85" t="s">
        <v>410</v>
      </c>
      <c r="C169" s="85" t="s">
        <v>74</v>
      </c>
      <c r="D169" s="84" t="s">
        <v>75</v>
      </c>
      <c r="E169" s="84">
        <f>VLOOKUP(A169,'2a. SI Pop'!$A$5:$E$198,5,FALSE)</f>
        <v>3</v>
      </c>
      <c r="F169" s="3">
        <v>0.58137822570426723</v>
      </c>
      <c r="G169" s="3">
        <v>0.5988195724753953</v>
      </c>
      <c r="H169" s="3">
        <v>0.61678415964965716</v>
      </c>
      <c r="I169" s="3">
        <v>0.63528768443914685</v>
      </c>
      <c r="J169" s="3">
        <v>0.65434631497232132</v>
      </c>
      <c r="K169" s="3">
        <v>0.67397670442149094</v>
      </c>
      <c r="L169" s="3">
        <v>0.69419600555413563</v>
      </c>
      <c r="M169" s="3">
        <v>0.71502188572075975</v>
      </c>
      <c r="N169" s="3">
        <v>0.73647254229238257</v>
      </c>
      <c r="O169" s="3">
        <v>0.7585667185611541</v>
      </c>
      <c r="P169" s="3">
        <v>0.7661523857467657</v>
      </c>
      <c r="Q169" s="76"/>
    </row>
    <row r="170" spans="1:17">
      <c r="A170" s="84" t="s">
        <v>413</v>
      </c>
      <c r="B170" s="85" t="s">
        <v>412</v>
      </c>
      <c r="C170" s="85" t="s">
        <v>92</v>
      </c>
      <c r="D170" s="84" t="s">
        <v>80</v>
      </c>
      <c r="E170" s="84">
        <f>VLOOKUP(A170,'2a. SI Pop'!$A$5:$E$198,5,FALSE)</f>
        <v>1</v>
      </c>
      <c r="F170" s="3">
        <v>0.77197949239804364</v>
      </c>
      <c r="G170" s="3">
        <v>0.77969928732202409</v>
      </c>
      <c r="H170" s="3">
        <v>0.7874962801952442</v>
      </c>
      <c r="I170" s="3">
        <v>0.79537124299719664</v>
      </c>
      <c r="J170" s="3">
        <v>0.80332495542716853</v>
      </c>
      <c r="K170" s="3">
        <v>0.81135820498144029</v>
      </c>
      <c r="L170" s="3">
        <v>0.81947178703125478</v>
      </c>
      <c r="M170" s="3">
        <v>0.82766650490156735</v>
      </c>
      <c r="N170" s="3">
        <v>0.83594316995058304</v>
      </c>
      <c r="O170" s="3">
        <v>0.84430260165008886</v>
      </c>
      <c r="P170" s="3">
        <v>0.85274562766658979</v>
      </c>
      <c r="Q170" s="76"/>
    </row>
    <row r="171" spans="1:17">
      <c r="A171" s="84" t="s">
        <v>415</v>
      </c>
      <c r="B171" s="85" t="s">
        <v>414</v>
      </c>
      <c r="C171" s="85" t="s">
        <v>83</v>
      </c>
      <c r="D171" s="84" t="s">
        <v>84</v>
      </c>
      <c r="E171" s="84">
        <f>VLOOKUP(A171,'2a. SI Pop'!$A$5:$E$198,5,FALSE)</f>
        <v>3</v>
      </c>
      <c r="F171" s="3">
        <v>0.85332059188015574</v>
      </c>
      <c r="G171" s="3">
        <v>0.85758719483955648</v>
      </c>
      <c r="H171" s="3">
        <v>0.86187513081375411</v>
      </c>
      <c r="I171" s="3">
        <v>0.86618450646782275</v>
      </c>
      <c r="J171" s="3">
        <v>0.87051542900016188</v>
      </c>
      <c r="K171" s="3">
        <v>0.87486800614516258</v>
      </c>
      <c r="L171" s="3">
        <v>0.87924234617588826</v>
      </c>
      <c r="M171" s="3">
        <v>0.88363855790676749</v>
      </c>
      <c r="N171" s="3">
        <v>0.8880567506963013</v>
      </c>
      <c r="O171" s="3">
        <v>0.89249703444978268</v>
      </c>
      <c r="P171" s="3">
        <v>0.89695951962203158</v>
      </c>
      <c r="Q171" s="76"/>
    </row>
    <row r="172" spans="1:17">
      <c r="A172" s="84" t="s">
        <v>417</v>
      </c>
      <c r="B172" s="85" t="s">
        <v>416</v>
      </c>
      <c r="C172" s="85" t="s">
        <v>79</v>
      </c>
      <c r="D172" s="84" t="s">
        <v>87</v>
      </c>
      <c r="E172" s="84">
        <f>VLOOKUP(A172,'2a. SI Pop'!$A$5:$E$198,5,FALSE)</f>
        <v>1</v>
      </c>
      <c r="F172" s="3">
        <v>0.95474999999999999</v>
      </c>
      <c r="G172" s="3">
        <v>0.95</v>
      </c>
      <c r="H172" s="3">
        <v>0.95474999999999999</v>
      </c>
      <c r="I172" s="3">
        <v>0.95</v>
      </c>
      <c r="J172" s="3">
        <v>0.95474999999999999</v>
      </c>
      <c r="K172" s="3">
        <v>0.95</v>
      </c>
      <c r="L172" s="3">
        <v>0.95474999999999999</v>
      </c>
      <c r="M172" s="3">
        <v>0.95</v>
      </c>
      <c r="N172" s="3">
        <v>0.95474999999999999</v>
      </c>
      <c r="O172" s="3">
        <v>0.95</v>
      </c>
      <c r="P172" s="3">
        <v>0.95474999999999999</v>
      </c>
      <c r="Q172" s="76"/>
    </row>
    <row r="173" spans="1:17">
      <c r="A173" s="84" t="s">
        <v>419</v>
      </c>
      <c r="B173" s="85" t="s">
        <v>418</v>
      </c>
      <c r="C173" s="85" t="s">
        <v>79</v>
      </c>
      <c r="D173" s="84" t="s">
        <v>87</v>
      </c>
      <c r="E173" s="84">
        <f>VLOOKUP(A173,'2a. SI Pop'!$A$5:$E$198,5,FALSE)</f>
        <v>1</v>
      </c>
      <c r="F173" s="3">
        <v>0.95075624943089398</v>
      </c>
      <c r="G173" s="3">
        <v>0.95</v>
      </c>
      <c r="H173" s="3">
        <v>0.95</v>
      </c>
      <c r="I173" s="3">
        <v>0.95</v>
      </c>
      <c r="J173" s="3">
        <v>0.95</v>
      </c>
      <c r="K173" s="3">
        <v>0.95</v>
      </c>
      <c r="L173" s="3">
        <v>0.95</v>
      </c>
      <c r="M173" s="3">
        <v>0.95</v>
      </c>
      <c r="N173" s="3">
        <v>0.95</v>
      </c>
      <c r="O173" s="3">
        <v>0.95</v>
      </c>
      <c r="P173" s="3">
        <v>0.95</v>
      </c>
      <c r="Q173" s="76"/>
    </row>
    <row r="174" spans="1:17">
      <c r="A174" s="84" t="s">
        <v>421</v>
      </c>
      <c r="B174" s="85" t="s">
        <v>420</v>
      </c>
      <c r="C174" s="85" t="s">
        <v>74</v>
      </c>
      <c r="D174" s="84" t="s">
        <v>75</v>
      </c>
      <c r="E174" s="84">
        <f>VLOOKUP(A174,'2a. SI Pop'!$A$5:$E$198,5,FALSE)</f>
        <v>2</v>
      </c>
      <c r="F174" s="3">
        <v>0.74748629019120083</v>
      </c>
      <c r="G174" s="3">
        <v>0.76991087889693688</v>
      </c>
      <c r="H174" s="3">
        <v>0.77760998768590628</v>
      </c>
      <c r="I174" s="3">
        <v>0.78538608756276529</v>
      </c>
      <c r="J174" s="3">
        <v>0.79323994843839296</v>
      </c>
      <c r="K174" s="3">
        <v>0.80117234792277703</v>
      </c>
      <c r="L174" s="3">
        <v>0.80918407140200477</v>
      </c>
      <c r="M174" s="3">
        <v>0.81727591211602468</v>
      </c>
      <c r="N174" s="3">
        <v>0.82544867123718502</v>
      </c>
      <c r="O174" s="3">
        <v>0.83370315794955685</v>
      </c>
      <c r="P174" s="3">
        <v>0.84204018952905246</v>
      </c>
      <c r="Q174" s="76"/>
    </row>
    <row r="175" spans="1:17">
      <c r="A175" s="84" t="s">
        <v>423</v>
      </c>
      <c r="B175" s="85" t="s">
        <v>422</v>
      </c>
      <c r="C175" s="85" t="s">
        <v>83</v>
      </c>
      <c r="D175" s="84" t="s">
        <v>84</v>
      </c>
      <c r="E175" s="84" t="str">
        <f>VLOOKUP(A175,'2a. SI Pop'!$A$5:$E$198,5,FALSE)</f>
        <v>Key</v>
      </c>
      <c r="F175" s="3">
        <v>0.83540930816940373</v>
      </c>
      <c r="G175" s="3">
        <v>0.84376340125109772</v>
      </c>
      <c r="H175" s="3">
        <v>0.85220103526360869</v>
      </c>
      <c r="I175" s="3">
        <v>0.85646204043992669</v>
      </c>
      <c r="J175" s="3">
        <v>0.86074435064212618</v>
      </c>
      <c r="K175" s="3">
        <v>0.86504807239533676</v>
      </c>
      <c r="L175" s="3">
        <v>0.86937331275731333</v>
      </c>
      <c r="M175" s="3">
        <v>0.8737201793210998</v>
      </c>
      <c r="N175" s="3">
        <v>0.8780887802177052</v>
      </c>
      <c r="O175" s="3">
        <v>0.88247922411879376</v>
      </c>
      <c r="P175" s="3">
        <v>0.88689162023938761</v>
      </c>
      <c r="Q175" s="76"/>
    </row>
    <row r="176" spans="1:17">
      <c r="A176" s="84" t="s">
        <v>425</v>
      </c>
      <c r="B176" s="85" t="s">
        <v>424</v>
      </c>
      <c r="C176" s="85" t="s">
        <v>79</v>
      </c>
      <c r="D176" s="84" t="s">
        <v>75</v>
      </c>
      <c r="E176" s="84">
        <f>VLOOKUP(A176,'2a. SI Pop'!$A$5:$E$198,5,FALSE)</f>
        <v>2</v>
      </c>
      <c r="F176" s="3">
        <v>0.98</v>
      </c>
      <c r="G176" s="3">
        <v>0.98</v>
      </c>
      <c r="H176" s="3">
        <v>0.98</v>
      </c>
      <c r="I176" s="3">
        <v>0.98</v>
      </c>
      <c r="J176" s="3">
        <v>0.98</v>
      </c>
      <c r="K176" s="3">
        <v>0.98</v>
      </c>
      <c r="L176" s="3">
        <v>0.98</v>
      </c>
      <c r="M176" s="3">
        <v>0.98</v>
      </c>
      <c r="N176" s="3">
        <v>0.98</v>
      </c>
      <c r="O176" s="3">
        <v>0.98</v>
      </c>
      <c r="P176" s="3">
        <v>0.98</v>
      </c>
      <c r="Q176" s="76"/>
    </row>
    <row r="177" spans="1:17">
      <c r="A177" s="84" t="s">
        <v>427</v>
      </c>
      <c r="B177" s="85" t="s">
        <v>426</v>
      </c>
      <c r="C177" s="85" t="s">
        <v>110</v>
      </c>
      <c r="D177" s="84" t="s">
        <v>80</v>
      </c>
      <c r="E177" s="84">
        <f>VLOOKUP(A177,'2a. SI Pop'!$A$5:$E$198,5,FALSE)</f>
        <v>1</v>
      </c>
      <c r="F177" s="3">
        <v>0.91906437444986433</v>
      </c>
      <c r="G177" s="3">
        <v>0.92365969632211364</v>
      </c>
      <c r="H177" s="3">
        <v>0.92827799480372408</v>
      </c>
      <c r="I177" s="3">
        <v>0.9329193847777425</v>
      </c>
      <c r="J177" s="3">
        <v>0.93758398170163115</v>
      </c>
      <c r="K177" s="3">
        <v>0.94227190161013918</v>
      </c>
      <c r="L177" s="3">
        <v>0.94698326111818987</v>
      </c>
      <c r="M177" s="3">
        <v>0.95171817742378062</v>
      </c>
      <c r="N177" s="3">
        <v>0.95647676831089956</v>
      </c>
      <c r="O177" s="3">
        <v>0.96125915215245394</v>
      </c>
      <c r="P177" s="3">
        <v>0.96606544791321614</v>
      </c>
      <c r="Q177" s="76"/>
    </row>
    <row r="178" spans="1:17">
      <c r="A178" s="84" t="s">
        <v>429</v>
      </c>
      <c r="B178" s="85" t="s">
        <v>428</v>
      </c>
      <c r="C178" s="85" t="s">
        <v>110</v>
      </c>
      <c r="D178" s="84" t="s">
        <v>84</v>
      </c>
      <c r="E178" s="84">
        <f>VLOOKUP(A178,'2a. SI Pop'!$A$5:$E$198,5,FALSE)</f>
        <v>4</v>
      </c>
      <c r="F178" s="3">
        <v>0.87499153295178134</v>
      </c>
      <c r="G178" s="3">
        <v>0.87936649061654004</v>
      </c>
      <c r="H178" s="3">
        <v>0.88376332306962269</v>
      </c>
      <c r="I178" s="3">
        <v>0.88818213968497073</v>
      </c>
      <c r="J178" s="3">
        <v>0.89262305038339551</v>
      </c>
      <c r="K178" s="3">
        <v>0.8970861656353124</v>
      </c>
      <c r="L178" s="3">
        <v>0.90157159646348883</v>
      </c>
      <c r="M178" s="3">
        <v>0.90607945444580618</v>
      </c>
      <c r="N178" s="3">
        <v>0.9106098517180351</v>
      </c>
      <c r="O178" s="3">
        <v>0.91516290097662523</v>
      </c>
      <c r="P178" s="3">
        <v>0.91973871548150821</v>
      </c>
      <c r="Q178" s="76"/>
    </row>
    <row r="179" spans="1:17">
      <c r="A179" s="84" t="s">
        <v>431</v>
      </c>
      <c r="B179" s="85" t="s">
        <v>430</v>
      </c>
      <c r="C179" s="85" t="s">
        <v>83</v>
      </c>
      <c r="D179" s="84" t="s">
        <v>75</v>
      </c>
      <c r="E179" s="84">
        <f>VLOOKUP(A179,'2a. SI Pop'!$A$5:$E$198,5,FALSE)</f>
        <v>3</v>
      </c>
      <c r="F179" s="3">
        <v>0.80848751548695774</v>
      </c>
      <c r="G179" s="3">
        <v>0.81657239064182729</v>
      </c>
      <c r="H179" s="3">
        <v>0.82473811454824553</v>
      </c>
      <c r="I179" s="3">
        <v>0.83298549569372793</v>
      </c>
      <c r="J179" s="3">
        <v>0.84131535065066532</v>
      </c>
      <c r="K179" s="3">
        <v>0.84972850415717194</v>
      </c>
      <c r="L179" s="3">
        <v>0.85822578919874359</v>
      </c>
      <c r="M179" s="3">
        <v>0.86251691814473719</v>
      </c>
      <c r="N179" s="3">
        <v>0.86682950273546067</v>
      </c>
      <c r="O179" s="3">
        <v>0.87116365024913789</v>
      </c>
      <c r="P179" s="3">
        <v>0.87551946850038354</v>
      </c>
      <c r="Q179" s="76"/>
    </row>
    <row r="180" spans="1:17">
      <c r="A180" s="84" t="s">
        <v>433</v>
      </c>
      <c r="B180" s="85" t="s">
        <v>432</v>
      </c>
      <c r="C180" s="85" t="s">
        <v>99</v>
      </c>
      <c r="D180" s="84" t="s">
        <v>80</v>
      </c>
      <c r="E180" s="84">
        <f>VLOOKUP(A180,'2a. SI Pop'!$A$5:$E$198,5,FALSE)</f>
        <v>1</v>
      </c>
      <c r="F180" s="3">
        <v>0.99</v>
      </c>
      <c r="G180" s="3">
        <v>0.99</v>
      </c>
      <c r="H180" s="3">
        <v>0.99</v>
      </c>
      <c r="I180" s="3">
        <v>0.99</v>
      </c>
      <c r="J180" s="3">
        <v>0.99</v>
      </c>
      <c r="K180" s="3">
        <v>0.99</v>
      </c>
      <c r="L180" s="3">
        <v>0.99</v>
      </c>
      <c r="M180" s="3">
        <v>0.99</v>
      </c>
      <c r="N180" s="3">
        <v>0.99</v>
      </c>
      <c r="O180" s="3">
        <v>0.99</v>
      </c>
      <c r="P180" s="3">
        <v>0.99</v>
      </c>
      <c r="Q180" s="76"/>
    </row>
    <row r="181" spans="1:17">
      <c r="A181" s="84" t="s">
        <v>435</v>
      </c>
      <c r="B181" s="85" t="s">
        <v>434</v>
      </c>
      <c r="C181" s="85" t="s">
        <v>92</v>
      </c>
      <c r="D181" s="84" t="s">
        <v>87</v>
      </c>
      <c r="E181" s="84">
        <f>VLOOKUP(A181,'2a. SI Pop'!$A$5:$E$198,5,FALSE)</f>
        <v>1</v>
      </c>
      <c r="F181" s="3">
        <v>0.95</v>
      </c>
      <c r="G181" s="3">
        <v>0.95</v>
      </c>
      <c r="H181" s="3">
        <v>0.95</v>
      </c>
      <c r="I181" s="3">
        <v>0.95</v>
      </c>
      <c r="J181" s="3">
        <v>0.95</v>
      </c>
      <c r="K181" s="3">
        <v>0.95</v>
      </c>
      <c r="L181" s="3">
        <v>0.95</v>
      </c>
      <c r="M181" s="3">
        <v>0.95</v>
      </c>
      <c r="N181" s="3">
        <v>0.95</v>
      </c>
      <c r="O181" s="3">
        <v>0.95</v>
      </c>
      <c r="P181" s="3">
        <v>0.95</v>
      </c>
      <c r="Q181" s="76"/>
    </row>
    <row r="182" spans="1:17">
      <c r="A182" s="84" t="s">
        <v>437</v>
      </c>
      <c r="B182" s="85" t="s">
        <v>436</v>
      </c>
      <c r="C182" s="85" t="s">
        <v>74</v>
      </c>
      <c r="D182" s="84" t="s">
        <v>84</v>
      </c>
      <c r="E182" s="84">
        <f>VLOOKUP(A182,'2a. SI Pop'!$A$5:$E$198,5,FALSE)</f>
        <v>3</v>
      </c>
      <c r="F182" s="3">
        <v>0.98244812441192375</v>
      </c>
      <c r="G182" s="3">
        <v>0.98736036503398339</v>
      </c>
      <c r="H182" s="3">
        <v>0.99229716685915326</v>
      </c>
      <c r="I182" s="3">
        <v>0.99</v>
      </c>
      <c r="J182" s="3">
        <v>0.99</v>
      </c>
      <c r="K182" s="3">
        <v>0.99</v>
      </c>
      <c r="L182" s="3">
        <v>0.99</v>
      </c>
      <c r="M182" s="3">
        <v>0.99</v>
      </c>
      <c r="N182" s="3">
        <v>0.99</v>
      </c>
      <c r="O182" s="3">
        <v>0.99</v>
      </c>
      <c r="P182" s="3">
        <v>0.99</v>
      </c>
      <c r="Q182" s="76"/>
    </row>
    <row r="183" spans="1:17">
      <c r="A183" s="84" t="s">
        <v>439</v>
      </c>
      <c r="B183" s="85" t="s">
        <v>438</v>
      </c>
      <c r="C183" s="85" t="s">
        <v>79</v>
      </c>
      <c r="D183" s="84" t="s">
        <v>80</v>
      </c>
      <c r="E183" s="84">
        <f>VLOOKUP(A183,'2a. SI Pop'!$A$5:$E$198,5,FALSE)</f>
        <v>1</v>
      </c>
      <c r="F183" s="3">
        <v>0.92962833277687418</v>
      </c>
      <c r="G183" s="3">
        <v>0.93427647444075845</v>
      </c>
      <c r="H183" s="3">
        <v>0.93894785681296211</v>
      </c>
      <c r="I183" s="3">
        <v>0.94364259609702683</v>
      </c>
      <c r="J183" s="3">
        <v>0.94836080907751186</v>
      </c>
      <c r="K183" s="3">
        <v>0.95310261312289923</v>
      </c>
      <c r="L183" s="3">
        <v>0.95786812618851358</v>
      </c>
      <c r="M183" s="3">
        <v>0.96265746681945596</v>
      </c>
      <c r="N183" s="3">
        <v>0.9674707541535531</v>
      </c>
      <c r="O183" s="3">
        <v>0.97230810792432076</v>
      </c>
      <c r="P183" s="3">
        <v>0.97716964846394239</v>
      </c>
      <c r="Q183" s="76"/>
    </row>
    <row r="184" spans="1:17">
      <c r="A184" s="84" t="s">
        <v>441</v>
      </c>
      <c r="B184" s="85" t="s">
        <v>440</v>
      </c>
      <c r="C184" s="85" t="s">
        <v>79</v>
      </c>
      <c r="D184" s="84" t="s">
        <v>80</v>
      </c>
      <c r="E184" s="84">
        <f>VLOOKUP(A184,'2a. SI Pop'!$A$5:$E$198,5,FALSE)</f>
        <v>1</v>
      </c>
      <c r="F184" s="3">
        <v>0.99</v>
      </c>
      <c r="G184" s="3">
        <v>0.99</v>
      </c>
      <c r="H184" s="3">
        <v>0.99</v>
      </c>
      <c r="I184" s="3">
        <v>0.99</v>
      </c>
      <c r="J184" s="3">
        <v>0.99</v>
      </c>
      <c r="K184" s="3">
        <v>0.99</v>
      </c>
      <c r="L184" s="3">
        <v>0.99</v>
      </c>
      <c r="M184" s="3">
        <v>0.99</v>
      </c>
      <c r="N184" s="3">
        <v>0.99</v>
      </c>
      <c r="O184" s="3">
        <v>0.99</v>
      </c>
      <c r="P184" s="3">
        <v>0.99</v>
      </c>
      <c r="Q184" s="76"/>
    </row>
    <row r="185" spans="1:17">
      <c r="A185" s="84" t="s">
        <v>443</v>
      </c>
      <c r="B185" s="85" t="s">
        <v>442</v>
      </c>
      <c r="C185" s="85" t="s">
        <v>99</v>
      </c>
      <c r="D185" s="84" t="s">
        <v>80</v>
      </c>
      <c r="E185" s="84">
        <f>VLOOKUP(A185,'2a. SI Pop'!$A$5:$E$198,5,FALSE)</f>
        <v>4</v>
      </c>
      <c r="F185" s="3">
        <v>0.9718841660849139</v>
      </c>
      <c r="G185" s="3">
        <v>0.97674358691533836</v>
      </c>
      <c r="H185" s="3">
        <v>0.98162730484991501</v>
      </c>
      <c r="I185" s="3">
        <v>0.98653544137416449</v>
      </c>
      <c r="J185" s="3">
        <v>0.99146811858103523</v>
      </c>
      <c r="K185" s="3">
        <v>0.99</v>
      </c>
      <c r="L185" s="3">
        <v>0.99</v>
      </c>
      <c r="M185" s="3">
        <v>0.99</v>
      </c>
      <c r="N185" s="3">
        <v>0.99</v>
      </c>
      <c r="O185" s="3">
        <v>0.99</v>
      </c>
      <c r="P185" s="3">
        <v>0.99</v>
      </c>
      <c r="Q185" s="76"/>
    </row>
    <row r="186" spans="1:17">
      <c r="A186" s="84" t="s">
        <v>445</v>
      </c>
      <c r="B186" s="85" t="s">
        <v>444</v>
      </c>
      <c r="C186" s="85" t="s">
        <v>83</v>
      </c>
      <c r="D186" s="84" t="s">
        <v>75</v>
      </c>
      <c r="E186" s="84" t="str">
        <f>VLOOKUP(A186,'2a. SI Pop'!$A$5:$E$198,5,FALSE)</f>
        <v>Key</v>
      </c>
      <c r="F186" s="3">
        <v>0.87499153295178134</v>
      </c>
      <c r="G186" s="3">
        <v>0.87936649061654004</v>
      </c>
      <c r="H186" s="3">
        <v>0.88376332306962269</v>
      </c>
      <c r="I186" s="3">
        <v>0.88818213968497073</v>
      </c>
      <c r="J186" s="3">
        <v>0.89262305038339551</v>
      </c>
      <c r="K186" s="3">
        <v>0.8970861656353124</v>
      </c>
      <c r="L186" s="3">
        <v>0.90157159646348883</v>
      </c>
      <c r="M186" s="3">
        <v>0.90607945444580618</v>
      </c>
      <c r="N186" s="3">
        <v>0.9106098517180351</v>
      </c>
      <c r="O186" s="3">
        <v>0.91516290097662523</v>
      </c>
      <c r="P186" s="3">
        <v>0.91973871548150821</v>
      </c>
      <c r="Q186" s="76"/>
    </row>
    <row r="187" spans="1:17">
      <c r="A187" s="84" t="s">
        <v>447</v>
      </c>
      <c r="B187" s="85" t="s">
        <v>446</v>
      </c>
      <c r="C187" s="85" t="s">
        <v>79</v>
      </c>
      <c r="D187" s="84" t="s">
        <v>84</v>
      </c>
      <c r="E187" s="84">
        <f>VLOOKUP(A187,'2a. SI Pop'!$A$5:$E$198,5,FALSE)</f>
        <v>1</v>
      </c>
      <c r="F187" s="3">
        <v>0.9718841660849139</v>
      </c>
      <c r="G187" s="3">
        <v>0.97674358691533836</v>
      </c>
      <c r="H187" s="3">
        <v>0.98162730484991501</v>
      </c>
      <c r="I187" s="3">
        <v>0.98653544137416449</v>
      </c>
      <c r="J187" s="3">
        <v>0.99146811858103523</v>
      </c>
      <c r="K187" s="3">
        <v>0.99</v>
      </c>
      <c r="L187" s="3">
        <v>0.99</v>
      </c>
      <c r="M187" s="3">
        <v>0.99</v>
      </c>
      <c r="N187" s="3">
        <v>0.99</v>
      </c>
      <c r="O187" s="3">
        <v>0.99</v>
      </c>
      <c r="P187" s="3">
        <v>0.99</v>
      </c>
      <c r="Q187" s="76"/>
    </row>
    <row r="188" spans="1:17">
      <c r="A188" s="84" t="s">
        <v>449</v>
      </c>
      <c r="B188" s="85" t="s">
        <v>448</v>
      </c>
      <c r="C188" s="85" t="s">
        <v>74</v>
      </c>
      <c r="D188" s="84" t="s">
        <v>87</v>
      </c>
      <c r="E188" s="84">
        <f>VLOOKUP(A188,'2a. SI Pop'!$A$5:$E$198,5,FALSE)</f>
        <v>1</v>
      </c>
      <c r="F188" s="3">
        <v>0.99</v>
      </c>
      <c r="G188" s="3">
        <v>0.99</v>
      </c>
      <c r="H188" s="3">
        <v>0.99</v>
      </c>
      <c r="I188" s="3">
        <v>0.99</v>
      </c>
      <c r="J188" s="3">
        <v>0.99</v>
      </c>
      <c r="K188" s="3">
        <v>0.99</v>
      </c>
      <c r="L188" s="3">
        <v>0.99</v>
      </c>
      <c r="M188" s="3">
        <v>0.99</v>
      </c>
      <c r="N188" s="3">
        <v>0.99</v>
      </c>
      <c r="O188" s="3">
        <v>0.99</v>
      </c>
      <c r="P188" s="3">
        <v>0.99</v>
      </c>
      <c r="Q188" s="76"/>
    </row>
    <row r="189" spans="1:17">
      <c r="A189" s="84" t="s">
        <v>451</v>
      </c>
      <c r="B189" s="85" t="s">
        <v>450</v>
      </c>
      <c r="C189" s="85" t="s">
        <v>79</v>
      </c>
      <c r="D189" s="84" t="s">
        <v>87</v>
      </c>
      <c r="E189" s="84">
        <f>VLOOKUP(A189,'2a. SI Pop'!$A$5:$E$198,5,FALSE)</f>
        <v>1</v>
      </c>
      <c r="F189" s="3">
        <v>0.91906437444986433</v>
      </c>
      <c r="G189" s="3">
        <v>0.92365969632211364</v>
      </c>
      <c r="H189" s="3">
        <v>0.92827799480372408</v>
      </c>
      <c r="I189" s="3">
        <v>0.9329193847777425</v>
      </c>
      <c r="J189" s="3">
        <v>0.93758398170163115</v>
      </c>
      <c r="K189" s="3">
        <v>0.94227190161013918</v>
      </c>
      <c r="L189" s="3">
        <v>0.94698326111818987</v>
      </c>
      <c r="M189" s="3">
        <v>0.95171817742378062</v>
      </c>
      <c r="N189" s="3">
        <v>0.95</v>
      </c>
      <c r="O189" s="3">
        <v>0.95</v>
      </c>
      <c r="P189" s="3">
        <v>0.95</v>
      </c>
      <c r="Q189" s="76"/>
    </row>
    <row r="190" spans="1:17">
      <c r="A190" s="84" t="s">
        <v>453</v>
      </c>
      <c r="B190" s="85" t="s">
        <v>452</v>
      </c>
      <c r="C190" s="85" t="s">
        <v>92</v>
      </c>
      <c r="D190" s="84" t="s">
        <v>87</v>
      </c>
      <c r="E190" s="84" t="str">
        <f>VLOOKUP(A190,'2a. SI Pop'!$A$5:$E$198,5,FALSE)</f>
        <v>Key</v>
      </c>
      <c r="F190" s="3">
        <v>0.95474999999999999</v>
      </c>
      <c r="G190" s="3">
        <v>0.95</v>
      </c>
      <c r="H190" s="3">
        <v>0.95474999999999999</v>
      </c>
      <c r="I190" s="3">
        <v>0.95</v>
      </c>
      <c r="J190" s="3">
        <v>0.95474999999999999</v>
      </c>
      <c r="K190" s="3">
        <v>0.95</v>
      </c>
      <c r="L190" s="3">
        <v>0.95474999999999999</v>
      </c>
      <c r="M190" s="3">
        <v>0.95</v>
      </c>
      <c r="N190" s="3">
        <v>0.95474999999999999</v>
      </c>
      <c r="O190" s="3">
        <v>0.95</v>
      </c>
      <c r="P190" s="3">
        <v>0.95474999999999999</v>
      </c>
      <c r="Q190" s="76"/>
    </row>
    <row r="191" spans="1:17">
      <c r="A191" s="84" t="s">
        <v>455</v>
      </c>
      <c r="B191" s="85" t="s">
        <v>454</v>
      </c>
      <c r="C191" s="85" t="s">
        <v>92</v>
      </c>
      <c r="D191" s="84" t="s">
        <v>87</v>
      </c>
      <c r="E191" s="84">
        <f>VLOOKUP(A191,'2a. SI Pop'!$A$5:$E$198,5,FALSE)</f>
        <v>1</v>
      </c>
      <c r="F191" s="3">
        <v>0.99</v>
      </c>
      <c r="G191" s="3">
        <v>0.99</v>
      </c>
      <c r="H191" s="3">
        <v>0.99</v>
      </c>
      <c r="I191" s="3">
        <v>0.99</v>
      </c>
      <c r="J191" s="3">
        <v>0.99</v>
      </c>
      <c r="K191" s="3">
        <v>0.99</v>
      </c>
      <c r="L191" s="3">
        <v>0.99</v>
      </c>
      <c r="M191" s="3">
        <v>0.99</v>
      </c>
      <c r="N191" s="3">
        <v>0.99</v>
      </c>
      <c r="O191" s="3">
        <v>0.99</v>
      </c>
      <c r="P191" s="3">
        <v>0.99</v>
      </c>
      <c r="Q191" s="76"/>
    </row>
    <row r="192" spans="1:17">
      <c r="A192" s="84" t="s">
        <v>457</v>
      </c>
      <c r="B192" s="85" t="s">
        <v>456</v>
      </c>
      <c r="C192" s="85" t="s">
        <v>79</v>
      </c>
      <c r="D192" s="84" t="s">
        <v>84</v>
      </c>
      <c r="E192" s="84">
        <f>VLOOKUP(A192,'2a. SI Pop'!$A$5:$E$198,5,FALSE)</f>
        <v>2</v>
      </c>
      <c r="F192" s="3">
        <v>0.99</v>
      </c>
      <c r="G192" s="3">
        <v>0.99</v>
      </c>
      <c r="H192" s="3">
        <v>0.99</v>
      </c>
      <c r="I192" s="3">
        <v>0.99</v>
      </c>
      <c r="J192" s="3">
        <v>0.99</v>
      </c>
      <c r="K192" s="3">
        <v>0.99</v>
      </c>
      <c r="L192" s="3">
        <v>0.99</v>
      </c>
      <c r="M192" s="3">
        <v>0.99</v>
      </c>
      <c r="N192" s="3">
        <v>0.99</v>
      </c>
      <c r="O192" s="3">
        <v>0.99</v>
      </c>
      <c r="P192" s="3">
        <v>0.99</v>
      </c>
      <c r="Q192" s="76"/>
    </row>
    <row r="193" spans="1:17">
      <c r="A193" s="84" t="s">
        <v>459</v>
      </c>
      <c r="B193" s="85" t="s">
        <v>458</v>
      </c>
      <c r="C193" s="85" t="s">
        <v>99</v>
      </c>
      <c r="D193" s="84" t="s">
        <v>84</v>
      </c>
      <c r="E193" s="84">
        <f>VLOOKUP(A193,'2a. SI Pop'!$A$5:$E$198,5,FALSE)</f>
        <v>4</v>
      </c>
      <c r="F193" s="3">
        <v>0.83056537609668479</v>
      </c>
      <c r="G193" s="3">
        <v>0.83887102985765172</v>
      </c>
      <c r="H193" s="3">
        <v>0.84725974015622829</v>
      </c>
      <c r="I193" s="3">
        <v>0.85573233755779055</v>
      </c>
      <c r="J193" s="3">
        <v>0.86001099924557944</v>
      </c>
      <c r="K193" s="3">
        <v>0.86431105424180732</v>
      </c>
      <c r="L193" s="3">
        <v>0.86863260951301624</v>
      </c>
      <c r="M193" s="3">
        <v>0.87297577256058123</v>
      </c>
      <c r="N193" s="3">
        <v>0.87734065142338391</v>
      </c>
      <c r="O193" s="3">
        <v>0.88172735468050079</v>
      </c>
      <c r="P193" s="3">
        <v>0.8861359914539032</v>
      </c>
      <c r="Q193" s="76"/>
    </row>
    <row r="194" spans="1:17">
      <c r="A194" s="84" t="s">
        <v>461</v>
      </c>
      <c r="B194" s="85" t="s">
        <v>460</v>
      </c>
      <c r="C194" s="85" t="s">
        <v>92</v>
      </c>
      <c r="D194" s="84" t="s">
        <v>80</v>
      </c>
      <c r="E194" s="84">
        <f>VLOOKUP(A194,'2a. SI Pop'!$A$5:$E$198,5,FALSE)</f>
        <v>1</v>
      </c>
      <c r="F194" s="3">
        <v>0.17995040319417796</v>
      </c>
      <c r="G194" s="3">
        <v>0.1853489152900033</v>
      </c>
      <c r="H194" s="3">
        <v>0.19090938274870339</v>
      </c>
      <c r="I194" s="3">
        <v>0.19663666423116449</v>
      </c>
      <c r="J194" s="3">
        <v>0.20253576415809943</v>
      </c>
      <c r="K194" s="3">
        <v>0.20861183708284239</v>
      </c>
      <c r="L194" s="3">
        <v>0.21487019219532769</v>
      </c>
      <c r="M194" s="3">
        <v>0.22131629796118751</v>
      </c>
      <c r="N194" s="3">
        <v>0.22795578690002316</v>
      </c>
      <c r="O194" s="3">
        <v>0.23479446050702385</v>
      </c>
      <c r="P194" s="3">
        <v>0.24183829432223458</v>
      </c>
      <c r="Q194" s="76"/>
    </row>
    <row r="195" spans="1:17">
      <c r="A195" s="84" t="s">
        <v>463</v>
      </c>
      <c r="B195" s="85" t="s">
        <v>462</v>
      </c>
      <c r="C195" s="85" t="s">
        <v>99</v>
      </c>
      <c r="D195" s="84" t="s">
        <v>84</v>
      </c>
      <c r="E195" s="84">
        <f>VLOOKUP(A195,'2a. SI Pop'!$A$5:$E$198,5,FALSE)</f>
        <v>4</v>
      </c>
      <c r="F195" s="3">
        <v>0.9718841660849139</v>
      </c>
      <c r="G195" s="3">
        <v>0.97674358691533836</v>
      </c>
      <c r="H195" s="3">
        <v>0.98162730484991501</v>
      </c>
      <c r="I195" s="3">
        <v>0.98</v>
      </c>
      <c r="J195" s="3">
        <v>0.98</v>
      </c>
      <c r="K195" s="3">
        <v>0.98</v>
      </c>
      <c r="L195" s="3">
        <v>0.98</v>
      </c>
      <c r="M195" s="3">
        <v>0.98</v>
      </c>
      <c r="N195" s="3">
        <v>0.98</v>
      </c>
      <c r="O195" s="3">
        <v>0.98</v>
      </c>
      <c r="P195" s="3">
        <v>0.98</v>
      </c>
      <c r="Q195" s="76"/>
    </row>
    <row r="196" spans="1:17">
      <c r="A196" s="84" t="s">
        <v>465</v>
      </c>
      <c r="B196" s="85" t="s">
        <v>464</v>
      </c>
      <c r="C196" s="85" t="s">
        <v>74</v>
      </c>
      <c r="D196" s="84" t="s">
        <v>75</v>
      </c>
      <c r="E196" s="84">
        <f>VLOOKUP(A196,'2a. SI Pop'!$A$5:$E$198,5,FALSE)</f>
        <v>3</v>
      </c>
      <c r="F196" s="3">
        <v>0.63674758053324509</v>
      </c>
      <c r="G196" s="3">
        <v>0.65585000794924242</v>
      </c>
      <c r="H196" s="3">
        <v>0.67552550818771973</v>
      </c>
      <c r="I196" s="3">
        <v>0.69579127343335134</v>
      </c>
      <c r="J196" s="3">
        <v>0.71666501163635188</v>
      </c>
      <c r="K196" s="3">
        <v>0.73816496198544246</v>
      </c>
      <c r="L196" s="3">
        <v>0.76030991084500565</v>
      </c>
      <c r="M196" s="3">
        <v>0.76791300995345579</v>
      </c>
      <c r="N196" s="3">
        <v>0.77559214005299038</v>
      </c>
      <c r="O196" s="3">
        <v>0.78334806145352032</v>
      </c>
      <c r="P196" s="3">
        <v>0.79118154206805558</v>
      </c>
      <c r="Q196" s="76"/>
    </row>
    <row r="197" spans="1:17">
      <c r="A197" s="84" t="s">
        <v>467</v>
      </c>
      <c r="B197" s="85" t="s">
        <v>466</v>
      </c>
      <c r="C197" s="85" t="s">
        <v>83</v>
      </c>
      <c r="D197" s="84" t="s">
        <v>84</v>
      </c>
      <c r="E197" s="84">
        <f>VLOOKUP(A197,'2a. SI Pop'!$A$5:$E$198,5,FALSE)</f>
        <v>3</v>
      </c>
      <c r="F197" s="3">
        <v>0.81219124135958909</v>
      </c>
      <c r="G197" s="3">
        <v>0.82031315377318492</v>
      </c>
      <c r="H197" s="3">
        <v>0.82851628531091681</v>
      </c>
      <c r="I197" s="3">
        <v>0.83680144816402591</v>
      </c>
      <c r="J197" s="3">
        <v>0.84516946264566617</v>
      </c>
      <c r="K197" s="3">
        <v>0.85362115727212284</v>
      </c>
      <c r="L197" s="3">
        <v>0.85788926305848334</v>
      </c>
      <c r="M197" s="3">
        <v>0.86217870937377572</v>
      </c>
      <c r="N197" s="3">
        <v>0.86648960292064447</v>
      </c>
      <c r="O197" s="3">
        <v>0.87082205093524767</v>
      </c>
      <c r="P197" s="3">
        <v>0.87517616118992381</v>
      </c>
      <c r="Q197" s="76"/>
    </row>
    <row r="198" spans="1:17">
      <c r="A198" s="84" t="s">
        <v>469</v>
      </c>
      <c r="B198" s="85" t="s">
        <v>468</v>
      </c>
      <c r="C198" s="85" t="s">
        <v>83</v>
      </c>
      <c r="D198" s="84" t="s">
        <v>84</v>
      </c>
      <c r="E198" s="84">
        <f>VLOOKUP(A198,'2a. SI Pop'!$A$5:$E$198,5,FALSE)</f>
        <v>3</v>
      </c>
      <c r="F198" s="3">
        <v>0.85332059188015574</v>
      </c>
      <c r="G198" s="3">
        <v>0.85758719483955648</v>
      </c>
      <c r="H198" s="3">
        <v>0.86187513081375411</v>
      </c>
      <c r="I198" s="3">
        <v>0.86618450646782275</v>
      </c>
      <c r="J198" s="3">
        <v>0.87051542900016188</v>
      </c>
      <c r="K198" s="3">
        <v>0.87486800614516258</v>
      </c>
      <c r="L198" s="3">
        <v>0.87924234617588826</v>
      </c>
      <c r="M198" s="3">
        <v>0.88363855790676749</v>
      </c>
      <c r="N198" s="3">
        <v>0.8880567506963013</v>
      </c>
      <c r="O198" s="3">
        <v>0.89249703444978268</v>
      </c>
      <c r="P198" s="3">
        <v>0.89695951962203158</v>
      </c>
      <c r="Q198" s="76"/>
    </row>
  </sheetData>
  <autoFilter ref="A4:Q198" xr:uid="{7746EEAF-80D7-F745-BE81-487FAF142E5B}"/>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7E6D3-EE8B-2B4A-A2A1-B88F4EAB6511}">
  <sheetPr>
    <tabColor theme="8" tint="0.59999389629810485"/>
  </sheetPr>
  <dimension ref="A1:Q198"/>
  <sheetViews>
    <sheetView zoomScale="85" zoomScaleNormal="124" workbookViewId="0">
      <selection activeCell="H36" sqref="H36"/>
    </sheetView>
  </sheetViews>
  <sheetFormatPr defaultColWidth="10.85546875" defaultRowHeight="15"/>
  <cols>
    <col min="7" max="17" width="13.7109375" bestFit="1" customWidth="1"/>
  </cols>
  <sheetData>
    <row r="1" spans="1:17">
      <c r="A1" t="s">
        <v>470</v>
      </c>
      <c r="B1" t="s">
        <v>493</v>
      </c>
    </row>
    <row r="2" spans="1:17">
      <c r="A2" t="s">
        <v>471</v>
      </c>
      <c r="B2" t="s">
        <v>494</v>
      </c>
    </row>
    <row r="3" spans="1:17">
      <c r="B3" s="93">
        <v>0.2</v>
      </c>
    </row>
    <row r="4" spans="1:17" s="88" customFormat="1">
      <c r="A4" s="86" t="s">
        <v>473</v>
      </c>
      <c r="B4" s="87" t="s">
        <v>64</v>
      </c>
      <c r="C4" s="86" t="s">
        <v>66</v>
      </c>
      <c r="D4" s="86" t="s">
        <v>67</v>
      </c>
      <c r="E4" s="86" t="s">
        <v>68</v>
      </c>
      <c r="F4" s="86" t="s">
        <v>495</v>
      </c>
      <c r="G4" s="88">
        <v>2030</v>
      </c>
      <c r="H4" s="88">
        <f>G4+1</f>
        <v>2031</v>
      </c>
      <c r="I4" s="88">
        <f t="shared" ref="I4:O4" si="0">H4+1</f>
        <v>2032</v>
      </c>
      <c r="J4" s="88">
        <f t="shared" si="0"/>
        <v>2033</v>
      </c>
      <c r="K4" s="88">
        <f t="shared" si="0"/>
        <v>2034</v>
      </c>
      <c r="L4" s="88">
        <f t="shared" si="0"/>
        <v>2035</v>
      </c>
      <c r="M4" s="88">
        <f t="shared" si="0"/>
        <v>2036</v>
      </c>
      <c r="N4" s="88">
        <f t="shared" si="0"/>
        <v>2037</v>
      </c>
      <c r="O4" s="88">
        <f t="shared" si="0"/>
        <v>2038</v>
      </c>
      <c r="P4" s="88">
        <f t="shared" ref="P4:Q4" si="1">O4+1</f>
        <v>2039</v>
      </c>
      <c r="Q4" s="88">
        <f t="shared" si="1"/>
        <v>2040</v>
      </c>
    </row>
    <row r="5" spans="1:17">
      <c r="A5" s="84" t="s">
        <v>73</v>
      </c>
      <c r="B5" s="85" t="s">
        <v>72</v>
      </c>
      <c r="C5" s="85" t="s">
        <v>74</v>
      </c>
      <c r="D5" s="84" t="s">
        <v>75</v>
      </c>
      <c r="E5" s="84" t="str">
        <f>VLOOKUP(A5,'2a. SI Pop'!$A$5:$E$198,5,FALSE)</f>
        <v>Key</v>
      </c>
      <c r="F5" s="84">
        <f>VLOOKUP(A5,'1. Overview'!$B$5:$F$198,5,FALSE)</f>
        <v>2033</v>
      </c>
      <c r="G5" s="3">
        <f>IF(G$4&gt;=$F5,$B$3,0)</f>
        <v>0</v>
      </c>
      <c r="H5" s="3">
        <f t="shared" ref="H5:Q20" si="2">IF(H$4&gt;=$F5,$B$3,0)</f>
        <v>0</v>
      </c>
      <c r="I5" s="3">
        <f t="shared" si="2"/>
        <v>0</v>
      </c>
      <c r="J5" s="3">
        <f t="shared" si="2"/>
        <v>0.2</v>
      </c>
      <c r="K5" s="3">
        <f t="shared" si="2"/>
        <v>0.2</v>
      </c>
      <c r="L5" s="3">
        <f t="shared" si="2"/>
        <v>0.2</v>
      </c>
      <c r="M5" s="3">
        <f t="shared" si="2"/>
        <v>0.2</v>
      </c>
      <c r="N5" s="3">
        <f t="shared" si="2"/>
        <v>0.2</v>
      </c>
      <c r="O5" s="3">
        <f t="shared" si="2"/>
        <v>0.2</v>
      </c>
      <c r="P5" s="3">
        <f t="shared" si="2"/>
        <v>0.2</v>
      </c>
      <c r="Q5" s="3">
        <f t="shared" si="2"/>
        <v>0.2</v>
      </c>
    </row>
    <row r="6" spans="1:17">
      <c r="A6" s="84" t="s">
        <v>78</v>
      </c>
      <c r="B6" s="85" t="s">
        <v>77</v>
      </c>
      <c r="C6" s="85" t="s">
        <v>79</v>
      </c>
      <c r="D6" s="84" t="s">
        <v>80</v>
      </c>
      <c r="E6" s="84">
        <f>VLOOKUP(A6,'2a. SI Pop'!$A$5:$E$198,5,FALSE)</f>
        <v>1</v>
      </c>
      <c r="F6" s="84">
        <f>VLOOKUP(A6,'1. Overview'!$B$5:$F$198,5,FALSE)</f>
        <v>2036</v>
      </c>
      <c r="G6" s="3">
        <f t="shared" ref="G6:Q21" si="3">IF(G$4&gt;=$F6,$B$3,0)</f>
        <v>0</v>
      </c>
      <c r="H6" s="3">
        <f t="shared" si="2"/>
        <v>0</v>
      </c>
      <c r="I6" s="3">
        <f t="shared" si="2"/>
        <v>0</v>
      </c>
      <c r="J6" s="3">
        <f t="shared" si="2"/>
        <v>0</v>
      </c>
      <c r="K6" s="3">
        <f t="shared" si="2"/>
        <v>0</v>
      </c>
      <c r="L6" s="3">
        <f t="shared" si="2"/>
        <v>0</v>
      </c>
      <c r="M6" s="3">
        <f t="shared" si="2"/>
        <v>0.2</v>
      </c>
      <c r="N6" s="3">
        <f t="shared" si="2"/>
        <v>0.2</v>
      </c>
      <c r="O6" s="3">
        <f t="shared" si="2"/>
        <v>0.2</v>
      </c>
      <c r="P6" s="3">
        <f t="shared" si="2"/>
        <v>0.2</v>
      </c>
      <c r="Q6" s="3">
        <f t="shared" si="2"/>
        <v>0.2</v>
      </c>
    </row>
    <row r="7" spans="1:17">
      <c r="A7" s="84" t="s">
        <v>82</v>
      </c>
      <c r="B7" s="85" t="s">
        <v>81</v>
      </c>
      <c r="C7" s="85" t="s">
        <v>83</v>
      </c>
      <c r="D7" s="84" t="s">
        <v>84</v>
      </c>
      <c r="E7" s="84">
        <f>VLOOKUP(A7,'2a. SI Pop'!$A$5:$E$198,5,FALSE)</f>
        <v>2</v>
      </c>
      <c r="F7" s="84">
        <f>VLOOKUP(A7,'1. Overview'!$B$5:$F$198,5,FALSE)</f>
        <v>2032</v>
      </c>
      <c r="G7" s="3">
        <f t="shared" si="3"/>
        <v>0</v>
      </c>
      <c r="H7" s="3">
        <f t="shared" si="2"/>
        <v>0</v>
      </c>
      <c r="I7" s="3">
        <f t="shared" si="2"/>
        <v>0.2</v>
      </c>
      <c r="J7" s="3">
        <f t="shared" si="2"/>
        <v>0.2</v>
      </c>
      <c r="K7" s="3">
        <f t="shared" si="2"/>
        <v>0.2</v>
      </c>
      <c r="L7" s="3">
        <f t="shared" si="2"/>
        <v>0.2</v>
      </c>
      <c r="M7" s="3">
        <f t="shared" si="2"/>
        <v>0.2</v>
      </c>
      <c r="N7" s="3">
        <f t="shared" si="2"/>
        <v>0.2</v>
      </c>
      <c r="O7" s="3">
        <f t="shared" si="2"/>
        <v>0.2</v>
      </c>
      <c r="P7" s="3">
        <f t="shared" si="2"/>
        <v>0.2</v>
      </c>
      <c r="Q7" s="3">
        <f t="shared" si="2"/>
        <v>0.2</v>
      </c>
    </row>
    <row r="8" spans="1:17">
      <c r="A8" s="84" t="s">
        <v>86</v>
      </c>
      <c r="B8" s="85" t="s">
        <v>85</v>
      </c>
      <c r="C8" s="85" t="s">
        <v>79</v>
      </c>
      <c r="D8" s="84" t="s">
        <v>87</v>
      </c>
      <c r="E8" s="84">
        <f>VLOOKUP(A8,'2a. SI Pop'!$A$5:$E$198,5,FALSE)</f>
        <v>1</v>
      </c>
      <c r="F8" s="84">
        <f>VLOOKUP(A8,'1. Overview'!$B$5:$F$198,5,FALSE)</f>
        <v>2039</v>
      </c>
      <c r="G8" s="3">
        <f t="shared" si="3"/>
        <v>0</v>
      </c>
      <c r="H8" s="3">
        <f t="shared" si="2"/>
        <v>0</v>
      </c>
      <c r="I8" s="3">
        <f t="shared" si="2"/>
        <v>0</v>
      </c>
      <c r="J8" s="3">
        <f t="shared" si="2"/>
        <v>0</v>
      </c>
      <c r="K8" s="3">
        <f t="shared" si="2"/>
        <v>0</v>
      </c>
      <c r="L8" s="3">
        <f t="shared" si="2"/>
        <v>0</v>
      </c>
      <c r="M8" s="3">
        <f t="shared" si="2"/>
        <v>0</v>
      </c>
      <c r="N8" s="3">
        <f t="shared" si="2"/>
        <v>0</v>
      </c>
      <c r="O8" s="3">
        <f t="shared" si="2"/>
        <v>0</v>
      </c>
      <c r="P8" s="3">
        <f t="shared" si="2"/>
        <v>0.2</v>
      </c>
      <c r="Q8" s="3">
        <f t="shared" si="2"/>
        <v>0.2</v>
      </c>
    </row>
    <row r="9" spans="1:17">
      <c r="A9" s="84" t="s">
        <v>89</v>
      </c>
      <c r="B9" s="85" t="s">
        <v>88</v>
      </c>
      <c r="C9" s="85" t="s">
        <v>83</v>
      </c>
      <c r="D9" s="84" t="s">
        <v>84</v>
      </c>
      <c r="E9" s="84">
        <f>VLOOKUP(A9,'2a. SI Pop'!$A$5:$E$198,5,FALSE)</f>
        <v>3</v>
      </c>
      <c r="F9" s="84">
        <f>VLOOKUP(A9,'1. Overview'!$B$5:$F$198,5,FALSE)</f>
        <v>2033</v>
      </c>
      <c r="G9" s="3">
        <f t="shared" si="3"/>
        <v>0</v>
      </c>
      <c r="H9" s="3">
        <f t="shared" si="2"/>
        <v>0</v>
      </c>
      <c r="I9" s="3">
        <f t="shared" si="2"/>
        <v>0</v>
      </c>
      <c r="J9" s="3">
        <f t="shared" si="2"/>
        <v>0.2</v>
      </c>
      <c r="K9" s="3">
        <f t="shared" si="2"/>
        <v>0.2</v>
      </c>
      <c r="L9" s="3">
        <f t="shared" si="2"/>
        <v>0.2</v>
      </c>
      <c r="M9" s="3">
        <f t="shared" si="2"/>
        <v>0.2</v>
      </c>
      <c r="N9" s="3">
        <f t="shared" si="2"/>
        <v>0.2</v>
      </c>
      <c r="O9" s="3">
        <f t="shared" si="2"/>
        <v>0.2</v>
      </c>
      <c r="P9" s="3">
        <f t="shared" si="2"/>
        <v>0.2</v>
      </c>
      <c r="Q9" s="3">
        <f t="shared" si="2"/>
        <v>0.2</v>
      </c>
    </row>
    <row r="10" spans="1:17">
      <c r="A10" s="84" t="s">
        <v>91</v>
      </c>
      <c r="B10" s="85" t="s">
        <v>90</v>
      </c>
      <c r="C10" s="85" t="s">
        <v>92</v>
      </c>
      <c r="D10" s="84" t="s">
        <v>87</v>
      </c>
      <c r="E10" s="84">
        <f>VLOOKUP(A10,'2a. SI Pop'!$A$5:$E$198,5,FALSE)</f>
        <v>1</v>
      </c>
      <c r="F10" s="84">
        <f>VLOOKUP(A10,'1. Overview'!$B$5:$F$198,5,FALSE)</f>
        <v>2040</v>
      </c>
      <c r="G10" s="3">
        <f t="shared" si="3"/>
        <v>0</v>
      </c>
      <c r="H10" s="3">
        <f t="shared" si="2"/>
        <v>0</v>
      </c>
      <c r="I10" s="3">
        <f t="shared" si="2"/>
        <v>0</v>
      </c>
      <c r="J10" s="3">
        <f t="shared" si="2"/>
        <v>0</v>
      </c>
      <c r="K10" s="3">
        <f t="shared" si="2"/>
        <v>0</v>
      </c>
      <c r="L10" s="3">
        <f t="shared" si="2"/>
        <v>0</v>
      </c>
      <c r="M10" s="3">
        <f t="shared" si="2"/>
        <v>0</v>
      </c>
      <c r="N10" s="3">
        <f t="shared" si="2"/>
        <v>0</v>
      </c>
      <c r="O10" s="3">
        <f t="shared" si="2"/>
        <v>0</v>
      </c>
      <c r="P10" s="3">
        <f t="shared" si="2"/>
        <v>0</v>
      </c>
      <c r="Q10" s="3">
        <f t="shared" si="2"/>
        <v>0.2</v>
      </c>
    </row>
    <row r="11" spans="1:17">
      <c r="A11" s="84" t="s">
        <v>94</v>
      </c>
      <c r="B11" s="85" t="s">
        <v>93</v>
      </c>
      <c r="C11" s="85" t="s">
        <v>92</v>
      </c>
      <c r="D11" s="84" t="s">
        <v>80</v>
      </c>
      <c r="E11" s="84">
        <f>VLOOKUP(A11,'2a. SI Pop'!$A$5:$E$198,5,FALSE)</f>
        <v>1</v>
      </c>
      <c r="F11" s="84">
        <f>VLOOKUP(A11,'1. Overview'!$B$5:$F$198,5,FALSE)</f>
        <v>2037</v>
      </c>
      <c r="G11" s="3">
        <f t="shared" si="3"/>
        <v>0</v>
      </c>
      <c r="H11" s="3">
        <f t="shared" si="2"/>
        <v>0</v>
      </c>
      <c r="I11" s="3">
        <f t="shared" si="2"/>
        <v>0</v>
      </c>
      <c r="J11" s="3">
        <f t="shared" si="2"/>
        <v>0</v>
      </c>
      <c r="K11" s="3">
        <f t="shared" si="2"/>
        <v>0</v>
      </c>
      <c r="L11" s="3">
        <f t="shared" si="2"/>
        <v>0</v>
      </c>
      <c r="M11" s="3">
        <f t="shared" si="2"/>
        <v>0</v>
      </c>
      <c r="N11" s="3">
        <f t="shared" si="2"/>
        <v>0.2</v>
      </c>
      <c r="O11" s="3">
        <f t="shared" si="2"/>
        <v>0.2</v>
      </c>
      <c r="P11" s="3">
        <f t="shared" si="2"/>
        <v>0.2</v>
      </c>
      <c r="Q11" s="3">
        <f t="shared" si="2"/>
        <v>0.2</v>
      </c>
    </row>
    <row r="12" spans="1:17">
      <c r="A12" s="84" t="s">
        <v>96</v>
      </c>
      <c r="B12" s="85" t="s">
        <v>95</v>
      </c>
      <c r="C12" s="85" t="s">
        <v>79</v>
      </c>
      <c r="D12" s="84" t="s">
        <v>80</v>
      </c>
      <c r="E12" s="84">
        <f>VLOOKUP(A12,'2a. SI Pop'!$A$5:$E$198,5,FALSE)</f>
        <v>1</v>
      </c>
      <c r="F12" s="84">
        <f>VLOOKUP(A12,'1. Overview'!$B$5:$F$198,5,FALSE)</f>
        <v>2040</v>
      </c>
      <c r="G12" s="3">
        <f t="shared" si="3"/>
        <v>0</v>
      </c>
      <c r="H12" s="3">
        <f t="shared" si="2"/>
        <v>0</v>
      </c>
      <c r="I12" s="3">
        <f t="shared" si="2"/>
        <v>0</v>
      </c>
      <c r="J12" s="3">
        <f t="shared" si="2"/>
        <v>0</v>
      </c>
      <c r="K12" s="3">
        <f t="shared" si="2"/>
        <v>0</v>
      </c>
      <c r="L12" s="3">
        <f t="shared" si="2"/>
        <v>0</v>
      </c>
      <c r="M12" s="3">
        <f t="shared" si="2"/>
        <v>0</v>
      </c>
      <c r="N12" s="3">
        <f t="shared" si="2"/>
        <v>0</v>
      </c>
      <c r="O12" s="3">
        <f t="shared" si="2"/>
        <v>0</v>
      </c>
      <c r="P12" s="3">
        <f t="shared" si="2"/>
        <v>0</v>
      </c>
      <c r="Q12" s="3">
        <f t="shared" si="2"/>
        <v>0.2</v>
      </c>
    </row>
    <row r="13" spans="1:17">
      <c r="A13" s="84" t="s">
        <v>98</v>
      </c>
      <c r="B13" s="85" t="s">
        <v>97</v>
      </c>
      <c r="C13" s="85" t="s">
        <v>99</v>
      </c>
      <c r="D13" s="84" t="s">
        <v>87</v>
      </c>
      <c r="E13" s="84">
        <f>VLOOKUP(A13,'2a. SI Pop'!$A$5:$E$198,5,FALSE)</f>
        <v>1</v>
      </c>
      <c r="F13" s="84">
        <f>VLOOKUP(A13,'1. Overview'!$B$5:$F$198,5,FALSE)</f>
        <v>2031</v>
      </c>
      <c r="G13" s="3">
        <f t="shared" si="3"/>
        <v>0</v>
      </c>
      <c r="H13" s="3">
        <f t="shared" si="2"/>
        <v>0.2</v>
      </c>
      <c r="I13" s="3">
        <f t="shared" si="2"/>
        <v>0.2</v>
      </c>
      <c r="J13" s="3">
        <f t="shared" si="2"/>
        <v>0.2</v>
      </c>
      <c r="K13" s="3">
        <f t="shared" si="2"/>
        <v>0.2</v>
      </c>
      <c r="L13" s="3">
        <f t="shared" si="2"/>
        <v>0.2</v>
      </c>
      <c r="M13" s="3">
        <f t="shared" si="2"/>
        <v>0.2</v>
      </c>
      <c r="N13" s="3">
        <f t="shared" si="2"/>
        <v>0.2</v>
      </c>
      <c r="O13" s="3">
        <f t="shared" si="2"/>
        <v>0.2</v>
      </c>
      <c r="P13" s="3">
        <f t="shared" si="2"/>
        <v>0.2</v>
      </c>
      <c r="Q13" s="3">
        <f t="shared" si="2"/>
        <v>0.2</v>
      </c>
    </row>
    <row r="14" spans="1:17">
      <c r="A14" s="84" t="s">
        <v>101</v>
      </c>
      <c r="B14" s="85" t="s">
        <v>100</v>
      </c>
      <c r="C14" s="85" t="s">
        <v>79</v>
      </c>
      <c r="D14" s="84" t="s">
        <v>87</v>
      </c>
      <c r="E14" s="84">
        <f>VLOOKUP(A14,'2a. SI Pop'!$A$5:$E$198,5,FALSE)</f>
        <v>1</v>
      </c>
      <c r="F14" s="84">
        <f>VLOOKUP(A14,'1. Overview'!$B$5:$F$198,5,FALSE)</f>
        <v>2030</v>
      </c>
      <c r="G14" s="3">
        <f t="shared" si="3"/>
        <v>0.2</v>
      </c>
      <c r="H14" s="3">
        <f t="shared" si="2"/>
        <v>0.2</v>
      </c>
      <c r="I14" s="3">
        <f t="shared" si="2"/>
        <v>0.2</v>
      </c>
      <c r="J14" s="3">
        <f t="shared" si="2"/>
        <v>0.2</v>
      </c>
      <c r="K14" s="3">
        <f t="shared" si="2"/>
        <v>0.2</v>
      </c>
      <c r="L14" s="3">
        <f t="shared" si="2"/>
        <v>0.2</v>
      </c>
      <c r="M14" s="3">
        <f t="shared" si="2"/>
        <v>0.2</v>
      </c>
      <c r="N14" s="3">
        <f t="shared" si="2"/>
        <v>0.2</v>
      </c>
      <c r="O14" s="3">
        <f t="shared" si="2"/>
        <v>0.2</v>
      </c>
      <c r="P14" s="3">
        <f t="shared" si="2"/>
        <v>0.2</v>
      </c>
      <c r="Q14" s="3">
        <f t="shared" si="2"/>
        <v>0.2</v>
      </c>
    </row>
    <row r="15" spans="1:17">
      <c r="A15" s="84" t="s">
        <v>103</v>
      </c>
      <c r="B15" s="85" t="s">
        <v>102</v>
      </c>
      <c r="C15" s="85" t="s">
        <v>79</v>
      </c>
      <c r="D15" s="84" t="s">
        <v>80</v>
      </c>
      <c r="E15" s="84">
        <f>VLOOKUP(A15,'2a. SI Pop'!$A$5:$E$198,5,FALSE)</f>
        <v>1</v>
      </c>
      <c r="F15" s="84">
        <f>VLOOKUP(A15,'1. Overview'!$B$5:$F$198,5,FALSE)</f>
        <v>2038</v>
      </c>
      <c r="G15" s="3">
        <f t="shared" si="3"/>
        <v>0</v>
      </c>
      <c r="H15" s="3">
        <f t="shared" si="2"/>
        <v>0</v>
      </c>
      <c r="I15" s="3">
        <f t="shared" si="2"/>
        <v>0</v>
      </c>
      <c r="J15" s="3">
        <f t="shared" si="2"/>
        <v>0</v>
      </c>
      <c r="K15" s="3">
        <f t="shared" si="2"/>
        <v>0</v>
      </c>
      <c r="L15" s="3">
        <f t="shared" si="2"/>
        <v>0</v>
      </c>
      <c r="M15" s="3">
        <f t="shared" si="2"/>
        <v>0</v>
      </c>
      <c r="N15" s="3">
        <f t="shared" si="2"/>
        <v>0</v>
      </c>
      <c r="O15" s="3">
        <f t="shared" si="2"/>
        <v>0.2</v>
      </c>
      <c r="P15" s="3">
        <f t="shared" si="2"/>
        <v>0.2</v>
      </c>
      <c r="Q15" s="3">
        <f t="shared" si="2"/>
        <v>0.2</v>
      </c>
    </row>
    <row r="16" spans="1:17">
      <c r="A16" s="84" t="s">
        <v>105</v>
      </c>
      <c r="B16" s="85" t="s">
        <v>104</v>
      </c>
      <c r="C16" s="85" t="s">
        <v>92</v>
      </c>
      <c r="D16" s="84" t="s">
        <v>87</v>
      </c>
      <c r="E16" s="84">
        <f>VLOOKUP(A16,'2a. SI Pop'!$A$5:$E$198,5,FALSE)</f>
        <v>1</v>
      </c>
      <c r="F16" s="84">
        <f>VLOOKUP(A16,'1. Overview'!$B$5:$F$198,5,FALSE)</f>
        <v>2037</v>
      </c>
      <c r="G16" s="3">
        <f t="shared" si="3"/>
        <v>0</v>
      </c>
      <c r="H16" s="3">
        <f t="shared" si="2"/>
        <v>0</v>
      </c>
      <c r="I16" s="3">
        <f t="shared" si="2"/>
        <v>0</v>
      </c>
      <c r="J16" s="3">
        <f t="shared" si="2"/>
        <v>0</v>
      </c>
      <c r="K16" s="3">
        <f t="shared" si="2"/>
        <v>0</v>
      </c>
      <c r="L16" s="3">
        <f t="shared" si="2"/>
        <v>0</v>
      </c>
      <c r="M16" s="3">
        <f t="shared" si="2"/>
        <v>0</v>
      </c>
      <c r="N16" s="3">
        <f t="shared" si="2"/>
        <v>0.2</v>
      </c>
      <c r="O16" s="3">
        <f t="shared" si="2"/>
        <v>0.2</v>
      </c>
      <c r="P16" s="3">
        <f t="shared" si="2"/>
        <v>0.2</v>
      </c>
      <c r="Q16" s="3">
        <f t="shared" si="2"/>
        <v>0.2</v>
      </c>
    </row>
    <row r="17" spans="1:17">
      <c r="A17" s="84" t="s">
        <v>107</v>
      </c>
      <c r="B17" s="85" t="s">
        <v>106</v>
      </c>
      <c r="C17" s="85" t="s">
        <v>74</v>
      </c>
      <c r="D17" s="84" t="s">
        <v>87</v>
      </c>
      <c r="E17" s="84">
        <f>VLOOKUP(A17,'2a. SI Pop'!$A$5:$E$198,5,FALSE)</f>
        <v>1</v>
      </c>
      <c r="F17" s="84">
        <f>VLOOKUP(A17,'1. Overview'!$B$5:$F$198,5,FALSE)</f>
        <v>2034</v>
      </c>
      <c r="G17" s="3">
        <f t="shared" si="3"/>
        <v>0</v>
      </c>
      <c r="H17" s="3">
        <f t="shared" si="2"/>
        <v>0</v>
      </c>
      <c r="I17" s="3">
        <f t="shared" si="2"/>
        <v>0</v>
      </c>
      <c r="J17" s="3">
        <f t="shared" si="2"/>
        <v>0</v>
      </c>
      <c r="K17" s="3">
        <f t="shared" si="2"/>
        <v>0.2</v>
      </c>
      <c r="L17" s="3">
        <f t="shared" si="2"/>
        <v>0.2</v>
      </c>
      <c r="M17" s="3">
        <f t="shared" si="2"/>
        <v>0.2</v>
      </c>
      <c r="N17" s="3">
        <f t="shared" si="2"/>
        <v>0.2</v>
      </c>
      <c r="O17" s="3">
        <f t="shared" si="2"/>
        <v>0.2</v>
      </c>
      <c r="P17" s="3">
        <f t="shared" si="2"/>
        <v>0.2</v>
      </c>
      <c r="Q17" s="3">
        <f t="shared" si="2"/>
        <v>0.2</v>
      </c>
    </row>
    <row r="18" spans="1:17">
      <c r="A18" s="84" t="s">
        <v>109</v>
      </c>
      <c r="B18" s="85" t="s">
        <v>108</v>
      </c>
      <c r="C18" s="85" t="s">
        <v>110</v>
      </c>
      <c r="D18" s="84" t="s">
        <v>84</v>
      </c>
      <c r="E18" s="84" t="str">
        <f>VLOOKUP(A18,'2a. SI Pop'!$A$5:$E$198,5,FALSE)</f>
        <v>Key</v>
      </c>
      <c r="F18" s="84">
        <f>VLOOKUP(A18,'1. Overview'!$B$5:$F$198,5,FALSE)</f>
        <v>2034</v>
      </c>
      <c r="G18" s="3">
        <f t="shared" si="3"/>
        <v>0</v>
      </c>
      <c r="H18" s="3">
        <f t="shared" si="2"/>
        <v>0</v>
      </c>
      <c r="I18" s="3">
        <f t="shared" si="2"/>
        <v>0</v>
      </c>
      <c r="J18" s="3">
        <f t="shared" si="2"/>
        <v>0</v>
      </c>
      <c r="K18" s="3">
        <f t="shared" si="2"/>
        <v>0.2</v>
      </c>
      <c r="L18" s="3">
        <f t="shared" si="2"/>
        <v>0.2</v>
      </c>
      <c r="M18" s="3">
        <f t="shared" si="2"/>
        <v>0.2</v>
      </c>
      <c r="N18" s="3">
        <f t="shared" si="2"/>
        <v>0.2</v>
      </c>
      <c r="O18" s="3">
        <f t="shared" si="2"/>
        <v>0.2</v>
      </c>
      <c r="P18" s="3">
        <f t="shared" si="2"/>
        <v>0.2</v>
      </c>
      <c r="Q18" s="3">
        <f t="shared" si="2"/>
        <v>0.2</v>
      </c>
    </row>
    <row r="19" spans="1:17">
      <c r="A19" s="84" t="s">
        <v>112</v>
      </c>
      <c r="B19" s="85" t="s">
        <v>111</v>
      </c>
      <c r="C19" s="85" t="s">
        <v>92</v>
      </c>
      <c r="D19" s="84" t="s">
        <v>87</v>
      </c>
      <c r="E19" s="84">
        <f>VLOOKUP(A19,'2a. SI Pop'!$A$5:$E$198,5,FALSE)</f>
        <v>1</v>
      </c>
      <c r="F19" s="84">
        <f>VLOOKUP(A19,'1. Overview'!$B$5:$F$198,5,FALSE)</f>
        <v>2039</v>
      </c>
      <c r="G19" s="3">
        <f t="shared" si="3"/>
        <v>0</v>
      </c>
      <c r="H19" s="3">
        <f t="shared" si="2"/>
        <v>0</v>
      </c>
      <c r="I19" s="3">
        <f t="shared" si="2"/>
        <v>0</v>
      </c>
      <c r="J19" s="3">
        <f t="shared" si="2"/>
        <v>0</v>
      </c>
      <c r="K19" s="3">
        <f t="shared" si="2"/>
        <v>0</v>
      </c>
      <c r="L19" s="3">
        <f t="shared" si="2"/>
        <v>0</v>
      </c>
      <c r="M19" s="3">
        <f t="shared" si="2"/>
        <v>0</v>
      </c>
      <c r="N19" s="3">
        <f t="shared" si="2"/>
        <v>0</v>
      </c>
      <c r="O19" s="3">
        <f t="shared" si="2"/>
        <v>0</v>
      </c>
      <c r="P19" s="3">
        <f t="shared" si="2"/>
        <v>0.2</v>
      </c>
      <c r="Q19" s="3">
        <f t="shared" si="2"/>
        <v>0.2</v>
      </c>
    </row>
    <row r="20" spans="1:17">
      <c r="A20" s="84" t="s">
        <v>114</v>
      </c>
      <c r="B20" s="85" t="s">
        <v>113</v>
      </c>
      <c r="C20" s="85" t="s">
        <v>79</v>
      </c>
      <c r="D20" s="84" t="s">
        <v>80</v>
      </c>
      <c r="E20" s="84">
        <f>VLOOKUP(A20,'2a. SI Pop'!$A$5:$E$198,5,FALSE)</f>
        <v>2</v>
      </c>
      <c r="F20" s="84">
        <f>VLOOKUP(A20,'1. Overview'!$B$5:$F$198,5,FALSE)</f>
        <v>2039</v>
      </c>
      <c r="G20" s="3">
        <f t="shared" si="3"/>
        <v>0</v>
      </c>
      <c r="H20" s="3">
        <f t="shared" si="2"/>
        <v>0</v>
      </c>
      <c r="I20" s="3">
        <f t="shared" si="2"/>
        <v>0</v>
      </c>
      <c r="J20" s="3">
        <f t="shared" si="2"/>
        <v>0</v>
      </c>
      <c r="K20" s="3">
        <f t="shared" si="2"/>
        <v>0</v>
      </c>
      <c r="L20" s="3">
        <f t="shared" si="2"/>
        <v>0</v>
      </c>
      <c r="M20" s="3">
        <f t="shared" si="2"/>
        <v>0</v>
      </c>
      <c r="N20" s="3">
        <f t="shared" si="2"/>
        <v>0</v>
      </c>
      <c r="O20" s="3">
        <f t="shared" si="2"/>
        <v>0</v>
      </c>
      <c r="P20" s="3">
        <f t="shared" si="2"/>
        <v>0.2</v>
      </c>
      <c r="Q20" s="3">
        <f t="shared" si="2"/>
        <v>0.2</v>
      </c>
    </row>
    <row r="21" spans="1:17">
      <c r="A21" s="84" t="s">
        <v>116</v>
      </c>
      <c r="B21" s="85" t="s">
        <v>115</v>
      </c>
      <c r="C21" s="85" t="s">
        <v>79</v>
      </c>
      <c r="D21" s="84" t="s">
        <v>87</v>
      </c>
      <c r="E21" s="84">
        <f>VLOOKUP(A21,'2a. SI Pop'!$A$5:$E$198,5,FALSE)</f>
        <v>1</v>
      </c>
      <c r="F21" s="84">
        <f>VLOOKUP(A21,'1. Overview'!$B$5:$F$198,5,FALSE)</f>
        <v>2030</v>
      </c>
      <c r="G21" s="3">
        <f t="shared" si="3"/>
        <v>0.2</v>
      </c>
      <c r="H21" s="3">
        <f t="shared" si="3"/>
        <v>0.2</v>
      </c>
      <c r="I21" s="3">
        <f t="shared" si="3"/>
        <v>0.2</v>
      </c>
      <c r="J21" s="3">
        <f t="shared" si="3"/>
        <v>0.2</v>
      </c>
      <c r="K21" s="3">
        <f t="shared" si="3"/>
        <v>0.2</v>
      </c>
      <c r="L21" s="3">
        <f t="shared" si="3"/>
        <v>0.2</v>
      </c>
      <c r="M21" s="3">
        <f t="shared" si="3"/>
        <v>0.2</v>
      </c>
      <c r="N21" s="3">
        <f t="shared" si="3"/>
        <v>0.2</v>
      </c>
      <c r="O21" s="3">
        <f t="shared" si="3"/>
        <v>0.2</v>
      </c>
      <c r="P21" s="3">
        <f t="shared" si="3"/>
        <v>0.2</v>
      </c>
      <c r="Q21" s="3">
        <f t="shared" si="3"/>
        <v>0.2</v>
      </c>
    </row>
    <row r="22" spans="1:17">
      <c r="A22" s="84" t="s">
        <v>118</v>
      </c>
      <c r="B22" s="85" t="s">
        <v>117</v>
      </c>
      <c r="C22" s="85" t="s">
        <v>92</v>
      </c>
      <c r="D22" s="84" t="s">
        <v>80</v>
      </c>
      <c r="E22" s="84">
        <f>VLOOKUP(A22,'2a. SI Pop'!$A$5:$E$198,5,FALSE)</f>
        <v>1</v>
      </c>
      <c r="F22" s="84">
        <f>VLOOKUP(A22,'1. Overview'!$B$5:$F$198,5,FALSE)</f>
        <v>2040</v>
      </c>
      <c r="G22" s="3">
        <f t="shared" ref="G22:Q37" si="4">IF(G$4&gt;=$F22,$B$3,0)</f>
        <v>0</v>
      </c>
      <c r="H22" s="3">
        <f t="shared" si="4"/>
        <v>0</v>
      </c>
      <c r="I22" s="3">
        <f t="shared" si="4"/>
        <v>0</v>
      </c>
      <c r="J22" s="3">
        <f t="shared" si="4"/>
        <v>0</v>
      </c>
      <c r="K22" s="3">
        <f t="shared" si="4"/>
        <v>0</v>
      </c>
      <c r="L22" s="3">
        <f t="shared" si="4"/>
        <v>0</v>
      </c>
      <c r="M22" s="3">
        <f t="shared" si="4"/>
        <v>0</v>
      </c>
      <c r="N22" s="3">
        <f t="shared" si="4"/>
        <v>0</v>
      </c>
      <c r="O22" s="3">
        <f t="shared" si="4"/>
        <v>0</v>
      </c>
      <c r="P22" s="3">
        <f t="shared" si="4"/>
        <v>0</v>
      </c>
      <c r="Q22" s="3">
        <f t="shared" si="4"/>
        <v>0.2</v>
      </c>
    </row>
    <row r="23" spans="1:17">
      <c r="A23" s="84" t="s">
        <v>120</v>
      </c>
      <c r="B23" s="85" t="s">
        <v>119</v>
      </c>
      <c r="C23" s="85" t="s">
        <v>83</v>
      </c>
      <c r="D23" s="84" t="s">
        <v>84</v>
      </c>
      <c r="E23" s="84">
        <f>VLOOKUP(A23,'2a. SI Pop'!$A$5:$E$198,5,FALSE)</f>
        <v>3</v>
      </c>
      <c r="F23" s="84">
        <f>VLOOKUP(A23,'1. Overview'!$B$5:$F$198,5,FALSE)</f>
        <v>2031</v>
      </c>
      <c r="G23" s="3">
        <f t="shared" si="4"/>
        <v>0</v>
      </c>
      <c r="H23" s="3">
        <f t="shared" si="4"/>
        <v>0.2</v>
      </c>
      <c r="I23" s="3">
        <f t="shared" si="4"/>
        <v>0.2</v>
      </c>
      <c r="J23" s="3">
        <f t="shared" si="4"/>
        <v>0.2</v>
      </c>
      <c r="K23" s="3">
        <f t="shared" si="4"/>
        <v>0.2</v>
      </c>
      <c r="L23" s="3">
        <f t="shared" si="4"/>
        <v>0.2</v>
      </c>
      <c r="M23" s="3">
        <f t="shared" si="4"/>
        <v>0.2</v>
      </c>
      <c r="N23" s="3">
        <f t="shared" si="4"/>
        <v>0.2</v>
      </c>
      <c r="O23" s="3">
        <f t="shared" si="4"/>
        <v>0.2</v>
      </c>
      <c r="P23" s="3">
        <f t="shared" si="4"/>
        <v>0.2</v>
      </c>
      <c r="Q23" s="3">
        <f t="shared" si="4"/>
        <v>0.2</v>
      </c>
    </row>
    <row r="24" spans="1:17">
      <c r="A24" s="84" t="s">
        <v>122</v>
      </c>
      <c r="B24" s="85" t="s">
        <v>121</v>
      </c>
      <c r="C24" s="85" t="s">
        <v>110</v>
      </c>
      <c r="D24" s="84" t="s">
        <v>84</v>
      </c>
      <c r="E24" s="84">
        <f>VLOOKUP(A24,'2a. SI Pop'!$A$5:$E$198,5,FALSE)</f>
        <v>2</v>
      </c>
      <c r="F24" s="84">
        <f>VLOOKUP(A24,'1. Overview'!$B$5:$F$198,5,FALSE)</f>
        <v>2041</v>
      </c>
      <c r="G24" s="3">
        <f t="shared" si="4"/>
        <v>0</v>
      </c>
      <c r="H24" s="3">
        <f t="shared" si="4"/>
        <v>0</v>
      </c>
      <c r="I24" s="3">
        <f t="shared" si="4"/>
        <v>0</v>
      </c>
      <c r="J24" s="3">
        <f t="shared" si="4"/>
        <v>0</v>
      </c>
      <c r="K24" s="3">
        <f t="shared" si="4"/>
        <v>0</v>
      </c>
      <c r="L24" s="3">
        <f t="shared" si="4"/>
        <v>0</v>
      </c>
      <c r="M24" s="3">
        <f t="shared" si="4"/>
        <v>0</v>
      </c>
      <c r="N24" s="3">
        <f t="shared" si="4"/>
        <v>0</v>
      </c>
      <c r="O24" s="3">
        <f t="shared" si="4"/>
        <v>0</v>
      </c>
      <c r="P24" s="3">
        <f t="shared" si="4"/>
        <v>0</v>
      </c>
      <c r="Q24" s="3">
        <f t="shared" si="4"/>
        <v>0</v>
      </c>
    </row>
    <row r="25" spans="1:17">
      <c r="A25" s="84" t="s">
        <v>124</v>
      </c>
      <c r="B25" s="85" t="s">
        <v>123</v>
      </c>
      <c r="C25" s="85" t="s">
        <v>92</v>
      </c>
      <c r="D25" s="84" t="s">
        <v>84</v>
      </c>
      <c r="E25" s="84">
        <f>VLOOKUP(A25,'2a. SI Pop'!$A$5:$E$198,5,FALSE)</f>
        <v>2</v>
      </c>
      <c r="F25" s="84">
        <f>VLOOKUP(A25,'1. Overview'!$B$5:$F$198,5,FALSE)</f>
        <v>2042</v>
      </c>
      <c r="G25" s="3">
        <f t="shared" si="4"/>
        <v>0</v>
      </c>
      <c r="H25" s="3">
        <f t="shared" si="4"/>
        <v>0</v>
      </c>
      <c r="I25" s="3">
        <f t="shared" si="4"/>
        <v>0</v>
      </c>
      <c r="J25" s="3">
        <f t="shared" si="4"/>
        <v>0</v>
      </c>
      <c r="K25" s="3">
        <f t="shared" si="4"/>
        <v>0</v>
      </c>
      <c r="L25" s="3">
        <f t="shared" si="4"/>
        <v>0</v>
      </c>
      <c r="M25" s="3">
        <f t="shared" si="4"/>
        <v>0</v>
      </c>
      <c r="N25" s="3">
        <f t="shared" si="4"/>
        <v>0</v>
      </c>
      <c r="O25" s="3">
        <f t="shared" si="4"/>
        <v>0</v>
      </c>
      <c r="P25" s="3">
        <f t="shared" si="4"/>
        <v>0</v>
      </c>
      <c r="Q25" s="3">
        <f t="shared" si="4"/>
        <v>0</v>
      </c>
    </row>
    <row r="26" spans="1:17">
      <c r="A26" s="84" t="s">
        <v>126</v>
      </c>
      <c r="B26" s="85" t="s">
        <v>125</v>
      </c>
      <c r="C26" s="85" t="s">
        <v>79</v>
      </c>
      <c r="D26" s="84" t="s">
        <v>80</v>
      </c>
      <c r="E26" s="84">
        <f>VLOOKUP(A26,'2a. SI Pop'!$A$5:$E$198,5,FALSE)</f>
        <v>1</v>
      </c>
      <c r="F26" s="84">
        <f>VLOOKUP(A26,'1. Overview'!$B$5:$F$198,5,FALSE)</f>
        <v>2032</v>
      </c>
      <c r="G26" s="3">
        <f t="shared" si="4"/>
        <v>0</v>
      </c>
      <c r="H26" s="3">
        <f t="shared" si="4"/>
        <v>0</v>
      </c>
      <c r="I26" s="3">
        <f t="shared" si="4"/>
        <v>0.2</v>
      </c>
      <c r="J26" s="3">
        <f t="shared" si="4"/>
        <v>0.2</v>
      </c>
      <c r="K26" s="3">
        <f t="shared" si="4"/>
        <v>0.2</v>
      </c>
      <c r="L26" s="3">
        <f t="shared" si="4"/>
        <v>0.2</v>
      </c>
      <c r="M26" s="3">
        <f t="shared" si="4"/>
        <v>0.2</v>
      </c>
      <c r="N26" s="3">
        <f t="shared" si="4"/>
        <v>0.2</v>
      </c>
      <c r="O26" s="3">
        <f t="shared" si="4"/>
        <v>0.2</v>
      </c>
      <c r="P26" s="3">
        <f t="shared" si="4"/>
        <v>0.2</v>
      </c>
      <c r="Q26" s="3">
        <f t="shared" si="4"/>
        <v>0.2</v>
      </c>
    </row>
    <row r="27" spans="1:17">
      <c r="A27" s="84" t="s">
        <v>128</v>
      </c>
      <c r="B27" s="85" t="s">
        <v>127</v>
      </c>
      <c r="C27" s="85" t="s">
        <v>83</v>
      </c>
      <c r="D27" s="84" t="s">
        <v>80</v>
      </c>
      <c r="E27" s="84">
        <f>VLOOKUP(A27,'2a. SI Pop'!$A$5:$E$198,5,FALSE)</f>
        <v>2</v>
      </c>
      <c r="F27" s="84">
        <f>VLOOKUP(A27,'1. Overview'!$B$5:$F$198,5,FALSE)</f>
        <v>2035</v>
      </c>
      <c r="G27" s="3">
        <f t="shared" si="4"/>
        <v>0</v>
      </c>
      <c r="H27" s="3">
        <f t="shared" si="4"/>
        <v>0</v>
      </c>
      <c r="I27" s="3">
        <f t="shared" si="4"/>
        <v>0</v>
      </c>
      <c r="J27" s="3">
        <f t="shared" si="4"/>
        <v>0</v>
      </c>
      <c r="K27" s="3">
        <f t="shared" si="4"/>
        <v>0</v>
      </c>
      <c r="L27" s="3">
        <f t="shared" si="4"/>
        <v>0.2</v>
      </c>
      <c r="M27" s="3">
        <f t="shared" si="4"/>
        <v>0.2</v>
      </c>
      <c r="N27" s="3">
        <f t="shared" si="4"/>
        <v>0.2</v>
      </c>
      <c r="O27" s="3">
        <f t="shared" si="4"/>
        <v>0.2</v>
      </c>
      <c r="P27" s="3">
        <f t="shared" si="4"/>
        <v>0.2</v>
      </c>
      <c r="Q27" s="3">
        <f t="shared" si="4"/>
        <v>0.2</v>
      </c>
    </row>
    <row r="28" spans="1:17">
      <c r="A28" s="84" t="s">
        <v>130</v>
      </c>
      <c r="B28" s="85" t="s">
        <v>129</v>
      </c>
      <c r="C28" s="85" t="s">
        <v>92</v>
      </c>
      <c r="D28" s="84" t="s">
        <v>80</v>
      </c>
      <c r="E28" s="84" t="str">
        <f>VLOOKUP(A28,'2a. SI Pop'!$A$5:$E$198,5,FALSE)</f>
        <v>Key</v>
      </c>
      <c r="F28" s="84">
        <f>VLOOKUP(A28,'1. Overview'!$B$5:$F$198,5,FALSE)</f>
        <v>2036</v>
      </c>
      <c r="G28" s="3">
        <f t="shared" si="4"/>
        <v>0</v>
      </c>
      <c r="H28" s="3">
        <f t="shared" si="4"/>
        <v>0</v>
      </c>
      <c r="I28" s="3">
        <f t="shared" si="4"/>
        <v>0</v>
      </c>
      <c r="J28" s="3">
        <f t="shared" si="4"/>
        <v>0</v>
      </c>
      <c r="K28" s="3">
        <f t="shared" si="4"/>
        <v>0</v>
      </c>
      <c r="L28" s="3">
        <f t="shared" si="4"/>
        <v>0</v>
      </c>
      <c r="M28" s="3">
        <f t="shared" si="4"/>
        <v>0.2</v>
      </c>
      <c r="N28" s="3">
        <f t="shared" si="4"/>
        <v>0.2</v>
      </c>
      <c r="O28" s="3">
        <f t="shared" si="4"/>
        <v>0.2</v>
      </c>
      <c r="P28" s="3">
        <f t="shared" si="4"/>
        <v>0.2</v>
      </c>
      <c r="Q28" s="3">
        <f t="shared" si="4"/>
        <v>0.2</v>
      </c>
    </row>
    <row r="29" spans="1:17">
      <c r="A29" s="84" t="s">
        <v>132</v>
      </c>
      <c r="B29" s="85" t="s">
        <v>131</v>
      </c>
      <c r="C29" s="85" t="s">
        <v>99</v>
      </c>
      <c r="D29" s="84" t="s">
        <v>87</v>
      </c>
      <c r="E29" s="84">
        <f>VLOOKUP(A29,'2a. SI Pop'!$A$5:$E$198,5,FALSE)</f>
        <v>1</v>
      </c>
      <c r="F29" s="84">
        <f>VLOOKUP(A29,'1. Overview'!$B$5:$F$198,5,FALSE)</f>
        <v>2038</v>
      </c>
      <c r="G29" s="3">
        <f t="shared" si="4"/>
        <v>0</v>
      </c>
      <c r="H29" s="3">
        <f t="shared" si="4"/>
        <v>0</v>
      </c>
      <c r="I29" s="3">
        <f t="shared" si="4"/>
        <v>0</v>
      </c>
      <c r="J29" s="3">
        <f t="shared" si="4"/>
        <v>0</v>
      </c>
      <c r="K29" s="3">
        <f t="shared" si="4"/>
        <v>0</v>
      </c>
      <c r="L29" s="3">
        <f t="shared" si="4"/>
        <v>0</v>
      </c>
      <c r="M29" s="3">
        <f t="shared" si="4"/>
        <v>0</v>
      </c>
      <c r="N29" s="3">
        <f t="shared" si="4"/>
        <v>0</v>
      </c>
      <c r="O29" s="3">
        <f t="shared" si="4"/>
        <v>0.2</v>
      </c>
      <c r="P29" s="3">
        <f t="shared" si="4"/>
        <v>0.2</v>
      </c>
      <c r="Q29" s="3">
        <f t="shared" si="4"/>
        <v>0.2</v>
      </c>
    </row>
    <row r="30" spans="1:17">
      <c r="A30" s="84" t="s">
        <v>134</v>
      </c>
      <c r="B30" s="85" t="s">
        <v>133</v>
      </c>
      <c r="C30" s="85" t="s">
        <v>79</v>
      </c>
      <c r="D30" s="84" t="s">
        <v>80</v>
      </c>
      <c r="E30" s="84">
        <f>VLOOKUP(A30,'2a. SI Pop'!$A$5:$E$198,5,FALSE)</f>
        <v>1</v>
      </c>
      <c r="F30" s="84">
        <f>VLOOKUP(A30,'1. Overview'!$B$5:$F$198,5,FALSE)</f>
        <v>2034</v>
      </c>
      <c r="G30" s="3">
        <f t="shared" si="4"/>
        <v>0</v>
      </c>
      <c r="H30" s="3">
        <f t="shared" si="4"/>
        <v>0</v>
      </c>
      <c r="I30" s="3">
        <f t="shared" si="4"/>
        <v>0</v>
      </c>
      <c r="J30" s="3">
        <f t="shared" si="4"/>
        <v>0</v>
      </c>
      <c r="K30" s="3">
        <f t="shared" si="4"/>
        <v>0.2</v>
      </c>
      <c r="L30" s="3">
        <f t="shared" si="4"/>
        <v>0.2</v>
      </c>
      <c r="M30" s="3">
        <f t="shared" si="4"/>
        <v>0.2</v>
      </c>
      <c r="N30" s="3">
        <f t="shared" si="4"/>
        <v>0.2</v>
      </c>
      <c r="O30" s="3">
        <f t="shared" si="4"/>
        <v>0.2</v>
      </c>
      <c r="P30" s="3">
        <f t="shared" si="4"/>
        <v>0.2</v>
      </c>
      <c r="Q30" s="3">
        <f t="shared" si="4"/>
        <v>0.2</v>
      </c>
    </row>
    <row r="31" spans="1:17">
      <c r="A31" s="84" t="s">
        <v>136</v>
      </c>
      <c r="B31" s="85" t="s">
        <v>135</v>
      </c>
      <c r="C31" s="85" t="s">
        <v>83</v>
      </c>
      <c r="D31" s="84" t="s">
        <v>75</v>
      </c>
      <c r="E31" s="84">
        <f>VLOOKUP(A31,'2a. SI Pop'!$A$5:$E$198,5,FALSE)</f>
        <v>3</v>
      </c>
      <c r="F31" s="84">
        <f>VLOOKUP(A31,'1. Overview'!$B$5:$F$198,5,FALSE)</f>
        <v>2033</v>
      </c>
      <c r="G31" s="3">
        <f t="shared" si="4"/>
        <v>0</v>
      </c>
      <c r="H31" s="3">
        <f t="shared" si="4"/>
        <v>0</v>
      </c>
      <c r="I31" s="3">
        <f t="shared" si="4"/>
        <v>0</v>
      </c>
      <c r="J31" s="3">
        <f t="shared" si="4"/>
        <v>0.2</v>
      </c>
      <c r="K31" s="3">
        <f t="shared" si="4"/>
        <v>0.2</v>
      </c>
      <c r="L31" s="3">
        <f t="shared" si="4"/>
        <v>0.2</v>
      </c>
      <c r="M31" s="3">
        <f t="shared" si="4"/>
        <v>0.2</v>
      </c>
      <c r="N31" s="3">
        <f t="shared" si="4"/>
        <v>0.2</v>
      </c>
      <c r="O31" s="3">
        <f t="shared" si="4"/>
        <v>0.2</v>
      </c>
      <c r="P31" s="3">
        <f t="shared" si="4"/>
        <v>0.2</v>
      </c>
      <c r="Q31" s="3">
        <f t="shared" si="4"/>
        <v>0.2</v>
      </c>
    </row>
    <row r="32" spans="1:17">
      <c r="A32" s="84" t="s">
        <v>138</v>
      </c>
      <c r="B32" s="85" t="s">
        <v>137</v>
      </c>
      <c r="C32" s="85" t="s">
        <v>83</v>
      </c>
      <c r="D32" s="84" t="s">
        <v>75</v>
      </c>
      <c r="E32" s="84">
        <f>VLOOKUP(A32,'2a. SI Pop'!$A$5:$E$198,5,FALSE)</f>
        <v>3</v>
      </c>
      <c r="F32" s="84">
        <f>VLOOKUP(A32,'1. Overview'!$B$5:$F$198,5,FALSE)</f>
        <v>2033</v>
      </c>
      <c r="G32" s="3">
        <f t="shared" si="4"/>
        <v>0</v>
      </c>
      <c r="H32" s="3">
        <f t="shared" si="4"/>
        <v>0</v>
      </c>
      <c r="I32" s="3">
        <f t="shared" si="4"/>
        <v>0</v>
      </c>
      <c r="J32" s="3">
        <f t="shared" si="4"/>
        <v>0.2</v>
      </c>
      <c r="K32" s="3">
        <f t="shared" si="4"/>
        <v>0.2</v>
      </c>
      <c r="L32" s="3">
        <f t="shared" si="4"/>
        <v>0.2</v>
      </c>
      <c r="M32" s="3">
        <f t="shared" si="4"/>
        <v>0.2</v>
      </c>
      <c r="N32" s="3">
        <f t="shared" si="4"/>
        <v>0.2</v>
      </c>
      <c r="O32" s="3">
        <f t="shared" si="4"/>
        <v>0.2</v>
      </c>
      <c r="P32" s="3">
        <f t="shared" si="4"/>
        <v>0.2</v>
      </c>
      <c r="Q32" s="3">
        <f t="shared" si="4"/>
        <v>0.2</v>
      </c>
    </row>
    <row r="33" spans="1:17">
      <c r="A33" s="84" t="s">
        <v>140</v>
      </c>
      <c r="B33" s="85" t="s">
        <v>139</v>
      </c>
      <c r="C33" s="85" t="s">
        <v>99</v>
      </c>
      <c r="D33" s="84" t="s">
        <v>84</v>
      </c>
      <c r="E33" s="84">
        <f>VLOOKUP(A33,'2a. SI Pop'!$A$5:$E$198,5,FALSE)</f>
        <v>4</v>
      </c>
      <c r="F33" s="84">
        <f>VLOOKUP(A33,'1. Overview'!$B$5:$F$198,5,FALSE)</f>
        <v>2037</v>
      </c>
      <c r="G33" s="3">
        <f t="shared" si="4"/>
        <v>0</v>
      </c>
      <c r="H33" s="3">
        <f t="shared" si="4"/>
        <v>0</v>
      </c>
      <c r="I33" s="3">
        <f t="shared" si="4"/>
        <v>0</v>
      </c>
      <c r="J33" s="3">
        <f t="shared" si="4"/>
        <v>0</v>
      </c>
      <c r="K33" s="3">
        <f t="shared" si="4"/>
        <v>0</v>
      </c>
      <c r="L33" s="3">
        <f t="shared" si="4"/>
        <v>0</v>
      </c>
      <c r="M33" s="3">
        <f t="shared" si="4"/>
        <v>0</v>
      </c>
      <c r="N33" s="3">
        <f t="shared" si="4"/>
        <v>0.2</v>
      </c>
      <c r="O33" s="3">
        <f t="shared" si="4"/>
        <v>0.2</v>
      </c>
      <c r="P33" s="3">
        <f t="shared" si="4"/>
        <v>0.2</v>
      </c>
      <c r="Q33" s="3">
        <f t="shared" si="4"/>
        <v>0.2</v>
      </c>
    </row>
    <row r="34" spans="1:17">
      <c r="A34" s="84" t="s">
        <v>142</v>
      </c>
      <c r="B34" s="85" t="s">
        <v>141</v>
      </c>
      <c r="C34" s="85" t="s">
        <v>83</v>
      </c>
      <c r="D34" s="84" t="s">
        <v>84</v>
      </c>
      <c r="E34" s="84">
        <f>VLOOKUP(A34,'2a. SI Pop'!$A$5:$E$198,5,FALSE)</f>
        <v>3</v>
      </c>
      <c r="F34" s="84">
        <f>VLOOKUP(A34,'1. Overview'!$B$5:$F$198,5,FALSE)</f>
        <v>2031</v>
      </c>
      <c r="G34" s="3">
        <f t="shared" si="4"/>
        <v>0</v>
      </c>
      <c r="H34" s="3">
        <f t="shared" si="4"/>
        <v>0.2</v>
      </c>
      <c r="I34" s="3">
        <f t="shared" si="4"/>
        <v>0.2</v>
      </c>
      <c r="J34" s="3">
        <f t="shared" si="4"/>
        <v>0.2</v>
      </c>
      <c r="K34" s="3">
        <f t="shared" si="4"/>
        <v>0.2</v>
      </c>
      <c r="L34" s="3">
        <f t="shared" si="4"/>
        <v>0.2</v>
      </c>
      <c r="M34" s="3">
        <f t="shared" si="4"/>
        <v>0.2</v>
      </c>
      <c r="N34" s="3">
        <f t="shared" si="4"/>
        <v>0.2</v>
      </c>
      <c r="O34" s="3">
        <f t="shared" si="4"/>
        <v>0.2</v>
      </c>
      <c r="P34" s="3">
        <f t="shared" si="4"/>
        <v>0.2</v>
      </c>
      <c r="Q34" s="3">
        <f t="shared" si="4"/>
        <v>0.2</v>
      </c>
    </row>
    <row r="35" spans="1:17">
      <c r="A35" s="84" t="s">
        <v>144</v>
      </c>
      <c r="B35" s="85" t="s">
        <v>143</v>
      </c>
      <c r="C35" s="85" t="s">
        <v>92</v>
      </c>
      <c r="D35" s="84" t="s">
        <v>87</v>
      </c>
      <c r="E35" s="84">
        <f>VLOOKUP(A35,'2a. SI Pop'!$A$5:$E$198,5,FALSE)</f>
        <v>1</v>
      </c>
      <c r="F35" s="84">
        <f>VLOOKUP(A35,'1. Overview'!$B$5:$F$198,5,FALSE)</f>
        <v>2033</v>
      </c>
      <c r="G35" s="3">
        <f t="shared" si="4"/>
        <v>0</v>
      </c>
      <c r="H35" s="3">
        <f t="shared" si="4"/>
        <v>0</v>
      </c>
      <c r="I35" s="3">
        <f t="shared" si="4"/>
        <v>0</v>
      </c>
      <c r="J35" s="3">
        <f t="shared" si="4"/>
        <v>0.2</v>
      </c>
      <c r="K35" s="3">
        <f t="shared" si="4"/>
        <v>0.2</v>
      </c>
      <c r="L35" s="3">
        <f t="shared" si="4"/>
        <v>0.2</v>
      </c>
      <c r="M35" s="3">
        <f t="shared" si="4"/>
        <v>0.2</v>
      </c>
      <c r="N35" s="3">
        <f t="shared" si="4"/>
        <v>0.2</v>
      </c>
      <c r="O35" s="3">
        <f t="shared" si="4"/>
        <v>0.2</v>
      </c>
      <c r="P35" s="3">
        <f t="shared" si="4"/>
        <v>0.2</v>
      </c>
      <c r="Q35" s="3">
        <f t="shared" si="4"/>
        <v>0.2</v>
      </c>
    </row>
    <row r="36" spans="1:17">
      <c r="A36" s="84" t="s">
        <v>146</v>
      </c>
      <c r="B36" s="85" t="s">
        <v>145</v>
      </c>
      <c r="C36" s="85" t="s">
        <v>83</v>
      </c>
      <c r="D36" s="84" t="s">
        <v>84</v>
      </c>
      <c r="E36" s="84">
        <f>VLOOKUP(A36,'2a. SI Pop'!$A$5:$E$198,5,FALSE)</f>
        <v>2</v>
      </c>
      <c r="F36" s="84">
        <f>VLOOKUP(A36,'1. Overview'!$B$5:$F$198,5,FALSE)</f>
        <v>2037</v>
      </c>
      <c r="G36" s="3">
        <f t="shared" si="4"/>
        <v>0</v>
      </c>
      <c r="H36" s="3">
        <f t="shared" si="4"/>
        <v>0</v>
      </c>
      <c r="I36" s="3">
        <f t="shared" si="4"/>
        <v>0</v>
      </c>
      <c r="J36" s="3">
        <f t="shared" si="4"/>
        <v>0</v>
      </c>
      <c r="K36" s="3">
        <f t="shared" si="4"/>
        <v>0</v>
      </c>
      <c r="L36" s="3">
        <f t="shared" si="4"/>
        <v>0</v>
      </c>
      <c r="M36" s="3">
        <f t="shared" si="4"/>
        <v>0</v>
      </c>
      <c r="N36" s="3">
        <f t="shared" si="4"/>
        <v>0.2</v>
      </c>
      <c r="O36" s="3">
        <f t="shared" si="4"/>
        <v>0.2</v>
      </c>
      <c r="P36" s="3">
        <f t="shared" si="4"/>
        <v>0.2</v>
      </c>
      <c r="Q36" s="3">
        <f t="shared" si="4"/>
        <v>0.2</v>
      </c>
    </row>
    <row r="37" spans="1:17">
      <c r="A37" s="84" t="s">
        <v>148</v>
      </c>
      <c r="B37" s="85" t="s">
        <v>147</v>
      </c>
      <c r="C37" s="85" t="s">
        <v>83</v>
      </c>
      <c r="D37" s="84" t="s">
        <v>75</v>
      </c>
      <c r="E37" s="84">
        <f>VLOOKUP(A37,'2a. SI Pop'!$A$5:$E$198,5,FALSE)</f>
        <v>3</v>
      </c>
      <c r="F37" s="84">
        <f>VLOOKUP(A37,'1. Overview'!$B$5:$F$198,5,FALSE)</f>
        <v>2034</v>
      </c>
      <c r="G37" s="3">
        <f t="shared" si="4"/>
        <v>0</v>
      </c>
      <c r="H37" s="3">
        <f t="shared" si="4"/>
        <v>0</v>
      </c>
      <c r="I37" s="3">
        <f t="shared" si="4"/>
        <v>0</v>
      </c>
      <c r="J37" s="3">
        <f t="shared" si="4"/>
        <v>0</v>
      </c>
      <c r="K37" s="3">
        <f t="shared" si="4"/>
        <v>0.2</v>
      </c>
      <c r="L37" s="3">
        <f t="shared" si="4"/>
        <v>0.2</v>
      </c>
      <c r="M37" s="3">
        <f t="shared" si="4"/>
        <v>0.2</v>
      </c>
      <c r="N37" s="3">
        <f t="shared" si="4"/>
        <v>0.2</v>
      </c>
      <c r="O37" s="3">
        <f t="shared" si="4"/>
        <v>0.2</v>
      </c>
      <c r="P37" s="3">
        <f t="shared" si="4"/>
        <v>0.2</v>
      </c>
      <c r="Q37" s="3">
        <f t="shared" si="4"/>
        <v>0.2</v>
      </c>
    </row>
    <row r="38" spans="1:17">
      <c r="A38" s="84" t="s">
        <v>150</v>
      </c>
      <c r="B38" s="85" t="s">
        <v>149</v>
      </c>
      <c r="C38" s="85" t="s">
        <v>83</v>
      </c>
      <c r="D38" s="84" t="s">
        <v>75</v>
      </c>
      <c r="E38" s="84" t="str">
        <f>VLOOKUP(A38,'2a. SI Pop'!$A$5:$E$198,5,FALSE)</f>
        <v>Key</v>
      </c>
      <c r="F38" s="84">
        <f>VLOOKUP(A38,'1. Overview'!$B$5:$F$198,5,FALSE)</f>
        <v>2032</v>
      </c>
      <c r="G38" s="3">
        <f t="shared" ref="G38:Q53" si="5">IF(G$4&gt;=$F38,$B$3,0)</f>
        <v>0</v>
      </c>
      <c r="H38" s="3">
        <f t="shared" si="5"/>
        <v>0</v>
      </c>
      <c r="I38" s="3">
        <f t="shared" si="5"/>
        <v>0.2</v>
      </c>
      <c r="J38" s="3">
        <f t="shared" si="5"/>
        <v>0.2</v>
      </c>
      <c r="K38" s="3">
        <f t="shared" si="5"/>
        <v>0.2</v>
      </c>
      <c r="L38" s="3">
        <f t="shared" si="5"/>
        <v>0.2</v>
      </c>
      <c r="M38" s="3">
        <f t="shared" si="5"/>
        <v>0.2</v>
      </c>
      <c r="N38" s="3">
        <f t="shared" si="5"/>
        <v>0.2</v>
      </c>
      <c r="O38" s="3">
        <f t="shared" si="5"/>
        <v>0.2</v>
      </c>
      <c r="P38" s="3">
        <f t="shared" si="5"/>
        <v>0.2</v>
      </c>
      <c r="Q38" s="3">
        <f t="shared" si="5"/>
        <v>0.2</v>
      </c>
    </row>
    <row r="39" spans="1:17">
      <c r="A39" s="84" t="s">
        <v>152</v>
      </c>
      <c r="B39" s="85" t="s">
        <v>151</v>
      </c>
      <c r="C39" s="85" t="s">
        <v>92</v>
      </c>
      <c r="D39" s="84" t="s">
        <v>87</v>
      </c>
      <c r="E39" s="84">
        <f>VLOOKUP(A39,'2a. SI Pop'!$A$5:$E$198,5,FALSE)</f>
        <v>2</v>
      </c>
      <c r="F39" s="84">
        <f>VLOOKUP(A39,'1. Overview'!$B$5:$F$198,5,FALSE)</f>
        <v>2035</v>
      </c>
      <c r="G39" s="3">
        <f t="shared" si="5"/>
        <v>0</v>
      </c>
      <c r="H39" s="3">
        <f t="shared" si="5"/>
        <v>0</v>
      </c>
      <c r="I39" s="3">
        <f t="shared" si="5"/>
        <v>0</v>
      </c>
      <c r="J39" s="3">
        <f t="shared" si="5"/>
        <v>0</v>
      </c>
      <c r="K39" s="3">
        <f t="shared" si="5"/>
        <v>0</v>
      </c>
      <c r="L39" s="3">
        <f t="shared" si="5"/>
        <v>0.2</v>
      </c>
      <c r="M39" s="3">
        <f t="shared" si="5"/>
        <v>0.2</v>
      </c>
      <c r="N39" s="3">
        <f t="shared" si="5"/>
        <v>0.2</v>
      </c>
      <c r="O39" s="3">
        <f t="shared" si="5"/>
        <v>0.2</v>
      </c>
      <c r="P39" s="3">
        <f t="shared" si="5"/>
        <v>0.2</v>
      </c>
      <c r="Q39" s="3">
        <f t="shared" si="5"/>
        <v>0.2</v>
      </c>
    </row>
    <row r="40" spans="1:17">
      <c r="A40" s="84" t="s">
        <v>154</v>
      </c>
      <c r="B40" s="85" t="s">
        <v>153</v>
      </c>
      <c r="C40" s="85" t="s">
        <v>99</v>
      </c>
      <c r="D40" s="84" t="s">
        <v>80</v>
      </c>
      <c r="E40" s="84">
        <f>VLOOKUP(A40,'2a. SI Pop'!$A$5:$E$198,5,FALSE)</f>
        <v>1</v>
      </c>
      <c r="F40" s="84">
        <f>VLOOKUP(A40,'1. Overview'!$B$5:$F$198,5,FALSE)</f>
        <v>2030</v>
      </c>
      <c r="G40" s="3">
        <f t="shared" si="5"/>
        <v>0.2</v>
      </c>
      <c r="H40" s="3">
        <f t="shared" si="5"/>
        <v>0.2</v>
      </c>
      <c r="I40" s="3">
        <f t="shared" si="5"/>
        <v>0.2</v>
      </c>
      <c r="J40" s="3">
        <f t="shared" si="5"/>
        <v>0.2</v>
      </c>
      <c r="K40" s="3">
        <f t="shared" si="5"/>
        <v>0.2</v>
      </c>
      <c r="L40" s="3">
        <f t="shared" si="5"/>
        <v>0.2</v>
      </c>
      <c r="M40" s="3">
        <f t="shared" si="5"/>
        <v>0.2</v>
      </c>
      <c r="N40" s="3">
        <f t="shared" si="5"/>
        <v>0.2</v>
      </c>
      <c r="O40" s="3">
        <f t="shared" si="5"/>
        <v>0.2</v>
      </c>
      <c r="P40" s="3">
        <f t="shared" si="5"/>
        <v>0.2</v>
      </c>
      <c r="Q40" s="3">
        <f t="shared" si="5"/>
        <v>0.2</v>
      </c>
    </row>
    <row r="41" spans="1:17">
      <c r="A41" s="84" t="s">
        <v>156</v>
      </c>
      <c r="B41" s="85" t="s">
        <v>155</v>
      </c>
      <c r="C41" s="85" t="s">
        <v>92</v>
      </c>
      <c r="D41" s="84" t="s">
        <v>80</v>
      </c>
      <c r="E41" s="84">
        <f>VLOOKUP(A41,'2a. SI Pop'!$A$5:$E$198,5,FALSE)</f>
        <v>2</v>
      </c>
      <c r="F41" s="84">
        <f>VLOOKUP(A41,'1. Overview'!$B$5:$F$198,5,FALSE)</f>
        <v>2035</v>
      </c>
      <c r="G41" s="3">
        <f t="shared" si="5"/>
        <v>0</v>
      </c>
      <c r="H41" s="3">
        <f t="shared" si="5"/>
        <v>0</v>
      </c>
      <c r="I41" s="3">
        <f t="shared" si="5"/>
        <v>0</v>
      </c>
      <c r="J41" s="3">
        <f t="shared" si="5"/>
        <v>0</v>
      </c>
      <c r="K41" s="3">
        <f t="shared" si="5"/>
        <v>0</v>
      </c>
      <c r="L41" s="3">
        <f t="shared" si="5"/>
        <v>0.2</v>
      </c>
      <c r="M41" s="3">
        <f t="shared" si="5"/>
        <v>0.2</v>
      </c>
      <c r="N41" s="3">
        <f t="shared" si="5"/>
        <v>0.2</v>
      </c>
      <c r="O41" s="3">
        <f t="shared" si="5"/>
        <v>0.2</v>
      </c>
      <c r="P41" s="3">
        <f t="shared" si="5"/>
        <v>0.2</v>
      </c>
      <c r="Q41" s="3">
        <f t="shared" si="5"/>
        <v>0.2</v>
      </c>
    </row>
    <row r="42" spans="1:17">
      <c r="A42" s="84" t="s">
        <v>158</v>
      </c>
      <c r="B42" s="85" t="s">
        <v>157</v>
      </c>
      <c r="C42" s="85" t="s">
        <v>83</v>
      </c>
      <c r="D42" s="84" t="s">
        <v>84</v>
      </c>
      <c r="E42" s="84">
        <f>VLOOKUP(A42,'2a. SI Pop'!$A$5:$E$198,5,FALSE)</f>
        <v>3</v>
      </c>
      <c r="F42" s="84">
        <f>VLOOKUP(A42,'1. Overview'!$B$5:$F$198,5,FALSE)</f>
        <v>2037</v>
      </c>
      <c r="G42" s="3">
        <f t="shared" si="5"/>
        <v>0</v>
      </c>
      <c r="H42" s="3">
        <f t="shared" si="5"/>
        <v>0</v>
      </c>
      <c r="I42" s="3">
        <f t="shared" si="5"/>
        <v>0</v>
      </c>
      <c r="J42" s="3">
        <f t="shared" si="5"/>
        <v>0</v>
      </c>
      <c r="K42" s="3">
        <f t="shared" si="5"/>
        <v>0</v>
      </c>
      <c r="L42" s="3">
        <f t="shared" si="5"/>
        <v>0</v>
      </c>
      <c r="M42" s="3">
        <f t="shared" si="5"/>
        <v>0</v>
      </c>
      <c r="N42" s="3">
        <f t="shared" si="5"/>
        <v>0.2</v>
      </c>
      <c r="O42" s="3">
        <f t="shared" si="5"/>
        <v>0.2</v>
      </c>
      <c r="P42" s="3">
        <f t="shared" si="5"/>
        <v>0.2</v>
      </c>
      <c r="Q42" s="3">
        <f t="shared" si="5"/>
        <v>0.2</v>
      </c>
    </row>
    <row r="43" spans="1:17">
      <c r="A43" s="84" t="s">
        <v>160</v>
      </c>
      <c r="B43" s="85" t="s">
        <v>159</v>
      </c>
      <c r="C43" s="85" t="s">
        <v>83</v>
      </c>
      <c r="D43" s="84" t="s">
        <v>84</v>
      </c>
      <c r="E43" s="84">
        <f>VLOOKUP(A43,'2a. SI Pop'!$A$5:$E$198,5,FALSE)</f>
        <v>3</v>
      </c>
      <c r="F43" s="84">
        <f>VLOOKUP(A43,'1. Overview'!$B$5:$F$198,5,FALSE)</f>
        <v>2032</v>
      </c>
      <c r="G43" s="3">
        <f t="shared" si="5"/>
        <v>0</v>
      </c>
      <c r="H43" s="3">
        <f t="shared" si="5"/>
        <v>0</v>
      </c>
      <c r="I43" s="3">
        <f t="shared" si="5"/>
        <v>0.2</v>
      </c>
      <c r="J43" s="3">
        <f t="shared" si="5"/>
        <v>0.2</v>
      </c>
      <c r="K43" s="3">
        <f t="shared" si="5"/>
        <v>0.2</v>
      </c>
      <c r="L43" s="3">
        <f t="shared" si="5"/>
        <v>0.2</v>
      </c>
      <c r="M43" s="3">
        <f t="shared" si="5"/>
        <v>0.2</v>
      </c>
      <c r="N43" s="3">
        <f t="shared" si="5"/>
        <v>0.2</v>
      </c>
      <c r="O43" s="3">
        <f t="shared" si="5"/>
        <v>0.2</v>
      </c>
      <c r="P43" s="3">
        <f t="shared" si="5"/>
        <v>0.2</v>
      </c>
      <c r="Q43" s="3">
        <f t="shared" si="5"/>
        <v>0.2</v>
      </c>
    </row>
    <row r="44" spans="1:17">
      <c r="A44" s="84" t="s">
        <v>162</v>
      </c>
      <c r="B44" s="85" t="s">
        <v>161</v>
      </c>
      <c r="C44" s="85" t="s">
        <v>99</v>
      </c>
      <c r="D44" s="84" t="e">
        <v>#N/A</v>
      </c>
      <c r="E44" s="84">
        <f>VLOOKUP(A44,'2a. SI Pop'!$A$5:$E$198,5,FALSE)</f>
        <v>1</v>
      </c>
      <c r="F44" s="84">
        <f>VLOOKUP(A44,'1. Overview'!$B$5:$F$198,5,FALSE)</f>
        <v>2040</v>
      </c>
      <c r="G44" s="3">
        <f t="shared" si="5"/>
        <v>0</v>
      </c>
      <c r="H44" s="3">
        <f t="shared" si="5"/>
        <v>0</v>
      </c>
      <c r="I44" s="3">
        <f t="shared" si="5"/>
        <v>0</v>
      </c>
      <c r="J44" s="3">
        <f t="shared" si="5"/>
        <v>0</v>
      </c>
      <c r="K44" s="3">
        <f t="shared" si="5"/>
        <v>0</v>
      </c>
      <c r="L44" s="3">
        <f t="shared" si="5"/>
        <v>0</v>
      </c>
      <c r="M44" s="3">
        <f t="shared" si="5"/>
        <v>0</v>
      </c>
      <c r="N44" s="3">
        <f t="shared" si="5"/>
        <v>0</v>
      </c>
      <c r="O44" s="3">
        <f t="shared" si="5"/>
        <v>0</v>
      </c>
      <c r="P44" s="3">
        <f t="shared" si="5"/>
        <v>0</v>
      </c>
      <c r="Q44" s="3">
        <f t="shared" si="5"/>
        <v>0.2</v>
      </c>
    </row>
    <row r="45" spans="1:17">
      <c r="A45" s="84" t="s">
        <v>164</v>
      </c>
      <c r="B45" s="85" t="s">
        <v>163</v>
      </c>
      <c r="C45" s="85" t="s">
        <v>92</v>
      </c>
      <c r="D45" s="84" t="s">
        <v>80</v>
      </c>
      <c r="E45" s="84">
        <f>VLOOKUP(A45,'2a. SI Pop'!$A$5:$E$198,5,FALSE)</f>
        <v>2</v>
      </c>
      <c r="F45" s="84">
        <f>VLOOKUP(A45,'1. Overview'!$B$5:$F$198,5,FALSE)</f>
        <v>2039</v>
      </c>
      <c r="G45" s="3">
        <f t="shared" si="5"/>
        <v>0</v>
      </c>
      <c r="H45" s="3">
        <f t="shared" si="5"/>
        <v>0</v>
      </c>
      <c r="I45" s="3">
        <f t="shared" si="5"/>
        <v>0</v>
      </c>
      <c r="J45" s="3">
        <f t="shared" si="5"/>
        <v>0</v>
      </c>
      <c r="K45" s="3">
        <f t="shared" si="5"/>
        <v>0</v>
      </c>
      <c r="L45" s="3">
        <f t="shared" si="5"/>
        <v>0</v>
      </c>
      <c r="M45" s="3">
        <f t="shared" si="5"/>
        <v>0</v>
      </c>
      <c r="N45" s="3">
        <f t="shared" si="5"/>
        <v>0</v>
      </c>
      <c r="O45" s="3">
        <f t="shared" si="5"/>
        <v>0</v>
      </c>
      <c r="P45" s="3">
        <f t="shared" si="5"/>
        <v>0.2</v>
      </c>
      <c r="Q45" s="3">
        <f t="shared" si="5"/>
        <v>0.2</v>
      </c>
    </row>
    <row r="46" spans="1:17">
      <c r="A46" s="84" t="s">
        <v>166</v>
      </c>
      <c r="B46" s="85" t="s">
        <v>165</v>
      </c>
      <c r="C46" s="85" t="s">
        <v>83</v>
      </c>
      <c r="D46" s="84" t="s">
        <v>84</v>
      </c>
      <c r="E46" s="84">
        <f>VLOOKUP(A46,'2a. SI Pop'!$A$5:$E$198,5,FALSE)</f>
        <v>3</v>
      </c>
      <c r="F46" s="84">
        <f>VLOOKUP(A46,'1. Overview'!$B$5:$F$198,5,FALSE)</f>
        <v>2036</v>
      </c>
      <c r="G46" s="3">
        <f t="shared" si="5"/>
        <v>0</v>
      </c>
      <c r="H46" s="3">
        <f t="shared" si="5"/>
        <v>0</v>
      </c>
      <c r="I46" s="3">
        <f t="shared" si="5"/>
        <v>0</v>
      </c>
      <c r="J46" s="3">
        <f t="shared" si="5"/>
        <v>0</v>
      </c>
      <c r="K46" s="3">
        <f t="shared" si="5"/>
        <v>0</v>
      </c>
      <c r="L46" s="3">
        <f t="shared" si="5"/>
        <v>0</v>
      </c>
      <c r="M46" s="3">
        <f t="shared" si="5"/>
        <v>0.2</v>
      </c>
      <c r="N46" s="3">
        <f t="shared" si="5"/>
        <v>0.2</v>
      </c>
      <c r="O46" s="3">
        <f t="shared" si="5"/>
        <v>0.2</v>
      </c>
      <c r="P46" s="3">
        <f t="shared" si="5"/>
        <v>0.2</v>
      </c>
      <c r="Q46" s="3">
        <f t="shared" si="5"/>
        <v>0.2</v>
      </c>
    </row>
    <row r="47" spans="1:17">
      <c r="A47" s="84" t="s">
        <v>168</v>
      </c>
      <c r="B47" s="85" t="s">
        <v>167</v>
      </c>
      <c r="C47" s="85" t="s">
        <v>79</v>
      </c>
      <c r="D47" s="84" t="s">
        <v>87</v>
      </c>
      <c r="E47" s="84">
        <f>VLOOKUP(A47,'2a. SI Pop'!$A$5:$E$198,5,FALSE)</f>
        <v>1</v>
      </c>
      <c r="F47" s="84">
        <f>VLOOKUP(A47,'1. Overview'!$B$5:$F$198,5,FALSE)</f>
        <v>2038</v>
      </c>
      <c r="G47" s="3">
        <f t="shared" si="5"/>
        <v>0</v>
      </c>
      <c r="H47" s="3">
        <f t="shared" si="5"/>
        <v>0</v>
      </c>
      <c r="I47" s="3">
        <f t="shared" si="5"/>
        <v>0</v>
      </c>
      <c r="J47" s="3">
        <f t="shared" si="5"/>
        <v>0</v>
      </c>
      <c r="K47" s="3">
        <f t="shared" si="5"/>
        <v>0</v>
      </c>
      <c r="L47" s="3">
        <f t="shared" si="5"/>
        <v>0</v>
      </c>
      <c r="M47" s="3">
        <f t="shared" si="5"/>
        <v>0</v>
      </c>
      <c r="N47" s="3">
        <f t="shared" si="5"/>
        <v>0</v>
      </c>
      <c r="O47" s="3">
        <f t="shared" si="5"/>
        <v>0.2</v>
      </c>
      <c r="P47" s="3">
        <f t="shared" si="5"/>
        <v>0.2</v>
      </c>
      <c r="Q47" s="3">
        <f t="shared" si="5"/>
        <v>0.2</v>
      </c>
    </row>
    <row r="48" spans="1:17">
      <c r="A48" s="84" t="s">
        <v>170</v>
      </c>
      <c r="B48" s="85" t="s">
        <v>169</v>
      </c>
      <c r="C48" s="85" t="s">
        <v>92</v>
      </c>
      <c r="D48" s="84" t="s">
        <v>80</v>
      </c>
      <c r="E48" s="84">
        <f>VLOOKUP(A48,'2a. SI Pop'!$A$5:$E$198,5,FALSE)</f>
        <v>1</v>
      </c>
      <c r="F48" s="84">
        <f>VLOOKUP(A48,'1. Overview'!$B$5:$F$198,5,FALSE)</f>
        <v>2040</v>
      </c>
      <c r="G48" s="3">
        <f t="shared" si="5"/>
        <v>0</v>
      </c>
      <c r="H48" s="3">
        <f t="shared" si="5"/>
        <v>0</v>
      </c>
      <c r="I48" s="3">
        <f t="shared" si="5"/>
        <v>0</v>
      </c>
      <c r="J48" s="3">
        <f t="shared" si="5"/>
        <v>0</v>
      </c>
      <c r="K48" s="3">
        <f t="shared" si="5"/>
        <v>0</v>
      </c>
      <c r="L48" s="3">
        <f t="shared" si="5"/>
        <v>0</v>
      </c>
      <c r="M48" s="3">
        <f t="shared" si="5"/>
        <v>0</v>
      </c>
      <c r="N48" s="3">
        <f t="shared" si="5"/>
        <v>0</v>
      </c>
      <c r="O48" s="3">
        <f t="shared" si="5"/>
        <v>0</v>
      </c>
      <c r="P48" s="3">
        <f t="shared" si="5"/>
        <v>0</v>
      </c>
      <c r="Q48" s="3">
        <f t="shared" si="5"/>
        <v>0.2</v>
      </c>
    </row>
    <row r="49" spans="1:17">
      <c r="A49" s="84" t="s">
        <v>172</v>
      </c>
      <c r="B49" s="85" t="s">
        <v>171</v>
      </c>
      <c r="C49" s="85" t="s">
        <v>79</v>
      </c>
      <c r="D49" s="84" t="s">
        <v>87</v>
      </c>
      <c r="E49" s="84">
        <f>VLOOKUP(A49,'2a. SI Pop'!$A$5:$E$198,5,FALSE)</f>
        <v>1</v>
      </c>
      <c r="F49" s="84">
        <f>VLOOKUP(A49,'1. Overview'!$B$5:$F$198,5,FALSE)</f>
        <v>2033</v>
      </c>
      <c r="G49" s="3">
        <f t="shared" si="5"/>
        <v>0</v>
      </c>
      <c r="H49" s="3">
        <f t="shared" si="5"/>
        <v>0</v>
      </c>
      <c r="I49" s="3">
        <f t="shared" si="5"/>
        <v>0</v>
      </c>
      <c r="J49" s="3">
        <f t="shared" si="5"/>
        <v>0.2</v>
      </c>
      <c r="K49" s="3">
        <f t="shared" si="5"/>
        <v>0.2</v>
      </c>
      <c r="L49" s="3">
        <f t="shared" si="5"/>
        <v>0.2</v>
      </c>
      <c r="M49" s="3">
        <f t="shared" si="5"/>
        <v>0.2</v>
      </c>
      <c r="N49" s="3">
        <f t="shared" si="5"/>
        <v>0.2</v>
      </c>
      <c r="O49" s="3">
        <f t="shared" si="5"/>
        <v>0.2</v>
      </c>
      <c r="P49" s="3">
        <f t="shared" si="5"/>
        <v>0.2</v>
      </c>
      <c r="Q49" s="3">
        <f t="shared" si="5"/>
        <v>0.2</v>
      </c>
    </row>
    <row r="50" spans="1:17">
      <c r="A50" s="84" t="s">
        <v>174</v>
      </c>
      <c r="B50" s="85" t="s">
        <v>173</v>
      </c>
      <c r="C50" s="85" t="s">
        <v>79</v>
      </c>
      <c r="D50" s="84" t="s">
        <v>87</v>
      </c>
      <c r="E50" s="84">
        <f>VLOOKUP(A50,'2a. SI Pop'!$A$5:$E$198,5,FALSE)</f>
        <v>1</v>
      </c>
      <c r="F50" s="84">
        <f>VLOOKUP(A50,'1. Overview'!$B$5:$F$198,5,FALSE)</f>
        <v>2032</v>
      </c>
      <c r="G50" s="3">
        <f t="shared" si="5"/>
        <v>0</v>
      </c>
      <c r="H50" s="3">
        <f t="shared" si="5"/>
        <v>0</v>
      </c>
      <c r="I50" s="3">
        <f t="shared" si="5"/>
        <v>0.2</v>
      </c>
      <c r="J50" s="3">
        <f t="shared" si="5"/>
        <v>0.2</v>
      </c>
      <c r="K50" s="3">
        <f t="shared" si="5"/>
        <v>0.2</v>
      </c>
      <c r="L50" s="3">
        <f t="shared" si="5"/>
        <v>0.2</v>
      </c>
      <c r="M50" s="3">
        <f t="shared" si="5"/>
        <v>0.2</v>
      </c>
      <c r="N50" s="3">
        <f t="shared" si="5"/>
        <v>0.2</v>
      </c>
      <c r="O50" s="3">
        <f t="shared" si="5"/>
        <v>0.2</v>
      </c>
      <c r="P50" s="3">
        <f t="shared" si="5"/>
        <v>0.2</v>
      </c>
      <c r="Q50" s="3">
        <f t="shared" si="5"/>
        <v>0.2</v>
      </c>
    </row>
    <row r="51" spans="1:17">
      <c r="A51" s="84" t="s">
        <v>176</v>
      </c>
      <c r="B51" s="85" t="s">
        <v>175</v>
      </c>
      <c r="C51" s="85" t="s">
        <v>110</v>
      </c>
      <c r="D51" s="84" t="s">
        <v>75</v>
      </c>
      <c r="E51" s="84">
        <f>VLOOKUP(A51,'2a. SI Pop'!$A$5:$E$198,5,FALSE)</f>
        <v>4</v>
      </c>
      <c r="F51" s="84">
        <f>VLOOKUP(A51,'1. Overview'!$B$5:$F$198,5,FALSE)</f>
        <v>2039</v>
      </c>
      <c r="G51" s="3">
        <f t="shared" si="5"/>
        <v>0</v>
      </c>
      <c r="H51" s="3">
        <f t="shared" si="5"/>
        <v>0</v>
      </c>
      <c r="I51" s="3">
        <f t="shared" si="5"/>
        <v>0</v>
      </c>
      <c r="J51" s="3">
        <f t="shared" si="5"/>
        <v>0</v>
      </c>
      <c r="K51" s="3">
        <f t="shared" si="5"/>
        <v>0</v>
      </c>
      <c r="L51" s="3">
        <f t="shared" si="5"/>
        <v>0</v>
      </c>
      <c r="M51" s="3">
        <f t="shared" si="5"/>
        <v>0</v>
      </c>
      <c r="N51" s="3">
        <f t="shared" si="5"/>
        <v>0</v>
      </c>
      <c r="O51" s="3">
        <f t="shared" si="5"/>
        <v>0</v>
      </c>
      <c r="P51" s="3">
        <f t="shared" si="5"/>
        <v>0.2</v>
      </c>
      <c r="Q51" s="3">
        <f t="shared" si="5"/>
        <v>0.2</v>
      </c>
    </row>
    <row r="52" spans="1:17">
      <c r="A52" s="84" t="s">
        <v>178</v>
      </c>
      <c r="B52" s="85" t="s">
        <v>177</v>
      </c>
      <c r="C52" s="85" t="s">
        <v>83</v>
      </c>
      <c r="D52" s="84" t="s">
        <v>75</v>
      </c>
      <c r="E52" s="84" t="str">
        <f>VLOOKUP(A52,'2a. SI Pop'!$A$5:$E$198,5,FALSE)</f>
        <v>Key</v>
      </c>
      <c r="F52" s="84">
        <f>VLOOKUP(A52,'1. Overview'!$B$5:$F$198,5,FALSE)</f>
        <v>2032</v>
      </c>
      <c r="G52" s="3">
        <f t="shared" si="5"/>
        <v>0</v>
      </c>
      <c r="H52" s="3">
        <f t="shared" si="5"/>
        <v>0</v>
      </c>
      <c r="I52" s="3">
        <f t="shared" si="5"/>
        <v>0.2</v>
      </c>
      <c r="J52" s="3">
        <f t="shared" si="5"/>
        <v>0.2</v>
      </c>
      <c r="K52" s="3">
        <f t="shared" si="5"/>
        <v>0.2</v>
      </c>
      <c r="L52" s="3">
        <f t="shared" si="5"/>
        <v>0.2</v>
      </c>
      <c r="M52" s="3">
        <f t="shared" si="5"/>
        <v>0.2</v>
      </c>
      <c r="N52" s="3">
        <f t="shared" si="5"/>
        <v>0.2</v>
      </c>
      <c r="O52" s="3">
        <f t="shared" si="5"/>
        <v>0.2</v>
      </c>
      <c r="P52" s="3">
        <f t="shared" si="5"/>
        <v>0.2</v>
      </c>
      <c r="Q52" s="3">
        <f t="shared" si="5"/>
        <v>0.2</v>
      </c>
    </row>
    <row r="53" spans="1:17">
      <c r="A53" s="84" t="s">
        <v>180</v>
      </c>
      <c r="B53" s="85" t="s">
        <v>179</v>
      </c>
      <c r="C53" s="85" t="s">
        <v>79</v>
      </c>
      <c r="D53" s="84" t="s">
        <v>87</v>
      </c>
      <c r="E53" s="84">
        <f>VLOOKUP(A53,'2a. SI Pop'!$A$5:$E$198,5,FALSE)</f>
        <v>1</v>
      </c>
      <c r="F53" s="84">
        <f>VLOOKUP(A53,'1. Overview'!$B$5:$F$198,5,FALSE)</f>
        <v>2035</v>
      </c>
      <c r="G53" s="3">
        <f t="shared" si="5"/>
        <v>0</v>
      </c>
      <c r="H53" s="3">
        <f t="shared" si="5"/>
        <v>0</v>
      </c>
      <c r="I53" s="3">
        <f t="shared" si="5"/>
        <v>0</v>
      </c>
      <c r="J53" s="3">
        <f t="shared" si="5"/>
        <v>0</v>
      </c>
      <c r="K53" s="3">
        <f t="shared" si="5"/>
        <v>0</v>
      </c>
      <c r="L53" s="3">
        <f t="shared" si="5"/>
        <v>0.2</v>
      </c>
      <c r="M53" s="3">
        <f t="shared" si="5"/>
        <v>0.2</v>
      </c>
      <c r="N53" s="3">
        <f t="shared" si="5"/>
        <v>0.2</v>
      </c>
      <c r="O53" s="3">
        <f t="shared" si="5"/>
        <v>0.2</v>
      </c>
      <c r="P53" s="3">
        <f t="shared" si="5"/>
        <v>0.2</v>
      </c>
      <c r="Q53" s="3">
        <f t="shared" si="5"/>
        <v>0.2</v>
      </c>
    </row>
    <row r="54" spans="1:17">
      <c r="A54" s="84" t="s">
        <v>182</v>
      </c>
      <c r="B54" s="85" t="s">
        <v>181</v>
      </c>
      <c r="C54" s="85" t="s">
        <v>74</v>
      </c>
      <c r="D54" s="84" t="s">
        <v>84</v>
      </c>
      <c r="E54" s="84">
        <f>VLOOKUP(A54,'2a. SI Pop'!$A$5:$E$198,5,FALSE)</f>
        <v>3</v>
      </c>
      <c r="F54" s="84">
        <f>VLOOKUP(A54,'1. Overview'!$B$5:$F$198,5,FALSE)</f>
        <v>2040</v>
      </c>
      <c r="G54" s="3">
        <f t="shared" ref="G54:Q69" si="6">IF(G$4&gt;=$F54,$B$3,0)</f>
        <v>0</v>
      </c>
      <c r="H54" s="3">
        <f t="shared" si="6"/>
        <v>0</v>
      </c>
      <c r="I54" s="3">
        <f t="shared" si="6"/>
        <v>0</v>
      </c>
      <c r="J54" s="3">
        <f t="shared" si="6"/>
        <v>0</v>
      </c>
      <c r="K54" s="3">
        <f t="shared" si="6"/>
        <v>0</v>
      </c>
      <c r="L54" s="3">
        <f t="shared" si="6"/>
        <v>0</v>
      </c>
      <c r="M54" s="3">
        <f t="shared" si="6"/>
        <v>0</v>
      </c>
      <c r="N54" s="3">
        <f t="shared" si="6"/>
        <v>0</v>
      </c>
      <c r="O54" s="3">
        <f t="shared" si="6"/>
        <v>0</v>
      </c>
      <c r="P54" s="3">
        <f t="shared" si="6"/>
        <v>0</v>
      </c>
      <c r="Q54" s="3">
        <f t="shared" si="6"/>
        <v>0.2</v>
      </c>
    </row>
    <row r="55" spans="1:17">
      <c r="A55" s="84" t="s">
        <v>184</v>
      </c>
      <c r="B55" s="85" t="s">
        <v>183</v>
      </c>
      <c r="C55" s="85" t="s">
        <v>92</v>
      </c>
      <c r="D55" s="84" t="s">
        <v>80</v>
      </c>
      <c r="E55" s="84">
        <f>VLOOKUP(A55,'2a. SI Pop'!$A$5:$E$198,5,FALSE)</f>
        <v>2</v>
      </c>
      <c r="F55" s="84">
        <f>VLOOKUP(A55,'1. Overview'!$B$5:$F$198,5,FALSE)</f>
        <v>2041</v>
      </c>
      <c r="G55" s="3">
        <f t="shared" si="6"/>
        <v>0</v>
      </c>
      <c r="H55" s="3">
        <f t="shared" si="6"/>
        <v>0</v>
      </c>
      <c r="I55" s="3">
        <f t="shared" si="6"/>
        <v>0</v>
      </c>
      <c r="J55" s="3">
        <f t="shared" si="6"/>
        <v>0</v>
      </c>
      <c r="K55" s="3">
        <f t="shared" si="6"/>
        <v>0</v>
      </c>
      <c r="L55" s="3">
        <f t="shared" si="6"/>
        <v>0</v>
      </c>
      <c r="M55" s="3">
        <f t="shared" si="6"/>
        <v>0</v>
      </c>
      <c r="N55" s="3">
        <f t="shared" si="6"/>
        <v>0</v>
      </c>
      <c r="O55" s="3">
        <f t="shared" si="6"/>
        <v>0</v>
      </c>
      <c r="P55" s="3">
        <f t="shared" si="6"/>
        <v>0</v>
      </c>
      <c r="Q55" s="3">
        <f t="shared" si="6"/>
        <v>0</v>
      </c>
    </row>
    <row r="56" spans="1:17">
      <c r="A56" s="84" t="s">
        <v>184</v>
      </c>
      <c r="B56" s="85" t="s">
        <v>185</v>
      </c>
      <c r="C56" s="85" t="s">
        <v>92</v>
      </c>
      <c r="D56" s="84" t="s">
        <v>80</v>
      </c>
      <c r="E56" s="84">
        <f>VLOOKUP(A56,'2a. SI Pop'!$A$5:$E$198,5,FALSE)</f>
        <v>2</v>
      </c>
      <c r="F56" s="84">
        <f>VLOOKUP(A56,'1. Overview'!$B$5:$F$198,5,FALSE)</f>
        <v>2041</v>
      </c>
      <c r="G56" s="3">
        <f t="shared" si="6"/>
        <v>0</v>
      </c>
      <c r="H56" s="3">
        <f t="shared" si="6"/>
        <v>0</v>
      </c>
      <c r="I56" s="3">
        <f t="shared" si="6"/>
        <v>0</v>
      </c>
      <c r="J56" s="3">
        <f t="shared" si="6"/>
        <v>0</v>
      </c>
      <c r="K56" s="3">
        <f t="shared" si="6"/>
        <v>0</v>
      </c>
      <c r="L56" s="3">
        <f t="shared" si="6"/>
        <v>0</v>
      </c>
      <c r="M56" s="3">
        <f t="shared" si="6"/>
        <v>0</v>
      </c>
      <c r="N56" s="3">
        <f t="shared" si="6"/>
        <v>0</v>
      </c>
      <c r="O56" s="3">
        <f t="shared" si="6"/>
        <v>0</v>
      </c>
      <c r="P56" s="3">
        <f t="shared" si="6"/>
        <v>0</v>
      </c>
      <c r="Q56" s="3">
        <f t="shared" si="6"/>
        <v>0</v>
      </c>
    </row>
    <row r="57" spans="1:17">
      <c r="A57" s="84" t="s">
        <v>187</v>
      </c>
      <c r="B57" s="85" t="s">
        <v>186</v>
      </c>
      <c r="C57" s="85" t="s">
        <v>92</v>
      </c>
      <c r="D57" s="84" t="s">
        <v>80</v>
      </c>
      <c r="E57" s="84">
        <f>VLOOKUP(A57,'2a. SI Pop'!$A$5:$E$198,5,FALSE)</f>
        <v>2</v>
      </c>
      <c r="F57" s="84">
        <f>VLOOKUP(A57,'1. Overview'!$B$5:$F$198,5,FALSE)</f>
        <v>2040</v>
      </c>
      <c r="G57" s="3">
        <f t="shared" si="6"/>
        <v>0</v>
      </c>
      <c r="H57" s="3">
        <f t="shared" si="6"/>
        <v>0</v>
      </c>
      <c r="I57" s="3">
        <f t="shared" si="6"/>
        <v>0</v>
      </c>
      <c r="J57" s="3">
        <f t="shared" si="6"/>
        <v>0</v>
      </c>
      <c r="K57" s="3">
        <f t="shared" si="6"/>
        <v>0</v>
      </c>
      <c r="L57" s="3">
        <f t="shared" si="6"/>
        <v>0</v>
      </c>
      <c r="M57" s="3">
        <f t="shared" si="6"/>
        <v>0</v>
      </c>
      <c r="N57" s="3">
        <f t="shared" si="6"/>
        <v>0</v>
      </c>
      <c r="O57" s="3">
        <f t="shared" si="6"/>
        <v>0</v>
      </c>
      <c r="P57" s="3">
        <f t="shared" si="6"/>
        <v>0</v>
      </c>
      <c r="Q57" s="3">
        <f t="shared" si="6"/>
        <v>0.2</v>
      </c>
    </row>
    <row r="58" spans="1:17">
      <c r="A58" s="84" t="s">
        <v>189</v>
      </c>
      <c r="B58" s="85" t="s">
        <v>188</v>
      </c>
      <c r="C58" s="85" t="s">
        <v>74</v>
      </c>
      <c r="D58" s="84" t="s">
        <v>84</v>
      </c>
      <c r="E58" s="84">
        <f>VLOOKUP(A58,'2a. SI Pop'!$A$5:$E$198,5,FALSE)</f>
        <v>2</v>
      </c>
      <c r="F58" s="84">
        <f>VLOOKUP(A58,'1. Overview'!$B$5:$F$198,5,FALSE)</f>
        <v>2038</v>
      </c>
      <c r="G58" s="3">
        <f t="shared" si="6"/>
        <v>0</v>
      </c>
      <c r="H58" s="3">
        <f t="shared" si="6"/>
        <v>0</v>
      </c>
      <c r="I58" s="3">
        <f t="shared" si="6"/>
        <v>0</v>
      </c>
      <c r="J58" s="3">
        <f t="shared" si="6"/>
        <v>0</v>
      </c>
      <c r="K58" s="3">
        <f t="shared" si="6"/>
        <v>0</v>
      </c>
      <c r="L58" s="3">
        <f t="shared" si="6"/>
        <v>0</v>
      </c>
      <c r="M58" s="3">
        <f t="shared" si="6"/>
        <v>0</v>
      </c>
      <c r="N58" s="3">
        <f t="shared" si="6"/>
        <v>0</v>
      </c>
      <c r="O58" s="3">
        <f t="shared" si="6"/>
        <v>0.2</v>
      </c>
      <c r="P58" s="3">
        <f t="shared" si="6"/>
        <v>0.2</v>
      </c>
      <c r="Q58" s="3">
        <f t="shared" si="6"/>
        <v>0.2</v>
      </c>
    </row>
    <row r="59" spans="1:17">
      <c r="A59" s="84" t="s">
        <v>191</v>
      </c>
      <c r="B59" s="85" t="s">
        <v>190</v>
      </c>
      <c r="C59" s="85" t="s">
        <v>92</v>
      </c>
      <c r="D59" s="84" t="s">
        <v>84</v>
      </c>
      <c r="E59" s="84">
        <f>VLOOKUP(A59,'2a. SI Pop'!$A$5:$E$198,5,FALSE)</f>
        <v>1</v>
      </c>
      <c r="F59" s="84">
        <f>VLOOKUP(A59,'1. Overview'!$B$5:$F$198,5,FALSE)</f>
        <v>2041</v>
      </c>
      <c r="G59" s="3">
        <f t="shared" si="6"/>
        <v>0</v>
      </c>
      <c r="H59" s="3">
        <f t="shared" si="6"/>
        <v>0</v>
      </c>
      <c r="I59" s="3">
        <f t="shared" si="6"/>
        <v>0</v>
      </c>
      <c r="J59" s="3">
        <f t="shared" si="6"/>
        <v>0</v>
      </c>
      <c r="K59" s="3">
        <f t="shared" si="6"/>
        <v>0</v>
      </c>
      <c r="L59" s="3">
        <f t="shared" si="6"/>
        <v>0</v>
      </c>
      <c r="M59" s="3">
        <f t="shared" si="6"/>
        <v>0</v>
      </c>
      <c r="N59" s="3">
        <f t="shared" si="6"/>
        <v>0</v>
      </c>
      <c r="O59" s="3">
        <f t="shared" si="6"/>
        <v>0</v>
      </c>
      <c r="P59" s="3">
        <f t="shared" si="6"/>
        <v>0</v>
      </c>
      <c r="Q59" s="3">
        <f t="shared" si="6"/>
        <v>0</v>
      </c>
    </row>
    <row r="60" spans="1:17">
      <c r="A60" s="84" t="s">
        <v>193</v>
      </c>
      <c r="B60" s="85" t="s">
        <v>192</v>
      </c>
      <c r="C60" s="85" t="s">
        <v>83</v>
      </c>
      <c r="D60" s="84" t="s">
        <v>80</v>
      </c>
      <c r="E60" s="84">
        <f>VLOOKUP(A60,'2a. SI Pop'!$A$5:$E$198,5,FALSE)</f>
        <v>3</v>
      </c>
      <c r="F60" s="84">
        <f>VLOOKUP(A60,'1. Overview'!$B$5:$F$198,5,FALSE)</f>
        <v>2035</v>
      </c>
      <c r="G60" s="3">
        <f t="shared" si="6"/>
        <v>0</v>
      </c>
      <c r="H60" s="3">
        <f t="shared" si="6"/>
        <v>0</v>
      </c>
      <c r="I60" s="3">
        <f t="shared" si="6"/>
        <v>0</v>
      </c>
      <c r="J60" s="3">
        <f t="shared" si="6"/>
        <v>0</v>
      </c>
      <c r="K60" s="3">
        <f t="shared" si="6"/>
        <v>0</v>
      </c>
      <c r="L60" s="3">
        <f t="shared" si="6"/>
        <v>0.2</v>
      </c>
      <c r="M60" s="3">
        <f t="shared" si="6"/>
        <v>0.2</v>
      </c>
      <c r="N60" s="3">
        <f t="shared" si="6"/>
        <v>0.2</v>
      </c>
      <c r="O60" s="3">
        <f t="shared" si="6"/>
        <v>0.2</v>
      </c>
      <c r="P60" s="3">
        <f t="shared" si="6"/>
        <v>0.2</v>
      </c>
      <c r="Q60" s="3">
        <f t="shared" si="6"/>
        <v>0.2</v>
      </c>
    </row>
    <row r="61" spans="1:17">
      <c r="A61" s="84" t="s">
        <v>195</v>
      </c>
      <c r="B61" s="85" t="s">
        <v>194</v>
      </c>
      <c r="C61" s="85" t="s">
        <v>83</v>
      </c>
      <c r="D61" s="84" t="s">
        <v>75</v>
      </c>
      <c r="E61" s="84">
        <f>VLOOKUP(A61,'2a. SI Pop'!$A$5:$E$198,5,FALSE)</f>
        <v>3</v>
      </c>
      <c r="F61" s="84">
        <f>VLOOKUP(A61,'1. Overview'!$B$5:$F$198,5,FALSE)</f>
        <v>2038</v>
      </c>
      <c r="G61" s="3">
        <f t="shared" si="6"/>
        <v>0</v>
      </c>
      <c r="H61" s="3">
        <f t="shared" si="6"/>
        <v>0</v>
      </c>
      <c r="I61" s="3">
        <f t="shared" si="6"/>
        <v>0</v>
      </c>
      <c r="J61" s="3">
        <f t="shared" si="6"/>
        <v>0</v>
      </c>
      <c r="K61" s="3">
        <f t="shared" si="6"/>
        <v>0</v>
      </c>
      <c r="L61" s="3">
        <f t="shared" si="6"/>
        <v>0</v>
      </c>
      <c r="M61" s="3">
        <f t="shared" si="6"/>
        <v>0</v>
      </c>
      <c r="N61" s="3">
        <f t="shared" si="6"/>
        <v>0</v>
      </c>
      <c r="O61" s="3">
        <f t="shared" si="6"/>
        <v>0.2</v>
      </c>
      <c r="P61" s="3">
        <f t="shared" si="6"/>
        <v>0.2</v>
      </c>
      <c r="Q61" s="3">
        <f t="shared" si="6"/>
        <v>0.2</v>
      </c>
    </row>
    <row r="62" spans="1:17">
      <c r="A62" s="84" t="s">
        <v>197</v>
      </c>
      <c r="B62" s="85" t="s">
        <v>196</v>
      </c>
      <c r="C62" s="85" t="s">
        <v>79</v>
      </c>
      <c r="D62" s="84" t="s">
        <v>87</v>
      </c>
      <c r="E62" s="84">
        <f>VLOOKUP(A62,'2a. SI Pop'!$A$5:$E$198,5,FALSE)</f>
        <v>1</v>
      </c>
      <c r="F62" s="84">
        <f>VLOOKUP(A62,'1. Overview'!$B$5:$F$198,5,FALSE)</f>
        <v>2038</v>
      </c>
      <c r="G62" s="3">
        <f t="shared" si="6"/>
        <v>0</v>
      </c>
      <c r="H62" s="3">
        <f t="shared" si="6"/>
        <v>0</v>
      </c>
      <c r="I62" s="3">
        <f t="shared" si="6"/>
        <v>0</v>
      </c>
      <c r="J62" s="3">
        <f t="shared" si="6"/>
        <v>0</v>
      </c>
      <c r="K62" s="3">
        <f t="shared" si="6"/>
        <v>0</v>
      </c>
      <c r="L62" s="3">
        <f t="shared" si="6"/>
        <v>0</v>
      </c>
      <c r="M62" s="3">
        <f t="shared" si="6"/>
        <v>0</v>
      </c>
      <c r="N62" s="3">
        <f t="shared" si="6"/>
        <v>0</v>
      </c>
      <c r="O62" s="3">
        <f t="shared" si="6"/>
        <v>0.2</v>
      </c>
      <c r="P62" s="3">
        <f t="shared" si="6"/>
        <v>0.2</v>
      </c>
      <c r="Q62" s="3">
        <f t="shared" si="6"/>
        <v>0.2</v>
      </c>
    </row>
    <row r="63" spans="1:17">
      <c r="A63" s="84" t="s">
        <v>199</v>
      </c>
      <c r="B63" s="85" t="s">
        <v>198</v>
      </c>
      <c r="C63" s="85" t="s">
        <v>83</v>
      </c>
      <c r="D63" s="84" t="s">
        <v>75</v>
      </c>
      <c r="E63" s="84" t="str">
        <f>VLOOKUP(A63,'2a. SI Pop'!$A$5:$E$198,5,FALSE)</f>
        <v>Key</v>
      </c>
      <c r="F63" s="84">
        <f>VLOOKUP(A63,'1. Overview'!$B$5:$F$198,5,FALSE)</f>
        <v>2033</v>
      </c>
      <c r="G63" s="3">
        <f t="shared" si="6"/>
        <v>0</v>
      </c>
      <c r="H63" s="3">
        <f t="shared" si="6"/>
        <v>0</v>
      </c>
      <c r="I63" s="3">
        <f t="shared" si="6"/>
        <v>0</v>
      </c>
      <c r="J63" s="3">
        <f t="shared" si="6"/>
        <v>0.2</v>
      </c>
      <c r="K63" s="3">
        <f t="shared" si="6"/>
        <v>0.2</v>
      </c>
      <c r="L63" s="3">
        <f t="shared" si="6"/>
        <v>0.2</v>
      </c>
      <c r="M63" s="3">
        <f t="shared" si="6"/>
        <v>0.2</v>
      </c>
      <c r="N63" s="3">
        <f t="shared" si="6"/>
        <v>0.2</v>
      </c>
      <c r="O63" s="3">
        <f t="shared" si="6"/>
        <v>0.2</v>
      </c>
      <c r="P63" s="3">
        <f t="shared" si="6"/>
        <v>0.2</v>
      </c>
      <c r="Q63" s="3">
        <f t="shared" si="6"/>
        <v>0.2</v>
      </c>
    </row>
    <row r="64" spans="1:17">
      <c r="A64" s="84" t="s">
        <v>201</v>
      </c>
      <c r="B64" s="85" t="s">
        <v>200</v>
      </c>
      <c r="C64" s="85" t="s">
        <v>99</v>
      </c>
      <c r="D64" s="84" t="s">
        <v>80</v>
      </c>
      <c r="E64" s="84">
        <f>VLOOKUP(A64,'2a. SI Pop'!$A$5:$E$198,5,FALSE)</f>
        <v>4</v>
      </c>
      <c r="F64" s="84">
        <f>VLOOKUP(A64,'1. Overview'!$B$5:$F$198,5,FALSE)</f>
        <v>2034</v>
      </c>
      <c r="G64" s="3">
        <f t="shared" si="6"/>
        <v>0</v>
      </c>
      <c r="H64" s="3">
        <f t="shared" si="6"/>
        <v>0</v>
      </c>
      <c r="I64" s="3">
        <f t="shared" si="6"/>
        <v>0</v>
      </c>
      <c r="J64" s="3">
        <f t="shared" si="6"/>
        <v>0</v>
      </c>
      <c r="K64" s="3">
        <f t="shared" si="6"/>
        <v>0.2</v>
      </c>
      <c r="L64" s="3">
        <f t="shared" si="6"/>
        <v>0.2</v>
      </c>
      <c r="M64" s="3">
        <f t="shared" si="6"/>
        <v>0.2</v>
      </c>
      <c r="N64" s="3">
        <f t="shared" si="6"/>
        <v>0.2</v>
      </c>
      <c r="O64" s="3">
        <f t="shared" si="6"/>
        <v>0.2</v>
      </c>
      <c r="P64" s="3">
        <f t="shared" si="6"/>
        <v>0.2</v>
      </c>
      <c r="Q64" s="3">
        <f t="shared" si="6"/>
        <v>0.2</v>
      </c>
    </row>
    <row r="65" spans="1:17">
      <c r="A65" s="84" t="s">
        <v>203</v>
      </c>
      <c r="B65" s="85" t="s">
        <v>202</v>
      </c>
      <c r="C65" s="85" t="s">
        <v>79</v>
      </c>
      <c r="D65" s="84" t="s">
        <v>87</v>
      </c>
      <c r="E65" s="84">
        <f>VLOOKUP(A65,'2a. SI Pop'!$A$5:$E$198,5,FALSE)</f>
        <v>1</v>
      </c>
      <c r="F65" s="84">
        <f>VLOOKUP(A65,'1. Overview'!$B$5:$F$198,5,FALSE)</f>
        <v>2035</v>
      </c>
      <c r="G65" s="3">
        <f t="shared" si="6"/>
        <v>0</v>
      </c>
      <c r="H65" s="3">
        <f t="shared" si="6"/>
        <v>0</v>
      </c>
      <c r="I65" s="3">
        <f t="shared" si="6"/>
        <v>0</v>
      </c>
      <c r="J65" s="3">
        <f t="shared" si="6"/>
        <v>0</v>
      </c>
      <c r="K65" s="3">
        <f t="shared" si="6"/>
        <v>0</v>
      </c>
      <c r="L65" s="3">
        <f t="shared" si="6"/>
        <v>0.2</v>
      </c>
      <c r="M65" s="3">
        <f t="shared" si="6"/>
        <v>0.2</v>
      </c>
      <c r="N65" s="3">
        <f t="shared" si="6"/>
        <v>0.2</v>
      </c>
      <c r="O65" s="3">
        <f t="shared" si="6"/>
        <v>0.2</v>
      </c>
      <c r="P65" s="3">
        <f t="shared" si="6"/>
        <v>0.2</v>
      </c>
      <c r="Q65" s="3">
        <f t="shared" si="6"/>
        <v>0.2</v>
      </c>
    </row>
    <row r="66" spans="1:17">
      <c r="A66" s="84" t="s">
        <v>205</v>
      </c>
      <c r="B66" s="85" t="s">
        <v>204</v>
      </c>
      <c r="C66" s="85" t="s">
        <v>79</v>
      </c>
      <c r="D66" s="84" t="s">
        <v>87</v>
      </c>
      <c r="E66" s="84">
        <f>VLOOKUP(A66,'2a. SI Pop'!$A$5:$E$198,5,FALSE)</f>
        <v>1</v>
      </c>
      <c r="F66" s="84">
        <f>VLOOKUP(A66,'1. Overview'!$B$5:$F$198,5,FALSE)</f>
        <v>2030</v>
      </c>
      <c r="G66" s="3">
        <f t="shared" si="6"/>
        <v>0.2</v>
      </c>
      <c r="H66" s="3">
        <f t="shared" si="6"/>
        <v>0.2</v>
      </c>
      <c r="I66" s="3">
        <f t="shared" si="6"/>
        <v>0.2</v>
      </c>
      <c r="J66" s="3">
        <f t="shared" si="6"/>
        <v>0.2</v>
      </c>
      <c r="K66" s="3">
        <f t="shared" si="6"/>
        <v>0.2</v>
      </c>
      <c r="L66" s="3">
        <f t="shared" si="6"/>
        <v>0.2</v>
      </c>
      <c r="M66" s="3">
        <f t="shared" si="6"/>
        <v>0.2</v>
      </c>
      <c r="N66" s="3">
        <f t="shared" si="6"/>
        <v>0.2</v>
      </c>
      <c r="O66" s="3">
        <f t="shared" si="6"/>
        <v>0.2</v>
      </c>
      <c r="P66" s="3">
        <f t="shared" si="6"/>
        <v>0.2</v>
      </c>
      <c r="Q66" s="3">
        <f t="shared" si="6"/>
        <v>0.2</v>
      </c>
    </row>
    <row r="67" spans="1:17">
      <c r="A67" s="84" t="s">
        <v>207</v>
      </c>
      <c r="B67" s="85" t="s">
        <v>206</v>
      </c>
      <c r="C67" s="85" t="s">
        <v>83</v>
      </c>
      <c r="D67" s="84" t="s">
        <v>80</v>
      </c>
      <c r="E67" s="84">
        <f>VLOOKUP(A67,'2a. SI Pop'!$A$5:$E$198,5,FALSE)</f>
        <v>3</v>
      </c>
      <c r="F67" s="84">
        <f>VLOOKUP(A67,'1. Overview'!$B$5:$F$198,5,FALSE)</f>
        <v>2035</v>
      </c>
      <c r="G67" s="3">
        <f t="shared" si="6"/>
        <v>0</v>
      </c>
      <c r="H67" s="3">
        <f t="shared" si="6"/>
        <v>0</v>
      </c>
      <c r="I67" s="3">
        <f t="shared" si="6"/>
        <v>0</v>
      </c>
      <c r="J67" s="3">
        <f t="shared" si="6"/>
        <v>0</v>
      </c>
      <c r="K67" s="3">
        <f t="shared" si="6"/>
        <v>0</v>
      </c>
      <c r="L67" s="3">
        <f t="shared" si="6"/>
        <v>0.2</v>
      </c>
      <c r="M67" s="3">
        <f t="shared" si="6"/>
        <v>0.2</v>
      </c>
      <c r="N67" s="3">
        <f t="shared" si="6"/>
        <v>0.2</v>
      </c>
      <c r="O67" s="3">
        <f t="shared" si="6"/>
        <v>0.2</v>
      </c>
      <c r="P67" s="3">
        <f t="shared" si="6"/>
        <v>0.2</v>
      </c>
      <c r="Q67" s="3">
        <f t="shared" si="6"/>
        <v>0.2</v>
      </c>
    </row>
    <row r="68" spans="1:17">
      <c r="A68" s="84" t="s">
        <v>209</v>
      </c>
      <c r="B68" s="85" t="s">
        <v>208</v>
      </c>
      <c r="C68" s="85" t="s">
        <v>83</v>
      </c>
      <c r="D68" s="84" t="s">
        <v>75</v>
      </c>
      <c r="E68" s="84">
        <f>VLOOKUP(A68,'2a. SI Pop'!$A$5:$E$198,5,FALSE)</f>
        <v>3</v>
      </c>
      <c r="F68" s="84">
        <f>VLOOKUP(A68,'1. Overview'!$B$5:$F$198,5,FALSE)</f>
        <v>2035</v>
      </c>
      <c r="G68" s="3">
        <f t="shared" si="6"/>
        <v>0</v>
      </c>
      <c r="H68" s="3">
        <f t="shared" si="6"/>
        <v>0</v>
      </c>
      <c r="I68" s="3">
        <f t="shared" si="6"/>
        <v>0</v>
      </c>
      <c r="J68" s="3">
        <f t="shared" si="6"/>
        <v>0</v>
      </c>
      <c r="K68" s="3">
        <f t="shared" si="6"/>
        <v>0</v>
      </c>
      <c r="L68" s="3">
        <f t="shared" si="6"/>
        <v>0.2</v>
      </c>
      <c r="M68" s="3">
        <f t="shared" si="6"/>
        <v>0.2</v>
      </c>
      <c r="N68" s="3">
        <f t="shared" si="6"/>
        <v>0.2</v>
      </c>
      <c r="O68" s="3">
        <f t="shared" si="6"/>
        <v>0.2</v>
      </c>
      <c r="P68" s="3">
        <f t="shared" si="6"/>
        <v>0.2</v>
      </c>
      <c r="Q68" s="3">
        <f t="shared" si="6"/>
        <v>0.2</v>
      </c>
    </row>
    <row r="69" spans="1:17">
      <c r="A69" s="84" t="s">
        <v>211</v>
      </c>
      <c r="B69" s="85" t="s">
        <v>210</v>
      </c>
      <c r="C69" s="85" t="s">
        <v>79</v>
      </c>
      <c r="D69" s="84" t="s">
        <v>80</v>
      </c>
      <c r="E69" s="84">
        <f>VLOOKUP(A69,'2a. SI Pop'!$A$5:$E$198,5,FALSE)</f>
        <v>1</v>
      </c>
      <c r="F69" s="84">
        <f>VLOOKUP(A69,'1. Overview'!$B$5:$F$198,5,FALSE)</f>
        <v>2037</v>
      </c>
      <c r="G69" s="3">
        <f t="shared" si="6"/>
        <v>0</v>
      </c>
      <c r="H69" s="3">
        <f t="shared" si="6"/>
        <v>0</v>
      </c>
      <c r="I69" s="3">
        <f t="shared" si="6"/>
        <v>0</v>
      </c>
      <c r="J69" s="3">
        <f t="shared" si="6"/>
        <v>0</v>
      </c>
      <c r="K69" s="3">
        <f t="shared" si="6"/>
        <v>0</v>
      </c>
      <c r="L69" s="3">
        <f t="shared" si="6"/>
        <v>0</v>
      </c>
      <c r="M69" s="3">
        <f t="shared" si="6"/>
        <v>0</v>
      </c>
      <c r="N69" s="3">
        <f t="shared" si="6"/>
        <v>0.2</v>
      </c>
      <c r="O69" s="3">
        <f t="shared" si="6"/>
        <v>0.2</v>
      </c>
      <c r="P69" s="3">
        <f t="shared" si="6"/>
        <v>0.2</v>
      </c>
      <c r="Q69" s="3">
        <f t="shared" si="6"/>
        <v>0.2</v>
      </c>
    </row>
    <row r="70" spans="1:17">
      <c r="A70" s="84" t="s">
        <v>213</v>
      </c>
      <c r="B70" s="85" t="s">
        <v>212</v>
      </c>
      <c r="C70" s="85" t="s">
        <v>79</v>
      </c>
      <c r="D70" s="84" t="s">
        <v>87</v>
      </c>
      <c r="E70" s="84">
        <f>VLOOKUP(A70,'2a. SI Pop'!$A$5:$E$198,5,FALSE)</f>
        <v>1</v>
      </c>
      <c r="F70" s="84">
        <f>VLOOKUP(A70,'1. Overview'!$B$5:$F$198,5,FALSE)</f>
        <v>2030</v>
      </c>
      <c r="G70" s="3">
        <f t="shared" ref="G70:Q85" si="7">IF(G$4&gt;=$F70,$B$3,0)</f>
        <v>0.2</v>
      </c>
      <c r="H70" s="3">
        <f t="shared" si="7"/>
        <v>0.2</v>
      </c>
      <c r="I70" s="3">
        <f t="shared" si="7"/>
        <v>0.2</v>
      </c>
      <c r="J70" s="3">
        <f t="shared" si="7"/>
        <v>0.2</v>
      </c>
      <c r="K70" s="3">
        <f t="shared" si="7"/>
        <v>0.2</v>
      </c>
      <c r="L70" s="3">
        <f t="shared" si="7"/>
        <v>0.2</v>
      </c>
      <c r="M70" s="3">
        <f t="shared" si="7"/>
        <v>0.2</v>
      </c>
      <c r="N70" s="3">
        <f t="shared" si="7"/>
        <v>0.2</v>
      </c>
      <c r="O70" s="3">
        <f t="shared" si="7"/>
        <v>0.2</v>
      </c>
      <c r="P70" s="3">
        <f t="shared" si="7"/>
        <v>0.2</v>
      </c>
      <c r="Q70" s="3">
        <f t="shared" si="7"/>
        <v>0.2</v>
      </c>
    </row>
    <row r="71" spans="1:17">
      <c r="A71" s="84" t="s">
        <v>215</v>
      </c>
      <c r="B71" s="85" t="s">
        <v>214</v>
      </c>
      <c r="C71" s="85" t="s">
        <v>83</v>
      </c>
      <c r="D71" s="84" t="s">
        <v>84</v>
      </c>
      <c r="E71" s="84">
        <f>VLOOKUP(A71,'2a. SI Pop'!$A$5:$E$198,5,FALSE)</f>
        <v>3</v>
      </c>
      <c r="F71" s="84">
        <f>VLOOKUP(A71,'1. Overview'!$B$5:$F$198,5,FALSE)</f>
        <v>2032</v>
      </c>
      <c r="G71" s="3">
        <f t="shared" si="7"/>
        <v>0</v>
      </c>
      <c r="H71" s="3">
        <f t="shared" si="7"/>
        <v>0</v>
      </c>
      <c r="I71" s="3">
        <f t="shared" si="7"/>
        <v>0.2</v>
      </c>
      <c r="J71" s="3">
        <f t="shared" si="7"/>
        <v>0.2</v>
      </c>
      <c r="K71" s="3">
        <f t="shared" si="7"/>
        <v>0.2</v>
      </c>
      <c r="L71" s="3">
        <f t="shared" si="7"/>
        <v>0.2</v>
      </c>
      <c r="M71" s="3">
        <f t="shared" si="7"/>
        <v>0.2</v>
      </c>
      <c r="N71" s="3">
        <f t="shared" si="7"/>
        <v>0.2</v>
      </c>
      <c r="O71" s="3">
        <f t="shared" si="7"/>
        <v>0.2</v>
      </c>
      <c r="P71" s="3">
        <f t="shared" si="7"/>
        <v>0.2</v>
      </c>
      <c r="Q71" s="3">
        <f t="shared" si="7"/>
        <v>0.2</v>
      </c>
    </row>
    <row r="72" spans="1:17">
      <c r="A72" s="84" t="s">
        <v>217</v>
      </c>
      <c r="B72" s="85" t="s">
        <v>216</v>
      </c>
      <c r="C72" s="85" t="s">
        <v>79</v>
      </c>
      <c r="D72" s="84" t="s">
        <v>87</v>
      </c>
      <c r="E72" s="84">
        <f>VLOOKUP(A72,'2a. SI Pop'!$A$5:$E$198,5,FALSE)</f>
        <v>1</v>
      </c>
      <c r="F72" s="84">
        <f>VLOOKUP(A72,'1. Overview'!$B$5:$F$198,5,FALSE)</f>
        <v>2031</v>
      </c>
      <c r="G72" s="3">
        <f t="shared" si="7"/>
        <v>0</v>
      </c>
      <c r="H72" s="3">
        <f t="shared" si="7"/>
        <v>0.2</v>
      </c>
      <c r="I72" s="3">
        <f t="shared" si="7"/>
        <v>0.2</v>
      </c>
      <c r="J72" s="3">
        <f t="shared" si="7"/>
        <v>0.2</v>
      </c>
      <c r="K72" s="3">
        <f t="shared" si="7"/>
        <v>0.2</v>
      </c>
      <c r="L72" s="3">
        <f t="shared" si="7"/>
        <v>0.2</v>
      </c>
      <c r="M72" s="3">
        <f t="shared" si="7"/>
        <v>0.2</v>
      </c>
      <c r="N72" s="3">
        <f t="shared" si="7"/>
        <v>0.2</v>
      </c>
      <c r="O72" s="3">
        <f t="shared" si="7"/>
        <v>0.2</v>
      </c>
      <c r="P72" s="3">
        <f t="shared" si="7"/>
        <v>0.2</v>
      </c>
      <c r="Q72" s="3">
        <f t="shared" si="7"/>
        <v>0.2</v>
      </c>
    </row>
    <row r="73" spans="1:17">
      <c r="A73" s="84" t="s">
        <v>219</v>
      </c>
      <c r="B73" s="85" t="s">
        <v>218</v>
      </c>
      <c r="C73" s="85" t="s">
        <v>92</v>
      </c>
      <c r="D73" s="84" t="s">
        <v>80</v>
      </c>
      <c r="E73" s="84">
        <f>VLOOKUP(A73,'2a. SI Pop'!$A$5:$E$198,5,FALSE)</f>
        <v>1</v>
      </c>
      <c r="F73" s="84">
        <f>VLOOKUP(A73,'1. Overview'!$B$5:$F$198,5,FALSE)</f>
        <v>2041</v>
      </c>
      <c r="G73" s="3">
        <f t="shared" si="7"/>
        <v>0</v>
      </c>
      <c r="H73" s="3">
        <f t="shared" si="7"/>
        <v>0</v>
      </c>
      <c r="I73" s="3">
        <f t="shared" si="7"/>
        <v>0</v>
      </c>
      <c r="J73" s="3">
        <f t="shared" si="7"/>
        <v>0</v>
      </c>
      <c r="K73" s="3">
        <f t="shared" si="7"/>
        <v>0</v>
      </c>
      <c r="L73" s="3">
        <f t="shared" si="7"/>
        <v>0</v>
      </c>
      <c r="M73" s="3">
        <f t="shared" si="7"/>
        <v>0</v>
      </c>
      <c r="N73" s="3">
        <f t="shared" si="7"/>
        <v>0</v>
      </c>
      <c r="O73" s="3">
        <f t="shared" si="7"/>
        <v>0</v>
      </c>
      <c r="P73" s="3">
        <f t="shared" si="7"/>
        <v>0</v>
      </c>
      <c r="Q73" s="3">
        <f t="shared" si="7"/>
        <v>0</v>
      </c>
    </row>
    <row r="74" spans="1:17">
      <c r="A74" s="84" t="s">
        <v>221</v>
      </c>
      <c r="B74" s="85" t="s">
        <v>220</v>
      </c>
      <c r="C74" s="85" t="s">
        <v>92</v>
      </c>
      <c r="D74" s="84" t="s">
        <v>80</v>
      </c>
      <c r="E74" s="84">
        <f>VLOOKUP(A74,'2a. SI Pop'!$A$5:$E$198,5,FALSE)</f>
        <v>1</v>
      </c>
      <c r="F74" s="84">
        <f>VLOOKUP(A74,'1. Overview'!$B$5:$F$198,5,FALSE)</f>
        <v>2040</v>
      </c>
      <c r="G74" s="3">
        <f t="shared" si="7"/>
        <v>0</v>
      </c>
      <c r="H74" s="3">
        <f t="shared" si="7"/>
        <v>0</v>
      </c>
      <c r="I74" s="3">
        <f t="shared" si="7"/>
        <v>0</v>
      </c>
      <c r="J74" s="3">
        <f t="shared" si="7"/>
        <v>0</v>
      </c>
      <c r="K74" s="3">
        <f t="shared" si="7"/>
        <v>0</v>
      </c>
      <c r="L74" s="3">
        <f t="shared" si="7"/>
        <v>0</v>
      </c>
      <c r="M74" s="3">
        <f t="shared" si="7"/>
        <v>0</v>
      </c>
      <c r="N74" s="3">
        <f t="shared" si="7"/>
        <v>0</v>
      </c>
      <c r="O74" s="3">
        <f t="shared" si="7"/>
        <v>0</v>
      </c>
      <c r="P74" s="3">
        <f t="shared" si="7"/>
        <v>0</v>
      </c>
      <c r="Q74" s="3">
        <f t="shared" si="7"/>
        <v>0.2</v>
      </c>
    </row>
    <row r="75" spans="1:17">
      <c r="A75" s="84" t="s">
        <v>223</v>
      </c>
      <c r="B75" s="85" t="s">
        <v>222</v>
      </c>
      <c r="C75" s="85" t="s">
        <v>83</v>
      </c>
      <c r="D75" s="84" t="s">
        <v>75</v>
      </c>
      <c r="E75" s="84">
        <f>VLOOKUP(A75,'2a. SI Pop'!$A$5:$E$198,5,FALSE)</f>
        <v>3</v>
      </c>
      <c r="F75" s="84">
        <f>VLOOKUP(A75,'1. Overview'!$B$5:$F$198,5,FALSE)</f>
        <v>2034</v>
      </c>
      <c r="G75" s="3">
        <f t="shared" si="7"/>
        <v>0</v>
      </c>
      <c r="H75" s="3">
        <f t="shared" si="7"/>
        <v>0</v>
      </c>
      <c r="I75" s="3">
        <f t="shared" si="7"/>
        <v>0</v>
      </c>
      <c r="J75" s="3">
        <f t="shared" si="7"/>
        <v>0</v>
      </c>
      <c r="K75" s="3">
        <f t="shared" si="7"/>
        <v>0.2</v>
      </c>
      <c r="L75" s="3">
        <f t="shared" si="7"/>
        <v>0.2</v>
      </c>
      <c r="M75" s="3">
        <f t="shared" si="7"/>
        <v>0.2</v>
      </c>
      <c r="N75" s="3">
        <f t="shared" si="7"/>
        <v>0.2</v>
      </c>
      <c r="O75" s="3">
        <f t="shared" si="7"/>
        <v>0.2</v>
      </c>
      <c r="P75" s="3">
        <f t="shared" si="7"/>
        <v>0.2</v>
      </c>
      <c r="Q75" s="3">
        <f t="shared" si="7"/>
        <v>0.2</v>
      </c>
    </row>
    <row r="76" spans="1:17">
      <c r="A76" s="84" t="s">
        <v>225</v>
      </c>
      <c r="B76" s="85" t="s">
        <v>224</v>
      </c>
      <c r="C76" s="85" t="s">
        <v>83</v>
      </c>
      <c r="D76" s="84" t="s">
        <v>75</v>
      </c>
      <c r="E76" s="84">
        <f>VLOOKUP(A76,'2a. SI Pop'!$A$5:$E$198,5,FALSE)</f>
        <v>3</v>
      </c>
      <c r="F76" s="84">
        <f>VLOOKUP(A76,'1. Overview'!$B$5:$F$198,5,FALSE)</f>
        <v>2038</v>
      </c>
      <c r="G76" s="3">
        <f t="shared" si="7"/>
        <v>0</v>
      </c>
      <c r="H76" s="3">
        <f t="shared" si="7"/>
        <v>0</v>
      </c>
      <c r="I76" s="3">
        <f t="shared" si="7"/>
        <v>0</v>
      </c>
      <c r="J76" s="3">
        <f t="shared" si="7"/>
        <v>0</v>
      </c>
      <c r="K76" s="3">
        <f t="shared" si="7"/>
        <v>0</v>
      </c>
      <c r="L76" s="3">
        <f t="shared" si="7"/>
        <v>0</v>
      </c>
      <c r="M76" s="3">
        <f t="shared" si="7"/>
        <v>0</v>
      </c>
      <c r="N76" s="3">
        <f t="shared" si="7"/>
        <v>0</v>
      </c>
      <c r="O76" s="3">
        <f t="shared" si="7"/>
        <v>0.2</v>
      </c>
      <c r="P76" s="3">
        <f t="shared" si="7"/>
        <v>0.2</v>
      </c>
      <c r="Q76" s="3">
        <f t="shared" si="7"/>
        <v>0.2</v>
      </c>
    </row>
    <row r="77" spans="1:17">
      <c r="A77" s="84" t="s">
        <v>227</v>
      </c>
      <c r="B77" s="85" t="s">
        <v>226</v>
      </c>
      <c r="C77" s="85" t="s">
        <v>92</v>
      </c>
      <c r="D77" s="84" t="s">
        <v>80</v>
      </c>
      <c r="E77" s="84">
        <f>VLOOKUP(A77,'2a. SI Pop'!$A$5:$E$198,5,FALSE)</f>
        <v>2</v>
      </c>
      <c r="F77" s="84">
        <f>VLOOKUP(A77,'1. Overview'!$B$5:$F$198,5,FALSE)</f>
        <v>2039</v>
      </c>
      <c r="G77" s="3">
        <f t="shared" si="7"/>
        <v>0</v>
      </c>
      <c r="H77" s="3">
        <f t="shared" si="7"/>
        <v>0</v>
      </c>
      <c r="I77" s="3">
        <f t="shared" si="7"/>
        <v>0</v>
      </c>
      <c r="J77" s="3">
        <f t="shared" si="7"/>
        <v>0</v>
      </c>
      <c r="K77" s="3">
        <f t="shared" si="7"/>
        <v>0</v>
      </c>
      <c r="L77" s="3">
        <f t="shared" si="7"/>
        <v>0</v>
      </c>
      <c r="M77" s="3">
        <f t="shared" si="7"/>
        <v>0</v>
      </c>
      <c r="N77" s="3">
        <f t="shared" si="7"/>
        <v>0</v>
      </c>
      <c r="O77" s="3">
        <f t="shared" si="7"/>
        <v>0</v>
      </c>
      <c r="P77" s="3">
        <f t="shared" si="7"/>
        <v>0.2</v>
      </c>
      <c r="Q77" s="3">
        <f t="shared" si="7"/>
        <v>0.2</v>
      </c>
    </row>
    <row r="78" spans="1:17">
      <c r="A78" s="84" t="s">
        <v>229</v>
      </c>
      <c r="B78" s="85" t="s">
        <v>228</v>
      </c>
      <c r="C78" s="85" t="s">
        <v>92</v>
      </c>
      <c r="D78" s="84" t="s">
        <v>75</v>
      </c>
      <c r="E78" s="84">
        <f>VLOOKUP(A78,'2a. SI Pop'!$A$5:$E$198,5,FALSE)</f>
        <v>2</v>
      </c>
      <c r="F78" s="84">
        <f>VLOOKUP(A78,'1. Overview'!$B$5:$F$198,5,FALSE)</f>
        <v>2042</v>
      </c>
      <c r="G78" s="3">
        <f t="shared" si="7"/>
        <v>0</v>
      </c>
      <c r="H78" s="3">
        <f t="shared" si="7"/>
        <v>0</v>
      </c>
      <c r="I78" s="3">
        <f t="shared" si="7"/>
        <v>0</v>
      </c>
      <c r="J78" s="3">
        <f t="shared" si="7"/>
        <v>0</v>
      </c>
      <c r="K78" s="3">
        <f t="shared" si="7"/>
        <v>0</v>
      </c>
      <c r="L78" s="3">
        <f t="shared" si="7"/>
        <v>0</v>
      </c>
      <c r="M78" s="3">
        <f t="shared" si="7"/>
        <v>0</v>
      </c>
      <c r="N78" s="3">
        <f t="shared" si="7"/>
        <v>0</v>
      </c>
      <c r="O78" s="3">
        <f t="shared" si="7"/>
        <v>0</v>
      </c>
      <c r="P78" s="3">
        <f t="shared" si="7"/>
        <v>0</v>
      </c>
      <c r="Q78" s="3">
        <f t="shared" si="7"/>
        <v>0</v>
      </c>
    </row>
    <row r="79" spans="1:17">
      <c r="A79" s="84" t="s">
        <v>231</v>
      </c>
      <c r="B79" s="85" t="s">
        <v>230</v>
      </c>
      <c r="C79" s="85" t="s">
        <v>92</v>
      </c>
      <c r="D79" s="84" t="s">
        <v>84</v>
      </c>
      <c r="E79" s="84">
        <f>VLOOKUP(A79,'2a. SI Pop'!$A$5:$E$198,5,FALSE)</f>
        <v>1</v>
      </c>
      <c r="F79" s="84">
        <f>VLOOKUP(A79,'1. Overview'!$B$5:$F$198,5,FALSE)</f>
        <v>2041</v>
      </c>
      <c r="G79" s="3">
        <f t="shared" si="7"/>
        <v>0</v>
      </c>
      <c r="H79" s="3">
        <f t="shared" si="7"/>
        <v>0</v>
      </c>
      <c r="I79" s="3">
        <f t="shared" si="7"/>
        <v>0</v>
      </c>
      <c r="J79" s="3">
        <f t="shared" si="7"/>
        <v>0</v>
      </c>
      <c r="K79" s="3">
        <f t="shared" si="7"/>
        <v>0</v>
      </c>
      <c r="L79" s="3">
        <f t="shared" si="7"/>
        <v>0</v>
      </c>
      <c r="M79" s="3">
        <f t="shared" si="7"/>
        <v>0</v>
      </c>
      <c r="N79" s="3">
        <f t="shared" si="7"/>
        <v>0</v>
      </c>
      <c r="O79" s="3">
        <f t="shared" si="7"/>
        <v>0</v>
      </c>
      <c r="P79" s="3">
        <f t="shared" si="7"/>
        <v>0</v>
      </c>
      <c r="Q79" s="3">
        <f t="shared" si="7"/>
        <v>0</v>
      </c>
    </row>
    <row r="80" spans="1:17">
      <c r="A80" s="84" t="s">
        <v>233</v>
      </c>
      <c r="B80" s="85" t="s">
        <v>232</v>
      </c>
      <c r="C80" s="85" t="s">
        <v>79</v>
      </c>
      <c r="D80" s="84" t="s">
        <v>87</v>
      </c>
      <c r="E80" s="84">
        <f>VLOOKUP(A80,'2a. SI Pop'!$A$5:$E$198,5,FALSE)</f>
        <v>1</v>
      </c>
      <c r="F80" s="84">
        <f>VLOOKUP(A80,'1. Overview'!$B$5:$F$198,5,FALSE)</f>
        <v>2036</v>
      </c>
      <c r="G80" s="3">
        <f t="shared" si="7"/>
        <v>0</v>
      </c>
      <c r="H80" s="3">
        <f t="shared" si="7"/>
        <v>0</v>
      </c>
      <c r="I80" s="3">
        <f t="shared" si="7"/>
        <v>0</v>
      </c>
      <c r="J80" s="3">
        <f t="shared" si="7"/>
        <v>0</v>
      </c>
      <c r="K80" s="3">
        <f t="shared" si="7"/>
        <v>0</v>
      </c>
      <c r="L80" s="3">
        <f t="shared" si="7"/>
        <v>0</v>
      </c>
      <c r="M80" s="3">
        <f t="shared" si="7"/>
        <v>0.2</v>
      </c>
      <c r="N80" s="3">
        <f t="shared" si="7"/>
        <v>0.2</v>
      </c>
      <c r="O80" s="3">
        <f t="shared" si="7"/>
        <v>0.2</v>
      </c>
      <c r="P80" s="3">
        <f t="shared" si="7"/>
        <v>0.2</v>
      </c>
      <c r="Q80" s="3">
        <f t="shared" si="7"/>
        <v>0.2</v>
      </c>
    </row>
    <row r="81" spans="1:17">
      <c r="A81" s="84" t="s">
        <v>235</v>
      </c>
      <c r="B81" s="85" t="s">
        <v>234</v>
      </c>
      <c r="C81" s="85" t="s">
        <v>79</v>
      </c>
      <c r="D81" s="84" t="s">
        <v>87</v>
      </c>
      <c r="E81" s="84">
        <f>VLOOKUP(A81,'2a. SI Pop'!$A$5:$E$198,5,FALSE)</f>
        <v>1</v>
      </c>
      <c r="F81" s="84">
        <f>VLOOKUP(A81,'1. Overview'!$B$5:$F$198,5,FALSE)</f>
        <v>2035</v>
      </c>
      <c r="G81" s="3">
        <f t="shared" si="7"/>
        <v>0</v>
      </c>
      <c r="H81" s="3">
        <f t="shared" si="7"/>
        <v>0</v>
      </c>
      <c r="I81" s="3">
        <f t="shared" si="7"/>
        <v>0</v>
      </c>
      <c r="J81" s="3">
        <f t="shared" si="7"/>
        <v>0</v>
      </c>
      <c r="K81" s="3">
        <f t="shared" si="7"/>
        <v>0</v>
      </c>
      <c r="L81" s="3">
        <f t="shared" si="7"/>
        <v>0.2</v>
      </c>
      <c r="M81" s="3">
        <f t="shared" si="7"/>
        <v>0.2</v>
      </c>
      <c r="N81" s="3">
        <f t="shared" si="7"/>
        <v>0.2</v>
      </c>
      <c r="O81" s="3">
        <f t="shared" si="7"/>
        <v>0.2</v>
      </c>
      <c r="P81" s="3">
        <f t="shared" si="7"/>
        <v>0.2</v>
      </c>
      <c r="Q81" s="3">
        <f t="shared" si="7"/>
        <v>0.2</v>
      </c>
    </row>
    <row r="82" spans="1:17">
      <c r="A82" s="84" t="s">
        <v>237</v>
      </c>
      <c r="B82" s="85" t="s">
        <v>236</v>
      </c>
      <c r="C82" s="85" t="s">
        <v>110</v>
      </c>
      <c r="D82" s="84" t="s">
        <v>84</v>
      </c>
      <c r="E82" s="84" t="str">
        <f>VLOOKUP(A82,'2a. SI Pop'!$A$5:$E$198,5,FALSE)</f>
        <v>Key</v>
      </c>
      <c r="F82" s="84">
        <f>VLOOKUP(A82,'1. Overview'!$B$5:$F$198,5,FALSE)</f>
        <v>2035</v>
      </c>
      <c r="G82" s="3">
        <f t="shared" si="7"/>
        <v>0</v>
      </c>
      <c r="H82" s="3">
        <f t="shared" si="7"/>
        <v>0</v>
      </c>
      <c r="I82" s="3">
        <f t="shared" si="7"/>
        <v>0</v>
      </c>
      <c r="J82" s="3">
        <f t="shared" si="7"/>
        <v>0</v>
      </c>
      <c r="K82" s="3">
        <f t="shared" si="7"/>
        <v>0</v>
      </c>
      <c r="L82" s="3">
        <f t="shared" si="7"/>
        <v>0.2</v>
      </c>
      <c r="M82" s="3">
        <f t="shared" si="7"/>
        <v>0.2</v>
      </c>
      <c r="N82" s="3">
        <f t="shared" si="7"/>
        <v>0.2</v>
      </c>
      <c r="O82" s="3">
        <f t="shared" si="7"/>
        <v>0.2</v>
      </c>
      <c r="P82" s="3">
        <f t="shared" si="7"/>
        <v>0.2</v>
      </c>
      <c r="Q82" s="3">
        <f t="shared" si="7"/>
        <v>0.2</v>
      </c>
    </row>
    <row r="83" spans="1:17">
      <c r="A83" s="84" t="s">
        <v>239</v>
      </c>
      <c r="B83" s="85" t="s">
        <v>238</v>
      </c>
      <c r="C83" s="85" t="s">
        <v>110</v>
      </c>
      <c r="D83" s="84" t="s">
        <v>80</v>
      </c>
      <c r="E83" s="84" t="str">
        <f>VLOOKUP(A83,'2a. SI Pop'!$A$5:$E$198,5,FALSE)</f>
        <v>Key</v>
      </c>
      <c r="F83" s="84">
        <f>VLOOKUP(A83,'1. Overview'!$B$5:$F$198,5,FALSE)</f>
        <v>2033</v>
      </c>
      <c r="G83" s="3">
        <f t="shared" si="7"/>
        <v>0</v>
      </c>
      <c r="H83" s="3">
        <f t="shared" si="7"/>
        <v>0</v>
      </c>
      <c r="I83" s="3">
        <f t="shared" si="7"/>
        <v>0</v>
      </c>
      <c r="J83" s="3">
        <f t="shared" si="7"/>
        <v>0.2</v>
      </c>
      <c r="K83" s="3">
        <f t="shared" si="7"/>
        <v>0.2</v>
      </c>
      <c r="L83" s="3">
        <f t="shared" si="7"/>
        <v>0.2</v>
      </c>
      <c r="M83" s="3">
        <f t="shared" si="7"/>
        <v>0.2</v>
      </c>
      <c r="N83" s="3">
        <f t="shared" si="7"/>
        <v>0.2</v>
      </c>
      <c r="O83" s="3">
        <f t="shared" si="7"/>
        <v>0.2</v>
      </c>
      <c r="P83" s="3">
        <f t="shared" si="7"/>
        <v>0.2</v>
      </c>
      <c r="Q83" s="3">
        <f t="shared" si="7"/>
        <v>0.2</v>
      </c>
    </row>
    <row r="84" spans="1:17">
      <c r="A84" s="84" t="s">
        <v>241</v>
      </c>
      <c r="B84" s="85" t="s">
        <v>240</v>
      </c>
      <c r="C84" s="85" t="s">
        <v>74</v>
      </c>
      <c r="D84" s="84" t="s">
        <v>80</v>
      </c>
      <c r="E84" s="84">
        <f>VLOOKUP(A84,'2a. SI Pop'!$A$5:$E$198,5,FALSE)</f>
        <v>2</v>
      </c>
      <c r="F84" s="84">
        <f>VLOOKUP(A84,'1. Overview'!$B$5:$F$198,5,FALSE)</f>
        <v>2036</v>
      </c>
      <c r="G84" s="3">
        <f t="shared" si="7"/>
        <v>0</v>
      </c>
      <c r="H84" s="3">
        <f t="shared" si="7"/>
        <v>0</v>
      </c>
      <c r="I84" s="3">
        <f t="shared" si="7"/>
        <v>0</v>
      </c>
      <c r="J84" s="3">
        <f t="shared" si="7"/>
        <v>0</v>
      </c>
      <c r="K84" s="3">
        <f t="shared" si="7"/>
        <v>0</v>
      </c>
      <c r="L84" s="3">
        <f t="shared" si="7"/>
        <v>0</v>
      </c>
      <c r="M84" s="3">
        <f t="shared" si="7"/>
        <v>0.2</v>
      </c>
      <c r="N84" s="3">
        <f t="shared" si="7"/>
        <v>0.2</v>
      </c>
      <c r="O84" s="3">
        <f t="shared" si="7"/>
        <v>0.2</v>
      </c>
      <c r="P84" s="3">
        <f t="shared" si="7"/>
        <v>0.2</v>
      </c>
      <c r="Q84" s="3">
        <f t="shared" si="7"/>
        <v>0.2</v>
      </c>
    </row>
    <row r="85" spans="1:17">
      <c r="A85" s="84" t="s">
        <v>243</v>
      </c>
      <c r="B85" s="85" t="s">
        <v>242</v>
      </c>
      <c r="C85" s="85" t="s">
        <v>74</v>
      </c>
      <c r="D85" s="84" t="s">
        <v>80</v>
      </c>
      <c r="E85" s="84">
        <f>VLOOKUP(A85,'2a. SI Pop'!$A$5:$E$198,5,FALSE)</f>
        <v>2</v>
      </c>
      <c r="F85" s="84">
        <f>VLOOKUP(A85,'1. Overview'!$B$5:$F$198,5,FALSE)</f>
        <v>2030</v>
      </c>
      <c r="G85" s="3">
        <f t="shared" si="7"/>
        <v>0.2</v>
      </c>
      <c r="H85" s="3">
        <f t="shared" si="7"/>
        <v>0.2</v>
      </c>
      <c r="I85" s="3">
        <f t="shared" si="7"/>
        <v>0.2</v>
      </c>
      <c r="J85" s="3">
        <f t="shared" si="7"/>
        <v>0.2</v>
      </c>
      <c r="K85" s="3">
        <f t="shared" si="7"/>
        <v>0.2</v>
      </c>
      <c r="L85" s="3">
        <f t="shared" si="7"/>
        <v>0.2</v>
      </c>
      <c r="M85" s="3">
        <f t="shared" si="7"/>
        <v>0.2</v>
      </c>
      <c r="N85" s="3">
        <f t="shared" si="7"/>
        <v>0.2</v>
      </c>
      <c r="O85" s="3">
        <f t="shared" si="7"/>
        <v>0.2</v>
      </c>
      <c r="P85" s="3">
        <f t="shared" si="7"/>
        <v>0.2</v>
      </c>
      <c r="Q85" s="3">
        <f t="shared" si="7"/>
        <v>0.2</v>
      </c>
    </row>
    <row r="86" spans="1:17">
      <c r="A86" s="84" t="s">
        <v>245</v>
      </c>
      <c r="B86" s="85" t="s">
        <v>244</v>
      </c>
      <c r="C86" s="85" t="s">
        <v>79</v>
      </c>
      <c r="D86" s="84" t="s">
        <v>87</v>
      </c>
      <c r="E86" s="84">
        <f>VLOOKUP(A86,'2a. SI Pop'!$A$5:$E$198,5,FALSE)</f>
        <v>1</v>
      </c>
      <c r="F86" s="84">
        <f>VLOOKUP(A86,'1. Overview'!$B$5:$F$198,5,FALSE)</f>
        <v>2030</v>
      </c>
      <c r="G86" s="3">
        <f t="shared" ref="G86:Q101" si="8">IF(G$4&gt;=$F86,$B$3,0)</f>
        <v>0.2</v>
      </c>
      <c r="H86" s="3">
        <f t="shared" si="8"/>
        <v>0.2</v>
      </c>
      <c r="I86" s="3">
        <f t="shared" si="8"/>
        <v>0.2</v>
      </c>
      <c r="J86" s="3">
        <f t="shared" si="8"/>
        <v>0.2</v>
      </c>
      <c r="K86" s="3">
        <f t="shared" si="8"/>
        <v>0.2</v>
      </c>
      <c r="L86" s="3">
        <f t="shared" si="8"/>
        <v>0.2</v>
      </c>
      <c r="M86" s="3">
        <f t="shared" si="8"/>
        <v>0.2</v>
      </c>
      <c r="N86" s="3">
        <f t="shared" si="8"/>
        <v>0.2</v>
      </c>
      <c r="O86" s="3">
        <f t="shared" si="8"/>
        <v>0.2</v>
      </c>
      <c r="P86" s="3">
        <f t="shared" si="8"/>
        <v>0.2</v>
      </c>
      <c r="Q86" s="3">
        <f t="shared" si="8"/>
        <v>0.2</v>
      </c>
    </row>
    <row r="87" spans="1:17">
      <c r="A87" s="84" t="s">
        <v>247</v>
      </c>
      <c r="B87" s="85" t="s">
        <v>246</v>
      </c>
      <c r="C87" s="85" t="s">
        <v>79</v>
      </c>
      <c r="D87" s="84" t="s">
        <v>87</v>
      </c>
      <c r="E87" s="84">
        <f>VLOOKUP(A87,'2a. SI Pop'!$A$5:$E$198,5,FALSE)</f>
        <v>1</v>
      </c>
      <c r="F87" s="84">
        <f>VLOOKUP(A87,'1. Overview'!$B$5:$F$198,5,FALSE)</f>
        <v>2031</v>
      </c>
      <c r="G87" s="3">
        <f t="shared" si="8"/>
        <v>0</v>
      </c>
      <c r="H87" s="3">
        <f t="shared" si="8"/>
        <v>0.2</v>
      </c>
      <c r="I87" s="3">
        <f t="shared" si="8"/>
        <v>0.2</v>
      </c>
      <c r="J87" s="3">
        <f t="shared" si="8"/>
        <v>0.2</v>
      </c>
      <c r="K87" s="3">
        <f t="shared" si="8"/>
        <v>0.2</v>
      </c>
      <c r="L87" s="3">
        <f t="shared" si="8"/>
        <v>0.2</v>
      </c>
      <c r="M87" s="3">
        <f t="shared" si="8"/>
        <v>0.2</v>
      </c>
      <c r="N87" s="3">
        <f t="shared" si="8"/>
        <v>0.2</v>
      </c>
      <c r="O87" s="3">
        <f t="shared" si="8"/>
        <v>0.2</v>
      </c>
      <c r="P87" s="3">
        <f t="shared" si="8"/>
        <v>0.2</v>
      </c>
      <c r="Q87" s="3">
        <f t="shared" si="8"/>
        <v>0.2</v>
      </c>
    </row>
    <row r="88" spans="1:17">
      <c r="A88" s="84" t="s">
        <v>249</v>
      </c>
      <c r="B88" s="85" t="s">
        <v>248</v>
      </c>
      <c r="C88" s="85" t="s">
        <v>79</v>
      </c>
      <c r="D88" s="84" t="s">
        <v>87</v>
      </c>
      <c r="E88" s="84">
        <f>VLOOKUP(A88,'2a. SI Pop'!$A$5:$E$198,5,FALSE)</f>
        <v>1</v>
      </c>
      <c r="F88" s="84">
        <f>VLOOKUP(A88,'1. Overview'!$B$5:$F$198,5,FALSE)</f>
        <v>2030</v>
      </c>
      <c r="G88" s="3">
        <f t="shared" si="8"/>
        <v>0.2</v>
      </c>
      <c r="H88" s="3">
        <f t="shared" si="8"/>
        <v>0.2</v>
      </c>
      <c r="I88" s="3">
        <f t="shared" si="8"/>
        <v>0.2</v>
      </c>
      <c r="J88" s="3">
        <f t="shared" si="8"/>
        <v>0.2</v>
      </c>
      <c r="K88" s="3">
        <f t="shared" si="8"/>
        <v>0.2</v>
      </c>
      <c r="L88" s="3">
        <f t="shared" si="8"/>
        <v>0.2</v>
      </c>
      <c r="M88" s="3">
        <f t="shared" si="8"/>
        <v>0.2</v>
      </c>
      <c r="N88" s="3">
        <f t="shared" si="8"/>
        <v>0.2</v>
      </c>
      <c r="O88" s="3">
        <f t="shared" si="8"/>
        <v>0.2</v>
      </c>
      <c r="P88" s="3">
        <f t="shared" si="8"/>
        <v>0.2</v>
      </c>
      <c r="Q88" s="3">
        <f t="shared" si="8"/>
        <v>0.2</v>
      </c>
    </row>
    <row r="89" spans="1:17">
      <c r="A89" s="84" t="s">
        <v>251</v>
      </c>
      <c r="B89" s="85" t="s">
        <v>250</v>
      </c>
      <c r="C89" s="85" t="s">
        <v>92</v>
      </c>
      <c r="D89" s="84" t="s">
        <v>80</v>
      </c>
      <c r="E89" s="84">
        <f>VLOOKUP(A89,'2a. SI Pop'!$A$5:$E$198,5,FALSE)</f>
        <v>1</v>
      </c>
      <c r="F89" s="84">
        <f>VLOOKUP(A89,'1. Overview'!$B$5:$F$198,5,FALSE)</f>
        <v>2041</v>
      </c>
      <c r="G89" s="3">
        <f t="shared" si="8"/>
        <v>0</v>
      </c>
      <c r="H89" s="3">
        <f t="shared" si="8"/>
        <v>0</v>
      </c>
      <c r="I89" s="3">
        <f t="shared" si="8"/>
        <v>0</v>
      </c>
      <c r="J89" s="3">
        <f t="shared" si="8"/>
        <v>0</v>
      </c>
      <c r="K89" s="3">
        <f t="shared" si="8"/>
        <v>0</v>
      </c>
      <c r="L89" s="3">
        <f t="shared" si="8"/>
        <v>0</v>
      </c>
      <c r="M89" s="3">
        <f t="shared" si="8"/>
        <v>0</v>
      </c>
      <c r="N89" s="3">
        <f t="shared" si="8"/>
        <v>0</v>
      </c>
      <c r="O89" s="3">
        <f t="shared" si="8"/>
        <v>0</v>
      </c>
      <c r="P89" s="3">
        <f t="shared" si="8"/>
        <v>0</v>
      </c>
      <c r="Q89" s="3">
        <f t="shared" si="8"/>
        <v>0</v>
      </c>
    </row>
    <row r="90" spans="1:17">
      <c r="A90" s="84" t="s">
        <v>253</v>
      </c>
      <c r="B90" s="85" t="s">
        <v>252</v>
      </c>
      <c r="C90" s="85" t="s">
        <v>99</v>
      </c>
      <c r="D90" s="84" t="s">
        <v>87</v>
      </c>
      <c r="E90" s="84">
        <f>VLOOKUP(A90,'2a. SI Pop'!$A$5:$E$198,5,FALSE)</f>
        <v>4</v>
      </c>
      <c r="F90" s="84">
        <f>VLOOKUP(A90,'1. Overview'!$B$5:$F$198,5,FALSE)</f>
        <v>2031</v>
      </c>
      <c r="G90" s="3">
        <f t="shared" si="8"/>
        <v>0</v>
      </c>
      <c r="H90" s="3">
        <f t="shared" si="8"/>
        <v>0.2</v>
      </c>
      <c r="I90" s="3">
        <f t="shared" si="8"/>
        <v>0.2</v>
      </c>
      <c r="J90" s="3">
        <f t="shared" si="8"/>
        <v>0.2</v>
      </c>
      <c r="K90" s="3">
        <f t="shared" si="8"/>
        <v>0.2</v>
      </c>
      <c r="L90" s="3">
        <f t="shared" si="8"/>
        <v>0.2</v>
      </c>
      <c r="M90" s="3">
        <f t="shared" si="8"/>
        <v>0.2</v>
      </c>
      <c r="N90" s="3">
        <f t="shared" si="8"/>
        <v>0.2</v>
      </c>
      <c r="O90" s="3">
        <f t="shared" si="8"/>
        <v>0.2</v>
      </c>
      <c r="P90" s="3">
        <f t="shared" si="8"/>
        <v>0.2</v>
      </c>
      <c r="Q90" s="3">
        <f t="shared" si="8"/>
        <v>0.2</v>
      </c>
    </row>
    <row r="91" spans="1:17">
      <c r="A91" s="84" t="s">
        <v>255</v>
      </c>
      <c r="B91" s="85" t="s">
        <v>254</v>
      </c>
      <c r="C91" s="85" t="s">
        <v>74</v>
      </c>
      <c r="D91" s="84" t="s">
        <v>80</v>
      </c>
      <c r="E91" s="84">
        <f>VLOOKUP(A91,'2a. SI Pop'!$A$5:$E$198,5,FALSE)</f>
        <v>2</v>
      </c>
      <c r="F91" s="84">
        <f>VLOOKUP(A91,'1. Overview'!$B$5:$F$198,5,FALSE)</f>
        <v>2034</v>
      </c>
      <c r="G91" s="3">
        <f t="shared" si="8"/>
        <v>0</v>
      </c>
      <c r="H91" s="3">
        <f t="shared" si="8"/>
        <v>0</v>
      </c>
      <c r="I91" s="3">
        <f t="shared" si="8"/>
        <v>0</v>
      </c>
      <c r="J91" s="3">
        <f t="shared" si="8"/>
        <v>0</v>
      </c>
      <c r="K91" s="3">
        <f t="shared" si="8"/>
        <v>0.2</v>
      </c>
      <c r="L91" s="3">
        <f t="shared" si="8"/>
        <v>0.2</v>
      </c>
      <c r="M91" s="3">
        <f t="shared" si="8"/>
        <v>0.2</v>
      </c>
      <c r="N91" s="3">
        <f t="shared" si="8"/>
        <v>0.2</v>
      </c>
      <c r="O91" s="3">
        <f t="shared" si="8"/>
        <v>0.2</v>
      </c>
      <c r="P91" s="3">
        <f t="shared" si="8"/>
        <v>0.2</v>
      </c>
      <c r="Q91" s="3">
        <f t="shared" si="8"/>
        <v>0.2</v>
      </c>
    </row>
    <row r="92" spans="1:17">
      <c r="A92" s="84" t="s">
        <v>257</v>
      </c>
      <c r="B92" s="85" t="s">
        <v>256</v>
      </c>
      <c r="C92" s="85" t="s">
        <v>79</v>
      </c>
      <c r="D92" s="84" t="s">
        <v>80</v>
      </c>
      <c r="E92" s="84">
        <f>VLOOKUP(A92,'2a. SI Pop'!$A$5:$E$198,5,FALSE)</f>
        <v>2</v>
      </c>
      <c r="F92" s="84">
        <f>VLOOKUP(A92,'1. Overview'!$B$5:$F$198,5,FALSE)</f>
        <v>2034</v>
      </c>
      <c r="G92" s="3">
        <f t="shared" si="8"/>
        <v>0</v>
      </c>
      <c r="H92" s="3">
        <f t="shared" si="8"/>
        <v>0</v>
      </c>
      <c r="I92" s="3">
        <f t="shared" si="8"/>
        <v>0</v>
      </c>
      <c r="J92" s="3">
        <f t="shared" si="8"/>
        <v>0</v>
      </c>
      <c r="K92" s="3">
        <f t="shared" si="8"/>
        <v>0.2</v>
      </c>
      <c r="L92" s="3">
        <f t="shared" si="8"/>
        <v>0.2</v>
      </c>
      <c r="M92" s="3">
        <f t="shared" si="8"/>
        <v>0.2</v>
      </c>
      <c r="N92" s="3">
        <f t="shared" si="8"/>
        <v>0.2</v>
      </c>
      <c r="O92" s="3">
        <f t="shared" si="8"/>
        <v>0.2</v>
      </c>
      <c r="P92" s="3">
        <f t="shared" si="8"/>
        <v>0.2</v>
      </c>
      <c r="Q92" s="3">
        <f t="shared" si="8"/>
        <v>0.2</v>
      </c>
    </row>
    <row r="93" spans="1:17">
      <c r="A93" s="84" t="s">
        <v>259</v>
      </c>
      <c r="B93" s="85" t="s">
        <v>258</v>
      </c>
      <c r="C93" s="85" t="s">
        <v>83</v>
      </c>
      <c r="D93" s="84" t="s">
        <v>84</v>
      </c>
      <c r="E93" s="84">
        <f>VLOOKUP(A93,'2a. SI Pop'!$A$5:$E$198,5,FALSE)</f>
        <v>3</v>
      </c>
      <c r="F93" s="84">
        <f>VLOOKUP(A93,'1. Overview'!$B$5:$F$198,5,FALSE)</f>
        <v>2036</v>
      </c>
      <c r="G93" s="3">
        <f t="shared" si="8"/>
        <v>0</v>
      </c>
      <c r="H93" s="3">
        <f t="shared" si="8"/>
        <v>0</v>
      </c>
      <c r="I93" s="3">
        <f t="shared" si="8"/>
        <v>0</v>
      </c>
      <c r="J93" s="3">
        <f t="shared" si="8"/>
        <v>0</v>
      </c>
      <c r="K93" s="3">
        <f t="shared" si="8"/>
        <v>0</v>
      </c>
      <c r="L93" s="3">
        <f t="shared" si="8"/>
        <v>0</v>
      </c>
      <c r="M93" s="3">
        <f t="shared" si="8"/>
        <v>0.2</v>
      </c>
      <c r="N93" s="3">
        <f t="shared" si="8"/>
        <v>0.2</v>
      </c>
      <c r="O93" s="3">
        <f t="shared" si="8"/>
        <v>0.2</v>
      </c>
      <c r="P93" s="3">
        <f t="shared" si="8"/>
        <v>0.2</v>
      </c>
      <c r="Q93" s="3">
        <f t="shared" si="8"/>
        <v>0.2</v>
      </c>
    </row>
    <row r="94" spans="1:17">
      <c r="A94" s="84" t="s">
        <v>261</v>
      </c>
      <c r="B94" s="85" t="s">
        <v>260</v>
      </c>
      <c r="C94" s="85" t="s">
        <v>99</v>
      </c>
      <c r="D94" s="84" t="s">
        <v>84</v>
      </c>
      <c r="E94" s="84">
        <f>VLOOKUP(A94,'2a. SI Pop'!$A$5:$E$198,5,FALSE)</f>
        <v>4</v>
      </c>
      <c r="F94" s="84">
        <f>VLOOKUP(A94,'1. Overview'!$B$5:$F$198,5,FALSE)</f>
        <v>2040</v>
      </c>
      <c r="G94" s="3">
        <f t="shared" si="8"/>
        <v>0</v>
      </c>
      <c r="H94" s="3">
        <f t="shared" si="8"/>
        <v>0</v>
      </c>
      <c r="I94" s="3">
        <f t="shared" si="8"/>
        <v>0</v>
      </c>
      <c r="J94" s="3">
        <f t="shared" si="8"/>
        <v>0</v>
      </c>
      <c r="K94" s="3">
        <f t="shared" si="8"/>
        <v>0</v>
      </c>
      <c r="L94" s="3">
        <f t="shared" si="8"/>
        <v>0</v>
      </c>
      <c r="M94" s="3">
        <f t="shared" si="8"/>
        <v>0</v>
      </c>
      <c r="N94" s="3">
        <f t="shared" si="8"/>
        <v>0</v>
      </c>
      <c r="O94" s="3">
        <f t="shared" si="8"/>
        <v>0</v>
      </c>
      <c r="P94" s="3">
        <f t="shared" si="8"/>
        <v>0</v>
      </c>
      <c r="Q94" s="3">
        <f t="shared" si="8"/>
        <v>0.2</v>
      </c>
    </row>
    <row r="95" spans="1:17">
      <c r="A95" s="84" t="s">
        <v>263</v>
      </c>
      <c r="B95" s="85" t="s">
        <v>262</v>
      </c>
      <c r="C95" s="85" t="s">
        <v>99</v>
      </c>
      <c r="D95" s="84" t="s">
        <v>87</v>
      </c>
      <c r="E95" s="84">
        <f>VLOOKUP(A95,'2a. SI Pop'!$A$5:$E$198,5,FALSE)</f>
        <v>1</v>
      </c>
      <c r="F95" s="84">
        <f>VLOOKUP(A95,'1. Overview'!$B$5:$F$198,5,FALSE)</f>
        <v>2037</v>
      </c>
      <c r="G95" s="3">
        <f t="shared" si="8"/>
        <v>0</v>
      </c>
      <c r="H95" s="3">
        <f t="shared" si="8"/>
        <v>0</v>
      </c>
      <c r="I95" s="3">
        <f t="shared" si="8"/>
        <v>0</v>
      </c>
      <c r="J95" s="3">
        <f t="shared" si="8"/>
        <v>0</v>
      </c>
      <c r="K95" s="3">
        <f t="shared" si="8"/>
        <v>0</v>
      </c>
      <c r="L95" s="3">
        <f t="shared" si="8"/>
        <v>0</v>
      </c>
      <c r="M95" s="3">
        <f t="shared" si="8"/>
        <v>0</v>
      </c>
      <c r="N95" s="3">
        <f t="shared" si="8"/>
        <v>0.2</v>
      </c>
      <c r="O95" s="3">
        <f t="shared" si="8"/>
        <v>0.2</v>
      </c>
      <c r="P95" s="3">
        <f t="shared" si="8"/>
        <v>0.2</v>
      </c>
      <c r="Q95" s="3">
        <f t="shared" si="8"/>
        <v>0.2</v>
      </c>
    </row>
    <row r="96" spans="1:17">
      <c r="A96" s="84" t="s">
        <v>265</v>
      </c>
      <c r="B96" s="85" t="s">
        <v>264</v>
      </c>
      <c r="C96" s="85" t="s">
        <v>74</v>
      </c>
      <c r="D96" s="84" t="s">
        <v>87</v>
      </c>
      <c r="E96" s="84">
        <f>VLOOKUP(A96,'2a. SI Pop'!$A$5:$E$198,5,FALSE)</f>
        <v>1</v>
      </c>
      <c r="F96" s="84">
        <f>VLOOKUP(A96,'1. Overview'!$B$5:$F$198,5,FALSE)</f>
        <v>2036</v>
      </c>
      <c r="G96" s="3">
        <f t="shared" si="8"/>
        <v>0</v>
      </c>
      <c r="H96" s="3">
        <f t="shared" si="8"/>
        <v>0</v>
      </c>
      <c r="I96" s="3">
        <f t="shared" si="8"/>
        <v>0</v>
      </c>
      <c r="J96" s="3">
        <f t="shared" si="8"/>
        <v>0</v>
      </c>
      <c r="K96" s="3">
        <f t="shared" si="8"/>
        <v>0</v>
      </c>
      <c r="L96" s="3">
        <f t="shared" si="8"/>
        <v>0</v>
      </c>
      <c r="M96" s="3">
        <f t="shared" si="8"/>
        <v>0.2</v>
      </c>
      <c r="N96" s="3">
        <f t="shared" si="8"/>
        <v>0.2</v>
      </c>
      <c r="O96" s="3">
        <f t="shared" si="8"/>
        <v>0.2</v>
      </c>
      <c r="P96" s="3">
        <f t="shared" si="8"/>
        <v>0.2</v>
      </c>
      <c r="Q96" s="3">
        <f t="shared" si="8"/>
        <v>0.2</v>
      </c>
    </row>
    <row r="97" spans="1:17">
      <c r="A97" s="84" t="s">
        <v>267</v>
      </c>
      <c r="B97" s="85" t="s">
        <v>266</v>
      </c>
      <c r="C97" s="85" t="s">
        <v>79</v>
      </c>
      <c r="D97" s="84" t="s">
        <v>84</v>
      </c>
      <c r="E97" s="84">
        <f>VLOOKUP(A97,'2a. SI Pop'!$A$5:$E$198,5,FALSE)</f>
        <v>1</v>
      </c>
      <c r="F97" s="84">
        <f>VLOOKUP(A97,'1. Overview'!$B$5:$F$198,5,FALSE)</f>
        <v>2036</v>
      </c>
      <c r="G97" s="3">
        <f t="shared" si="8"/>
        <v>0</v>
      </c>
      <c r="H97" s="3">
        <f t="shared" si="8"/>
        <v>0</v>
      </c>
      <c r="I97" s="3">
        <f t="shared" si="8"/>
        <v>0</v>
      </c>
      <c r="J97" s="3">
        <f t="shared" si="8"/>
        <v>0</v>
      </c>
      <c r="K97" s="3">
        <f t="shared" si="8"/>
        <v>0</v>
      </c>
      <c r="L97" s="3">
        <f t="shared" si="8"/>
        <v>0</v>
      </c>
      <c r="M97" s="3">
        <f t="shared" si="8"/>
        <v>0.2</v>
      </c>
      <c r="N97" s="3">
        <f t="shared" si="8"/>
        <v>0.2</v>
      </c>
      <c r="O97" s="3">
        <f t="shared" si="8"/>
        <v>0.2</v>
      </c>
      <c r="P97" s="3">
        <f t="shared" si="8"/>
        <v>0.2</v>
      </c>
      <c r="Q97" s="3">
        <f t="shared" si="8"/>
        <v>0.2</v>
      </c>
    </row>
    <row r="98" spans="1:17">
      <c r="A98" s="84" t="s">
        <v>269</v>
      </c>
      <c r="B98" s="85" t="s">
        <v>268</v>
      </c>
      <c r="C98" s="85" t="s">
        <v>99</v>
      </c>
      <c r="D98" s="84" t="s">
        <v>84</v>
      </c>
      <c r="E98" s="84">
        <f>VLOOKUP(A98,'2a. SI Pop'!$A$5:$E$198,5,FALSE)</f>
        <v>4</v>
      </c>
      <c r="F98" s="84">
        <f>VLOOKUP(A98,'1. Overview'!$B$5:$F$198,5,FALSE)</f>
        <v>2033</v>
      </c>
      <c r="G98" s="3">
        <f t="shared" si="8"/>
        <v>0</v>
      </c>
      <c r="H98" s="3">
        <f t="shared" si="8"/>
        <v>0</v>
      </c>
      <c r="I98" s="3">
        <f t="shared" si="8"/>
        <v>0</v>
      </c>
      <c r="J98" s="3">
        <f t="shared" si="8"/>
        <v>0.2</v>
      </c>
      <c r="K98" s="3">
        <f t="shared" si="8"/>
        <v>0.2</v>
      </c>
      <c r="L98" s="3">
        <f t="shared" si="8"/>
        <v>0.2</v>
      </c>
      <c r="M98" s="3">
        <f t="shared" si="8"/>
        <v>0.2</v>
      </c>
      <c r="N98" s="3">
        <f t="shared" si="8"/>
        <v>0.2</v>
      </c>
      <c r="O98" s="3">
        <f t="shared" si="8"/>
        <v>0.2</v>
      </c>
      <c r="P98" s="3">
        <f t="shared" si="8"/>
        <v>0.2</v>
      </c>
      <c r="Q98" s="3">
        <f t="shared" si="8"/>
        <v>0.2</v>
      </c>
    </row>
    <row r="99" spans="1:17">
      <c r="A99" s="84" t="s">
        <v>271</v>
      </c>
      <c r="B99" s="85" t="s">
        <v>270</v>
      </c>
      <c r="C99" s="85" t="s">
        <v>79</v>
      </c>
      <c r="D99" s="84" t="s">
        <v>87</v>
      </c>
      <c r="E99" s="84">
        <f>VLOOKUP(A99,'2a. SI Pop'!$A$5:$E$198,5,FALSE)</f>
        <v>1</v>
      </c>
      <c r="F99" s="84">
        <f>VLOOKUP(A99,'1. Overview'!$B$5:$F$198,5,FALSE)</f>
        <v>2035</v>
      </c>
      <c r="G99" s="3">
        <f t="shared" si="8"/>
        <v>0</v>
      </c>
      <c r="H99" s="3">
        <f t="shared" si="8"/>
        <v>0</v>
      </c>
      <c r="I99" s="3">
        <f t="shared" si="8"/>
        <v>0</v>
      </c>
      <c r="J99" s="3">
        <f t="shared" si="8"/>
        <v>0</v>
      </c>
      <c r="K99" s="3">
        <f t="shared" si="8"/>
        <v>0</v>
      </c>
      <c r="L99" s="3">
        <f t="shared" si="8"/>
        <v>0.2</v>
      </c>
      <c r="M99" s="3">
        <f t="shared" si="8"/>
        <v>0.2</v>
      </c>
      <c r="N99" s="3">
        <f t="shared" si="8"/>
        <v>0.2</v>
      </c>
      <c r="O99" s="3">
        <f t="shared" si="8"/>
        <v>0.2</v>
      </c>
      <c r="P99" s="3">
        <f t="shared" si="8"/>
        <v>0.2</v>
      </c>
      <c r="Q99" s="3">
        <f t="shared" si="8"/>
        <v>0.2</v>
      </c>
    </row>
    <row r="100" spans="1:17">
      <c r="A100" s="84" t="s">
        <v>273</v>
      </c>
      <c r="B100" s="85" t="s">
        <v>272</v>
      </c>
      <c r="C100" s="85" t="s">
        <v>74</v>
      </c>
      <c r="D100" s="84" t="s">
        <v>80</v>
      </c>
      <c r="E100" s="84">
        <f>VLOOKUP(A100,'2a. SI Pop'!$A$5:$E$198,5,FALSE)</f>
        <v>2</v>
      </c>
      <c r="F100" s="84">
        <f>VLOOKUP(A100,'1. Overview'!$B$5:$F$198,5,FALSE)</f>
        <v>2034</v>
      </c>
      <c r="G100" s="3">
        <f t="shared" si="8"/>
        <v>0</v>
      </c>
      <c r="H100" s="3">
        <f t="shared" si="8"/>
        <v>0</v>
      </c>
      <c r="I100" s="3">
        <f t="shared" si="8"/>
        <v>0</v>
      </c>
      <c r="J100" s="3">
        <f t="shared" si="8"/>
        <v>0</v>
      </c>
      <c r="K100" s="3">
        <f t="shared" si="8"/>
        <v>0.2</v>
      </c>
      <c r="L100" s="3">
        <f t="shared" si="8"/>
        <v>0.2</v>
      </c>
      <c r="M100" s="3">
        <f t="shared" si="8"/>
        <v>0.2</v>
      </c>
      <c r="N100" s="3">
        <f t="shared" si="8"/>
        <v>0.2</v>
      </c>
      <c r="O100" s="3">
        <f t="shared" si="8"/>
        <v>0.2</v>
      </c>
      <c r="P100" s="3">
        <f t="shared" si="8"/>
        <v>0.2</v>
      </c>
      <c r="Q100" s="3">
        <f t="shared" si="8"/>
        <v>0.2</v>
      </c>
    </row>
    <row r="101" spans="1:17">
      <c r="A101" s="84" t="s">
        <v>275</v>
      </c>
      <c r="B101" s="85" t="s">
        <v>274</v>
      </c>
      <c r="C101" s="85" t="s">
        <v>83</v>
      </c>
      <c r="D101" s="84" t="s">
        <v>84</v>
      </c>
      <c r="E101" s="84">
        <f>VLOOKUP(A101,'2a. SI Pop'!$A$5:$E$198,5,FALSE)</f>
        <v>3</v>
      </c>
      <c r="F101" s="84">
        <f>VLOOKUP(A101,'1. Overview'!$B$5:$F$198,5,FALSE)</f>
        <v>2038</v>
      </c>
      <c r="G101" s="3">
        <f t="shared" si="8"/>
        <v>0</v>
      </c>
      <c r="H101" s="3">
        <f t="shared" si="8"/>
        <v>0</v>
      </c>
      <c r="I101" s="3">
        <f t="shared" si="8"/>
        <v>0</v>
      </c>
      <c r="J101" s="3">
        <f t="shared" si="8"/>
        <v>0</v>
      </c>
      <c r="K101" s="3">
        <f t="shared" si="8"/>
        <v>0</v>
      </c>
      <c r="L101" s="3">
        <f t="shared" si="8"/>
        <v>0</v>
      </c>
      <c r="M101" s="3">
        <f t="shared" si="8"/>
        <v>0</v>
      </c>
      <c r="N101" s="3">
        <f t="shared" si="8"/>
        <v>0</v>
      </c>
      <c r="O101" s="3">
        <f t="shared" si="8"/>
        <v>0.2</v>
      </c>
      <c r="P101" s="3">
        <f t="shared" si="8"/>
        <v>0.2</v>
      </c>
      <c r="Q101" s="3">
        <f t="shared" si="8"/>
        <v>0.2</v>
      </c>
    </row>
    <row r="102" spans="1:17">
      <c r="A102" s="84" t="s">
        <v>277</v>
      </c>
      <c r="B102" s="85" t="s">
        <v>276</v>
      </c>
      <c r="C102" s="85" t="s">
        <v>83</v>
      </c>
      <c r="D102" s="84" t="s">
        <v>75</v>
      </c>
      <c r="E102" s="84">
        <f>VLOOKUP(A102,'2a. SI Pop'!$A$5:$E$198,5,FALSE)</f>
        <v>3</v>
      </c>
      <c r="F102" s="84">
        <f>VLOOKUP(A102,'1. Overview'!$B$5:$F$198,5,FALSE)</f>
        <v>2031</v>
      </c>
      <c r="G102" s="3">
        <f t="shared" ref="G102:Q117" si="9">IF(G$4&gt;=$F102,$B$3,0)</f>
        <v>0</v>
      </c>
      <c r="H102" s="3">
        <f t="shared" si="9"/>
        <v>0.2</v>
      </c>
      <c r="I102" s="3">
        <f t="shared" si="9"/>
        <v>0.2</v>
      </c>
      <c r="J102" s="3">
        <f t="shared" si="9"/>
        <v>0.2</v>
      </c>
      <c r="K102" s="3">
        <f t="shared" si="9"/>
        <v>0.2</v>
      </c>
      <c r="L102" s="3">
        <f t="shared" si="9"/>
        <v>0.2</v>
      </c>
      <c r="M102" s="3">
        <f t="shared" si="9"/>
        <v>0.2</v>
      </c>
      <c r="N102" s="3">
        <f t="shared" si="9"/>
        <v>0.2</v>
      </c>
      <c r="O102" s="3">
        <f t="shared" si="9"/>
        <v>0.2</v>
      </c>
      <c r="P102" s="3">
        <f t="shared" si="9"/>
        <v>0.2</v>
      </c>
      <c r="Q102" s="3">
        <f t="shared" si="9"/>
        <v>0.2</v>
      </c>
    </row>
    <row r="103" spans="1:17">
      <c r="A103" s="84" t="s">
        <v>279</v>
      </c>
      <c r="B103" s="85" t="s">
        <v>278</v>
      </c>
      <c r="C103" s="85" t="s">
        <v>74</v>
      </c>
      <c r="D103" s="84" t="s">
        <v>80</v>
      </c>
      <c r="E103" s="84">
        <f>VLOOKUP(A103,'2a. SI Pop'!$A$5:$E$198,5,FALSE)</f>
        <v>2</v>
      </c>
      <c r="F103" s="84">
        <f>VLOOKUP(A103,'1. Overview'!$B$5:$F$198,5,FALSE)</f>
        <v>2036</v>
      </c>
      <c r="G103" s="3">
        <f t="shared" si="9"/>
        <v>0</v>
      </c>
      <c r="H103" s="3">
        <f t="shared" si="9"/>
        <v>0</v>
      </c>
      <c r="I103" s="3">
        <f t="shared" si="9"/>
        <v>0</v>
      </c>
      <c r="J103" s="3">
        <f t="shared" si="9"/>
        <v>0</v>
      </c>
      <c r="K103" s="3">
        <f t="shared" si="9"/>
        <v>0</v>
      </c>
      <c r="L103" s="3">
        <f t="shared" si="9"/>
        <v>0</v>
      </c>
      <c r="M103" s="3">
        <f t="shared" si="9"/>
        <v>0.2</v>
      </c>
      <c r="N103" s="3">
        <f t="shared" si="9"/>
        <v>0.2</v>
      </c>
      <c r="O103" s="3">
        <f t="shared" si="9"/>
        <v>0.2</v>
      </c>
      <c r="P103" s="3">
        <f t="shared" si="9"/>
        <v>0.2</v>
      </c>
      <c r="Q103" s="3">
        <f t="shared" si="9"/>
        <v>0.2</v>
      </c>
    </row>
    <row r="104" spans="1:17">
      <c r="A104" s="84" t="s">
        <v>281</v>
      </c>
      <c r="B104" s="85" t="s">
        <v>280</v>
      </c>
      <c r="C104" s="85" t="s">
        <v>79</v>
      </c>
      <c r="D104" s="84" t="s">
        <v>87</v>
      </c>
      <c r="E104" s="84">
        <f>VLOOKUP(A104,'2a. SI Pop'!$A$5:$E$198,5,FALSE)</f>
        <v>1</v>
      </c>
      <c r="F104" s="84">
        <f>VLOOKUP(A104,'1. Overview'!$B$5:$F$198,5,FALSE)</f>
        <v>2036</v>
      </c>
      <c r="G104" s="3">
        <f t="shared" si="9"/>
        <v>0</v>
      </c>
      <c r="H104" s="3">
        <f t="shared" si="9"/>
        <v>0</v>
      </c>
      <c r="I104" s="3">
        <f t="shared" si="9"/>
        <v>0</v>
      </c>
      <c r="J104" s="3">
        <f t="shared" si="9"/>
        <v>0</v>
      </c>
      <c r="K104" s="3">
        <f t="shared" si="9"/>
        <v>0</v>
      </c>
      <c r="L104" s="3">
        <f t="shared" si="9"/>
        <v>0</v>
      </c>
      <c r="M104" s="3">
        <f t="shared" si="9"/>
        <v>0.2</v>
      </c>
      <c r="N104" s="3">
        <f t="shared" si="9"/>
        <v>0.2</v>
      </c>
      <c r="O104" s="3">
        <f t="shared" si="9"/>
        <v>0.2</v>
      </c>
      <c r="P104" s="3">
        <f t="shared" si="9"/>
        <v>0.2</v>
      </c>
      <c r="Q104" s="3">
        <f t="shared" si="9"/>
        <v>0.2</v>
      </c>
    </row>
    <row r="105" spans="1:17">
      <c r="A105" s="84" t="s">
        <v>283</v>
      </c>
      <c r="B105" s="85" t="s">
        <v>282</v>
      </c>
      <c r="C105" s="85" t="s">
        <v>79</v>
      </c>
      <c r="D105" s="84" t="s">
        <v>87</v>
      </c>
      <c r="E105" s="84">
        <f>VLOOKUP(A105,'2a. SI Pop'!$A$5:$E$198,5,FALSE)</f>
        <v>1</v>
      </c>
      <c r="F105" s="84">
        <f>VLOOKUP(A105,'1. Overview'!$B$5:$F$198,5,FALSE)</f>
        <v>2030</v>
      </c>
      <c r="G105" s="3">
        <f t="shared" si="9"/>
        <v>0.2</v>
      </c>
      <c r="H105" s="3">
        <f t="shared" si="9"/>
        <v>0.2</v>
      </c>
      <c r="I105" s="3">
        <f t="shared" si="9"/>
        <v>0.2</v>
      </c>
      <c r="J105" s="3">
        <f t="shared" si="9"/>
        <v>0.2</v>
      </c>
      <c r="K105" s="3">
        <f t="shared" si="9"/>
        <v>0.2</v>
      </c>
      <c r="L105" s="3">
        <f t="shared" si="9"/>
        <v>0.2</v>
      </c>
      <c r="M105" s="3">
        <f t="shared" si="9"/>
        <v>0.2</v>
      </c>
      <c r="N105" s="3">
        <f t="shared" si="9"/>
        <v>0.2</v>
      </c>
      <c r="O105" s="3">
        <f t="shared" si="9"/>
        <v>0.2</v>
      </c>
      <c r="P105" s="3">
        <f t="shared" si="9"/>
        <v>0.2</v>
      </c>
      <c r="Q105" s="3">
        <f t="shared" si="9"/>
        <v>0.2</v>
      </c>
    </row>
    <row r="106" spans="1:17">
      <c r="A106" s="84" t="s">
        <v>285</v>
      </c>
      <c r="B106" s="85" t="s">
        <v>284</v>
      </c>
      <c r="C106" s="85" t="s">
        <v>79</v>
      </c>
      <c r="D106" s="84" t="s">
        <v>80</v>
      </c>
      <c r="E106" s="84">
        <f>VLOOKUP(A106,'2a. SI Pop'!$A$5:$E$198,5,FALSE)</f>
        <v>1</v>
      </c>
      <c r="F106" s="84">
        <f>VLOOKUP(A106,'1. Overview'!$B$5:$F$198,5,FALSE)</f>
        <v>2031</v>
      </c>
      <c r="G106" s="3">
        <f t="shared" si="9"/>
        <v>0</v>
      </c>
      <c r="H106" s="3">
        <f t="shared" si="9"/>
        <v>0.2</v>
      </c>
      <c r="I106" s="3">
        <f t="shared" si="9"/>
        <v>0.2</v>
      </c>
      <c r="J106" s="3">
        <f t="shared" si="9"/>
        <v>0.2</v>
      </c>
      <c r="K106" s="3">
        <f t="shared" si="9"/>
        <v>0.2</v>
      </c>
      <c r="L106" s="3">
        <f t="shared" si="9"/>
        <v>0.2</v>
      </c>
      <c r="M106" s="3">
        <f t="shared" si="9"/>
        <v>0.2</v>
      </c>
      <c r="N106" s="3">
        <f t="shared" si="9"/>
        <v>0.2</v>
      </c>
      <c r="O106" s="3">
        <f t="shared" si="9"/>
        <v>0.2</v>
      </c>
      <c r="P106" s="3">
        <f t="shared" si="9"/>
        <v>0.2</v>
      </c>
      <c r="Q106" s="3">
        <f t="shared" si="9"/>
        <v>0.2</v>
      </c>
    </row>
    <row r="107" spans="1:17">
      <c r="A107" s="84" t="s">
        <v>287</v>
      </c>
      <c r="B107" s="85" t="s">
        <v>286</v>
      </c>
      <c r="C107" s="85" t="s">
        <v>83</v>
      </c>
      <c r="D107" s="84" t="s">
        <v>75</v>
      </c>
      <c r="E107" s="84">
        <f>VLOOKUP(A107,'2a. SI Pop'!$A$5:$E$198,5,FALSE)</f>
        <v>3</v>
      </c>
      <c r="F107" s="84">
        <f>VLOOKUP(A107,'1. Overview'!$B$5:$F$198,5,FALSE)</f>
        <v>2031</v>
      </c>
      <c r="G107" s="3">
        <f t="shared" si="9"/>
        <v>0</v>
      </c>
      <c r="H107" s="3">
        <f t="shared" si="9"/>
        <v>0.2</v>
      </c>
      <c r="I107" s="3">
        <f t="shared" si="9"/>
        <v>0.2</v>
      </c>
      <c r="J107" s="3">
        <f t="shared" si="9"/>
        <v>0.2</v>
      </c>
      <c r="K107" s="3">
        <f t="shared" si="9"/>
        <v>0.2</v>
      </c>
      <c r="L107" s="3">
        <f t="shared" si="9"/>
        <v>0.2</v>
      </c>
      <c r="M107" s="3">
        <f t="shared" si="9"/>
        <v>0.2</v>
      </c>
      <c r="N107" s="3">
        <f t="shared" si="9"/>
        <v>0.2</v>
      </c>
      <c r="O107" s="3">
        <f t="shared" si="9"/>
        <v>0.2</v>
      </c>
      <c r="P107" s="3">
        <f t="shared" si="9"/>
        <v>0.2</v>
      </c>
      <c r="Q107" s="3">
        <f t="shared" si="9"/>
        <v>0.2</v>
      </c>
    </row>
    <row r="108" spans="1:17">
      <c r="A108" s="84" t="s">
        <v>289</v>
      </c>
      <c r="B108" s="85" t="s">
        <v>288</v>
      </c>
      <c r="C108" s="85" t="s">
        <v>83</v>
      </c>
      <c r="D108" s="84" t="s">
        <v>75</v>
      </c>
      <c r="E108" s="84">
        <f>VLOOKUP(A108,'2a. SI Pop'!$A$5:$E$198,5,FALSE)</f>
        <v>3</v>
      </c>
      <c r="F108" s="84">
        <f>VLOOKUP(A108,'1. Overview'!$B$5:$F$198,5,FALSE)</f>
        <v>2032</v>
      </c>
      <c r="G108" s="3">
        <f t="shared" si="9"/>
        <v>0</v>
      </c>
      <c r="H108" s="3">
        <f t="shared" si="9"/>
        <v>0</v>
      </c>
      <c r="I108" s="3">
        <f t="shared" si="9"/>
        <v>0.2</v>
      </c>
      <c r="J108" s="3">
        <f t="shared" si="9"/>
        <v>0.2</v>
      </c>
      <c r="K108" s="3">
        <f t="shared" si="9"/>
        <v>0.2</v>
      </c>
      <c r="L108" s="3">
        <f t="shared" si="9"/>
        <v>0.2</v>
      </c>
      <c r="M108" s="3">
        <f t="shared" si="9"/>
        <v>0.2</v>
      </c>
      <c r="N108" s="3">
        <f t="shared" si="9"/>
        <v>0.2</v>
      </c>
      <c r="O108" s="3">
        <f t="shared" si="9"/>
        <v>0.2</v>
      </c>
      <c r="P108" s="3">
        <f t="shared" si="9"/>
        <v>0.2</v>
      </c>
      <c r="Q108" s="3">
        <f t="shared" si="9"/>
        <v>0.2</v>
      </c>
    </row>
    <row r="109" spans="1:17">
      <c r="A109" s="84" t="s">
        <v>291</v>
      </c>
      <c r="B109" s="85" t="s">
        <v>290</v>
      </c>
      <c r="C109" s="85" t="s">
        <v>99</v>
      </c>
      <c r="D109" s="84" t="s">
        <v>80</v>
      </c>
      <c r="E109" s="84">
        <f>VLOOKUP(A109,'2a. SI Pop'!$A$5:$E$198,5,FALSE)</f>
        <v>2</v>
      </c>
      <c r="F109" s="84">
        <f>VLOOKUP(A109,'1. Overview'!$B$5:$F$198,5,FALSE)</f>
        <v>2031</v>
      </c>
      <c r="G109" s="3">
        <f t="shared" si="9"/>
        <v>0</v>
      </c>
      <c r="H109" s="3">
        <f t="shared" si="9"/>
        <v>0.2</v>
      </c>
      <c r="I109" s="3">
        <f t="shared" si="9"/>
        <v>0.2</v>
      </c>
      <c r="J109" s="3">
        <f t="shared" si="9"/>
        <v>0.2</v>
      </c>
      <c r="K109" s="3">
        <f t="shared" si="9"/>
        <v>0.2</v>
      </c>
      <c r="L109" s="3">
        <f t="shared" si="9"/>
        <v>0.2</v>
      </c>
      <c r="M109" s="3">
        <f t="shared" si="9"/>
        <v>0.2</v>
      </c>
      <c r="N109" s="3">
        <f t="shared" si="9"/>
        <v>0.2</v>
      </c>
      <c r="O109" s="3">
        <f t="shared" si="9"/>
        <v>0.2</v>
      </c>
      <c r="P109" s="3">
        <f t="shared" si="9"/>
        <v>0.2</v>
      </c>
      <c r="Q109" s="3">
        <f t="shared" si="9"/>
        <v>0.2</v>
      </c>
    </row>
    <row r="110" spans="1:17">
      <c r="A110" s="84" t="s">
        <v>293</v>
      </c>
      <c r="B110" s="85" t="s">
        <v>292</v>
      </c>
      <c r="C110" s="85" t="s">
        <v>110</v>
      </c>
      <c r="D110" s="84" t="s">
        <v>80</v>
      </c>
      <c r="E110" s="84">
        <f>VLOOKUP(A110,'2a. SI Pop'!$A$5:$E$198,5,FALSE)</f>
        <v>2</v>
      </c>
      <c r="F110" s="84">
        <f>VLOOKUP(A110,'1. Overview'!$B$5:$F$198,5,FALSE)</f>
        <v>2038</v>
      </c>
      <c r="G110" s="3">
        <f t="shared" si="9"/>
        <v>0</v>
      </c>
      <c r="H110" s="3">
        <f t="shared" si="9"/>
        <v>0</v>
      </c>
      <c r="I110" s="3">
        <f t="shared" si="9"/>
        <v>0</v>
      </c>
      <c r="J110" s="3">
        <f t="shared" si="9"/>
        <v>0</v>
      </c>
      <c r="K110" s="3">
        <f t="shared" si="9"/>
        <v>0</v>
      </c>
      <c r="L110" s="3">
        <f t="shared" si="9"/>
        <v>0</v>
      </c>
      <c r="M110" s="3">
        <f t="shared" si="9"/>
        <v>0</v>
      </c>
      <c r="N110" s="3">
        <f t="shared" si="9"/>
        <v>0</v>
      </c>
      <c r="O110" s="3">
        <f t="shared" si="9"/>
        <v>0.2</v>
      </c>
      <c r="P110" s="3">
        <f t="shared" si="9"/>
        <v>0.2</v>
      </c>
      <c r="Q110" s="3">
        <f t="shared" si="9"/>
        <v>0.2</v>
      </c>
    </row>
    <row r="111" spans="1:17">
      <c r="A111" s="84" t="s">
        <v>295</v>
      </c>
      <c r="B111" s="85" t="s">
        <v>294</v>
      </c>
      <c r="C111" s="85" t="s">
        <v>83</v>
      </c>
      <c r="D111" s="84" t="s">
        <v>75</v>
      </c>
      <c r="E111" s="84">
        <f>VLOOKUP(A111,'2a. SI Pop'!$A$5:$E$198,5,FALSE)</f>
        <v>3</v>
      </c>
      <c r="F111" s="84">
        <f>VLOOKUP(A111,'1. Overview'!$B$5:$F$198,5,FALSE)</f>
        <v>2033</v>
      </c>
      <c r="G111" s="3">
        <f t="shared" si="9"/>
        <v>0</v>
      </c>
      <c r="H111" s="3">
        <f t="shared" si="9"/>
        <v>0</v>
      </c>
      <c r="I111" s="3">
        <f t="shared" si="9"/>
        <v>0</v>
      </c>
      <c r="J111" s="3">
        <f t="shared" si="9"/>
        <v>0.2</v>
      </c>
      <c r="K111" s="3">
        <f t="shared" si="9"/>
        <v>0.2</v>
      </c>
      <c r="L111" s="3">
        <f t="shared" si="9"/>
        <v>0.2</v>
      </c>
      <c r="M111" s="3">
        <f t="shared" si="9"/>
        <v>0.2</v>
      </c>
      <c r="N111" s="3">
        <f t="shared" si="9"/>
        <v>0.2</v>
      </c>
      <c r="O111" s="3">
        <f t="shared" si="9"/>
        <v>0.2</v>
      </c>
      <c r="P111" s="3">
        <f t="shared" si="9"/>
        <v>0.2</v>
      </c>
      <c r="Q111" s="3">
        <f t="shared" si="9"/>
        <v>0.2</v>
      </c>
    </row>
    <row r="112" spans="1:17">
      <c r="A112" s="84" t="s">
        <v>297</v>
      </c>
      <c r="B112" s="85" t="s">
        <v>296</v>
      </c>
      <c r="C112" s="85" t="s">
        <v>79</v>
      </c>
      <c r="D112" s="84" t="s">
        <v>87</v>
      </c>
      <c r="E112" s="84">
        <f>VLOOKUP(A112,'2a. SI Pop'!$A$5:$E$198,5,FALSE)</f>
        <v>1</v>
      </c>
      <c r="F112" s="84">
        <f>VLOOKUP(A112,'1. Overview'!$B$5:$F$198,5,FALSE)</f>
        <v>2035</v>
      </c>
      <c r="G112" s="3">
        <f t="shared" si="9"/>
        <v>0</v>
      </c>
      <c r="H112" s="3">
        <f t="shared" si="9"/>
        <v>0</v>
      </c>
      <c r="I112" s="3">
        <f t="shared" si="9"/>
        <v>0</v>
      </c>
      <c r="J112" s="3">
        <f t="shared" si="9"/>
        <v>0</v>
      </c>
      <c r="K112" s="3">
        <f t="shared" si="9"/>
        <v>0</v>
      </c>
      <c r="L112" s="3">
        <f t="shared" si="9"/>
        <v>0.2</v>
      </c>
      <c r="M112" s="3">
        <f t="shared" si="9"/>
        <v>0.2</v>
      </c>
      <c r="N112" s="3">
        <f t="shared" si="9"/>
        <v>0.2</v>
      </c>
      <c r="O112" s="3">
        <f t="shared" si="9"/>
        <v>0.2</v>
      </c>
      <c r="P112" s="3">
        <f t="shared" si="9"/>
        <v>0.2</v>
      </c>
      <c r="Q112" s="3">
        <f t="shared" si="9"/>
        <v>0.2</v>
      </c>
    </row>
    <row r="113" spans="1:17">
      <c r="A113" s="84" t="s">
        <v>299</v>
      </c>
      <c r="B113" s="85" t="s">
        <v>298</v>
      </c>
      <c r="C113" s="85" t="s">
        <v>99</v>
      </c>
      <c r="D113" s="84" t="s">
        <v>80</v>
      </c>
      <c r="E113" s="84">
        <f>VLOOKUP(A113,'2a. SI Pop'!$A$5:$E$198,5,FALSE)</f>
        <v>1</v>
      </c>
      <c r="F113" s="84">
        <f>VLOOKUP(A113,'1. Overview'!$B$5:$F$198,5,FALSE)</f>
        <v>2037</v>
      </c>
      <c r="G113" s="3">
        <f t="shared" si="9"/>
        <v>0</v>
      </c>
      <c r="H113" s="3">
        <f t="shared" si="9"/>
        <v>0</v>
      </c>
      <c r="I113" s="3">
        <f t="shared" si="9"/>
        <v>0</v>
      </c>
      <c r="J113" s="3">
        <f t="shared" si="9"/>
        <v>0</v>
      </c>
      <c r="K113" s="3">
        <f t="shared" si="9"/>
        <v>0</v>
      </c>
      <c r="L113" s="3">
        <f t="shared" si="9"/>
        <v>0</v>
      </c>
      <c r="M113" s="3">
        <f t="shared" si="9"/>
        <v>0</v>
      </c>
      <c r="N113" s="3">
        <f t="shared" si="9"/>
        <v>0.2</v>
      </c>
      <c r="O113" s="3">
        <f t="shared" si="9"/>
        <v>0.2</v>
      </c>
      <c r="P113" s="3">
        <f t="shared" si="9"/>
        <v>0.2</v>
      </c>
      <c r="Q113" s="3">
        <f t="shared" si="9"/>
        <v>0.2</v>
      </c>
    </row>
    <row r="114" spans="1:17">
      <c r="A114" s="84" t="s">
        <v>301</v>
      </c>
      <c r="B114" s="85" t="s">
        <v>300</v>
      </c>
      <c r="C114" s="85" t="s">
        <v>83</v>
      </c>
      <c r="D114" s="84" t="s">
        <v>84</v>
      </c>
      <c r="E114" s="84">
        <f>VLOOKUP(A114,'2a. SI Pop'!$A$5:$E$198,5,FALSE)</f>
        <v>3</v>
      </c>
      <c r="F114" s="84">
        <f>VLOOKUP(A114,'1. Overview'!$B$5:$F$198,5,FALSE)</f>
        <v>2038</v>
      </c>
      <c r="G114" s="3">
        <f t="shared" si="9"/>
        <v>0</v>
      </c>
      <c r="H114" s="3">
        <f t="shared" si="9"/>
        <v>0</v>
      </c>
      <c r="I114" s="3">
        <f t="shared" si="9"/>
        <v>0</v>
      </c>
      <c r="J114" s="3">
        <f t="shared" si="9"/>
        <v>0</v>
      </c>
      <c r="K114" s="3">
        <f t="shared" si="9"/>
        <v>0</v>
      </c>
      <c r="L114" s="3">
        <f t="shared" si="9"/>
        <v>0</v>
      </c>
      <c r="M114" s="3">
        <f t="shared" si="9"/>
        <v>0</v>
      </c>
      <c r="N114" s="3">
        <f t="shared" si="9"/>
        <v>0</v>
      </c>
      <c r="O114" s="3">
        <f t="shared" si="9"/>
        <v>0.2</v>
      </c>
      <c r="P114" s="3">
        <f t="shared" si="9"/>
        <v>0.2</v>
      </c>
      <c r="Q114" s="3">
        <f t="shared" si="9"/>
        <v>0.2</v>
      </c>
    </row>
    <row r="115" spans="1:17">
      <c r="A115" s="84" t="s">
        <v>303</v>
      </c>
      <c r="B115" s="85" t="s">
        <v>302</v>
      </c>
      <c r="C115" s="85" t="s">
        <v>83</v>
      </c>
      <c r="D115" s="84" t="s">
        <v>87</v>
      </c>
      <c r="E115" s="84">
        <f>VLOOKUP(A115,'2a. SI Pop'!$A$5:$E$198,5,FALSE)</f>
        <v>1</v>
      </c>
      <c r="F115" s="84">
        <f>VLOOKUP(A115,'1. Overview'!$B$5:$F$198,5,FALSE)</f>
        <v>2038</v>
      </c>
      <c r="G115" s="3">
        <f t="shared" si="9"/>
        <v>0</v>
      </c>
      <c r="H115" s="3">
        <f t="shared" si="9"/>
        <v>0</v>
      </c>
      <c r="I115" s="3">
        <f t="shared" si="9"/>
        <v>0</v>
      </c>
      <c r="J115" s="3">
        <f t="shared" si="9"/>
        <v>0</v>
      </c>
      <c r="K115" s="3">
        <f t="shared" si="9"/>
        <v>0</v>
      </c>
      <c r="L115" s="3">
        <f t="shared" si="9"/>
        <v>0</v>
      </c>
      <c r="M115" s="3">
        <f t="shared" si="9"/>
        <v>0</v>
      </c>
      <c r="N115" s="3">
        <f t="shared" si="9"/>
        <v>0</v>
      </c>
      <c r="O115" s="3">
        <f t="shared" si="9"/>
        <v>0.2</v>
      </c>
      <c r="P115" s="3">
        <f t="shared" si="9"/>
        <v>0.2</v>
      </c>
      <c r="Q115" s="3">
        <f t="shared" si="9"/>
        <v>0.2</v>
      </c>
    </row>
    <row r="116" spans="1:17">
      <c r="A116" s="84" t="s">
        <v>305</v>
      </c>
      <c r="B116" s="85" t="s">
        <v>304</v>
      </c>
      <c r="C116" s="85" t="s">
        <v>92</v>
      </c>
      <c r="D116" s="84" t="s">
        <v>80</v>
      </c>
      <c r="E116" s="84">
        <f>VLOOKUP(A116,'2a. SI Pop'!$A$5:$E$198,5,FALSE)</f>
        <v>2</v>
      </c>
      <c r="F116" s="84">
        <f>VLOOKUP(A116,'1. Overview'!$B$5:$F$198,5,FALSE)</f>
        <v>2038</v>
      </c>
      <c r="G116" s="3">
        <f t="shared" si="9"/>
        <v>0</v>
      </c>
      <c r="H116" s="3">
        <f t="shared" si="9"/>
        <v>0</v>
      </c>
      <c r="I116" s="3">
        <f t="shared" si="9"/>
        <v>0</v>
      </c>
      <c r="J116" s="3">
        <f t="shared" si="9"/>
        <v>0</v>
      </c>
      <c r="K116" s="3">
        <f t="shared" si="9"/>
        <v>0</v>
      </c>
      <c r="L116" s="3">
        <f t="shared" si="9"/>
        <v>0</v>
      </c>
      <c r="M116" s="3">
        <f t="shared" si="9"/>
        <v>0</v>
      </c>
      <c r="N116" s="3">
        <f t="shared" si="9"/>
        <v>0</v>
      </c>
      <c r="O116" s="3">
        <f t="shared" si="9"/>
        <v>0.2</v>
      </c>
      <c r="P116" s="3">
        <f t="shared" si="9"/>
        <v>0.2</v>
      </c>
      <c r="Q116" s="3">
        <f t="shared" si="9"/>
        <v>0.2</v>
      </c>
    </row>
    <row r="117" spans="1:17">
      <c r="A117" s="84" t="s">
        <v>307</v>
      </c>
      <c r="B117" s="85" t="s">
        <v>306</v>
      </c>
      <c r="C117" s="85" t="s">
        <v>99</v>
      </c>
      <c r="D117" s="84" t="s">
        <v>84</v>
      </c>
      <c r="E117" s="84">
        <f>VLOOKUP(A117,'2a. SI Pop'!$A$5:$E$198,5,FALSE)</f>
        <v>1</v>
      </c>
      <c r="F117" s="84">
        <f>VLOOKUP(A117,'1. Overview'!$B$5:$F$198,5,FALSE)</f>
        <v>2038</v>
      </c>
      <c r="G117" s="3">
        <f t="shared" si="9"/>
        <v>0</v>
      </c>
      <c r="H117" s="3">
        <f t="shared" si="9"/>
        <v>0</v>
      </c>
      <c r="I117" s="3">
        <f t="shared" si="9"/>
        <v>0</v>
      </c>
      <c r="J117" s="3">
        <f t="shared" si="9"/>
        <v>0</v>
      </c>
      <c r="K117" s="3">
        <f t="shared" si="9"/>
        <v>0</v>
      </c>
      <c r="L117" s="3">
        <f t="shared" si="9"/>
        <v>0</v>
      </c>
      <c r="M117" s="3">
        <f t="shared" si="9"/>
        <v>0</v>
      </c>
      <c r="N117" s="3">
        <f t="shared" si="9"/>
        <v>0</v>
      </c>
      <c r="O117" s="3">
        <f t="shared" si="9"/>
        <v>0.2</v>
      </c>
      <c r="P117" s="3">
        <f t="shared" si="9"/>
        <v>0.2</v>
      </c>
      <c r="Q117" s="3">
        <f t="shared" si="9"/>
        <v>0.2</v>
      </c>
    </row>
    <row r="118" spans="1:17">
      <c r="A118" s="84" t="s">
        <v>309</v>
      </c>
      <c r="B118" s="85" t="s">
        <v>308</v>
      </c>
      <c r="C118" s="85" t="s">
        <v>79</v>
      </c>
      <c r="D118" s="84" t="s">
        <v>84</v>
      </c>
      <c r="E118" s="84">
        <f>VLOOKUP(A118,'2a. SI Pop'!$A$5:$E$198,5,FALSE)</f>
        <v>1</v>
      </c>
      <c r="F118" s="84">
        <f>VLOOKUP(A118,'1. Overview'!$B$5:$F$198,5,FALSE)</f>
        <v>2041</v>
      </c>
      <c r="G118" s="3">
        <f t="shared" ref="G118:Q133" si="10">IF(G$4&gt;=$F118,$B$3,0)</f>
        <v>0</v>
      </c>
      <c r="H118" s="3">
        <f t="shared" si="10"/>
        <v>0</v>
      </c>
      <c r="I118" s="3">
        <f t="shared" si="10"/>
        <v>0</v>
      </c>
      <c r="J118" s="3">
        <f t="shared" si="10"/>
        <v>0</v>
      </c>
      <c r="K118" s="3">
        <f t="shared" si="10"/>
        <v>0</v>
      </c>
      <c r="L118" s="3">
        <f t="shared" si="10"/>
        <v>0</v>
      </c>
      <c r="M118" s="3">
        <f t="shared" si="10"/>
        <v>0</v>
      </c>
      <c r="N118" s="3">
        <f t="shared" si="10"/>
        <v>0</v>
      </c>
      <c r="O118" s="3">
        <f t="shared" si="10"/>
        <v>0</v>
      </c>
      <c r="P118" s="3">
        <f t="shared" si="10"/>
        <v>0</v>
      </c>
      <c r="Q118" s="3">
        <f t="shared" si="10"/>
        <v>0</v>
      </c>
    </row>
    <row r="119" spans="1:17">
      <c r="A119" s="84" t="s">
        <v>311</v>
      </c>
      <c r="B119" s="85" t="s">
        <v>310</v>
      </c>
      <c r="C119" s="85" t="s">
        <v>79</v>
      </c>
      <c r="D119" s="84" t="s">
        <v>87</v>
      </c>
      <c r="E119" s="84">
        <f>VLOOKUP(A119,'2a. SI Pop'!$A$5:$E$198,5,FALSE)</f>
        <v>1</v>
      </c>
      <c r="F119" s="84">
        <f>VLOOKUP(A119,'1. Overview'!$B$5:$F$198,5,FALSE)</f>
        <v>2039</v>
      </c>
      <c r="G119" s="3">
        <f t="shared" si="10"/>
        <v>0</v>
      </c>
      <c r="H119" s="3">
        <f t="shared" si="10"/>
        <v>0</v>
      </c>
      <c r="I119" s="3">
        <f t="shared" si="10"/>
        <v>0</v>
      </c>
      <c r="J119" s="3">
        <f t="shared" si="10"/>
        <v>0</v>
      </c>
      <c r="K119" s="3">
        <f t="shared" si="10"/>
        <v>0</v>
      </c>
      <c r="L119" s="3">
        <f t="shared" si="10"/>
        <v>0</v>
      </c>
      <c r="M119" s="3">
        <f t="shared" si="10"/>
        <v>0</v>
      </c>
      <c r="N119" s="3">
        <f t="shared" si="10"/>
        <v>0</v>
      </c>
      <c r="O119" s="3">
        <f t="shared" si="10"/>
        <v>0</v>
      </c>
      <c r="P119" s="3">
        <f t="shared" si="10"/>
        <v>0.2</v>
      </c>
      <c r="Q119" s="3">
        <f t="shared" si="10"/>
        <v>0.2</v>
      </c>
    </row>
    <row r="120" spans="1:17">
      <c r="A120" s="84" t="s">
        <v>313</v>
      </c>
      <c r="B120" s="85" t="s">
        <v>312</v>
      </c>
      <c r="C120" s="85" t="s">
        <v>99</v>
      </c>
      <c r="D120" s="84" t="s">
        <v>84</v>
      </c>
      <c r="E120" s="84">
        <f>VLOOKUP(A120,'2a. SI Pop'!$A$5:$E$198,5,FALSE)</f>
        <v>2</v>
      </c>
      <c r="F120" s="84">
        <f>VLOOKUP(A120,'1. Overview'!$B$5:$F$198,5,FALSE)</f>
        <v>2041</v>
      </c>
      <c r="G120" s="3">
        <f t="shared" si="10"/>
        <v>0</v>
      </c>
      <c r="H120" s="3">
        <f t="shared" si="10"/>
        <v>0</v>
      </c>
      <c r="I120" s="3">
        <f t="shared" si="10"/>
        <v>0</v>
      </c>
      <c r="J120" s="3">
        <f t="shared" si="10"/>
        <v>0</v>
      </c>
      <c r="K120" s="3">
        <f t="shared" si="10"/>
        <v>0</v>
      </c>
      <c r="L120" s="3">
        <f t="shared" si="10"/>
        <v>0</v>
      </c>
      <c r="M120" s="3">
        <f t="shared" si="10"/>
        <v>0</v>
      </c>
      <c r="N120" s="3">
        <f t="shared" si="10"/>
        <v>0</v>
      </c>
      <c r="O120" s="3">
        <f t="shared" si="10"/>
        <v>0</v>
      </c>
      <c r="P120" s="3">
        <f t="shared" si="10"/>
        <v>0</v>
      </c>
      <c r="Q120" s="3">
        <f t="shared" si="10"/>
        <v>0</v>
      </c>
    </row>
    <row r="121" spans="1:17">
      <c r="A121" s="84" t="s">
        <v>315</v>
      </c>
      <c r="B121" s="85" t="s">
        <v>314</v>
      </c>
      <c r="C121" s="85" t="s">
        <v>79</v>
      </c>
      <c r="D121" s="84" t="s">
        <v>80</v>
      </c>
      <c r="E121" s="84">
        <f>VLOOKUP(A121,'2a. SI Pop'!$A$5:$E$198,5,FALSE)</f>
        <v>1</v>
      </c>
      <c r="F121" s="84">
        <f>VLOOKUP(A121,'1. Overview'!$B$5:$F$198,5,FALSE)</f>
        <v>2041</v>
      </c>
      <c r="G121" s="3">
        <f t="shared" si="10"/>
        <v>0</v>
      </c>
      <c r="H121" s="3">
        <f t="shared" si="10"/>
        <v>0</v>
      </c>
      <c r="I121" s="3">
        <f t="shared" si="10"/>
        <v>0</v>
      </c>
      <c r="J121" s="3">
        <f t="shared" si="10"/>
        <v>0</v>
      </c>
      <c r="K121" s="3">
        <f t="shared" si="10"/>
        <v>0</v>
      </c>
      <c r="L121" s="3">
        <f t="shared" si="10"/>
        <v>0</v>
      </c>
      <c r="M121" s="3">
        <f t="shared" si="10"/>
        <v>0</v>
      </c>
      <c r="N121" s="3">
        <f t="shared" si="10"/>
        <v>0</v>
      </c>
      <c r="O121" s="3">
        <f t="shared" si="10"/>
        <v>0</v>
      </c>
      <c r="P121" s="3">
        <f t="shared" si="10"/>
        <v>0</v>
      </c>
      <c r="Q121" s="3">
        <f t="shared" si="10"/>
        <v>0</v>
      </c>
    </row>
    <row r="122" spans="1:17">
      <c r="A122" s="84" t="s">
        <v>317</v>
      </c>
      <c r="B122" s="85" t="s">
        <v>316</v>
      </c>
      <c r="C122" s="85" t="s">
        <v>74</v>
      </c>
      <c r="D122" s="84" t="s">
        <v>84</v>
      </c>
      <c r="E122" s="84">
        <f>VLOOKUP(A122,'2a. SI Pop'!$A$5:$E$198,5,FALSE)</f>
        <v>3</v>
      </c>
      <c r="F122" s="84">
        <f>VLOOKUP(A122,'1. Overview'!$B$5:$F$198,5,FALSE)</f>
        <v>2033</v>
      </c>
      <c r="G122" s="3">
        <f t="shared" si="10"/>
        <v>0</v>
      </c>
      <c r="H122" s="3">
        <f t="shared" si="10"/>
        <v>0</v>
      </c>
      <c r="I122" s="3">
        <f t="shared" si="10"/>
        <v>0</v>
      </c>
      <c r="J122" s="3">
        <f t="shared" si="10"/>
        <v>0.2</v>
      </c>
      <c r="K122" s="3">
        <f t="shared" si="10"/>
        <v>0.2</v>
      </c>
      <c r="L122" s="3">
        <f t="shared" si="10"/>
        <v>0.2</v>
      </c>
      <c r="M122" s="3">
        <f t="shared" si="10"/>
        <v>0.2</v>
      </c>
      <c r="N122" s="3">
        <f t="shared" si="10"/>
        <v>0.2</v>
      </c>
      <c r="O122" s="3">
        <f t="shared" si="10"/>
        <v>0.2</v>
      </c>
      <c r="P122" s="3">
        <f t="shared" si="10"/>
        <v>0.2</v>
      </c>
      <c r="Q122" s="3">
        <f t="shared" si="10"/>
        <v>0.2</v>
      </c>
    </row>
    <row r="123" spans="1:17">
      <c r="A123" s="84" t="s">
        <v>319</v>
      </c>
      <c r="B123" s="85" t="s">
        <v>318</v>
      </c>
      <c r="C123" s="85" t="s">
        <v>83</v>
      </c>
      <c r="D123" s="84" t="s">
        <v>75</v>
      </c>
      <c r="E123" s="84" t="str">
        <f>VLOOKUP(A123,'2a. SI Pop'!$A$5:$E$198,5,FALSE)</f>
        <v>Key</v>
      </c>
      <c r="F123" s="84">
        <f>VLOOKUP(A123,'1. Overview'!$B$5:$F$198,5,FALSE)</f>
        <v>2034</v>
      </c>
      <c r="G123" s="3">
        <f t="shared" si="10"/>
        <v>0</v>
      </c>
      <c r="H123" s="3">
        <f t="shared" si="10"/>
        <v>0</v>
      </c>
      <c r="I123" s="3">
        <f t="shared" si="10"/>
        <v>0</v>
      </c>
      <c r="J123" s="3">
        <f t="shared" si="10"/>
        <v>0</v>
      </c>
      <c r="K123" s="3">
        <f t="shared" si="10"/>
        <v>0.2</v>
      </c>
      <c r="L123" s="3">
        <f t="shared" si="10"/>
        <v>0.2</v>
      </c>
      <c r="M123" s="3">
        <f t="shared" si="10"/>
        <v>0.2</v>
      </c>
      <c r="N123" s="3">
        <f t="shared" si="10"/>
        <v>0.2</v>
      </c>
      <c r="O123" s="3">
        <f t="shared" si="10"/>
        <v>0.2</v>
      </c>
      <c r="P123" s="3">
        <f t="shared" si="10"/>
        <v>0.2</v>
      </c>
      <c r="Q123" s="3">
        <f t="shared" si="10"/>
        <v>0.2</v>
      </c>
    </row>
    <row r="124" spans="1:17">
      <c r="A124" s="84" t="s">
        <v>321</v>
      </c>
      <c r="B124" s="85" t="s">
        <v>320</v>
      </c>
      <c r="C124" s="85" t="s">
        <v>110</v>
      </c>
      <c r="D124" s="84" t="s">
        <v>84</v>
      </c>
      <c r="E124" s="84">
        <f>VLOOKUP(A124,'2a. SI Pop'!$A$5:$E$198,5,FALSE)</f>
        <v>4</v>
      </c>
      <c r="F124" s="84">
        <f>VLOOKUP(A124,'1. Overview'!$B$5:$F$198,5,FALSE)</f>
        <v>2036</v>
      </c>
      <c r="G124" s="3">
        <f t="shared" si="10"/>
        <v>0</v>
      </c>
      <c r="H124" s="3">
        <f t="shared" si="10"/>
        <v>0</v>
      </c>
      <c r="I124" s="3">
        <f t="shared" si="10"/>
        <v>0</v>
      </c>
      <c r="J124" s="3">
        <f t="shared" si="10"/>
        <v>0</v>
      </c>
      <c r="K124" s="3">
        <f t="shared" si="10"/>
        <v>0</v>
      </c>
      <c r="L124" s="3">
        <f t="shared" si="10"/>
        <v>0</v>
      </c>
      <c r="M124" s="3">
        <f t="shared" si="10"/>
        <v>0.2</v>
      </c>
      <c r="N124" s="3">
        <f t="shared" si="10"/>
        <v>0.2</v>
      </c>
      <c r="O124" s="3">
        <f t="shared" si="10"/>
        <v>0.2</v>
      </c>
      <c r="P124" s="3">
        <f t="shared" si="10"/>
        <v>0.2</v>
      </c>
      <c r="Q124" s="3">
        <f t="shared" si="10"/>
        <v>0.2</v>
      </c>
    </row>
    <row r="125" spans="1:17">
      <c r="A125" s="84" t="s">
        <v>323</v>
      </c>
      <c r="B125" s="85" t="s">
        <v>322</v>
      </c>
      <c r="C125" s="85" t="s">
        <v>83</v>
      </c>
      <c r="D125" s="84" t="s">
        <v>80</v>
      </c>
      <c r="E125" s="84">
        <f>VLOOKUP(A125,'2a. SI Pop'!$A$5:$E$198,5,FALSE)</f>
        <v>3</v>
      </c>
      <c r="F125" s="84">
        <f>VLOOKUP(A125,'1. Overview'!$B$5:$F$198,5,FALSE)</f>
        <v>2037</v>
      </c>
      <c r="G125" s="3">
        <f t="shared" si="10"/>
        <v>0</v>
      </c>
      <c r="H125" s="3">
        <f t="shared" si="10"/>
        <v>0</v>
      </c>
      <c r="I125" s="3">
        <f t="shared" si="10"/>
        <v>0</v>
      </c>
      <c r="J125" s="3">
        <f t="shared" si="10"/>
        <v>0</v>
      </c>
      <c r="K125" s="3">
        <f t="shared" si="10"/>
        <v>0</v>
      </c>
      <c r="L125" s="3">
        <f t="shared" si="10"/>
        <v>0</v>
      </c>
      <c r="M125" s="3">
        <f t="shared" si="10"/>
        <v>0</v>
      </c>
      <c r="N125" s="3">
        <f t="shared" si="10"/>
        <v>0.2</v>
      </c>
      <c r="O125" s="3">
        <f t="shared" si="10"/>
        <v>0.2</v>
      </c>
      <c r="P125" s="3">
        <f t="shared" si="10"/>
        <v>0.2</v>
      </c>
      <c r="Q125" s="3">
        <f t="shared" si="10"/>
        <v>0.2</v>
      </c>
    </row>
    <row r="126" spans="1:17">
      <c r="A126" s="84" t="s">
        <v>325</v>
      </c>
      <c r="B126" s="85" t="s">
        <v>324</v>
      </c>
      <c r="C126" s="85" t="s">
        <v>99</v>
      </c>
      <c r="D126" s="84" t="s">
        <v>87</v>
      </c>
      <c r="E126" s="84">
        <f>VLOOKUP(A126,'2a. SI Pop'!$A$5:$E$198,5,FALSE)</f>
        <v>1</v>
      </c>
      <c r="F126" s="84">
        <f>VLOOKUP(A126,'1. Overview'!$B$5:$F$198,5,FALSE)</f>
        <v>2039</v>
      </c>
      <c r="G126" s="3">
        <f t="shared" si="10"/>
        <v>0</v>
      </c>
      <c r="H126" s="3">
        <f t="shared" si="10"/>
        <v>0</v>
      </c>
      <c r="I126" s="3">
        <f t="shared" si="10"/>
        <v>0</v>
      </c>
      <c r="J126" s="3">
        <f t="shared" si="10"/>
        <v>0</v>
      </c>
      <c r="K126" s="3">
        <f t="shared" si="10"/>
        <v>0</v>
      </c>
      <c r="L126" s="3">
        <f t="shared" si="10"/>
        <v>0</v>
      </c>
      <c r="M126" s="3">
        <f t="shared" si="10"/>
        <v>0</v>
      </c>
      <c r="N126" s="3">
        <f t="shared" si="10"/>
        <v>0</v>
      </c>
      <c r="O126" s="3">
        <f t="shared" si="10"/>
        <v>0</v>
      </c>
      <c r="P126" s="3">
        <f t="shared" si="10"/>
        <v>0.2</v>
      </c>
      <c r="Q126" s="3">
        <f t="shared" si="10"/>
        <v>0.2</v>
      </c>
    </row>
    <row r="127" spans="1:17">
      <c r="A127" s="84" t="s">
        <v>327</v>
      </c>
      <c r="B127" s="85" t="s">
        <v>326</v>
      </c>
      <c r="C127" s="85" t="s">
        <v>110</v>
      </c>
      <c r="D127" s="84" t="s">
        <v>84</v>
      </c>
      <c r="E127" s="84">
        <f>VLOOKUP(A127,'2a. SI Pop'!$A$5:$E$198,5,FALSE)</f>
        <v>4</v>
      </c>
      <c r="F127" s="84">
        <f>VLOOKUP(A127,'1. Overview'!$B$5:$F$198,5,FALSE)</f>
        <v>2037</v>
      </c>
      <c r="G127" s="3">
        <f t="shared" si="10"/>
        <v>0</v>
      </c>
      <c r="H127" s="3">
        <f t="shared" si="10"/>
        <v>0</v>
      </c>
      <c r="I127" s="3">
        <f t="shared" si="10"/>
        <v>0</v>
      </c>
      <c r="J127" s="3">
        <f t="shared" si="10"/>
        <v>0</v>
      </c>
      <c r="K127" s="3">
        <f t="shared" si="10"/>
        <v>0</v>
      </c>
      <c r="L127" s="3">
        <f t="shared" si="10"/>
        <v>0</v>
      </c>
      <c r="M127" s="3">
        <f t="shared" si="10"/>
        <v>0</v>
      </c>
      <c r="N127" s="3">
        <f t="shared" si="10"/>
        <v>0.2</v>
      </c>
      <c r="O127" s="3">
        <f t="shared" si="10"/>
        <v>0.2</v>
      </c>
      <c r="P127" s="3">
        <f t="shared" si="10"/>
        <v>0.2</v>
      </c>
      <c r="Q127" s="3">
        <f t="shared" si="10"/>
        <v>0.2</v>
      </c>
    </row>
    <row r="128" spans="1:17">
      <c r="A128" s="84" t="s">
        <v>329</v>
      </c>
      <c r="B128" s="85" t="s">
        <v>328</v>
      </c>
      <c r="C128" s="85" t="s">
        <v>79</v>
      </c>
      <c r="D128" s="84" t="s">
        <v>87</v>
      </c>
      <c r="E128" s="84">
        <f>VLOOKUP(A128,'2a. SI Pop'!$A$5:$E$198,5,FALSE)</f>
        <v>1</v>
      </c>
      <c r="F128" s="84">
        <f>VLOOKUP(A128,'1. Overview'!$B$5:$F$198,5,FALSE)</f>
        <v>2032</v>
      </c>
      <c r="G128" s="3">
        <f t="shared" si="10"/>
        <v>0</v>
      </c>
      <c r="H128" s="3">
        <f t="shared" si="10"/>
        <v>0</v>
      </c>
      <c r="I128" s="3">
        <f t="shared" si="10"/>
        <v>0.2</v>
      </c>
      <c r="J128" s="3">
        <f t="shared" si="10"/>
        <v>0.2</v>
      </c>
      <c r="K128" s="3">
        <f t="shared" si="10"/>
        <v>0.2</v>
      </c>
      <c r="L128" s="3">
        <f t="shared" si="10"/>
        <v>0.2</v>
      </c>
      <c r="M128" s="3">
        <f t="shared" si="10"/>
        <v>0.2</v>
      </c>
      <c r="N128" s="3">
        <f t="shared" si="10"/>
        <v>0.2</v>
      </c>
      <c r="O128" s="3">
        <f t="shared" si="10"/>
        <v>0.2</v>
      </c>
      <c r="P128" s="3">
        <f t="shared" si="10"/>
        <v>0.2</v>
      </c>
      <c r="Q128" s="3">
        <f t="shared" si="10"/>
        <v>0.2</v>
      </c>
    </row>
    <row r="129" spans="1:17">
      <c r="A129" s="84" t="s">
        <v>331</v>
      </c>
      <c r="B129" s="85" t="s">
        <v>330</v>
      </c>
      <c r="C129" s="85" t="s">
        <v>99</v>
      </c>
      <c r="D129" s="84" t="s">
        <v>87</v>
      </c>
      <c r="E129" s="84">
        <f>VLOOKUP(A129,'2a. SI Pop'!$A$5:$E$198,5,FALSE)</f>
        <v>1</v>
      </c>
      <c r="F129" s="84">
        <f>VLOOKUP(A129,'1. Overview'!$B$5:$F$198,5,FALSE)</f>
        <v>2031</v>
      </c>
      <c r="G129" s="3">
        <f t="shared" si="10"/>
        <v>0</v>
      </c>
      <c r="H129" s="3">
        <f t="shared" si="10"/>
        <v>0.2</v>
      </c>
      <c r="I129" s="3">
        <f t="shared" si="10"/>
        <v>0.2</v>
      </c>
      <c r="J129" s="3">
        <f t="shared" si="10"/>
        <v>0.2</v>
      </c>
      <c r="K129" s="3">
        <f t="shared" si="10"/>
        <v>0.2</v>
      </c>
      <c r="L129" s="3">
        <f t="shared" si="10"/>
        <v>0.2</v>
      </c>
      <c r="M129" s="3">
        <f t="shared" si="10"/>
        <v>0.2</v>
      </c>
      <c r="N129" s="3">
        <f t="shared" si="10"/>
        <v>0.2</v>
      </c>
      <c r="O129" s="3">
        <f t="shared" si="10"/>
        <v>0.2</v>
      </c>
      <c r="P129" s="3">
        <f t="shared" si="10"/>
        <v>0.2</v>
      </c>
      <c r="Q129" s="3">
        <f t="shared" si="10"/>
        <v>0.2</v>
      </c>
    </row>
    <row r="130" spans="1:17">
      <c r="A130" s="84" t="s">
        <v>333</v>
      </c>
      <c r="B130" s="85" t="s">
        <v>332</v>
      </c>
      <c r="C130" s="85" t="s">
        <v>92</v>
      </c>
      <c r="D130" s="84" t="s">
        <v>84</v>
      </c>
      <c r="E130" s="84">
        <f>VLOOKUP(A130,'2a. SI Pop'!$A$5:$E$198,5,FALSE)</f>
        <v>2</v>
      </c>
      <c r="F130" s="84">
        <f>VLOOKUP(A130,'1. Overview'!$B$5:$F$198,5,FALSE)</f>
        <v>2041</v>
      </c>
      <c r="G130" s="3">
        <f t="shared" si="10"/>
        <v>0</v>
      </c>
      <c r="H130" s="3">
        <f t="shared" si="10"/>
        <v>0</v>
      </c>
      <c r="I130" s="3">
        <f t="shared" si="10"/>
        <v>0</v>
      </c>
      <c r="J130" s="3">
        <f t="shared" si="10"/>
        <v>0</v>
      </c>
      <c r="K130" s="3">
        <f t="shared" si="10"/>
        <v>0</v>
      </c>
      <c r="L130" s="3">
        <f t="shared" si="10"/>
        <v>0</v>
      </c>
      <c r="M130" s="3">
        <f t="shared" si="10"/>
        <v>0</v>
      </c>
      <c r="N130" s="3">
        <f t="shared" si="10"/>
        <v>0</v>
      </c>
      <c r="O130" s="3">
        <f t="shared" si="10"/>
        <v>0</v>
      </c>
      <c r="P130" s="3">
        <f t="shared" si="10"/>
        <v>0</v>
      </c>
      <c r="Q130" s="3">
        <f t="shared" si="10"/>
        <v>0</v>
      </c>
    </row>
    <row r="131" spans="1:17">
      <c r="A131" s="84" t="s">
        <v>335</v>
      </c>
      <c r="B131" s="85" t="s">
        <v>334</v>
      </c>
      <c r="C131" s="85" t="s">
        <v>83</v>
      </c>
      <c r="D131" s="84" t="s">
        <v>75</v>
      </c>
      <c r="E131" s="84">
        <f>VLOOKUP(A131,'2a. SI Pop'!$A$5:$E$198,5,FALSE)</f>
        <v>3</v>
      </c>
      <c r="F131" s="84">
        <f>VLOOKUP(A131,'1. Overview'!$B$5:$F$198,5,FALSE)</f>
        <v>2031</v>
      </c>
      <c r="G131" s="3">
        <f t="shared" si="10"/>
        <v>0</v>
      </c>
      <c r="H131" s="3">
        <f t="shared" si="10"/>
        <v>0.2</v>
      </c>
      <c r="I131" s="3">
        <f t="shared" si="10"/>
        <v>0.2</v>
      </c>
      <c r="J131" s="3">
        <f t="shared" si="10"/>
        <v>0.2</v>
      </c>
      <c r="K131" s="3">
        <f t="shared" si="10"/>
        <v>0.2</v>
      </c>
      <c r="L131" s="3">
        <f t="shared" si="10"/>
        <v>0.2</v>
      </c>
      <c r="M131" s="3">
        <f t="shared" si="10"/>
        <v>0.2</v>
      </c>
      <c r="N131" s="3">
        <f t="shared" si="10"/>
        <v>0.2</v>
      </c>
      <c r="O131" s="3">
        <f t="shared" si="10"/>
        <v>0.2</v>
      </c>
      <c r="P131" s="3">
        <f t="shared" si="10"/>
        <v>0.2</v>
      </c>
      <c r="Q131" s="3">
        <f t="shared" si="10"/>
        <v>0.2</v>
      </c>
    </row>
    <row r="132" spans="1:17">
      <c r="A132" s="84" t="s">
        <v>337</v>
      </c>
      <c r="B132" s="85" t="s">
        <v>336</v>
      </c>
      <c r="C132" s="85" t="s">
        <v>83</v>
      </c>
      <c r="D132" s="84" t="s">
        <v>84</v>
      </c>
      <c r="E132" s="84" t="str">
        <f>VLOOKUP(A132,'2a. SI Pop'!$A$5:$E$198,5,FALSE)</f>
        <v>Key</v>
      </c>
      <c r="F132" s="84">
        <f>VLOOKUP(A132,'1. Overview'!$B$5:$F$198,5,FALSE)</f>
        <v>2034</v>
      </c>
      <c r="G132" s="3">
        <f t="shared" si="10"/>
        <v>0</v>
      </c>
      <c r="H132" s="3">
        <f t="shared" si="10"/>
        <v>0</v>
      </c>
      <c r="I132" s="3">
        <f t="shared" si="10"/>
        <v>0</v>
      </c>
      <c r="J132" s="3">
        <f t="shared" si="10"/>
        <v>0</v>
      </c>
      <c r="K132" s="3">
        <f t="shared" si="10"/>
        <v>0.2</v>
      </c>
      <c r="L132" s="3">
        <f t="shared" si="10"/>
        <v>0.2</v>
      </c>
      <c r="M132" s="3">
        <f t="shared" si="10"/>
        <v>0.2</v>
      </c>
      <c r="N132" s="3">
        <f t="shared" si="10"/>
        <v>0.2</v>
      </c>
      <c r="O132" s="3">
        <f t="shared" si="10"/>
        <v>0.2</v>
      </c>
      <c r="P132" s="3">
        <f t="shared" si="10"/>
        <v>0.2</v>
      </c>
      <c r="Q132" s="3">
        <f t="shared" si="10"/>
        <v>0.2</v>
      </c>
    </row>
    <row r="133" spans="1:17">
      <c r="A133" s="84" t="s">
        <v>339</v>
      </c>
      <c r="B133" s="85" t="s">
        <v>338</v>
      </c>
      <c r="C133" s="85" t="s">
        <v>99</v>
      </c>
      <c r="D133" s="84" t="e">
        <v>#N/A</v>
      </c>
      <c r="E133" s="84">
        <f>VLOOKUP(A133,'2a. SI Pop'!$A$5:$E$198,5,FALSE)</f>
        <v>1</v>
      </c>
      <c r="F133" s="84">
        <f>VLOOKUP(A133,'1. Overview'!$B$5:$F$198,5,FALSE)</f>
        <v>2040</v>
      </c>
      <c r="G133" s="3">
        <f t="shared" si="10"/>
        <v>0</v>
      </c>
      <c r="H133" s="3">
        <f t="shared" si="10"/>
        <v>0</v>
      </c>
      <c r="I133" s="3">
        <f t="shared" si="10"/>
        <v>0</v>
      </c>
      <c r="J133" s="3">
        <f t="shared" si="10"/>
        <v>0</v>
      </c>
      <c r="K133" s="3">
        <f t="shared" si="10"/>
        <v>0</v>
      </c>
      <c r="L133" s="3">
        <f t="shared" si="10"/>
        <v>0</v>
      </c>
      <c r="M133" s="3">
        <f t="shared" si="10"/>
        <v>0</v>
      </c>
      <c r="N133" s="3">
        <f t="shared" si="10"/>
        <v>0</v>
      </c>
      <c r="O133" s="3">
        <f t="shared" si="10"/>
        <v>0</v>
      </c>
      <c r="P133" s="3">
        <f t="shared" si="10"/>
        <v>0</v>
      </c>
      <c r="Q133" s="3">
        <f t="shared" si="10"/>
        <v>0.2</v>
      </c>
    </row>
    <row r="134" spans="1:17">
      <c r="A134" s="84" t="s">
        <v>341</v>
      </c>
      <c r="B134" s="85" t="s">
        <v>340</v>
      </c>
      <c r="C134" s="85" t="s">
        <v>79</v>
      </c>
      <c r="D134" s="84" t="s">
        <v>87</v>
      </c>
      <c r="E134" s="84">
        <f>VLOOKUP(A134,'2a. SI Pop'!$A$5:$E$198,5,FALSE)</f>
        <v>1</v>
      </c>
      <c r="F134" s="84">
        <f>VLOOKUP(A134,'1. Overview'!$B$5:$F$198,5,FALSE)</f>
        <v>2032</v>
      </c>
      <c r="G134" s="3">
        <f t="shared" ref="G134:Q149" si="11">IF(G$4&gt;=$F134,$B$3,0)</f>
        <v>0</v>
      </c>
      <c r="H134" s="3">
        <f t="shared" si="11"/>
        <v>0</v>
      </c>
      <c r="I134" s="3">
        <f t="shared" si="11"/>
        <v>0.2</v>
      </c>
      <c r="J134" s="3">
        <f t="shared" si="11"/>
        <v>0.2</v>
      </c>
      <c r="K134" s="3">
        <f t="shared" si="11"/>
        <v>0.2</v>
      </c>
      <c r="L134" s="3">
        <f t="shared" si="11"/>
        <v>0.2</v>
      </c>
      <c r="M134" s="3">
        <f t="shared" si="11"/>
        <v>0.2</v>
      </c>
      <c r="N134" s="3">
        <f t="shared" si="11"/>
        <v>0.2</v>
      </c>
      <c r="O134" s="3">
        <f t="shared" si="11"/>
        <v>0.2</v>
      </c>
      <c r="P134" s="3">
        <f t="shared" si="11"/>
        <v>0.2</v>
      </c>
      <c r="Q134" s="3">
        <f t="shared" si="11"/>
        <v>0.2</v>
      </c>
    </row>
    <row r="135" spans="1:17">
      <c r="A135" s="84" t="s">
        <v>343</v>
      </c>
      <c r="B135" s="85" t="s">
        <v>342</v>
      </c>
      <c r="C135" s="85" t="s">
        <v>74</v>
      </c>
      <c r="D135" s="84" t="s">
        <v>87</v>
      </c>
      <c r="E135" s="84">
        <f>VLOOKUP(A135,'2a. SI Pop'!$A$5:$E$198,5,FALSE)</f>
        <v>1</v>
      </c>
      <c r="F135" s="84">
        <f>VLOOKUP(A135,'1. Overview'!$B$5:$F$198,5,FALSE)</f>
        <v>2036</v>
      </c>
      <c r="G135" s="3">
        <f t="shared" si="11"/>
        <v>0</v>
      </c>
      <c r="H135" s="3">
        <f t="shared" si="11"/>
        <v>0</v>
      </c>
      <c r="I135" s="3">
        <f t="shared" si="11"/>
        <v>0</v>
      </c>
      <c r="J135" s="3">
        <f t="shared" si="11"/>
        <v>0</v>
      </c>
      <c r="K135" s="3">
        <f t="shared" si="11"/>
        <v>0</v>
      </c>
      <c r="L135" s="3">
        <f t="shared" si="11"/>
        <v>0</v>
      </c>
      <c r="M135" s="3">
        <f t="shared" si="11"/>
        <v>0.2</v>
      </c>
      <c r="N135" s="3">
        <f t="shared" si="11"/>
        <v>0.2</v>
      </c>
      <c r="O135" s="3">
        <f t="shared" si="11"/>
        <v>0.2</v>
      </c>
      <c r="P135" s="3">
        <f t="shared" si="11"/>
        <v>0.2</v>
      </c>
      <c r="Q135" s="3">
        <f t="shared" si="11"/>
        <v>0.2</v>
      </c>
    </row>
    <row r="136" spans="1:17">
      <c r="A136" s="84" t="s">
        <v>345</v>
      </c>
      <c r="B136" s="85" t="s">
        <v>344</v>
      </c>
      <c r="C136" s="85" t="s">
        <v>74</v>
      </c>
      <c r="D136" s="84" t="s">
        <v>84</v>
      </c>
      <c r="E136" s="84" t="str">
        <f>VLOOKUP(A136,'2a. SI Pop'!$A$5:$E$198,5,FALSE)</f>
        <v>Key</v>
      </c>
      <c r="F136" s="84">
        <f>VLOOKUP(A136,'1. Overview'!$B$5:$F$198,5,FALSE)</f>
        <v>2033</v>
      </c>
      <c r="G136" s="3">
        <f t="shared" si="11"/>
        <v>0</v>
      </c>
      <c r="H136" s="3">
        <f t="shared" si="11"/>
        <v>0</v>
      </c>
      <c r="I136" s="3">
        <f t="shared" si="11"/>
        <v>0</v>
      </c>
      <c r="J136" s="3">
        <f t="shared" si="11"/>
        <v>0.2</v>
      </c>
      <c r="K136" s="3">
        <f t="shared" si="11"/>
        <v>0.2</v>
      </c>
      <c r="L136" s="3">
        <f t="shared" si="11"/>
        <v>0.2</v>
      </c>
      <c r="M136" s="3">
        <f t="shared" si="11"/>
        <v>0.2</v>
      </c>
      <c r="N136" s="3">
        <f t="shared" si="11"/>
        <v>0.2</v>
      </c>
      <c r="O136" s="3">
        <f t="shared" si="11"/>
        <v>0.2</v>
      </c>
      <c r="P136" s="3">
        <f t="shared" si="11"/>
        <v>0.2</v>
      </c>
      <c r="Q136" s="3">
        <f t="shared" si="11"/>
        <v>0.2</v>
      </c>
    </row>
    <row r="137" spans="1:17">
      <c r="A137" s="84" t="s">
        <v>347</v>
      </c>
      <c r="B137" s="85" t="s">
        <v>346</v>
      </c>
      <c r="C137" s="85" t="s">
        <v>99</v>
      </c>
      <c r="D137" s="84" t="s">
        <v>87</v>
      </c>
      <c r="E137" s="84">
        <f>VLOOKUP(A137,'2a. SI Pop'!$A$5:$E$198,5,FALSE)</f>
        <v>1</v>
      </c>
      <c r="F137" s="84">
        <f>VLOOKUP(A137,'1. Overview'!$B$5:$F$198,5,FALSE)</f>
        <v>2031</v>
      </c>
      <c r="G137" s="3">
        <f t="shared" si="11"/>
        <v>0</v>
      </c>
      <c r="H137" s="3">
        <f t="shared" si="11"/>
        <v>0.2</v>
      </c>
      <c r="I137" s="3">
        <f t="shared" si="11"/>
        <v>0.2</v>
      </c>
      <c r="J137" s="3">
        <f t="shared" si="11"/>
        <v>0.2</v>
      </c>
      <c r="K137" s="3">
        <f t="shared" si="11"/>
        <v>0.2</v>
      </c>
      <c r="L137" s="3">
        <f t="shared" si="11"/>
        <v>0.2</v>
      </c>
      <c r="M137" s="3">
        <f t="shared" si="11"/>
        <v>0.2</v>
      </c>
      <c r="N137" s="3">
        <f t="shared" si="11"/>
        <v>0.2</v>
      </c>
      <c r="O137" s="3">
        <f t="shared" si="11"/>
        <v>0.2</v>
      </c>
      <c r="P137" s="3">
        <f t="shared" si="11"/>
        <v>0.2</v>
      </c>
      <c r="Q137" s="3">
        <f t="shared" si="11"/>
        <v>0.2</v>
      </c>
    </row>
    <row r="138" spans="1:17">
      <c r="A138" s="84" t="s">
        <v>349</v>
      </c>
      <c r="B138" s="85" t="s">
        <v>348</v>
      </c>
      <c r="C138" s="85" t="s">
        <v>92</v>
      </c>
      <c r="D138" s="84" t="s">
        <v>87</v>
      </c>
      <c r="E138" s="84">
        <f>VLOOKUP(A138,'2a. SI Pop'!$A$5:$E$198,5,FALSE)</f>
        <v>1</v>
      </c>
      <c r="F138" s="84">
        <f>VLOOKUP(A138,'1. Overview'!$B$5:$F$198,5,FALSE)</f>
        <v>2038</v>
      </c>
      <c r="G138" s="3">
        <f t="shared" si="11"/>
        <v>0</v>
      </c>
      <c r="H138" s="3">
        <f t="shared" si="11"/>
        <v>0</v>
      </c>
      <c r="I138" s="3">
        <f t="shared" si="11"/>
        <v>0</v>
      </c>
      <c r="J138" s="3">
        <f t="shared" si="11"/>
        <v>0</v>
      </c>
      <c r="K138" s="3">
        <f t="shared" si="11"/>
        <v>0</v>
      </c>
      <c r="L138" s="3">
        <f t="shared" si="11"/>
        <v>0</v>
      </c>
      <c r="M138" s="3">
        <f t="shared" si="11"/>
        <v>0</v>
      </c>
      <c r="N138" s="3">
        <f t="shared" si="11"/>
        <v>0</v>
      </c>
      <c r="O138" s="3">
        <f t="shared" si="11"/>
        <v>0.2</v>
      </c>
      <c r="P138" s="3">
        <f t="shared" si="11"/>
        <v>0.2</v>
      </c>
      <c r="Q138" s="3">
        <f t="shared" si="11"/>
        <v>0.2</v>
      </c>
    </row>
    <row r="139" spans="1:17">
      <c r="A139" s="84" t="s">
        <v>351</v>
      </c>
      <c r="B139" s="85" t="s">
        <v>350</v>
      </c>
      <c r="C139" s="85" t="s">
        <v>99</v>
      </c>
      <c r="D139" s="84" t="s">
        <v>84</v>
      </c>
      <c r="E139" s="84">
        <f>VLOOKUP(A139,'2a. SI Pop'!$A$5:$E$198,5,FALSE)</f>
        <v>4</v>
      </c>
      <c r="F139" s="84">
        <f>VLOOKUP(A139,'1. Overview'!$B$5:$F$198,5,FALSE)</f>
        <v>2036</v>
      </c>
      <c r="G139" s="3">
        <f t="shared" si="11"/>
        <v>0</v>
      </c>
      <c r="H139" s="3">
        <f t="shared" si="11"/>
        <v>0</v>
      </c>
      <c r="I139" s="3">
        <f t="shared" si="11"/>
        <v>0</v>
      </c>
      <c r="J139" s="3">
        <f t="shared" si="11"/>
        <v>0</v>
      </c>
      <c r="K139" s="3">
        <f t="shared" si="11"/>
        <v>0</v>
      </c>
      <c r="L139" s="3">
        <f t="shared" si="11"/>
        <v>0</v>
      </c>
      <c r="M139" s="3">
        <f t="shared" si="11"/>
        <v>0.2</v>
      </c>
      <c r="N139" s="3">
        <f t="shared" si="11"/>
        <v>0.2</v>
      </c>
      <c r="O139" s="3">
        <f t="shared" si="11"/>
        <v>0.2</v>
      </c>
      <c r="P139" s="3">
        <f t="shared" si="11"/>
        <v>0.2</v>
      </c>
      <c r="Q139" s="3">
        <f t="shared" si="11"/>
        <v>0.2</v>
      </c>
    </row>
    <row r="140" spans="1:17">
      <c r="A140" s="84" t="s">
        <v>353</v>
      </c>
      <c r="B140" s="85" t="s">
        <v>352</v>
      </c>
      <c r="C140" s="85" t="s">
        <v>92</v>
      </c>
      <c r="D140" s="84" t="s">
        <v>80</v>
      </c>
      <c r="E140" s="84">
        <f>VLOOKUP(A140,'2a. SI Pop'!$A$5:$E$198,5,FALSE)</f>
        <v>1</v>
      </c>
      <c r="F140" s="84">
        <f>VLOOKUP(A140,'1. Overview'!$B$5:$F$198,5,FALSE)</f>
        <v>2039</v>
      </c>
      <c r="G140" s="3">
        <f t="shared" si="11"/>
        <v>0</v>
      </c>
      <c r="H140" s="3">
        <f t="shared" si="11"/>
        <v>0</v>
      </c>
      <c r="I140" s="3">
        <f t="shared" si="11"/>
        <v>0</v>
      </c>
      <c r="J140" s="3">
        <f t="shared" si="11"/>
        <v>0</v>
      </c>
      <c r="K140" s="3">
        <f t="shared" si="11"/>
        <v>0</v>
      </c>
      <c r="L140" s="3">
        <f t="shared" si="11"/>
        <v>0</v>
      </c>
      <c r="M140" s="3">
        <f t="shared" si="11"/>
        <v>0</v>
      </c>
      <c r="N140" s="3">
        <f t="shared" si="11"/>
        <v>0</v>
      </c>
      <c r="O140" s="3">
        <f t="shared" si="11"/>
        <v>0</v>
      </c>
      <c r="P140" s="3">
        <f t="shared" si="11"/>
        <v>0.2</v>
      </c>
      <c r="Q140" s="3">
        <f t="shared" si="11"/>
        <v>0.2</v>
      </c>
    </row>
    <row r="141" spans="1:17">
      <c r="A141" s="84" t="s">
        <v>355</v>
      </c>
      <c r="B141" s="85" t="s">
        <v>354</v>
      </c>
      <c r="C141" s="85" t="s">
        <v>92</v>
      </c>
      <c r="D141" s="84" t="s">
        <v>80</v>
      </c>
      <c r="E141" s="84">
        <f>VLOOKUP(A141,'2a. SI Pop'!$A$5:$E$198,5,FALSE)</f>
        <v>2</v>
      </c>
      <c r="F141" s="84">
        <f>VLOOKUP(A141,'1. Overview'!$B$5:$F$198,5,FALSE)</f>
        <v>2039</v>
      </c>
      <c r="G141" s="3">
        <f t="shared" si="11"/>
        <v>0</v>
      </c>
      <c r="H141" s="3">
        <f t="shared" si="11"/>
        <v>0</v>
      </c>
      <c r="I141" s="3">
        <f t="shared" si="11"/>
        <v>0</v>
      </c>
      <c r="J141" s="3">
        <f t="shared" si="11"/>
        <v>0</v>
      </c>
      <c r="K141" s="3">
        <f t="shared" si="11"/>
        <v>0</v>
      </c>
      <c r="L141" s="3">
        <f t="shared" si="11"/>
        <v>0</v>
      </c>
      <c r="M141" s="3">
        <f t="shared" si="11"/>
        <v>0</v>
      </c>
      <c r="N141" s="3">
        <f t="shared" si="11"/>
        <v>0</v>
      </c>
      <c r="O141" s="3">
        <f t="shared" si="11"/>
        <v>0</v>
      </c>
      <c r="P141" s="3">
        <f t="shared" si="11"/>
        <v>0.2</v>
      </c>
      <c r="Q141" s="3">
        <f t="shared" si="11"/>
        <v>0.2</v>
      </c>
    </row>
    <row r="142" spans="1:17">
      <c r="A142" s="84" t="s">
        <v>357</v>
      </c>
      <c r="B142" s="85" t="s">
        <v>356</v>
      </c>
      <c r="C142" s="85" t="s">
        <v>99</v>
      </c>
      <c r="D142" s="84" t="s">
        <v>84</v>
      </c>
      <c r="E142" s="84" t="str">
        <f>VLOOKUP(A142,'2a. SI Pop'!$A$5:$E$198,5,FALSE)</f>
        <v>Key</v>
      </c>
      <c r="F142" s="84">
        <f>VLOOKUP(A142,'1. Overview'!$B$5:$F$198,5,FALSE)</f>
        <v>2030</v>
      </c>
      <c r="G142" s="3">
        <f t="shared" si="11"/>
        <v>0.2</v>
      </c>
      <c r="H142" s="3">
        <f t="shared" si="11"/>
        <v>0.2</v>
      </c>
      <c r="I142" s="3">
        <f t="shared" si="11"/>
        <v>0.2</v>
      </c>
      <c r="J142" s="3">
        <f t="shared" si="11"/>
        <v>0.2</v>
      </c>
      <c r="K142" s="3">
        <f t="shared" si="11"/>
        <v>0.2</v>
      </c>
      <c r="L142" s="3">
        <f t="shared" si="11"/>
        <v>0.2</v>
      </c>
      <c r="M142" s="3">
        <f t="shared" si="11"/>
        <v>0.2</v>
      </c>
      <c r="N142" s="3">
        <f t="shared" si="11"/>
        <v>0.2</v>
      </c>
      <c r="O142" s="3">
        <f t="shared" si="11"/>
        <v>0.2</v>
      </c>
      <c r="P142" s="3">
        <f t="shared" si="11"/>
        <v>0.2</v>
      </c>
      <c r="Q142" s="3">
        <f t="shared" si="11"/>
        <v>0.2</v>
      </c>
    </row>
    <row r="143" spans="1:17">
      <c r="A143" s="84" t="s">
        <v>359</v>
      </c>
      <c r="B143" s="85" t="s">
        <v>358</v>
      </c>
      <c r="C143" s="85" t="s">
        <v>79</v>
      </c>
      <c r="D143" s="84" t="s">
        <v>87</v>
      </c>
      <c r="E143" s="84">
        <f>VLOOKUP(A143,'2a. SI Pop'!$A$5:$E$198,5,FALSE)</f>
        <v>1</v>
      </c>
      <c r="F143" s="84">
        <f>VLOOKUP(A143,'1. Overview'!$B$5:$F$198,5,FALSE)</f>
        <v>2032</v>
      </c>
      <c r="G143" s="3">
        <f t="shared" si="11"/>
        <v>0</v>
      </c>
      <c r="H143" s="3">
        <f t="shared" si="11"/>
        <v>0</v>
      </c>
      <c r="I143" s="3">
        <f t="shared" si="11"/>
        <v>0.2</v>
      </c>
      <c r="J143" s="3">
        <f t="shared" si="11"/>
        <v>0.2</v>
      </c>
      <c r="K143" s="3">
        <f t="shared" si="11"/>
        <v>0.2</v>
      </c>
      <c r="L143" s="3">
        <f t="shared" si="11"/>
        <v>0.2</v>
      </c>
      <c r="M143" s="3">
        <f t="shared" si="11"/>
        <v>0.2</v>
      </c>
      <c r="N143" s="3">
        <f t="shared" si="11"/>
        <v>0.2</v>
      </c>
      <c r="O143" s="3">
        <f t="shared" si="11"/>
        <v>0.2</v>
      </c>
      <c r="P143" s="3">
        <f t="shared" si="11"/>
        <v>0.2</v>
      </c>
      <c r="Q143" s="3">
        <f t="shared" si="11"/>
        <v>0.2</v>
      </c>
    </row>
    <row r="144" spans="1:17">
      <c r="A144" s="84" t="s">
        <v>361</v>
      </c>
      <c r="B144" s="85" t="s">
        <v>360</v>
      </c>
      <c r="C144" s="85" t="s">
        <v>79</v>
      </c>
      <c r="D144" s="84" t="s">
        <v>87</v>
      </c>
      <c r="E144" s="84">
        <f>VLOOKUP(A144,'2a. SI Pop'!$A$5:$E$198,5,FALSE)</f>
        <v>1</v>
      </c>
      <c r="F144" s="84">
        <f>VLOOKUP(A144,'1. Overview'!$B$5:$F$198,5,FALSE)</f>
        <v>2034</v>
      </c>
      <c r="G144" s="3">
        <f t="shared" si="11"/>
        <v>0</v>
      </c>
      <c r="H144" s="3">
        <f t="shared" si="11"/>
        <v>0</v>
      </c>
      <c r="I144" s="3">
        <f t="shared" si="11"/>
        <v>0</v>
      </c>
      <c r="J144" s="3">
        <f t="shared" si="11"/>
        <v>0</v>
      </c>
      <c r="K144" s="3">
        <f t="shared" si="11"/>
        <v>0.2</v>
      </c>
      <c r="L144" s="3">
        <f t="shared" si="11"/>
        <v>0.2</v>
      </c>
      <c r="M144" s="3">
        <f t="shared" si="11"/>
        <v>0.2</v>
      </c>
      <c r="N144" s="3">
        <f t="shared" si="11"/>
        <v>0.2</v>
      </c>
      <c r="O144" s="3">
        <f t="shared" si="11"/>
        <v>0.2</v>
      </c>
      <c r="P144" s="3">
        <f t="shared" si="11"/>
        <v>0.2</v>
      </c>
      <c r="Q144" s="3">
        <f t="shared" si="11"/>
        <v>0.2</v>
      </c>
    </row>
    <row r="145" spans="1:17">
      <c r="A145" s="84" t="s">
        <v>363</v>
      </c>
      <c r="B145" s="85" t="s">
        <v>362</v>
      </c>
      <c r="C145" s="85" t="s">
        <v>74</v>
      </c>
      <c r="D145" s="84" t="s">
        <v>87</v>
      </c>
      <c r="E145" s="84">
        <f>VLOOKUP(A145,'2a. SI Pop'!$A$5:$E$198,5,FALSE)</f>
        <v>1</v>
      </c>
      <c r="F145" s="84">
        <f>VLOOKUP(A145,'1. Overview'!$B$5:$F$198,5,FALSE)</f>
        <v>2032</v>
      </c>
      <c r="G145" s="3">
        <f t="shared" si="11"/>
        <v>0</v>
      </c>
      <c r="H145" s="3">
        <f t="shared" si="11"/>
        <v>0</v>
      </c>
      <c r="I145" s="3">
        <f t="shared" si="11"/>
        <v>0.2</v>
      </c>
      <c r="J145" s="3">
        <f t="shared" si="11"/>
        <v>0.2</v>
      </c>
      <c r="K145" s="3">
        <f t="shared" si="11"/>
        <v>0.2</v>
      </c>
      <c r="L145" s="3">
        <f t="shared" si="11"/>
        <v>0.2</v>
      </c>
      <c r="M145" s="3">
        <f t="shared" si="11"/>
        <v>0.2</v>
      </c>
      <c r="N145" s="3">
        <f t="shared" si="11"/>
        <v>0.2</v>
      </c>
      <c r="O145" s="3">
        <f t="shared" si="11"/>
        <v>0.2</v>
      </c>
      <c r="P145" s="3">
        <f t="shared" si="11"/>
        <v>0.2</v>
      </c>
      <c r="Q145" s="3">
        <f t="shared" si="11"/>
        <v>0.2</v>
      </c>
    </row>
    <row r="146" spans="1:17">
      <c r="A146" s="84" t="s">
        <v>365</v>
      </c>
      <c r="B146" s="85" t="s">
        <v>364</v>
      </c>
      <c r="C146" s="85" t="s">
        <v>79</v>
      </c>
      <c r="D146" s="84" t="s">
        <v>87</v>
      </c>
      <c r="E146" s="84">
        <f>VLOOKUP(A146,'2a. SI Pop'!$A$5:$E$198,5,FALSE)</f>
        <v>2</v>
      </c>
      <c r="F146" s="84">
        <f>VLOOKUP(A146,'1. Overview'!$B$5:$F$198,5,FALSE)</f>
        <v>2034</v>
      </c>
      <c r="G146" s="3">
        <f t="shared" si="11"/>
        <v>0</v>
      </c>
      <c r="H146" s="3">
        <f t="shared" si="11"/>
        <v>0</v>
      </c>
      <c r="I146" s="3">
        <f t="shared" si="11"/>
        <v>0</v>
      </c>
      <c r="J146" s="3">
        <f t="shared" si="11"/>
        <v>0</v>
      </c>
      <c r="K146" s="3">
        <f t="shared" si="11"/>
        <v>0.2</v>
      </c>
      <c r="L146" s="3">
        <f t="shared" si="11"/>
        <v>0.2</v>
      </c>
      <c r="M146" s="3">
        <f t="shared" si="11"/>
        <v>0.2</v>
      </c>
      <c r="N146" s="3">
        <f t="shared" si="11"/>
        <v>0.2</v>
      </c>
      <c r="O146" s="3">
        <f t="shared" si="11"/>
        <v>0.2</v>
      </c>
      <c r="P146" s="3">
        <f t="shared" si="11"/>
        <v>0.2</v>
      </c>
      <c r="Q146" s="3">
        <f t="shared" si="11"/>
        <v>0.2</v>
      </c>
    </row>
    <row r="147" spans="1:17">
      <c r="A147" s="84" t="s">
        <v>367</v>
      </c>
      <c r="B147" s="85" t="s">
        <v>366</v>
      </c>
      <c r="C147" s="85" t="s">
        <v>79</v>
      </c>
      <c r="D147" s="84" t="s">
        <v>80</v>
      </c>
      <c r="E147" s="84">
        <f>VLOOKUP(A147,'2a. SI Pop'!$A$5:$E$198,5,FALSE)</f>
        <v>2</v>
      </c>
      <c r="F147" s="84">
        <f>VLOOKUP(A147,'1. Overview'!$B$5:$F$198,5,FALSE)</f>
        <v>2036</v>
      </c>
      <c r="G147" s="3">
        <f t="shared" si="11"/>
        <v>0</v>
      </c>
      <c r="H147" s="3">
        <f t="shared" si="11"/>
        <v>0</v>
      </c>
      <c r="I147" s="3">
        <f t="shared" si="11"/>
        <v>0</v>
      </c>
      <c r="J147" s="3">
        <f t="shared" si="11"/>
        <v>0</v>
      </c>
      <c r="K147" s="3">
        <f t="shared" si="11"/>
        <v>0</v>
      </c>
      <c r="L147" s="3">
        <f t="shared" si="11"/>
        <v>0</v>
      </c>
      <c r="M147" s="3">
        <f t="shared" si="11"/>
        <v>0.2</v>
      </c>
      <c r="N147" s="3">
        <f t="shared" si="11"/>
        <v>0.2</v>
      </c>
      <c r="O147" s="3">
        <f t="shared" si="11"/>
        <v>0.2</v>
      </c>
      <c r="P147" s="3">
        <f t="shared" si="11"/>
        <v>0.2</v>
      </c>
      <c r="Q147" s="3">
        <f t="shared" si="11"/>
        <v>0.2</v>
      </c>
    </row>
    <row r="148" spans="1:17">
      <c r="A148" s="84" t="s">
        <v>369</v>
      </c>
      <c r="B148" s="85" t="s">
        <v>368</v>
      </c>
      <c r="C148" s="85" t="s">
        <v>83</v>
      </c>
      <c r="D148" s="84" t="s">
        <v>75</v>
      </c>
      <c r="E148" s="84">
        <f>VLOOKUP(A148,'2a. SI Pop'!$A$5:$E$198,5,FALSE)</f>
        <v>3</v>
      </c>
      <c r="F148" s="84">
        <f>VLOOKUP(A148,'1. Overview'!$B$5:$F$198,5,FALSE)</f>
        <v>2033</v>
      </c>
      <c r="G148" s="3">
        <f t="shared" si="11"/>
        <v>0</v>
      </c>
      <c r="H148" s="3">
        <f t="shared" si="11"/>
        <v>0</v>
      </c>
      <c r="I148" s="3">
        <f t="shared" si="11"/>
        <v>0</v>
      </c>
      <c r="J148" s="3">
        <f t="shared" si="11"/>
        <v>0.2</v>
      </c>
      <c r="K148" s="3">
        <f t="shared" si="11"/>
        <v>0.2</v>
      </c>
      <c r="L148" s="3">
        <f t="shared" si="11"/>
        <v>0.2</v>
      </c>
      <c r="M148" s="3">
        <f t="shared" si="11"/>
        <v>0.2</v>
      </c>
      <c r="N148" s="3">
        <f t="shared" si="11"/>
        <v>0.2</v>
      </c>
      <c r="O148" s="3">
        <f t="shared" si="11"/>
        <v>0.2</v>
      </c>
      <c r="P148" s="3">
        <f t="shared" si="11"/>
        <v>0.2</v>
      </c>
      <c r="Q148" s="3">
        <f t="shared" si="11"/>
        <v>0.2</v>
      </c>
    </row>
    <row r="149" spans="1:17">
      <c r="A149" s="84" t="s">
        <v>371</v>
      </c>
      <c r="B149" s="85" t="s">
        <v>370</v>
      </c>
      <c r="C149" s="85" t="s">
        <v>92</v>
      </c>
      <c r="D149" s="84" t="s">
        <v>87</v>
      </c>
      <c r="E149" s="84">
        <f>VLOOKUP(A149,'2a. SI Pop'!$A$5:$E$198,5,FALSE)</f>
        <v>1</v>
      </c>
      <c r="F149" s="84">
        <f>VLOOKUP(A149,'1. Overview'!$B$5:$F$198,5,FALSE)</f>
        <v>2041</v>
      </c>
      <c r="G149" s="3">
        <f t="shared" si="11"/>
        <v>0</v>
      </c>
      <c r="H149" s="3">
        <f t="shared" si="11"/>
        <v>0</v>
      </c>
      <c r="I149" s="3">
        <f t="shared" si="11"/>
        <v>0</v>
      </c>
      <c r="J149" s="3">
        <f t="shared" si="11"/>
        <v>0</v>
      </c>
      <c r="K149" s="3">
        <f t="shared" si="11"/>
        <v>0</v>
      </c>
      <c r="L149" s="3">
        <f t="shared" si="11"/>
        <v>0</v>
      </c>
      <c r="M149" s="3">
        <f t="shared" si="11"/>
        <v>0</v>
      </c>
      <c r="N149" s="3">
        <f t="shared" si="11"/>
        <v>0</v>
      </c>
      <c r="O149" s="3">
        <f t="shared" si="11"/>
        <v>0</v>
      </c>
      <c r="P149" s="3">
        <f t="shared" si="11"/>
        <v>0</v>
      </c>
      <c r="Q149" s="3">
        <f t="shared" si="11"/>
        <v>0</v>
      </c>
    </row>
    <row r="150" spans="1:17">
      <c r="A150" s="84" t="s">
        <v>373</v>
      </c>
      <c r="B150" s="85" t="s">
        <v>372</v>
      </c>
      <c r="C150" s="85" t="s">
        <v>92</v>
      </c>
      <c r="D150" s="84" t="s">
        <v>80</v>
      </c>
      <c r="E150" s="84">
        <f>VLOOKUP(A150,'2a. SI Pop'!$A$5:$E$198,5,FALSE)</f>
        <v>1</v>
      </c>
      <c r="F150" s="84">
        <f>VLOOKUP(A150,'1. Overview'!$B$5:$F$198,5,FALSE)</f>
        <v>2038</v>
      </c>
      <c r="G150" s="3">
        <f t="shared" ref="G150:Q165" si="12">IF(G$4&gt;=$F150,$B$3,0)</f>
        <v>0</v>
      </c>
      <c r="H150" s="3">
        <f t="shared" si="12"/>
        <v>0</v>
      </c>
      <c r="I150" s="3">
        <f t="shared" si="12"/>
        <v>0</v>
      </c>
      <c r="J150" s="3">
        <f t="shared" si="12"/>
        <v>0</v>
      </c>
      <c r="K150" s="3">
        <f t="shared" si="12"/>
        <v>0</v>
      </c>
      <c r="L150" s="3">
        <f t="shared" si="12"/>
        <v>0</v>
      </c>
      <c r="M150" s="3">
        <f t="shared" si="12"/>
        <v>0</v>
      </c>
      <c r="N150" s="3">
        <f t="shared" si="12"/>
        <v>0</v>
      </c>
      <c r="O150" s="3">
        <f t="shared" si="12"/>
        <v>0.2</v>
      </c>
      <c r="P150" s="3">
        <f t="shared" si="12"/>
        <v>0.2</v>
      </c>
      <c r="Q150" s="3">
        <f t="shared" si="12"/>
        <v>0.2</v>
      </c>
    </row>
    <row r="151" spans="1:17">
      <c r="A151" s="84" t="s">
        <v>375</v>
      </c>
      <c r="B151" s="85" t="s">
        <v>374</v>
      </c>
      <c r="C151" s="85" t="s">
        <v>92</v>
      </c>
      <c r="D151" s="84" t="s">
        <v>80</v>
      </c>
      <c r="E151" s="84">
        <f>VLOOKUP(A151,'2a. SI Pop'!$A$5:$E$198,5,FALSE)</f>
        <v>1</v>
      </c>
      <c r="F151" s="84">
        <f>VLOOKUP(A151,'1. Overview'!$B$5:$F$198,5,FALSE)</f>
        <v>2041</v>
      </c>
      <c r="G151" s="3">
        <f t="shared" si="12"/>
        <v>0</v>
      </c>
      <c r="H151" s="3">
        <f t="shared" si="12"/>
        <v>0</v>
      </c>
      <c r="I151" s="3">
        <f t="shared" si="12"/>
        <v>0</v>
      </c>
      <c r="J151" s="3">
        <f t="shared" si="12"/>
        <v>0</v>
      </c>
      <c r="K151" s="3">
        <f t="shared" si="12"/>
        <v>0</v>
      </c>
      <c r="L151" s="3">
        <f t="shared" si="12"/>
        <v>0</v>
      </c>
      <c r="M151" s="3">
        <f t="shared" si="12"/>
        <v>0</v>
      </c>
      <c r="N151" s="3">
        <f t="shared" si="12"/>
        <v>0</v>
      </c>
      <c r="O151" s="3">
        <f t="shared" si="12"/>
        <v>0</v>
      </c>
      <c r="P151" s="3">
        <f t="shared" si="12"/>
        <v>0</v>
      </c>
      <c r="Q151" s="3">
        <f t="shared" si="12"/>
        <v>0</v>
      </c>
    </row>
    <row r="152" spans="1:17">
      <c r="A152" s="84" t="s">
        <v>377</v>
      </c>
      <c r="B152" s="85" t="s">
        <v>376</v>
      </c>
      <c r="C152" s="85" t="s">
        <v>99</v>
      </c>
      <c r="D152" s="84" t="s">
        <v>80</v>
      </c>
      <c r="E152" s="84">
        <f>VLOOKUP(A152,'2a. SI Pop'!$A$5:$E$198,5,FALSE)</f>
        <v>2</v>
      </c>
      <c r="F152" s="84">
        <f>VLOOKUP(A152,'1. Overview'!$B$5:$F$198,5,FALSE)</f>
        <v>2037</v>
      </c>
      <c r="G152" s="3">
        <f t="shared" si="12"/>
        <v>0</v>
      </c>
      <c r="H152" s="3">
        <f t="shared" si="12"/>
        <v>0</v>
      </c>
      <c r="I152" s="3">
        <f t="shared" si="12"/>
        <v>0</v>
      </c>
      <c r="J152" s="3">
        <f t="shared" si="12"/>
        <v>0</v>
      </c>
      <c r="K152" s="3">
        <f t="shared" si="12"/>
        <v>0</v>
      </c>
      <c r="L152" s="3">
        <f t="shared" si="12"/>
        <v>0</v>
      </c>
      <c r="M152" s="3">
        <f t="shared" si="12"/>
        <v>0</v>
      </c>
      <c r="N152" s="3">
        <f t="shared" si="12"/>
        <v>0.2</v>
      </c>
      <c r="O152" s="3">
        <f t="shared" si="12"/>
        <v>0.2</v>
      </c>
      <c r="P152" s="3">
        <f t="shared" si="12"/>
        <v>0.2</v>
      </c>
      <c r="Q152" s="3">
        <f t="shared" si="12"/>
        <v>0.2</v>
      </c>
    </row>
    <row r="153" spans="1:17">
      <c r="A153" s="84" t="s">
        <v>379</v>
      </c>
      <c r="B153" s="85" t="s">
        <v>378</v>
      </c>
      <c r="C153" s="85" t="s">
        <v>79</v>
      </c>
      <c r="D153" s="84" t="s">
        <v>87</v>
      </c>
      <c r="E153" s="84">
        <f>VLOOKUP(A153,'2a. SI Pop'!$A$5:$E$198,5,FALSE)</f>
        <v>1</v>
      </c>
      <c r="F153" s="84">
        <f>VLOOKUP(A153,'1. Overview'!$B$5:$F$198,5,FALSE)</f>
        <v>2039</v>
      </c>
      <c r="G153" s="3">
        <f t="shared" si="12"/>
        <v>0</v>
      </c>
      <c r="H153" s="3">
        <f t="shared" si="12"/>
        <v>0</v>
      </c>
      <c r="I153" s="3">
        <f t="shared" si="12"/>
        <v>0</v>
      </c>
      <c r="J153" s="3">
        <f t="shared" si="12"/>
        <v>0</v>
      </c>
      <c r="K153" s="3">
        <f t="shared" si="12"/>
        <v>0</v>
      </c>
      <c r="L153" s="3">
        <f t="shared" si="12"/>
        <v>0</v>
      </c>
      <c r="M153" s="3">
        <f t="shared" si="12"/>
        <v>0</v>
      </c>
      <c r="N153" s="3">
        <f t="shared" si="12"/>
        <v>0</v>
      </c>
      <c r="O153" s="3">
        <f t="shared" si="12"/>
        <v>0</v>
      </c>
      <c r="P153" s="3">
        <f t="shared" si="12"/>
        <v>0.2</v>
      </c>
      <c r="Q153" s="3">
        <f t="shared" si="12"/>
        <v>0.2</v>
      </c>
    </row>
    <row r="154" spans="1:17">
      <c r="A154" s="84" t="s">
        <v>381</v>
      </c>
      <c r="B154" s="85" t="s">
        <v>380</v>
      </c>
      <c r="C154" s="85" t="s">
        <v>83</v>
      </c>
      <c r="D154" s="84" t="s">
        <v>84</v>
      </c>
      <c r="E154" s="84">
        <f>VLOOKUP(A154,'2a. SI Pop'!$A$5:$E$198,5,FALSE)</f>
        <v>3</v>
      </c>
      <c r="F154" s="84">
        <f>VLOOKUP(A154,'1. Overview'!$B$5:$F$198,5,FALSE)</f>
        <v>2040</v>
      </c>
      <c r="G154" s="3">
        <f t="shared" si="12"/>
        <v>0</v>
      </c>
      <c r="H154" s="3">
        <f t="shared" si="12"/>
        <v>0</v>
      </c>
      <c r="I154" s="3">
        <f t="shared" si="12"/>
        <v>0</v>
      </c>
      <c r="J154" s="3">
        <f t="shared" si="12"/>
        <v>0</v>
      </c>
      <c r="K154" s="3">
        <f t="shared" si="12"/>
        <v>0</v>
      </c>
      <c r="L154" s="3">
        <f t="shared" si="12"/>
        <v>0</v>
      </c>
      <c r="M154" s="3">
        <f t="shared" si="12"/>
        <v>0</v>
      </c>
      <c r="N154" s="3">
        <f t="shared" si="12"/>
        <v>0</v>
      </c>
      <c r="O154" s="3">
        <f t="shared" si="12"/>
        <v>0</v>
      </c>
      <c r="P154" s="3">
        <f t="shared" si="12"/>
        <v>0</v>
      </c>
      <c r="Q154" s="3">
        <f t="shared" si="12"/>
        <v>0.2</v>
      </c>
    </row>
    <row r="155" spans="1:17">
      <c r="A155" s="84" t="s">
        <v>383</v>
      </c>
      <c r="B155" s="85" t="s">
        <v>382</v>
      </c>
      <c r="C155" s="85" t="s">
        <v>74</v>
      </c>
      <c r="D155" s="84" t="s">
        <v>87</v>
      </c>
      <c r="E155" s="84">
        <f>VLOOKUP(A155,'2a. SI Pop'!$A$5:$E$198,5,FALSE)</f>
        <v>1</v>
      </c>
      <c r="F155" s="84">
        <f>VLOOKUP(A155,'1. Overview'!$B$5:$F$198,5,FALSE)</f>
        <v>2030</v>
      </c>
      <c r="G155" s="3">
        <f t="shared" si="12"/>
        <v>0.2</v>
      </c>
      <c r="H155" s="3">
        <f t="shared" si="12"/>
        <v>0.2</v>
      </c>
      <c r="I155" s="3">
        <f t="shared" si="12"/>
        <v>0.2</v>
      </c>
      <c r="J155" s="3">
        <f t="shared" si="12"/>
        <v>0.2</v>
      </c>
      <c r="K155" s="3">
        <f t="shared" si="12"/>
        <v>0.2</v>
      </c>
      <c r="L155" s="3">
        <f t="shared" si="12"/>
        <v>0.2</v>
      </c>
      <c r="M155" s="3">
        <f t="shared" si="12"/>
        <v>0.2</v>
      </c>
      <c r="N155" s="3">
        <f t="shared" si="12"/>
        <v>0.2</v>
      </c>
      <c r="O155" s="3">
        <f t="shared" si="12"/>
        <v>0.2</v>
      </c>
      <c r="P155" s="3">
        <f t="shared" si="12"/>
        <v>0.2</v>
      </c>
      <c r="Q155" s="3">
        <f t="shared" si="12"/>
        <v>0.2</v>
      </c>
    </row>
    <row r="156" spans="1:17">
      <c r="A156" s="84" t="s">
        <v>385</v>
      </c>
      <c r="B156" s="85" t="s">
        <v>384</v>
      </c>
      <c r="C156" s="85" t="s">
        <v>83</v>
      </c>
      <c r="D156" s="84" t="s">
        <v>84</v>
      </c>
      <c r="E156" s="84">
        <f>VLOOKUP(A156,'2a. SI Pop'!$A$5:$E$198,5,FALSE)</f>
        <v>3</v>
      </c>
      <c r="F156" s="84">
        <f>VLOOKUP(A156,'1. Overview'!$B$5:$F$198,5,FALSE)</f>
        <v>2035</v>
      </c>
      <c r="G156" s="3">
        <f t="shared" si="12"/>
        <v>0</v>
      </c>
      <c r="H156" s="3">
        <f t="shared" si="12"/>
        <v>0</v>
      </c>
      <c r="I156" s="3">
        <f t="shared" si="12"/>
        <v>0</v>
      </c>
      <c r="J156" s="3">
        <f t="shared" si="12"/>
        <v>0</v>
      </c>
      <c r="K156" s="3">
        <f t="shared" si="12"/>
        <v>0</v>
      </c>
      <c r="L156" s="3">
        <f t="shared" si="12"/>
        <v>0.2</v>
      </c>
      <c r="M156" s="3">
        <f t="shared" si="12"/>
        <v>0.2</v>
      </c>
      <c r="N156" s="3">
        <f t="shared" si="12"/>
        <v>0.2</v>
      </c>
      <c r="O156" s="3">
        <f t="shared" si="12"/>
        <v>0.2</v>
      </c>
      <c r="P156" s="3">
        <f t="shared" si="12"/>
        <v>0.2</v>
      </c>
      <c r="Q156" s="3">
        <f t="shared" si="12"/>
        <v>0.2</v>
      </c>
    </row>
    <row r="157" spans="1:17">
      <c r="A157" s="84" t="s">
        <v>387</v>
      </c>
      <c r="B157" s="85" t="s">
        <v>386</v>
      </c>
      <c r="C157" s="85" t="s">
        <v>79</v>
      </c>
      <c r="D157" s="84" t="s">
        <v>80</v>
      </c>
      <c r="E157" s="84">
        <f>VLOOKUP(A157,'2a. SI Pop'!$A$5:$E$198,5,FALSE)</f>
        <v>1</v>
      </c>
      <c r="F157" s="84">
        <f>VLOOKUP(A157,'1. Overview'!$B$5:$F$198,5,FALSE)</f>
        <v>2040</v>
      </c>
      <c r="G157" s="3">
        <f t="shared" si="12"/>
        <v>0</v>
      </c>
      <c r="H157" s="3">
        <f t="shared" si="12"/>
        <v>0</v>
      </c>
      <c r="I157" s="3">
        <f t="shared" si="12"/>
        <v>0</v>
      </c>
      <c r="J157" s="3">
        <f t="shared" si="12"/>
        <v>0</v>
      </c>
      <c r="K157" s="3">
        <f t="shared" si="12"/>
        <v>0</v>
      </c>
      <c r="L157" s="3">
        <f t="shared" si="12"/>
        <v>0</v>
      </c>
      <c r="M157" s="3">
        <f t="shared" si="12"/>
        <v>0</v>
      </c>
      <c r="N157" s="3">
        <f t="shared" si="12"/>
        <v>0</v>
      </c>
      <c r="O157" s="3">
        <f t="shared" si="12"/>
        <v>0</v>
      </c>
      <c r="P157" s="3">
        <f t="shared" si="12"/>
        <v>0</v>
      </c>
      <c r="Q157" s="3">
        <f t="shared" si="12"/>
        <v>0.2</v>
      </c>
    </row>
    <row r="158" spans="1:17">
      <c r="A158" s="84" t="s">
        <v>389</v>
      </c>
      <c r="B158" s="85" t="s">
        <v>388</v>
      </c>
      <c r="C158" s="85" t="s">
        <v>83</v>
      </c>
      <c r="D158" s="84" t="s">
        <v>87</v>
      </c>
      <c r="E158" s="84">
        <f>VLOOKUP(A158,'2a. SI Pop'!$A$5:$E$198,5,FALSE)</f>
        <v>1</v>
      </c>
      <c r="F158" s="84">
        <f>VLOOKUP(A158,'1. Overview'!$B$5:$F$198,5,FALSE)</f>
        <v>2035</v>
      </c>
      <c r="G158" s="3">
        <f t="shared" si="12"/>
        <v>0</v>
      </c>
      <c r="H158" s="3">
        <f t="shared" si="12"/>
        <v>0</v>
      </c>
      <c r="I158" s="3">
        <f t="shared" si="12"/>
        <v>0</v>
      </c>
      <c r="J158" s="3">
        <f t="shared" si="12"/>
        <v>0</v>
      </c>
      <c r="K158" s="3">
        <f t="shared" si="12"/>
        <v>0</v>
      </c>
      <c r="L158" s="3">
        <f t="shared" si="12"/>
        <v>0.2</v>
      </c>
      <c r="M158" s="3">
        <f t="shared" si="12"/>
        <v>0.2</v>
      </c>
      <c r="N158" s="3">
        <f t="shared" si="12"/>
        <v>0.2</v>
      </c>
      <c r="O158" s="3">
        <f t="shared" si="12"/>
        <v>0.2</v>
      </c>
      <c r="P158" s="3">
        <f t="shared" si="12"/>
        <v>0.2</v>
      </c>
      <c r="Q158" s="3">
        <f t="shared" si="12"/>
        <v>0.2</v>
      </c>
    </row>
    <row r="159" spans="1:17">
      <c r="A159" s="84" t="s">
        <v>391</v>
      </c>
      <c r="B159" s="85" t="s">
        <v>390</v>
      </c>
      <c r="C159" s="85" t="s">
        <v>83</v>
      </c>
      <c r="D159" s="84" t="s">
        <v>75</v>
      </c>
      <c r="E159" s="84">
        <f>VLOOKUP(A159,'2a. SI Pop'!$A$5:$E$198,5,FALSE)</f>
        <v>3</v>
      </c>
      <c r="F159" s="84">
        <f>VLOOKUP(A159,'1. Overview'!$B$5:$F$198,5,FALSE)</f>
        <v>2037</v>
      </c>
      <c r="G159" s="3">
        <f t="shared" si="12"/>
        <v>0</v>
      </c>
      <c r="H159" s="3">
        <f t="shared" si="12"/>
        <v>0</v>
      </c>
      <c r="I159" s="3">
        <f t="shared" si="12"/>
        <v>0</v>
      </c>
      <c r="J159" s="3">
        <f t="shared" si="12"/>
        <v>0</v>
      </c>
      <c r="K159" s="3">
        <f t="shared" si="12"/>
        <v>0</v>
      </c>
      <c r="L159" s="3">
        <f t="shared" si="12"/>
        <v>0</v>
      </c>
      <c r="M159" s="3">
        <f t="shared" si="12"/>
        <v>0</v>
      </c>
      <c r="N159" s="3">
        <f t="shared" si="12"/>
        <v>0.2</v>
      </c>
      <c r="O159" s="3">
        <f t="shared" si="12"/>
        <v>0.2</v>
      </c>
      <c r="P159" s="3">
        <f t="shared" si="12"/>
        <v>0.2</v>
      </c>
      <c r="Q159" s="3">
        <f t="shared" si="12"/>
        <v>0.2</v>
      </c>
    </row>
    <row r="160" spans="1:17">
      <c r="A160" s="84" t="s">
        <v>393</v>
      </c>
      <c r="B160" s="85" t="s">
        <v>392</v>
      </c>
      <c r="C160" s="85" t="s">
        <v>99</v>
      </c>
      <c r="D160" s="84" t="s">
        <v>87</v>
      </c>
      <c r="E160" s="84">
        <f>VLOOKUP(A160,'2a. SI Pop'!$A$5:$E$198,5,FALSE)</f>
        <v>1</v>
      </c>
      <c r="F160" s="84">
        <f>VLOOKUP(A160,'1. Overview'!$B$5:$F$198,5,FALSE)</f>
        <v>2034</v>
      </c>
      <c r="G160" s="3">
        <f t="shared" si="12"/>
        <v>0</v>
      </c>
      <c r="H160" s="3">
        <f t="shared" si="12"/>
        <v>0</v>
      </c>
      <c r="I160" s="3">
        <f t="shared" si="12"/>
        <v>0</v>
      </c>
      <c r="J160" s="3">
        <f t="shared" si="12"/>
        <v>0</v>
      </c>
      <c r="K160" s="3">
        <f t="shared" si="12"/>
        <v>0.2</v>
      </c>
      <c r="L160" s="3">
        <f t="shared" si="12"/>
        <v>0.2</v>
      </c>
      <c r="M160" s="3">
        <f t="shared" si="12"/>
        <v>0.2</v>
      </c>
      <c r="N160" s="3">
        <f t="shared" si="12"/>
        <v>0.2</v>
      </c>
      <c r="O160" s="3">
        <f t="shared" si="12"/>
        <v>0.2</v>
      </c>
      <c r="P160" s="3">
        <f t="shared" si="12"/>
        <v>0.2</v>
      </c>
      <c r="Q160" s="3">
        <f t="shared" si="12"/>
        <v>0.2</v>
      </c>
    </row>
    <row r="161" spans="1:17">
      <c r="A161" s="84" t="s">
        <v>395</v>
      </c>
      <c r="B161" s="85" t="s">
        <v>394</v>
      </c>
      <c r="C161" s="85" t="s">
        <v>79</v>
      </c>
      <c r="D161" s="84" t="s">
        <v>87</v>
      </c>
      <c r="E161" s="84">
        <f>VLOOKUP(A161,'2a. SI Pop'!$A$5:$E$198,5,FALSE)</f>
        <v>1</v>
      </c>
      <c r="F161" s="84">
        <f>VLOOKUP(A161,'1. Overview'!$B$5:$F$198,5,FALSE)</f>
        <v>2034</v>
      </c>
      <c r="G161" s="3">
        <f t="shared" si="12"/>
        <v>0</v>
      </c>
      <c r="H161" s="3">
        <f t="shared" si="12"/>
        <v>0</v>
      </c>
      <c r="I161" s="3">
        <f t="shared" si="12"/>
        <v>0</v>
      </c>
      <c r="J161" s="3">
        <f t="shared" si="12"/>
        <v>0</v>
      </c>
      <c r="K161" s="3">
        <f t="shared" si="12"/>
        <v>0.2</v>
      </c>
      <c r="L161" s="3">
        <f t="shared" si="12"/>
        <v>0.2</v>
      </c>
      <c r="M161" s="3">
        <f t="shared" si="12"/>
        <v>0.2</v>
      </c>
      <c r="N161" s="3">
        <f t="shared" si="12"/>
        <v>0.2</v>
      </c>
      <c r="O161" s="3">
        <f t="shared" si="12"/>
        <v>0.2</v>
      </c>
      <c r="P161" s="3">
        <f t="shared" si="12"/>
        <v>0.2</v>
      </c>
      <c r="Q161" s="3">
        <f t="shared" si="12"/>
        <v>0.2</v>
      </c>
    </row>
    <row r="162" spans="1:17">
      <c r="A162" s="84" t="s">
        <v>397</v>
      </c>
      <c r="B162" s="85" t="s">
        <v>396</v>
      </c>
      <c r="C162" s="85" t="s">
        <v>79</v>
      </c>
      <c r="D162" s="84" t="s">
        <v>87</v>
      </c>
      <c r="E162" s="84">
        <f>VLOOKUP(A162,'2a. SI Pop'!$A$5:$E$198,5,FALSE)</f>
        <v>1</v>
      </c>
      <c r="F162" s="84">
        <f>VLOOKUP(A162,'1. Overview'!$B$5:$F$198,5,FALSE)</f>
        <v>2034</v>
      </c>
      <c r="G162" s="3">
        <f t="shared" si="12"/>
        <v>0</v>
      </c>
      <c r="H162" s="3">
        <f t="shared" si="12"/>
        <v>0</v>
      </c>
      <c r="I162" s="3">
        <f t="shared" si="12"/>
        <v>0</v>
      </c>
      <c r="J162" s="3">
        <f t="shared" si="12"/>
        <v>0</v>
      </c>
      <c r="K162" s="3">
        <f t="shared" si="12"/>
        <v>0.2</v>
      </c>
      <c r="L162" s="3">
        <f t="shared" si="12"/>
        <v>0.2</v>
      </c>
      <c r="M162" s="3">
        <f t="shared" si="12"/>
        <v>0.2</v>
      </c>
      <c r="N162" s="3">
        <f t="shared" si="12"/>
        <v>0.2</v>
      </c>
      <c r="O162" s="3">
        <f t="shared" si="12"/>
        <v>0.2</v>
      </c>
      <c r="P162" s="3">
        <f t="shared" si="12"/>
        <v>0.2</v>
      </c>
      <c r="Q162" s="3">
        <f t="shared" si="12"/>
        <v>0.2</v>
      </c>
    </row>
    <row r="163" spans="1:17">
      <c r="A163" s="84" t="s">
        <v>399</v>
      </c>
      <c r="B163" s="85" t="s">
        <v>398</v>
      </c>
      <c r="C163" s="85" t="s">
        <v>74</v>
      </c>
      <c r="D163" s="84" t="s">
        <v>75</v>
      </c>
      <c r="E163" s="84">
        <f>VLOOKUP(A163,'2a. SI Pop'!$A$5:$E$198,5,FALSE)</f>
        <v>3</v>
      </c>
      <c r="F163" s="84">
        <f>VLOOKUP(A163,'1. Overview'!$B$5:$F$198,5,FALSE)</f>
        <v>2032</v>
      </c>
      <c r="G163" s="3">
        <f t="shared" si="12"/>
        <v>0</v>
      </c>
      <c r="H163" s="3">
        <f t="shared" si="12"/>
        <v>0</v>
      </c>
      <c r="I163" s="3">
        <f t="shared" si="12"/>
        <v>0.2</v>
      </c>
      <c r="J163" s="3">
        <f t="shared" si="12"/>
        <v>0.2</v>
      </c>
      <c r="K163" s="3">
        <f t="shared" si="12"/>
        <v>0.2</v>
      </c>
      <c r="L163" s="3">
        <f t="shared" si="12"/>
        <v>0.2</v>
      </c>
      <c r="M163" s="3">
        <f t="shared" si="12"/>
        <v>0.2</v>
      </c>
      <c r="N163" s="3">
        <f t="shared" si="12"/>
        <v>0.2</v>
      </c>
      <c r="O163" s="3">
        <f t="shared" si="12"/>
        <v>0.2</v>
      </c>
      <c r="P163" s="3">
        <f t="shared" si="12"/>
        <v>0.2</v>
      </c>
      <c r="Q163" s="3">
        <f t="shared" si="12"/>
        <v>0.2</v>
      </c>
    </row>
    <row r="164" spans="1:17">
      <c r="A164" s="84" t="s">
        <v>401</v>
      </c>
      <c r="B164" s="85" t="s">
        <v>400</v>
      </c>
      <c r="C164" s="85" t="s">
        <v>99</v>
      </c>
      <c r="D164" s="84" t="s">
        <v>84</v>
      </c>
      <c r="E164" s="84">
        <f>VLOOKUP(A164,'2a. SI Pop'!$A$5:$E$198,5,FALSE)</f>
        <v>4</v>
      </c>
      <c r="F164" s="84">
        <f>VLOOKUP(A164,'1. Overview'!$B$5:$F$198,5,FALSE)</f>
        <v>2039</v>
      </c>
      <c r="G164" s="3">
        <f t="shared" si="12"/>
        <v>0</v>
      </c>
      <c r="H164" s="3">
        <f t="shared" si="12"/>
        <v>0</v>
      </c>
      <c r="I164" s="3">
        <f t="shared" si="12"/>
        <v>0</v>
      </c>
      <c r="J164" s="3">
        <f t="shared" si="12"/>
        <v>0</v>
      </c>
      <c r="K164" s="3">
        <f t="shared" si="12"/>
        <v>0</v>
      </c>
      <c r="L164" s="3">
        <f t="shared" si="12"/>
        <v>0</v>
      </c>
      <c r="M164" s="3">
        <f t="shared" si="12"/>
        <v>0</v>
      </c>
      <c r="N164" s="3">
        <f t="shared" si="12"/>
        <v>0</v>
      </c>
      <c r="O164" s="3">
        <f t="shared" si="12"/>
        <v>0</v>
      </c>
      <c r="P164" s="3">
        <f t="shared" si="12"/>
        <v>0.2</v>
      </c>
      <c r="Q164" s="3">
        <f t="shared" si="12"/>
        <v>0.2</v>
      </c>
    </row>
    <row r="165" spans="1:17">
      <c r="A165" s="84" t="s">
        <v>403</v>
      </c>
      <c r="B165" s="85" t="s">
        <v>402</v>
      </c>
      <c r="C165" s="85" t="s">
        <v>83</v>
      </c>
      <c r="D165" s="84" t="s">
        <v>80</v>
      </c>
      <c r="E165" s="84" t="str">
        <f>VLOOKUP(A165,'2a. SI Pop'!$A$5:$E$198,5,FALSE)</f>
        <v>Key</v>
      </c>
      <c r="F165" s="84">
        <f>VLOOKUP(A165,'1. Overview'!$B$5:$F$198,5,FALSE)</f>
        <v>2030</v>
      </c>
      <c r="G165" s="3">
        <f t="shared" si="12"/>
        <v>0.2</v>
      </c>
      <c r="H165" s="3">
        <f t="shared" si="12"/>
        <v>0.2</v>
      </c>
      <c r="I165" s="3">
        <f t="shared" si="12"/>
        <v>0.2</v>
      </c>
      <c r="J165" s="3">
        <f t="shared" si="12"/>
        <v>0.2</v>
      </c>
      <c r="K165" s="3">
        <f t="shared" si="12"/>
        <v>0.2</v>
      </c>
      <c r="L165" s="3">
        <f t="shared" si="12"/>
        <v>0.2</v>
      </c>
      <c r="M165" s="3">
        <f t="shared" si="12"/>
        <v>0.2</v>
      </c>
      <c r="N165" s="3">
        <f t="shared" si="12"/>
        <v>0.2</v>
      </c>
      <c r="O165" s="3">
        <f t="shared" si="12"/>
        <v>0.2</v>
      </c>
      <c r="P165" s="3">
        <f t="shared" si="12"/>
        <v>0.2</v>
      </c>
      <c r="Q165" s="3">
        <f t="shared" si="12"/>
        <v>0.2</v>
      </c>
    </row>
    <row r="166" spans="1:17">
      <c r="A166" s="84" t="s">
        <v>405</v>
      </c>
      <c r="B166" s="85" t="s">
        <v>404</v>
      </c>
      <c r="C166" s="85" t="s">
        <v>79</v>
      </c>
      <c r="D166" s="84" t="s">
        <v>87</v>
      </c>
      <c r="E166" s="84">
        <f>VLOOKUP(A166,'2a. SI Pop'!$A$5:$E$198,5,FALSE)</f>
        <v>1</v>
      </c>
      <c r="F166" s="84">
        <f>VLOOKUP(A166,'1. Overview'!$B$5:$F$198,5,FALSE)</f>
        <v>2032</v>
      </c>
      <c r="G166" s="3">
        <f t="shared" ref="G166:Q181" si="13">IF(G$4&gt;=$F166,$B$3,0)</f>
        <v>0</v>
      </c>
      <c r="H166" s="3">
        <f t="shared" si="13"/>
        <v>0</v>
      </c>
      <c r="I166" s="3">
        <f t="shared" si="13"/>
        <v>0.2</v>
      </c>
      <c r="J166" s="3">
        <f t="shared" si="13"/>
        <v>0.2</v>
      </c>
      <c r="K166" s="3">
        <f t="shared" si="13"/>
        <v>0.2</v>
      </c>
      <c r="L166" s="3">
        <f t="shared" si="13"/>
        <v>0.2</v>
      </c>
      <c r="M166" s="3">
        <f t="shared" si="13"/>
        <v>0.2</v>
      </c>
      <c r="N166" s="3">
        <f t="shared" si="13"/>
        <v>0.2</v>
      </c>
      <c r="O166" s="3">
        <f t="shared" si="13"/>
        <v>0.2</v>
      </c>
      <c r="P166" s="3">
        <f t="shared" si="13"/>
        <v>0.2</v>
      </c>
      <c r="Q166" s="3">
        <f t="shared" si="13"/>
        <v>0.2</v>
      </c>
    </row>
    <row r="167" spans="1:17">
      <c r="A167" s="84" t="s">
        <v>407</v>
      </c>
      <c r="B167" s="85" t="s">
        <v>406</v>
      </c>
      <c r="C167" s="85" t="s">
        <v>110</v>
      </c>
      <c r="D167" s="84" t="s">
        <v>84</v>
      </c>
      <c r="E167" s="84">
        <f>VLOOKUP(A167,'2a. SI Pop'!$A$5:$E$198,5,FALSE)</f>
        <v>2</v>
      </c>
      <c r="F167" s="84">
        <f>VLOOKUP(A167,'1. Overview'!$B$5:$F$198,5,FALSE)</f>
        <v>2040</v>
      </c>
      <c r="G167" s="3">
        <f t="shared" si="13"/>
        <v>0</v>
      </c>
      <c r="H167" s="3">
        <f t="shared" si="13"/>
        <v>0</v>
      </c>
      <c r="I167" s="3">
        <f t="shared" si="13"/>
        <v>0</v>
      </c>
      <c r="J167" s="3">
        <f t="shared" si="13"/>
        <v>0</v>
      </c>
      <c r="K167" s="3">
        <f t="shared" si="13"/>
        <v>0</v>
      </c>
      <c r="L167" s="3">
        <f t="shared" si="13"/>
        <v>0</v>
      </c>
      <c r="M167" s="3">
        <f t="shared" si="13"/>
        <v>0</v>
      </c>
      <c r="N167" s="3">
        <f t="shared" si="13"/>
        <v>0</v>
      </c>
      <c r="O167" s="3">
        <f t="shared" si="13"/>
        <v>0</v>
      </c>
      <c r="P167" s="3">
        <f t="shared" si="13"/>
        <v>0</v>
      </c>
      <c r="Q167" s="3">
        <f t="shared" si="13"/>
        <v>0.2</v>
      </c>
    </row>
    <row r="168" spans="1:17">
      <c r="A168" s="84" t="s">
        <v>409</v>
      </c>
      <c r="B168" s="85" t="s">
        <v>408</v>
      </c>
      <c r="C168" s="85" t="s">
        <v>74</v>
      </c>
      <c r="D168" s="84" t="s">
        <v>75</v>
      </c>
      <c r="E168" s="84">
        <f>VLOOKUP(A168,'2a. SI Pop'!$A$5:$E$198,5,FALSE)</f>
        <v>3</v>
      </c>
      <c r="F168" s="84">
        <f>VLOOKUP(A168,'1. Overview'!$B$5:$F$198,5,FALSE)</f>
        <v>2033</v>
      </c>
      <c r="G168" s="3">
        <f t="shared" si="13"/>
        <v>0</v>
      </c>
      <c r="H168" s="3">
        <f t="shared" si="13"/>
        <v>0</v>
      </c>
      <c r="I168" s="3">
        <f t="shared" si="13"/>
        <v>0</v>
      </c>
      <c r="J168" s="3">
        <f t="shared" si="13"/>
        <v>0.2</v>
      </c>
      <c r="K168" s="3">
        <f t="shared" si="13"/>
        <v>0.2</v>
      </c>
      <c r="L168" s="3">
        <f t="shared" si="13"/>
        <v>0.2</v>
      </c>
      <c r="M168" s="3">
        <f t="shared" si="13"/>
        <v>0.2</v>
      </c>
      <c r="N168" s="3">
        <f t="shared" si="13"/>
        <v>0.2</v>
      </c>
      <c r="O168" s="3">
        <f t="shared" si="13"/>
        <v>0.2</v>
      </c>
      <c r="P168" s="3">
        <f t="shared" si="13"/>
        <v>0.2</v>
      </c>
      <c r="Q168" s="3">
        <f t="shared" si="13"/>
        <v>0.2</v>
      </c>
    </row>
    <row r="169" spans="1:17">
      <c r="A169" s="84" t="s">
        <v>411</v>
      </c>
      <c r="B169" s="85" t="s">
        <v>410</v>
      </c>
      <c r="C169" s="85" t="s">
        <v>74</v>
      </c>
      <c r="D169" s="84" t="s">
        <v>75</v>
      </c>
      <c r="E169" s="84">
        <f>VLOOKUP(A169,'2a. SI Pop'!$A$5:$E$198,5,FALSE)</f>
        <v>3</v>
      </c>
      <c r="F169" s="84">
        <f>VLOOKUP(A169,'1. Overview'!$B$5:$F$198,5,FALSE)</f>
        <v>2037</v>
      </c>
      <c r="G169" s="3">
        <f t="shared" si="13"/>
        <v>0</v>
      </c>
      <c r="H169" s="3">
        <f t="shared" si="13"/>
        <v>0</v>
      </c>
      <c r="I169" s="3">
        <f t="shared" si="13"/>
        <v>0</v>
      </c>
      <c r="J169" s="3">
        <f t="shared" si="13"/>
        <v>0</v>
      </c>
      <c r="K169" s="3">
        <f t="shared" si="13"/>
        <v>0</v>
      </c>
      <c r="L169" s="3">
        <f t="shared" si="13"/>
        <v>0</v>
      </c>
      <c r="M169" s="3">
        <f t="shared" si="13"/>
        <v>0</v>
      </c>
      <c r="N169" s="3">
        <f t="shared" si="13"/>
        <v>0.2</v>
      </c>
      <c r="O169" s="3">
        <f t="shared" si="13"/>
        <v>0.2</v>
      </c>
      <c r="P169" s="3">
        <f t="shared" si="13"/>
        <v>0.2</v>
      </c>
      <c r="Q169" s="3">
        <f t="shared" si="13"/>
        <v>0.2</v>
      </c>
    </row>
    <row r="170" spans="1:17">
      <c r="A170" s="84" t="s">
        <v>413</v>
      </c>
      <c r="B170" s="85" t="s">
        <v>412</v>
      </c>
      <c r="C170" s="85" t="s">
        <v>92</v>
      </c>
      <c r="D170" s="84" t="s">
        <v>80</v>
      </c>
      <c r="E170" s="84">
        <f>VLOOKUP(A170,'2a. SI Pop'!$A$5:$E$198,5,FALSE)</f>
        <v>1</v>
      </c>
      <c r="F170" s="84">
        <f>VLOOKUP(A170,'1. Overview'!$B$5:$F$198,5,FALSE)</f>
        <v>2041</v>
      </c>
      <c r="G170" s="3">
        <f t="shared" si="13"/>
        <v>0</v>
      </c>
      <c r="H170" s="3">
        <f t="shared" si="13"/>
        <v>0</v>
      </c>
      <c r="I170" s="3">
        <f t="shared" si="13"/>
        <v>0</v>
      </c>
      <c r="J170" s="3">
        <f t="shared" si="13"/>
        <v>0</v>
      </c>
      <c r="K170" s="3">
        <f t="shared" si="13"/>
        <v>0</v>
      </c>
      <c r="L170" s="3">
        <f t="shared" si="13"/>
        <v>0</v>
      </c>
      <c r="M170" s="3">
        <f t="shared" si="13"/>
        <v>0</v>
      </c>
      <c r="N170" s="3">
        <f t="shared" si="13"/>
        <v>0</v>
      </c>
      <c r="O170" s="3">
        <f t="shared" si="13"/>
        <v>0</v>
      </c>
      <c r="P170" s="3">
        <f t="shared" si="13"/>
        <v>0</v>
      </c>
      <c r="Q170" s="3">
        <f t="shared" si="13"/>
        <v>0</v>
      </c>
    </row>
    <row r="171" spans="1:17">
      <c r="A171" s="84" t="s">
        <v>415</v>
      </c>
      <c r="B171" s="85" t="s">
        <v>414</v>
      </c>
      <c r="C171" s="85" t="s">
        <v>83</v>
      </c>
      <c r="D171" s="84" t="s">
        <v>84</v>
      </c>
      <c r="E171" s="84">
        <f>VLOOKUP(A171,'2a. SI Pop'!$A$5:$E$198,5,FALSE)</f>
        <v>3</v>
      </c>
      <c r="F171" s="84">
        <f>VLOOKUP(A171,'1. Overview'!$B$5:$F$198,5,FALSE)</f>
        <v>2039</v>
      </c>
      <c r="G171" s="3">
        <f t="shared" si="13"/>
        <v>0</v>
      </c>
      <c r="H171" s="3">
        <f t="shared" si="13"/>
        <v>0</v>
      </c>
      <c r="I171" s="3">
        <f t="shared" si="13"/>
        <v>0</v>
      </c>
      <c r="J171" s="3">
        <f t="shared" si="13"/>
        <v>0</v>
      </c>
      <c r="K171" s="3">
        <f t="shared" si="13"/>
        <v>0</v>
      </c>
      <c r="L171" s="3">
        <f t="shared" si="13"/>
        <v>0</v>
      </c>
      <c r="M171" s="3">
        <f t="shared" si="13"/>
        <v>0</v>
      </c>
      <c r="N171" s="3">
        <f t="shared" si="13"/>
        <v>0</v>
      </c>
      <c r="O171" s="3">
        <f t="shared" si="13"/>
        <v>0</v>
      </c>
      <c r="P171" s="3">
        <f t="shared" si="13"/>
        <v>0.2</v>
      </c>
      <c r="Q171" s="3">
        <f t="shared" si="13"/>
        <v>0.2</v>
      </c>
    </row>
    <row r="172" spans="1:17">
      <c r="A172" s="84" t="s">
        <v>417</v>
      </c>
      <c r="B172" s="85" t="s">
        <v>416</v>
      </c>
      <c r="C172" s="85" t="s">
        <v>79</v>
      </c>
      <c r="D172" s="84" t="s">
        <v>87</v>
      </c>
      <c r="E172" s="84">
        <f>VLOOKUP(A172,'2a. SI Pop'!$A$5:$E$198,5,FALSE)</f>
        <v>1</v>
      </c>
      <c r="F172" s="84">
        <f>VLOOKUP(A172,'1. Overview'!$B$5:$F$198,5,FALSE)</f>
        <v>2035</v>
      </c>
      <c r="G172" s="3">
        <f t="shared" si="13"/>
        <v>0</v>
      </c>
      <c r="H172" s="3">
        <f t="shared" si="13"/>
        <v>0</v>
      </c>
      <c r="I172" s="3">
        <f t="shared" si="13"/>
        <v>0</v>
      </c>
      <c r="J172" s="3">
        <f t="shared" si="13"/>
        <v>0</v>
      </c>
      <c r="K172" s="3">
        <f t="shared" si="13"/>
        <v>0</v>
      </c>
      <c r="L172" s="3">
        <f t="shared" si="13"/>
        <v>0.2</v>
      </c>
      <c r="M172" s="3">
        <f t="shared" si="13"/>
        <v>0.2</v>
      </c>
      <c r="N172" s="3">
        <f t="shared" si="13"/>
        <v>0.2</v>
      </c>
      <c r="O172" s="3">
        <f t="shared" si="13"/>
        <v>0.2</v>
      </c>
      <c r="P172" s="3">
        <f t="shared" si="13"/>
        <v>0.2</v>
      </c>
      <c r="Q172" s="3">
        <f t="shared" si="13"/>
        <v>0.2</v>
      </c>
    </row>
    <row r="173" spans="1:17">
      <c r="A173" s="84" t="s">
        <v>419</v>
      </c>
      <c r="B173" s="85" t="s">
        <v>418</v>
      </c>
      <c r="C173" s="85" t="s">
        <v>79</v>
      </c>
      <c r="D173" s="84" t="s">
        <v>87</v>
      </c>
      <c r="E173" s="84">
        <f>VLOOKUP(A173,'2a. SI Pop'!$A$5:$E$198,5,FALSE)</f>
        <v>1</v>
      </c>
      <c r="F173" s="84">
        <f>VLOOKUP(A173,'1. Overview'!$B$5:$F$198,5,FALSE)</f>
        <v>2030</v>
      </c>
      <c r="G173" s="3">
        <f t="shared" si="13"/>
        <v>0.2</v>
      </c>
      <c r="H173" s="3">
        <f t="shared" si="13"/>
        <v>0.2</v>
      </c>
      <c r="I173" s="3">
        <f t="shared" si="13"/>
        <v>0.2</v>
      </c>
      <c r="J173" s="3">
        <f t="shared" si="13"/>
        <v>0.2</v>
      </c>
      <c r="K173" s="3">
        <f t="shared" si="13"/>
        <v>0.2</v>
      </c>
      <c r="L173" s="3">
        <f t="shared" si="13"/>
        <v>0.2</v>
      </c>
      <c r="M173" s="3">
        <f t="shared" si="13"/>
        <v>0.2</v>
      </c>
      <c r="N173" s="3">
        <f t="shared" si="13"/>
        <v>0.2</v>
      </c>
      <c r="O173" s="3">
        <f t="shared" si="13"/>
        <v>0.2</v>
      </c>
      <c r="P173" s="3">
        <f t="shared" si="13"/>
        <v>0.2</v>
      </c>
      <c r="Q173" s="3">
        <f t="shared" si="13"/>
        <v>0.2</v>
      </c>
    </row>
    <row r="174" spans="1:17">
      <c r="A174" s="84" t="s">
        <v>421</v>
      </c>
      <c r="B174" s="85" t="s">
        <v>420</v>
      </c>
      <c r="C174" s="85" t="s">
        <v>74</v>
      </c>
      <c r="D174" s="84" t="s">
        <v>75</v>
      </c>
      <c r="E174" s="84">
        <f>VLOOKUP(A174,'2a. SI Pop'!$A$5:$E$198,5,FALSE)</f>
        <v>2</v>
      </c>
      <c r="F174" s="84">
        <f>VLOOKUP(A174,'1. Overview'!$B$5:$F$198,5,FALSE)</f>
        <v>2039</v>
      </c>
      <c r="G174" s="3">
        <f t="shared" si="13"/>
        <v>0</v>
      </c>
      <c r="H174" s="3">
        <f t="shared" si="13"/>
        <v>0</v>
      </c>
      <c r="I174" s="3">
        <f t="shared" si="13"/>
        <v>0</v>
      </c>
      <c r="J174" s="3">
        <f t="shared" si="13"/>
        <v>0</v>
      </c>
      <c r="K174" s="3">
        <f t="shared" si="13"/>
        <v>0</v>
      </c>
      <c r="L174" s="3">
        <f t="shared" si="13"/>
        <v>0</v>
      </c>
      <c r="M174" s="3">
        <f t="shared" si="13"/>
        <v>0</v>
      </c>
      <c r="N174" s="3">
        <f t="shared" si="13"/>
        <v>0</v>
      </c>
      <c r="O174" s="3">
        <f t="shared" si="13"/>
        <v>0</v>
      </c>
      <c r="P174" s="3">
        <f t="shared" si="13"/>
        <v>0.2</v>
      </c>
      <c r="Q174" s="3">
        <f t="shared" si="13"/>
        <v>0.2</v>
      </c>
    </row>
    <row r="175" spans="1:17">
      <c r="A175" s="84" t="s">
        <v>423</v>
      </c>
      <c r="B175" s="85" t="s">
        <v>422</v>
      </c>
      <c r="C175" s="85" t="s">
        <v>83</v>
      </c>
      <c r="D175" s="84" t="s">
        <v>84</v>
      </c>
      <c r="E175" s="84" t="str">
        <f>VLOOKUP(A175,'2a. SI Pop'!$A$5:$E$198,5,FALSE)</f>
        <v>Key</v>
      </c>
      <c r="F175" s="84">
        <f>VLOOKUP(A175,'1. Overview'!$B$5:$F$198,5,FALSE)</f>
        <v>2031</v>
      </c>
      <c r="G175" s="3">
        <f t="shared" si="13"/>
        <v>0</v>
      </c>
      <c r="H175" s="3">
        <f t="shared" si="13"/>
        <v>0.2</v>
      </c>
      <c r="I175" s="3">
        <f t="shared" si="13"/>
        <v>0.2</v>
      </c>
      <c r="J175" s="3">
        <f t="shared" si="13"/>
        <v>0.2</v>
      </c>
      <c r="K175" s="3">
        <f t="shared" si="13"/>
        <v>0.2</v>
      </c>
      <c r="L175" s="3">
        <f t="shared" si="13"/>
        <v>0.2</v>
      </c>
      <c r="M175" s="3">
        <f t="shared" si="13"/>
        <v>0.2</v>
      </c>
      <c r="N175" s="3">
        <f t="shared" si="13"/>
        <v>0.2</v>
      </c>
      <c r="O175" s="3">
        <f t="shared" si="13"/>
        <v>0.2</v>
      </c>
      <c r="P175" s="3">
        <f t="shared" si="13"/>
        <v>0.2</v>
      </c>
      <c r="Q175" s="3">
        <f t="shared" si="13"/>
        <v>0.2</v>
      </c>
    </row>
    <row r="176" spans="1:17">
      <c r="A176" s="84" t="s">
        <v>425</v>
      </c>
      <c r="B176" s="85" t="s">
        <v>424</v>
      </c>
      <c r="C176" s="85" t="s">
        <v>79</v>
      </c>
      <c r="D176" s="84" t="s">
        <v>75</v>
      </c>
      <c r="E176" s="84">
        <f>VLOOKUP(A176,'2a. SI Pop'!$A$5:$E$198,5,FALSE)</f>
        <v>2</v>
      </c>
      <c r="F176" s="84">
        <f>VLOOKUP(A176,'1. Overview'!$B$5:$F$198,5,FALSE)</f>
        <v>2041</v>
      </c>
      <c r="G176" s="3">
        <f t="shared" si="13"/>
        <v>0</v>
      </c>
      <c r="H176" s="3">
        <f t="shared" si="13"/>
        <v>0</v>
      </c>
      <c r="I176" s="3">
        <f t="shared" si="13"/>
        <v>0</v>
      </c>
      <c r="J176" s="3">
        <f t="shared" si="13"/>
        <v>0</v>
      </c>
      <c r="K176" s="3">
        <f t="shared" si="13"/>
        <v>0</v>
      </c>
      <c r="L176" s="3">
        <f t="shared" si="13"/>
        <v>0</v>
      </c>
      <c r="M176" s="3">
        <f t="shared" si="13"/>
        <v>0</v>
      </c>
      <c r="N176" s="3">
        <f t="shared" si="13"/>
        <v>0</v>
      </c>
      <c r="O176" s="3">
        <f t="shared" si="13"/>
        <v>0</v>
      </c>
      <c r="P176" s="3">
        <f t="shared" si="13"/>
        <v>0</v>
      </c>
      <c r="Q176" s="3">
        <f t="shared" si="13"/>
        <v>0</v>
      </c>
    </row>
    <row r="177" spans="1:17">
      <c r="A177" s="84" t="s">
        <v>427</v>
      </c>
      <c r="B177" s="85" t="s">
        <v>426</v>
      </c>
      <c r="C177" s="85" t="s">
        <v>110</v>
      </c>
      <c r="D177" s="84" t="s">
        <v>80</v>
      </c>
      <c r="E177" s="84">
        <f>VLOOKUP(A177,'2a. SI Pop'!$A$5:$E$198,5,FALSE)</f>
        <v>1</v>
      </c>
      <c r="F177" s="84">
        <f>VLOOKUP(A177,'1. Overview'!$B$5:$F$198,5,FALSE)</f>
        <v>2031</v>
      </c>
      <c r="G177" s="3">
        <f t="shared" si="13"/>
        <v>0</v>
      </c>
      <c r="H177" s="3">
        <f t="shared" si="13"/>
        <v>0.2</v>
      </c>
      <c r="I177" s="3">
        <f t="shared" si="13"/>
        <v>0.2</v>
      </c>
      <c r="J177" s="3">
        <f t="shared" si="13"/>
        <v>0.2</v>
      </c>
      <c r="K177" s="3">
        <f t="shared" si="13"/>
        <v>0.2</v>
      </c>
      <c r="L177" s="3">
        <f t="shared" si="13"/>
        <v>0.2</v>
      </c>
      <c r="M177" s="3">
        <f t="shared" si="13"/>
        <v>0.2</v>
      </c>
      <c r="N177" s="3">
        <f t="shared" si="13"/>
        <v>0.2</v>
      </c>
      <c r="O177" s="3">
        <f t="shared" si="13"/>
        <v>0.2</v>
      </c>
      <c r="P177" s="3">
        <f t="shared" si="13"/>
        <v>0.2</v>
      </c>
      <c r="Q177" s="3">
        <f t="shared" si="13"/>
        <v>0.2</v>
      </c>
    </row>
    <row r="178" spans="1:17">
      <c r="A178" s="84" t="s">
        <v>429</v>
      </c>
      <c r="B178" s="85" t="s">
        <v>428</v>
      </c>
      <c r="C178" s="85" t="s">
        <v>110</v>
      </c>
      <c r="D178" s="84" t="s">
        <v>84</v>
      </c>
      <c r="E178" s="84">
        <f>VLOOKUP(A178,'2a. SI Pop'!$A$5:$E$198,5,FALSE)</f>
        <v>4</v>
      </c>
      <c r="F178" s="84">
        <f>VLOOKUP(A178,'1. Overview'!$B$5:$F$198,5,FALSE)</f>
        <v>2040</v>
      </c>
      <c r="G178" s="3">
        <f t="shared" si="13"/>
        <v>0</v>
      </c>
      <c r="H178" s="3">
        <f t="shared" si="13"/>
        <v>0</v>
      </c>
      <c r="I178" s="3">
        <f t="shared" si="13"/>
        <v>0</v>
      </c>
      <c r="J178" s="3">
        <f t="shared" si="13"/>
        <v>0</v>
      </c>
      <c r="K178" s="3">
        <f t="shared" si="13"/>
        <v>0</v>
      </c>
      <c r="L178" s="3">
        <f t="shared" si="13"/>
        <v>0</v>
      </c>
      <c r="M178" s="3">
        <f t="shared" si="13"/>
        <v>0</v>
      </c>
      <c r="N178" s="3">
        <f t="shared" si="13"/>
        <v>0</v>
      </c>
      <c r="O178" s="3">
        <f t="shared" si="13"/>
        <v>0</v>
      </c>
      <c r="P178" s="3">
        <f t="shared" si="13"/>
        <v>0</v>
      </c>
      <c r="Q178" s="3">
        <f t="shared" si="13"/>
        <v>0.2</v>
      </c>
    </row>
    <row r="179" spans="1:17">
      <c r="A179" s="84" t="s">
        <v>431</v>
      </c>
      <c r="B179" s="85" t="s">
        <v>430</v>
      </c>
      <c r="C179" s="85" t="s">
        <v>83</v>
      </c>
      <c r="D179" s="84" t="s">
        <v>75</v>
      </c>
      <c r="E179" s="84">
        <f>VLOOKUP(A179,'2a. SI Pop'!$A$5:$E$198,5,FALSE)</f>
        <v>3</v>
      </c>
      <c r="F179" s="84">
        <f>VLOOKUP(A179,'1. Overview'!$B$5:$F$198,5,FALSE)</f>
        <v>2037</v>
      </c>
      <c r="G179" s="3">
        <f t="shared" si="13"/>
        <v>0</v>
      </c>
      <c r="H179" s="3">
        <f t="shared" si="13"/>
        <v>0</v>
      </c>
      <c r="I179" s="3">
        <f t="shared" si="13"/>
        <v>0</v>
      </c>
      <c r="J179" s="3">
        <f t="shared" si="13"/>
        <v>0</v>
      </c>
      <c r="K179" s="3">
        <f t="shared" si="13"/>
        <v>0</v>
      </c>
      <c r="L179" s="3">
        <f t="shared" si="13"/>
        <v>0</v>
      </c>
      <c r="M179" s="3">
        <f t="shared" si="13"/>
        <v>0</v>
      </c>
      <c r="N179" s="3">
        <f t="shared" si="13"/>
        <v>0.2</v>
      </c>
      <c r="O179" s="3">
        <f t="shared" si="13"/>
        <v>0.2</v>
      </c>
      <c r="P179" s="3">
        <f t="shared" si="13"/>
        <v>0.2</v>
      </c>
      <c r="Q179" s="3">
        <f t="shared" si="13"/>
        <v>0.2</v>
      </c>
    </row>
    <row r="180" spans="1:17">
      <c r="A180" s="84" t="s">
        <v>433</v>
      </c>
      <c r="B180" s="85" t="s">
        <v>432</v>
      </c>
      <c r="C180" s="85" t="s">
        <v>99</v>
      </c>
      <c r="D180" s="84" t="s">
        <v>80</v>
      </c>
      <c r="E180" s="84">
        <f>VLOOKUP(A180,'2a. SI Pop'!$A$5:$E$198,5,FALSE)</f>
        <v>1</v>
      </c>
      <c r="F180" s="84">
        <f>VLOOKUP(A180,'1. Overview'!$B$5:$F$198,5,FALSE)</f>
        <v>2037</v>
      </c>
      <c r="G180" s="3">
        <f t="shared" si="13"/>
        <v>0</v>
      </c>
      <c r="H180" s="3">
        <f t="shared" si="13"/>
        <v>0</v>
      </c>
      <c r="I180" s="3">
        <f t="shared" si="13"/>
        <v>0</v>
      </c>
      <c r="J180" s="3">
        <f t="shared" si="13"/>
        <v>0</v>
      </c>
      <c r="K180" s="3">
        <f t="shared" si="13"/>
        <v>0</v>
      </c>
      <c r="L180" s="3">
        <f t="shared" si="13"/>
        <v>0</v>
      </c>
      <c r="M180" s="3">
        <f t="shared" si="13"/>
        <v>0</v>
      </c>
      <c r="N180" s="3">
        <f t="shared" si="13"/>
        <v>0.2</v>
      </c>
      <c r="O180" s="3">
        <f t="shared" si="13"/>
        <v>0.2</v>
      </c>
      <c r="P180" s="3">
        <f t="shared" si="13"/>
        <v>0.2</v>
      </c>
      <c r="Q180" s="3">
        <f t="shared" si="13"/>
        <v>0.2</v>
      </c>
    </row>
    <row r="181" spans="1:17">
      <c r="A181" s="84" t="s">
        <v>435</v>
      </c>
      <c r="B181" s="85" t="s">
        <v>434</v>
      </c>
      <c r="C181" s="85" t="s">
        <v>92</v>
      </c>
      <c r="D181" s="84" t="s">
        <v>87</v>
      </c>
      <c r="E181" s="84">
        <f>VLOOKUP(A181,'2a. SI Pop'!$A$5:$E$198,5,FALSE)</f>
        <v>1</v>
      </c>
      <c r="F181" s="84">
        <f>VLOOKUP(A181,'1. Overview'!$B$5:$F$198,5,FALSE)</f>
        <v>2039</v>
      </c>
      <c r="G181" s="3">
        <f t="shared" si="13"/>
        <v>0</v>
      </c>
      <c r="H181" s="3">
        <f t="shared" si="13"/>
        <v>0</v>
      </c>
      <c r="I181" s="3">
        <f t="shared" si="13"/>
        <v>0</v>
      </c>
      <c r="J181" s="3">
        <f t="shared" si="13"/>
        <v>0</v>
      </c>
      <c r="K181" s="3">
        <f t="shared" si="13"/>
        <v>0</v>
      </c>
      <c r="L181" s="3">
        <f t="shared" si="13"/>
        <v>0</v>
      </c>
      <c r="M181" s="3">
        <f t="shared" si="13"/>
        <v>0</v>
      </c>
      <c r="N181" s="3">
        <f t="shared" si="13"/>
        <v>0</v>
      </c>
      <c r="O181" s="3">
        <f t="shared" si="13"/>
        <v>0</v>
      </c>
      <c r="P181" s="3">
        <f t="shared" si="13"/>
        <v>0.2</v>
      </c>
      <c r="Q181" s="3">
        <f t="shared" si="13"/>
        <v>0.2</v>
      </c>
    </row>
    <row r="182" spans="1:17">
      <c r="A182" s="84" t="s">
        <v>437</v>
      </c>
      <c r="B182" s="85" t="s">
        <v>436</v>
      </c>
      <c r="C182" s="85" t="s">
        <v>74</v>
      </c>
      <c r="D182" s="84" t="s">
        <v>84</v>
      </c>
      <c r="E182" s="84">
        <f>VLOOKUP(A182,'2a. SI Pop'!$A$5:$E$198,5,FALSE)</f>
        <v>3</v>
      </c>
      <c r="F182" s="84">
        <f>VLOOKUP(A182,'1. Overview'!$B$5:$F$198,5,FALSE)</f>
        <v>2033</v>
      </c>
      <c r="G182" s="3">
        <f t="shared" ref="G182:Q197" si="14">IF(G$4&gt;=$F182,$B$3,0)</f>
        <v>0</v>
      </c>
      <c r="H182" s="3">
        <f t="shared" si="14"/>
        <v>0</v>
      </c>
      <c r="I182" s="3">
        <f t="shared" si="14"/>
        <v>0</v>
      </c>
      <c r="J182" s="3">
        <f t="shared" si="14"/>
        <v>0.2</v>
      </c>
      <c r="K182" s="3">
        <f t="shared" si="14"/>
        <v>0.2</v>
      </c>
      <c r="L182" s="3">
        <f t="shared" si="14"/>
        <v>0.2</v>
      </c>
      <c r="M182" s="3">
        <f t="shared" si="14"/>
        <v>0.2</v>
      </c>
      <c r="N182" s="3">
        <f t="shared" si="14"/>
        <v>0.2</v>
      </c>
      <c r="O182" s="3">
        <f t="shared" si="14"/>
        <v>0.2</v>
      </c>
      <c r="P182" s="3">
        <f t="shared" si="14"/>
        <v>0.2</v>
      </c>
      <c r="Q182" s="3">
        <f t="shared" si="14"/>
        <v>0.2</v>
      </c>
    </row>
    <row r="183" spans="1:17">
      <c r="A183" s="84" t="s">
        <v>439</v>
      </c>
      <c r="B183" s="85" t="s">
        <v>438</v>
      </c>
      <c r="C183" s="85" t="s">
        <v>79</v>
      </c>
      <c r="D183" s="84" t="s">
        <v>80</v>
      </c>
      <c r="E183" s="84">
        <f>VLOOKUP(A183,'2a. SI Pop'!$A$5:$E$198,5,FALSE)</f>
        <v>1</v>
      </c>
      <c r="F183" s="84">
        <f>VLOOKUP(A183,'1. Overview'!$B$5:$F$198,5,FALSE)</f>
        <v>2030</v>
      </c>
      <c r="G183" s="3">
        <f t="shared" si="14"/>
        <v>0.2</v>
      </c>
      <c r="H183" s="3">
        <f t="shared" si="14"/>
        <v>0.2</v>
      </c>
      <c r="I183" s="3">
        <f t="shared" si="14"/>
        <v>0.2</v>
      </c>
      <c r="J183" s="3">
        <f t="shared" si="14"/>
        <v>0.2</v>
      </c>
      <c r="K183" s="3">
        <f t="shared" si="14"/>
        <v>0.2</v>
      </c>
      <c r="L183" s="3">
        <f t="shared" si="14"/>
        <v>0.2</v>
      </c>
      <c r="M183" s="3">
        <f t="shared" si="14"/>
        <v>0.2</v>
      </c>
      <c r="N183" s="3">
        <f t="shared" si="14"/>
        <v>0.2</v>
      </c>
      <c r="O183" s="3">
        <f t="shared" si="14"/>
        <v>0.2</v>
      </c>
      <c r="P183" s="3">
        <f t="shared" si="14"/>
        <v>0.2</v>
      </c>
      <c r="Q183" s="3">
        <f t="shared" si="14"/>
        <v>0.2</v>
      </c>
    </row>
    <row r="184" spans="1:17">
      <c r="A184" s="84" t="s">
        <v>441</v>
      </c>
      <c r="B184" s="85" t="s">
        <v>440</v>
      </c>
      <c r="C184" s="85" t="s">
        <v>79</v>
      </c>
      <c r="D184" s="84" t="s">
        <v>80</v>
      </c>
      <c r="E184" s="84">
        <f>VLOOKUP(A184,'2a. SI Pop'!$A$5:$E$198,5,FALSE)</f>
        <v>1</v>
      </c>
      <c r="F184" s="84">
        <f>VLOOKUP(A184,'1. Overview'!$B$5:$F$198,5,FALSE)</f>
        <v>2040</v>
      </c>
      <c r="G184" s="3">
        <f t="shared" si="14"/>
        <v>0</v>
      </c>
      <c r="H184" s="3">
        <f t="shared" si="14"/>
        <v>0</v>
      </c>
      <c r="I184" s="3">
        <f t="shared" si="14"/>
        <v>0</v>
      </c>
      <c r="J184" s="3">
        <f t="shared" si="14"/>
        <v>0</v>
      </c>
      <c r="K184" s="3">
        <f t="shared" si="14"/>
        <v>0</v>
      </c>
      <c r="L184" s="3">
        <f t="shared" si="14"/>
        <v>0</v>
      </c>
      <c r="M184" s="3">
        <f t="shared" si="14"/>
        <v>0</v>
      </c>
      <c r="N184" s="3">
        <f t="shared" si="14"/>
        <v>0</v>
      </c>
      <c r="O184" s="3">
        <f t="shared" si="14"/>
        <v>0</v>
      </c>
      <c r="P184" s="3">
        <f t="shared" si="14"/>
        <v>0</v>
      </c>
      <c r="Q184" s="3">
        <f t="shared" si="14"/>
        <v>0.2</v>
      </c>
    </row>
    <row r="185" spans="1:17">
      <c r="A185" s="84" t="s">
        <v>443</v>
      </c>
      <c r="B185" s="85" t="s">
        <v>442</v>
      </c>
      <c r="C185" s="85" t="s">
        <v>99</v>
      </c>
      <c r="D185" s="84" t="s">
        <v>80</v>
      </c>
      <c r="E185" s="84">
        <f>VLOOKUP(A185,'2a. SI Pop'!$A$5:$E$198,5,FALSE)</f>
        <v>4</v>
      </c>
      <c r="F185" s="84">
        <f>VLOOKUP(A185,'1. Overview'!$B$5:$F$198,5,FALSE)</f>
        <v>2040</v>
      </c>
      <c r="G185" s="3">
        <f t="shared" si="14"/>
        <v>0</v>
      </c>
      <c r="H185" s="3">
        <f t="shared" si="14"/>
        <v>0</v>
      </c>
      <c r="I185" s="3">
        <f t="shared" si="14"/>
        <v>0</v>
      </c>
      <c r="J185" s="3">
        <f t="shared" si="14"/>
        <v>0</v>
      </c>
      <c r="K185" s="3">
        <f t="shared" si="14"/>
        <v>0</v>
      </c>
      <c r="L185" s="3">
        <f t="shared" si="14"/>
        <v>0</v>
      </c>
      <c r="M185" s="3">
        <f t="shared" si="14"/>
        <v>0</v>
      </c>
      <c r="N185" s="3">
        <f t="shared" si="14"/>
        <v>0</v>
      </c>
      <c r="O185" s="3">
        <f t="shared" si="14"/>
        <v>0</v>
      </c>
      <c r="P185" s="3">
        <f t="shared" si="14"/>
        <v>0</v>
      </c>
      <c r="Q185" s="3">
        <f t="shared" si="14"/>
        <v>0.2</v>
      </c>
    </row>
    <row r="186" spans="1:17">
      <c r="A186" s="84" t="s">
        <v>445</v>
      </c>
      <c r="B186" s="85" t="s">
        <v>444</v>
      </c>
      <c r="C186" s="85" t="s">
        <v>83</v>
      </c>
      <c r="D186" s="84" t="s">
        <v>75</v>
      </c>
      <c r="E186" s="84" t="str">
        <f>VLOOKUP(A186,'2a. SI Pop'!$A$5:$E$198,5,FALSE)</f>
        <v>Key</v>
      </c>
      <c r="F186" s="84">
        <f>VLOOKUP(A186,'1. Overview'!$B$5:$F$198,5,FALSE)</f>
        <v>2032</v>
      </c>
      <c r="G186" s="3">
        <f t="shared" si="14"/>
        <v>0</v>
      </c>
      <c r="H186" s="3">
        <f t="shared" si="14"/>
        <v>0</v>
      </c>
      <c r="I186" s="3">
        <f t="shared" si="14"/>
        <v>0.2</v>
      </c>
      <c r="J186" s="3">
        <f t="shared" si="14"/>
        <v>0.2</v>
      </c>
      <c r="K186" s="3">
        <f t="shared" si="14"/>
        <v>0.2</v>
      </c>
      <c r="L186" s="3">
        <f t="shared" si="14"/>
        <v>0.2</v>
      </c>
      <c r="M186" s="3">
        <f t="shared" si="14"/>
        <v>0.2</v>
      </c>
      <c r="N186" s="3">
        <f t="shared" si="14"/>
        <v>0.2</v>
      </c>
      <c r="O186" s="3">
        <f t="shared" si="14"/>
        <v>0.2</v>
      </c>
      <c r="P186" s="3">
        <f t="shared" si="14"/>
        <v>0.2</v>
      </c>
      <c r="Q186" s="3">
        <f t="shared" si="14"/>
        <v>0.2</v>
      </c>
    </row>
    <row r="187" spans="1:17">
      <c r="A187" s="84" t="s">
        <v>447</v>
      </c>
      <c r="B187" s="85" t="s">
        <v>446</v>
      </c>
      <c r="C187" s="85" t="s">
        <v>79</v>
      </c>
      <c r="D187" s="84" t="s">
        <v>84</v>
      </c>
      <c r="E187" s="84">
        <f>VLOOKUP(A187,'2a. SI Pop'!$A$5:$E$198,5,FALSE)</f>
        <v>1</v>
      </c>
      <c r="F187" s="84">
        <f>VLOOKUP(A187,'1. Overview'!$B$5:$F$198,5,FALSE)</f>
        <v>2038</v>
      </c>
      <c r="G187" s="3">
        <f t="shared" si="14"/>
        <v>0</v>
      </c>
      <c r="H187" s="3">
        <f t="shared" si="14"/>
        <v>0</v>
      </c>
      <c r="I187" s="3">
        <f t="shared" si="14"/>
        <v>0</v>
      </c>
      <c r="J187" s="3">
        <f t="shared" si="14"/>
        <v>0</v>
      </c>
      <c r="K187" s="3">
        <f t="shared" si="14"/>
        <v>0</v>
      </c>
      <c r="L187" s="3">
        <f t="shared" si="14"/>
        <v>0</v>
      </c>
      <c r="M187" s="3">
        <f t="shared" si="14"/>
        <v>0</v>
      </c>
      <c r="N187" s="3">
        <f t="shared" si="14"/>
        <v>0</v>
      </c>
      <c r="O187" s="3">
        <f t="shared" si="14"/>
        <v>0.2</v>
      </c>
      <c r="P187" s="3">
        <f t="shared" si="14"/>
        <v>0.2</v>
      </c>
      <c r="Q187" s="3">
        <f t="shared" si="14"/>
        <v>0.2</v>
      </c>
    </row>
    <row r="188" spans="1:17">
      <c r="A188" s="84" t="s">
        <v>449</v>
      </c>
      <c r="B188" s="85" t="s">
        <v>448</v>
      </c>
      <c r="C188" s="85" t="s">
        <v>74</v>
      </c>
      <c r="D188" s="84" t="s">
        <v>87</v>
      </c>
      <c r="E188" s="84">
        <f>VLOOKUP(A188,'2a. SI Pop'!$A$5:$E$198,5,FALSE)</f>
        <v>1</v>
      </c>
      <c r="F188" s="84">
        <f>VLOOKUP(A188,'1. Overview'!$B$5:$F$198,5,FALSE)</f>
        <v>2032</v>
      </c>
      <c r="G188" s="3">
        <f t="shared" si="14"/>
        <v>0</v>
      </c>
      <c r="H188" s="3">
        <f t="shared" si="14"/>
        <v>0</v>
      </c>
      <c r="I188" s="3">
        <f t="shared" si="14"/>
        <v>0.2</v>
      </c>
      <c r="J188" s="3">
        <f t="shared" si="14"/>
        <v>0.2</v>
      </c>
      <c r="K188" s="3">
        <f t="shared" si="14"/>
        <v>0.2</v>
      </c>
      <c r="L188" s="3">
        <f t="shared" si="14"/>
        <v>0.2</v>
      </c>
      <c r="M188" s="3">
        <f t="shared" si="14"/>
        <v>0.2</v>
      </c>
      <c r="N188" s="3">
        <f t="shared" si="14"/>
        <v>0.2</v>
      </c>
      <c r="O188" s="3">
        <f t="shared" si="14"/>
        <v>0.2</v>
      </c>
      <c r="P188" s="3">
        <f t="shared" si="14"/>
        <v>0.2</v>
      </c>
      <c r="Q188" s="3">
        <f t="shared" si="14"/>
        <v>0.2</v>
      </c>
    </row>
    <row r="189" spans="1:17">
      <c r="A189" s="84" t="s">
        <v>451</v>
      </c>
      <c r="B189" s="85" t="s">
        <v>450</v>
      </c>
      <c r="C189" s="85" t="s">
        <v>79</v>
      </c>
      <c r="D189" s="84" t="s">
        <v>87</v>
      </c>
      <c r="E189" s="84">
        <f>VLOOKUP(A189,'2a. SI Pop'!$A$5:$E$198,5,FALSE)</f>
        <v>1</v>
      </c>
      <c r="F189" s="84">
        <f>VLOOKUP(A189,'1. Overview'!$B$5:$F$198,5,FALSE)</f>
        <v>2030</v>
      </c>
      <c r="G189" s="3">
        <f t="shared" si="14"/>
        <v>0.2</v>
      </c>
      <c r="H189" s="3">
        <f t="shared" si="14"/>
        <v>0.2</v>
      </c>
      <c r="I189" s="3">
        <f t="shared" si="14"/>
        <v>0.2</v>
      </c>
      <c r="J189" s="3">
        <f t="shared" si="14"/>
        <v>0.2</v>
      </c>
      <c r="K189" s="3">
        <f t="shared" si="14"/>
        <v>0.2</v>
      </c>
      <c r="L189" s="3">
        <f t="shared" si="14"/>
        <v>0.2</v>
      </c>
      <c r="M189" s="3">
        <f t="shared" si="14"/>
        <v>0.2</v>
      </c>
      <c r="N189" s="3">
        <f t="shared" si="14"/>
        <v>0.2</v>
      </c>
      <c r="O189" s="3">
        <f t="shared" si="14"/>
        <v>0.2</v>
      </c>
      <c r="P189" s="3">
        <f t="shared" si="14"/>
        <v>0.2</v>
      </c>
      <c r="Q189" s="3">
        <f t="shared" si="14"/>
        <v>0.2</v>
      </c>
    </row>
    <row r="190" spans="1:17">
      <c r="A190" s="84" t="s">
        <v>453</v>
      </c>
      <c r="B190" s="85" t="s">
        <v>452</v>
      </c>
      <c r="C190" s="85" t="s">
        <v>92</v>
      </c>
      <c r="D190" s="84" t="s">
        <v>87</v>
      </c>
      <c r="E190" s="84" t="str">
        <f>VLOOKUP(A190,'2a. SI Pop'!$A$5:$E$198,5,FALSE)</f>
        <v>Key</v>
      </c>
      <c r="F190" s="84">
        <f>VLOOKUP(A190,'1. Overview'!$B$5:$F$198,5,FALSE)</f>
        <v>2030</v>
      </c>
      <c r="G190" s="3">
        <f t="shared" si="14"/>
        <v>0.2</v>
      </c>
      <c r="H190" s="3">
        <f t="shared" si="14"/>
        <v>0.2</v>
      </c>
      <c r="I190" s="3">
        <f t="shared" si="14"/>
        <v>0.2</v>
      </c>
      <c r="J190" s="3">
        <f t="shared" si="14"/>
        <v>0.2</v>
      </c>
      <c r="K190" s="3">
        <f t="shared" si="14"/>
        <v>0.2</v>
      </c>
      <c r="L190" s="3">
        <f t="shared" si="14"/>
        <v>0.2</v>
      </c>
      <c r="M190" s="3">
        <f t="shared" si="14"/>
        <v>0.2</v>
      </c>
      <c r="N190" s="3">
        <f t="shared" si="14"/>
        <v>0.2</v>
      </c>
      <c r="O190" s="3">
        <f t="shared" si="14"/>
        <v>0.2</v>
      </c>
      <c r="P190" s="3">
        <f t="shared" si="14"/>
        <v>0.2</v>
      </c>
      <c r="Q190" s="3">
        <f t="shared" si="14"/>
        <v>0.2</v>
      </c>
    </row>
    <row r="191" spans="1:17">
      <c r="A191" s="84" t="s">
        <v>455</v>
      </c>
      <c r="B191" s="85" t="s">
        <v>454</v>
      </c>
      <c r="C191" s="85" t="s">
        <v>92</v>
      </c>
      <c r="D191" s="84" t="s">
        <v>87</v>
      </c>
      <c r="E191" s="84">
        <f>VLOOKUP(A191,'2a. SI Pop'!$A$5:$E$198,5,FALSE)</f>
        <v>1</v>
      </c>
      <c r="F191" s="84">
        <f>VLOOKUP(A191,'1. Overview'!$B$5:$F$198,5,FALSE)</f>
        <v>2036</v>
      </c>
      <c r="G191" s="3">
        <f t="shared" si="14"/>
        <v>0</v>
      </c>
      <c r="H191" s="3">
        <f t="shared" si="14"/>
        <v>0</v>
      </c>
      <c r="I191" s="3">
        <f t="shared" si="14"/>
        <v>0</v>
      </c>
      <c r="J191" s="3">
        <f t="shared" si="14"/>
        <v>0</v>
      </c>
      <c r="K191" s="3">
        <f t="shared" si="14"/>
        <v>0</v>
      </c>
      <c r="L191" s="3">
        <f t="shared" si="14"/>
        <v>0</v>
      </c>
      <c r="M191" s="3">
        <f t="shared" si="14"/>
        <v>0.2</v>
      </c>
      <c r="N191" s="3">
        <f t="shared" si="14"/>
        <v>0.2</v>
      </c>
      <c r="O191" s="3">
        <f t="shared" si="14"/>
        <v>0.2</v>
      </c>
      <c r="P191" s="3">
        <f t="shared" si="14"/>
        <v>0.2</v>
      </c>
      <c r="Q191" s="3">
        <f t="shared" si="14"/>
        <v>0.2</v>
      </c>
    </row>
    <row r="192" spans="1:17">
      <c r="A192" s="84" t="s">
        <v>457</v>
      </c>
      <c r="B192" s="85" t="s">
        <v>456</v>
      </c>
      <c r="C192" s="85" t="s">
        <v>79</v>
      </c>
      <c r="D192" s="84" t="s">
        <v>84</v>
      </c>
      <c r="E192" s="84">
        <f>VLOOKUP(A192,'2a. SI Pop'!$A$5:$E$198,5,FALSE)</f>
        <v>2</v>
      </c>
      <c r="F192" s="84">
        <f>VLOOKUP(A192,'1. Overview'!$B$5:$F$198,5,FALSE)</f>
        <v>2039</v>
      </c>
      <c r="G192" s="3">
        <f t="shared" si="14"/>
        <v>0</v>
      </c>
      <c r="H192" s="3">
        <f t="shared" si="14"/>
        <v>0</v>
      </c>
      <c r="I192" s="3">
        <f t="shared" si="14"/>
        <v>0</v>
      </c>
      <c r="J192" s="3">
        <f t="shared" si="14"/>
        <v>0</v>
      </c>
      <c r="K192" s="3">
        <f t="shared" si="14"/>
        <v>0</v>
      </c>
      <c r="L192" s="3">
        <f t="shared" si="14"/>
        <v>0</v>
      </c>
      <c r="M192" s="3">
        <f t="shared" si="14"/>
        <v>0</v>
      </c>
      <c r="N192" s="3">
        <f t="shared" si="14"/>
        <v>0</v>
      </c>
      <c r="O192" s="3">
        <f t="shared" si="14"/>
        <v>0</v>
      </c>
      <c r="P192" s="3">
        <f t="shared" si="14"/>
        <v>0.2</v>
      </c>
      <c r="Q192" s="3">
        <f t="shared" si="14"/>
        <v>0.2</v>
      </c>
    </row>
    <row r="193" spans="1:17">
      <c r="A193" s="84" t="s">
        <v>459</v>
      </c>
      <c r="B193" s="85" t="s">
        <v>458</v>
      </c>
      <c r="C193" s="85" t="s">
        <v>99</v>
      </c>
      <c r="D193" s="84" t="s">
        <v>84</v>
      </c>
      <c r="E193" s="84">
        <f>VLOOKUP(A193,'2a. SI Pop'!$A$5:$E$198,5,FALSE)</f>
        <v>4</v>
      </c>
      <c r="F193" s="84">
        <f>VLOOKUP(A193,'1. Overview'!$B$5:$F$198,5,FALSE)</f>
        <v>2041</v>
      </c>
      <c r="G193" s="3">
        <f t="shared" si="14"/>
        <v>0</v>
      </c>
      <c r="H193" s="3">
        <f t="shared" si="14"/>
        <v>0</v>
      </c>
      <c r="I193" s="3">
        <f t="shared" si="14"/>
        <v>0</v>
      </c>
      <c r="J193" s="3">
        <f t="shared" si="14"/>
        <v>0</v>
      </c>
      <c r="K193" s="3">
        <f t="shared" si="14"/>
        <v>0</v>
      </c>
      <c r="L193" s="3">
        <f t="shared" si="14"/>
        <v>0</v>
      </c>
      <c r="M193" s="3">
        <f t="shared" si="14"/>
        <v>0</v>
      </c>
      <c r="N193" s="3">
        <f t="shared" si="14"/>
        <v>0</v>
      </c>
      <c r="O193" s="3">
        <f t="shared" si="14"/>
        <v>0</v>
      </c>
      <c r="P193" s="3">
        <f t="shared" si="14"/>
        <v>0</v>
      </c>
      <c r="Q193" s="3">
        <f t="shared" si="14"/>
        <v>0</v>
      </c>
    </row>
    <row r="194" spans="1:17">
      <c r="A194" s="84" t="s">
        <v>461</v>
      </c>
      <c r="B194" s="85" t="s">
        <v>460</v>
      </c>
      <c r="C194" s="85" t="s">
        <v>92</v>
      </c>
      <c r="D194" s="84" t="s">
        <v>80</v>
      </c>
      <c r="E194" s="84">
        <f>VLOOKUP(A194,'2a. SI Pop'!$A$5:$E$198,5,FALSE)</f>
        <v>1</v>
      </c>
      <c r="F194" s="84">
        <f>VLOOKUP(A194,'1. Overview'!$B$5:$F$198,5,FALSE)</f>
        <v>2036</v>
      </c>
      <c r="G194" s="3">
        <f t="shared" si="14"/>
        <v>0</v>
      </c>
      <c r="H194" s="3">
        <f t="shared" si="14"/>
        <v>0</v>
      </c>
      <c r="I194" s="3">
        <f t="shared" si="14"/>
        <v>0</v>
      </c>
      <c r="J194" s="3">
        <f t="shared" si="14"/>
        <v>0</v>
      </c>
      <c r="K194" s="3">
        <f t="shared" si="14"/>
        <v>0</v>
      </c>
      <c r="L194" s="3">
        <f t="shared" si="14"/>
        <v>0</v>
      </c>
      <c r="M194" s="3">
        <f t="shared" si="14"/>
        <v>0.2</v>
      </c>
      <c r="N194" s="3">
        <f t="shared" si="14"/>
        <v>0.2</v>
      </c>
      <c r="O194" s="3">
        <f t="shared" si="14"/>
        <v>0.2</v>
      </c>
      <c r="P194" s="3">
        <f t="shared" si="14"/>
        <v>0.2</v>
      </c>
      <c r="Q194" s="3">
        <f t="shared" si="14"/>
        <v>0.2</v>
      </c>
    </row>
    <row r="195" spans="1:17">
      <c r="A195" s="84" t="s">
        <v>463</v>
      </c>
      <c r="B195" s="85" t="s">
        <v>462</v>
      </c>
      <c r="C195" s="85" t="s">
        <v>99</v>
      </c>
      <c r="D195" s="84" t="s">
        <v>84</v>
      </c>
      <c r="E195" s="84">
        <f>VLOOKUP(A195,'2a. SI Pop'!$A$5:$E$198,5,FALSE)</f>
        <v>4</v>
      </c>
      <c r="F195" s="84">
        <f>VLOOKUP(A195,'1. Overview'!$B$5:$F$198,5,FALSE)</f>
        <v>2035</v>
      </c>
      <c r="G195" s="3">
        <f t="shared" si="14"/>
        <v>0</v>
      </c>
      <c r="H195" s="3">
        <f t="shared" si="14"/>
        <v>0</v>
      </c>
      <c r="I195" s="3">
        <f t="shared" si="14"/>
        <v>0</v>
      </c>
      <c r="J195" s="3">
        <f t="shared" si="14"/>
        <v>0</v>
      </c>
      <c r="K195" s="3">
        <f t="shared" si="14"/>
        <v>0</v>
      </c>
      <c r="L195" s="3">
        <f t="shared" si="14"/>
        <v>0.2</v>
      </c>
      <c r="M195" s="3">
        <f t="shared" si="14"/>
        <v>0.2</v>
      </c>
      <c r="N195" s="3">
        <f t="shared" si="14"/>
        <v>0.2</v>
      </c>
      <c r="O195" s="3">
        <f t="shared" si="14"/>
        <v>0.2</v>
      </c>
      <c r="P195" s="3">
        <f t="shared" si="14"/>
        <v>0.2</v>
      </c>
      <c r="Q195" s="3">
        <f t="shared" si="14"/>
        <v>0.2</v>
      </c>
    </row>
    <row r="196" spans="1:17">
      <c r="A196" s="84" t="s">
        <v>465</v>
      </c>
      <c r="B196" s="85" t="s">
        <v>464</v>
      </c>
      <c r="C196" s="85" t="s">
        <v>74</v>
      </c>
      <c r="D196" s="84" t="s">
        <v>75</v>
      </c>
      <c r="E196" s="84">
        <f>VLOOKUP(A196,'2a. SI Pop'!$A$5:$E$198,5,FALSE)</f>
        <v>3</v>
      </c>
      <c r="F196" s="84">
        <f>VLOOKUP(A196,'1. Overview'!$B$5:$F$198,5,FALSE)</f>
        <v>2031</v>
      </c>
      <c r="G196" s="3">
        <f t="shared" si="14"/>
        <v>0</v>
      </c>
      <c r="H196" s="3">
        <f t="shared" si="14"/>
        <v>0.2</v>
      </c>
      <c r="I196" s="3">
        <f t="shared" si="14"/>
        <v>0.2</v>
      </c>
      <c r="J196" s="3">
        <f t="shared" si="14"/>
        <v>0.2</v>
      </c>
      <c r="K196" s="3">
        <f t="shared" si="14"/>
        <v>0.2</v>
      </c>
      <c r="L196" s="3">
        <f t="shared" si="14"/>
        <v>0.2</v>
      </c>
      <c r="M196" s="3">
        <f t="shared" si="14"/>
        <v>0.2</v>
      </c>
      <c r="N196" s="3">
        <f t="shared" si="14"/>
        <v>0.2</v>
      </c>
      <c r="O196" s="3">
        <f t="shared" si="14"/>
        <v>0.2</v>
      </c>
      <c r="P196" s="3">
        <f t="shared" si="14"/>
        <v>0.2</v>
      </c>
      <c r="Q196" s="3">
        <f t="shared" si="14"/>
        <v>0.2</v>
      </c>
    </row>
    <row r="197" spans="1:17">
      <c r="A197" s="84" t="s">
        <v>467</v>
      </c>
      <c r="B197" s="85" t="s">
        <v>466</v>
      </c>
      <c r="C197" s="85" t="s">
        <v>83</v>
      </c>
      <c r="D197" s="84" t="s">
        <v>84</v>
      </c>
      <c r="E197" s="84">
        <f>VLOOKUP(A197,'2a. SI Pop'!$A$5:$E$198,5,FALSE)</f>
        <v>3</v>
      </c>
      <c r="F197" s="84">
        <f>VLOOKUP(A197,'1. Overview'!$B$5:$F$198,5,FALSE)</f>
        <v>2033</v>
      </c>
      <c r="G197" s="3">
        <f t="shared" si="14"/>
        <v>0</v>
      </c>
      <c r="H197" s="3">
        <f t="shared" si="14"/>
        <v>0</v>
      </c>
      <c r="I197" s="3">
        <f t="shared" si="14"/>
        <v>0</v>
      </c>
      <c r="J197" s="3">
        <f t="shared" si="14"/>
        <v>0.2</v>
      </c>
      <c r="K197" s="3">
        <f t="shared" si="14"/>
        <v>0.2</v>
      </c>
      <c r="L197" s="3">
        <f t="shared" si="14"/>
        <v>0.2</v>
      </c>
      <c r="M197" s="3">
        <f t="shared" si="14"/>
        <v>0.2</v>
      </c>
      <c r="N197" s="3">
        <f t="shared" si="14"/>
        <v>0.2</v>
      </c>
      <c r="O197" s="3">
        <f t="shared" si="14"/>
        <v>0.2</v>
      </c>
      <c r="P197" s="3">
        <f t="shared" si="14"/>
        <v>0.2</v>
      </c>
      <c r="Q197" s="3">
        <f t="shared" si="14"/>
        <v>0.2</v>
      </c>
    </row>
    <row r="198" spans="1:17">
      <c r="A198" s="84" t="s">
        <v>469</v>
      </c>
      <c r="B198" s="85" t="s">
        <v>468</v>
      </c>
      <c r="C198" s="85" t="s">
        <v>83</v>
      </c>
      <c r="D198" s="84" t="s">
        <v>84</v>
      </c>
      <c r="E198" s="84">
        <f>VLOOKUP(A198,'2a. SI Pop'!$A$5:$E$198,5,FALSE)</f>
        <v>3</v>
      </c>
      <c r="F198" s="84">
        <f>VLOOKUP(A198,'1. Overview'!$B$5:$F$198,5,FALSE)</f>
        <v>2037</v>
      </c>
      <c r="G198" s="3">
        <f t="shared" ref="G198:Q198" si="15">IF(G$4&gt;=$F198,$B$3,0)</f>
        <v>0</v>
      </c>
      <c r="H198" s="3">
        <f t="shared" si="15"/>
        <v>0</v>
      </c>
      <c r="I198" s="3">
        <f t="shared" si="15"/>
        <v>0</v>
      </c>
      <c r="J198" s="3">
        <f t="shared" si="15"/>
        <v>0</v>
      </c>
      <c r="K198" s="3">
        <f t="shared" si="15"/>
        <v>0</v>
      </c>
      <c r="L198" s="3">
        <f t="shared" si="15"/>
        <v>0</v>
      </c>
      <c r="M198" s="3">
        <f t="shared" si="15"/>
        <v>0</v>
      </c>
      <c r="N198" s="3">
        <f t="shared" si="15"/>
        <v>0.2</v>
      </c>
      <c r="O198" s="3">
        <f t="shared" si="15"/>
        <v>0.2</v>
      </c>
      <c r="P198" s="3">
        <f t="shared" si="15"/>
        <v>0.2</v>
      </c>
      <c r="Q198" s="3">
        <f t="shared" si="15"/>
        <v>0.2</v>
      </c>
    </row>
  </sheetData>
  <autoFilter ref="A4:Q198" xr:uid="{1BE26F4C-1587-7C4D-887A-C69327E2A75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9275-D580-6E47-B999-50E08CFBCCF2}">
  <sheetPr>
    <tabColor theme="8" tint="0.59999389629810485"/>
  </sheetPr>
  <dimension ref="A1:P198"/>
  <sheetViews>
    <sheetView zoomScale="85" zoomScaleNormal="85" workbookViewId="0">
      <selection activeCell="L39" sqref="L39"/>
    </sheetView>
  </sheetViews>
  <sheetFormatPr defaultColWidth="10.85546875" defaultRowHeight="15"/>
  <cols>
    <col min="6" max="16" width="13.7109375" bestFit="1" customWidth="1"/>
  </cols>
  <sheetData>
    <row r="1" spans="1:16">
      <c r="A1" t="s">
        <v>470</v>
      </c>
      <c r="B1" t="s">
        <v>496</v>
      </c>
    </row>
    <row r="2" spans="1:16">
      <c r="A2" t="s">
        <v>471</v>
      </c>
      <c r="B2" t="s">
        <v>494</v>
      </c>
    </row>
    <row r="4" spans="1:16" s="88" customFormat="1">
      <c r="A4" s="86" t="s">
        <v>473</v>
      </c>
      <c r="B4" s="87" t="s">
        <v>64</v>
      </c>
      <c r="C4" s="86" t="s">
        <v>66</v>
      </c>
      <c r="D4" s="86" t="s">
        <v>67</v>
      </c>
      <c r="E4" s="86" t="s">
        <v>68</v>
      </c>
      <c r="F4" s="88">
        <v>2030</v>
      </c>
      <c r="G4" s="88">
        <f>F4+1</f>
        <v>2031</v>
      </c>
      <c r="H4" s="88">
        <f t="shared" ref="H4:N4" si="0">G4+1</f>
        <v>2032</v>
      </c>
      <c r="I4" s="88">
        <f t="shared" si="0"/>
        <v>2033</v>
      </c>
      <c r="J4" s="88">
        <f t="shared" si="0"/>
        <v>2034</v>
      </c>
      <c r="K4" s="88">
        <f t="shared" si="0"/>
        <v>2035</v>
      </c>
      <c r="L4" s="88">
        <f t="shared" si="0"/>
        <v>2036</v>
      </c>
      <c r="M4" s="88">
        <f t="shared" si="0"/>
        <v>2037</v>
      </c>
      <c r="N4" s="88">
        <f t="shared" si="0"/>
        <v>2038</v>
      </c>
      <c r="O4" s="88">
        <f t="shared" ref="O4:P4" si="1">N4+1</f>
        <v>2039</v>
      </c>
      <c r="P4" s="88">
        <f t="shared" si="1"/>
        <v>2040</v>
      </c>
    </row>
    <row r="5" spans="1:16">
      <c r="A5" s="84" t="s">
        <v>73</v>
      </c>
      <c r="B5" s="85" t="s">
        <v>72</v>
      </c>
      <c r="C5" s="85" t="s">
        <v>74</v>
      </c>
      <c r="D5" s="84" t="s">
        <v>75</v>
      </c>
      <c r="E5" s="84" t="str">
        <f>VLOOKUP(A5,'2a. SI Pop'!$A$5:$E$198,5,FALSE)</f>
        <v>Key</v>
      </c>
      <c r="F5" s="3">
        <f>VLOOKUP(A5,Input!$G$5:$L$24,5,FALSE)</f>
        <v>0.1</v>
      </c>
      <c r="G5" s="3">
        <f>F5</f>
        <v>0.1</v>
      </c>
      <c r="H5" s="3">
        <f t="shared" ref="H5:P5" si="2">G5</f>
        <v>0.1</v>
      </c>
      <c r="I5" s="3">
        <f t="shared" si="2"/>
        <v>0.1</v>
      </c>
      <c r="J5" s="3">
        <f t="shared" si="2"/>
        <v>0.1</v>
      </c>
      <c r="K5" s="3">
        <f t="shared" si="2"/>
        <v>0.1</v>
      </c>
      <c r="L5" s="3">
        <f t="shared" si="2"/>
        <v>0.1</v>
      </c>
      <c r="M5" s="3">
        <f t="shared" si="2"/>
        <v>0.1</v>
      </c>
      <c r="N5" s="3">
        <f t="shared" si="2"/>
        <v>0.1</v>
      </c>
      <c r="O5" s="3">
        <f t="shared" si="2"/>
        <v>0.1</v>
      </c>
      <c r="P5" s="3">
        <f t="shared" si="2"/>
        <v>0.1</v>
      </c>
    </row>
    <row r="6" spans="1:16">
      <c r="A6" s="84" t="s">
        <v>78</v>
      </c>
      <c r="B6" s="85" t="s">
        <v>77</v>
      </c>
      <c r="C6" s="85" t="s">
        <v>79</v>
      </c>
      <c r="D6" s="84" t="s">
        <v>80</v>
      </c>
      <c r="E6" s="84">
        <f>VLOOKUP(A6,'2a. SI Pop'!$A$5:$E$198,5,FALSE)</f>
        <v>1</v>
      </c>
      <c r="F6" s="3">
        <f>VLOOKUP(E6,Input!$G$5:$L$24,5,FALSE)</f>
        <v>0.1</v>
      </c>
      <c r="G6" s="3">
        <f t="shared" ref="G6:P21" si="3">F6</f>
        <v>0.1</v>
      </c>
      <c r="H6" s="3">
        <f t="shared" si="3"/>
        <v>0.1</v>
      </c>
      <c r="I6" s="3">
        <f t="shared" si="3"/>
        <v>0.1</v>
      </c>
      <c r="J6" s="3">
        <f t="shared" si="3"/>
        <v>0.1</v>
      </c>
      <c r="K6" s="3">
        <f t="shared" si="3"/>
        <v>0.1</v>
      </c>
      <c r="L6" s="3">
        <f t="shared" si="3"/>
        <v>0.1</v>
      </c>
      <c r="M6" s="3">
        <f t="shared" si="3"/>
        <v>0.1</v>
      </c>
      <c r="N6" s="3">
        <f t="shared" si="3"/>
        <v>0.1</v>
      </c>
      <c r="O6" s="3">
        <f t="shared" si="3"/>
        <v>0.1</v>
      </c>
      <c r="P6" s="3">
        <f t="shared" si="3"/>
        <v>0.1</v>
      </c>
    </row>
    <row r="7" spans="1:16">
      <c r="A7" s="84" t="s">
        <v>82</v>
      </c>
      <c r="B7" s="85" t="s">
        <v>81</v>
      </c>
      <c r="C7" s="85" t="s">
        <v>83</v>
      </c>
      <c r="D7" s="84" t="s">
        <v>84</v>
      </c>
      <c r="E7" s="84">
        <f>VLOOKUP(A7,'2a. SI Pop'!$A$5:$E$198,5,FALSE)</f>
        <v>2</v>
      </c>
      <c r="F7" s="3">
        <f>VLOOKUP(E7,Input!$G$5:$L$24,5,FALSE)</f>
        <v>0.1</v>
      </c>
      <c r="G7" s="3">
        <f t="shared" si="3"/>
        <v>0.1</v>
      </c>
      <c r="H7" s="3">
        <f t="shared" si="3"/>
        <v>0.1</v>
      </c>
      <c r="I7" s="3">
        <f t="shared" si="3"/>
        <v>0.1</v>
      </c>
      <c r="J7" s="3">
        <f t="shared" si="3"/>
        <v>0.1</v>
      </c>
      <c r="K7" s="3">
        <f t="shared" si="3"/>
        <v>0.1</v>
      </c>
      <c r="L7" s="3">
        <f t="shared" si="3"/>
        <v>0.1</v>
      </c>
      <c r="M7" s="3">
        <f t="shared" si="3"/>
        <v>0.1</v>
      </c>
      <c r="N7" s="3">
        <f t="shared" si="3"/>
        <v>0.1</v>
      </c>
      <c r="O7" s="3">
        <f t="shared" si="3"/>
        <v>0.1</v>
      </c>
      <c r="P7" s="3">
        <f t="shared" si="3"/>
        <v>0.1</v>
      </c>
    </row>
    <row r="8" spans="1:16">
      <c r="A8" s="84" t="s">
        <v>86</v>
      </c>
      <c r="B8" s="85" t="s">
        <v>85</v>
      </c>
      <c r="C8" s="85" t="s">
        <v>79</v>
      </c>
      <c r="D8" s="84" t="s">
        <v>87</v>
      </c>
      <c r="E8" s="84">
        <f>VLOOKUP(A8,'2a. SI Pop'!$A$5:$E$198,5,FALSE)</f>
        <v>1</v>
      </c>
      <c r="F8" s="3">
        <f>VLOOKUP(E8,Input!$G$5:$L$24,5,FALSE)</f>
        <v>0.1</v>
      </c>
      <c r="G8" s="3">
        <f t="shared" si="3"/>
        <v>0.1</v>
      </c>
      <c r="H8" s="3">
        <f t="shared" si="3"/>
        <v>0.1</v>
      </c>
      <c r="I8" s="3">
        <f t="shared" si="3"/>
        <v>0.1</v>
      </c>
      <c r="J8" s="3">
        <f t="shared" si="3"/>
        <v>0.1</v>
      </c>
      <c r="K8" s="3">
        <f t="shared" si="3"/>
        <v>0.1</v>
      </c>
      <c r="L8" s="3">
        <f t="shared" si="3"/>
        <v>0.1</v>
      </c>
      <c r="M8" s="3">
        <f t="shared" si="3"/>
        <v>0.1</v>
      </c>
      <c r="N8" s="3">
        <f t="shared" si="3"/>
        <v>0.1</v>
      </c>
      <c r="O8" s="3">
        <f t="shared" si="3"/>
        <v>0.1</v>
      </c>
      <c r="P8" s="3">
        <f t="shared" si="3"/>
        <v>0.1</v>
      </c>
    </row>
    <row r="9" spans="1:16">
      <c r="A9" s="84" t="s">
        <v>89</v>
      </c>
      <c r="B9" s="85" t="s">
        <v>88</v>
      </c>
      <c r="C9" s="85" t="s">
        <v>83</v>
      </c>
      <c r="D9" s="84" t="s">
        <v>84</v>
      </c>
      <c r="E9" s="84">
        <f>VLOOKUP(A9,'2a. SI Pop'!$A$5:$E$198,5,FALSE)</f>
        <v>3</v>
      </c>
      <c r="F9" s="3">
        <f>VLOOKUP(E9,Input!$G$5:$L$24,5,FALSE)</f>
        <v>0.1</v>
      </c>
      <c r="G9" s="3">
        <f t="shared" si="3"/>
        <v>0.1</v>
      </c>
      <c r="H9" s="3">
        <f t="shared" si="3"/>
        <v>0.1</v>
      </c>
      <c r="I9" s="3">
        <f t="shared" si="3"/>
        <v>0.1</v>
      </c>
      <c r="J9" s="3">
        <f t="shared" si="3"/>
        <v>0.1</v>
      </c>
      <c r="K9" s="3">
        <f t="shared" si="3"/>
        <v>0.1</v>
      </c>
      <c r="L9" s="3">
        <f t="shared" si="3"/>
        <v>0.1</v>
      </c>
      <c r="M9" s="3">
        <f t="shared" si="3"/>
        <v>0.1</v>
      </c>
      <c r="N9" s="3">
        <f t="shared" si="3"/>
        <v>0.1</v>
      </c>
      <c r="O9" s="3">
        <f t="shared" si="3"/>
        <v>0.1</v>
      </c>
      <c r="P9" s="3">
        <f t="shared" si="3"/>
        <v>0.1</v>
      </c>
    </row>
    <row r="10" spans="1:16">
      <c r="A10" s="84" t="s">
        <v>91</v>
      </c>
      <c r="B10" s="85" t="s">
        <v>90</v>
      </c>
      <c r="C10" s="85" t="s">
        <v>92</v>
      </c>
      <c r="D10" s="84" t="s">
        <v>87</v>
      </c>
      <c r="E10" s="84">
        <f>VLOOKUP(A10,'2a. SI Pop'!$A$5:$E$198,5,FALSE)</f>
        <v>1</v>
      </c>
      <c r="F10" s="3">
        <f>VLOOKUP(E10,Input!$G$5:$L$24,5,FALSE)</f>
        <v>0.1</v>
      </c>
      <c r="G10" s="3">
        <f t="shared" si="3"/>
        <v>0.1</v>
      </c>
      <c r="H10" s="3">
        <f t="shared" si="3"/>
        <v>0.1</v>
      </c>
      <c r="I10" s="3">
        <f t="shared" si="3"/>
        <v>0.1</v>
      </c>
      <c r="J10" s="3">
        <f t="shared" si="3"/>
        <v>0.1</v>
      </c>
      <c r="K10" s="3">
        <f t="shared" si="3"/>
        <v>0.1</v>
      </c>
      <c r="L10" s="3">
        <f t="shared" si="3"/>
        <v>0.1</v>
      </c>
      <c r="M10" s="3">
        <f t="shared" si="3"/>
        <v>0.1</v>
      </c>
      <c r="N10" s="3">
        <f t="shared" si="3"/>
        <v>0.1</v>
      </c>
      <c r="O10" s="3">
        <f t="shared" si="3"/>
        <v>0.1</v>
      </c>
      <c r="P10" s="3">
        <f t="shared" si="3"/>
        <v>0.1</v>
      </c>
    </row>
    <row r="11" spans="1:16">
      <c r="A11" s="84" t="s">
        <v>94</v>
      </c>
      <c r="B11" s="85" t="s">
        <v>93</v>
      </c>
      <c r="C11" s="85" t="s">
        <v>92</v>
      </c>
      <c r="D11" s="84" t="s">
        <v>80</v>
      </c>
      <c r="E11" s="84">
        <f>VLOOKUP(A11,'2a. SI Pop'!$A$5:$E$198,5,FALSE)</f>
        <v>1</v>
      </c>
      <c r="F11" s="3">
        <f>VLOOKUP(E11,Input!$G$5:$L$24,5,FALSE)</f>
        <v>0.1</v>
      </c>
      <c r="G11" s="3">
        <f t="shared" si="3"/>
        <v>0.1</v>
      </c>
      <c r="H11" s="3">
        <f t="shared" si="3"/>
        <v>0.1</v>
      </c>
      <c r="I11" s="3">
        <f t="shared" si="3"/>
        <v>0.1</v>
      </c>
      <c r="J11" s="3">
        <f t="shared" si="3"/>
        <v>0.1</v>
      </c>
      <c r="K11" s="3">
        <f t="shared" si="3"/>
        <v>0.1</v>
      </c>
      <c r="L11" s="3">
        <f t="shared" si="3"/>
        <v>0.1</v>
      </c>
      <c r="M11" s="3">
        <f t="shared" si="3"/>
        <v>0.1</v>
      </c>
      <c r="N11" s="3">
        <f t="shared" si="3"/>
        <v>0.1</v>
      </c>
      <c r="O11" s="3">
        <f t="shared" si="3"/>
        <v>0.1</v>
      </c>
      <c r="P11" s="3">
        <f t="shared" si="3"/>
        <v>0.1</v>
      </c>
    </row>
    <row r="12" spans="1:16">
      <c r="A12" s="84" t="s">
        <v>96</v>
      </c>
      <c r="B12" s="85" t="s">
        <v>95</v>
      </c>
      <c r="C12" s="85" t="s">
        <v>79</v>
      </c>
      <c r="D12" s="84" t="s">
        <v>80</v>
      </c>
      <c r="E12" s="84">
        <f>VLOOKUP(A12,'2a. SI Pop'!$A$5:$E$198,5,FALSE)</f>
        <v>1</v>
      </c>
      <c r="F12" s="3">
        <f>VLOOKUP(E12,Input!$G$5:$L$24,5,FALSE)</f>
        <v>0.1</v>
      </c>
      <c r="G12" s="3">
        <f t="shared" si="3"/>
        <v>0.1</v>
      </c>
      <c r="H12" s="3">
        <f t="shared" si="3"/>
        <v>0.1</v>
      </c>
      <c r="I12" s="3">
        <f t="shared" si="3"/>
        <v>0.1</v>
      </c>
      <c r="J12" s="3">
        <f t="shared" si="3"/>
        <v>0.1</v>
      </c>
      <c r="K12" s="3">
        <f t="shared" si="3"/>
        <v>0.1</v>
      </c>
      <c r="L12" s="3">
        <f t="shared" si="3"/>
        <v>0.1</v>
      </c>
      <c r="M12" s="3">
        <f t="shared" si="3"/>
        <v>0.1</v>
      </c>
      <c r="N12" s="3">
        <f t="shared" si="3"/>
        <v>0.1</v>
      </c>
      <c r="O12" s="3">
        <f t="shared" si="3"/>
        <v>0.1</v>
      </c>
      <c r="P12" s="3">
        <f t="shared" si="3"/>
        <v>0.1</v>
      </c>
    </row>
    <row r="13" spans="1:16">
      <c r="A13" s="84" t="s">
        <v>98</v>
      </c>
      <c r="B13" s="85" t="s">
        <v>97</v>
      </c>
      <c r="C13" s="85" t="s">
        <v>99</v>
      </c>
      <c r="D13" s="84" t="s">
        <v>87</v>
      </c>
      <c r="E13" s="84">
        <f>VLOOKUP(A13,'2a. SI Pop'!$A$5:$E$198,5,FALSE)</f>
        <v>1</v>
      </c>
      <c r="F13" s="3">
        <f>VLOOKUP(E13,Input!$G$5:$L$24,5,FALSE)</f>
        <v>0.1</v>
      </c>
      <c r="G13" s="3">
        <f t="shared" si="3"/>
        <v>0.1</v>
      </c>
      <c r="H13" s="3">
        <f t="shared" si="3"/>
        <v>0.1</v>
      </c>
      <c r="I13" s="3">
        <f t="shared" si="3"/>
        <v>0.1</v>
      </c>
      <c r="J13" s="3">
        <f t="shared" si="3"/>
        <v>0.1</v>
      </c>
      <c r="K13" s="3">
        <f t="shared" si="3"/>
        <v>0.1</v>
      </c>
      <c r="L13" s="3">
        <f t="shared" si="3"/>
        <v>0.1</v>
      </c>
      <c r="M13" s="3">
        <f t="shared" si="3"/>
        <v>0.1</v>
      </c>
      <c r="N13" s="3">
        <f t="shared" si="3"/>
        <v>0.1</v>
      </c>
      <c r="O13" s="3">
        <f t="shared" si="3"/>
        <v>0.1</v>
      </c>
      <c r="P13" s="3">
        <f t="shared" si="3"/>
        <v>0.1</v>
      </c>
    </row>
    <row r="14" spans="1:16">
      <c r="A14" s="84" t="s">
        <v>101</v>
      </c>
      <c r="B14" s="85" t="s">
        <v>100</v>
      </c>
      <c r="C14" s="85" t="s">
        <v>79</v>
      </c>
      <c r="D14" s="84" t="s">
        <v>87</v>
      </c>
      <c r="E14" s="84">
        <f>VLOOKUP(A14,'2a. SI Pop'!$A$5:$E$198,5,FALSE)</f>
        <v>1</v>
      </c>
      <c r="F14" s="3">
        <f>VLOOKUP(E14,Input!$G$5:$L$24,5,FALSE)</f>
        <v>0.1</v>
      </c>
      <c r="G14" s="3">
        <f t="shared" si="3"/>
        <v>0.1</v>
      </c>
      <c r="H14" s="3">
        <f t="shared" si="3"/>
        <v>0.1</v>
      </c>
      <c r="I14" s="3">
        <f t="shared" si="3"/>
        <v>0.1</v>
      </c>
      <c r="J14" s="3">
        <f t="shared" si="3"/>
        <v>0.1</v>
      </c>
      <c r="K14" s="3">
        <f t="shared" si="3"/>
        <v>0.1</v>
      </c>
      <c r="L14" s="3">
        <f t="shared" si="3"/>
        <v>0.1</v>
      </c>
      <c r="M14" s="3">
        <f t="shared" si="3"/>
        <v>0.1</v>
      </c>
      <c r="N14" s="3">
        <f t="shared" si="3"/>
        <v>0.1</v>
      </c>
      <c r="O14" s="3">
        <f t="shared" si="3"/>
        <v>0.1</v>
      </c>
      <c r="P14" s="3">
        <f t="shared" si="3"/>
        <v>0.1</v>
      </c>
    </row>
    <row r="15" spans="1:16">
      <c r="A15" s="84" t="s">
        <v>103</v>
      </c>
      <c r="B15" s="85" t="s">
        <v>102</v>
      </c>
      <c r="C15" s="85" t="s">
        <v>79</v>
      </c>
      <c r="D15" s="84" t="s">
        <v>80</v>
      </c>
      <c r="E15" s="84">
        <f>VLOOKUP(A15,'2a. SI Pop'!$A$5:$E$198,5,FALSE)</f>
        <v>1</v>
      </c>
      <c r="F15" s="3">
        <f>VLOOKUP(E15,Input!$G$5:$L$24,5,FALSE)</f>
        <v>0.1</v>
      </c>
      <c r="G15" s="3">
        <f t="shared" si="3"/>
        <v>0.1</v>
      </c>
      <c r="H15" s="3">
        <f t="shared" si="3"/>
        <v>0.1</v>
      </c>
      <c r="I15" s="3">
        <f t="shared" si="3"/>
        <v>0.1</v>
      </c>
      <c r="J15" s="3">
        <f t="shared" si="3"/>
        <v>0.1</v>
      </c>
      <c r="K15" s="3">
        <f t="shared" si="3"/>
        <v>0.1</v>
      </c>
      <c r="L15" s="3">
        <f t="shared" si="3"/>
        <v>0.1</v>
      </c>
      <c r="M15" s="3">
        <f t="shared" si="3"/>
        <v>0.1</v>
      </c>
      <c r="N15" s="3">
        <f t="shared" si="3"/>
        <v>0.1</v>
      </c>
      <c r="O15" s="3">
        <f t="shared" si="3"/>
        <v>0.1</v>
      </c>
      <c r="P15" s="3">
        <f t="shared" si="3"/>
        <v>0.1</v>
      </c>
    </row>
    <row r="16" spans="1:16">
      <c r="A16" s="84" t="s">
        <v>105</v>
      </c>
      <c r="B16" s="85" t="s">
        <v>104</v>
      </c>
      <c r="C16" s="85" t="s">
        <v>92</v>
      </c>
      <c r="D16" s="84" t="s">
        <v>87</v>
      </c>
      <c r="E16" s="84">
        <f>VLOOKUP(A16,'2a. SI Pop'!$A$5:$E$198,5,FALSE)</f>
        <v>1</v>
      </c>
      <c r="F16" s="3">
        <f>VLOOKUP(E16,Input!$G$5:$L$24,5,FALSE)</f>
        <v>0.1</v>
      </c>
      <c r="G16" s="3">
        <f t="shared" si="3"/>
        <v>0.1</v>
      </c>
      <c r="H16" s="3">
        <f t="shared" si="3"/>
        <v>0.1</v>
      </c>
      <c r="I16" s="3">
        <f t="shared" si="3"/>
        <v>0.1</v>
      </c>
      <c r="J16" s="3">
        <f t="shared" si="3"/>
        <v>0.1</v>
      </c>
      <c r="K16" s="3">
        <f t="shared" si="3"/>
        <v>0.1</v>
      </c>
      <c r="L16" s="3">
        <f t="shared" si="3"/>
        <v>0.1</v>
      </c>
      <c r="M16" s="3">
        <f t="shared" si="3"/>
        <v>0.1</v>
      </c>
      <c r="N16" s="3">
        <f t="shared" si="3"/>
        <v>0.1</v>
      </c>
      <c r="O16" s="3">
        <f t="shared" si="3"/>
        <v>0.1</v>
      </c>
      <c r="P16" s="3">
        <f t="shared" si="3"/>
        <v>0.1</v>
      </c>
    </row>
    <row r="17" spans="1:16">
      <c r="A17" s="84" t="s">
        <v>107</v>
      </c>
      <c r="B17" s="85" t="s">
        <v>106</v>
      </c>
      <c r="C17" s="85" t="s">
        <v>74</v>
      </c>
      <c r="D17" s="84" t="s">
        <v>87</v>
      </c>
      <c r="E17" s="84">
        <f>VLOOKUP(A17,'2a. SI Pop'!$A$5:$E$198,5,FALSE)</f>
        <v>1</v>
      </c>
      <c r="F17" s="3">
        <f>VLOOKUP(E17,Input!$G$5:$L$24,5,FALSE)</f>
        <v>0.1</v>
      </c>
      <c r="G17" s="3">
        <f t="shared" si="3"/>
        <v>0.1</v>
      </c>
      <c r="H17" s="3">
        <f t="shared" si="3"/>
        <v>0.1</v>
      </c>
      <c r="I17" s="3">
        <f t="shared" si="3"/>
        <v>0.1</v>
      </c>
      <c r="J17" s="3">
        <f t="shared" si="3"/>
        <v>0.1</v>
      </c>
      <c r="K17" s="3">
        <f t="shared" si="3"/>
        <v>0.1</v>
      </c>
      <c r="L17" s="3">
        <f t="shared" si="3"/>
        <v>0.1</v>
      </c>
      <c r="M17" s="3">
        <f t="shared" si="3"/>
        <v>0.1</v>
      </c>
      <c r="N17" s="3">
        <f t="shared" si="3"/>
        <v>0.1</v>
      </c>
      <c r="O17" s="3">
        <f t="shared" si="3"/>
        <v>0.1</v>
      </c>
      <c r="P17" s="3">
        <f t="shared" si="3"/>
        <v>0.1</v>
      </c>
    </row>
    <row r="18" spans="1:16">
      <c r="A18" s="84" t="s">
        <v>109</v>
      </c>
      <c r="B18" s="85" t="s">
        <v>108</v>
      </c>
      <c r="C18" s="85" t="s">
        <v>110</v>
      </c>
      <c r="D18" s="84" t="s">
        <v>84</v>
      </c>
      <c r="E18" s="84" t="str">
        <f>VLOOKUP(A18,'2a. SI Pop'!$A$5:$E$198,5,FALSE)</f>
        <v>Key</v>
      </c>
      <c r="F18" s="3">
        <f>VLOOKUP(A18,Input!$G$5:$L$24,5,FALSE)</f>
        <v>0.1</v>
      </c>
      <c r="G18" s="3">
        <f t="shared" si="3"/>
        <v>0.1</v>
      </c>
      <c r="H18" s="3">
        <f t="shared" si="3"/>
        <v>0.1</v>
      </c>
      <c r="I18" s="3">
        <f t="shared" si="3"/>
        <v>0.1</v>
      </c>
      <c r="J18" s="3">
        <f t="shared" si="3"/>
        <v>0.1</v>
      </c>
      <c r="K18" s="3">
        <f t="shared" si="3"/>
        <v>0.1</v>
      </c>
      <c r="L18" s="3">
        <f t="shared" si="3"/>
        <v>0.1</v>
      </c>
      <c r="M18" s="3">
        <f t="shared" si="3"/>
        <v>0.1</v>
      </c>
      <c r="N18" s="3">
        <f t="shared" si="3"/>
        <v>0.1</v>
      </c>
      <c r="O18" s="3">
        <f t="shared" si="3"/>
        <v>0.1</v>
      </c>
      <c r="P18" s="3">
        <f t="shared" si="3"/>
        <v>0.1</v>
      </c>
    </row>
    <row r="19" spans="1:16">
      <c r="A19" s="84" t="s">
        <v>112</v>
      </c>
      <c r="B19" s="85" t="s">
        <v>111</v>
      </c>
      <c r="C19" s="85" t="s">
        <v>92</v>
      </c>
      <c r="D19" s="84" t="s">
        <v>87</v>
      </c>
      <c r="E19" s="84">
        <f>VLOOKUP(A19,'2a. SI Pop'!$A$5:$E$198,5,FALSE)</f>
        <v>1</v>
      </c>
      <c r="F19" s="3">
        <f>VLOOKUP(E19,Input!$G$5:$L$24,5,FALSE)</f>
        <v>0.1</v>
      </c>
      <c r="G19" s="3">
        <f t="shared" si="3"/>
        <v>0.1</v>
      </c>
      <c r="H19" s="3">
        <f t="shared" si="3"/>
        <v>0.1</v>
      </c>
      <c r="I19" s="3">
        <f t="shared" si="3"/>
        <v>0.1</v>
      </c>
      <c r="J19" s="3">
        <f t="shared" si="3"/>
        <v>0.1</v>
      </c>
      <c r="K19" s="3">
        <f t="shared" si="3"/>
        <v>0.1</v>
      </c>
      <c r="L19" s="3">
        <f t="shared" si="3"/>
        <v>0.1</v>
      </c>
      <c r="M19" s="3">
        <f t="shared" si="3"/>
        <v>0.1</v>
      </c>
      <c r="N19" s="3">
        <f t="shared" si="3"/>
        <v>0.1</v>
      </c>
      <c r="O19" s="3">
        <f t="shared" si="3"/>
        <v>0.1</v>
      </c>
      <c r="P19" s="3">
        <f t="shared" si="3"/>
        <v>0.1</v>
      </c>
    </row>
    <row r="20" spans="1:16">
      <c r="A20" s="84" t="s">
        <v>114</v>
      </c>
      <c r="B20" s="85" t="s">
        <v>113</v>
      </c>
      <c r="C20" s="85" t="s">
        <v>79</v>
      </c>
      <c r="D20" s="84" t="s">
        <v>80</v>
      </c>
      <c r="E20" s="84">
        <f>VLOOKUP(A20,'2a. SI Pop'!$A$5:$E$198,5,FALSE)</f>
        <v>2</v>
      </c>
      <c r="F20" s="3">
        <f>VLOOKUP(E20,Input!$G$5:$L$24,5,FALSE)</f>
        <v>0.1</v>
      </c>
      <c r="G20" s="3">
        <f t="shared" si="3"/>
        <v>0.1</v>
      </c>
      <c r="H20" s="3">
        <f t="shared" si="3"/>
        <v>0.1</v>
      </c>
      <c r="I20" s="3">
        <f t="shared" si="3"/>
        <v>0.1</v>
      </c>
      <c r="J20" s="3">
        <f t="shared" si="3"/>
        <v>0.1</v>
      </c>
      <c r="K20" s="3">
        <f t="shared" si="3"/>
        <v>0.1</v>
      </c>
      <c r="L20" s="3">
        <f t="shared" si="3"/>
        <v>0.1</v>
      </c>
      <c r="M20" s="3">
        <f t="shared" si="3"/>
        <v>0.1</v>
      </c>
      <c r="N20" s="3">
        <f t="shared" si="3"/>
        <v>0.1</v>
      </c>
      <c r="O20" s="3">
        <f t="shared" si="3"/>
        <v>0.1</v>
      </c>
      <c r="P20" s="3">
        <f t="shared" si="3"/>
        <v>0.1</v>
      </c>
    </row>
    <row r="21" spans="1:16">
      <c r="A21" s="84" t="s">
        <v>116</v>
      </c>
      <c r="B21" s="85" t="s">
        <v>115</v>
      </c>
      <c r="C21" s="85" t="s">
        <v>79</v>
      </c>
      <c r="D21" s="84" t="s">
        <v>87</v>
      </c>
      <c r="E21" s="84">
        <f>VLOOKUP(A21,'2a. SI Pop'!$A$5:$E$198,5,FALSE)</f>
        <v>1</v>
      </c>
      <c r="F21" s="3">
        <f>VLOOKUP(E21,Input!$G$5:$L$24,5,FALSE)</f>
        <v>0.1</v>
      </c>
      <c r="G21" s="3">
        <f t="shared" si="3"/>
        <v>0.1</v>
      </c>
      <c r="H21" s="3">
        <f t="shared" si="3"/>
        <v>0.1</v>
      </c>
      <c r="I21" s="3">
        <f t="shared" si="3"/>
        <v>0.1</v>
      </c>
      <c r="J21" s="3">
        <f t="shared" si="3"/>
        <v>0.1</v>
      </c>
      <c r="K21" s="3">
        <f t="shared" si="3"/>
        <v>0.1</v>
      </c>
      <c r="L21" s="3">
        <f t="shared" si="3"/>
        <v>0.1</v>
      </c>
      <c r="M21" s="3">
        <f t="shared" si="3"/>
        <v>0.1</v>
      </c>
      <c r="N21" s="3">
        <f t="shared" si="3"/>
        <v>0.1</v>
      </c>
      <c r="O21" s="3">
        <f t="shared" si="3"/>
        <v>0.1</v>
      </c>
      <c r="P21" s="3">
        <f t="shared" si="3"/>
        <v>0.1</v>
      </c>
    </row>
    <row r="22" spans="1:16">
      <c r="A22" s="84" t="s">
        <v>118</v>
      </c>
      <c r="B22" s="85" t="s">
        <v>117</v>
      </c>
      <c r="C22" s="85" t="s">
        <v>92</v>
      </c>
      <c r="D22" s="84" t="s">
        <v>80</v>
      </c>
      <c r="E22" s="84">
        <f>VLOOKUP(A22,'2a. SI Pop'!$A$5:$E$198,5,FALSE)</f>
        <v>1</v>
      </c>
      <c r="F22" s="3">
        <f>VLOOKUP(E22,Input!$G$5:$L$24,5,FALSE)</f>
        <v>0.1</v>
      </c>
      <c r="G22" s="3">
        <f t="shared" ref="G22:P37" si="4">F22</f>
        <v>0.1</v>
      </c>
      <c r="H22" s="3">
        <f t="shared" si="4"/>
        <v>0.1</v>
      </c>
      <c r="I22" s="3">
        <f t="shared" si="4"/>
        <v>0.1</v>
      </c>
      <c r="J22" s="3">
        <f t="shared" si="4"/>
        <v>0.1</v>
      </c>
      <c r="K22" s="3">
        <f t="shared" si="4"/>
        <v>0.1</v>
      </c>
      <c r="L22" s="3">
        <f t="shared" si="4"/>
        <v>0.1</v>
      </c>
      <c r="M22" s="3">
        <f t="shared" si="4"/>
        <v>0.1</v>
      </c>
      <c r="N22" s="3">
        <f t="shared" si="4"/>
        <v>0.1</v>
      </c>
      <c r="O22" s="3">
        <f t="shared" si="4"/>
        <v>0.1</v>
      </c>
      <c r="P22" s="3">
        <f t="shared" si="4"/>
        <v>0.1</v>
      </c>
    </row>
    <row r="23" spans="1:16">
      <c r="A23" s="84" t="s">
        <v>120</v>
      </c>
      <c r="B23" s="85" t="s">
        <v>119</v>
      </c>
      <c r="C23" s="85" t="s">
        <v>83</v>
      </c>
      <c r="D23" s="84" t="s">
        <v>84</v>
      </c>
      <c r="E23" s="84">
        <f>VLOOKUP(A23,'2a. SI Pop'!$A$5:$E$198,5,FALSE)</f>
        <v>3</v>
      </c>
      <c r="F23" s="3">
        <f>VLOOKUP(E23,Input!$G$5:$L$24,5,FALSE)</f>
        <v>0.1</v>
      </c>
      <c r="G23" s="3">
        <f t="shared" si="4"/>
        <v>0.1</v>
      </c>
      <c r="H23" s="3">
        <f t="shared" si="4"/>
        <v>0.1</v>
      </c>
      <c r="I23" s="3">
        <f t="shared" si="4"/>
        <v>0.1</v>
      </c>
      <c r="J23" s="3">
        <f t="shared" si="4"/>
        <v>0.1</v>
      </c>
      <c r="K23" s="3">
        <f t="shared" si="4"/>
        <v>0.1</v>
      </c>
      <c r="L23" s="3">
        <f t="shared" si="4"/>
        <v>0.1</v>
      </c>
      <c r="M23" s="3">
        <f t="shared" si="4"/>
        <v>0.1</v>
      </c>
      <c r="N23" s="3">
        <f t="shared" si="4"/>
        <v>0.1</v>
      </c>
      <c r="O23" s="3">
        <f t="shared" si="4"/>
        <v>0.1</v>
      </c>
      <c r="P23" s="3">
        <f t="shared" si="4"/>
        <v>0.1</v>
      </c>
    </row>
    <row r="24" spans="1:16">
      <c r="A24" s="84" t="s">
        <v>122</v>
      </c>
      <c r="B24" s="85" t="s">
        <v>121</v>
      </c>
      <c r="C24" s="85" t="s">
        <v>110</v>
      </c>
      <c r="D24" s="84" t="s">
        <v>84</v>
      </c>
      <c r="E24" s="84">
        <f>VLOOKUP(A24,'2a. SI Pop'!$A$5:$E$198,5,FALSE)</f>
        <v>2</v>
      </c>
      <c r="F24" s="3">
        <f>VLOOKUP(E24,Input!$G$5:$L$24,5,FALSE)</f>
        <v>0.1</v>
      </c>
      <c r="G24" s="3">
        <f t="shared" si="4"/>
        <v>0.1</v>
      </c>
      <c r="H24" s="3">
        <f t="shared" si="4"/>
        <v>0.1</v>
      </c>
      <c r="I24" s="3">
        <f t="shared" si="4"/>
        <v>0.1</v>
      </c>
      <c r="J24" s="3">
        <f t="shared" si="4"/>
        <v>0.1</v>
      </c>
      <c r="K24" s="3">
        <f t="shared" si="4"/>
        <v>0.1</v>
      </c>
      <c r="L24" s="3">
        <f t="shared" si="4"/>
        <v>0.1</v>
      </c>
      <c r="M24" s="3">
        <f t="shared" si="4"/>
        <v>0.1</v>
      </c>
      <c r="N24" s="3">
        <f t="shared" si="4"/>
        <v>0.1</v>
      </c>
      <c r="O24" s="3">
        <f t="shared" si="4"/>
        <v>0.1</v>
      </c>
      <c r="P24" s="3">
        <f t="shared" si="4"/>
        <v>0.1</v>
      </c>
    </row>
    <row r="25" spans="1:16">
      <c r="A25" s="84" t="s">
        <v>124</v>
      </c>
      <c r="B25" s="85" t="s">
        <v>123</v>
      </c>
      <c r="C25" s="85" t="s">
        <v>92</v>
      </c>
      <c r="D25" s="84" t="s">
        <v>84</v>
      </c>
      <c r="E25" s="84">
        <f>VLOOKUP(A25,'2a. SI Pop'!$A$5:$E$198,5,FALSE)</f>
        <v>2</v>
      </c>
      <c r="F25" s="3">
        <f>VLOOKUP(E25,Input!$G$5:$L$24,5,FALSE)</f>
        <v>0.1</v>
      </c>
      <c r="G25" s="3">
        <f t="shared" si="4"/>
        <v>0.1</v>
      </c>
      <c r="H25" s="3">
        <f t="shared" si="4"/>
        <v>0.1</v>
      </c>
      <c r="I25" s="3">
        <f t="shared" si="4"/>
        <v>0.1</v>
      </c>
      <c r="J25" s="3">
        <f t="shared" si="4"/>
        <v>0.1</v>
      </c>
      <c r="K25" s="3">
        <f t="shared" si="4"/>
        <v>0.1</v>
      </c>
      <c r="L25" s="3">
        <f t="shared" si="4"/>
        <v>0.1</v>
      </c>
      <c r="M25" s="3">
        <f t="shared" si="4"/>
        <v>0.1</v>
      </c>
      <c r="N25" s="3">
        <f t="shared" si="4"/>
        <v>0.1</v>
      </c>
      <c r="O25" s="3">
        <f t="shared" si="4"/>
        <v>0.1</v>
      </c>
      <c r="P25" s="3">
        <f t="shared" si="4"/>
        <v>0.1</v>
      </c>
    </row>
    <row r="26" spans="1:16">
      <c r="A26" s="84" t="s">
        <v>126</v>
      </c>
      <c r="B26" s="85" t="s">
        <v>125</v>
      </c>
      <c r="C26" s="85" t="s">
        <v>79</v>
      </c>
      <c r="D26" s="84" t="s">
        <v>80</v>
      </c>
      <c r="E26" s="84">
        <f>VLOOKUP(A26,'2a. SI Pop'!$A$5:$E$198,5,FALSE)</f>
        <v>1</v>
      </c>
      <c r="F26" s="3">
        <f>VLOOKUP(E26,Input!$G$5:$L$24,5,FALSE)</f>
        <v>0.1</v>
      </c>
      <c r="G26" s="3">
        <f t="shared" si="4"/>
        <v>0.1</v>
      </c>
      <c r="H26" s="3">
        <f t="shared" si="4"/>
        <v>0.1</v>
      </c>
      <c r="I26" s="3">
        <f t="shared" si="4"/>
        <v>0.1</v>
      </c>
      <c r="J26" s="3">
        <f t="shared" si="4"/>
        <v>0.1</v>
      </c>
      <c r="K26" s="3">
        <f t="shared" si="4"/>
        <v>0.1</v>
      </c>
      <c r="L26" s="3">
        <f t="shared" si="4"/>
        <v>0.1</v>
      </c>
      <c r="M26" s="3">
        <f t="shared" si="4"/>
        <v>0.1</v>
      </c>
      <c r="N26" s="3">
        <f t="shared" si="4"/>
        <v>0.1</v>
      </c>
      <c r="O26" s="3">
        <f t="shared" si="4"/>
        <v>0.1</v>
      </c>
      <c r="P26" s="3">
        <f t="shared" si="4"/>
        <v>0.1</v>
      </c>
    </row>
    <row r="27" spans="1:16">
      <c r="A27" s="84" t="s">
        <v>128</v>
      </c>
      <c r="B27" s="85" t="s">
        <v>127</v>
      </c>
      <c r="C27" s="85" t="s">
        <v>83</v>
      </c>
      <c r="D27" s="84" t="s">
        <v>80</v>
      </c>
      <c r="E27" s="84">
        <f>VLOOKUP(A27,'2a. SI Pop'!$A$5:$E$198,5,FALSE)</f>
        <v>2</v>
      </c>
      <c r="F27" s="3">
        <f>VLOOKUP(E27,Input!$G$5:$L$24,5,FALSE)</f>
        <v>0.1</v>
      </c>
      <c r="G27" s="3">
        <f t="shared" si="4"/>
        <v>0.1</v>
      </c>
      <c r="H27" s="3">
        <f t="shared" si="4"/>
        <v>0.1</v>
      </c>
      <c r="I27" s="3">
        <f t="shared" si="4"/>
        <v>0.1</v>
      </c>
      <c r="J27" s="3">
        <f t="shared" si="4"/>
        <v>0.1</v>
      </c>
      <c r="K27" s="3">
        <f t="shared" si="4"/>
        <v>0.1</v>
      </c>
      <c r="L27" s="3">
        <f t="shared" si="4"/>
        <v>0.1</v>
      </c>
      <c r="M27" s="3">
        <f t="shared" si="4"/>
        <v>0.1</v>
      </c>
      <c r="N27" s="3">
        <f t="shared" si="4"/>
        <v>0.1</v>
      </c>
      <c r="O27" s="3">
        <f t="shared" si="4"/>
        <v>0.1</v>
      </c>
      <c r="P27" s="3">
        <f t="shared" si="4"/>
        <v>0.1</v>
      </c>
    </row>
    <row r="28" spans="1:16">
      <c r="A28" s="84" t="s">
        <v>130</v>
      </c>
      <c r="B28" s="85" t="s">
        <v>129</v>
      </c>
      <c r="C28" s="85" t="s">
        <v>92</v>
      </c>
      <c r="D28" s="84" t="s">
        <v>80</v>
      </c>
      <c r="E28" s="84" t="str">
        <f>VLOOKUP(A28,'2a. SI Pop'!$A$5:$E$198,5,FALSE)</f>
        <v>Key</v>
      </c>
      <c r="F28" s="3">
        <f>VLOOKUP(A28,Input!$G$5:$L$24,5,FALSE)</f>
        <v>0.1</v>
      </c>
      <c r="G28" s="3">
        <f t="shared" si="4"/>
        <v>0.1</v>
      </c>
      <c r="H28" s="3">
        <f t="shared" si="4"/>
        <v>0.1</v>
      </c>
      <c r="I28" s="3">
        <f t="shared" si="4"/>
        <v>0.1</v>
      </c>
      <c r="J28" s="3">
        <f t="shared" si="4"/>
        <v>0.1</v>
      </c>
      <c r="K28" s="3">
        <f t="shared" si="4"/>
        <v>0.1</v>
      </c>
      <c r="L28" s="3">
        <f t="shared" si="4"/>
        <v>0.1</v>
      </c>
      <c r="M28" s="3">
        <f t="shared" si="4"/>
        <v>0.1</v>
      </c>
      <c r="N28" s="3">
        <f t="shared" si="4"/>
        <v>0.1</v>
      </c>
      <c r="O28" s="3">
        <f t="shared" si="4"/>
        <v>0.1</v>
      </c>
      <c r="P28" s="3">
        <f t="shared" si="4"/>
        <v>0.1</v>
      </c>
    </row>
    <row r="29" spans="1:16">
      <c r="A29" s="84" t="s">
        <v>132</v>
      </c>
      <c r="B29" s="85" t="s">
        <v>131</v>
      </c>
      <c r="C29" s="85" t="s">
        <v>99</v>
      </c>
      <c r="D29" s="84" t="s">
        <v>87</v>
      </c>
      <c r="E29" s="84">
        <f>VLOOKUP(A29,'2a. SI Pop'!$A$5:$E$198,5,FALSE)</f>
        <v>1</v>
      </c>
      <c r="F29" s="3">
        <f>VLOOKUP(E29,Input!$G$5:$L$24,5,FALSE)</f>
        <v>0.1</v>
      </c>
      <c r="G29" s="3">
        <f t="shared" si="4"/>
        <v>0.1</v>
      </c>
      <c r="H29" s="3">
        <f t="shared" si="4"/>
        <v>0.1</v>
      </c>
      <c r="I29" s="3">
        <f t="shared" si="4"/>
        <v>0.1</v>
      </c>
      <c r="J29" s="3">
        <f t="shared" si="4"/>
        <v>0.1</v>
      </c>
      <c r="K29" s="3">
        <f t="shared" si="4"/>
        <v>0.1</v>
      </c>
      <c r="L29" s="3">
        <f t="shared" si="4"/>
        <v>0.1</v>
      </c>
      <c r="M29" s="3">
        <f t="shared" si="4"/>
        <v>0.1</v>
      </c>
      <c r="N29" s="3">
        <f t="shared" si="4"/>
        <v>0.1</v>
      </c>
      <c r="O29" s="3">
        <f t="shared" si="4"/>
        <v>0.1</v>
      </c>
      <c r="P29" s="3">
        <f t="shared" si="4"/>
        <v>0.1</v>
      </c>
    </row>
    <row r="30" spans="1:16">
      <c r="A30" s="84" t="s">
        <v>134</v>
      </c>
      <c r="B30" s="85" t="s">
        <v>133</v>
      </c>
      <c r="C30" s="85" t="s">
        <v>79</v>
      </c>
      <c r="D30" s="84" t="s">
        <v>80</v>
      </c>
      <c r="E30" s="84">
        <f>VLOOKUP(A30,'2a. SI Pop'!$A$5:$E$198,5,FALSE)</f>
        <v>1</v>
      </c>
      <c r="F30" s="3">
        <f>VLOOKUP(E30,Input!$G$5:$L$24,5,FALSE)</f>
        <v>0.1</v>
      </c>
      <c r="G30" s="3">
        <f t="shared" si="4"/>
        <v>0.1</v>
      </c>
      <c r="H30" s="3">
        <f t="shared" si="4"/>
        <v>0.1</v>
      </c>
      <c r="I30" s="3">
        <f t="shared" si="4"/>
        <v>0.1</v>
      </c>
      <c r="J30" s="3">
        <f t="shared" si="4"/>
        <v>0.1</v>
      </c>
      <c r="K30" s="3">
        <f t="shared" si="4"/>
        <v>0.1</v>
      </c>
      <c r="L30" s="3">
        <f t="shared" si="4"/>
        <v>0.1</v>
      </c>
      <c r="M30" s="3">
        <f t="shared" si="4"/>
        <v>0.1</v>
      </c>
      <c r="N30" s="3">
        <f t="shared" si="4"/>
        <v>0.1</v>
      </c>
      <c r="O30" s="3">
        <f t="shared" si="4"/>
        <v>0.1</v>
      </c>
      <c r="P30" s="3">
        <f t="shared" si="4"/>
        <v>0.1</v>
      </c>
    </row>
    <row r="31" spans="1:16">
      <c r="A31" s="84" t="s">
        <v>136</v>
      </c>
      <c r="B31" s="85" t="s">
        <v>135</v>
      </c>
      <c r="C31" s="85" t="s">
        <v>83</v>
      </c>
      <c r="D31" s="84" t="s">
        <v>75</v>
      </c>
      <c r="E31" s="84">
        <f>VLOOKUP(A31,'2a. SI Pop'!$A$5:$E$198,5,FALSE)</f>
        <v>3</v>
      </c>
      <c r="F31" s="3">
        <f>VLOOKUP(E31,Input!$G$5:$L$24,5,FALSE)</f>
        <v>0.1</v>
      </c>
      <c r="G31" s="3">
        <f t="shared" si="4"/>
        <v>0.1</v>
      </c>
      <c r="H31" s="3">
        <f t="shared" si="4"/>
        <v>0.1</v>
      </c>
      <c r="I31" s="3">
        <f t="shared" si="4"/>
        <v>0.1</v>
      </c>
      <c r="J31" s="3">
        <f t="shared" si="4"/>
        <v>0.1</v>
      </c>
      <c r="K31" s="3">
        <f t="shared" si="4"/>
        <v>0.1</v>
      </c>
      <c r="L31" s="3">
        <f t="shared" si="4"/>
        <v>0.1</v>
      </c>
      <c r="M31" s="3">
        <f t="shared" si="4"/>
        <v>0.1</v>
      </c>
      <c r="N31" s="3">
        <f t="shared" si="4"/>
        <v>0.1</v>
      </c>
      <c r="O31" s="3">
        <f t="shared" si="4"/>
        <v>0.1</v>
      </c>
      <c r="P31" s="3">
        <f t="shared" si="4"/>
        <v>0.1</v>
      </c>
    </row>
    <row r="32" spans="1:16">
      <c r="A32" s="84" t="s">
        <v>138</v>
      </c>
      <c r="B32" s="85" t="s">
        <v>137</v>
      </c>
      <c r="C32" s="85" t="s">
        <v>83</v>
      </c>
      <c r="D32" s="84" t="s">
        <v>75</v>
      </c>
      <c r="E32" s="84">
        <f>VLOOKUP(A32,'2a. SI Pop'!$A$5:$E$198,5,FALSE)</f>
        <v>3</v>
      </c>
      <c r="F32" s="3">
        <f>VLOOKUP(E32,Input!$G$5:$L$24,5,FALSE)</f>
        <v>0.1</v>
      </c>
      <c r="G32" s="3">
        <f t="shared" si="4"/>
        <v>0.1</v>
      </c>
      <c r="H32" s="3">
        <f t="shared" si="4"/>
        <v>0.1</v>
      </c>
      <c r="I32" s="3">
        <f t="shared" si="4"/>
        <v>0.1</v>
      </c>
      <c r="J32" s="3">
        <f t="shared" si="4"/>
        <v>0.1</v>
      </c>
      <c r="K32" s="3">
        <f t="shared" si="4"/>
        <v>0.1</v>
      </c>
      <c r="L32" s="3">
        <f t="shared" si="4"/>
        <v>0.1</v>
      </c>
      <c r="M32" s="3">
        <f t="shared" si="4"/>
        <v>0.1</v>
      </c>
      <c r="N32" s="3">
        <f t="shared" si="4"/>
        <v>0.1</v>
      </c>
      <c r="O32" s="3">
        <f t="shared" si="4"/>
        <v>0.1</v>
      </c>
      <c r="P32" s="3">
        <f t="shared" si="4"/>
        <v>0.1</v>
      </c>
    </row>
    <row r="33" spans="1:16">
      <c r="A33" s="84" t="s">
        <v>140</v>
      </c>
      <c r="B33" s="85" t="s">
        <v>139</v>
      </c>
      <c r="C33" s="85" t="s">
        <v>99</v>
      </c>
      <c r="D33" s="84" t="s">
        <v>84</v>
      </c>
      <c r="E33" s="84">
        <f>VLOOKUP(A33,'2a. SI Pop'!$A$5:$E$198,5,FALSE)</f>
        <v>4</v>
      </c>
      <c r="F33" s="3">
        <f>VLOOKUP(E33,Input!$G$5:$L$24,5,FALSE)</f>
        <v>0.1</v>
      </c>
      <c r="G33" s="3">
        <f t="shared" si="4"/>
        <v>0.1</v>
      </c>
      <c r="H33" s="3">
        <f t="shared" si="4"/>
        <v>0.1</v>
      </c>
      <c r="I33" s="3">
        <f t="shared" si="4"/>
        <v>0.1</v>
      </c>
      <c r="J33" s="3">
        <f t="shared" si="4"/>
        <v>0.1</v>
      </c>
      <c r="K33" s="3">
        <f t="shared" si="4"/>
        <v>0.1</v>
      </c>
      <c r="L33" s="3">
        <f t="shared" si="4"/>
        <v>0.1</v>
      </c>
      <c r="M33" s="3">
        <f t="shared" si="4"/>
        <v>0.1</v>
      </c>
      <c r="N33" s="3">
        <f t="shared" si="4"/>
        <v>0.1</v>
      </c>
      <c r="O33" s="3">
        <f t="shared" si="4"/>
        <v>0.1</v>
      </c>
      <c r="P33" s="3">
        <f t="shared" si="4"/>
        <v>0.1</v>
      </c>
    </row>
    <row r="34" spans="1:16">
      <c r="A34" s="84" t="s">
        <v>142</v>
      </c>
      <c r="B34" s="85" t="s">
        <v>141</v>
      </c>
      <c r="C34" s="85" t="s">
        <v>83</v>
      </c>
      <c r="D34" s="84" t="s">
        <v>84</v>
      </c>
      <c r="E34" s="84">
        <f>VLOOKUP(A34,'2a. SI Pop'!$A$5:$E$198,5,FALSE)</f>
        <v>3</v>
      </c>
      <c r="F34" s="3">
        <f>VLOOKUP(E34,Input!$G$5:$L$24,5,FALSE)</f>
        <v>0.1</v>
      </c>
      <c r="G34" s="3">
        <f t="shared" si="4"/>
        <v>0.1</v>
      </c>
      <c r="H34" s="3">
        <f t="shared" si="4"/>
        <v>0.1</v>
      </c>
      <c r="I34" s="3">
        <f t="shared" si="4"/>
        <v>0.1</v>
      </c>
      <c r="J34" s="3">
        <f t="shared" si="4"/>
        <v>0.1</v>
      </c>
      <c r="K34" s="3">
        <f t="shared" si="4"/>
        <v>0.1</v>
      </c>
      <c r="L34" s="3">
        <f t="shared" si="4"/>
        <v>0.1</v>
      </c>
      <c r="M34" s="3">
        <f t="shared" si="4"/>
        <v>0.1</v>
      </c>
      <c r="N34" s="3">
        <f t="shared" si="4"/>
        <v>0.1</v>
      </c>
      <c r="O34" s="3">
        <f t="shared" si="4"/>
        <v>0.1</v>
      </c>
      <c r="P34" s="3">
        <f t="shared" si="4"/>
        <v>0.1</v>
      </c>
    </row>
    <row r="35" spans="1:16">
      <c r="A35" s="84" t="s">
        <v>144</v>
      </c>
      <c r="B35" s="85" t="s">
        <v>143</v>
      </c>
      <c r="C35" s="85" t="s">
        <v>92</v>
      </c>
      <c r="D35" s="84" t="s">
        <v>87</v>
      </c>
      <c r="E35" s="84">
        <f>VLOOKUP(A35,'2a. SI Pop'!$A$5:$E$198,5,FALSE)</f>
        <v>1</v>
      </c>
      <c r="F35" s="3">
        <f>VLOOKUP(E35,Input!$G$5:$L$24,5,FALSE)</f>
        <v>0.1</v>
      </c>
      <c r="G35" s="3">
        <f t="shared" si="4"/>
        <v>0.1</v>
      </c>
      <c r="H35" s="3">
        <f t="shared" si="4"/>
        <v>0.1</v>
      </c>
      <c r="I35" s="3">
        <f t="shared" si="4"/>
        <v>0.1</v>
      </c>
      <c r="J35" s="3">
        <f t="shared" si="4"/>
        <v>0.1</v>
      </c>
      <c r="K35" s="3">
        <f t="shared" si="4"/>
        <v>0.1</v>
      </c>
      <c r="L35" s="3">
        <f t="shared" si="4"/>
        <v>0.1</v>
      </c>
      <c r="M35" s="3">
        <f t="shared" si="4"/>
        <v>0.1</v>
      </c>
      <c r="N35" s="3">
        <f t="shared" si="4"/>
        <v>0.1</v>
      </c>
      <c r="O35" s="3">
        <f t="shared" si="4"/>
        <v>0.1</v>
      </c>
      <c r="P35" s="3">
        <f t="shared" si="4"/>
        <v>0.1</v>
      </c>
    </row>
    <row r="36" spans="1:16">
      <c r="A36" s="84" t="s">
        <v>146</v>
      </c>
      <c r="B36" s="85" t="s">
        <v>145</v>
      </c>
      <c r="C36" s="85" t="s">
        <v>83</v>
      </c>
      <c r="D36" s="84" t="s">
        <v>84</v>
      </c>
      <c r="E36" s="84">
        <f>VLOOKUP(A36,'2a. SI Pop'!$A$5:$E$198,5,FALSE)</f>
        <v>2</v>
      </c>
      <c r="F36" s="3">
        <f>VLOOKUP(E36,Input!$G$5:$L$24,5,FALSE)</f>
        <v>0.1</v>
      </c>
      <c r="G36" s="3">
        <f t="shared" si="4"/>
        <v>0.1</v>
      </c>
      <c r="H36" s="3">
        <f t="shared" si="4"/>
        <v>0.1</v>
      </c>
      <c r="I36" s="3">
        <f t="shared" si="4"/>
        <v>0.1</v>
      </c>
      <c r="J36" s="3">
        <f t="shared" si="4"/>
        <v>0.1</v>
      </c>
      <c r="K36" s="3">
        <f t="shared" si="4"/>
        <v>0.1</v>
      </c>
      <c r="L36" s="3">
        <f t="shared" si="4"/>
        <v>0.1</v>
      </c>
      <c r="M36" s="3">
        <f t="shared" si="4"/>
        <v>0.1</v>
      </c>
      <c r="N36" s="3">
        <f t="shared" si="4"/>
        <v>0.1</v>
      </c>
      <c r="O36" s="3">
        <f t="shared" si="4"/>
        <v>0.1</v>
      </c>
      <c r="P36" s="3">
        <f t="shared" si="4"/>
        <v>0.1</v>
      </c>
    </row>
    <row r="37" spans="1:16">
      <c r="A37" s="84" t="s">
        <v>148</v>
      </c>
      <c r="B37" s="85" t="s">
        <v>147</v>
      </c>
      <c r="C37" s="85" t="s">
        <v>83</v>
      </c>
      <c r="D37" s="84" t="s">
        <v>75</v>
      </c>
      <c r="E37" s="84">
        <f>VLOOKUP(A37,'2a. SI Pop'!$A$5:$E$198,5,FALSE)</f>
        <v>3</v>
      </c>
      <c r="F37" s="3">
        <f>VLOOKUP(E37,Input!$G$5:$L$24,5,FALSE)</f>
        <v>0.1</v>
      </c>
      <c r="G37" s="3">
        <f t="shared" si="4"/>
        <v>0.1</v>
      </c>
      <c r="H37" s="3">
        <f t="shared" si="4"/>
        <v>0.1</v>
      </c>
      <c r="I37" s="3">
        <f t="shared" si="4"/>
        <v>0.1</v>
      </c>
      <c r="J37" s="3">
        <f t="shared" si="4"/>
        <v>0.1</v>
      </c>
      <c r="K37" s="3">
        <f t="shared" si="4"/>
        <v>0.1</v>
      </c>
      <c r="L37" s="3">
        <f t="shared" si="4"/>
        <v>0.1</v>
      </c>
      <c r="M37" s="3">
        <f t="shared" si="4"/>
        <v>0.1</v>
      </c>
      <c r="N37" s="3">
        <f t="shared" si="4"/>
        <v>0.1</v>
      </c>
      <c r="O37" s="3">
        <f t="shared" si="4"/>
        <v>0.1</v>
      </c>
      <c r="P37" s="3">
        <f t="shared" si="4"/>
        <v>0.1</v>
      </c>
    </row>
    <row r="38" spans="1:16">
      <c r="A38" s="84" t="s">
        <v>150</v>
      </c>
      <c r="B38" s="85" t="s">
        <v>149</v>
      </c>
      <c r="C38" s="85" t="s">
        <v>83</v>
      </c>
      <c r="D38" s="84" t="s">
        <v>75</v>
      </c>
      <c r="E38" s="84" t="str">
        <f>VLOOKUP(A38,'2a. SI Pop'!$A$5:$E$198,5,FALSE)</f>
        <v>Key</v>
      </c>
      <c r="F38" s="3">
        <f>VLOOKUP(A38,Input!$G$5:$L$24,5,FALSE)</f>
        <v>0.1</v>
      </c>
      <c r="G38" s="3">
        <f t="shared" ref="G38:P53" si="5">F38</f>
        <v>0.1</v>
      </c>
      <c r="H38" s="3">
        <f t="shared" si="5"/>
        <v>0.1</v>
      </c>
      <c r="I38" s="3">
        <f t="shared" si="5"/>
        <v>0.1</v>
      </c>
      <c r="J38" s="3">
        <f t="shared" si="5"/>
        <v>0.1</v>
      </c>
      <c r="K38" s="3">
        <f t="shared" si="5"/>
        <v>0.1</v>
      </c>
      <c r="L38" s="3">
        <f t="shared" si="5"/>
        <v>0.1</v>
      </c>
      <c r="M38" s="3">
        <f t="shared" si="5"/>
        <v>0.1</v>
      </c>
      <c r="N38" s="3">
        <f t="shared" si="5"/>
        <v>0.1</v>
      </c>
      <c r="O38" s="3">
        <f t="shared" si="5"/>
        <v>0.1</v>
      </c>
      <c r="P38" s="3">
        <f t="shared" si="5"/>
        <v>0.1</v>
      </c>
    </row>
    <row r="39" spans="1:16">
      <c r="A39" s="84" t="s">
        <v>152</v>
      </c>
      <c r="B39" s="85" t="s">
        <v>151</v>
      </c>
      <c r="C39" s="85" t="s">
        <v>92</v>
      </c>
      <c r="D39" s="84" t="s">
        <v>87</v>
      </c>
      <c r="E39" s="84">
        <f>VLOOKUP(A39,'2a. SI Pop'!$A$5:$E$198,5,FALSE)</f>
        <v>2</v>
      </c>
      <c r="F39" s="3">
        <f>VLOOKUP(E39,Input!$G$5:$L$24,5,FALSE)</f>
        <v>0.1</v>
      </c>
      <c r="G39" s="3">
        <f t="shared" si="5"/>
        <v>0.1</v>
      </c>
      <c r="H39" s="3">
        <f t="shared" si="5"/>
        <v>0.1</v>
      </c>
      <c r="I39" s="3">
        <f t="shared" si="5"/>
        <v>0.1</v>
      </c>
      <c r="J39" s="3">
        <f t="shared" si="5"/>
        <v>0.1</v>
      </c>
      <c r="K39" s="3">
        <f t="shared" si="5"/>
        <v>0.1</v>
      </c>
      <c r="L39" s="3">
        <f t="shared" si="5"/>
        <v>0.1</v>
      </c>
      <c r="M39" s="3">
        <f t="shared" si="5"/>
        <v>0.1</v>
      </c>
      <c r="N39" s="3">
        <f t="shared" si="5"/>
        <v>0.1</v>
      </c>
      <c r="O39" s="3">
        <f t="shared" si="5"/>
        <v>0.1</v>
      </c>
      <c r="P39" s="3">
        <f t="shared" si="5"/>
        <v>0.1</v>
      </c>
    </row>
    <row r="40" spans="1:16">
      <c r="A40" s="84" t="s">
        <v>154</v>
      </c>
      <c r="B40" s="85" t="s">
        <v>153</v>
      </c>
      <c r="C40" s="85" t="s">
        <v>99</v>
      </c>
      <c r="D40" s="84" t="s">
        <v>80</v>
      </c>
      <c r="E40" s="84">
        <f>VLOOKUP(A40,'2a. SI Pop'!$A$5:$E$198,5,FALSE)</f>
        <v>1</v>
      </c>
      <c r="F40" s="3">
        <f>VLOOKUP(E40,Input!$G$5:$L$24,5,FALSE)</f>
        <v>0.1</v>
      </c>
      <c r="G40" s="3">
        <f t="shared" si="5"/>
        <v>0.1</v>
      </c>
      <c r="H40" s="3">
        <f t="shared" si="5"/>
        <v>0.1</v>
      </c>
      <c r="I40" s="3">
        <f t="shared" si="5"/>
        <v>0.1</v>
      </c>
      <c r="J40" s="3">
        <f t="shared" si="5"/>
        <v>0.1</v>
      </c>
      <c r="K40" s="3">
        <f t="shared" si="5"/>
        <v>0.1</v>
      </c>
      <c r="L40" s="3">
        <f t="shared" si="5"/>
        <v>0.1</v>
      </c>
      <c r="M40" s="3">
        <f t="shared" si="5"/>
        <v>0.1</v>
      </c>
      <c r="N40" s="3">
        <f t="shared" si="5"/>
        <v>0.1</v>
      </c>
      <c r="O40" s="3">
        <f t="shared" si="5"/>
        <v>0.1</v>
      </c>
      <c r="P40" s="3">
        <f t="shared" si="5"/>
        <v>0.1</v>
      </c>
    </row>
    <row r="41" spans="1:16">
      <c r="A41" s="84" t="s">
        <v>156</v>
      </c>
      <c r="B41" s="85" t="s">
        <v>155</v>
      </c>
      <c r="C41" s="85" t="s">
        <v>92</v>
      </c>
      <c r="D41" s="84" t="s">
        <v>80</v>
      </c>
      <c r="E41" s="84">
        <f>VLOOKUP(A41,'2a. SI Pop'!$A$5:$E$198,5,FALSE)</f>
        <v>2</v>
      </c>
      <c r="F41" s="3">
        <f>VLOOKUP(E41,Input!$G$5:$L$24,5,FALSE)</f>
        <v>0.1</v>
      </c>
      <c r="G41" s="3">
        <f t="shared" si="5"/>
        <v>0.1</v>
      </c>
      <c r="H41" s="3">
        <f t="shared" si="5"/>
        <v>0.1</v>
      </c>
      <c r="I41" s="3">
        <f t="shared" si="5"/>
        <v>0.1</v>
      </c>
      <c r="J41" s="3">
        <f t="shared" si="5"/>
        <v>0.1</v>
      </c>
      <c r="K41" s="3">
        <f t="shared" si="5"/>
        <v>0.1</v>
      </c>
      <c r="L41" s="3">
        <f t="shared" si="5"/>
        <v>0.1</v>
      </c>
      <c r="M41" s="3">
        <f t="shared" si="5"/>
        <v>0.1</v>
      </c>
      <c r="N41" s="3">
        <f t="shared" si="5"/>
        <v>0.1</v>
      </c>
      <c r="O41" s="3">
        <f t="shared" si="5"/>
        <v>0.1</v>
      </c>
      <c r="P41" s="3">
        <f t="shared" si="5"/>
        <v>0.1</v>
      </c>
    </row>
    <row r="42" spans="1:16">
      <c r="A42" s="84" t="s">
        <v>158</v>
      </c>
      <c r="B42" s="85" t="s">
        <v>157</v>
      </c>
      <c r="C42" s="85" t="s">
        <v>83</v>
      </c>
      <c r="D42" s="84" t="s">
        <v>84</v>
      </c>
      <c r="E42" s="84">
        <f>VLOOKUP(A42,'2a. SI Pop'!$A$5:$E$198,5,FALSE)</f>
        <v>3</v>
      </c>
      <c r="F42" s="3">
        <f>VLOOKUP(E42,Input!$G$5:$L$24,5,FALSE)</f>
        <v>0.1</v>
      </c>
      <c r="G42" s="3">
        <f t="shared" si="5"/>
        <v>0.1</v>
      </c>
      <c r="H42" s="3">
        <f t="shared" si="5"/>
        <v>0.1</v>
      </c>
      <c r="I42" s="3">
        <f t="shared" si="5"/>
        <v>0.1</v>
      </c>
      <c r="J42" s="3">
        <f t="shared" si="5"/>
        <v>0.1</v>
      </c>
      <c r="K42" s="3">
        <f t="shared" si="5"/>
        <v>0.1</v>
      </c>
      <c r="L42" s="3">
        <f t="shared" si="5"/>
        <v>0.1</v>
      </c>
      <c r="M42" s="3">
        <f t="shared" si="5"/>
        <v>0.1</v>
      </c>
      <c r="N42" s="3">
        <f t="shared" si="5"/>
        <v>0.1</v>
      </c>
      <c r="O42" s="3">
        <f t="shared" si="5"/>
        <v>0.1</v>
      </c>
      <c r="P42" s="3">
        <f t="shared" si="5"/>
        <v>0.1</v>
      </c>
    </row>
    <row r="43" spans="1:16">
      <c r="A43" s="84" t="s">
        <v>160</v>
      </c>
      <c r="B43" s="85" t="s">
        <v>159</v>
      </c>
      <c r="C43" s="85" t="s">
        <v>83</v>
      </c>
      <c r="D43" s="84" t="s">
        <v>84</v>
      </c>
      <c r="E43" s="84">
        <f>VLOOKUP(A43,'2a. SI Pop'!$A$5:$E$198,5,FALSE)</f>
        <v>3</v>
      </c>
      <c r="F43" s="3">
        <f>VLOOKUP(E43,Input!$G$5:$L$24,5,FALSE)</f>
        <v>0.1</v>
      </c>
      <c r="G43" s="3">
        <f t="shared" si="5"/>
        <v>0.1</v>
      </c>
      <c r="H43" s="3">
        <f t="shared" si="5"/>
        <v>0.1</v>
      </c>
      <c r="I43" s="3">
        <f t="shared" si="5"/>
        <v>0.1</v>
      </c>
      <c r="J43" s="3">
        <f t="shared" si="5"/>
        <v>0.1</v>
      </c>
      <c r="K43" s="3">
        <f t="shared" si="5"/>
        <v>0.1</v>
      </c>
      <c r="L43" s="3">
        <f t="shared" si="5"/>
        <v>0.1</v>
      </c>
      <c r="M43" s="3">
        <f t="shared" si="5"/>
        <v>0.1</v>
      </c>
      <c r="N43" s="3">
        <f t="shared" si="5"/>
        <v>0.1</v>
      </c>
      <c r="O43" s="3">
        <f t="shared" si="5"/>
        <v>0.1</v>
      </c>
      <c r="P43" s="3">
        <f t="shared" si="5"/>
        <v>0.1</v>
      </c>
    </row>
    <row r="44" spans="1:16">
      <c r="A44" s="84" t="s">
        <v>162</v>
      </c>
      <c r="B44" s="85" t="s">
        <v>161</v>
      </c>
      <c r="C44" s="85" t="s">
        <v>99</v>
      </c>
      <c r="D44" s="84" t="e">
        <v>#N/A</v>
      </c>
      <c r="E44" s="84">
        <f>VLOOKUP(A44,'2a. SI Pop'!$A$5:$E$198,5,FALSE)</f>
        <v>1</v>
      </c>
      <c r="F44" s="3">
        <f>VLOOKUP(E44,Input!$G$5:$L$24,5,FALSE)</f>
        <v>0.1</v>
      </c>
      <c r="G44" s="3">
        <f t="shared" ref="G44:P44" si="6">F44</f>
        <v>0.1</v>
      </c>
      <c r="H44" s="3">
        <f t="shared" si="6"/>
        <v>0.1</v>
      </c>
      <c r="I44" s="3">
        <f t="shared" si="6"/>
        <v>0.1</v>
      </c>
      <c r="J44" s="3">
        <f t="shared" si="6"/>
        <v>0.1</v>
      </c>
      <c r="K44" s="3">
        <f t="shared" si="6"/>
        <v>0.1</v>
      </c>
      <c r="L44" s="3">
        <f t="shared" si="6"/>
        <v>0.1</v>
      </c>
      <c r="M44" s="3">
        <f t="shared" si="6"/>
        <v>0.1</v>
      </c>
      <c r="N44" s="3">
        <f t="shared" si="6"/>
        <v>0.1</v>
      </c>
      <c r="O44" s="3">
        <f t="shared" si="6"/>
        <v>0.1</v>
      </c>
      <c r="P44" s="3">
        <f t="shared" si="6"/>
        <v>0.1</v>
      </c>
    </row>
    <row r="45" spans="1:16">
      <c r="A45" s="84" t="s">
        <v>164</v>
      </c>
      <c r="B45" s="85" t="s">
        <v>163</v>
      </c>
      <c r="C45" s="85" t="s">
        <v>92</v>
      </c>
      <c r="D45" s="84" t="s">
        <v>80</v>
      </c>
      <c r="E45" s="84">
        <f>VLOOKUP(A45,'2a. SI Pop'!$A$5:$E$198,5,FALSE)</f>
        <v>2</v>
      </c>
      <c r="F45" s="3">
        <f>VLOOKUP(E45,Input!$G$5:$L$24,5,FALSE)</f>
        <v>0.1</v>
      </c>
      <c r="G45" s="3">
        <f t="shared" si="5"/>
        <v>0.1</v>
      </c>
      <c r="H45" s="3">
        <f t="shared" si="5"/>
        <v>0.1</v>
      </c>
      <c r="I45" s="3">
        <f t="shared" si="5"/>
        <v>0.1</v>
      </c>
      <c r="J45" s="3">
        <f t="shared" si="5"/>
        <v>0.1</v>
      </c>
      <c r="K45" s="3">
        <f t="shared" si="5"/>
        <v>0.1</v>
      </c>
      <c r="L45" s="3">
        <f t="shared" si="5"/>
        <v>0.1</v>
      </c>
      <c r="M45" s="3">
        <f t="shared" si="5"/>
        <v>0.1</v>
      </c>
      <c r="N45" s="3">
        <f t="shared" si="5"/>
        <v>0.1</v>
      </c>
      <c r="O45" s="3">
        <f t="shared" si="5"/>
        <v>0.1</v>
      </c>
      <c r="P45" s="3">
        <f t="shared" si="5"/>
        <v>0.1</v>
      </c>
    </row>
    <row r="46" spans="1:16">
      <c r="A46" s="84" t="s">
        <v>166</v>
      </c>
      <c r="B46" s="85" t="s">
        <v>165</v>
      </c>
      <c r="C46" s="85" t="s">
        <v>83</v>
      </c>
      <c r="D46" s="84" t="s">
        <v>84</v>
      </c>
      <c r="E46" s="84">
        <f>VLOOKUP(A46,'2a. SI Pop'!$A$5:$E$198,5,FALSE)</f>
        <v>3</v>
      </c>
      <c r="F46" s="3">
        <f>VLOOKUP(E46,Input!$G$5:$L$24,5,FALSE)</f>
        <v>0.1</v>
      </c>
      <c r="G46" s="3">
        <f t="shared" si="5"/>
        <v>0.1</v>
      </c>
      <c r="H46" s="3">
        <f t="shared" si="5"/>
        <v>0.1</v>
      </c>
      <c r="I46" s="3">
        <f t="shared" si="5"/>
        <v>0.1</v>
      </c>
      <c r="J46" s="3">
        <f t="shared" si="5"/>
        <v>0.1</v>
      </c>
      <c r="K46" s="3">
        <f t="shared" si="5"/>
        <v>0.1</v>
      </c>
      <c r="L46" s="3">
        <f t="shared" si="5"/>
        <v>0.1</v>
      </c>
      <c r="M46" s="3">
        <f t="shared" si="5"/>
        <v>0.1</v>
      </c>
      <c r="N46" s="3">
        <f t="shared" si="5"/>
        <v>0.1</v>
      </c>
      <c r="O46" s="3">
        <f t="shared" si="5"/>
        <v>0.1</v>
      </c>
      <c r="P46" s="3">
        <f t="shared" si="5"/>
        <v>0.1</v>
      </c>
    </row>
    <row r="47" spans="1:16">
      <c r="A47" s="84" t="s">
        <v>168</v>
      </c>
      <c r="B47" s="85" t="s">
        <v>167</v>
      </c>
      <c r="C47" s="85" t="s">
        <v>79</v>
      </c>
      <c r="D47" s="84" t="s">
        <v>87</v>
      </c>
      <c r="E47" s="84">
        <f>VLOOKUP(A47,'2a. SI Pop'!$A$5:$E$198,5,FALSE)</f>
        <v>1</v>
      </c>
      <c r="F47" s="3">
        <f>VLOOKUP(E47,Input!$G$5:$L$24,5,FALSE)</f>
        <v>0.1</v>
      </c>
      <c r="G47" s="3">
        <f t="shared" si="5"/>
        <v>0.1</v>
      </c>
      <c r="H47" s="3">
        <f t="shared" si="5"/>
        <v>0.1</v>
      </c>
      <c r="I47" s="3">
        <f t="shared" si="5"/>
        <v>0.1</v>
      </c>
      <c r="J47" s="3">
        <f t="shared" si="5"/>
        <v>0.1</v>
      </c>
      <c r="K47" s="3">
        <f t="shared" si="5"/>
        <v>0.1</v>
      </c>
      <c r="L47" s="3">
        <f t="shared" si="5"/>
        <v>0.1</v>
      </c>
      <c r="M47" s="3">
        <f t="shared" si="5"/>
        <v>0.1</v>
      </c>
      <c r="N47" s="3">
        <f t="shared" si="5"/>
        <v>0.1</v>
      </c>
      <c r="O47" s="3">
        <f t="shared" si="5"/>
        <v>0.1</v>
      </c>
      <c r="P47" s="3">
        <f t="shared" si="5"/>
        <v>0.1</v>
      </c>
    </row>
    <row r="48" spans="1:16">
      <c r="A48" s="84" t="s">
        <v>170</v>
      </c>
      <c r="B48" s="85" t="s">
        <v>169</v>
      </c>
      <c r="C48" s="85" t="s">
        <v>92</v>
      </c>
      <c r="D48" s="84" t="s">
        <v>80</v>
      </c>
      <c r="E48" s="84">
        <f>VLOOKUP(A48,'2a. SI Pop'!$A$5:$E$198,5,FALSE)</f>
        <v>1</v>
      </c>
      <c r="F48" s="3">
        <f>VLOOKUP(E48,Input!$G$5:$L$24,5,FALSE)</f>
        <v>0.1</v>
      </c>
      <c r="G48" s="3">
        <f t="shared" si="5"/>
        <v>0.1</v>
      </c>
      <c r="H48" s="3">
        <f t="shared" si="5"/>
        <v>0.1</v>
      </c>
      <c r="I48" s="3">
        <f t="shared" si="5"/>
        <v>0.1</v>
      </c>
      <c r="J48" s="3">
        <f t="shared" si="5"/>
        <v>0.1</v>
      </c>
      <c r="K48" s="3">
        <f t="shared" si="5"/>
        <v>0.1</v>
      </c>
      <c r="L48" s="3">
        <f t="shared" si="5"/>
        <v>0.1</v>
      </c>
      <c r="M48" s="3">
        <f t="shared" si="5"/>
        <v>0.1</v>
      </c>
      <c r="N48" s="3">
        <f t="shared" si="5"/>
        <v>0.1</v>
      </c>
      <c r="O48" s="3">
        <f t="shared" si="5"/>
        <v>0.1</v>
      </c>
      <c r="P48" s="3">
        <f t="shared" si="5"/>
        <v>0.1</v>
      </c>
    </row>
    <row r="49" spans="1:16">
      <c r="A49" s="84" t="s">
        <v>172</v>
      </c>
      <c r="B49" s="85" t="s">
        <v>171</v>
      </c>
      <c r="C49" s="85" t="s">
        <v>79</v>
      </c>
      <c r="D49" s="84" t="s">
        <v>87</v>
      </c>
      <c r="E49" s="84">
        <f>VLOOKUP(A49,'2a. SI Pop'!$A$5:$E$198,5,FALSE)</f>
        <v>1</v>
      </c>
      <c r="F49" s="3">
        <f>VLOOKUP(E49,Input!$G$5:$L$24,5,FALSE)</f>
        <v>0.1</v>
      </c>
      <c r="G49" s="3">
        <f t="shared" si="5"/>
        <v>0.1</v>
      </c>
      <c r="H49" s="3">
        <f t="shared" si="5"/>
        <v>0.1</v>
      </c>
      <c r="I49" s="3">
        <f t="shared" si="5"/>
        <v>0.1</v>
      </c>
      <c r="J49" s="3">
        <f t="shared" si="5"/>
        <v>0.1</v>
      </c>
      <c r="K49" s="3">
        <f t="shared" si="5"/>
        <v>0.1</v>
      </c>
      <c r="L49" s="3">
        <f t="shared" si="5"/>
        <v>0.1</v>
      </c>
      <c r="M49" s="3">
        <f t="shared" si="5"/>
        <v>0.1</v>
      </c>
      <c r="N49" s="3">
        <f t="shared" si="5"/>
        <v>0.1</v>
      </c>
      <c r="O49" s="3">
        <f t="shared" si="5"/>
        <v>0.1</v>
      </c>
      <c r="P49" s="3">
        <f t="shared" si="5"/>
        <v>0.1</v>
      </c>
    </row>
    <row r="50" spans="1:16">
      <c r="A50" s="84" t="s">
        <v>174</v>
      </c>
      <c r="B50" s="85" t="s">
        <v>173</v>
      </c>
      <c r="C50" s="85" t="s">
        <v>79</v>
      </c>
      <c r="D50" s="84" t="s">
        <v>87</v>
      </c>
      <c r="E50" s="84">
        <f>VLOOKUP(A50,'2a. SI Pop'!$A$5:$E$198,5,FALSE)</f>
        <v>1</v>
      </c>
      <c r="F50" s="3">
        <f>VLOOKUP(E50,Input!$G$5:$L$24,5,FALSE)</f>
        <v>0.1</v>
      </c>
      <c r="G50" s="3">
        <f t="shared" si="5"/>
        <v>0.1</v>
      </c>
      <c r="H50" s="3">
        <f t="shared" si="5"/>
        <v>0.1</v>
      </c>
      <c r="I50" s="3">
        <f t="shared" si="5"/>
        <v>0.1</v>
      </c>
      <c r="J50" s="3">
        <f t="shared" si="5"/>
        <v>0.1</v>
      </c>
      <c r="K50" s="3">
        <f t="shared" si="5"/>
        <v>0.1</v>
      </c>
      <c r="L50" s="3">
        <f t="shared" si="5"/>
        <v>0.1</v>
      </c>
      <c r="M50" s="3">
        <f t="shared" si="5"/>
        <v>0.1</v>
      </c>
      <c r="N50" s="3">
        <f t="shared" si="5"/>
        <v>0.1</v>
      </c>
      <c r="O50" s="3">
        <f t="shared" si="5"/>
        <v>0.1</v>
      </c>
      <c r="P50" s="3">
        <f t="shared" si="5"/>
        <v>0.1</v>
      </c>
    </row>
    <row r="51" spans="1:16">
      <c r="A51" s="84" t="s">
        <v>176</v>
      </c>
      <c r="B51" s="85" t="s">
        <v>175</v>
      </c>
      <c r="C51" s="85" t="s">
        <v>110</v>
      </c>
      <c r="D51" s="84" t="s">
        <v>75</v>
      </c>
      <c r="E51" s="84">
        <f>VLOOKUP(A51,'2a. SI Pop'!$A$5:$E$198,5,FALSE)</f>
        <v>4</v>
      </c>
      <c r="F51" s="3">
        <f>VLOOKUP(E51,Input!$G$5:$L$24,5,FALSE)</f>
        <v>0.1</v>
      </c>
      <c r="G51" s="3">
        <f t="shared" si="5"/>
        <v>0.1</v>
      </c>
      <c r="H51" s="3">
        <f t="shared" si="5"/>
        <v>0.1</v>
      </c>
      <c r="I51" s="3">
        <f t="shared" si="5"/>
        <v>0.1</v>
      </c>
      <c r="J51" s="3">
        <f t="shared" si="5"/>
        <v>0.1</v>
      </c>
      <c r="K51" s="3">
        <f t="shared" si="5"/>
        <v>0.1</v>
      </c>
      <c r="L51" s="3">
        <f t="shared" si="5"/>
        <v>0.1</v>
      </c>
      <c r="M51" s="3">
        <f t="shared" si="5"/>
        <v>0.1</v>
      </c>
      <c r="N51" s="3">
        <f t="shared" si="5"/>
        <v>0.1</v>
      </c>
      <c r="O51" s="3">
        <f t="shared" si="5"/>
        <v>0.1</v>
      </c>
      <c r="P51" s="3">
        <f t="shared" si="5"/>
        <v>0.1</v>
      </c>
    </row>
    <row r="52" spans="1:16">
      <c r="A52" s="84" t="s">
        <v>178</v>
      </c>
      <c r="B52" s="85" t="s">
        <v>177</v>
      </c>
      <c r="C52" s="85" t="s">
        <v>83</v>
      </c>
      <c r="D52" s="84" t="s">
        <v>75</v>
      </c>
      <c r="E52" s="84" t="str">
        <f>VLOOKUP(A52,'2a. SI Pop'!$A$5:$E$198,5,FALSE)</f>
        <v>Key</v>
      </c>
      <c r="F52" s="3">
        <f>VLOOKUP(A52,Input!$G$5:$L$24,5,FALSE)</f>
        <v>0.1</v>
      </c>
      <c r="G52" s="3">
        <f t="shared" si="5"/>
        <v>0.1</v>
      </c>
      <c r="H52" s="3">
        <f t="shared" si="5"/>
        <v>0.1</v>
      </c>
      <c r="I52" s="3">
        <f t="shared" si="5"/>
        <v>0.1</v>
      </c>
      <c r="J52" s="3">
        <f t="shared" si="5"/>
        <v>0.1</v>
      </c>
      <c r="K52" s="3">
        <f t="shared" si="5"/>
        <v>0.1</v>
      </c>
      <c r="L52" s="3">
        <f t="shared" si="5"/>
        <v>0.1</v>
      </c>
      <c r="M52" s="3">
        <f t="shared" si="5"/>
        <v>0.1</v>
      </c>
      <c r="N52" s="3">
        <f t="shared" si="5"/>
        <v>0.1</v>
      </c>
      <c r="O52" s="3">
        <f t="shared" si="5"/>
        <v>0.1</v>
      </c>
      <c r="P52" s="3">
        <f t="shared" si="5"/>
        <v>0.1</v>
      </c>
    </row>
    <row r="53" spans="1:16">
      <c r="A53" s="84" t="s">
        <v>180</v>
      </c>
      <c r="B53" s="85" t="s">
        <v>179</v>
      </c>
      <c r="C53" s="85" t="s">
        <v>79</v>
      </c>
      <c r="D53" s="84" t="s">
        <v>87</v>
      </c>
      <c r="E53" s="84">
        <f>VLOOKUP(A53,'2a. SI Pop'!$A$5:$E$198,5,FALSE)</f>
        <v>1</v>
      </c>
      <c r="F53" s="3">
        <f>VLOOKUP(E53,Input!$G$5:$L$24,5,FALSE)</f>
        <v>0.1</v>
      </c>
      <c r="G53" s="3">
        <f t="shared" si="5"/>
        <v>0.1</v>
      </c>
      <c r="H53" s="3">
        <f t="shared" si="5"/>
        <v>0.1</v>
      </c>
      <c r="I53" s="3">
        <f t="shared" si="5"/>
        <v>0.1</v>
      </c>
      <c r="J53" s="3">
        <f t="shared" si="5"/>
        <v>0.1</v>
      </c>
      <c r="K53" s="3">
        <f t="shared" si="5"/>
        <v>0.1</v>
      </c>
      <c r="L53" s="3">
        <f t="shared" si="5"/>
        <v>0.1</v>
      </c>
      <c r="M53" s="3">
        <f t="shared" si="5"/>
        <v>0.1</v>
      </c>
      <c r="N53" s="3">
        <f t="shared" si="5"/>
        <v>0.1</v>
      </c>
      <c r="O53" s="3">
        <f t="shared" si="5"/>
        <v>0.1</v>
      </c>
      <c r="P53" s="3">
        <f t="shared" si="5"/>
        <v>0.1</v>
      </c>
    </row>
    <row r="54" spans="1:16">
      <c r="A54" s="84" t="s">
        <v>182</v>
      </c>
      <c r="B54" s="85" t="s">
        <v>181</v>
      </c>
      <c r="C54" s="85" t="s">
        <v>74</v>
      </c>
      <c r="D54" s="84" t="s">
        <v>84</v>
      </c>
      <c r="E54" s="84">
        <f>VLOOKUP(A54,'2a. SI Pop'!$A$5:$E$198,5,FALSE)</f>
        <v>3</v>
      </c>
      <c r="F54" s="3">
        <f>VLOOKUP(E54,Input!$G$5:$L$24,5,FALSE)</f>
        <v>0.1</v>
      </c>
      <c r="G54" s="3">
        <f t="shared" ref="G54:P69" si="7">F54</f>
        <v>0.1</v>
      </c>
      <c r="H54" s="3">
        <f t="shared" si="7"/>
        <v>0.1</v>
      </c>
      <c r="I54" s="3">
        <f t="shared" si="7"/>
        <v>0.1</v>
      </c>
      <c r="J54" s="3">
        <f t="shared" si="7"/>
        <v>0.1</v>
      </c>
      <c r="K54" s="3">
        <f t="shared" si="7"/>
        <v>0.1</v>
      </c>
      <c r="L54" s="3">
        <f t="shared" si="7"/>
        <v>0.1</v>
      </c>
      <c r="M54" s="3">
        <f t="shared" si="7"/>
        <v>0.1</v>
      </c>
      <c r="N54" s="3">
        <f t="shared" si="7"/>
        <v>0.1</v>
      </c>
      <c r="O54" s="3">
        <f t="shared" si="7"/>
        <v>0.1</v>
      </c>
      <c r="P54" s="3">
        <f t="shared" si="7"/>
        <v>0.1</v>
      </c>
    </row>
    <row r="55" spans="1:16">
      <c r="A55" s="84" t="s">
        <v>184</v>
      </c>
      <c r="B55" s="85" t="s">
        <v>183</v>
      </c>
      <c r="C55" s="85" t="s">
        <v>92</v>
      </c>
      <c r="D55" s="84" t="s">
        <v>80</v>
      </c>
      <c r="E55" s="84">
        <f>VLOOKUP(A55,'2a. SI Pop'!$A$5:$E$198,5,FALSE)</f>
        <v>2</v>
      </c>
      <c r="F55" s="3">
        <f>VLOOKUP(E55,Input!$G$5:$L$24,5,FALSE)</f>
        <v>0.1</v>
      </c>
      <c r="G55" s="3">
        <f t="shared" si="7"/>
        <v>0.1</v>
      </c>
      <c r="H55" s="3">
        <f t="shared" si="7"/>
        <v>0.1</v>
      </c>
      <c r="I55" s="3">
        <f t="shared" si="7"/>
        <v>0.1</v>
      </c>
      <c r="J55" s="3">
        <f t="shared" si="7"/>
        <v>0.1</v>
      </c>
      <c r="K55" s="3">
        <f t="shared" si="7"/>
        <v>0.1</v>
      </c>
      <c r="L55" s="3">
        <f t="shared" si="7"/>
        <v>0.1</v>
      </c>
      <c r="M55" s="3">
        <f t="shared" si="7"/>
        <v>0.1</v>
      </c>
      <c r="N55" s="3">
        <f t="shared" si="7"/>
        <v>0.1</v>
      </c>
      <c r="O55" s="3">
        <f t="shared" si="7"/>
        <v>0.1</v>
      </c>
      <c r="P55" s="3">
        <f t="shared" si="7"/>
        <v>0.1</v>
      </c>
    </row>
    <row r="56" spans="1:16">
      <c r="A56" s="84" t="s">
        <v>184</v>
      </c>
      <c r="B56" s="85" t="s">
        <v>185</v>
      </c>
      <c r="C56" s="85" t="s">
        <v>92</v>
      </c>
      <c r="D56" s="84" t="s">
        <v>80</v>
      </c>
      <c r="E56" s="84">
        <f>VLOOKUP(A56,'2a. SI Pop'!$A$5:$E$198,5,FALSE)</f>
        <v>2</v>
      </c>
      <c r="F56" s="3">
        <f>VLOOKUP(E56,Input!$G$5:$L$24,5,FALSE)</f>
        <v>0.1</v>
      </c>
      <c r="G56" s="3">
        <f t="shared" si="7"/>
        <v>0.1</v>
      </c>
      <c r="H56" s="3">
        <f t="shared" si="7"/>
        <v>0.1</v>
      </c>
      <c r="I56" s="3">
        <f t="shared" si="7"/>
        <v>0.1</v>
      </c>
      <c r="J56" s="3">
        <f t="shared" si="7"/>
        <v>0.1</v>
      </c>
      <c r="K56" s="3">
        <f t="shared" si="7"/>
        <v>0.1</v>
      </c>
      <c r="L56" s="3">
        <f t="shared" si="7"/>
        <v>0.1</v>
      </c>
      <c r="M56" s="3">
        <f t="shared" si="7"/>
        <v>0.1</v>
      </c>
      <c r="N56" s="3">
        <f t="shared" si="7"/>
        <v>0.1</v>
      </c>
      <c r="O56" s="3">
        <f t="shared" si="7"/>
        <v>0.1</v>
      </c>
      <c r="P56" s="3">
        <f t="shared" si="7"/>
        <v>0.1</v>
      </c>
    </row>
    <row r="57" spans="1:16">
      <c r="A57" s="84" t="s">
        <v>187</v>
      </c>
      <c r="B57" s="85" t="s">
        <v>186</v>
      </c>
      <c r="C57" s="85" t="s">
        <v>92</v>
      </c>
      <c r="D57" s="84" t="s">
        <v>80</v>
      </c>
      <c r="E57" s="84">
        <f>VLOOKUP(A57,'2a. SI Pop'!$A$5:$E$198,5,FALSE)</f>
        <v>2</v>
      </c>
      <c r="F57" s="3">
        <f>VLOOKUP(E57,Input!$G$5:$L$24,5,FALSE)</f>
        <v>0.1</v>
      </c>
      <c r="G57" s="3">
        <f t="shared" si="7"/>
        <v>0.1</v>
      </c>
      <c r="H57" s="3">
        <f t="shared" si="7"/>
        <v>0.1</v>
      </c>
      <c r="I57" s="3">
        <f t="shared" si="7"/>
        <v>0.1</v>
      </c>
      <c r="J57" s="3">
        <f t="shared" si="7"/>
        <v>0.1</v>
      </c>
      <c r="K57" s="3">
        <f t="shared" si="7"/>
        <v>0.1</v>
      </c>
      <c r="L57" s="3">
        <f t="shared" si="7"/>
        <v>0.1</v>
      </c>
      <c r="M57" s="3">
        <f t="shared" si="7"/>
        <v>0.1</v>
      </c>
      <c r="N57" s="3">
        <f t="shared" si="7"/>
        <v>0.1</v>
      </c>
      <c r="O57" s="3">
        <f t="shared" si="7"/>
        <v>0.1</v>
      </c>
      <c r="P57" s="3">
        <f t="shared" si="7"/>
        <v>0.1</v>
      </c>
    </row>
    <row r="58" spans="1:16">
      <c r="A58" s="84" t="s">
        <v>189</v>
      </c>
      <c r="B58" s="85" t="s">
        <v>188</v>
      </c>
      <c r="C58" s="85" t="s">
        <v>74</v>
      </c>
      <c r="D58" s="84" t="s">
        <v>84</v>
      </c>
      <c r="E58" s="84">
        <f>VLOOKUP(A58,'2a. SI Pop'!$A$5:$E$198,5,FALSE)</f>
        <v>2</v>
      </c>
      <c r="F58" s="3">
        <f>VLOOKUP(E58,Input!$G$5:$L$24,5,FALSE)</f>
        <v>0.1</v>
      </c>
      <c r="G58" s="3">
        <f t="shared" si="7"/>
        <v>0.1</v>
      </c>
      <c r="H58" s="3">
        <f t="shared" si="7"/>
        <v>0.1</v>
      </c>
      <c r="I58" s="3">
        <f t="shared" si="7"/>
        <v>0.1</v>
      </c>
      <c r="J58" s="3">
        <f t="shared" si="7"/>
        <v>0.1</v>
      </c>
      <c r="K58" s="3">
        <f t="shared" si="7"/>
        <v>0.1</v>
      </c>
      <c r="L58" s="3">
        <f t="shared" si="7"/>
        <v>0.1</v>
      </c>
      <c r="M58" s="3">
        <f t="shared" si="7"/>
        <v>0.1</v>
      </c>
      <c r="N58" s="3">
        <f t="shared" si="7"/>
        <v>0.1</v>
      </c>
      <c r="O58" s="3">
        <f t="shared" si="7"/>
        <v>0.1</v>
      </c>
      <c r="P58" s="3">
        <f t="shared" si="7"/>
        <v>0.1</v>
      </c>
    </row>
    <row r="59" spans="1:16">
      <c r="A59" s="84" t="s">
        <v>191</v>
      </c>
      <c r="B59" s="85" t="s">
        <v>190</v>
      </c>
      <c r="C59" s="85" t="s">
        <v>92</v>
      </c>
      <c r="D59" s="84" t="s">
        <v>84</v>
      </c>
      <c r="E59" s="84">
        <f>VLOOKUP(A59,'2a. SI Pop'!$A$5:$E$198,5,FALSE)</f>
        <v>1</v>
      </c>
      <c r="F59" s="3">
        <f>VLOOKUP(E59,Input!$G$5:$L$24,5,FALSE)</f>
        <v>0.1</v>
      </c>
      <c r="G59" s="3">
        <f t="shared" si="7"/>
        <v>0.1</v>
      </c>
      <c r="H59" s="3">
        <f t="shared" si="7"/>
        <v>0.1</v>
      </c>
      <c r="I59" s="3">
        <f t="shared" si="7"/>
        <v>0.1</v>
      </c>
      <c r="J59" s="3">
        <f t="shared" si="7"/>
        <v>0.1</v>
      </c>
      <c r="K59" s="3">
        <f t="shared" si="7"/>
        <v>0.1</v>
      </c>
      <c r="L59" s="3">
        <f t="shared" si="7"/>
        <v>0.1</v>
      </c>
      <c r="M59" s="3">
        <f t="shared" si="7"/>
        <v>0.1</v>
      </c>
      <c r="N59" s="3">
        <f t="shared" si="7"/>
        <v>0.1</v>
      </c>
      <c r="O59" s="3">
        <f t="shared" si="7"/>
        <v>0.1</v>
      </c>
      <c r="P59" s="3">
        <f t="shared" si="7"/>
        <v>0.1</v>
      </c>
    </row>
    <row r="60" spans="1:16">
      <c r="A60" s="84" t="s">
        <v>193</v>
      </c>
      <c r="B60" s="85" t="s">
        <v>192</v>
      </c>
      <c r="C60" s="85" t="s">
        <v>83</v>
      </c>
      <c r="D60" s="84" t="s">
        <v>80</v>
      </c>
      <c r="E60" s="84">
        <f>VLOOKUP(A60,'2a. SI Pop'!$A$5:$E$198,5,FALSE)</f>
        <v>3</v>
      </c>
      <c r="F60" s="3">
        <f>VLOOKUP(E60,Input!$G$5:$L$24,5,FALSE)</f>
        <v>0.1</v>
      </c>
      <c r="G60" s="3">
        <f t="shared" si="7"/>
        <v>0.1</v>
      </c>
      <c r="H60" s="3">
        <f t="shared" si="7"/>
        <v>0.1</v>
      </c>
      <c r="I60" s="3">
        <f t="shared" si="7"/>
        <v>0.1</v>
      </c>
      <c r="J60" s="3">
        <f t="shared" si="7"/>
        <v>0.1</v>
      </c>
      <c r="K60" s="3">
        <f t="shared" si="7"/>
        <v>0.1</v>
      </c>
      <c r="L60" s="3">
        <f t="shared" si="7"/>
        <v>0.1</v>
      </c>
      <c r="M60" s="3">
        <f t="shared" si="7"/>
        <v>0.1</v>
      </c>
      <c r="N60" s="3">
        <f t="shared" si="7"/>
        <v>0.1</v>
      </c>
      <c r="O60" s="3">
        <f t="shared" si="7"/>
        <v>0.1</v>
      </c>
      <c r="P60" s="3">
        <f t="shared" si="7"/>
        <v>0.1</v>
      </c>
    </row>
    <row r="61" spans="1:16">
      <c r="A61" s="84" t="s">
        <v>195</v>
      </c>
      <c r="B61" s="85" t="s">
        <v>194</v>
      </c>
      <c r="C61" s="85" t="s">
        <v>83</v>
      </c>
      <c r="D61" s="84" t="s">
        <v>75</v>
      </c>
      <c r="E61" s="84">
        <f>VLOOKUP(A61,'2a. SI Pop'!$A$5:$E$198,5,FALSE)</f>
        <v>3</v>
      </c>
      <c r="F61" s="3">
        <f>VLOOKUP(E61,Input!$G$5:$L$24,5,FALSE)</f>
        <v>0.1</v>
      </c>
      <c r="G61" s="3">
        <f t="shared" si="7"/>
        <v>0.1</v>
      </c>
      <c r="H61" s="3">
        <f t="shared" si="7"/>
        <v>0.1</v>
      </c>
      <c r="I61" s="3">
        <f t="shared" si="7"/>
        <v>0.1</v>
      </c>
      <c r="J61" s="3">
        <f t="shared" si="7"/>
        <v>0.1</v>
      </c>
      <c r="K61" s="3">
        <f t="shared" si="7"/>
        <v>0.1</v>
      </c>
      <c r="L61" s="3">
        <f t="shared" si="7"/>
        <v>0.1</v>
      </c>
      <c r="M61" s="3">
        <f t="shared" si="7"/>
        <v>0.1</v>
      </c>
      <c r="N61" s="3">
        <f t="shared" si="7"/>
        <v>0.1</v>
      </c>
      <c r="O61" s="3">
        <f t="shared" si="7"/>
        <v>0.1</v>
      </c>
      <c r="P61" s="3">
        <f t="shared" si="7"/>
        <v>0.1</v>
      </c>
    </row>
    <row r="62" spans="1:16">
      <c r="A62" s="84" t="s">
        <v>197</v>
      </c>
      <c r="B62" s="85" t="s">
        <v>196</v>
      </c>
      <c r="C62" s="85" t="s">
        <v>79</v>
      </c>
      <c r="D62" s="84" t="s">
        <v>87</v>
      </c>
      <c r="E62" s="84">
        <f>VLOOKUP(A62,'2a. SI Pop'!$A$5:$E$198,5,FALSE)</f>
        <v>1</v>
      </c>
      <c r="F62" s="3">
        <f>VLOOKUP(E62,Input!$G$5:$L$24,5,FALSE)</f>
        <v>0.1</v>
      </c>
      <c r="G62" s="3">
        <f t="shared" si="7"/>
        <v>0.1</v>
      </c>
      <c r="H62" s="3">
        <f t="shared" si="7"/>
        <v>0.1</v>
      </c>
      <c r="I62" s="3">
        <f t="shared" si="7"/>
        <v>0.1</v>
      </c>
      <c r="J62" s="3">
        <f t="shared" si="7"/>
        <v>0.1</v>
      </c>
      <c r="K62" s="3">
        <f t="shared" si="7"/>
        <v>0.1</v>
      </c>
      <c r="L62" s="3">
        <f t="shared" si="7"/>
        <v>0.1</v>
      </c>
      <c r="M62" s="3">
        <f t="shared" si="7"/>
        <v>0.1</v>
      </c>
      <c r="N62" s="3">
        <f t="shared" si="7"/>
        <v>0.1</v>
      </c>
      <c r="O62" s="3">
        <f t="shared" si="7"/>
        <v>0.1</v>
      </c>
      <c r="P62" s="3">
        <f t="shared" si="7"/>
        <v>0.1</v>
      </c>
    </row>
    <row r="63" spans="1:16">
      <c r="A63" s="84" t="s">
        <v>199</v>
      </c>
      <c r="B63" s="85" t="s">
        <v>198</v>
      </c>
      <c r="C63" s="85" t="s">
        <v>83</v>
      </c>
      <c r="D63" s="84" t="s">
        <v>75</v>
      </c>
      <c r="E63" s="84" t="str">
        <f>VLOOKUP(A63,'2a. SI Pop'!$A$5:$E$198,5,FALSE)</f>
        <v>Key</v>
      </c>
      <c r="F63" s="3">
        <f>VLOOKUP(A63,Input!$G$5:$L$24,5,FALSE)</f>
        <v>0.1</v>
      </c>
      <c r="G63" s="3">
        <f t="shared" si="7"/>
        <v>0.1</v>
      </c>
      <c r="H63" s="3">
        <f t="shared" si="7"/>
        <v>0.1</v>
      </c>
      <c r="I63" s="3">
        <f t="shared" si="7"/>
        <v>0.1</v>
      </c>
      <c r="J63" s="3">
        <f t="shared" si="7"/>
        <v>0.1</v>
      </c>
      <c r="K63" s="3">
        <f t="shared" si="7"/>
        <v>0.1</v>
      </c>
      <c r="L63" s="3">
        <f t="shared" si="7"/>
        <v>0.1</v>
      </c>
      <c r="M63" s="3">
        <f t="shared" si="7"/>
        <v>0.1</v>
      </c>
      <c r="N63" s="3">
        <f t="shared" si="7"/>
        <v>0.1</v>
      </c>
      <c r="O63" s="3">
        <f t="shared" si="7"/>
        <v>0.1</v>
      </c>
      <c r="P63" s="3">
        <f t="shared" si="7"/>
        <v>0.1</v>
      </c>
    </row>
    <row r="64" spans="1:16">
      <c r="A64" s="84" t="s">
        <v>201</v>
      </c>
      <c r="B64" s="85" t="s">
        <v>200</v>
      </c>
      <c r="C64" s="85" t="s">
        <v>99</v>
      </c>
      <c r="D64" s="84" t="s">
        <v>80</v>
      </c>
      <c r="E64" s="84">
        <f>VLOOKUP(A64,'2a. SI Pop'!$A$5:$E$198,5,FALSE)</f>
        <v>4</v>
      </c>
      <c r="F64" s="3">
        <f>VLOOKUP(E64,Input!$G$5:$L$24,5,FALSE)</f>
        <v>0.1</v>
      </c>
      <c r="G64" s="3">
        <f t="shared" si="7"/>
        <v>0.1</v>
      </c>
      <c r="H64" s="3">
        <f t="shared" si="7"/>
        <v>0.1</v>
      </c>
      <c r="I64" s="3">
        <f t="shared" si="7"/>
        <v>0.1</v>
      </c>
      <c r="J64" s="3">
        <f t="shared" si="7"/>
        <v>0.1</v>
      </c>
      <c r="K64" s="3">
        <f t="shared" si="7"/>
        <v>0.1</v>
      </c>
      <c r="L64" s="3">
        <f t="shared" si="7"/>
        <v>0.1</v>
      </c>
      <c r="M64" s="3">
        <f t="shared" si="7"/>
        <v>0.1</v>
      </c>
      <c r="N64" s="3">
        <f t="shared" si="7"/>
        <v>0.1</v>
      </c>
      <c r="O64" s="3">
        <f t="shared" si="7"/>
        <v>0.1</v>
      </c>
      <c r="P64" s="3">
        <f t="shared" si="7"/>
        <v>0.1</v>
      </c>
    </row>
    <row r="65" spans="1:16">
      <c r="A65" s="84" t="s">
        <v>203</v>
      </c>
      <c r="B65" s="85" t="s">
        <v>202</v>
      </c>
      <c r="C65" s="85" t="s">
        <v>79</v>
      </c>
      <c r="D65" s="84" t="s">
        <v>87</v>
      </c>
      <c r="E65" s="84">
        <f>VLOOKUP(A65,'2a. SI Pop'!$A$5:$E$198,5,FALSE)</f>
        <v>1</v>
      </c>
      <c r="F65" s="3">
        <f>VLOOKUP(E65,Input!$G$5:$L$24,5,FALSE)</f>
        <v>0.1</v>
      </c>
      <c r="G65" s="3">
        <f t="shared" si="7"/>
        <v>0.1</v>
      </c>
      <c r="H65" s="3">
        <f t="shared" si="7"/>
        <v>0.1</v>
      </c>
      <c r="I65" s="3">
        <f t="shared" si="7"/>
        <v>0.1</v>
      </c>
      <c r="J65" s="3">
        <f t="shared" si="7"/>
        <v>0.1</v>
      </c>
      <c r="K65" s="3">
        <f t="shared" si="7"/>
        <v>0.1</v>
      </c>
      <c r="L65" s="3">
        <f t="shared" si="7"/>
        <v>0.1</v>
      </c>
      <c r="M65" s="3">
        <f t="shared" si="7"/>
        <v>0.1</v>
      </c>
      <c r="N65" s="3">
        <f t="shared" si="7"/>
        <v>0.1</v>
      </c>
      <c r="O65" s="3">
        <f t="shared" si="7"/>
        <v>0.1</v>
      </c>
      <c r="P65" s="3">
        <f t="shared" si="7"/>
        <v>0.1</v>
      </c>
    </row>
    <row r="66" spans="1:16">
      <c r="A66" s="84" t="s">
        <v>205</v>
      </c>
      <c r="B66" s="85" t="s">
        <v>204</v>
      </c>
      <c r="C66" s="85" t="s">
        <v>79</v>
      </c>
      <c r="D66" s="84" t="s">
        <v>87</v>
      </c>
      <c r="E66" s="84">
        <f>VLOOKUP(A66,'2a. SI Pop'!$A$5:$E$198,5,FALSE)</f>
        <v>1</v>
      </c>
      <c r="F66" s="3">
        <f>VLOOKUP(E66,Input!$G$5:$L$24,5,FALSE)</f>
        <v>0.1</v>
      </c>
      <c r="G66" s="3">
        <f t="shared" si="7"/>
        <v>0.1</v>
      </c>
      <c r="H66" s="3">
        <f t="shared" si="7"/>
        <v>0.1</v>
      </c>
      <c r="I66" s="3">
        <f t="shared" si="7"/>
        <v>0.1</v>
      </c>
      <c r="J66" s="3">
        <f t="shared" si="7"/>
        <v>0.1</v>
      </c>
      <c r="K66" s="3">
        <f t="shared" si="7"/>
        <v>0.1</v>
      </c>
      <c r="L66" s="3">
        <f t="shared" si="7"/>
        <v>0.1</v>
      </c>
      <c r="M66" s="3">
        <f t="shared" si="7"/>
        <v>0.1</v>
      </c>
      <c r="N66" s="3">
        <f t="shared" si="7"/>
        <v>0.1</v>
      </c>
      <c r="O66" s="3">
        <f t="shared" si="7"/>
        <v>0.1</v>
      </c>
      <c r="P66" s="3">
        <f t="shared" si="7"/>
        <v>0.1</v>
      </c>
    </row>
    <row r="67" spans="1:16">
      <c r="A67" s="84" t="s">
        <v>207</v>
      </c>
      <c r="B67" s="85" t="s">
        <v>206</v>
      </c>
      <c r="C67" s="85" t="s">
        <v>83</v>
      </c>
      <c r="D67" s="84" t="s">
        <v>80</v>
      </c>
      <c r="E67" s="84">
        <f>VLOOKUP(A67,'2a. SI Pop'!$A$5:$E$198,5,FALSE)</f>
        <v>3</v>
      </c>
      <c r="F67" s="3">
        <f>VLOOKUP(E67,Input!$G$5:$L$24,5,FALSE)</f>
        <v>0.1</v>
      </c>
      <c r="G67" s="3">
        <f t="shared" si="7"/>
        <v>0.1</v>
      </c>
      <c r="H67" s="3">
        <f t="shared" si="7"/>
        <v>0.1</v>
      </c>
      <c r="I67" s="3">
        <f t="shared" si="7"/>
        <v>0.1</v>
      </c>
      <c r="J67" s="3">
        <f t="shared" si="7"/>
        <v>0.1</v>
      </c>
      <c r="K67" s="3">
        <f t="shared" si="7"/>
        <v>0.1</v>
      </c>
      <c r="L67" s="3">
        <f t="shared" si="7"/>
        <v>0.1</v>
      </c>
      <c r="M67" s="3">
        <f t="shared" si="7"/>
        <v>0.1</v>
      </c>
      <c r="N67" s="3">
        <f t="shared" si="7"/>
        <v>0.1</v>
      </c>
      <c r="O67" s="3">
        <f t="shared" si="7"/>
        <v>0.1</v>
      </c>
      <c r="P67" s="3">
        <f t="shared" si="7"/>
        <v>0.1</v>
      </c>
    </row>
    <row r="68" spans="1:16">
      <c r="A68" s="84" t="s">
        <v>209</v>
      </c>
      <c r="B68" s="85" t="s">
        <v>208</v>
      </c>
      <c r="C68" s="85" t="s">
        <v>83</v>
      </c>
      <c r="D68" s="84" t="s">
        <v>75</v>
      </c>
      <c r="E68" s="84">
        <f>VLOOKUP(A68,'2a. SI Pop'!$A$5:$E$198,5,FALSE)</f>
        <v>3</v>
      </c>
      <c r="F68" s="3">
        <f>VLOOKUP(E68,Input!$G$5:$L$24,5,FALSE)</f>
        <v>0.1</v>
      </c>
      <c r="G68" s="3">
        <f t="shared" si="7"/>
        <v>0.1</v>
      </c>
      <c r="H68" s="3">
        <f t="shared" si="7"/>
        <v>0.1</v>
      </c>
      <c r="I68" s="3">
        <f t="shared" si="7"/>
        <v>0.1</v>
      </c>
      <c r="J68" s="3">
        <f t="shared" si="7"/>
        <v>0.1</v>
      </c>
      <c r="K68" s="3">
        <f t="shared" si="7"/>
        <v>0.1</v>
      </c>
      <c r="L68" s="3">
        <f t="shared" si="7"/>
        <v>0.1</v>
      </c>
      <c r="M68" s="3">
        <f t="shared" si="7"/>
        <v>0.1</v>
      </c>
      <c r="N68" s="3">
        <f t="shared" si="7"/>
        <v>0.1</v>
      </c>
      <c r="O68" s="3">
        <f t="shared" si="7"/>
        <v>0.1</v>
      </c>
      <c r="P68" s="3">
        <f t="shared" si="7"/>
        <v>0.1</v>
      </c>
    </row>
    <row r="69" spans="1:16">
      <c r="A69" s="84" t="s">
        <v>211</v>
      </c>
      <c r="B69" s="85" t="s">
        <v>210</v>
      </c>
      <c r="C69" s="85" t="s">
        <v>79</v>
      </c>
      <c r="D69" s="84" t="s">
        <v>80</v>
      </c>
      <c r="E69" s="84">
        <f>VLOOKUP(A69,'2a. SI Pop'!$A$5:$E$198,5,FALSE)</f>
        <v>1</v>
      </c>
      <c r="F69" s="3">
        <f>VLOOKUP(E69,Input!$G$5:$L$24,5,FALSE)</f>
        <v>0.1</v>
      </c>
      <c r="G69" s="3">
        <f t="shared" si="7"/>
        <v>0.1</v>
      </c>
      <c r="H69" s="3">
        <f t="shared" si="7"/>
        <v>0.1</v>
      </c>
      <c r="I69" s="3">
        <f t="shared" si="7"/>
        <v>0.1</v>
      </c>
      <c r="J69" s="3">
        <f t="shared" si="7"/>
        <v>0.1</v>
      </c>
      <c r="K69" s="3">
        <f t="shared" si="7"/>
        <v>0.1</v>
      </c>
      <c r="L69" s="3">
        <f t="shared" si="7"/>
        <v>0.1</v>
      </c>
      <c r="M69" s="3">
        <f t="shared" si="7"/>
        <v>0.1</v>
      </c>
      <c r="N69" s="3">
        <f t="shared" si="7"/>
        <v>0.1</v>
      </c>
      <c r="O69" s="3">
        <f t="shared" si="7"/>
        <v>0.1</v>
      </c>
      <c r="P69" s="3">
        <f t="shared" si="7"/>
        <v>0.1</v>
      </c>
    </row>
    <row r="70" spans="1:16">
      <c r="A70" s="84" t="s">
        <v>213</v>
      </c>
      <c r="B70" s="85" t="s">
        <v>212</v>
      </c>
      <c r="C70" s="85" t="s">
        <v>79</v>
      </c>
      <c r="D70" s="84" t="s">
        <v>87</v>
      </c>
      <c r="E70" s="84">
        <f>VLOOKUP(A70,'2a. SI Pop'!$A$5:$E$198,5,FALSE)</f>
        <v>1</v>
      </c>
      <c r="F70" s="3">
        <f>VLOOKUP(E70,Input!$G$5:$L$24,5,FALSE)</f>
        <v>0.1</v>
      </c>
      <c r="G70" s="3">
        <f t="shared" ref="G70:P85" si="8">F70</f>
        <v>0.1</v>
      </c>
      <c r="H70" s="3">
        <f t="shared" si="8"/>
        <v>0.1</v>
      </c>
      <c r="I70" s="3">
        <f t="shared" si="8"/>
        <v>0.1</v>
      </c>
      <c r="J70" s="3">
        <f t="shared" si="8"/>
        <v>0.1</v>
      </c>
      <c r="K70" s="3">
        <f t="shared" si="8"/>
        <v>0.1</v>
      </c>
      <c r="L70" s="3">
        <f t="shared" si="8"/>
        <v>0.1</v>
      </c>
      <c r="M70" s="3">
        <f t="shared" si="8"/>
        <v>0.1</v>
      </c>
      <c r="N70" s="3">
        <f t="shared" si="8"/>
        <v>0.1</v>
      </c>
      <c r="O70" s="3">
        <f t="shared" si="8"/>
        <v>0.1</v>
      </c>
      <c r="P70" s="3">
        <f t="shared" si="8"/>
        <v>0.1</v>
      </c>
    </row>
    <row r="71" spans="1:16">
      <c r="A71" s="84" t="s">
        <v>215</v>
      </c>
      <c r="B71" s="85" t="s">
        <v>214</v>
      </c>
      <c r="C71" s="85" t="s">
        <v>83</v>
      </c>
      <c r="D71" s="84" t="s">
        <v>84</v>
      </c>
      <c r="E71" s="84">
        <f>VLOOKUP(A71,'2a. SI Pop'!$A$5:$E$198,5,FALSE)</f>
        <v>3</v>
      </c>
      <c r="F71" s="3">
        <f>VLOOKUP(E71,Input!$G$5:$L$24,5,FALSE)</f>
        <v>0.1</v>
      </c>
      <c r="G71" s="3">
        <f t="shared" si="8"/>
        <v>0.1</v>
      </c>
      <c r="H71" s="3">
        <f t="shared" si="8"/>
        <v>0.1</v>
      </c>
      <c r="I71" s="3">
        <f t="shared" si="8"/>
        <v>0.1</v>
      </c>
      <c r="J71" s="3">
        <f t="shared" si="8"/>
        <v>0.1</v>
      </c>
      <c r="K71" s="3">
        <f t="shared" si="8"/>
        <v>0.1</v>
      </c>
      <c r="L71" s="3">
        <f t="shared" si="8"/>
        <v>0.1</v>
      </c>
      <c r="M71" s="3">
        <f t="shared" si="8"/>
        <v>0.1</v>
      </c>
      <c r="N71" s="3">
        <f t="shared" si="8"/>
        <v>0.1</v>
      </c>
      <c r="O71" s="3">
        <f t="shared" si="8"/>
        <v>0.1</v>
      </c>
      <c r="P71" s="3">
        <f t="shared" si="8"/>
        <v>0.1</v>
      </c>
    </row>
    <row r="72" spans="1:16">
      <c r="A72" s="84" t="s">
        <v>217</v>
      </c>
      <c r="B72" s="85" t="s">
        <v>216</v>
      </c>
      <c r="C72" s="85" t="s">
        <v>79</v>
      </c>
      <c r="D72" s="84" t="s">
        <v>87</v>
      </c>
      <c r="E72" s="84">
        <f>VLOOKUP(A72,'2a. SI Pop'!$A$5:$E$198,5,FALSE)</f>
        <v>1</v>
      </c>
      <c r="F72" s="3">
        <f>VLOOKUP(E72,Input!$G$5:$L$24,5,FALSE)</f>
        <v>0.1</v>
      </c>
      <c r="G72" s="3">
        <f t="shared" si="8"/>
        <v>0.1</v>
      </c>
      <c r="H72" s="3">
        <f t="shared" si="8"/>
        <v>0.1</v>
      </c>
      <c r="I72" s="3">
        <f t="shared" si="8"/>
        <v>0.1</v>
      </c>
      <c r="J72" s="3">
        <f t="shared" si="8"/>
        <v>0.1</v>
      </c>
      <c r="K72" s="3">
        <f t="shared" si="8"/>
        <v>0.1</v>
      </c>
      <c r="L72" s="3">
        <f t="shared" si="8"/>
        <v>0.1</v>
      </c>
      <c r="M72" s="3">
        <f t="shared" si="8"/>
        <v>0.1</v>
      </c>
      <c r="N72" s="3">
        <f t="shared" si="8"/>
        <v>0.1</v>
      </c>
      <c r="O72" s="3">
        <f t="shared" si="8"/>
        <v>0.1</v>
      </c>
      <c r="P72" s="3">
        <f t="shared" si="8"/>
        <v>0.1</v>
      </c>
    </row>
    <row r="73" spans="1:16">
      <c r="A73" s="84" t="s">
        <v>219</v>
      </c>
      <c r="B73" s="85" t="s">
        <v>218</v>
      </c>
      <c r="C73" s="85" t="s">
        <v>92</v>
      </c>
      <c r="D73" s="84" t="s">
        <v>80</v>
      </c>
      <c r="E73" s="84">
        <f>VLOOKUP(A73,'2a. SI Pop'!$A$5:$E$198,5,FALSE)</f>
        <v>1</v>
      </c>
      <c r="F73" s="3">
        <f>VLOOKUP(E73,Input!$G$5:$L$24,5,FALSE)</f>
        <v>0.1</v>
      </c>
      <c r="G73" s="3">
        <f t="shared" si="8"/>
        <v>0.1</v>
      </c>
      <c r="H73" s="3">
        <f t="shared" si="8"/>
        <v>0.1</v>
      </c>
      <c r="I73" s="3">
        <f t="shared" si="8"/>
        <v>0.1</v>
      </c>
      <c r="J73" s="3">
        <f t="shared" si="8"/>
        <v>0.1</v>
      </c>
      <c r="K73" s="3">
        <f t="shared" si="8"/>
        <v>0.1</v>
      </c>
      <c r="L73" s="3">
        <f t="shared" si="8"/>
        <v>0.1</v>
      </c>
      <c r="M73" s="3">
        <f t="shared" si="8"/>
        <v>0.1</v>
      </c>
      <c r="N73" s="3">
        <f t="shared" si="8"/>
        <v>0.1</v>
      </c>
      <c r="O73" s="3">
        <f t="shared" si="8"/>
        <v>0.1</v>
      </c>
      <c r="P73" s="3">
        <f t="shared" si="8"/>
        <v>0.1</v>
      </c>
    </row>
    <row r="74" spans="1:16">
      <c r="A74" s="84" t="s">
        <v>221</v>
      </c>
      <c r="B74" s="85" t="s">
        <v>220</v>
      </c>
      <c r="C74" s="85" t="s">
        <v>92</v>
      </c>
      <c r="D74" s="84" t="s">
        <v>80</v>
      </c>
      <c r="E74" s="84">
        <f>VLOOKUP(A74,'2a. SI Pop'!$A$5:$E$198,5,FALSE)</f>
        <v>1</v>
      </c>
      <c r="F74" s="3">
        <f>VLOOKUP(E74,Input!$G$5:$L$24,5,FALSE)</f>
        <v>0.1</v>
      </c>
      <c r="G74" s="3">
        <f t="shared" si="8"/>
        <v>0.1</v>
      </c>
      <c r="H74" s="3">
        <f t="shared" si="8"/>
        <v>0.1</v>
      </c>
      <c r="I74" s="3">
        <f t="shared" si="8"/>
        <v>0.1</v>
      </c>
      <c r="J74" s="3">
        <f t="shared" si="8"/>
        <v>0.1</v>
      </c>
      <c r="K74" s="3">
        <f t="shared" si="8"/>
        <v>0.1</v>
      </c>
      <c r="L74" s="3">
        <f t="shared" si="8"/>
        <v>0.1</v>
      </c>
      <c r="M74" s="3">
        <f t="shared" si="8"/>
        <v>0.1</v>
      </c>
      <c r="N74" s="3">
        <f t="shared" si="8"/>
        <v>0.1</v>
      </c>
      <c r="O74" s="3">
        <f t="shared" si="8"/>
        <v>0.1</v>
      </c>
      <c r="P74" s="3">
        <f t="shared" si="8"/>
        <v>0.1</v>
      </c>
    </row>
    <row r="75" spans="1:16">
      <c r="A75" s="84" t="s">
        <v>223</v>
      </c>
      <c r="B75" s="85" t="s">
        <v>222</v>
      </c>
      <c r="C75" s="85" t="s">
        <v>83</v>
      </c>
      <c r="D75" s="84" t="s">
        <v>75</v>
      </c>
      <c r="E75" s="84">
        <f>VLOOKUP(A75,'2a. SI Pop'!$A$5:$E$198,5,FALSE)</f>
        <v>3</v>
      </c>
      <c r="F75" s="3">
        <f>VLOOKUP(E75,Input!$G$5:$L$24,5,FALSE)</f>
        <v>0.1</v>
      </c>
      <c r="G75" s="3">
        <f t="shared" si="8"/>
        <v>0.1</v>
      </c>
      <c r="H75" s="3">
        <f t="shared" si="8"/>
        <v>0.1</v>
      </c>
      <c r="I75" s="3">
        <f t="shared" si="8"/>
        <v>0.1</v>
      </c>
      <c r="J75" s="3">
        <f t="shared" si="8"/>
        <v>0.1</v>
      </c>
      <c r="K75" s="3">
        <f t="shared" si="8"/>
        <v>0.1</v>
      </c>
      <c r="L75" s="3">
        <f t="shared" si="8"/>
        <v>0.1</v>
      </c>
      <c r="M75" s="3">
        <f t="shared" si="8"/>
        <v>0.1</v>
      </c>
      <c r="N75" s="3">
        <f t="shared" si="8"/>
        <v>0.1</v>
      </c>
      <c r="O75" s="3">
        <f t="shared" si="8"/>
        <v>0.1</v>
      </c>
      <c r="P75" s="3">
        <f t="shared" si="8"/>
        <v>0.1</v>
      </c>
    </row>
    <row r="76" spans="1:16">
      <c r="A76" s="84" t="s">
        <v>225</v>
      </c>
      <c r="B76" s="85" t="s">
        <v>224</v>
      </c>
      <c r="C76" s="85" t="s">
        <v>83</v>
      </c>
      <c r="D76" s="84" t="s">
        <v>75</v>
      </c>
      <c r="E76" s="84">
        <f>VLOOKUP(A76,'2a. SI Pop'!$A$5:$E$198,5,FALSE)</f>
        <v>3</v>
      </c>
      <c r="F76" s="3">
        <f>VLOOKUP(E76,Input!$G$5:$L$24,5,FALSE)</f>
        <v>0.1</v>
      </c>
      <c r="G76" s="3">
        <f t="shared" si="8"/>
        <v>0.1</v>
      </c>
      <c r="H76" s="3">
        <f t="shared" si="8"/>
        <v>0.1</v>
      </c>
      <c r="I76" s="3">
        <f t="shared" si="8"/>
        <v>0.1</v>
      </c>
      <c r="J76" s="3">
        <f t="shared" si="8"/>
        <v>0.1</v>
      </c>
      <c r="K76" s="3">
        <f t="shared" si="8"/>
        <v>0.1</v>
      </c>
      <c r="L76" s="3">
        <f t="shared" si="8"/>
        <v>0.1</v>
      </c>
      <c r="M76" s="3">
        <f t="shared" si="8"/>
        <v>0.1</v>
      </c>
      <c r="N76" s="3">
        <f t="shared" si="8"/>
        <v>0.1</v>
      </c>
      <c r="O76" s="3">
        <f t="shared" si="8"/>
        <v>0.1</v>
      </c>
      <c r="P76" s="3">
        <f t="shared" si="8"/>
        <v>0.1</v>
      </c>
    </row>
    <row r="77" spans="1:16">
      <c r="A77" s="84" t="s">
        <v>227</v>
      </c>
      <c r="B77" s="85" t="s">
        <v>226</v>
      </c>
      <c r="C77" s="85" t="s">
        <v>92</v>
      </c>
      <c r="D77" s="84" t="s">
        <v>80</v>
      </c>
      <c r="E77" s="84">
        <f>VLOOKUP(A77,'2a. SI Pop'!$A$5:$E$198,5,FALSE)</f>
        <v>2</v>
      </c>
      <c r="F77" s="3">
        <f>VLOOKUP(E77,Input!$G$5:$L$24,5,FALSE)</f>
        <v>0.1</v>
      </c>
      <c r="G77" s="3">
        <f t="shared" si="8"/>
        <v>0.1</v>
      </c>
      <c r="H77" s="3">
        <f t="shared" si="8"/>
        <v>0.1</v>
      </c>
      <c r="I77" s="3">
        <f t="shared" si="8"/>
        <v>0.1</v>
      </c>
      <c r="J77" s="3">
        <f t="shared" si="8"/>
        <v>0.1</v>
      </c>
      <c r="K77" s="3">
        <f t="shared" si="8"/>
        <v>0.1</v>
      </c>
      <c r="L77" s="3">
        <f t="shared" si="8"/>
        <v>0.1</v>
      </c>
      <c r="M77" s="3">
        <f t="shared" si="8"/>
        <v>0.1</v>
      </c>
      <c r="N77" s="3">
        <f t="shared" si="8"/>
        <v>0.1</v>
      </c>
      <c r="O77" s="3">
        <f t="shared" si="8"/>
        <v>0.1</v>
      </c>
      <c r="P77" s="3">
        <f t="shared" si="8"/>
        <v>0.1</v>
      </c>
    </row>
    <row r="78" spans="1:16">
      <c r="A78" s="84" t="s">
        <v>229</v>
      </c>
      <c r="B78" s="85" t="s">
        <v>228</v>
      </c>
      <c r="C78" s="85" t="s">
        <v>92</v>
      </c>
      <c r="D78" s="84" t="s">
        <v>75</v>
      </c>
      <c r="E78" s="84">
        <f>VLOOKUP(A78,'2a. SI Pop'!$A$5:$E$198,5,FALSE)</f>
        <v>2</v>
      </c>
      <c r="F78" s="3">
        <f>VLOOKUP(E78,Input!$G$5:$L$24,5,FALSE)</f>
        <v>0.1</v>
      </c>
      <c r="G78" s="3">
        <f t="shared" si="8"/>
        <v>0.1</v>
      </c>
      <c r="H78" s="3">
        <f t="shared" si="8"/>
        <v>0.1</v>
      </c>
      <c r="I78" s="3">
        <f t="shared" si="8"/>
        <v>0.1</v>
      </c>
      <c r="J78" s="3">
        <f t="shared" si="8"/>
        <v>0.1</v>
      </c>
      <c r="K78" s="3">
        <f t="shared" si="8"/>
        <v>0.1</v>
      </c>
      <c r="L78" s="3">
        <f t="shared" si="8"/>
        <v>0.1</v>
      </c>
      <c r="M78" s="3">
        <f t="shared" si="8"/>
        <v>0.1</v>
      </c>
      <c r="N78" s="3">
        <f t="shared" si="8"/>
        <v>0.1</v>
      </c>
      <c r="O78" s="3">
        <f t="shared" si="8"/>
        <v>0.1</v>
      </c>
      <c r="P78" s="3">
        <f t="shared" si="8"/>
        <v>0.1</v>
      </c>
    </row>
    <row r="79" spans="1:16">
      <c r="A79" s="84" t="s">
        <v>231</v>
      </c>
      <c r="B79" s="85" t="s">
        <v>230</v>
      </c>
      <c r="C79" s="85" t="s">
        <v>92</v>
      </c>
      <c r="D79" s="84" t="s">
        <v>84</v>
      </c>
      <c r="E79" s="84">
        <f>VLOOKUP(A79,'2a. SI Pop'!$A$5:$E$198,5,FALSE)</f>
        <v>1</v>
      </c>
      <c r="F79" s="3">
        <f>VLOOKUP(E79,Input!$G$5:$L$24,5,FALSE)</f>
        <v>0.1</v>
      </c>
      <c r="G79" s="3">
        <f t="shared" si="8"/>
        <v>0.1</v>
      </c>
      <c r="H79" s="3">
        <f t="shared" si="8"/>
        <v>0.1</v>
      </c>
      <c r="I79" s="3">
        <f t="shared" si="8"/>
        <v>0.1</v>
      </c>
      <c r="J79" s="3">
        <f t="shared" si="8"/>
        <v>0.1</v>
      </c>
      <c r="K79" s="3">
        <f t="shared" si="8"/>
        <v>0.1</v>
      </c>
      <c r="L79" s="3">
        <f t="shared" si="8"/>
        <v>0.1</v>
      </c>
      <c r="M79" s="3">
        <f t="shared" si="8"/>
        <v>0.1</v>
      </c>
      <c r="N79" s="3">
        <f t="shared" si="8"/>
        <v>0.1</v>
      </c>
      <c r="O79" s="3">
        <f t="shared" si="8"/>
        <v>0.1</v>
      </c>
      <c r="P79" s="3">
        <f t="shared" si="8"/>
        <v>0.1</v>
      </c>
    </row>
    <row r="80" spans="1:16">
      <c r="A80" s="84" t="s">
        <v>233</v>
      </c>
      <c r="B80" s="85" t="s">
        <v>232</v>
      </c>
      <c r="C80" s="85" t="s">
        <v>79</v>
      </c>
      <c r="D80" s="84" t="s">
        <v>87</v>
      </c>
      <c r="E80" s="84">
        <f>VLOOKUP(A80,'2a. SI Pop'!$A$5:$E$198,5,FALSE)</f>
        <v>1</v>
      </c>
      <c r="F80" s="3">
        <f>VLOOKUP(E80,Input!$G$5:$L$24,5,FALSE)</f>
        <v>0.1</v>
      </c>
      <c r="G80" s="3">
        <f t="shared" si="8"/>
        <v>0.1</v>
      </c>
      <c r="H80" s="3">
        <f t="shared" si="8"/>
        <v>0.1</v>
      </c>
      <c r="I80" s="3">
        <f t="shared" si="8"/>
        <v>0.1</v>
      </c>
      <c r="J80" s="3">
        <f t="shared" si="8"/>
        <v>0.1</v>
      </c>
      <c r="K80" s="3">
        <f t="shared" si="8"/>
        <v>0.1</v>
      </c>
      <c r="L80" s="3">
        <f t="shared" si="8"/>
        <v>0.1</v>
      </c>
      <c r="M80" s="3">
        <f t="shared" si="8"/>
        <v>0.1</v>
      </c>
      <c r="N80" s="3">
        <f t="shared" si="8"/>
        <v>0.1</v>
      </c>
      <c r="O80" s="3">
        <f t="shared" si="8"/>
        <v>0.1</v>
      </c>
      <c r="P80" s="3">
        <f t="shared" si="8"/>
        <v>0.1</v>
      </c>
    </row>
    <row r="81" spans="1:16">
      <c r="A81" s="84" t="s">
        <v>235</v>
      </c>
      <c r="B81" s="85" t="s">
        <v>234</v>
      </c>
      <c r="C81" s="85" t="s">
        <v>79</v>
      </c>
      <c r="D81" s="84" t="s">
        <v>87</v>
      </c>
      <c r="E81" s="84">
        <f>VLOOKUP(A81,'2a. SI Pop'!$A$5:$E$198,5,FALSE)</f>
        <v>1</v>
      </c>
      <c r="F81" s="3">
        <f>VLOOKUP(E81,Input!$G$5:$L$24,5,FALSE)</f>
        <v>0.1</v>
      </c>
      <c r="G81" s="3">
        <f t="shared" si="8"/>
        <v>0.1</v>
      </c>
      <c r="H81" s="3">
        <f t="shared" si="8"/>
        <v>0.1</v>
      </c>
      <c r="I81" s="3">
        <f t="shared" si="8"/>
        <v>0.1</v>
      </c>
      <c r="J81" s="3">
        <f t="shared" si="8"/>
        <v>0.1</v>
      </c>
      <c r="K81" s="3">
        <f t="shared" si="8"/>
        <v>0.1</v>
      </c>
      <c r="L81" s="3">
        <f t="shared" si="8"/>
        <v>0.1</v>
      </c>
      <c r="M81" s="3">
        <f t="shared" si="8"/>
        <v>0.1</v>
      </c>
      <c r="N81" s="3">
        <f t="shared" si="8"/>
        <v>0.1</v>
      </c>
      <c r="O81" s="3">
        <f t="shared" si="8"/>
        <v>0.1</v>
      </c>
      <c r="P81" s="3">
        <f t="shared" si="8"/>
        <v>0.1</v>
      </c>
    </row>
    <row r="82" spans="1:16">
      <c r="A82" s="84" t="s">
        <v>237</v>
      </c>
      <c r="B82" s="85" t="s">
        <v>236</v>
      </c>
      <c r="C82" s="85" t="s">
        <v>110</v>
      </c>
      <c r="D82" s="84" t="s">
        <v>84</v>
      </c>
      <c r="E82" s="84" t="str">
        <f>VLOOKUP(A82,'2a. SI Pop'!$A$5:$E$198,5,FALSE)</f>
        <v>Key</v>
      </c>
      <c r="F82" s="3">
        <f>VLOOKUP(A82,Input!$G$5:$L$24,5,FALSE)</f>
        <v>0.1</v>
      </c>
      <c r="G82" s="3">
        <f t="shared" si="8"/>
        <v>0.1</v>
      </c>
      <c r="H82" s="3">
        <f t="shared" si="8"/>
        <v>0.1</v>
      </c>
      <c r="I82" s="3">
        <f t="shared" si="8"/>
        <v>0.1</v>
      </c>
      <c r="J82" s="3">
        <f t="shared" si="8"/>
        <v>0.1</v>
      </c>
      <c r="K82" s="3">
        <f t="shared" si="8"/>
        <v>0.1</v>
      </c>
      <c r="L82" s="3">
        <f t="shared" si="8"/>
        <v>0.1</v>
      </c>
      <c r="M82" s="3">
        <f t="shared" si="8"/>
        <v>0.1</v>
      </c>
      <c r="N82" s="3">
        <f t="shared" si="8"/>
        <v>0.1</v>
      </c>
      <c r="O82" s="3">
        <f t="shared" si="8"/>
        <v>0.1</v>
      </c>
      <c r="P82" s="3">
        <f t="shared" si="8"/>
        <v>0.1</v>
      </c>
    </row>
    <row r="83" spans="1:16">
      <c r="A83" s="84" t="s">
        <v>239</v>
      </c>
      <c r="B83" s="85" t="s">
        <v>238</v>
      </c>
      <c r="C83" s="85" t="s">
        <v>110</v>
      </c>
      <c r="D83" s="84" t="s">
        <v>80</v>
      </c>
      <c r="E83" s="84" t="str">
        <f>VLOOKUP(A83,'2a. SI Pop'!$A$5:$E$198,5,FALSE)</f>
        <v>Key</v>
      </c>
      <c r="F83" s="3">
        <f>VLOOKUP(A83,Input!$G$5:$L$24,5,FALSE)</f>
        <v>0.1</v>
      </c>
      <c r="G83" s="3">
        <f t="shared" si="8"/>
        <v>0.1</v>
      </c>
      <c r="H83" s="3">
        <f t="shared" si="8"/>
        <v>0.1</v>
      </c>
      <c r="I83" s="3">
        <f t="shared" si="8"/>
        <v>0.1</v>
      </c>
      <c r="J83" s="3">
        <f t="shared" si="8"/>
        <v>0.1</v>
      </c>
      <c r="K83" s="3">
        <f t="shared" si="8"/>
        <v>0.1</v>
      </c>
      <c r="L83" s="3">
        <f t="shared" si="8"/>
        <v>0.1</v>
      </c>
      <c r="M83" s="3">
        <f t="shared" si="8"/>
        <v>0.1</v>
      </c>
      <c r="N83" s="3">
        <f t="shared" si="8"/>
        <v>0.1</v>
      </c>
      <c r="O83" s="3">
        <f t="shared" si="8"/>
        <v>0.1</v>
      </c>
      <c r="P83" s="3">
        <f t="shared" si="8"/>
        <v>0.1</v>
      </c>
    </row>
    <row r="84" spans="1:16">
      <c r="A84" s="84" t="s">
        <v>241</v>
      </c>
      <c r="B84" s="85" t="s">
        <v>240</v>
      </c>
      <c r="C84" s="85" t="s">
        <v>74</v>
      </c>
      <c r="D84" s="84" t="s">
        <v>80</v>
      </c>
      <c r="E84" s="84">
        <f>VLOOKUP(A84,'2a. SI Pop'!$A$5:$E$198,5,FALSE)</f>
        <v>2</v>
      </c>
      <c r="F84" s="3">
        <f>VLOOKUP(E84,Input!$G$5:$L$24,5,FALSE)</f>
        <v>0.1</v>
      </c>
      <c r="G84" s="3">
        <f t="shared" si="8"/>
        <v>0.1</v>
      </c>
      <c r="H84" s="3">
        <f t="shared" si="8"/>
        <v>0.1</v>
      </c>
      <c r="I84" s="3">
        <f t="shared" si="8"/>
        <v>0.1</v>
      </c>
      <c r="J84" s="3">
        <f t="shared" si="8"/>
        <v>0.1</v>
      </c>
      <c r="K84" s="3">
        <f t="shared" si="8"/>
        <v>0.1</v>
      </c>
      <c r="L84" s="3">
        <f t="shared" si="8"/>
        <v>0.1</v>
      </c>
      <c r="M84" s="3">
        <f t="shared" si="8"/>
        <v>0.1</v>
      </c>
      <c r="N84" s="3">
        <f t="shared" si="8"/>
        <v>0.1</v>
      </c>
      <c r="O84" s="3">
        <f t="shared" si="8"/>
        <v>0.1</v>
      </c>
      <c r="P84" s="3">
        <f t="shared" si="8"/>
        <v>0.1</v>
      </c>
    </row>
    <row r="85" spans="1:16">
      <c r="A85" s="84" t="s">
        <v>243</v>
      </c>
      <c r="B85" s="85" t="s">
        <v>242</v>
      </c>
      <c r="C85" s="85" t="s">
        <v>74</v>
      </c>
      <c r="D85" s="84" t="s">
        <v>80</v>
      </c>
      <c r="E85" s="84">
        <f>VLOOKUP(A85,'2a. SI Pop'!$A$5:$E$198,5,FALSE)</f>
        <v>2</v>
      </c>
      <c r="F85" s="3">
        <f>VLOOKUP(E85,Input!$G$5:$L$24,5,FALSE)</f>
        <v>0.1</v>
      </c>
      <c r="G85" s="3">
        <f t="shared" si="8"/>
        <v>0.1</v>
      </c>
      <c r="H85" s="3">
        <f t="shared" si="8"/>
        <v>0.1</v>
      </c>
      <c r="I85" s="3">
        <f t="shared" si="8"/>
        <v>0.1</v>
      </c>
      <c r="J85" s="3">
        <f t="shared" si="8"/>
        <v>0.1</v>
      </c>
      <c r="K85" s="3">
        <f t="shared" si="8"/>
        <v>0.1</v>
      </c>
      <c r="L85" s="3">
        <f t="shared" si="8"/>
        <v>0.1</v>
      </c>
      <c r="M85" s="3">
        <f t="shared" si="8"/>
        <v>0.1</v>
      </c>
      <c r="N85" s="3">
        <f t="shared" si="8"/>
        <v>0.1</v>
      </c>
      <c r="O85" s="3">
        <f t="shared" si="8"/>
        <v>0.1</v>
      </c>
      <c r="P85" s="3">
        <f t="shared" si="8"/>
        <v>0.1</v>
      </c>
    </row>
    <row r="86" spans="1:16">
      <c r="A86" s="84" t="s">
        <v>245</v>
      </c>
      <c r="B86" s="85" t="s">
        <v>244</v>
      </c>
      <c r="C86" s="85" t="s">
        <v>79</v>
      </c>
      <c r="D86" s="84" t="s">
        <v>87</v>
      </c>
      <c r="E86" s="84">
        <f>VLOOKUP(A86,'2a. SI Pop'!$A$5:$E$198,5,FALSE)</f>
        <v>1</v>
      </c>
      <c r="F86" s="3">
        <f>VLOOKUP(E86,Input!$G$5:$L$24,5,FALSE)</f>
        <v>0.1</v>
      </c>
      <c r="G86" s="3">
        <f t="shared" ref="G86:P101" si="9">F86</f>
        <v>0.1</v>
      </c>
      <c r="H86" s="3">
        <f t="shared" si="9"/>
        <v>0.1</v>
      </c>
      <c r="I86" s="3">
        <f t="shared" si="9"/>
        <v>0.1</v>
      </c>
      <c r="J86" s="3">
        <f t="shared" si="9"/>
        <v>0.1</v>
      </c>
      <c r="K86" s="3">
        <f t="shared" si="9"/>
        <v>0.1</v>
      </c>
      <c r="L86" s="3">
        <f t="shared" si="9"/>
        <v>0.1</v>
      </c>
      <c r="M86" s="3">
        <f t="shared" si="9"/>
        <v>0.1</v>
      </c>
      <c r="N86" s="3">
        <f t="shared" si="9"/>
        <v>0.1</v>
      </c>
      <c r="O86" s="3">
        <f t="shared" si="9"/>
        <v>0.1</v>
      </c>
      <c r="P86" s="3">
        <f t="shared" si="9"/>
        <v>0.1</v>
      </c>
    </row>
    <row r="87" spans="1:16">
      <c r="A87" s="84" t="s">
        <v>247</v>
      </c>
      <c r="B87" s="85" t="s">
        <v>246</v>
      </c>
      <c r="C87" s="85" t="s">
        <v>79</v>
      </c>
      <c r="D87" s="84" t="s">
        <v>87</v>
      </c>
      <c r="E87" s="84">
        <f>VLOOKUP(A87,'2a. SI Pop'!$A$5:$E$198,5,FALSE)</f>
        <v>1</v>
      </c>
      <c r="F87" s="3">
        <f>VLOOKUP(E87,Input!$G$5:$L$24,5,FALSE)</f>
        <v>0.1</v>
      </c>
      <c r="G87" s="3">
        <f t="shared" si="9"/>
        <v>0.1</v>
      </c>
      <c r="H87" s="3">
        <f t="shared" si="9"/>
        <v>0.1</v>
      </c>
      <c r="I87" s="3">
        <f t="shared" si="9"/>
        <v>0.1</v>
      </c>
      <c r="J87" s="3">
        <f t="shared" si="9"/>
        <v>0.1</v>
      </c>
      <c r="K87" s="3">
        <f t="shared" si="9"/>
        <v>0.1</v>
      </c>
      <c r="L87" s="3">
        <f t="shared" si="9"/>
        <v>0.1</v>
      </c>
      <c r="M87" s="3">
        <f t="shared" si="9"/>
        <v>0.1</v>
      </c>
      <c r="N87" s="3">
        <f t="shared" si="9"/>
        <v>0.1</v>
      </c>
      <c r="O87" s="3">
        <f t="shared" si="9"/>
        <v>0.1</v>
      </c>
      <c r="P87" s="3">
        <f t="shared" si="9"/>
        <v>0.1</v>
      </c>
    </row>
    <row r="88" spans="1:16">
      <c r="A88" s="84" t="s">
        <v>249</v>
      </c>
      <c r="B88" s="85" t="s">
        <v>248</v>
      </c>
      <c r="C88" s="85" t="s">
        <v>79</v>
      </c>
      <c r="D88" s="84" t="s">
        <v>87</v>
      </c>
      <c r="E88" s="84">
        <f>VLOOKUP(A88,'2a. SI Pop'!$A$5:$E$198,5,FALSE)</f>
        <v>1</v>
      </c>
      <c r="F88" s="3">
        <f>VLOOKUP(E88,Input!$G$5:$L$24,5,FALSE)</f>
        <v>0.1</v>
      </c>
      <c r="G88" s="3">
        <f t="shared" si="9"/>
        <v>0.1</v>
      </c>
      <c r="H88" s="3">
        <f t="shared" si="9"/>
        <v>0.1</v>
      </c>
      <c r="I88" s="3">
        <f t="shared" si="9"/>
        <v>0.1</v>
      </c>
      <c r="J88" s="3">
        <f t="shared" si="9"/>
        <v>0.1</v>
      </c>
      <c r="K88" s="3">
        <f t="shared" si="9"/>
        <v>0.1</v>
      </c>
      <c r="L88" s="3">
        <f t="shared" si="9"/>
        <v>0.1</v>
      </c>
      <c r="M88" s="3">
        <f t="shared" si="9"/>
        <v>0.1</v>
      </c>
      <c r="N88" s="3">
        <f t="shared" si="9"/>
        <v>0.1</v>
      </c>
      <c r="O88" s="3">
        <f t="shared" si="9"/>
        <v>0.1</v>
      </c>
      <c r="P88" s="3">
        <f t="shared" si="9"/>
        <v>0.1</v>
      </c>
    </row>
    <row r="89" spans="1:16">
      <c r="A89" s="84" t="s">
        <v>251</v>
      </c>
      <c r="B89" s="85" t="s">
        <v>250</v>
      </c>
      <c r="C89" s="85" t="s">
        <v>92</v>
      </c>
      <c r="D89" s="84" t="s">
        <v>80</v>
      </c>
      <c r="E89" s="84">
        <f>VLOOKUP(A89,'2a. SI Pop'!$A$5:$E$198,5,FALSE)</f>
        <v>1</v>
      </c>
      <c r="F89" s="3">
        <f>VLOOKUP(E89,Input!$G$5:$L$24,5,FALSE)</f>
        <v>0.1</v>
      </c>
      <c r="G89" s="3">
        <f t="shared" si="9"/>
        <v>0.1</v>
      </c>
      <c r="H89" s="3">
        <f t="shared" si="9"/>
        <v>0.1</v>
      </c>
      <c r="I89" s="3">
        <f t="shared" si="9"/>
        <v>0.1</v>
      </c>
      <c r="J89" s="3">
        <f t="shared" si="9"/>
        <v>0.1</v>
      </c>
      <c r="K89" s="3">
        <f t="shared" si="9"/>
        <v>0.1</v>
      </c>
      <c r="L89" s="3">
        <f t="shared" si="9"/>
        <v>0.1</v>
      </c>
      <c r="M89" s="3">
        <f t="shared" si="9"/>
        <v>0.1</v>
      </c>
      <c r="N89" s="3">
        <f t="shared" si="9"/>
        <v>0.1</v>
      </c>
      <c r="O89" s="3">
        <f t="shared" si="9"/>
        <v>0.1</v>
      </c>
      <c r="P89" s="3">
        <f t="shared" si="9"/>
        <v>0.1</v>
      </c>
    </row>
    <row r="90" spans="1:16">
      <c r="A90" s="84" t="s">
        <v>253</v>
      </c>
      <c r="B90" s="85" t="s">
        <v>252</v>
      </c>
      <c r="C90" s="85" t="s">
        <v>99</v>
      </c>
      <c r="D90" s="84" t="s">
        <v>87</v>
      </c>
      <c r="E90" s="84">
        <f>VLOOKUP(A90,'2a. SI Pop'!$A$5:$E$198,5,FALSE)</f>
        <v>4</v>
      </c>
      <c r="F90" s="3">
        <f>VLOOKUP(E90,Input!$G$5:$L$24,5,FALSE)</f>
        <v>0.1</v>
      </c>
      <c r="G90" s="3">
        <f t="shared" si="9"/>
        <v>0.1</v>
      </c>
      <c r="H90" s="3">
        <f t="shared" si="9"/>
        <v>0.1</v>
      </c>
      <c r="I90" s="3">
        <f t="shared" si="9"/>
        <v>0.1</v>
      </c>
      <c r="J90" s="3">
        <f t="shared" si="9"/>
        <v>0.1</v>
      </c>
      <c r="K90" s="3">
        <f t="shared" si="9"/>
        <v>0.1</v>
      </c>
      <c r="L90" s="3">
        <f t="shared" si="9"/>
        <v>0.1</v>
      </c>
      <c r="M90" s="3">
        <f t="shared" si="9"/>
        <v>0.1</v>
      </c>
      <c r="N90" s="3">
        <f t="shared" si="9"/>
        <v>0.1</v>
      </c>
      <c r="O90" s="3">
        <f t="shared" si="9"/>
        <v>0.1</v>
      </c>
      <c r="P90" s="3">
        <f t="shared" si="9"/>
        <v>0.1</v>
      </c>
    </row>
    <row r="91" spans="1:16">
      <c r="A91" s="84" t="s">
        <v>255</v>
      </c>
      <c r="B91" s="85" t="s">
        <v>254</v>
      </c>
      <c r="C91" s="85" t="s">
        <v>74</v>
      </c>
      <c r="D91" s="84" t="s">
        <v>80</v>
      </c>
      <c r="E91" s="84">
        <f>VLOOKUP(A91,'2a. SI Pop'!$A$5:$E$198,5,FALSE)</f>
        <v>2</v>
      </c>
      <c r="F91" s="3">
        <f>VLOOKUP(E91,Input!$G$5:$L$24,5,FALSE)</f>
        <v>0.1</v>
      </c>
      <c r="G91" s="3">
        <f t="shared" si="9"/>
        <v>0.1</v>
      </c>
      <c r="H91" s="3">
        <f t="shared" si="9"/>
        <v>0.1</v>
      </c>
      <c r="I91" s="3">
        <f t="shared" si="9"/>
        <v>0.1</v>
      </c>
      <c r="J91" s="3">
        <f t="shared" si="9"/>
        <v>0.1</v>
      </c>
      <c r="K91" s="3">
        <f t="shared" si="9"/>
        <v>0.1</v>
      </c>
      <c r="L91" s="3">
        <f t="shared" si="9"/>
        <v>0.1</v>
      </c>
      <c r="M91" s="3">
        <f t="shared" si="9"/>
        <v>0.1</v>
      </c>
      <c r="N91" s="3">
        <f t="shared" si="9"/>
        <v>0.1</v>
      </c>
      <c r="O91" s="3">
        <f t="shared" si="9"/>
        <v>0.1</v>
      </c>
      <c r="P91" s="3">
        <f t="shared" si="9"/>
        <v>0.1</v>
      </c>
    </row>
    <row r="92" spans="1:16">
      <c r="A92" s="84" t="s">
        <v>257</v>
      </c>
      <c r="B92" s="85" t="s">
        <v>256</v>
      </c>
      <c r="C92" s="85" t="s">
        <v>79</v>
      </c>
      <c r="D92" s="84" t="s">
        <v>80</v>
      </c>
      <c r="E92" s="84">
        <f>VLOOKUP(A92,'2a. SI Pop'!$A$5:$E$198,5,FALSE)</f>
        <v>2</v>
      </c>
      <c r="F92" s="3">
        <f>VLOOKUP(E92,Input!$G$5:$L$24,5,FALSE)</f>
        <v>0.1</v>
      </c>
      <c r="G92" s="3">
        <f t="shared" si="9"/>
        <v>0.1</v>
      </c>
      <c r="H92" s="3">
        <f t="shared" si="9"/>
        <v>0.1</v>
      </c>
      <c r="I92" s="3">
        <f t="shared" si="9"/>
        <v>0.1</v>
      </c>
      <c r="J92" s="3">
        <f t="shared" si="9"/>
        <v>0.1</v>
      </c>
      <c r="K92" s="3">
        <f t="shared" si="9"/>
        <v>0.1</v>
      </c>
      <c r="L92" s="3">
        <f t="shared" si="9"/>
        <v>0.1</v>
      </c>
      <c r="M92" s="3">
        <f t="shared" si="9"/>
        <v>0.1</v>
      </c>
      <c r="N92" s="3">
        <f t="shared" si="9"/>
        <v>0.1</v>
      </c>
      <c r="O92" s="3">
        <f t="shared" si="9"/>
        <v>0.1</v>
      </c>
      <c r="P92" s="3">
        <f t="shared" si="9"/>
        <v>0.1</v>
      </c>
    </row>
    <row r="93" spans="1:16">
      <c r="A93" s="84" t="s">
        <v>259</v>
      </c>
      <c r="B93" s="85" t="s">
        <v>258</v>
      </c>
      <c r="C93" s="85" t="s">
        <v>83</v>
      </c>
      <c r="D93" s="84" t="s">
        <v>84</v>
      </c>
      <c r="E93" s="84">
        <f>VLOOKUP(A93,'2a. SI Pop'!$A$5:$E$198,5,FALSE)</f>
        <v>3</v>
      </c>
      <c r="F93" s="3">
        <f>VLOOKUP(E93,Input!$G$5:$L$24,5,FALSE)</f>
        <v>0.1</v>
      </c>
      <c r="G93" s="3">
        <f t="shared" si="9"/>
        <v>0.1</v>
      </c>
      <c r="H93" s="3">
        <f t="shared" si="9"/>
        <v>0.1</v>
      </c>
      <c r="I93" s="3">
        <f t="shared" si="9"/>
        <v>0.1</v>
      </c>
      <c r="J93" s="3">
        <f t="shared" si="9"/>
        <v>0.1</v>
      </c>
      <c r="K93" s="3">
        <f t="shared" si="9"/>
        <v>0.1</v>
      </c>
      <c r="L93" s="3">
        <f t="shared" si="9"/>
        <v>0.1</v>
      </c>
      <c r="M93" s="3">
        <f t="shared" si="9"/>
        <v>0.1</v>
      </c>
      <c r="N93" s="3">
        <f t="shared" si="9"/>
        <v>0.1</v>
      </c>
      <c r="O93" s="3">
        <f t="shared" si="9"/>
        <v>0.1</v>
      </c>
      <c r="P93" s="3">
        <f t="shared" si="9"/>
        <v>0.1</v>
      </c>
    </row>
    <row r="94" spans="1:16">
      <c r="A94" s="84" t="s">
        <v>261</v>
      </c>
      <c r="B94" s="85" t="s">
        <v>260</v>
      </c>
      <c r="C94" s="85" t="s">
        <v>99</v>
      </c>
      <c r="D94" s="84" t="s">
        <v>84</v>
      </c>
      <c r="E94" s="84">
        <f>VLOOKUP(A94,'2a. SI Pop'!$A$5:$E$198,5,FALSE)</f>
        <v>4</v>
      </c>
      <c r="F94" s="3">
        <f>VLOOKUP(E94,Input!$G$5:$L$24,5,FALSE)</f>
        <v>0.1</v>
      </c>
      <c r="G94" s="3">
        <f t="shared" si="9"/>
        <v>0.1</v>
      </c>
      <c r="H94" s="3">
        <f t="shared" si="9"/>
        <v>0.1</v>
      </c>
      <c r="I94" s="3">
        <f t="shared" si="9"/>
        <v>0.1</v>
      </c>
      <c r="J94" s="3">
        <f t="shared" si="9"/>
        <v>0.1</v>
      </c>
      <c r="K94" s="3">
        <f t="shared" si="9"/>
        <v>0.1</v>
      </c>
      <c r="L94" s="3">
        <f t="shared" si="9"/>
        <v>0.1</v>
      </c>
      <c r="M94" s="3">
        <f t="shared" si="9"/>
        <v>0.1</v>
      </c>
      <c r="N94" s="3">
        <f t="shared" si="9"/>
        <v>0.1</v>
      </c>
      <c r="O94" s="3">
        <f t="shared" si="9"/>
        <v>0.1</v>
      </c>
      <c r="P94" s="3">
        <f t="shared" si="9"/>
        <v>0.1</v>
      </c>
    </row>
    <row r="95" spans="1:16">
      <c r="A95" s="84" t="s">
        <v>263</v>
      </c>
      <c r="B95" s="85" t="s">
        <v>262</v>
      </c>
      <c r="C95" s="85" t="s">
        <v>99</v>
      </c>
      <c r="D95" s="84" t="s">
        <v>87</v>
      </c>
      <c r="E95" s="84">
        <f>VLOOKUP(A95,'2a. SI Pop'!$A$5:$E$198,5,FALSE)</f>
        <v>1</v>
      </c>
      <c r="F95" s="3">
        <f>VLOOKUP(E95,Input!$G$5:$L$24,5,FALSE)</f>
        <v>0.1</v>
      </c>
      <c r="G95" s="3">
        <f t="shared" si="9"/>
        <v>0.1</v>
      </c>
      <c r="H95" s="3">
        <f t="shared" si="9"/>
        <v>0.1</v>
      </c>
      <c r="I95" s="3">
        <f t="shared" si="9"/>
        <v>0.1</v>
      </c>
      <c r="J95" s="3">
        <f t="shared" si="9"/>
        <v>0.1</v>
      </c>
      <c r="K95" s="3">
        <f t="shared" si="9"/>
        <v>0.1</v>
      </c>
      <c r="L95" s="3">
        <f t="shared" si="9"/>
        <v>0.1</v>
      </c>
      <c r="M95" s="3">
        <f t="shared" si="9"/>
        <v>0.1</v>
      </c>
      <c r="N95" s="3">
        <f t="shared" si="9"/>
        <v>0.1</v>
      </c>
      <c r="O95" s="3">
        <f t="shared" si="9"/>
        <v>0.1</v>
      </c>
      <c r="P95" s="3">
        <f t="shared" si="9"/>
        <v>0.1</v>
      </c>
    </row>
    <row r="96" spans="1:16">
      <c r="A96" s="84" t="s">
        <v>265</v>
      </c>
      <c r="B96" s="85" t="s">
        <v>264</v>
      </c>
      <c r="C96" s="85" t="s">
        <v>74</v>
      </c>
      <c r="D96" s="84" t="s">
        <v>87</v>
      </c>
      <c r="E96" s="84">
        <f>VLOOKUP(A96,'2a. SI Pop'!$A$5:$E$198,5,FALSE)</f>
        <v>1</v>
      </c>
      <c r="F96" s="3">
        <f>VLOOKUP(E96,Input!$G$5:$L$24,5,FALSE)</f>
        <v>0.1</v>
      </c>
      <c r="G96" s="3">
        <f t="shared" si="9"/>
        <v>0.1</v>
      </c>
      <c r="H96" s="3">
        <f t="shared" si="9"/>
        <v>0.1</v>
      </c>
      <c r="I96" s="3">
        <f t="shared" si="9"/>
        <v>0.1</v>
      </c>
      <c r="J96" s="3">
        <f t="shared" si="9"/>
        <v>0.1</v>
      </c>
      <c r="K96" s="3">
        <f t="shared" si="9"/>
        <v>0.1</v>
      </c>
      <c r="L96" s="3">
        <f t="shared" si="9"/>
        <v>0.1</v>
      </c>
      <c r="M96" s="3">
        <f t="shared" si="9"/>
        <v>0.1</v>
      </c>
      <c r="N96" s="3">
        <f t="shared" si="9"/>
        <v>0.1</v>
      </c>
      <c r="O96" s="3">
        <f t="shared" si="9"/>
        <v>0.1</v>
      </c>
      <c r="P96" s="3">
        <f t="shared" si="9"/>
        <v>0.1</v>
      </c>
    </row>
    <row r="97" spans="1:16">
      <c r="A97" s="84" t="s">
        <v>267</v>
      </c>
      <c r="B97" s="85" t="s">
        <v>266</v>
      </c>
      <c r="C97" s="85" t="s">
        <v>79</v>
      </c>
      <c r="D97" s="84" t="s">
        <v>84</v>
      </c>
      <c r="E97" s="84">
        <f>VLOOKUP(A97,'2a. SI Pop'!$A$5:$E$198,5,FALSE)</f>
        <v>1</v>
      </c>
      <c r="F97" s="3">
        <f>VLOOKUP(E97,Input!$G$5:$L$24,5,FALSE)</f>
        <v>0.1</v>
      </c>
      <c r="G97" s="3">
        <f t="shared" si="9"/>
        <v>0.1</v>
      </c>
      <c r="H97" s="3">
        <f t="shared" si="9"/>
        <v>0.1</v>
      </c>
      <c r="I97" s="3">
        <f t="shared" si="9"/>
        <v>0.1</v>
      </c>
      <c r="J97" s="3">
        <f t="shared" si="9"/>
        <v>0.1</v>
      </c>
      <c r="K97" s="3">
        <f t="shared" si="9"/>
        <v>0.1</v>
      </c>
      <c r="L97" s="3">
        <f t="shared" si="9"/>
        <v>0.1</v>
      </c>
      <c r="M97" s="3">
        <f t="shared" si="9"/>
        <v>0.1</v>
      </c>
      <c r="N97" s="3">
        <f t="shared" si="9"/>
        <v>0.1</v>
      </c>
      <c r="O97" s="3">
        <f t="shared" si="9"/>
        <v>0.1</v>
      </c>
      <c r="P97" s="3">
        <f t="shared" si="9"/>
        <v>0.1</v>
      </c>
    </row>
    <row r="98" spans="1:16">
      <c r="A98" s="84" t="s">
        <v>269</v>
      </c>
      <c r="B98" s="85" t="s">
        <v>268</v>
      </c>
      <c r="C98" s="85" t="s">
        <v>99</v>
      </c>
      <c r="D98" s="84" t="s">
        <v>84</v>
      </c>
      <c r="E98" s="84">
        <f>VLOOKUP(A98,'2a. SI Pop'!$A$5:$E$198,5,FALSE)</f>
        <v>4</v>
      </c>
      <c r="F98" s="3">
        <f>VLOOKUP(E98,Input!$G$5:$L$24,5,FALSE)</f>
        <v>0.1</v>
      </c>
      <c r="G98" s="3">
        <f t="shared" si="9"/>
        <v>0.1</v>
      </c>
      <c r="H98" s="3">
        <f t="shared" si="9"/>
        <v>0.1</v>
      </c>
      <c r="I98" s="3">
        <f t="shared" si="9"/>
        <v>0.1</v>
      </c>
      <c r="J98" s="3">
        <f t="shared" si="9"/>
        <v>0.1</v>
      </c>
      <c r="K98" s="3">
        <f t="shared" si="9"/>
        <v>0.1</v>
      </c>
      <c r="L98" s="3">
        <f t="shared" si="9"/>
        <v>0.1</v>
      </c>
      <c r="M98" s="3">
        <f t="shared" si="9"/>
        <v>0.1</v>
      </c>
      <c r="N98" s="3">
        <f t="shared" si="9"/>
        <v>0.1</v>
      </c>
      <c r="O98" s="3">
        <f t="shared" si="9"/>
        <v>0.1</v>
      </c>
      <c r="P98" s="3">
        <f t="shared" si="9"/>
        <v>0.1</v>
      </c>
    </row>
    <row r="99" spans="1:16">
      <c r="A99" s="84" t="s">
        <v>271</v>
      </c>
      <c r="B99" s="85" t="s">
        <v>270</v>
      </c>
      <c r="C99" s="85" t="s">
        <v>79</v>
      </c>
      <c r="D99" s="84" t="s">
        <v>87</v>
      </c>
      <c r="E99" s="84">
        <f>VLOOKUP(A99,'2a. SI Pop'!$A$5:$E$198,5,FALSE)</f>
        <v>1</v>
      </c>
      <c r="F99" s="3">
        <f>VLOOKUP(E99,Input!$G$5:$L$24,5,FALSE)</f>
        <v>0.1</v>
      </c>
      <c r="G99" s="3">
        <f t="shared" si="9"/>
        <v>0.1</v>
      </c>
      <c r="H99" s="3">
        <f t="shared" si="9"/>
        <v>0.1</v>
      </c>
      <c r="I99" s="3">
        <f t="shared" si="9"/>
        <v>0.1</v>
      </c>
      <c r="J99" s="3">
        <f t="shared" si="9"/>
        <v>0.1</v>
      </c>
      <c r="K99" s="3">
        <f t="shared" si="9"/>
        <v>0.1</v>
      </c>
      <c r="L99" s="3">
        <f t="shared" si="9"/>
        <v>0.1</v>
      </c>
      <c r="M99" s="3">
        <f t="shared" si="9"/>
        <v>0.1</v>
      </c>
      <c r="N99" s="3">
        <f t="shared" si="9"/>
        <v>0.1</v>
      </c>
      <c r="O99" s="3">
        <f t="shared" si="9"/>
        <v>0.1</v>
      </c>
      <c r="P99" s="3">
        <f t="shared" si="9"/>
        <v>0.1</v>
      </c>
    </row>
    <row r="100" spans="1:16">
      <c r="A100" s="84" t="s">
        <v>273</v>
      </c>
      <c r="B100" s="85" t="s">
        <v>272</v>
      </c>
      <c r="C100" s="85" t="s">
        <v>74</v>
      </c>
      <c r="D100" s="84" t="s">
        <v>80</v>
      </c>
      <c r="E100" s="84">
        <f>VLOOKUP(A100,'2a. SI Pop'!$A$5:$E$198,5,FALSE)</f>
        <v>2</v>
      </c>
      <c r="F100" s="3">
        <f>VLOOKUP(E100,Input!$G$5:$L$24,5,FALSE)</f>
        <v>0.1</v>
      </c>
      <c r="G100" s="3">
        <f t="shared" si="9"/>
        <v>0.1</v>
      </c>
      <c r="H100" s="3">
        <f t="shared" si="9"/>
        <v>0.1</v>
      </c>
      <c r="I100" s="3">
        <f t="shared" si="9"/>
        <v>0.1</v>
      </c>
      <c r="J100" s="3">
        <f t="shared" si="9"/>
        <v>0.1</v>
      </c>
      <c r="K100" s="3">
        <f t="shared" si="9"/>
        <v>0.1</v>
      </c>
      <c r="L100" s="3">
        <f t="shared" si="9"/>
        <v>0.1</v>
      </c>
      <c r="M100" s="3">
        <f t="shared" si="9"/>
        <v>0.1</v>
      </c>
      <c r="N100" s="3">
        <f t="shared" si="9"/>
        <v>0.1</v>
      </c>
      <c r="O100" s="3">
        <f t="shared" si="9"/>
        <v>0.1</v>
      </c>
      <c r="P100" s="3">
        <f t="shared" si="9"/>
        <v>0.1</v>
      </c>
    </row>
    <row r="101" spans="1:16">
      <c r="A101" s="84" t="s">
        <v>275</v>
      </c>
      <c r="B101" s="85" t="s">
        <v>274</v>
      </c>
      <c r="C101" s="85" t="s">
        <v>83</v>
      </c>
      <c r="D101" s="84" t="s">
        <v>84</v>
      </c>
      <c r="E101" s="84">
        <f>VLOOKUP(A101,'2a. SI Pop'!$A$5:$E$198,5,FALSE)</f>
        <v>3</v>
      </c>
      <c r="F101" s="3">
        <f>VLOOKUP(E101,Input!$G$5:$L$24,5,FALSE)</f>
        <v>0.1</v>
      </c>
      <c r="G101" s="3">
        <f t="shared" si="9"/>
        <v>0.1</v>
      </c>
      <c r="H101" s="3">
        <f t="shared" si="9"/>
        <v>0.1</v>
      </c>
      <c r="I101" s="3">
        <f t="shared" si="9"/>
        <v>0.1</v>
      </c>
      <c r="J101" s="3">
        <f t="shared" si="9"/>
        <v>0.1</v>
      </c>
      <c r="K101" s="3">
        <f t="shared" si="9"/>
        <v>0.1</v>
      </c>
      <c r="L101" s="3">
        <f t="shared" si="9"/>
        <v>0.1</v>
      </c>
      <c r="M101" s="3">
        <f t="shared" si="9"/>
        <v>0.1</v>
      </c>
      <c r="N101" s="3">
        <f t="shared" si="9"/>
        <v>0.1</v>
      </c>
      <c r="O101" s="3">
        <f t="shared" si="9"/>
        <v>0.1</v>
      </c>
      <c r="P101" s="3">
        <f t="shared" si="9"/>
        <v>0.1</v>
      </c>
    </row>
    <row r="102" spans="1:16">
      <c r="A102" s="84" t="s">
        <v>277</v>
      </c>
      <c r="B102" s="85" t="s">
        <v>276</v>
      </c>
      <c r="C102" s="85" t="s">
        <v>83</v>
      </c>
      <c r="D102" s="84" t="s">
        <v>75</v>
      </c>
      <c r="E102" s="84">
        <f>VLOOKUP(A102,'2a. SI Pop'!$A$5:$E$198,5,FALSE)</f>
        <v>3</v>
      </c>
      <c r="F102" s="3">
        <f>VLOOKUP(E102,Input!$G$5:$L$24,5,FALSE)</f>
        <v>0.1</v>
      </c>
      <c r="G102" s="3">
        <f t="shared" ref="G102:P117" si="10">F102</f>
        <v>0.1</v>
      </c>
      <c r="H102" s="3">
        <f t="shared" si="10"/>
        <v>0.1</v>
      </c>
      <c r="I102" s="3">
        <f t="shared" si="10"/>
        <v>0.1</v>
      </c>
      <c r="J102" s="3">
        <f t="shared" si="10"/>
        <v>0.1</v>
      </c>
      <c r="K102" s="3">
        <f t="shared" si="10"/>
        <v>0.1</v>
      </c>
      <c r="L102" s="3">
        <f t="shared" si="10"/>
        <v>0.1</v>
      </c>
      <c r="M102" s="3">
        <f t="shared" si="10"/>
        <v>0.1</v>
      </c>
      <c r="N102" s="3">
        <f t="shared" si="10"/>
        <v>0.1</v>
      </c>
      <c r="O102" s="3">
        <f t="shared" si="10"/>
        <v>0.1</v>
      </c>
      <c r="P102" s="3">
        <f t="shared" si="10"/>
        <v>0.1</v>
      </c>
    </row>
    <row r="103" spans="1:16">
      <c r="A103" s="84" t="s">
        <v>279</v>
      </c>
      <c r="B103" s="85" t="s">
        <v>278</v>
      </c>
      <c r="C103" s="85" t="s">
        <v>74</v>
      </c>
      <c r="D103" s="84" t="s">
        <v>80</v>
      </c>
      <c r="E103" s="84">
        <f>VLOOKUP(A103,'2a. SI Pop'!$A$5:$E$198,5,FALSE)</f>
        <v>2</v>
      </c>
      <c r="F103" s="3">
        <f>VLOOKUP(E103,Input!$G$5:$L$24,5,FALSE)</f>
        <v>0.1</v>
      </c>
      <c r="G103" s="3">
        <f t="shared" si="10"/>
        <v>0.1</v>
      </c>
      <c r="H103" s="3">
        <f t="shared" si="10"/>
        <v>0.1</v>
      </c>
      <c r="I103" s="3">
        <f t="shared" si="10"/>
        <v>0.1</v>
      </c>
      <c r="J103" s="3">
        <f t="shared" si="10"/>
        <v>0.1</v>
      </c>
      <c r="K103" s="3">
        <f t="shared" si="10"/>
        <v>0.1</v>
      </c>
      <c r="L103" s="3">
        <f t="shared" si="10"/>
        <v>0.1</v>
      </c>
      <c r="M103" s="3">
        <f t="shared" si="10"/>
        <v>0.1</v>
      </c>
      <c r="N103" s="3">
        <f t="shared" si="10"/>
        <v>0.1</v>
      </c>
      <c r="O103" s="3">
        <f t="shared" si="10"/>
        <v>0.1</v>
      </c>
      <c r="P103" s="3">
        <f t="shared" si="10"/>
        <v>0.1</v>
      </c>
    </row>
    <row r="104" spans="1:16">
      <c r="A104" s="84" t="s">
        <v>281</v>
      </c>
      <c r="B104" s="85" t="s">
        <v>280</v>
      </c>
      <c r="C104" s="85" t="s">
        <v>79</v>
      </c>
      <c r="D104" s="84" t="s">
        <v>87</v>
      </c>
      <c r="E104" s="84">
        <f>VLOOKUP(A104,'2a. SI Pop'!$A$5:$E$198,5,FALSE)</f>
        <v>1</v>
      </c>
      <c r="F104" s="3">
        <f>VLOOKUP(E104,Input!$G$5:$L$24,5,FALSE)</f>
        <v>0.1</v>
      </c>
      <c r="G104" s="3">
        <f t="shared" si="10"/>
        <v>0.1</v>
      </c>
      <c r="H104" s="3">
        <f t="shared" si="10"/>
        <v>0.1</v>
      </c>
      <c r="I104" s="3">
        <f t="shared" si="10"/>
        <v>0.1</v>
      </c>
      <c r="J104" s="3">
        <f t="shared" si="10"/>
        <v>0.1</v>
      </c>
      <c r="K104" s="3">
        <f t="shared" si="10"/>
        <v>0.1</v>
      </c>
      <c r="L104" s="3">
        <f t="shared" si="10"/>
        <v>0.1</v>
      </c>
      <c r="M104" s="3">
        <f t="shared" si="10"/>
        <v>0.1</v>
      </c>
      <c r="N104" s="3">
        <f t="shared" si="10"/>
        <v>0.1</v>
      </c>
      <c r="O104" s="3">
        <f t="shared" si="10"/>
        <v>0.1</v>
      </c>
      <c r="P104" s="3">
        <f t="shared" si="10"/>
        <v>0.1</v>
      </c>
    </row>
    <row r="105" spans="1:16">
      <c r="A105" s="84" t="s">
        <v>283</v>
      </c>
      <c r="B105" s="85" t="s">
        <v>282</v>
      </c>
      <c r="C105" s="85" t="s">
        <v>79</v>
      </c>
      <c r="D105" s="84" t="s">
        <v>87</v>
      </c>
      <c r="E105" s="84">
        <f>VLOOKUP(A105,'2a. SI Pop'!$A$5:$E$198,5,FALSE)</f>
        <v>1</v>
      </c>
      <c r="F105" s="3">
        <f>VLOOKUP(E105,Input!$G$5:$L$24,5,FALSE)</f>
        <v>0.1</v>
      </c>
      <c r="G105" s="3">
        <f t="shared" si="10"/>
        <v>0.1</v>
      </c>
      <c r="H105" s="3">
        <f t="shared" si="10"/>
        <v>0.1</v>
      </c>
      <c r="I105" s="3">
        <f t="shared" si="10"/>
        <v>0.1</v>
      </c>
      <c r="J105" s="3">
        <f t="shared" si="10"/>
        <v>0.1</v>
      </c>
      <c r="K105" s="3">
        <f t="shared" si="10"/>
        <v>0.1</v>
      </c>
      <c r="L105" s="3">
        <f t="shared" si="10"/>
        <v>0.1</v>
      </c>
      <c r="M105" s="3">
        <f t="shared" si="10"/>
        <v>0.1</v>
      </c>
      <c r="N105" s="3">
        <f t="shared" si="10"/>
        <v>0.1</v>
      </c>
      <c r="O105" s="3">
        <f t="shared" si="10"/>
        <v>0.1</v>
      </c>
      <c r="P105" s="3">
        <f t="shared" si="10"/>
        <v>0.1</v>
      </c>
    </row>
    <row r="106" spans="1:16">
      <c r="A106" s="84" t="s">
        <v>285</v>
      </c>
      <c r="B106" s="85" t="s">
        <v>284</v>
      </c>
      <c r="C106" s="85" t="s">
        <v>79</v>
      </c>
      <c r="D106" s="84" t="s">
        <v>80</v>
      </c>
      <c r="E106" s="84">
        <f>VLOOKUP(A106,'2a. SI Pop'!$A$5:$E$198,5,FALSE)</f>
        <v>1</v>
      </c>
      <c r="F106" s="3">
        <f>VLOOKUP(E106,Input!$G$5:$L$24,5,FALSE)</f>
        <v>0.1</v>
      </c>
      <c r="G106" s="3">
        <f t="shared" si="10"/>
        <v>0.1</v>
      </c>
      <c r="H106" s="3">
        <f t="shared" si="10"/>
        <v>0.1</v>
      </c>
      <c r="I106" s="3">
        <f t="shared" si="10"/>
        <v>0.1</v>
      </c>
      <c r="J106" s="3">
        <f t="shared" si="10"/>
        <v>0.1</v>
      </c>
      <c r="K106" s="3">
        <f t="shared" si="10"/>
        <v>0.1</v>
      </c>
      <c r="L106" s="3">
        <f t="shared" si="10"/>
        <v>0.1</v>
      </c>
      <c r="M106" s="3">
        <f t="shared" si="10"/>
        <v>0.1</v>
      </c>
      <c r="N106" s="3">
        <f t="shared" si="10"/>
        <v>0.1</v>
      </c>
      <c r="O106" s="3">
        <f t="shared" si="10"/>
        <v>0.1</v>
      </c>
      <c r="P106" s="3">
        <f t="shared" si="10"/>
        <v>0.1</v>
      </c>
    </row>
    <row r="107" spans="1:16">
      <c r="A107" s="84" t="s">
        <v>287</v>
      </c>
      <c r="B107" s="85" t="s">
        <v>286</v>
      </c>
      <c r="C107" s="85" t="s">
        <v>83</v>
      </c>
      <c r="D107" s="84" t="s">
        <v>75</v>
      </c>
      <c r="E107" s="84">
        <f>VLOOKUP(A107,'2a. SI Pop'!$A$5:$E$198,5,FALSE)</f>
        <v>3</v>
      </c>
      <c r="F107" s="3">
        <f>VLOOKUP(E107,Input!$G$5:$L$24,5,FALSE)</f>
        <v>0.1</v>
      </c>
      <c r="G107" s="3">
        <f t="shared" si="10"/>
        <v>0.1</v>
      </c>
      <c r="H107" s="3">
        <f t="shared" si="10"/>
        <v>0.1</v>
      </c>
      <c r="I107" s="3">
        <f t="shared" si="10"/>
        <v>0.1</v>
      </c>
      <c r="J107" s="3">
        <f t="shared" si="10"/>
        <v>0.1</v>
      </c>
      <c r="K107" s="3">
        <f t="shared" si="10"/>
        <v>0.1</v>
      </c>
      <c r="L107" s="3">
        <f t="shared" si="10"/>
        <v>0.1</v>
      </c>
      <c r="M107" s="3">
        <f t="shared" si="10"/>
        <v>0.1</v>
      </c>
      <c r="N107" s="3">
        <f t="shared" si="10"/>
        <v>0.1</v>
      </c>
      <c r="O107" s="3">
        <f t="shared" si="10"/>
        <v>0.1</v>
      </c>
      <c r="P107" s="3">
        <f t="shared" si="10"/>
        <v>0.1</v>
      </c>
    </row>
    <row r="108" spans="1:16">
      <c r="A108" s="84" t="s">
        <v>289</v>
      </c>
      <c r="B108" s="85" t="s">
        <v>288</v>
      </c>
      <c r="C108" s="85" t="s">
        <v>83</v>
      </c>
      <c r="D108" s="84" t="s">
        <v>75</v>
      </c>
      <c r="E108" s="84">
        <f>VLOOKUP(A108,'2a. SI Pop'!$A$5:$E$198,5,FALSE)</f>
        <v>3</v>
      </c>
      <c r="F108" s="3">
        <f>VLOOKUP(E108,Input!$G$5:$L$24,5,FALSE)</f>
        <v>0.1</v>
      </c>
      <c r="G108" s="3">
        <f t="shared" si="10"/>
        <v>0.1</v>
      </c>
      <c r="H108" s="3">
        <f t="shared" si="10"/>
        <v>0.1</v>
      </c>
      <c r="I108" s="3">
        <f t="shared" si="10"/>
        <v>0.1</v>
      </c>
      <c r="J108" s="3">
        <f t="shared" si="10"/>
        <v>0.1</v>
      </c>
      <c r="K108" s="3">
        <f t="shared" si="10"/>
        <v>0.1</v>
      </c>
      <c r="L108" s="3">
        <f t="shared" si="10"/>
        <v>0.1</v>
      </c>
      <c r="M108" s="3">
        <f t="shared" si="10"/>
        <v>0.1</v>
      </c>
      <c r="N108" s="3">
        <f t="shared" si="10"/>
        <v>0.1</v>
      </c>
      <c r="O108" s="3">
        <f t="shared" si="10"/>
        <v>0.1</v>
      </c>
      <c r="P108" s="3">
        <f t="shared" si="10"/>
        <v>0.1</v>
      </c>
    </row>
    <row r="109" spans="1:16">
      <c r="A109" s="84" t="s">
        <v>291</v>
      </c>
      <c r="B109" s="85" t="s">
        <v>290</v>
      </c>
      <c r="C109" s="85" t="s">
        <v>99</v>
      </c>
      <c r="D109" s="84" t="s">
        <v>80</v>
      </c>
      <c r="E109" s="84">
        <f>VLOOKUP(A109,'2a. SI Pop'!$A$5:$E$198,5,FALSE)</f>
        <v>2</v>
      </c>
      <c r="F109" s="3">
        <f>VLOOKUP(E109,Input!$G$5:$L$24,5,FALSE)</f>
        <v>0.1</v>
      </c>
      <c r="G109" s="3">
        <f t="shared" si="10"/>
        <v>0.1</v>
      </c>
      <c r="H109" s="3">
        <f t="shared" si="10"/>
        <v>0.1</v>
      </c>
      <c r="I109" s="3">
        <f t="shared" si="10"/>
        <v>0.1</v>
      </c>
      <c r="J109" s="3">
        <f t="shared" si="10"/>
        <v>0.1</v>
      </c>
      <c r="K109" s="3">
        <f t="shared" si="10"/>
        <v>0.1</v>
      </c>
      <c r="L109" s="3">
        <f t="shared" si="10"/>
        <v>0.1</v>
      </c>
      <c r="M109" s="3">
        <f t="shared" si="10"/>
        <v>0.1</v>
      </c>
      <c r="N109" s="3">
        <f t="shared" si="10"/>
        <v>0.1</v>
      </c>
      <c r="O109" s="3">
        <f t="shared" si="10"/>
        <v>0.1</v>
      </c>
      <c r="P109" s="3">
        <f t="shared" si="10"/>
        <v>0.1</v>
      </c>
    </row>
    <row r="110" spans="1:16">
      <c r="A110" s="84" t="s">
        <v>293</v>
      </c>
      <c r="B110" s="85" t="s">
        <v>292</v>
      </c>
      <c r="C110" s="85" t="s">
        <v>110</v>
      </c>
      <c r="D110" s="84" t="s">
        <v>80</v>
      </c>
      <c r="E110" s="84">
        <f>VLOOKUP(A110,'2a. SI Pop'!$A$5:$E$198,5,FALSE)</f>
        <v>2</v>
      </c>
      <c r="F110" s="3">
        <f>VLOOKUP(E110,Input!$G$5:$L$24,5,FALSE)</f>
        <v>0.1</v>
      </c>
      <c r="G110" s="3">
        <f t="shared" si="10"/>
        <v>0.1</v>
      </c>
      <c r="H110" s="3">
        <f t="shared" si="10"/>
        <v>0.1</v>
      </c>
      <c r="I110" s="3">
        <f t="shared" si="10"/>
        <v>0.1</v>
      </c>
      <c r="J110" s="3">
        <f t="shared" si="10"/>
        <v>0.1</v>
      </c>
      <c r="K110" s="3">
        <f t="shared" si="10"/>
        <v>0.1</v>
      </c>
      <c r="L110" s="3">
        <f t="shared" si="10"/>
        <v>0.1</v>
      </c>
      <c r="M110" s="3">
        <f t="shared" si="10"/>
        <v>0.1</v>
      </c>
      <c r="N110" s="3">
        <f t="shared" si="10"/>
        <v>0.1</v>
      </c>
      <c r="O110" s="3">
        <f t="shared" si="10"/>
        <v>0.1</v>
      </c>
      <c r="P110" s="3">
        <f t="shared" si="10"/>
        <v>0.1</v>
      </c>
    </row>
    <row r="111" spans="1:16">
      <c r="A111" s="84" t="s">
        <v>295</v>
      </c>
      <c r="B111" s="85" t="s">
        <v>294</v>
      </c>
      <c r="C111" s="85" t="s">
        <v>83</v>
      </c>
      <c r="D111" s="84" t="s">
        <v>75</v>
      </c>
      <c r="E111" s="84">
        <f>VLOOKUP(A111,'2a. SI Pop'!$A$5:$E$198,5,FALSE)</f>
        <v>3</v>
      </c>
      <c r="F111" s="3">
        <f>VLOOKUP(E111,Input!$G$5:$L$24,5,FALSE)</f>
        <v>0.1</v>
      </c>
      <c r="G111" s="3">
        <f t="shared" si="10"/>
        <v>0.1</v>
      </c>
      <c r="H111" s="3">
        <f t="shared" si="10"/>
        <v>0.1</v>
      </c>
      <c r="I111" s="3">
        <f t="shared" si="10"/>
        <v>0.1</v>
      </c>
      <c r="J111" s="3">
        <f t="shared" si="10"/>
        <v>0.1</v>
      </c>
      <c r="K111" s="3">
        <f t="shared" si="10"/>
        <v>0.1</v>
      </c>
      <c r="L111" s="3">
        <f t="shared" si="10"/>
        <v>0.1</v>
      </c>
      <c r="M111" s="3">
        <f t="shared" si="10"/>
        <v>0.1</v>
      </c>
      <c r="N111" s="3">
        <f t="shared" si="10"/>
        <v>0.1</v>
      </c>
      <c r="O111" s="3">
        <f t="shared" si="10"/>
        <v>0.1</v>
      </c>
      <c r="P111" s="3">
        <f t="shared" si="10"/>
        <v>0.1</v>
      </c>
    </row>
    <row r="112" spans="1:16">
      <c r="A112" s="84" t="s">
        <v>297</v>
      </c>
      <c r="B112" s="85" t="s">
        <v>296</v>
      </c>
      <c r="C112" s="85" t="s">
        <v>79</v>
      </c>
      <c r="D112" s="84" t="s">
        <v>87</v>
      </c>
      <c r="E112" s="84">
        <f>VLOOKUP(A112,'2a. SI Pop'!$A$5:$E$198,5,FALSE)</f>
        <v>1</v>
      </c>
      <c r="F112" s="3">
        <f>VLOOKUP(E112,Input!$G$5:$L$24,5,FALSE)</f>
        <v>0.1</v>
      </c>
      <c r="G112" s="3">
        <f t="shared" si="10"/>
        <v>0.1</v>
      </c>
      <c r="H112" s="3">
        <f t="shared" si="10"/>
        <v>0.1</v>
      </c>
      <c r="I112" s="3">
        <f t="shared" si="10"/>
        <v>0.1</v>
      </c>
      <c r="J112" s="3">
        <f t="shared" si="10"/>
        <v>0.1</v>
      </c>
      <c r="K112" s="3">
        <f t="shared" si="10"/>
        <v>0.1</v>
      </c>
      <c r="L112" s="3">
        <f t="shared" si="10"/>
        <v>0.1</v>
      </c>
      <c r="M112" s="3">
        <f t="shared" si="10"/>
        <v>0.1</v>
      </c>
      <c r="N112" s="3">
        <f t="shared" si="10"/>
        <v>0.1</v>
      </c>
      <c r="O112" s="3">
        <f t="shared" si="10"/>
        <v>0.1</v>
      </c>
      <c r="P112" s="3">
        <f t="shared" si="10"/>
        <v>0.1</v>
      </c>
    </row>
    <row r="113" spans="1:16">
      <c r="A113" s="84" t="s">
        <v>299</v>
      </c>
      <c r="B113" s="85" t="s">
        <v>298</v>
      </c>
      <c r="C113" s="85" t="s">
        <v>99</v>
      </c>
      <c r="D113" s="84" t="s">
        <v>80</v>
      </c>
      <c r="E113" s="84">
        <f>VLOOKUP(A113,'2a. SI Pop'!$A$5:$E$198,5,FALSE)</f>
        <v>1</v>
      </c>
      <c r="F113" s="3">
        <f>VLOOKUP(E113,Input!$G$5:$L$24,5,FALSE)</f>
        <v>0.1</v>
      </c>
      <c r="G113" s="3">
        <f t="shared" si="10"/>
        <v>0.1</v>
      </c>
      <c r="H113" s="3">
        <f t="shared" si="10"/>
        <v>0.1</v>
      </c>
      <c r="I113" s="3">
        <f t="shared" si="10"/>
        <v>0.1</v>
      </c>
      <c r="J113" s="3">
        <f t="shared" si="10"/>
        <v>0.1</v>
      </c>
      <c r="K113" s="3">
        <f t="shared" si="10"/>
        <v>0.1</v>
      </c>
      <c r="L113" s="3">
        <f t="shared" si="10"/>
        <v>0.1</v>
      </c>
      <c r="M113" s="3">
        <f t="shared" si="10"/>
        <v>0.1</v>
      </c>
      <c r="N113" s="3">
        <f t="shared" si="10"/>
        <v>0.1</v>
      </c>
      <c r="O113" s="3">
        <f t="shared" si="10"/>
        <v>0.1</v>
      </c>
      <c r="P113" s="3">
        <f t="shared" si="10"/>
        <v>0.1</v>
      </c>
    </row>
    <row r="114" spans="1:16">
      <c r="A114" s="84" t="s">
        <v>301</v>
      </c>
      <c r="B114" s="85" t="s">
        <v>300</v>
      </c>
      <c r="C114" s="85" t="s">
        <v>83</v>
      </c>
      <c r="D114" s="84" t="s">
        <v>84</v>
      </c>
      <c r="E114" s="84">
        <f>VLOOKUP(A114,'2a. SI Pop'!$A$5:$E$198,5,FALSE)</f>
        <v>3</v>
      </c>
      <c r="F114" s="3">
        <f>VLOOKUP(E114,Input!$G$5:$L$24,5,FALSE)</f>
        <v>0.1</v>
      </c>
      <c r="G114" s="3">
        <f t="shared" si="10"/>
        <v>0.1</v>
      </c>
      <c r="H114" s="3">
        <f t="shared" si="10"/>
        <v>0.1</v>
      </c>
      <c r="I114" s="3">
        <f t="shared" si="10"/>
        <v>0.1</v>
      </c>
      <c r="J114" s="3">
        <f t="shared" si="10"/>
        <v>0.1</v>
      </c>
      <c r="K114" s="3">
        <f t="shared" si="10"/>
        <v>0.1</v>
      </c>
      <c r="L114" s="3">
        <f t="shared" si="10"/>
        <v>0.1</v>
      </c>
      <c r="M114" s="3">
        <f t="shared" si="10"/>
        <v>0.1</v>
      </c>
      <c r="N114" s="3">
        <f t="shared" si="10"/>
        <v>0.1</v>
      </c>
      <c r="O114" s="3">
        <f t="shared" si="10"/>
        <v>0.1</v>
      </c>
      <c r="P114" s="3">
        <f t="shared" si="10"/>
        <v>0.1</v>
      </c>
    </row>
    <row r="115" spans="1:16">
      <c r="A115" s="84" t="s">
        <v>303</v>
      </c>
      <c r="B115" s="85" t="s">
        <v>302</v>
      </c>
      <c r="C115" s="85" t="s">
        <v>83</v>
      </c>
      <c r="D115" s="84" t="s">
        <v>87</v>
      </c>
      <c r="E115" s="84">
        <f>VLOOKUP(A115,'2a. SI Pop'!$A$5:$E$198,5,FALSE)</f>
        <v>1</v>
      </c>
      <c r="F115" s="3">
        <f>VLOOKUP(E115,Input!$G$5:$L$24,5,FALSE)</f>
        <v>0.1</v>
      </c>
      <c r="G115" s="3">
        <f t="shared" si="10"/>
        <v>0.1</v>
      </c>
      <c r="H115" s="3">
        <f t="shared" si="10"/>
        <v>0.1</v>
      </c>
      <c r="I115" s="3">
        <f t="shared" si="10"/>
        <v>0.1</v>
      </c>
      <c r="J115" s="3">
        <f t="shared" si="10"/>
        <v>0.1</v>
      </c>
      <c r="K115" s="3">
        <f t="shared" si="10"/>
        <v>0.1</v>
      </c>
      <c r="L115" s="3">
        <f t="shared" si="10"/>
        <v>0.1</v>
      </c>
      <c r="M115" s="3">
        <f t="shared" si="10"/>
        <v>0.1</v>
      </c>
      <c r="N115" s="3">
        <f t="shared" si="10"/>
        <v>0.1</v>
      </c>
      <c r="O115" s="3">
        <f t="shared" si="10"/>
        <v>0.1</v>
      </c>
      <c r="P115" s="3">
        <f t="shared" si="10"/>
        <v>0.1</v>
      </c>
    </row>
    <row r="116" spans="1:16">
      <c r="A116" s="84" t="s">
        <v>305</v>
      </c>
      <c r="B116" s="85" t="s">
        <v>304</v>
      </c>
      <c r="C116" s="85" t="s">
        <v>92</v>
      </c>
      <c r="D116" s="84" t="s">
        <v>80</v>
      </c>
      <c r="E116" s="84">
        <f>VLOOKUP(A116,'2a. SI Pop'!$A$5:$E$198,5,FALSE)</f>
        <v>2</v>
      </c>
      <c r="F116" s="3">
        <f>VLOOKUP(E116,Input!$G$5:$L$24,5,FALSE)</f>
        <v>0.1</v>
      </c>
      <c r="G116" s="3">
        <f t="shared" si="10"/>
        <v>0.1</v>
      </c>
      <c r="H116" s="3">
        <f t="shared" si="10"/>
        <v>0.1</v>
      </c>
      <c r="I116" s="3">
        <f t="shared" si="10"/>
        <v>0.1</v>
      </c>
      <c r="J116" s="3">
        <f t="shared" si="10"/>
        <v>0.1</v>
      </c>
      <c r="K116" s="3">
        <f t="shared" si="10"/>
        <v>0.1</v>
      </c>
      <c r="L116" s="3">
        <f t="shared" si="10"/>
        <v>0.1</v>
      </c>
      <c r="M116" s="3">
        <f t="shared" si="10"/>
        <v>0.1</v>
      </c>
      <c r="N116" s="3">
        <f t="shared" si="10"/>
        <v>0.1</v>
      </c>
      <c r="O116" s="3">
        <f t="shared" si="10"/>
        <v>0.1</v>
      </c>
      <c r="P116" s="3">
        <f t="shared" si="10"/>
        <v>0.1</v>
      </c>
    </row>
    <row r="117" spans="1:16">
      <c r="A117" s="84" t="s">
        <v>307</v>
      </c>
      <c r="B117" s="85" t="s">
        <v>306</v>
      </c>
      <c r="C117" s="85" t="s">
        <v>99</v>
      </c>
      <c r="D117" s="84" t="s">
        <v>84</v>
      </c>
      <c r="E117" s="84">
        <f>VLOOKUP(A117,'2a. SI Pop'!$A$5:$E$198,5,FALSE)</f>
        <v>1</v>
      </c>
      <c r="F117" s="3">
        <f>VLOOKUP(E117,Input!$G$5:$L$24,5,FALSE)</f>
        <v>0.1</v>
      </c>
      <c r="G117" s="3">
        <f t="shared" si="10"/>
        <v>0.1</v>
      </c>
      <c r="H117" s="3">
        <f t="shared" si="10"/>
        <v>0.1</v>
      </c>
      <c r="I117" s="3">
        <f t="shared" si="10"/>
        <v>0.1</v>
      </c>
      <c r="J117" s="3">
        <f t="shared" si="10"/>
        <v>0.1</v>
      </c>
      <c r="K117" s="3">
        <f t="shared" si="10"/>
        <v>0.1</v>
      </c>
      <c r="L117" s="3">
        <f t="shared" si="10"/>
        <v>0.1</v>
      </c>
      <c r="M117" s="3">
        <f t="shared" si="10"/>
        <v>0.1</v>
      </c>
      <c r="N117" s="3">
        <f t="shared" si="10"/>
        <v>0.1</v>
      </c>
      <c r="O117" s="3">
        <f t="shared" si="10"/>
        <v>0.1</v>
      </c>
      <c r="P117" s="3">
        <f t="shared" si="10"/>
        <v>0.1</v>
      </c>
    </row>
    <row r="118" spans="1:16">
      <c r="A118" s="84" t="s">
        <v>309</v>
      </c>
      <c r="B118" s="85" t="s">
        <v>308</v>
      </c>
      <c r="C118" s="85" t="s">
        <v>79</v>
      </c>
      <c r="D118" s="84" t="s">
        <v>84</v>
      </c>
      <c r="E118" s="84">
        <f>VLOOKUP(A118,'2a. SI Pop'!$A$5:$E$198,5,FALSE)</f>
        <v>1</v>
      </c>
      <c r="F118" s="3">
        <f>VLOOKUP(E118,Input!$G$5:$L$24,5,FALSE)</f>
        <v>0.1</v>
      </c>
      <c r="G118" s="3">
        <f t="shared" ref="G118:P133" si="11">F118</f>
        <v>0.1</v>
      </c>
      <c r="H118" s="3">
        <f t="shared" si="11"/>
        <v>0.1</v>
      </c>
      <c r="I118" s="3">
        <f t="shared" si="11"/>
        <v>0.1</v>
      </c>
      <c r="J118" s="3">
        <f t="shared" si="11"/>
        <v>0.1</v>
      </c>
      <c r="K118" s="3">
        <f t="shared" si="11"/>
        <v>0.1</v>
      </c>
      <c r="L118" s="3">
        <f t="shared" si="11"/>
        <v>0.1</v>
      </c>
      <c r="M118" s="3">
        <f t="shared" si="11"/>
        <v>0.1</v>
      </c>
      <c r="N118" s="3">
        <f t="shared" si="11"/>
        <v>0.1</v>
      </c>
      <c r="O118" s="3">
        <f t="shared" si="11"/>
        <v>0.1</v>
      </c>
      <c r="P118" s="3">
        <f t="shared" si="11"/>
        <v>0.1</v>
      </c>
    </row>
    <row r="119" spans="1:16">
      <c r="A119" s="84" t="s">
        <v>311</v>
      </c>
      <c r="B119" s="85" t="s">
        <v>310</v>
      </c>
      <c r="C119" s="85" t="s">
        <v>79</v>
      </c>
      <c r="D119" s="84" t="s">
        <v>87</v>
      </c>
      <c r="E119" s="84">
        <f>VLOOKUP(A119,'2a. SI Pop'!$A$5:$E$198,5,FALSE)</f>
        <v>1</v>
      </c>
      <c r="F119" s="3">
        <f>VLOOKUP(E119,Input!$G$5:$L$24,5,FALSE)</f>
        <v>0.1</v>
      </c>
      <c r="G119" s="3">
        <f t="shared" si="11"/>
        <v>0.1</v>
      </c>
      <c r="H119" s="3">
        <f t="shared" si="11"/>
        <v>0.1</v>
      </c>
      <c r="I119" s="3">
        <f t="shared" si="11"/>
        <v>0.1</v>
      </c>
      <c r="J119" s="3">
        <f t="shared" si="11"/>
        <v>0.1</v>
      </c>
      <c r="K119" s="3">
        <f t="shared" si="11"/>
        <v>0.1</v>
      </c>
      <c r="L119" s="3">
        <f t="shared" si="11"/>
        <v>0.1</v>
      </c>
      <c r="M119" s="3">
        <f t="shared" si="11"/>
        <v>0.1</v>
      </c>
      <c r="N119" s="3">
        <f t="shared" si="11"/>
        <v>0.1</v>
      </c>
      <c r="O119" s="3">
        <f t="shared" si="11"/>
        <v>0.1</v>
      </c>
      <c r="P119" s="3">
        <f t="shared" si="11"/>
        <v>0.1</v>
      </c>
    </row>
    <row r="120" spans="1:16">
      <c r="A120" s="84" t="s">
        <v>313</v>
      </c>
      <c r="B120" s="85" t="s">
        <v>312</v>
      </c>
      <c r="C120" s="85" t="s">
        <v>99</v>
      </c>
      <c r="D120" s="84" t="s">
        <v>84</v>
      </c>
      <c r="E120" s="84">
        <f>VLOOKUP(A120,'2a. SI Pop'!$A$5:$E$198,5,FALSE)</f>
        <v>2</v>
      </c>
      <c r="F120" s="3">
        <f>VLOOKUP(E120,Input!$G$5:$L$24,5,FALSE)</f>
        <v>0.1</v>
      </c>
      <c r="G120" s="3">
        <f t="shared" si="11"/>
        <v>0.1</v>
      </c>
      <c r="H120" s="3">
        <f t="shared" si="11"/>
        <v>0.1</v>
      </c>
      <c r="I120" s="3">
        <f t="shared" si="11"/>
        <v>0.1</v>
      </c>
      <c r="J120" s="3">
        <f t="shared" si="11"/>
        <v>0.1</v>
      </c>
      <c r="K120" s="3">
        <f t="shared" si="11"/>
        <v>0.1</v>
      </c>
      <c r="L120" s="3">
        <f t="shared" si="11"/>
        <v>0.1</v>
      </c>
      <c r="M120" s="3">
        <f t="shared" si="11"/>
        <v>0.1</v>
      </c>
      <c r="N120" s="3">
        <f t="shared" si="11"/>
        <v>0.1</v>
      </c>
      <c r="O120" s="3">
        <f t="shared" si="11"/>
        <v>0.1</v>
      </c>
      <c r="P120" s="3">
        <f t="shared" si="11"/>
        <v>0.1</v>
      </c>
    </row>
    <row r="121" spans="1:16">
      <c r="A121" s="84" t="s">
        <v>315</v>
      </c>
      <c r="B121" s="85" t="s">
        <v>314</v>
      </c>
      <c r="C121" s="85" t="s">
        <v>79</v>
      </c>
      <c r="D121" s="84" t="s">
        <v>80</v>
      </c>
      <c r="E121" s="84">
        <f>VLOOKUP(A121,'2a. SI Pop'!$A$5:$E$198,5,FALSE)</f>
        <v>1</v>
      </c>
      <c r="F121" s="3">
        <f>VLOOKUP(E121,Input!$G$5:$L$24,5,FALSE)</f>
        <v>0.1</v>
      </c>
      <c r="G121" s="3">
        <f t="shared" si="11"/>
        <v>0.1</v>
      </c>
      <c r="H121" s="3">
        <f t="shared" si="11"/>
        <v>0.1</v>
      </c>
      <c r="I121" s="3">
        <f t="shared" si="11"/>
        <v>0.1</v>
      </c>
      <c r="J121" s="3">
        <f t="shared" si="11"/>
        <v>0.1</v>
      </c>
      <c r="K121" s="3">
        <f t="shared" si="11"/>
        <v>0.1</v>
      </c>
      <c r="L121" s="3">
        <f t="shared" si="11"/>
        <v>0.1</v>
      </c>
      <c r="M121" s="3">
        <f t="shared" si="11"/>
        <v>0.1</v>
      </c>
      <c r="N121" s="3">
        <f t="shared" si="11"/>
        <v>0.1</v>
      </c>
      <c r="O121" s="3">
        <f t="shared" si="11"/>
        <v>0.1</v>
      </c>
      <c r="P121" s="3">
        <f t="shared" si="11"/>
        <v>0.1</v>
      </c>
    </row>
    <row r="122" spans="1:16">
      <c r="A122" s="84" t="s">
        <v>317</v>
      </c>
      <c r="B122" s="85" t="s">
        <v>316</v>
      </c>
      <c r="C122" s="85" t="s">
        <v>74</v>
      </c>
      <c r="D122" s="84" t="s">
        <v>84</v>
      </c>
      <c r="E122" s="84">
        <f>VLOOKUP(A122,'2a. SI Pop'!$A$5:$E$198,5,FALSE)</f>
        <v>3</v>
      </c>
      <c r="F122" s="3">
        <f>VLOOKUP(E122,Input!$G$5:$L$24,5,FALSE)</f>
        <v>0.1</v>
      </c>
      <c r="G122" s="3">
        <f t="shared" si="11"/>
        <v>0.1</v>
      </c>
      <c r="H122" s="3">
        <f t="shared" si="11"/>
        <v>0.1</v>
      </c>
      <c r="I122" s="3">
        <f t="shared" si="11"/>
        <v>0.1</v>
      </c>
      <c r="J122" s="3">
        <f t="shared" si="11"/>
        <v>0.1</v>
      </c>
      <c r="K122" s="3">
        <f t="shared" si="11"/>
        <v>0.1</v>
      </c>
      <c r="L122" s="3">
        <f t="shared" si="11"/>
        <v>0.1</v>
      </c>
      <c r="M122" s="3">
        <f t="shared" si="11"/>
        <v>0.1</v>
      </c>
      <c r="N122" s="3">
        <f t="shared" si="11"/>
        <v>0.1</v>
      </c>
      <c r="O122" s="3">
        <f t="shared" si="11"/>
        <v>0.1</v>
      </c>
      <c r="P122" s="3">
        <f t="shared" si="11"/>
        <v>0.1</v>
      </c>
    </row>
    <row r="123" spans="1:16">
      <c r="A123" s="84" t="s">
        <v>319</v>
      </c>
      <c r="B123" s="85" t="s">
        <v>318</v>
      </c>
      <c r="C123" s="85" t="s">
        <v>83</v>
      </c>
      <c r="D123" s="84" t="s">
        <v>75</v>
      </c>
      <c r="E123" s="84" t="str">
        <f>VLOOKUP(A123,'2a. SI Pop'!$A$5:$E$198,5,FALSE)</f>
        <v>Key</v>
      </c>
      <c r="F123" s="3">
        <f>VLOOKUP(A123,Input!$G$5:$L$24,5,FALSE)</f>
        <v>0.1</v>
      </c>
      <c r="G123" s="3">
        <f t="shared" si="11"/>
        <v>0.1</v>
      </c>
      <c r="H123" s="3">
        <f t="shared" si="11"/>
        <v>0.1</v>
      </c>
      <c r="I123" s="3">
        <f t="shared" si="11"/>
        <v>0.1</v>
      </c>
      <c r="J123" s="3">
        <f t="shared" si="11"/>
        <v>0.1</v>
      </c>
      <c r="K123" s="3">
        <f t="shared" si="11"/>
        <v>0.1</v>
      </c>
      <c r="L123" s="3">
        <f t="shared" si="11"/>
        <v>0.1</v>
      </c>
      <c r="M123" s="3">
        <f t="shared" si="11"/>
        <v>0.1</v>
      </c>
      <c r="N123" s="3">
        <f t="shared" si="11"/>
        <v>0.1</v>
      </c>
      <c r="O123" s="3">
        <f t="shared" si="11"/>
        <v>0.1</v>
      </c>
      <c r="P123" s="3">
        <f t="shared" si="11"/>
        <v>0.1</v>
      </c>
    </row>
    <row r="124" spans="1:16">
      <c r="A124" s="84" t="s">
        <v>321</v>
      </c>
      <c r="B124" s="85" t="s">
        <v>320</v>
      </c>
      <c r="C124" s="85" t="s">
        <v>110</v>
      </c>
      <c r="D124" s="84" t="s">
        <v>84</v>
      </c>
      <c r="E124" s="84">
        <f>VLOOKUP(A124,'2a. SI Pop'!$A$5:$E$198,5,FALSE)</f>
        <v>4</v>
      </c>
      <c r="F124" s="3">
        <f>VLOOKUP(E124,Input!$G$5:$L$24,5,FALSE)</f>
        <v>0.1</v>
      </c>
      <c r="G124" s="3">
        <f t="shared" si="11"/>
        <v>0.1</v>
      </c>
      <c r="H124" s="3">
        <f t="shared" si="11"/>
        <v>0.1</v>
      </c>
      <c r="I124" s="3">
        <f t="shared" si="11"/>
        <v>0.1</v>
      </c>
      <c r="J124" s="3">
        <f t="shared" si="11"/>
        <v>0.1</v>
      </c>
      <c r="K124" s="3">
        <f t="shared" si="11"/>
        <v>0.1</v>
      </c>
      <c r="L124" s="3">
        <f t="shared" si="11"/>
        <v>0.1</v>
      </c>
      <c r="M124" s="3">
        <f t="shared" si="11"/>
        <v>0.1</v>
      </c>
      <c r="N124" s="3">
        <f t="shared" si="11"/>
        <v>0.1</v>
      </c>
      <c r="O124" s="3">
        <f t="shared" si="11"/>
        <v>0.1</v>
      </c>
      <c r="P124" s="3">
        <f t="shared" si="11"/>
        <v>0.1</v>
      </c>
    </row>
    <row r="125" spans="1:16">
      <c r="A125" s="84" t="s">
        <v>323</v>
      </c>
      <c r="B125" s="85" t="s">
        <v>322</v>
      </c>
      <c r="C125" s="85" t="s">
        <v>83</v>
      </c>
      <c r="D125" s="84" t="s">
        <v>80</v>
      </c>
      <c r="E125" s="84">
        <f>VLOOKUP(A125,'2a. SI Pop'!$A$5:$E$198,5,FALSE)</f>
        <v>3</v>
      </c>
      <c r="F125" s="3">
        <f>VLOOKUP(E125,Input!$G$5:$L$24,5,FALSE)</f>
        <v>0.1</v>
      </c>
      <c r="G125" s="3">
        <f t="shared" si="11"/>
        <v>0.1</v>
      </c>
      <c r="H125" s="3">
        <f t="shared" si="11"/>
        <v>0.1</v>
      </c>
      <c r="I125" s="3">
        <f t="shared" si="11"/>
        <v>0.1</v>
      </c>
      <c r="J125" s="3">
        <f t="shared" si="11"/>
        <v>0.1</v>
      </c>
      <c r="K125" s="3">
        <f t="shared" si="11"/>
        <v>0.1</v>
      </c>
      <c r="L125" s="3">
        <f t="shared" si="11"/>
        <v>0.1</v>
      </c>
      <c r="M125" s="3">
        <f t="shared" si="11"/>
        <v>0.1</v>
      </c>
      <c r="N125" s="3">
        <f t="shared" si="11"/>
        <v>0.1</v>
      </c>
      <c r="O125" s="3">
        <f t="shared" si="11"/>
        <v>0.1</v>
      </c>
      <c r="P125" s="3">
        <f t="shared" si="11"/>
        <v>0.1</v>
      </c>
    </row>
    <row r="126" spans="1:16">
      <c r="A126" s="84" t="s">
        <v>325</v>
      </c>
      <c r="B126" s="85" t="s">
        <v>324</v>
      </c>
      <c r="C126" s="85" t="s">
        <v>99</v>
      </c>
      <c r="D126" s="84" t="s">
        <v>87</v>
      </c>
      <c r="E126" s="84">
        <f>VLOOKUP(A126,'2a. SI Pop'!$A$5:$E$198,5,FALSE)</f>
        <v>1</v>
      </c>
      <c r="F126" s="3">
        <f>VLOOKUP(E126,Input!$G$5:$L$24,5,FALSE)</f>
        <v>0.1</v>
      </c>
      <c r="G126" s="3">
        <f t="shared" si="11"/>
        <v>0.1</v>
      </c>
      <c r="H126" s="3">
        <f t="shared" si="11"/>
        <v>0.1</v>
      </c>
      <c r="I126" s="3">
        <f t="shared" si="11"/>
        <v>0.1</v>
      </c>
      <c r="J126" s="3">
        <f t="shared" si="11"/>
        <v>0.1</v>
      </c>
      <c r="K126" s="3">
        <f t="shared" si="11"/>
        <v>0.1</v>
      </c>
      <c r="L126" s="3">
        <f t="shared" si="11"/>
        <v>0.1</v>
      </c>
      <c r="M126" s="3">
        <f t="shared" si="11"/>
        <v>0.1</v>
      </c>
      <c r="N126" s="3">
        <f t="shared" si="11"/>
        <v>0.1</v>
      </c>
      <c r="O126" s="3">
        <f t="shared" si="11"/>
        <v>0.1</v>
      </c>
      <c r="P126" s="3">
        <f t="shared" si="11"/>
        <v>0.1</v>
      </c>
    </row>
    <row r="127" spans="1:16">
      <c r="A127" s="84" t="s">
        <v>327</v>
      </c>
      <c r="B127" s="85" t="s">
        <v>326</v>
      </c>
      <c r="C127" s="85" t="s">
        <v>110</v>
      </c>
      <c r="D127" s="84" t="s">
        <v>84</v>
      </c>
      <c r="E127" s="84">
        <f>VLOOKUP(A127,'2a. SI Pop'!$A$5:$E$198,5,FALSE)</f>
        <v>4</v>
      </c>
      <c r="F127" s="3">
        <f>VLOOKUP(E127,Input!$G$5:$L$24,5,FALSE)</f>
        <v>0.1</v>
      </c>
      <c r="G127" s="3">
        <f t="shared" si="11"/>
        <v>0.1</v>
      </c>
      <c r="H127" s="3">
        <f t="shared" si="11"/>
        <v>0.1</v>
      </c>
      <c r="I127" s="3">
        <f t="shared" si="11"/>
        <v>0.1</v>
      </c>
      <c r="J127" s="3">
        <f t="shared" si="11"/>
        <v>0.1</v>
      </c>
      <c r="K127" s="3">
        <f t="shared" si="11"/>
        <v>0.1</v>
      </c>
      <c r="L127" s="3">
        <f t="shared" si="11"/>
        <v>0.1</v>
      </c>
      <c r="M127" s="3">
        <f t="shared" si="11"/>
        <v>0.1</v>
      </c>
      <c r="N127" s="3">
        <f t="shared" si="11"/>
        <v>0.1</v>
      </c>
      <c r="O127" s="3">
        <f t="shared" si="11"/>
        <v>0.1</v>
      </c>
      <c r="P127" s="3">
        <f t="shared" si="11"/>
        <v>0.1</v>
      </c>
    </row>
    <row r="128" spans="1:16">
      <c r="A128" s="84" t="s">
        <v>329</v>
      </c>
      <c r="B128" s="85" t="s">
        <v>328</v>
      </c>
      <c r="C128" s="85" t="s">
        <v>79</v>
      </c>
      <c r="D128" s="84" t="s">
        <v>87</v>
      </c>
      <c r="E128" s="84">
        <f>VLOOKUP(A128,'2a. SI Pop'!$A$5:$E$198,5,FALSE)</f>
        <v>1</v>
      </c>
      <c r="F128" s="3">
        <f>VLOOKUP(E128,Input!$G$5:$L$24,5,FALSE)</f>
        <v>0.1</v>
      </c>
      <c r="G128" s="3">
        <f t="shared" si="11"/>
        <v>0.1</v>
      </c>
      <c r="H128" s="3">
        <f t="shared" si="11"/>
        <v>0.1</v>
      </c>
      <c r="I128" s="3">
        <f t="shared" si="11"/>
        <v>0.1</v>
      </c>
      <c r="J128" s="3">
        <f t="shared" si="11"/>
        <v>0.1</v>
      </c>
      <c r="K128" s="3">
        <f t="shared" si="11"/>
        <v>0.1</v>
      </c>
      <c r="L128" s="3">
        <f t="shared" si="11"/>
        <v>0.1</v>
      </c>
      <c r="M128" s="3">
        <f t="shared" si="11"/>
        <v>0.1</v>
      </c>
      <c r="N128" s="3">
        <f t="shared" si="11"/>
        <v>0.1</v>
      </c>
      <c r="O128" s="3">
        <f t="shared" si="11"/>
        <v>0.1</v>
      </c>
      <c r="P128" s="3">
        <f t="shared" si="11"/>
        <v>0.1</v>
      </c>
    </row>
    <row r="129" spans="1:16">
      <c r="A129" s="84" t="s">
        <v>331</v>
      </c>
      <c r="B129" s="85" t="s">
        <v>330</v>
      </c>
      <c r="C129" s="85" t="s">
        <v>99</v>
      </c>
      <c r="D129" s="84" t="s">
        <v>87</v>
      </c>
      <c r="E129" s="84">
        <f>VLOOKUP(A129,'2a. SI Pop'!$A$5:$E$198,5,FALSE)</f>
        <v>1</v>
      </c>
      <c r="F129" s="3">
        <f>VLOOKUP(E129,Input!$G$5:$L$24,5,FALSE)</f>
        <v>0.1</v>
      </c>
      <c r="G129" s="3">
        <f t="shared" si="11"/>
        <v>0.1</v>
      </c>
      <c r="H129" s="3">
        <f t="shared" si="11"/>
        <v>0.1</v>
      </c>
      <c r="I129" s="3">
        <f t="shared" si="11"/>
        <v>0.1</v>
      </c>
      <c r="J129" s="3">
        <f t="shared" si="11"/>
        <v>0.1</v>
      </c>
      <c r="K129" s="3">
        <f t="shared" si="11"/>
        <v>0.1</v>
      </c>
      <c r="L129" s="3">
        <f t="shared" si="11"/>
        <v>0.1</v>
      </c>
      <c r="M129" s="3">
        <f t="shared" si="11"/>
        <v>0.1</v>
      </c>
      <c r="N129" s="3">
        <f t="shared" si="11"/>
        <v>0.1</v>
      </c>
      <c r="O129" s="3">
        <f t="shared" si="11"/>
        <v>0.1</v>
      </c>
      <c r="P129" s="3">
        <f t="shared" si="11"/>
        <v>0.1</v>
      </c>
    </row>
    <row r="130" spans="1:16">
      <c r="A130" s="84" t="s">
        <v>333</v>
      </c>
      <c r="B130" s="85" t="s">
        <v>332</v>
      </c>
      <c r="C130" s="85" t="s">
        <v>92</v>
      </c>
      <c r="D130" s="84" t="s">
        <v>84</v>
      </c>
      <c r="E130" s="84">
        <f>VLOOKUP(A130,'2a. SI Pop'!$A$5:$E$198,5,FALSE)</f>
        <v>2</v>
      </c>
      <c r="F130" s="3">
        <f>VLOOKUP(E130,Input!$G$5:$L$24,5,FALSE)</f>
        <v>0.1</v>
      </c>
      <c r="G130" s="3">
        <f t="shared" si="11"/>
        <v>0.1</v>
      </c>
      <c r="H130" s="3">
        <f t="shared" si="11"/>
        <v>0.1</v>
      </c>
      <c r="I130" s="3">
        <f t="shared" si="11"/>
        <v>0.1</v>
      </c>
      <c r="J130" s="3">
        <f t="shared" si="11"/>
        <v>0.1</v>
      </c>
      <c r="K130" s="3">
        <f t="shared" si="11"/>
        <v>0.1</v>
      </c>
      <c r="L130" s="3">
        <f t="shared" si="11"/>
        <v>0.1</v>
      </c>
      <c r="M130" s="3">
        <f t="shared" si="11"/>
        <v>0.1</v>
      </c>
      <c r="N130" s="3">
        <f t="shared" si="11"/>
        <v>0.1</v>
      </c>
      <c r="O130" s="3">
        <f t="shared" si="11"/>
        <v>0.1</v>
      </c>
      <c r="P130" s="3">
        <f t="shared" si="11"/>
        <v>0.1</v>
      </c>
    </row>
    <row r="131" spans="1:16">
      <c r="A131" s="84" t="s">
        <v>335</v>
      </c>
      <c r="B131" s="85" t="s">
        <v>334</v>
      </c>
      <c r="C131" s="85" t="s">
        <v>83</v>
      </c>
      <c r="D131" s="84" t="s">
        <v>75</v>
      </c>
      <c r="E131" s="84">
        <f>VLOOKUP(A131,'2a. SI Pop'!$A$5:$E$198,5,FALSE)</f>
        <v>3</v>
      </c>
      <c r="F131" s="3">
        <f>VLOOKUP(E131,Input!$G$5:$L$24,5,FALSE)</f>
        <v>0.1</v>
      </c>
      <c r="G131" s="3">
        <f t="shared" si="11"/>
        <v>0.1</v>
      </c>
      <c r="H131" s="3">
        <f t="shared" si="11"/>
        <v>0.1</v>
      </c>
      <c r="I131" s="3">
        <f t="shared" si="11"/>
        <v>0.1</v>
      </c>
      <c r="J131" s="3">
        <f t="shared" si="11"/>
        <v>0.1</v>
      </c>
      <c r="K131" s="3">
        <f t="shared" si="11"/>
        <v>0.1</v>
      </c>
      <c r="L131" s="3">
        <f t="shared" si="11"/>
        <v>0.1</v>
      </c>
      <c r="M131" s="3">
        <f t="shared" si="11"/>
        <v>0.1</v>
      </c>
      <c r="N131" s="3">
        <f t="shared" si="11"/>
        <v>0.1</v>
      </c>
      <c r="O131" s="3">
        <f t="shared" si="11"/>
        <v>0.1</v>
      </c>
      <c r="P131" s="3">
        <f t="shared" si="11"/>
        <v>0.1</v>
      </c>
    </row>
    <row r="132" spans="1:16">
      <c r="A132" s="84" t="s">
        <v>337</v>
      </c>
      <c r="B132" s="85" t="s">
        <v>336</v>
      </c>
      <c r="C132" s="85" t="s">
        <v>83</v>
      </c>
      <c r="D132" s="84" t="s">
        <v>84</v>
      </c>
      <c r="E132" s="84" t="str">
        <f>VLOOKUP(A132,'2a. SI Pop'!$A$5:$E$198,5,FALSE)</f>
        <v>Key</v>
      </c>
      <c r="F132" s="3">
        <f>VLOOKUP(A132,Input!$G$5:$L$24,5,FALSE)</f>
        <v>0.1</v>
      </c>
      <c r="G132" s="3">
        <f t="shared" si="11"/>
        <v>0.1</v>
      </c>
      <c r="H132" s="3">
        <f t="shared" si="11"/>
        <v>0.1</v>
      </c>
      <c r="I132" s="3">
        <f t="shared" si="11"/>
        <v>0.1</v>
      </c>
      <c r="J132" s="3">
        <f t="shared" si="11"/>
        <v>0.1</v>
      </c>
      <c r="K132" s="3">
        <f t="shared" si="11"/>
        <v>0.1</v>
      </c>
      <c r="L132" s="3">
        <f t="shared" si="11"/>
        <v>0.1</v>
      </c>
      <c r="M132" s="3">
        <f t="shared" si="11"/>
        <v>0.1</v>
      </c>
      <c r="N132" s="3">
        <f t="shared" si="11"/>
        <v>0.1</v>
      </c>
      <c r="O132" s="3">
        <f t="shared" si="11"/>
        <v>0.1</v>
      </c>
      <c r="P132" s="3">
        <f t="shared" si="11"/>
        <v>0.1</v>
      </c>
    </row>
    <row r="133" spans="1:16">
      <c r="A133" s="84" t="s">
        <v>339</v>
      </c>
      <c r="B133" s="85" t="s">
        <v>338</v>
      </c>
      <c r="C133" s="85" t="s">
        <v>99</v>
      </c>
      <c r="D133" s="84" t="e">
        <v>#N/A</v>
      </c>
      <c r="E133" s="84">
        <f>VLOOKUP(A133,'2a. SI Pop'!$A$5:$E$198,5,FALSE)</f>
        <v>1</v>
      </c>
      <c r="F133" s="3">
        <f>VLOOKUP(E133,Input!$G$5:$L$24,5,FALSE)</f>
        <v>0.1</v>
      </c>
      <c r="G133" s="3">
        <f t="shared" si="11"/>
        <v>0.1</v>
      </c>
      <c r="H133" s="3">
        <f t="shared" si="11"/>
        <v>0.1</v>
      </c>
      <c r="I133" s="3">
        <f t="shared" si="11"/>
        <v>0.1</v>
      </c>
      <c r="J133" s="3">
        <f t="shared" si="11"/>
        <v>0.1</v>
      </c>
      <c r="K133" s="3">
        <f t="shared" si="11"/>
        <v>0.1</v>
      </c>
      <c r="L133" s="3">
        <f t="shared" si="11"/>
        <v>0.1</v>
      </c>
      <c r="M133" s="3">
        <f t="shared" si="11"/>
        <v>0.1</v>
      </c>
      <c r="N133" s="3">
        <f t="shared" si="11"/>
        <v>0.1</v>
      </c>
      <c r="O133" s="3">
        <f t="shared" si="11"/>
        <v>0.1</v>
      </c>
      <c r="P133" s="3">
        <f t="shared" si="11"/>
        <v>0.1</v>
      </c>
    </row>
    <row r="134" spans="1:16">
      <c r="A134" s="84" t="s">
        <v>341</v>
      </c>
      <c r="B134" s="85" t="s">
        <v>340</v>
      </c>
      <c r="C134" s="85" t="s">
        <v>79</v>
      </c>
      <c r="D134" s="84" t="s">
        <v>87</v>
      </c>
      <c r="E134" s="84">
        <f>VLOOKUP(A134,'2a. SI Pop'!$A$5:$E$198,5,FALSE)</f>
        <v>1</v>
      </c>
      <c r="F134" s="3">
        <f>VLOOKUP(E134,Input!$G$5:$L$24,5,FALSE)</f>
        <v>0.1</v>
      </c>
      <c r="G134" s="3">
        <f t="shared" ref="G134:P149" si="12">F134</f>
        <v>0.1</v>
      </c>
      <c r="H134" s="3">
        <f t="shared" si="12"/>
        <v>0.1</v>
      </c>
      <c r="I134" s="3">
        <f t="shared" si="12"/>
        <v>0.1</v>
      </c>
      <c r="J134" s="3">
        <f t="shared" si="12"/>
        <v>0.1</v>
      </c>
      <c r="K134" s="3">
        <f t="shared" si="12"/>
        <v>0.1</v>
      </c>
      <c r="L134" s="3">
        <f t="shared" si="12"/>
        <v>0.1</v>
      </c>
      <c r="M134" s="3">
        <f t="shared" si="12"/>
        <v>0.1</v>
      </c>
      <c r="N134" s="3">
        <f t="shared" si="12"/>
        <v>0.1</v>
      </c>
      <c r="O134" s="3">
        <f t="shared" si="12"/>
        <v>0.1</v>
      </c>
      <c r="P134" s="3">
        <f t="shared" si="12"/>
        <v>0.1</v>
      </c>
    </row>
    <row r="135" spans="1:16">
      <c r="A135" s="84" t="s">
        <v>343</v>
      </c>
      <c r="B135" s="85" t="s">
        <v>342</v>
      </c>
      <c r="C135" s="85" t="s">
        <v>74</v>
      </c>
      <c r="D135" s="84" t="s">
        <v>87</v>
      </c>
      <c r="E135" s="84">
        <f>VLOOKUP(A135,'2a. SI Pop'!$A$5:$E$198,5,FALSE)</f>
        <v>1</v>
      </c>
      <c r="F135" s="3">
        <f>VLOOKUP(E135,Input!$G$5:$L$24,5,FALSE)</f>
        <v>0.1</v>
      </c>
      <c r="G135" s="3">
        <f t="shared" si="12"/>
        <v>0.1</v>
      </c>
      <c r="H135" s="3">
        <f t="shared" si="12"/>
        <v>0.1</v>
      </c>
      <c r="I135" s="3">
        <f t="shared" si="12"/>
        <v>0.1</v>
      </c>
      <c r="J135" s="3">
        <f t="shared" si="12"/>
        <v>0.1</v>
      </c>
      <c r="K135" s="3">
        <f t="shared" si="12"/>
        <v>0.1</v>
      </c>
      <c r="L135" s="3">
        <f t="shared" si="12"/>
        <v>0.1</v>
      </c>
      <c r="M135" s="3">
        <f t="shared" si="12"/>
        <v>0.1</v>
      </c>
      <c r="N135" s="3">
        <f t="shared" si="12"/>
        <v>0.1</v>
      </c>
      <c r="O135" s="3">
        <f t="shared" si="12"/>
        <v>0.1</v>
      </c>
      <c r="P135" s="3">
        <f t="shared" si="12"/>
        <v>0.1</v>
      </c>
    </row>
    <row r="136" spans="1:16">
      <c r="A136" s="84" t="s">
        <v>345</v>
      </c>
      <c r="B136" s="85" t="s">
        <v>344</v>
      </c>
      <c r="C136" s="85" t="s">
        <v>74</v>
      </c>
      <c r="D136" s="84" t="s">
        <v>84</v>
      </c>
      <c r="E136" s="84" t="str">
        <f>VLOOKUP(A136,'2a. SI Pop'!$A$5:$E$198,5,FALSE)</f>
        <v>Key</v>
      </c>
      <c r="F136" s="3">
        <f>VLOOKUP(A136,Input!$G$5:$L$24,5,FALSE)</f>
        <v>0.1</v>
      </c>
      <c r="G136" s="3">
        <f t="shared" si="12"/>
        <v>0.1</v>
      </c>
      <c r="H136" s="3">
        <f t="shared" si="12"/>
        <v>0.1</v>
      </c>
      <c r="I136" s="3">
        <f t="shared" si="12"/>
        <v>0.1</v>
      </c>
      <c r="J136" s="3">
        <f t="shared" si="12"/>
        <v>0.1</v>
      </c>
      <c r="K136" s="3">
        <f t="shared" si="12"/>
        <v>0.1</v>
      </c>
      <c r="L136" s="3">
        <f t="shared" si="12"/>
        <v>0.1</v>
      </c>
      <c r="M136" s="3">
        <f t="shared" si="12"/>
        <v>0.1</v>
      </c>
      <c r="N136" s="3">
        <f t="shared" si="12"/>
        <v>0.1</v>
      </c>
      <c r="O136" s="3">
        <f t="shared" si="12"/>
        <v>0.1</v>
      </c>
      <c r="P136" s="3">
        <f t="shared" si="12"/>
        <v>0.1</v>
      </c>
    </row>
    <row r="137" spans="1:16">
      <c r="A137" s="84" t="s">
        <v>347</v>
      </c>
      <c r="B137" s="85" t="s">
        <v>346</v>
      </c>
      <c r="C137" s="85" t="s">
        <v>99</v>
      </c>
      <c r="D137" s="84" t="s">
        <v>87</v>
      </c>
      <c r="E137" s="84">
        <f>VLOOKUP(A137,'2a. SI Pop'!$A$5:$E$198,5,FALSE)</f>
        <v>1</v>
      </c>
      <c r="F137" s="3">
        <f>VLOOKUP(E137,Input!$G$5:$L$24,5,FALSE)</f>
        <v>0.1</v>
      </c>
      <c r="G137" s="3">
        <f t="shared" si="12"/>
        <v>0.1</v>
      </c>
      <c r="H137" s="3">
        <f t="shared" si="12"/>
        <v>0.1</v>
      </c>
      <c r="I137" s="3">
        <f t="shared" si="12"/>
        <v>0.1</v>
      </c>
      <c r="J137" s="3">
        <f t="shared" si="12"/>
        <v>0.1</v>
      </c>
      <c r="K137" s="3">
        <f t="shared" si="12"/>
        <v>0.1</v>
      </c>
      <c r="L137" s="3">
        <f t="shared" si="12"/>
        <v>0.1</v>
      </c>
      <c r="M137" s="3">
        <f t="shared" si="12"/>
        <v>0.1</v>
      </c>
      <c r="N137" s="3">
        <f t="shared" si="12"/>
        <v>0.1</v>
      </c>
      <c r="O137" s="3">
        <f t="shared" si="12"/>
        <v>0.1</v>
      </c>
      <c r="P137" s="3">
        <f t="shared" si="12"/>
        <v>0.1</v>
      </c>
    </row>
    <row r="138" spans="1:16">
      <c r="A138" s="84" t="s">
        <v>349</v>
      </c>
      <c r="B138" s="85" t="s">
        <v>348</v>
      </c>
      <c r="C138" s="85" t="s">
        <v>92</v>
      </c>
      <c r="D138" s="84" t="s">
        <v>87</v>
      </c>
      <c r="E138" s="84">
        <f>VLOOKUP(A138,'2a. SI Pop'!$A$5:$E$198,5,FALSE)</f>
        <v>1</v>
      </c>
      <c r="F138" s="3">
        <f>VLOOKUP(E138,Input!$G$5:$L$24,5,FALSE)</f>
        <v>0.1</v>
      </c>
      <c r="G138" s="3">
        <f t="shared" si="12"/>
        <v>0.1</v>
      </c>
      <c r="H138" s="3">
        <f t="shared" si="12"/>
        <v>0.1</v>
      </c>
      <c r="I138" s="3">
        <f t="shared" si="12"/>
        <v>0.1</v>
      </c>
      <c r="J138" s="3">
        <f t="shared" si="12"/>
        <v>0.1</v>
      </c>
      <c r="K138" s="3">
        <f t="shared" si="12"/>
        <v>0.1</v>
      </c>
      <c r="L138" s="3">
        <f t="shared" si="12"/>
        <v>0.1</v>
      </c>
      <c r="M138" s="3">
        <f t="shared" si="12"/>
        <v>0.1</v>
      </c>
      <c r="N138" s="3">
        <f t="shared" si="12"/>
        <v>0.1</v>
      </c>
      <c r="O138" s="3">
        <f t="shared" si="12"/>
        <v>0.1</v>
      </c>
      <c r="P138" s="3">
        <f t="shared" si="12"/>
        <v>0.1</v>
      </c>
    </row>
    <row r="139" spans="1:16">
      <c r="A139" s="84" t="s">
        <v>351</v>
      </c>
      <c r="B139" s="85" t="s">
        <v>350</v>
      </c>
      <c r="C139" s="85" t="s">
        <v>99</v>
      </c>
      <c r="D139" s="84" t="s">
        <v>84</v>
      </c>
      <c r="E139" s="84">
        <f>VLOOKUP(A139,'2a. SI Pop'!$A$5:$E$198,5,FALSE)</f>
        <v>4</v>
      </c>
      <c r="F139" s="3">
        <f>VLOOKUP(E139,Input!$G$5:$L$24,5,FALSE)</f>
        <v>0.1</v>
      </c>
      <c r="G139" s="3">
        <f t="shared" si="12"/>
        <v>0.1</v>
      </c>
      <c r="H139" s="3">
        <f t="shared" si="12"/>
        <v>0.1</v>
      </c>
      <c r="I139" s="3">
        <f t="shared" si="12"/>
        <v>0.1</v>
      </c>
      <c r="J139" s="3">
        <f t="shared" si="12"/>
        <v>0.1</v>
      </c>
      <c r="K139" s="3">
        <f t="shared" si="12"/>
        <v>0.1</v>
      </c>
      <c r="L139" s="3">
        <f t="shared" si="12"/>
        <v>0.1</v>
      </c>
      <c r="M139" s="3">
        <f t="shared" si="12"/>
        <v>0.1</v>
      </c>
      <c r="N139" s="3">
        <f t="shared" si="12"/>
        <v>0.1</v>
      </c>
      <c r="O139" s="3">
        <f t="shared" si="12"/>
        <v>0.1</v>
      </c>
      <c r="P139" s="3">
        <f t="shared" si="12"/>
        <v>0.1</v>
      </c>
    </row>
    <row r="140" spans="1:16">
      <c r="A140" s="84" t="s">
        <v>353</v>
      </c>
      <c r="B140" s="85" t="s">
        <v>352</v>
      </c>
      <c r="C140" s="85" t="s">
        <v>92</v>
      </c>
      <c r="D140" s="84" t="s">
        <v>80</v>
      </c>
      <c r="E140" s="84">
        <f>VLOOKUP(A140,'2a. SI Pop'!$A$5:$E$198,5,FALSE)</f>
        <v>1</v>
      </c>
      <c r="F140" s="3">
        <f>VLOOKUP(E140,Input!$G$5:$L$24,5,FALSE)</f>
        <v>0.1</v>
      </c>
      <c r="G140" s="3">
        <f t="shared" si="12"/>
        <v>0.1</v>
      </c>
      <c r="H140" s="3">
        <f t="shared" si="12"/>
        <v>0.1</v>
      </c>
      <c r="I140" s="3">
        <f t="shared" si="12"/>
        <v>0.1</v>
      </c>
      <c r="J140" s="3">
        <f t="shared" si="12"/>
        <v>0.1</v>
      </c>
      <c r="K140" s="3">
        <f t="shared" si="12"/>
        <v>0.1</v>
      </c>
      <c r="L140" s="3">
        <f t="shared" si="12"/>
        <v>0.1</v>
      </c>
      <c r="M140" s="3">
        <f t="shared" si="12"/>
        <v>0.1</v>
      </c>
      <c r="N140" s="3">
        <f t="shared" si="12"/>
        <v>0.1</v>
      </c>
      <c r="O140" s="3">
        <f t="shared" si="12"/>
        <v>0.1</v>
      </c>
      <c r="P140" s="3">
        <f t="shared" si="12"/>
        <v>0.1</v>
      </c>
    </row>
    <row r="141" spans="1:16">
      <c r="A141" s="84" t="s">
        <v>355</v>
      </c>
      <c r="B141" s="85" t="s">
        <v>354</v>
      </c>
      <c r="C141" s="85" t="s">
        <v>92</v>
      </c>
      <c r="D141" s="84" t="s">
        <v>80</v>
      </c>
      <c r="E141" s="84">
        <f>VLOOKUP(A141,'2a. SI Pop'!$A$5:$E$198,5,FALSE)</f>
        <v>2</v>
      </c>
      <c r="F141" s="3">
        <f>VLOOKUP(E141,Input!$G$5:$L$24,5,FALSE)</f>
        <v>0.1</v>
      </c>
      <c r="G141" s="3">
        <f t="shared" si="12"/>
        <v>0.1</v>
      </c>
      <c r="H141" s="3">
        <f t="shared" si="12"/>
        <v>0.1</v>
      </c>
      <c r="I141" s="3">
        <f t="shared" si="12"/>
        <v>0.1</v>
      </c>
      <c r="J141" s="3">
        <f t="shared" si="12"/>
        <v>0.1</v>
      </c>
      <c r="K141" s="3">
        <f t="shared" si="12"/>
        <v>0.1</v>
      </c>
      <c r="L141" s="3">
        <f t="shared" si="12"/>
        <v>0.1</v>
      </c>
      <c r="M141" s="3">
        <f t="shared" si="12"/>
        <v>0.1</v>
      </c>
      <c r="N141" s="3">
        <f t="shared" si="12"/>
        <v>0.1</v>
      </c>
      <c r="O141" s="3">
        <f t="shared" si="12"/>
        <v>0.1</v>
      </c>
      <c r="P141" s="3">
        <f t="shared" si="12"/>
        <v>0.1</v>
      </c>
    </row>
    <row r="142" spans="1:16">
      <c r="A142" s="84" t="s">
        <v>357</v>
      </c>
      <c r="B142" s="85" t="s">
        <v>356</v>
      </c>
      <c r="C142" s="85" t="s">
        <v>99</v>
      </c>
      <c r="D142" s="84" t="s">
        <v>84</v>
      </c>
      <c r="E142" s="84" t="str">
        <f>VLOOKUP(A142,'2a. SI Pop'!$A$5:$E$198,5,FALSE)</f>
        <v>Key</v>
      </c>
      <c r="F142" s="3">
        <f>VLOOKUP(A142,Input!$G$5:$L$24,5,FALSE)</f>
        <v>0.1</v>
      </c>
      <c r="G142" s="3">
        <f t="shared" si="12"/>
        <v>0.1</v>
      </c>
      <c r="H142" s="3">
        <f t="shared" si="12"/>
        <v>0.1</v>
      </c>
      <c r="I142" s="3">
        <f t="shared" si="12"/>
        <v>0.1</v>
      </c>
      <c r="J142" s="3">
        <f t="shared" si="12"/>
        <v>0.1</v>
      </c>
      <c r="K142" s="3">
        <f t="shared" si="12"/>
        <v>0.1</v>
      </c>
      <c r="L142" s="3">
        <f t="shared" si="12"/>
        <v>0.1</v>
      </c>
      <c r="M142" s="3">
        <f t="shared" si="12"/>
        <v>0.1</v>
      </c>
      <c r="N142" s="3">
        <f t="shared" si="12"/>
        <v>0.1</v>
      </c>
      <c r="O142" s="3">
        <f t="shared" si="12"/>
        <v>0.1</v>
      </c>
      <c r="P142" s="3">
        <f t="shared" si="12"/>
        <v>0.1</v>
      </c>
    </row>
    <row r="143" spans="1:16">
      <c r="A143" s="84" t="s">
        <v>359</v>
      </c>
      <c r="B143" s="85" t="s">
        <v>358</v>
      </c>
      <c r="C143" s="85" t="s">
        <v>79</v>
      </c>
      <c r="D143" s="84" t="s">
        <v>87</v>
      </c>
      <c r="E143" s="84">
        <f>VLOOKUP(A143,'2a. SI Pop'!$A$5:$E$198,5,FALSE)</f>
        <v>1</v>
      </c>
      <c r="F143" s="3">
        <f>VLOOKUP(E143,Input!$G$5:$L$24,5,FALSE)</f>
        <v>0.1</v>
      </c>
      <c r="G143" s="3">
        <f t="shared" si="12"/>
        <v>0.1</v>
      </c>
      <c r="H143" s="3">
        <f t="shared" si="12"/>
        <v>0.1</v>
      </c>
      <c r="I143" s="3">
        <f t="shared" si="12"/>
        <v>0.1</v>
      </c>
      <c r="J143" s="3">
        <f t="shared" si="12"/>
        <v>0.1</v>
      </c>
      <c r="K143" s="3">
        <f t="shared" si="12"/>
        <v>0.1</v>
      </c>
      <c r="L143" s="3">
        <f t="shared" si="12"/>
        <v>0.1</v>
      </c>
      <c r="M143" s="3">
        <f t="shared" si="12"/>
        <v>0.1</v>
      </c>
      <c r="N143" s="3">
        <f t="shared" si="12"/>
        <v>0.1</v>
      </c>
      <c r="O143" s="3">
        <f t="shared" si="12"/>
        <v>0.1</v>
      </c>
      <c r="P143" s="3">
        <f t="shared" si="12"/>
        <v>0.1</v>
      </c>
    </row>
    <row r="144" spans="1:16">
      <c r="A144" s="84" t="s">
        <v>361</v>
      </c>
      <c r="B144" s="85" t="s">
        <v>360</v>
      </c>
      <c r="C144" s="85" t="s">
        <v>79</v>
      </c>
      <c r="D144" s="84" t="s">
        <v>87</v>
      </c>
      <c r="E144" s="84">
        <f>VLOOKUP(A144,'2a. SI Pop'!$A$5:$E$198,5,FALSE)</f>
        <v>1</v>
      </c>
      <c r="F144" s="3">
        <f>VLOOKUP(E144,Input!$G$5:$L$24,5,FALSE)</f>
        <v>0.1</v>
      </c>
      <c r="G144" s="3">
        <f t="shared" si="12"/>
        <v>0.1</v>
      </c>
      <c r="H144" s="3">
        <f t="shared" si="12"/>
        <v>0.1</v>
      </c>
      <c r="I144" s="3">
        <f t="shared" si="12"/>
        <v>0.1</v>
      </c>
      <c r="J144" s="3">
        <f t="shared" si="12"/>
        <v>0.1</v>
      </c>
      <c r="K144" s="3">
        <f t="shared" si="12"/>
        <v>0.1</v>
      </c>
      <c r="L144" s="3">
        <f t="shared" si="12"/>
        <v>0.1</v>
      </c>
      <c r="M144" s="3">
        <f t="shared" si="12"/>
        <v>0.1</v>
      </c>
      <c r="N144" s="3">
        <f t="shared" si="12"/>
        <v>0.1</v>
      </c>
      <c r="O144" s="3">
        <f t="shared" si="12"/>
        <v>0.1</v>
      </c>
      <c r="P144" s="3">
        <f t="shared" si="12"/>
        <v>0.1</v>
      </c>
    </row>
    <row r="145" spans="1:16">
      <c r="A145" s="84" t="s">
        <v>363</v>
      </c>
      <c r="B145" s="85" t="s">
        <v>362</v>
      </c>
      <c r="C145" s="85" t="s">
        <v>74</v>
      </c>
      <c r="D145" s="84" t="s">
        <v>87</v>
      </c>
      <c r="E145" s="84">
        <f>VLOOKUP(A145,'2a. SI Pop'!$A$5:$E$198,5,FALSE)</f>
        <v>1</v>
      </c>
      <c r="F145" s="3">
        <f>VLOOKUP(E145,Input!$G$5:$L$24,5,FALSE)</f>
        <v>0.1</v>
      </c>
      <c r="G145" s="3">
        <f t="shared" si="12"/>
        <v>0.1</v>
      </c>
      <c r="H145" s="3">
        <f t="shared" si="12"/>
        <v>0.1</v>
      </c>
      <c r="I145" s="3">
        <f t="shared" si="12"/>
        <v>0.1</v>
      </c>
      <c r="J145" s="3">
        <f t="shared" si="12"/>
        <v>0.1</v>
      </c>
      <c r="K145" s="3">
        <f t="shared" si="12"/>
        <v>0.1</v>
      </c>
      <c r="L145" s="3">
        <f t="shared" si="12"/>
        <v>0.1</v>
      </c>
      <c r="M145" s="3">
        <f t="shared" si="12"/>
        <v>0.1</v>
      </c>
      <c r="N145" s="3">
        <f t="shared" si="12"/>
        <v>0.1</v>
      </c>
      <c r="O145" s="3">
        <f t="shared" si="12"/>
        <v>0.1</v>
      </c>
      <c r="P145" s="3">
        <f t="shared" si="12"/>
        <v>0.1</v>
      </c>
    </row>
    <row r="146" spans="1:16">
      <c r="A146" s="84" t="s">
        <v>365</v>
      </c>
      <c r="B146" s="85" t="s">
        <v>364</v>
      </c>
      <c r="C146" s="85" t="s">
        <v>79</v>
      </c>
      <c r="D146" s="84" t="s">
        <v>87</v>
      </c>
      <c r="E146" s="84">
        <f>VLOOKUP(A146,'2a. SI Pop'!$A$5:$E$198,5,FALSE)</f>
        <v>2</v>
      </c>
      <c r="F146" s="3">
        <f>VLOOKUP(E146,Input!$G$5:$L$24,5,FALSE)</f>
        <v>0.1</v>
      </c>
      <c r="G146" s="3">
        <f t="shared" si="12"/>
        <v>0.1</v>
      </c>
      <c r="H146" s="3">
        <f t="shared" si="12"/>
        <v>0.1</v>
      </c>
      <c r="I146" s="3">
        <f t="shared" si="12"/>
        <v>0.1</v>
      </c>
      <c r="J146" s="3">
        <f t="shared" si="12"/>
        <v>0.1</v>
      </c>
      <c r="K146" s="3">
        <f t="shared" si="12"/>
        <v>0.1</v>
      </c>
      <c r="L146" s="3">
        <f t="shared" si="12"/>
        <v>0.1</v>
      </c>
      <c r="M146" s="3">
        <f t="shared" si="12"/>
        <v>0.1</v>
      </c>
      <c r="N146" s="3">
        <f t="shared" si="12"/>
        <v>0.1</v>
      </c>
      <c r="O146" s="3">
        <f t="shared" si="12"/>
        <v>0.1</v>
      </c>
      <c r="P146" s="3">
        <f t="shared" si="12"/>
        <v>0.1</v>
      </c>
    </row>
    <row r="147" spans="1:16">
      <c r="A147" s="84" t="s">
        <v>367</v>
      </c>
      <c r="B147" s="85" t="s">
        <v>366</v>
      </c>
      <c r="C147" s="85" t="s">
        <v>79</v>
      </c>
      <c r="D147" s="84" t="s">
        <v>80</v>
      </c>
      <c r="E147" s="84">
        <f>VLOOKUP(A147,'2a. SI Pop'!$A$5:$E$198,5,FALSE)</f>
        <v>2</v>
      </c>
      <c r="F147" s="3">
        <f>VLOOKUP(E147,Input!$G$5:$L$24,5,FALSE)</f>
        <v>0.1</v>
      </c>
      <c r="G147" s="3">
        <f t="shared" si="12"/>
        <v>0.1</v>
      </c>
      <c r="H147" s="3">
        <f t="shared" si="12"/>
        <v>0.1</v>
      </c>
      <c r="I147" s="3">
        <f t="shared" si="12"/>
        <v>0.1</v>
      </c>
      <c r="J147" s="3">
        <f t="shared" si="12"/>
        <v>0.1</v>
      </c>
      <c r="K147" s="3">
        <f t="shared" si="12"/>
        <v>0.1</v>
      </c>
      <c r="L147" s="3">
        <f t="shared" si="12"/>
        <v>0.1</v>
      </c>
      <c r="M147" s="3">
        <f t="shared" si="12"/>
        <v>0.1</v>
      </c>
      <c r="N147" s="3">
        <f t="shared" si="12"/>
        <v>0.1</v>
      </c>
      <c r="O147" s="3">
        <f t="shared" si="12"/>
        <v>0.1</v>
      </c>
      <c r="P147" s="3">
        <f t="shared" si="12"/>
        <v>0.1</v>
      </c>
    </row>
    <row r="148" spans="1:16">
      <c r="A148" s="84" t="s">
        <v>369</v>
      </c>
      <c r="B148" s="85" t="s">
        <v>368</v>
      </c>
      <c r="C148" s="85" t="s">
        <v>83</v>
      </c>
      <c r="D148" s="84" t="s">
        <v>75</v>
      </c>
      <c r="E148" s="84">
        <f>VLOOKUP(A148,'2a. SI Pop'!$A$5:$E$198,5,FALSE)</f>
        <v>3</v>
      </c>
      <c r="F148" s="3">
        <f>VLOOKUP(E148,Input!$G$5:$L$24,5,FALSE)</f>
        <v>0.1</v>
      </c>
      <c r="G148" s="3">
        <f t="shared" si="12"/>
        <v>0.1</v>
      </c>
      <c r="H148" s="3">
        <f t="shared" si="12"/>
        <v>0.1</v>
      </c>
      <c r="I148" s="3">
        <f t="shared" si="12"/>
        <v>0.1</v>
      </c>
      <c r="J148" s="3">
        <f t="shared" si="12"/>
        <v>0.1</v>
      </c>
      <c r="K148" s="3">
        <f t="shared" si="12"/>
        <v>0.1</v>
      </c>
      <c r="L148" s="3">
        <f t="shared" si="12"/>
        <v>0.1</v>
      </c>
      <c r="M148" s="3">
        <f t="shared" si="12"/>
        <v>0.1</v>
      </c>
      <c r="N148" s="3">
        <f t="shared" si="12"/>
        <v>0.1</v>
      </c>
      <c r="O148" s="3">
        <f t="shared" si="12"/>
        <v>0.1</v>
      </c>
      <c r="P148" s="3">
        <f t="shared" si="12"/>
        <v>0.1</v>
      </c>
    </row>
    <row r="149" spans="1:16">
      <c r="A149" s="84" t="s">
        <v>371</v>
      </c>
      <c r="B149" s="85" t="s">
        <v>370</v>
      </c>
      <c r="C149" s="85" t="s">
        <v>92</v>
      </c>
      <c r="D149" s="84" t="s">
        <v>87</v>
      </c>
      <c r="E149" s="84">
        <f>VLOOKUP(A149,'2a. SI Pop'!$A$5:$E$198,5,FALSE)</f>
        <v>1</v>
      </c>
      <c r="F149" s="3">
        <f>VLOOKUP(E149,Input!$G$5:$L$24,5,FALSE)</f>
        <v>0.1</v>
      </c>
      <c r="G149" s="3">
        <f t="shared" si="12"/>
        <v>0.1</v>
      </c>
      <c r="H149" s="3">
        <f t="shared" si="12"/>
        <v>0.1</v>
      </c>
      <c r="I149" s="3">
        <f t="shared" si="12"/>
        <v>0.1</v>
      </c>
      <c r="J149" s="3">
        <f t="shared" si="12"/>
        <v>0.1</v>
      </c>
      <c r="K149" s="3">
        <f t="shared" si="12"/>
        <v>0.1</v>
      </c>
      <c r="L149" s="3">
        <f t="shared" si="12"/>
        <v>0.1</v>
      </c>
      <c r="M149" s="3">
        <f t="shared" si="12"/>
        <v>0.1</v>
      </c>
      <c r="N149" s="3">
        <f t="shared" si="12"/>
        <v>0.1</v>
      </c>
      <c r="O149" s="3">
        <f t="shared" si="12"/>
        <v>0.1</v>
      </c>
      <c r="P149" s="3">
        <f t="shared" si="12"/>
        <v>0.1</v>
      </c>
    </row>
    <row r="150" spans="1:16">
      <c r="A150" s="84" t="s">
        <v>373</v>
      </c>
      <c r="B150" s="85" t="s">
        <v>372</v>
      </c>
      <c r="C150" s="85" t="s">
        <v>92</v>
      </c>
      <c r="D150" s="84" t="s">
        <v>80</v>
      </c>
      <c r="E150" s="84">
        <f>VLOOKUP(A150,'2a. SI Pop'!$A$5:$E$198,5,FALSE)</f>
        <v>1</v>
      </c>
      <c r="F150" s="3">
        <f>VLOOKUP(E150,Input!$G$5:$L$24,5,FALSE)</f>
        <v>0.1</v>
      </c>
      <c r="G150" s="3">
        <f t="shared" ref="G150:P165" si="13">F150</f>
        <v>0.1</v>
      </c>
      <c r="H150" s="3">
        <f t="shared" si="13"/>
        <v>0.1</v>
      </c>
      <c r="I150" s="3">
        <f t="shared" si="13"/>
        <v>0.1</v>
      </c>
      <c r="J150" s="3">
        <f t="shared" si="13"/>
        <v>0.1</v>
      </c>
      <c r="K150" s="3">
        <f t="shared" si="13"/>
        <v>0.1</v>
      </c>
      <c r="L150" s="3">
        <f t="shared" si="13"/>
        <v>0.1</v>
      </c>
      <c r="M150" s="3">
        <f t="shared" si="13"/>
        <v>0.1</v>
      </c>
      <c r="N150" s="3">
        <f t="shared" si="13"/>
        <v>0.1</v>
      </c>
      <c r="O150" s="3">
        <f t="shared" si="13"/>
        <v>0.1</v>
      </c>
      <c r="P150" s="3">
        <f t="shared" si="13"/>
        <v>0.1</v>
      </c>
    </row>
    <row r="151" spans="1:16">
      <c r="A151" s="84" t="s">
        <v>375</v>
      </c>
      <c r="B151" s="85" t="s">
        <v>374</v>
      </c>
      <c r="C151" s="85" t="s">
        <v>92</v>
      </c>
      <c r="D151" s="84" t="s">
        <v>80</v>
      </c>
      <c r="E151" s="84">
        <f>VLOOKUP(A151,'2a. SI Pop'!$A$5:$E$198,5,FALSE)</f>
        <v>1</v>
      </c>
      <c r="F151" s="3">
        <f>VLOOKUP(E151,Input!$G$5:$L$24,5,FALSE)</f>
        <v>0.1</v>
      </c>
      <c r="G151" s="3">
        <f t="shared" si="13"/>
        <v>0.1</v>
      </c>
      <c r="H151" s="3">
        <f t="shared" si="13"/>
        <v>0.1</v>
      </c>
      <c r="I151" s="3">
        <f t="shared" si="13"/>
        <v>0.1</v>
      </c>
      <c r="J151" s="3">
        <f t="shared" si="13"/>
        <v>0.1</v>
      </c>
      <c r="K151" s="3">
        <f t="shared" si="13"/>
        <v>0.1</v>
      </c>
      <c r="L151" s="3">
        <f t="shared" si="13"/>
        <v>0.1</v>
      </c>
      <c r="M151" s="3">
        <f t="shared" si="13"/>
        <v>0.1</v>
      </c>
      <c r="N151" s="3">
        <f t="shared" si="13"/>
        <v>0.1</v>
      </c>
      <c r="O151" s="3">
        <f t="shared" si="13"/>
        <v>0.1</v>
      </c>
      <c r="P151" s="3">
        <f t="shared" si="13"/>
        <v>0.1</v>
      </c>
    </row>
    <row r="152" spans="1:16">
      <c r="A152" s="84" t="s">
        <v>377</v>
      </c>
      <c r="B152" s="85" t="s">
        <v>376</v>
      </c>
      <c r="C152" s="85" t="s">
        <v>99</v>
      </c>
      <c r="D152" s="84" t="s">
        <v>80</v>
      </c>
      <c r="E152" s="84">
        <f>VLOOKUP(A152,'2a. SI Pop'!$A$5:$E$198,5,FALSE)</f>
        <v>2</v>
      </c>
      <c r="F152" s="3">
        <f>VLOOKUP(E152,Input!$G$5:$L$24,5,FALSE)</f>
        <v>0.1</v>
      </c>
      <c r="G152" s="3">
        <f t="shared" si="13"/>
        <v>0.1</v>
      </c>
      <c r="H152" s="3">
        <f t="shared" si="13"/>
        <v>0.1</v>
      </c>
      <c r="I152" s="3">
        <f t="shared" si="13"/>
        <v>0.1</v>
      </c>
      <c r="J152" s="3">
        <f t="shared" si="13"/>
        <v>0.1</v>
      </c>
      <c r="K152" s="3">
        <f t="shared" si="13"/>
        <v>0.1</v>
      </c>
      <c r="L152" s="3">
        <f t="shared" si="13"/>
        <v>0.1</v>
      </c>
      <c r="M152" s="3">
        <f t="shared" si="13"/>
        <v>0.1</v>
      </c>
      <c r="N152" s="3">
        <f t="shared" si="13"/>
        <v>0.1</v>
      </c>
      <c r="O152" s="3">
        <f t="shared" si="13"/>
        <v>0.1</v>
      </c>
      <c r="P152" s="3">
        <f t="shared" si="13"/>
        <v>0.1</v>
      </c>
    </row>
    <row r="153" spans="1:16">
      <c r="A153" s="84" t="s">
        <v>379</v>
      </c>
      <c r="B153" s="85" t="s">
        <v>378</v>
      </c>
      <c r="C153" s="85" t="s">
        <v>79</v>
      </c>
      <c r="D153" s="84" t="s">
        <v>87</v>
      </c>
      <c r="E153" s="84">
        <f>VLOOKUP(A153,'2a. SI Pop'!$A$5:$E$198,5,FALSE)</f>
        <v>1</v>
      </c>
      <c r="F153" s="3">
        <f>VLOOKUP(E153,Input!$G$5:$L$24,5,FALSE)</f>
        <v>0.1</v>
      </c>
      <c r="G153" s="3">
        <f t="shared" si="13"/>
        <v>0.1</v>
      </c>
      <c r="H153" s="3">
        <f t="shared" si="13"/>
        <v>0.1</v>
      </c>
      <c r="I153" s="3">
        <f t="shared" si="13"/>
        <v>0.1</v>
      </c>
      <c r="J153" s="3">
        <f t="shared" si="13"/>
        <v>0.1</v>
      </c>
      <c r="K153" s="3">
        <f t="shared" si="13"/>
        <v>0.1</v>
      </c>
      <c r="L153" s="3">
        <f t="shared" si="13"/>
        <v>0.1</v>
      </c>
      <c r="M153" s="3">
        <f t="shared" si="13"/>
        <v>0.1</v>
      </c>
      <c r="N153" s="3">
        <f t="shared" si="13"/>
        <v>0.1</v>
      </c>
      <c r="O153" s="3">
        <f t="shared" si="13"/>
        <v>0.1</v>
      </c>
      <c r="P153" s="3">
        <f t="shared" si="13"/>
        <v>0.1</v>
      </c>
    </row>
    <row r="154" spans="1:16">
      <c r="A154" s="84" t="s">
        <v>381</v>
      </c>
      <c r="B154" s="85" t="s">
        <v>380</v>
      </c>
      <c r="C154" s="85" t="s">
        <v>83</v>
      </c>
      <c r="D154" s="84" t="s">
        <v>84</v>
      </c>
      <c r="E154" s="84">
        <f>VLOOKUP(A154,'2a. SI Pop'!$A$5:$E$198,5,FALSE)</f>
        <v>3</v>
      </c>
      <c r="F154" s="3">
        <f>VLOOKUP(E154,Input!$G$5:$L$24,5,FALSE)</f>
        <v>0.1</v>
      </c>
      <c r="G154" s="3">
        <f t="shared" si="13"/>
        <v>0.1</v>
      </c>
      <c r="H154" s="3">
        <f t="shared" si="13"/>
        <v>0.1</v>
      </c>
      <c r="I154" s="3">
        <f t="shared" si="13"/>
        <v>0.1</v>
      </c>
      <c r="J154" s="3">
        <f t="shared" si="13"/>
        <v>0.1</v>
      </c>
      <c r="K154" s="3">
        <f t="shared" si="13"/>
        <v>0.1</v>
      </c>
      <c r="L154" s="3">
        <f t="shared" si="13"/>
        <v>0.1</v>
      </c>
      <c r="M154" s="3">
        <f t="shared" si="13"/>
        <v>0.1</v>
      </c>
      <c r="N154" s="3">
        <f t="shared" si="13"/>
        <v>0.1</v>
      </c>
      <c r="O154" s="3">
        <f t="shared" si="13"/>
        <v>0.1</v>
      </c>
      <c r="P154" s="3">
        <f t="shared" si="13"/>
        <v>0.1</v>
      </c>
    </row>
    <row r="155" spans="1:16">
      <c r="A155" s="84" t="s">
        <v>383</v>
      </c>
      <c r="B155" s="85" t="s">
        <v>382</v>
      </c>
      <c r="C155" s="85" t="s">
        <v>74</v>
      </c>
      <c r="D155" s="84" t="s">
        <v>87</v>
      </c>
      <c r="E155" s="84">
        <f>VLOOKUP(A155,'2a. SI Pop'!$A$5:$E$198,5,FALSE)</f>
        <v>1</v>
      </c>
      <c r="F155" s="3">
        <f>VLOOKUP(E155,Input!$G$5:$L$24,5,FALSE)</f>
        <v>0.1</v>
      </c>
      <c r="G155" s="3">
        <f t="shared" si="13"/>
        <v>0.1</v>
      </c>
      <c r="H155" s="3">
        <f t="shared" si="13"/>
        <v>0.1</v>
      </c>
      <c r="I155" s="3">
        <f t="shared" si="13"/>
        <v>0.1</v>
      </c>
      <c r="J155" s="3">
        <f t="shared" si="13"/>
        <v>0.1</v>
      </c>
      <c r="K155" s="3">
        <f t="shared" si="13"/>
        <v>0.1</v>
      </c>
      <c r="L155" s="3">
        <f t="shared" si="13"/>
        <v>0.1</v>
      </c>
      <c r="M155" s="3">
        <f t="shared" si="13"/>
        <v>0.1</v>
      </c>
      <c r="N155" s="3">
        <f t="shared" si="13"/>
        <v>0.1</v>
      </c>
      <c r="O155" s="3">
        <f t="shared" si="13"/>
        <v>0.1</v>
      </c>
      <c r="P155" s="3">
        <f t="shared" si="13"/>
        <v>0.1</v>
      </c>
    </row>
    <row r="156" spans="1:16">
      <c r="A156" s="84" t="s">
        <v>385</v>
      </c>
      <c r="B156" s="85" t="s">
        <v>384</v>
      </c>
      <c r="C156" s="85" t="s">
        <v>83</v>
      </c>
      <c r="D156" s="84" t="s">
        <v>84</v>
      </c>
      <c r="E156" s="84">
        <f>VLOOKUP(A156,'2a. SI Pop'!$A$5:$E$198,5,FALSE)</f>
        <v>3</v>
      </c>
      <c r="F156" s="3">
        <f>VLOOKUP(E156,Input!$G$5:$L$24,5,FALSE)</f>
        <v>0.1</v>
      </c>
      <c r="G156" s="3">
        <f t="shared" si="13"/>
        <v>0.1</v>
      </c>
      <c r="H156" s="3">
        <f t="shared" si="13"/>
        <v>0.1</v>
      </c>
      <c r="I156" s="3">
        <f t="shared" si="13"/>
        <v>0.1</v>
      </c>
      <c r="J156" s="3">
        <f t="shared" si="13"/>
        <v>0.1</v>
      </c>
      <c r="K156" s="3">
        <f t="shared" si="13"/>
        <v>0.1</v>
      </c>
      <c r="L156" s="3">
        <f t="shared" si="13"/>
        <v>0.1</v>
      </c>
      <c r="M156" s="3">
        <f t="shared" si="13"/>
        <v>0.1</v>
      </c>
      <c r="N156" s="3">
        <f t="shared" si="13"/>
        <v>0.1</v>
      </c>
      <c r="O156" s="3">
        <f t="shared" si="13"/>
        <v>0.1</v>
      </c>
      <c r="P156" s="3">
        <f t="shared" si="13"/>
        <v>0.1</v>
      </c>
    </row>
    <row r="157" spans="1:16">
      <c r="A157" s="84" t="s">
        <v>387</v>
      </c>
      <c r="B157" s="85" t="s">
        <v>386</v>
      </c>
      <c r="C157" s="85" t="s">
        <v>79</v>
      </c>
      <c r="D157" s="84" t="s">
        <v>80</v>
      </c>
      <c r="E157" s="84">
        <f>VLOOKUP(A157,'2a. SI Pop'!$A$5:$E$198,5,FALSE)</f>
        <v>1</v>
      </c>
      <c r="F157" s="3">
        <f>VLOOKUP(E157,Input!$G$5:$L$24,5,FALSE)</f>
        <v>0.1</v>
      </c>
      <c r="G157" s="3">
        <f t="shared" si="13"/>
        <v>0.1</v>
      </c>
      <c r="H157" s="3">
        <f t="shared" si="13"/>
        <v>0.1</v>
      </c>
      <c r="I157" s="3">
        <f t="shared" si="13"/>
        <v>0.1</v>
      </c>
      <c r="J157" s="3">
        <f t="shared" si="13"/>
        <v>0.1</v>
      </c>
      <c r="K157" s="3">
        <f t="shared" si="13"/>
        <v>0.1</v>
      </c>
      <c r="L157" s="3">
        <f t="shared" si="13"/>
        <v>0.1</v>
      </c>
      <c r="M157" s="3">
        <f t="shared" si="13"/>
        <v>0.1</v>
      </c>
      <c r="N157" s="3">
        <f t="shared" si="13"/>
        <v>0.1</v>
      </c>
      <c r="O157" s="3">
        <f t="shared" si="13"/>
        <v>0.1</v>
      </c>
      <c r="P157" s="3">
        <f t="shared" si="13"/>
        <v>0.1</v>
      </c>
    </row>
    <row r="158" spans="1:16">
      <c r="A158" s="84" t="s">
        <v>389</v>
      </c>
      <c r="B158" s="85" t="s">
        <v>388</v>
      </c>
      <c r="C158" s="85" t="s">
        <v>83</v>
      </c>
      <c r="D158" s="84" t="s">
        <v>87</v>
      </c>
      <c r="E158" s="84">
        <f>VLOOKUP(A158,'2a. SI Pop'!$A$5:$E$198,5,FALSE)</f>
        <v>1</v>
      </c>
      <c r="F158" s="3">
        <f>VLOOKUP(E158,Input!$G$5:$L$24,5,FALSE)</f>
        <v>0.1</v>
      </c>
      <c r="G158" s="3">
        <f t="shared" si="13"/>
        <v>0.1</v>
      </c>
      <c r="H158" s="3">
        <f t="shared" si="13"/>
        <v>0.1</v>
      </c>
      <c r="I158" s="3">
        <f t="shared" si="13"/>
        <v>0.1</v>
      </c>
      <c r="J158" s="3">
        <f t="shared" si="13"/>
        <v>0.1</v>
      </c>
      <c r="K158" s="3">
        <f t="shared" si="13"/>
        <v>0.1</v>
      </c>
      <c r="L158" s="3">
        <f t="shared" si="13"/>
        <v>0.1</v>
      </c>
      <c r="M158" s="3">
        <f t="shared" si="13"/>
        <v>0.1</v>
      </c>
      <c r="N158" s="3">
        <f t="shared" si="13"/>
        <v>0.1</v>
      </c>
      <c r="O158" s="3">
        <f t="shared" si="13"/>
        <v>0.1</v>
      </c>
      <c r="P158" s="3">
        <f t="shared" si="13"/>
        <v>0.1</v>
      </c>
    </row>
    <row r="159" spans="1:16">
      <c r="A159" s="84" t="s">
        <v>391</v>
      </c>
      <c r="B159" s="85" t="s">
        <v>390</v>
      </c>
      <c r="C159" s="85" t="s">
        <v>83</v>
      </c>
      <c r="D159" s="84" t="s">
        <v>75</v>
      </c>
      <c r="E159" s="84">
        <f>VLOOKUP(A159,'2a. SI Pop'!$A$5:$E$198,5,FALSE)</f>
        <v>3</v>
      </c>
      <c r="F159" s="3">
        <f>VLOOKUP(E159,Input!$G$5:$L$24,5,FALSE)</f>
        <v>0.1</v>
      </c>
      <c r="G159" s="3">
        <f t="shared" si="13"/>
        <v>0.1</v>
      </c>
      <c r="H159" s="3">
        <f t="shared" si="13"/>
        <v>0.1</v>
      </c>
      <c r="I159" s="3">
        <f t="shared" si="13"/>
        <v>0.1</v>
      </c>
      <c r="J159" s="3">
        <f t="shared" si="13"/>
        <v>0.1</v>
      </c>
      <c r="K159" s="3">
        <f t="shared" si="13"/>
        <v>0.1</v>
      </c>
      <c r="L159" s="3">
        <f t="shared" si="13"/>
        <v>0.1</v>
      </c>
      <c r="M159" s="3">
        <f t="shared" si="13"/>
        <v>0.1</v>
      </c>
      <c r="N159" s="3">
        <f t="shared" si="13"/>
        <v>0.1</v>
      </c>
      <c r="O159" s="3">
        <f t="shared" si="13"/>
        <v>0.1</v>
      </c>
      <c r="P159" s="3">
        <f t="shared" si="13"/>
        <v>0.1</v>
      </c>
    </row>
    <row r="160" spans="1:16">
      <c r="A160" s="84" t="s">
        <v>393</v>
      </c>
      <c r="B160" s="85" t="s">
        <v>392</v>
      </c>
      <c r="C160" s="85" t="s">
        <v>99</v>
      </c>
      <c r="D160" s="84" t="s">
        <v>87</v>
      </c>
      <c r="E160" s="84">
        <f>VLOOKUP(A160,'2a. SI Pop'!$A$5:$E$198,5,FALSE)</f>
        <v>1</v>
      </c>
      <c r="F160" s="3">
        <f>VLOOKUP(E160,Input!$G$5:$L$24,5,FALSE)</f>
        <v>0.1</v>
      </c>
      <c r="G160" s="3">
        <f t="shared" si="13"/>
        <v>0.1</v>
      </c>
      <c r="H160" s="3">
        <f t="shared" si="13"/>
        <v>0.1</v>
      </c>
      <c r="I160" s="3">
        <f t="shared" si="13"/>
        <v>0.1</v>
      </c>
      <c r="J160" s="3">
        <f t="shared" si="13"/>
        <v>0.1</v>
      </c>
      <c r="K160" s="3">
        <f t="shared" si="13"/>
        <v>0.1</v>
      </c>
      <c r="L160" s="3">
        <f t="shared" si="13"/>
        <v>0.1</v>
      </c>
      <c r="M160" s="3">
        <f t="shared" si="13"/>
        <v>0.1</v>
      </c>
      <c r="N160" s="3">
        <f t="shared" si="13"/>
        <v>0.1</v>
      </c>
      <c r="O160" s="3">
        <f t="shared" si="13"/>
        <v>0.1</v>
      </c>
      <c r="P160" s="3">
        <f t="shared" si="13"/>
        <v>0.1</v>
      </c>
    </row>
    <row r="161" spans="1:16">
      <c r="A161" s="84" t="s">
        <v>395</v>
      </c>
      <c r="B161" s="85" t="s">
        <v>394</v>
      </c>
      <c r="C161" s="85" t="s">
        <v>79</v>
      </c>
      <c r="D161" s="84" t="s">
        <v>87</v>
      </c>
      <c r="E161" s="84">
        <f>VLOOKUP(A161,'2a. SI Pop'!$A$5:$E$198,5,FALSE)</f>
        <v>1</v>
      </c>
      <c r="F161" s="3">
        <f>VLOOKUP(E161,Input!$G$5:$L$24,5,FALSE)</f>
        <v>0.1</v>
      </c>
      <c r="G161" s="3">
        <f t="shared" si="13"/>
        <v>0.1</v>
      </c>
      <c r="H161" s="3">
        <f t="shared" si="13"/>
        <v>0.1</v>
      </c>
      <c r="I161" s="3">
        <f t="shared" si="13"/>
        <v>0.1</v>
      </c>
      <c r="J161" s="3">
        <f t="shared" si="13"/>
        <v>0.1</v>
      </c>
      <c r="K161" s="3">
        <f t="shared" si="13"/>
        <v>0.1</v>
      </c>
      <c r="L161" s="3">
        <f t="shared" si="13"/>
        <v>0.1</v>
      </c>
      <c r="M161" s="3">
        <f t="shared" si="13"/>
        <v>0.1</v>
      </c>
      <c r="N161" s="3">
        <f t="shared" si="13"/>
        <v>0.1</v>
      </c>
      <c r="O161" s="3">
        <f t="shared" si="13"/>
        <v>0.1</v>
      </c>
      <c r="P161" s="3">
        <f t="shared" si="13"/>
        <v>0.1</v>
      </c>
    </row>
    <row r="162" spans="1:16">
      <c r="A162" s="84" t="s">
        <v>397</v>
      </c>
      <c r="B162" s="85" t="s">
        <v>396</v>
      </c>
      <c r="C162" s="85" t="s">
        <v>79</v>
      </c>
      <c r="D162" s="84" t="s">
        <v>87</v>
      </c>
      <c r="E162" s="84">
        <f>VLOOKUP(A162,'2a. SI Pop'!$A$5:$E$198,5,FALSE)</f>
        <v>1</v>
      </c>
      <c r="F162" s="3">
        <f>VLOOKUP(E162,Input!$G$5:$L$24,5,FALSE)</f>
        <v>0.1</v>
      </c>
      <c r="G162" s="3">
        <f t="shared" si="13"/>
        <v>0.1</v>
      </c>
      <c r="H162" s="3">
        <f t="shared" si="13"/>
        <v>0.1</v>
      </c>
      <c r="I162" s="3">
        <f t="shared" si="13"/>
        <v>0.1</v>
      </c>
      <c r="J162" s="3">
        <f t="shared" si="13"/>
        <v>0.1</v>
      </c>
      <c r="K162" s="3">
        <f t="shared" si="13"/>
        <v>0.1</v>
      </c>
      <c r="L162" s="3">
        <f t="shared" si="13"/>
        <v>0.1</v>
      </c>
      <c r="M162" s="3">
        <f t="shared" si="13"/>
        <v>0.1</v>
      </c>
      <c r="N162" s="3">
        <f t="shared" si="13"/>
        <v>0.1</v>
      </c>
      <c r="O162" s="3">
        <f t="shared" si="13"/>
        <v>0.1</v>
      </c>
      <c r="P162" s="3">
        <f t="shared" si="13"/>
        <v>0.1</v>
      </c>
    </row>
    <row r="163" spans="1:16">
      <c r="A163" s="84" t="s">
        <v>399</v>
      </c>
      <c r="B163" s="85" t="s">
        <v>398</v>
      </c>
      <c r="C163" s="85" t="s">
        <v>74</v>
      </c>
      <c r="D163" s="84" t="s">
        <v>75</v>
      </c>
      <c r="E163" s="84">
        <f>VLOOKUP(A163,'2a. SI Pop'!$A$5:$E$198,5,FALSE)</f>
        <v>3</v>
      </c>
      <c r="F163" s="3">
        <f>VLOOKUP(E163,Input!$G$5:$L$24,5,FALSE)</f>
        <v>0.1</v>
      </c>
      <c r="G163" s="3">
        <f t="shared" si="13"/>
        <v>0.1</v>
      </c>
      <c r="H163" s="3">
        <f t="shared" si="13"/>
        <v>0.1</v>
      </c>
      <c r="I163" s="3">
        <f t="shared" si="13"/>
        <v>0.1</v>
      </c>
      <c r="J163" s="3">
        <f t="shared" si="13"/>
        <v>0.1</v>
      </c>
      <c r="K163" s="3">
        <f t="shared" si="13"/>
        <v>0.1</v>
      </c>
      <c r="L163" s="3">
        <f t="shared" si="13"/>
        <v>0.1</v>
      </c>
      <c r="M163" s="3">
        <f t="shared" si="13"/>
        <v>0.1</v>
      </c>
      <c r="N163" s="3">
        <f t="shared" si="13"/>
        <v>0.1</v>
      </c>
      <c r="O163" s="3">
        <f t="shared" si="13"/>
        <v>0.1</v>
      </c>
      <c r="P163" s="3">
        <f t="shared" si="13"/>
        <v>0.1</v>
      </c>
    </row>
    <row r="164" spans="1:16">
      <c r="A164" s="84" t="s">
        <v>401</v>
      </c>
      <c r="B164" s="85" t="s">
        <v>400</v>
      </c>
      <c r="C164" s="85" t="s">
        <v>99</v>
      </c>
      <c r="D164" s="84" t="s">
        <v>84</v>
      </c>
      <c r="E164" s="84">
        <f>VLOOKUP(A164,'2a. SI Pop'!$A$5:$E$198,5,FALSE)</f>
        <v>4</v>
      </c>
      <c r="F164" s="3">
        <f>VLOOKUP(E164,Input!$G$5:$L$24,5,FALSE)</f>
        <v>0.1</v>
      </c>
      <c r="G164" s="3">
        <f t="shared" si="13"/>
        <v>0.1</v>
      </c>
      <c r="H164" s="3">
        <f t="shared" si="13"/>
        <v>0.1</v>
      </c>
      <c r="I164" s="3">
        <f t="shared" si="13"/>
        <v>0.1</v>
      </c>
      <c r="J164" s="3">
        <f t="shared" si="13"/>
        <v>0.1</v>
      </c>
      <c r="K164" s="3">
        <f t="shared" si="13"/>
        <v>0.1</v>
      </c>
      <c r="L164" s="3">
        <f t="shared" si="13"/>
        <v>0.1</v>
      </c>
      <c r="M164" s="3">
        <f t="shared" si="13"/>
        <v>0.1</v>
      </c>
      <c r="N164" s="3">
        <f t="shared" si="13"/>
        <v>0.1</v>
      </c>
      <c r="O164" s="3">
        <f t="shared" si="13"/>
        <v>0.1</v>
      </c>
      <c r="P164" s="3">
        <f t="shared" si="13"/>
        <v>0.1</v>
      </c>
    </row>
    <row r="165" spans="1:16">
      <c r="A165" s="84" t="s">
        <v>403</v>
      </c>
      <c r="B165" s="85" t="s">
        <v>402</v>
      </c>
      <c r="C165" s="85" t="s">
        <v>83</v>
      </c>
      <c r="D165" s="84" t="s">
        <v>80</v>
      </c>
      <c r="E165" s="84" t="str">
        <f>VLOOKUP(A165,'2a. SI Pop'!$A$5:$E$198,5,FALSE)</f>
        <v>Key</v>
      </c>
      <c r="F165" s="3">
        <f>VLOOKUP(A165,Input!$G$5:$L$24,5,FALSE)</f>
        <v>0.1</v>
      </c>
      <c r="G165" s="3">
        <f t="shared" si="13"/>
        <v>0.1</v>
      </c>
      <c r="H165" s="3">
        <f t="shared" si="13"/>
        <v>0.1</v>
      </c>
      <c r="I165" s="3">
        <f t="shared" si="13"/>
        <v>0.1</v>
      </c>
      <c r="J165" s="3">
        <f t="shared" si="13"/>
        <v>0.1</v>
      </c>
      <c r="K165" s="3">
        <f t="shared" si="13"/>
        <v>0.1</v>
      </c>
      <c r="L165" s="3">
        <f t="shared" si="13"/>
        <v>0.1</v>
      </c>
      <c r="M165" s="3">
        <f t="shared" si="13"/>
        <v>0.1</v>
      </c>
      <c r="N165" s="3">
        <f t="shared" si="13"/>
        <v>0.1</v>
      </c>
      <c r="O165" s="3">
        <f t="shared" si="13"/>
        <v>0.1</v>
      </c>
      <c r="P165" s="3">
        <f t="shared" si="13"/>
        <v>0.1</v>
      </c>
    </row>
    <row r="166" spans="1:16">
      <c r="A166" s="84" t="s">
        <v>405</v>
      </c>
      <c r="B166" s="85" t="s">
        <v>404</v>
      </c>
      <c r="C166" s="85" t="s">
        <v>79</v>
      </c>
      <c r="D166" s="84" t="s">
        <v>87</v>
      </c>
      <c r="E166" s="84">
        <f>VLOOKUP(A166,'2a. SI Pop'!$A$5:$E$198,5,FALSE)</f>
        <v>1</v>
      </c>
      <c r="F166" s="3">
        <f>VLOOKUP(E166,Input!$G$5:$L$24,5,FALSE)</f>
        <v>0.1</v>
      </c>
      <c r="G166" s="3">
        <f t="shared" ref="G166:P181" si="14">F166</f>
        <v>0.1</v>
      </c>
      <c r="H166" s="3">
        <f t="shared" si="14"/>
        <v>0.1</v>
      </c>
      <c r="I166" s="3">
        <f t="shared" si="14"/>
        <v>0.1</v>
      </c>
      <c r="J166" s="3">
        <f t="shared" si="14"/>
        <v>0.1</v>
      </c>
      <c r="K166" s="3">
        <f t="shared" si="14"/>
        <v>0.1</v>
      </c>
      <c r="L166" s="3">
        <f t="shared" si="14"/>
        <v>0.1</v>
      </c>
      <c r="M166" s="3">
        <f t="shared" si="14"/>
        <v>0.1</v>
      </c>
      <c r="N166" s="3">
        <f t="shared" si="14"/>
        <v>0.1</v>
      </c>
      <c r="O166" s="3">
        <f t="shared" si="14"/>
        <v>0.1</v>
      </c>
      <c r="P166" s="3">
        <f t="shared" si="14"/>
        <v>0.1</v>
      </c>
    </row>
    <row r="167" spans="1:16">
      <c r="A167" s="84" t="s">
        <v>407</v>
      </c>
      <c r="B167" s="85" t="s">
        <v>406</v>
      </c>
      <c r="C167" s="85" t="s">
        <v>110</v>
      </c>
      <c r="D167" s="84" t="s">
        <v>84</v>
      </c>
      <c r="E167" s="84">
        <f>VLOOKUP(A167,'2a. SI Pop'!$A$5:$E$198,5,FALSE)</f>
        <v>2</v>
      </c>
      <c r="F167" s="3">
        <f>VLOOKUP(E167,Input!$G$5:$L$24,5,FALSE)</f>
        <v>0.1</v>
      </c>
      <c r="G167" s="3">
        <f t="shared" si="14"/>
        <v>0.1</v>
      </c>
      <c r="H167" s="3">
        <f t="shared" si="14"/>
        <v>0.1</v>
      </c>
      <c r="I167" s="3">
        <f t="shared" si="14"/>
        <v>0.1</v>
      </c>
      <c r="J167" s="3">
        <f t="shared" si="14"/>
        <v>0.1</v>
      </c>
      <c r="K167" s="3">
        <f t="shared" si="14"/>
        <v>0.1</v>
      </c>
      <c r="L167" s="3">
        <f t="shared" si="14"/>
        <v>0.1</v>
      </c>
      <c r="M167" s="3">
        <f t="shared" si="14"/>
        <v>0.1</v>
      </c>
      <c r="N167" s="3">
        <f t="shared" si="14"/>
        <v>0.1</v>
      </c>
      <c r="O167" s="3">
        <f t="shared" si="14"/>
        <v>0.1</v>
      </c>
      <c r="P167" s="3">
        <f t="shared" si="14"/>
        <v>0.1</v>
      </c>
    </row>
    <row r="168" spans="1:16">
      <c r="A168" s="84" t="s">
        <v>409</v>
      </c>
      <c r="B168" s="85" t="s">
        <v>408</v>
      </c>
      <c r="C168" s="85" t="s">
        <v>74</v>
      </c>
      <c r="D168" s="84" t="s">
        <v>75</v>
      </c>
      <c r="E168" s="84">
        <f>VLOOKUP(A168,'2a. SI Pop'!$A$5:$E$198,5,FALSE)</f>
        <v>3</v>
      </c>
      <c r="F168" s="3">
        <f>VLOOKUP(E168,Input!$G$5:$L$24,5,FALSE)</f>
        <v>0.1</v>
      </c>
      <c r="G168" s="3">
        <f t="shared" si="14"/>
        <v>0.1</v>
      </c>
      <c r="H168" s="3">
        <f t="shared" si="14"/>
        <v>0.1</v>
      </c>
      <c r="I168" s="3">
        <f t="shared" si="14"/>
        <v>0.1</v>
      </c>
      <c r="J168" s="3">
        <f t="shared" si="14"/>
        <v>0.1</v>
      </c>
      <c r="K168" s="3">
        <f t="shared" si="14"/>
        <v>0.1</v>
      </c>
      <c r="L168" s="3">
        <f t="shared" si="14"/>
        <v>0.1</v>
      </c>
      <c r="M168" s="3">
        <f t="shared" si="14"/>
        <v>0.1</v>
      </c>
      <c r="N168" s="3">
        <f t="shared" si="14"/>
        <v>0.1</v>
      </c>
      <c r="O168" s="3">
        <f t="shared" si="14"/>
        <v>0.1</v>
      </c>
      <c r="P168" s="3">
        <f t="shared" si="14"/>
        <v>0.1</v>
      </c>
    </row>
    <row r="169" spans="1:16">
      <c r="A169" s="84" t="s">
        <v>411</v>
      </c>
      <c r="B169" s="85" t="s">
        <v>410</v>
      </c>
      <c r="C169" s="85" t="s">
        <v>74</v>
      </c>
      <c r="D169" s="84" t="s">
        <v>75</v>
      </c>
      <c r="E169" s="84">
        <f>VLOOKUP(A169,'2a. SI Pop'!$A$5:$E$198,5,FALSE)</f>
        <v>3</v>
      </c>
      <c r="F169" s="3">
        <f>VLOOKUP(E169,Input!$G$5:$L$24,5,FALSE)</f>
        <v>0.1</v>
      </c>
      <c r="G169" s="3">
        <f t="shared" si="14"/>
        <v>0.1</v>
      </c>
      <c r="H169" s="3">
        <f t="shared" si="14"/>
        <v>0.1</v>
      </c>
      <c r="I169" s="3">
        <f t="shared" si="14"/>
        <v>0.1</v>
      </c>
      <c r="J169" s="3">
        <f t="shared" si="14"/>
        <v>0.1</v>
      </c>
      <c r="K169" s="3">
        <f t="shared" si="14"/>
        <v>0.1</v>
      </c>
      <c r="L169" s="3">
        <f t="shared" si="14"/>
        <v>0.1</v>
      </c>
      <c r="M169" s="3">
        <f t="shared" si="14"/>
        <v>0.1</v>
      </c>
      <c r="N169" s="3">
        <f t="shared" si="14"/>
        <v>0.1</v>
      </c>
      <c r="O169" s="3">
        <f t="shared" si="14"/>
        <v>0.1</v>
      </c>
      <c r="P169" s="3">
        <f t="shared" si="14"/>
        <v>0.1</v>
      </c>
    </row>
    <row r="170" spans="1:16">
      <c r="A170" s="84" t="s">
        <v>413</v>
      </c>
      <c r="B170" s="85" t="s">
        <v>412</v>
      </c>
      <c r="C170" s="85" t="s">
        <v>92</v>
      </c>
      <c r="D170" s="84" t="s">
        <v>80</v>
      </c>
      <c r="E170" s="84">
        <f>VLOOKUP(A170,'2a. SI Pop'!$A$5:$E$198,5,FALSE)</f>
        <v>1</v>
      </c>
      <c r="F170" s="3">
        <f>VLOOKUP(E170,Input!$G$5:$L$24,5,FALSE)</f>
        <v>0.1</v>
      </c>
      <c r="G170" s="3">
        <f t="shared" si="14"/>
        <v>0.1</v>
      </c>
      <c r="H170" s="3">
        <f t="shared" si="14"/>
        <v>0.1</v>
      </c>
      <c r="I170" s="3">
        <f t="shared" si="14"/>
        <v>0.1</v>
      </c>
      <c r="J170" s="3">
        <f t="shared" si="14"/>
        <v>0.1</v>
      </c>
      <c r="K170" s="3">
        <f t="shared" si="14"/>
        <v>0.1</v>
      </c>
      <c r="L170" s="3">
        <f t="shared" si="14"/>
        <v>0.1</v>
      </c>
      <c r="M170" s="3">
        <f t="shared" si="14"/>
        <v>0.1</v>
      </c>
      <c r="N170" s="3">
        <f t="shared" si="14"/>
        <v>0.1</v>
      </c>
      <c r="O170" s="3">
        <f t="shared" si="14"/>
        <v>0.1</v>
      </c>
      <c r="P170" s="3">
        <f t="shared" si="14"/>
        <v>0.1</v>
      </c>
    </row>
    <row r="171" spans="1:16">
      <c r="A171" s="84" t="s">
        <v>415</v>
      </c>
      <c r="B171" s="85" t="s">
        <v>414</v>
      </c>
      <c r="C171" s="85" t="s">
        <v>83</v>
      </c>
      <c r="D171" s="84" t="s">
        <v>84</v>
      </c>
      <c r="E171" s="84">
        <f>VLOOKUP(A171,'2a. SI Pop'!$A$5:$E$198,5,FALSE)</f>
        <v>3</v>
      </c>
      <c r="F171" s="3">
        <f>VLOOKUP(E171,Input!$G$5:$L$24,5,FALSE)</f>
        <v>0.1</v>
      </c>
      <c r="G171" s="3">
        <f t="shared" si="14"/>
        <v>0.1</v>
      </c>
      <c r="H171" s="3">
        <f t="shared" si="14"/>
        <v>0.1</v>
      </c>
      <c r="I171" s="3">
        <f t="shared" si="14"/>
        <v>0.1</v>
      </c>
      <c r="J171" s="3">
        <f t="shared" si="14"/>
        <v>0.1</v>
      </c>
      <c r="K171" s="3">
        <f t="shared" si="14"/>
        <v>0.1</v>
      </c>
      <c r="L171" s="3">
        <f t="shared" si="14"/>
        <v>0.1</v>
      </c>
      <c r="M171" s="3">
        <f t="shared" si="14"/>
        <v>0.1</v>
      </c>
      <c r="N171" s="3">
        <f t="shared" si="14"/>
        <v>0.1</v>
      </c>
      <c r="O171" s="3">
        <f t="shared" si="14"/>
        <v>0.1</v>
      </c>
      <c r="P171" s="3">
        <f t="shared" si="14"/>
        <v>0.1</v>
      </c>
    </row>
    <row r="172" spans="1:16">
      <c r="A172" s="84" t="s">
        <v>417</v>
      </c>
      <c r="B172" s="85" t="s">
        <v>416</v>
      </c>
      <c r="C172" s="85" t="s">
        <v>79</v>
      </c>
      <c r="D172" s="84" t="s">
        <v>87</v>
      </c>
      <c r="E172" s="84">
        <f>VLOOKUP(A172,'2a. SI Pop'!$A$5:$E$198,5,FALSE)</f>
        <v>1</v>
      </c>
      <c r="F172" s="3">
        <f>VLOOKUP(E172,Input!$G$5:$L$24,5,FALSE)</f>
        <v>0.1</v>
      </c>
      <c r="G172" s="3">
        <f t="shared" si="14"/>
        <v>0.1</v>
      </c>
      <c r="H172" s="3">
        <f t="shared" si="14"/>
        <v>0.1</v>
      </c>
      <c r="I172" s="3">
        <f t="shared" si="14"/>
        <v>0.1</v>
      </c>
      <c r="J172" s="3">
        <f t="shared" si="14"/>
        <v>0.1</v>
      </c>
      <c r="K172" s="3">
        <f t="shared" si="14"/>
        <v>0.1</v>
      </c>
      <c r="L172" s="3">
        <f t="shared" si="14"/>
        <v>0.1</v>
      </c>
      <c r="M172" s="3">
        <f t="shared" si="14"/>
        <v>0.1</v>
      </c>
      <c r="N172" s="3">
        <f t="shared" si="14"/>
        <v>0.1</v>
      </c>
      <c r="O172" s="3">
        <f t="shared" si="14"/>
        <v>0.1</v>
      </c>
      <c r="P172" s="3">
        <f t="shared" si="14"/>
        <v>0.1</v>
      </c>
    </row>
    <row r="173" spans="1:16">
      <c r="A173" s="84" t="s">
        <v>419</v>
      </c>
      <c r="B173" s="85" t="s">
        <v>418</v>
      </c>
      <c r="C173" s="85" t="s">
        <v>79</v>
      </c>
      <c r="D173" s="84" t="s">
        <v>87</v>
      </c>
      <c r="E173" s="84">
        <f>VLOOKUP(A173,'2a. SI Pop'!$A$5:$E$198,5,FALSE)</f>
        <v>1</v>
      </c>
      <c r="F173" s="3">
        <f>VLOOKUP(E173,Input!$G$5:$L$24,5,FALSE)</f>
        <v>0.1</v>
      </c>
      <c r="G173" s="3">
        <f t="shared" si="14"/>
        <v>0.1</v>
      </c>
      <c r="H173" s="3">
        <f t="shared" si="14"/>
        <v>0.1</v>
      </c>
      <c r="I173" s="3">
        <f t="shared" si="14"/>
        <v>0.1</v>
      </c>
      <c r="J173" s="3">
        <f t="shared" si="14"/>
        <v>0.1</v>
      </c>
      <c r="K173" s="3">
        <f t="shared" si="14"/>
        <v>0.1</v>
      </c>
      <c r="L173" s="3">
        <f t="shared" si="14"/>
        <v>0.1</v>
      </c>
      <c r="M173" s="3">
        <f t="shared" si="14"/>
        <v>0.1</v>
      </c>
      <c r="N173" s="3">
        <f t="shared" si="14"/>
        <v>0.1</v>
      </c>
      <c r="O173" s="3">
        <f t="shared" si="14"/>
        <v>0.1</v>
      </c>
      <c r="P173" s="3">
        <f t="shared" si="14"/>
        <v>0.1</v>
      </c>
    </row>
    <row r="174" spans="1:16">
      <c r="A174" s="84" t="s">
        <v>421</v>
      </c>
      <c r="B174" s="85" t="s">
        <v>420</v>
      </c>
      <c r="C174" s="85" t="s">
        <v>74</v>
      </c>
      <c r="D174" s="84" t="s">
        <v>75</v>
      </c>
      <c r="E174" s="84">
        <f>VLOOKUP(A174,'2a. SI Pop'!$A$5:$E$198,5,FALSE)</f>
        <v>2</v>
      </c>
      <c r="F174" s="3">
        <f>VLOOKUP(E174,Input!$G$5:$L$24,5,FALSE)</f>
        <v>0.1</v>
      </c>
      <c r="G174" s="3">
        <f t="shared" si="14"/>
        <v>0.1</v>
      </c>
      <c r="H174" s="3">
        <f t="shared" si="14"/>
        <v>0.1</v>
      </c>
      <c r="I174" s="3">
        <f t="shared" si="14"/>
        <v>0.1</v>
      </c>
      <c r="J174" s="3">
        <f t="shared" si="14"/>
        <v>0.1</v>
      </c>
      <c r="K174" s="3">
        <f t="shared" si="14"/>
        <v>0.1</v>
      </c>
      <c r="L174" s="3">
        <f t="shared" si="14"/>
        <v>0.1</v>
      </c>
      <c r="M174" s="3">
        <f t="shared" si="14"/>
        <v>0.1</v>
      </c>
      <c r="N174" s="3">
        <f t="shared" si="14"/>
        <v>0.1</v>
      </c>
      <c r="O174" s="3">
        <f t="shared" si="14"/>
        <v>0.1</v>
      </c>
      <c r="P174" s="3">
        <f t="shared" si="14"/>
        <v>0.1</v>
      </c>
    </row>
    <row r="175" spans="1:16">
      <c r="A175" s="84" t="s">
        <v>423</v>
      </c>
      <c r="B175" s="85" t="s">
        <v>422</v>
      </c>
      <c r="C175" s="85" t="s">
        <v>83</v>
      </c>
      <c r="D175" s="84" t="s">
        <v>84</v>
      </c>
      <c r="E175" s="84" t="str">
        <f>VLOOKUP(A175,'2a. SI Pop'!$A$5:$E$198,5,FALSE)</f>
        <v>Key</v>
      </c>
      <c r="F175" s="3">
        <f>VLOOKUP(A175,Input!$G$5:$L$24,5,FALSE)</f>
        <v>0.1</v>
      </c>
      <c r="G175" s="3">
        <f t="shared" si="14"/>
        <v>0.1</v>
      </c>
      <c r="H175" s="3">
        <f t="shared" si="14"/>
        <v>0.1</v>
      </c>
      <c r="I175" s="3">
        <f t="shared" si="14"/>
        <v>0.1</v>
      </c>
      <c r="J175" s="3">
        <f t="shared" si="14"/>
        <v>0.1</v>
      </c>
      <c r="K175" s="3">
        <f t="shared" si="14"/>
        <v>0.1</v>
      </c>
      <c r="L175" s="3">
        <f t="shared" si="14"/>
        <v>0.1</v>
      </c>
      <c r="M175" s="3">
        <f t="shared" si="14"/>
        <v>0.1</v>
      </c>
      <c r="N175" s="3">
        <f t="shared" si="14"/>
        <v>0.1</v>
      </c>
      <c r="O175" s="3">
        <f t="shared" si="14"/>
        <v>0.1</v>
      </c>
      <c r="P175" s="3">
        <f t="shared" si="14"/>
        <v>0.1</v>
      </c>
    </row>
    <row r="176" spans="1:16">
      <c r="A176" s="84" t="s">
        <v>425</v>
      </c>
      <c r="B176" s="85" t="s">
        <v>424</v>
      </c>
      <c r="C176" s="85" t="s">
        <v>79</v>
      </c>
      <c r="D176" s="84" t="s">
        <v>75</v>
      </c>
      <c r="E176" s="84">
        <f>VLOOKUP(A176,'2a. SI Pop'!$A$5:$E$198,5,FALSE)</f>
        <v>2</v>
      </c>
      <c r="F176" s="3">
        <f>VLOOKUP(E176,Input!$G$5:$L$24,5,FALSE)</f>
        <v>0.1</v>
      </c>
      <c r="G176" s="3">
        <f t="shared" si="14"/>
        <v>0.1</v>
      </c>
      <c r="H176" s="3">
        <f t="shared" si="14"/>
        <v>0.1</v>
      </c>
      <c r="I176" s="3">
        <f t="shared" si="14"/>
        <v>0.1</v>
      </c>
      <c r="J176" s="3">
        <f t="shared" si="14"/>
        <v>0.1</v>
      </c>
      <c r="K176" s="3">
        <f t="shared" si="14"/>
        <v>0.1</v>
      </c>
      <c r="L176" s="3">
        <f t="shared" si="14"/>
        <v>0.1</v>
      </c>
      <c r="M176" s="3">
        <f t="shared" si="14"/>
        <v>0.1</v>
      </c>
      <c r="N176" s="3">
        <f t="shared" si="14"/>
        <v>0.1</v>
      </c>
      <c r="O176" s="3">
        <f t="shared" si="14"/>
        <v>0.1</v>
      </c>
      <c r="P176" s="3">
        <f t="shared" si="14"/>
        <v>0.1</v>
      </c>
    </row>
    <row r="177" spans="1:16">
      <c r="A177" s="84" t="s">
        <v>427</v>
      </c>
      <c r="B177" s="85" t="s">
        <v>426</v>
      </c>
      <c r="C177" s="85" t="s">
        <v>110</v>
      </c>
      <c r="D177" s="84" t="s">
        <v>80</v>
      </c>
      <c r="E177" s="84">
        <f>VLOOKUP(A177,'2a. SI Pop'!$A$5:$E$198,5,FALSE)</f>
        <v>1</v>
      </c>
      <c r="F177" s="3">
        <f>VLOOKUP(E177,Input!$G$5:$L$24,5,FALSE)</f>
        <v>0.1</v>
      </c>
      <c r="G177" s="3">
        <f t="shared" si="14"/>
        <v>0.1</v>
      </c>
      <c r="H177" s="3">
        <f t="shared" si="14"/>
        <v>0.1</v>
      </c>
      <c r="I177" s="3">
        <f t="shared" si="14"/>
        <v>0.1</v>
      </c>
      <c r="J177" s="3">
        <f t="shared" si="14"/>
        <v>0.1</v>
      </c>
      <c r="K177" s="3">
        <f t="shared" si="14"/>
        <v>0.1</v>
      </c>
      <c r="L177" s="3">
        <f t="shared" si="14"/>
        <v>0.1</v>
      </c>
      <c r="M177" s="3">
        <f t="shared" si="14"/>
        <v>0.1</v>
      </c>
      <c r="N177" s="3">
        <f t="shared" si="14"/>
        <v>0.1</v>
      </c>
      <c r="O177" s="3">
        <f t="shared" si="14"/>
        <v>0.1</v>
      </c>
      <c r="P177" s="3">
        <f t="shared" si="14"/>
        <v>0.1</v>
      </c>
    </row>
    <row r="178" spans="1:16">
      <c r="A178" s="84" t="s">
        <v>429</v>
      </c>
      <c r="B178" s="85" t="s">
        <v>428</v>
      </c>
      <c r="C178" s="85" t="s">
        <v>110</v>
      </c>
      <c r="D178" s="84" t="s">
        <v>84</v>
      </c>
      <c r="E178" s="84">
        <f>VLOOKUP(A178,'2a. SI Pop'!$A$5:$E$198,5,FALSE)</f>
        <v>4</v>
      </c>
      <c r="F178" s="3">
        <f>VLOOKUP(E178,Input!$G$5:$L$24,5,FALSE)</f>
        <v>0.1</v>
      </c>
      <c r="G178" s="3">
        <f t="shared" si="14"/>
        <v>0.1</v>
      </c>
      <c r="H178" s="3">
        <f t="shared" si="14"/>
        <v>0.1</v>
      </c>
      <c r="I178" s="3">
        <f t="shared" si="14"/>
        <v>0.1</v>
      </c>
      <c r="J178" s="3">
        <f t="shared" si="14"/>
        <v>0.1</v>
      </c>
      <c r="K178" s="3">
        <f t="shared" si="14"/>
        <v>0.1</v>
      </c>
      <c r="L178" s="3">
        <f t="shared" si="14"/>
        <v>0.1</v>
      </c>
      <c r="M178" s="3">
        <f t="shared" si="14"/>
        <v>0.1</v>
      </c>
      <c r="N178" s="3">
        <f t="shared" si="14"/>
        <v>0.1</v>
      </c>
      <c r="O178" s="3">
        <f t="shared" si="14"/>
        <v>0.1</v>
      </c>
      <c r="P178" s="3">
        <f t="shared" si="14"/>
        <v>0.1</v>
      </c>
    </row>
    <row r="179" spans="1:16">
      <c r="A179" s="84" t="s">
        <v>431</v>
      </c>
      <c r="B179" s="85" t="s">
        <v>430</v>
      </c>
      <c r="C179" s="85" t="s">
        <v>83</v>
      </c>
      <c r="D179" s="84" t="s">
        <v>75</v>
      </c>
      <c r="E179" s="84">
        <f>VLOOKUP(A179,'2a. SI Pop'!$A$5:$E$198,5,FALSE)</f>
        <v>3</v>
      </c>
      <c r="F179" s="3">
        <f>VLOOKUP(E179,Input!$G$5:$L$24,5,FALSE)</f>
        <v>0.1</v>
      </c>
      <c r="G179" s="3">
        <f t="shared" si="14"/>
        <v>0.1</v>
      </c>
      <c r="H179" s="3">
        <f t="shared" si="14"/>
        <v>0.1</v>
      </c>
      <c r="I179" s="3">
        <f t="shared" si="14"/>
        <v>0.1</v>
      </c>
      <c r="J179" s="3">
        <f t="shared" si="14"/>
        <v>0.1</v>
      </c>
      <c r="K179" s="3">
        <f t="shared" si="14"/>
        <v>0.1</v>
      </c>
      <c r="L179" s="3">
        <f t="shared" si="14"/>
        <v>0.1</v>
      </c>
      <c r="M179" s="3">
        <f t="shared" si="14"/>
        <v>0.1</v>
      </c>
      <c r="N179" s="3">
        <f t="shared" si="14"/>
        <v>0.1</v>
      </c>
      <c r="O179" s="3">
        <f t="shared" si="14"/>
        <v>0.1</v>
      </c>
      <c r="P179" s="3">
        <f t="shared" si="14"/>
        <v>0.1</v>
      </c>
    </row>
    <row r="180" spans="1:16">
      <c r="A180" s="84" t="s">
        <v>433</v>
      </c>
      <c r="B180" s="85" t="s">
        <v>432</v>
      </c>
      <c r="C180" s="85" t="s">
        <v>99</v>
      </c>
      <c r="D180" s="84" t="s">
        <v>80</v>
      </c>
      <c r="E180" s="84">
        <f>VLOOKUP(A180,'2a. SI Pop'!$A$5:$E$198,5,FALSE)</f>
        <v>1</v>
      </c>
      <c r="F180" s="3">
        <f>VLOOKUP(E180,Input!$G$5:$L$24,5,FALSE)</f>
        <v>0.1</v>
      </c>
      <c r="G180" s="3">
        <f t="shared" si="14"/>
        <v>0.1</v>
      </c>
      <c r="H180" s="3">
        <f t="shared" si="14"/>
        <v>0.1</v>
      </c>
      <c r="I180" s="3">
        <f t="shared" si="14"/>
        <v>0.1</v>
      </c>
      <c r="J180" s="3">
        <f t="shared" si="14"/>
        <v>0.1</v>
      </c>
      <c r="K180" s="3">
        <f t="shared" si="14"/>
        <v>0.1</v>
      </c>
      <c r="L180" s="3">
        <f t="shared" si="14"/>
        <v>0.1</v>
      </c>
      <c r="M180" s="3">
        <f t="shared" si="14"/>
        <v>0.1</v>
      </c>
      <c r="N180" s="3">
        <f t="shared" si="14"/>
        <v>0.1</v>
      </c>
      <c r="O180" s="3">
        <f t="shared" si="14"/>
        <v>0.1</v>
      </c>
      <c r="P180" s="3">
        <f t="shared" si="14"/>
        <v>0.1</v>
      </c>
    </row>
    <row r="181" spans="1:16">
      <c r="A181" s="84" t="s">
        <v>435</v>
      </c>
      <c r="B181" s="85" t="s">
        <v>434</v>
      </c>
      <c r="C181" s="85" t="s">
        <v>92</v>
      </c>
      <c r="D181" s="84" t="s">
        <v>87</v>
      </c>
      <c r="E181" s="84">
        <f>VLOOKUP(A181,'2a. SI Pop'!$A$5:$E$198,5,FALSE)</f>
        <v>1</v>
      </c>
      <c r="F181" s="3">
        <f>VLOOKUP(E181,Input!$G$5:$L$24,5,FALSE)</f>
        <v>0.1</v>
      </c>
      <c r="G181" s="3">
        <f t="shared" si="14"/>
        <v>0.1</v>
      </c>
      <c r="H181" s="3">
        <f t="shared" si="14"/>
        <v>0.1</v>
      </c>
      <c r="I181" s="3">
        <f t="shared" si="14"/>
        <v>0.1</v>
      </c>
      <c r="J181" s="3">
        <f t="shared" si="14"/>
        <v>0.1</v>
      </c>
      <c r="K181" s="3">
        <f t="shared" si="14"/>
        <v>0.1</v>
      </c>
      <c r="L181" s="3">
        <f t="shared" si="14"/>
        <v>0.1</v>
      </c>
      <c r="M181" s="3">
        <f t="shared" si="14"/>
        <v>0.1</v>
      </c>
      <c r="N181" s="3">
        <f t="shared" si="14"/>
        <v>0.1</v>
      </c>
      <c r="O181" s="3">
        <f t="shared" si="14"/>
        <v>0.1</v>
      </c>
      <c r="P181" s="3">
        <f t="shared" si="14"/>
        <v>0.1</v>
      </c>
    </row>
    <row r="182" spans="1:16">
      <c r="A182" s="84" t="s">
        <v>437</v>
      </c>
      <c r="B182" s="85" t="s">
        <v>436</v>
      </c>
      <c r="C182" s="85" t="s">
        <v>74</v>
      </c>
      <c r="D182" s="84" t="s">
        <v>84</v>
      </c>
      <c r="E182" s="84">
        <f>VLOOKUP(A182,'2a. SI Pop'!$A$5:$E$198,5,FALSE)</f>
        <v>3</v>
      </c>
      <c r="F182" s="3">
        <f>VLOOKUP(E182,Input!$G$5:$L$24,5,FALSE)</f>
        <v>0.1</v>
      </c>
      <c r="G182" s="3">
        <f t="shared" ref="G182:P197" si="15">F182</f>
        <v>0.1</v>
      </c>
      <c r="H182" s="3">
        <f t="shared" si="15"/>
        <v>0.1</v>
      </c>
      <c r="I182" s="3">
        <f t="shared" si="15"/>
        <v>0.1</v>
      </c>
      <c r="J182" s="3">
        <f t="shared" si="15"/>
        <v>0.1</v>
      </c>
      <c r="K182" s="3">
        <f t="shared" si="15"/>
        <v>0.1</v>
      </c>
      <c r="L182" s="3">
        <f t="shared" si="15"/>
        <v>0.1</v>
      </c>
      <c r="M182" s="3">
        <f t="shared" si="15"/>
        <v>0.1</v>
      </c>
      <c r="N182" s="3">
        <f t="shared" si="15"/>
        <v>0.1</v>
      </c>
      <c r="O182" s="3">
        <f t="shared" si="15"/>
        <v>0.1</v>
      </c>
      <c r="P182" s="3">
        <f t="shared" si="15"/>
        <v>0.1</v>
      </c>
    </row>
    <row r="183" spans="1:16">
      <c r="A183" s="84" t="s">
        <v>439</v>
      </c>
      <c r="B183" s="85" t="s">
        <v>438</v>
      </c>
      <c r="C183" s="85" t="s">
        <v>79</v>
      </c>
      <c r="D183" s="84" t="s">
        <v>80</v>
      </c>
      <c r="E183" s="84">
        <f>VLOOKUP(A183,'2a. SI Pop'!$A$5:$E$198,5,FALSE)</f>
        <v>1</v>
      </c>
      <c r="F183" s="3">
        <f>VLOOKUP(E183,Input!$G$5:$L$24,5,FALSE)</f>
        <v>0.1</v>
      </c>
      <c r="G183" s="3">
        <f t="shared" si="15"/>
        <v>0.1</v>
      </c>
      <c r="H183" s="3">
        <f t="shared" si="15"/>
        <v>0.1</v>
      </c>
      <c r="I183" s="3">
        <f t="shared" si="15"/>
        <v>0.1</v>
      </c>
      <c r="J183" s="3">
        <f t="shared" si="15"/>
        <v>0.1</v>
      </c>
      <c r="K183" s="3">
        <f t="shared" si="15"/>
        <v>0.1</v>
      </c>
      <c r="L183" s="3">
        <f t="shared" si="15"/>
        <v>0.1</v>
      </c>
      <c r="M183" s="3">
        <f t="shared" si="15"/>
        <v>0.1</v>
      </c>
      <c r="N183" s="3">
        <f t="shared" si="15"/>
        <v>0.1</v>
      </c>
      <c r="O183" s="3">
        <f t="shared" si="15"/>
        <v>0.1</v>
      </c>
      <c r="P183" s="3">
        <f t="shared" si="15"/>
        <v>0.1</v>
      </c>
    </row>
    <row r="184" spans="1:16">
      <c r="A184" s="84" t="s">
        <v>441</v>
      </c>
      <c r="B184" s="85" t="s">
        <v>440</v>
      </c>
      <c r="C184" s="85" t="s">
        <v>79</v>
      </c>
      <c r="D184" s="84" t="s">
        <v>80</v>
      </c>
      <c r="E184" s="84">
        <f>VLOOKUP(A184,'2a. SI Pop'!$A$5:$E$198,5,FALSE)</f>
        <v>1</v>
      </c>
      <c r="F184" s="3">
        <f>VLOOKUP(E184,Input!$G$5:$L$24,5,FALSE)</f>
        <v>0.1</v>
      </c>
      <c r="G184" s="3">
        <f t="shared" si="15"/>
        <v>0.1</v>
      </c>
      <c r="H184" s="3">
        <f t="shared" si="15"/>
        <v>0.1</v>
      </c>
      <c r="I184" s="3">
        <f t="shared" si="15"/>
        <v>0.1</v>
      </c>
      <c r="J184" s="3">
        <f t="shared" si="15"/>
        <v>0.1</v>
      </c>
      <c r="K184" s="3">
        <f t="shared" si="15"/>
        <v>0.1</v>
      </c>
      <c r="L184" s="3">
        <f t="shared" si="15"/>
        <v>0.1</v>
      </c>
      <c r="M184" s="3">
        <f t="shared" si="15"/>
        <v>0.1</v>
      </c>
      <c r="N184" s="3">
        <f t="shared" si="15"/>
        <v>0.1</v>
      </c>
      <c r="O184" s="3">
        <f t="shared" si="15"/>
        <v>0.1</v>
      </c>
      <c r="P184" s="3">
        <f t="shared" si="15"/>
        <v>0.1</v>
      </c>
    </row>
    <row r="185" spans="1:16">
      <c r="A185" s="84" t="s">
        <v>443</v>
      </c>
      <c r="B185" s="85" t="s">
        <v>442</v>
      </c>
      <c r="C185" s="85" t="s">
        <v>99</v>
      </c>
      <c r="D185" s="84" t="s">
        <v>80</v>
      </c>
      <c r="E185" s="84">
        <f>VLOOKUP(A185,'2a. SI Pop'!$A$5:$E$198,5,FALSE)</f>
        <v>4</v>
      </c>
      <c r="F185" s="3">
        <f>VLOOKUP(E185,Input!$G$5:$L$24,5,FALSE)</f>
        <v>0.1</v>
      </c>
      <c r="G185" s="3">
        <f t="shared" si="15"/>
        <v>0.1</v>
      </c>
      <c r="H185" s="3">
        <f t="shared" si="15"/>
        <v>0.1</v>
      </c>
      <c r="I185" s="3">
        <f t="shared" si="15"/>
        <v>0.1</v>
      </c>
      <c r="J185" s="3">
        <f t="shared" si="15"/>
        <v>0.1</v>
      </c>
      <c r="K185" s="3">
        <f t="shared" si="15"/>
        <v>0.1</v>
      </c>
      <c r="L185" s="3">
        <f t="shared" si="15"/>
        <v>0.1</v>
      </c>
      <c r="M185" s="3">
        <f t="shared" si="15"/>
        <v>0.1</v>
      </c>
      <c r="N185" s="3">
        <f t="shared" si="15"/>
        <v>0.1</v>
      </c>
      <c r="O185" s="3">
        <f t="shared" si="15"/>
        <v>0.1</v>
      </c>
      <c r="P185" s="3">
        <f t="shared" si="15"/>
        <v>0.1</v>
      </c>
    </row>
    <row r="186" spans="1:16">
      <c r="A186" s="84" t="s">
        <v>445</v>
      </c>
      <c r="B186" s="85" t="s">
        <v>444</v>
      </c>
      <c r="C186" s="85" t="s">
        <v>83</v>
      </c>
      <c r="D186" s="84" t="s">
        <v>75</v>
      </c>
      <c r="E186" s="84" t="str">
        <f>VLOOKUP(A186,'2a. SI Pop'!$A$5:$E$198,5,FALSE)</f>
        <v>Key</v>
      </c>
      <c r="F186" s="3">
        <f>VLOOKUP(A186,Input!$G$5:$L$24,5,FALSE)</f>
        <v>0.1</v>
      </c>
      <c r="G186" s="3">
        <f t="shared" si="15"/>
        <v>0.1</v>
      </c>
      <c r="H186" s="3">
        <f t="shared" si="15"/>
        <v>0.1</v>
      </c>
      <c r="I186" s="3">
        <f t="shared" si="15"/>
        <v>0.1</v>
      </c>
      <c r="J186" s="3">
        <f t="shared" si="15"/>
        <v>0.1</v>
      </c>
      <c r="K186" s="3">
        <f t="shared" si="15"/>
        <v>0.1</v>
      </c>
      <c r="L186" s="3">
        <f t="shared" si="15"/>
        <v>0.1</v>
      </c>
      <c r="M186" s="3">
        <f t="shared" si="15"/>
        <v>0.1</v>
      </c>
      <c r="N186" s="3">
        <f t="shared" si="15"/>
        <v>0.1</v>
      </c>
      <c r="O186" s="3">
        <f t="shared" si="15"/>
        <v>0.1</v>
      </c>
      <c r="P186" s="3">
        <f t="shared" si="15"/>
        <v>0.1</v>
      </c>
    </row>
    <row r="187" spans="1:16">
      <c r="A187" s="84" t="s">
        <v>447</v>
      </c>
      <c r="B187" s="85" t="s">
        <v>446</v>
      </c>
      <c r="C187" s="85" t="s">
        <v>79</v>
      </c>
      <c r="D187" s="84" t="s">
        <v>84</v>
      </c>
      <c r="E187" s="84">
        <f>VLOOKUP(A187,'2a. SI Pop'!$A$5:$E$198,5,FALSE)</f>
        <v>1</v>
      </c>
      <c r="F187" s="3">
        <f>VLOOKUP(E187,Input!$G$5:$L$24,5,FALSE)</f>
        <v>0.1</v>
      </c>
      <c r="G187" s="3">
        <f t="shared" si="15"/>
        <v>0.1</v>
      </c>
      <c r="H187" s="3">
        <f t="shared" si="15"/>
        <v>0.1</v>
      </c>
      <c r="I187" s="3">
        <f t="shared" si="15"/>
        <v>0.1</v>
      </c>
      <c r="J187" s="3">
        <f t="shared" si="15"/>
        <v>0.1</v>
      </c>
      <c r="K187" s="3">
        <f t="shared" si="15"/>
        <v>0.1</v>
      </c>
      <c r="L187" s="3">
        <f t="shared" si="15"/>
        <v>0.1</v>
      </c>
      <c r="M187" s="3">
        <f t="shared" si="15"/>
        <v>0.1</v>
      </c>
      <c r="N187" s="3">
        <f t="shared" si="15"/>
        <v>0.1</v>
      </c>
      <c r="O187" s="3">
        <f t="shared" si="15"/>
        <v>0.1</v>
      </c>
      <c r="P187" s="3">
        <f t="shared" si="15"/>
        <v>0.1</v>
      </c>
    </row>
    <row r="188" spans="1:16">
      <c r="A188" s="84" t="s">
        <v>449</v>
      </c>
      <c r="B188" s="85" t="s">
        <v>448</v>
      </c>
      <c r="C188" s="85" t="s">
        <v>74</v>
      </c>
      <c r="D188" s="84" t="s">
        <v>87</v>
      </c>
      <c r="E188" s="84">
        <f>VLOOKUP(A188,'2a. SI Pop'!$A$5:$E$198,5,FALSE)</f>
        <v>1</v>
      </c>
      <c r="F188" s="3">
        <f>VLOOKUP(E188,Input!$G$5:$L$24,5,FALSE)</f>
        <v>0.1</v>
      </c>
      <c r="G188" s="3">
        <f t="shared" si="15"/>
        <v>0.1</v>
      </c>
      <c r="H188" s="3">
        <f t="shared" si="15"/>
        <v>0.1</v>
      </c>
      <c r="I188" s="3">
        <f t="shared" si="15"/>
        <v>0.1</v>
      </c>
      <c r="J188" s="3">
        <f t="shared" si="15"/>
        <v>0.1</v>
      </c>
      <c r="K188" s="3">
        <f t="shared" si="15"/>
        <v>0.1</v>
      </c>
      <c r="L188" s="3">
        <f t="shared" si="15"/>
        <v>0.1</v>
      </c>
      <c r="M188" s="3">
        <f t="shared" si="15"/>
        <v>0.1</v>
      </c>
      <c r="N188" s="3">
        <f t="shared" si="15"/>
        <v>0.1</v>
      </c>
      <c r="O188" s="3">
        <f t="shared" si="15"/>
        <v>0.1</v>
      </c>
      <c r="P188" s="3">
        <f t="shared" si="15"/>
        <v>0.1</v>
      </c>
    </row>
    <row r="189" spans="1:16">
      <c r="A189" s="84" t="s">
        <v>451</v>
      </c>
      <c r="B189" s="85" t="s">
        <v>450</v>
      </c>
      <c r="C189" s="85" t="s">
        <v>79</v>
      </c>
      <c r="D189" s="84" t="s">
        <v>87</v>
      </c>
      <c r="E189" s="84">
        <f>VLOOKUP(A189,'2a. SI Pop'!$A$5:$E$198,5,FALSE)</f>
        <v>1</v>
      </c>
      <c r="F189" s="3">
        <f>VLOOKUP(E189,Input!$G$5:$L$24,5,FALSE)</f>
        <v>0.1</v>
      </c>
      <c r="G189" s="3">
        <f t="shared" si="15"/>
        <v>0.1</v>
      </c>
      <c r="H189" s="3">
        <f t="shared" si="15"/>
        <v>0.1</v>
      </c>
      <c r="I189" s="3">
        <f t="shared" si="15"/>
        <v>0.1</v>
      </c>
      <c r="J189" s="3">
        <f t="shared" si="15"/>
        <v>0.1</v>
      </c>
      <c r="K189" s="3">
        <f t="shared" si="15"/>
        <v>0.1</v>
      </c>
      <c r="L189" s="3">
        <f t="shared" si="15"/>
        <v>0.1</v>
      </c>
      <c r="M189" s="3">
        <f t="shared" si="15"/>
        <v>0.1</v>
      </c>
      <c r="N189" s="3">
        <f t="shared" si="15"/>
        <v>0.1</v>
      </c>
      <c r="O189" s="3">
        <f t="shared" si="15"/>
        <v>0.1</v>
      </c>
      <c r="P189" s="3">
        <f t="shared" si="15"/>
        <v>0.1</v>
      </c>
    </row>
    <row r="190" spans="1:16">
      <c r="A190" s="84" t="s">
        <v>453</v>
      </c>
      <c r="B190" s="85" t="s">
        <v>452</v>
      </c>
      <c r="C190" s="85" t="s">
        <v>92</v>
      </c>
      <c r="D190" s="84" t="s">
        <v>87</v>
      </c>
      <c r="E190" s="84" t="str">
        <f>VLOOKUP(A190,'2a. SI Pop'!$A$5:$E$198,5,FALSE)</f>
        <v>Key</v>
      </c>
      <c r="F190" s="3">
        <f>VLOOKUP(A190,Input!$G$5:$L$24,5,FALSE)</f>
        <v>0.1</v>
      </c>
      <c r="G190" s="3">
        <f t="shared" si="15"/>
        <v>0.1</v>
      </c>
      <c r="H190" s="3">
        <f t="shared" si="15"/>
        <v>0.1</v>
      </c>
      <c r="I190" s="3">
        <f t="shared" si="15"/>
        <v>0.1</v>
      </c>
      <c r="J190" s="3">
        <f t="shared" si="15"/>
        <v>0.1</v>
      </c>
      <c r="K190" s="3">
        <f t="shared" si="15"/>
        <v>0.1</v>
      </c>
      <c r="L190" s="3">
        <f t="shared" si="15"/>
        <v>0.1</v>
      </c>
      <c r="M190" s="3">
        <f t="shared" si="15"/>
        <v>0.1</v>
      </c>
      <c r="N190" s="3">
        <f t="shared" si="15"/>
        <v>0.1</v>
      </c>
      <c r="O190" s="3">
        <f t="shared" si="15"/>
        <v>0.1</v>
      </c>
      <c r="P190" s="3">
        <f t="shared" si="15"/>
        <v>0.1</v>
      </c>
    </row>
    <row r="191" spans="1:16">
      <c r="A191" s="84" t="s">
        <v>455</v>
      </c>
      <c r="B191" s="85" t="s">
        <v>454</v>
      </c>
      <c r="C191" s="85" t="s">
        <v>92</v>
      </c>
      <c r="D191" s="84" t="s">
        <v>87</v>
      </c>
      <c r="E191" s="84">
        <f>VLOOKUP(A191,'2a. SI Pop'!$A$5:$E$198,5,FALSE)</f>
        <v>1</v>
      </c>
      <c r="F191" s="3">
        <f>VLOOKUP(E191,Input!$G$5:$L$24,5,FALSE)</f>
        <v>0.1</v>
      </c>
      <c r="G191" s="3">
        <f t="shared" si="15"/>
        <v>0.1</v>
      </c>
      <c r="H191" s="3">
        <f t="shared" si="15"/>
        <v>0.1</v>
      </c>
      <c r="I191" s="3">
        <f t="shared" si="15"/>
        <v>0.1</v>
      </c>
      <c r="J191" s="3">
        <f t="shared" si="15"/>
        <v>0.1</v>
      </c>
      <c r="K191" s="3">
        <f t="shared" si="15"/>
        <v>0.1</v>
      </c>
      <c r="L191" s="3">
        <f t="shared" si="15"/>
        <v>0.1</v>
      </c>
      <c r="M191" s="3">
        <f t="shared" si="15"/>
        <v>0.1</v>
      </c>
      <c r="N191" s="3">
        <f t="shared" si="15"/>
        <v>0.1</v>
      </c>
      <c r="O191" s="3">
        <f t="shared" si="15"/>
        <v>0.1</v>
      </c>
      <c r="P191" s="3">
        <f t="shared" si="15"/>
        <v>0.1</v>
      </c>
    </row>
    <row r="192" spans="1:16">
      <c r="A192" s="84" t="s">
        <v>457</v>
      </c>
      <c r="B192" s="85" t="s">
        <v>456</v>
      </c>
      <c r="C192" s="85" t="s">
        <v>79</v>
      </c>
      <c r="D192" s="84" t="s">
        <v>84</v>
      </c>
      <c r="E192" s="84">
        <f>VLOOKUP(A192,'2a. SI Pop'!$A$5:$E$198,5,FALSE)</f>
        <v>2</v>
      </c>
      <c r="F192" s="3">
        <f>VLOOKUP(E192,Input!$G$5:$L$24,5,FALSE)</f>
        <v>0.1</v>
      </c>
      <c r="G192" s="3">
        <f t="shared" si="15"/>
        <v>0.1</v>
      </c>
      <c r="H192" s="3">
        <f t="shared" si="15"/>
        <v>0.1</v>
      </c>
      <c r="I192" s="3">
        <f t="shared" si="15"/>
        <v>0.1</v>
      </c>
      <c r="J192" s="3">
        <f t="shared" si="15"/>
        <v>0.1</v>
      </c>
      <c r="K192" s="3">
        <f t="shared" si="15"/>
        <v>0.1</v>
      </c>
      <c r="L192" s="3">
        <f t="shared" si="15"/>
        <v>0.1</v>
      </c>
      <c r="M192" s="3">
        <f t="shared" si="15"/>
        <v>0.1</v>
      </c>
      <c r="N192" s="3">
        <f t="shared" si="15"/>
        <v>0.1</v>
      </c>
      <c r="O192" s="3">
        <f t="shared" si="15"/>
        <v>0.1</v>
      </c>
      <c r="P192" s="3">
        <f t="shared" si="15"/>
        <v>0.1</v>
      </c>
    </row>
    <row r="193" spans="1:16">
      <c r="A193" s="84" t="s">
        <v>459</v>
      </c>
      <c r="B193" s="85" t="s">
        <v>458</v>
      </c>
      <c r="C193" s="85" t="s">
        <v>99</v>
      </c>
      <c r="D193" s="84" t="s">
        <v>84</v>
      </c>
      <c r="E193" s="84">
        <f>VLOOKUP(A193,'2a. SI Pop'!$A$5:$E$198,5,FALSE)</f>
        <v>4</v>
      </c>
      <c r="F193" s="3">
        <f>VLOOKUP(E193,Input!$G$5:$L$24,5,FALSE)</f>
        <v>0.1</v>
      </c>
      <c r="G193" s="3">
        <f t="shared" si="15"/>
        <v>0.1</v>
      </c>
      <c r="H193" s="3">
        <f t="shared" si="15"/>
        <v>0.1</v>
      </c>
      <c r="I193" s="3">
        <f t="shared" si="15"/>
        <v>0.1</v>
      </c>
      <c r="J193" s="3">
        <f t="shared" si="15"/>
        <v>0.1</v>
      </c>
      <c r="K193" s="3">
        <f t="shared" si="15"/>
        <v>0.1</v>
      </c>
      <c r="L193" s="3">
        <f t="shared" si="15"/>
        <v>0.1</v>
      </c>
      <c r="M193" s="3">
        <f t="shared" si="15"/>
        <v>0.1</v>
      </c>
      <c r="N193" s="3">
        <f t="shared" si="15"/>
        <v>0.1</v>
      </c>
      <c r="O193" s="3">
        <f t="shared" si="15"/>
        <v>0.1</v>
      </c>
      <c r="P193" s="3">
        <f t="shared" si="15"/>
        <v>0.1</v>
      </c>
    </row>
    <row r="194" spans="1:16">
      <c r="A194" s="84" t="s">
        <v>461</v>
      </c>
      <c r="B194" s="85" t="s">
        <v>460</v>
      </c>
      <c r="C194" s="85" t="s">
        <v>92</v>
      </c>
      <c r="D194" s="84" t="s">
        <v>80</v>
      </c>
      <c r="E194" s="84">
        <f>VLOOKUP(A194,'2a. SI Pop'!$A$5:$E$198,5,FALSE)</f>
        <v>1</v>
      </c>
      <c r="F194" s="3">
        <f>VLOOKUP(E194,Input!$G$5:$L$24,5,FALSE)</f>
        <v>0.1</v>
      </c>
      <c r="G194" s="3">
        <f t="shared" si="15"/>
        <v>0.1</v>
      </c>
      <c r="H194" s="3">
        <f t="shared" si="15"/>
        <v>0.1</v>
      </c>
      <c r="I194" s="3">
        <f t="shared" si="15"/>
        <v>0.1</v>
      </c>
      <c r="J194" s="3">
        <f t="shared" si="15"/>
        <v>0.1</v>
      </c>
      <c r="K194" s="3">
        <f t="shared" si="15"/>
        <v>0.1</v>
      </c>
      <c r="L194" s="3">
        <f t="shared" si="15"/>
        <v>0.1</v>
      </c>
      <c r="M194" s="3">
        <f t="shared" si="15"/>
        <v>0.1</v>
      </c>
      <c r="N194" s="3">
        <f t="shared" si="15"/>
        <v>0.1</v>
      </c>
      <c r="O194" s="3">
        <f t="shared" si="15"/>
        <v>0.1</v>
      </c>
      <c r="P194" s="3">
        <f t="shared" si="15"/>
        <v>0.1</v>
      </c>
    </row>
    <row r="195" spans="1:16">
      <c r="A195" s="84" t="s">
        <v>463</v>
      </c>
      <c r="B195" s="85" t="s">
        <v>462</v>
      </c>
      <c r="C195" s="85" t="s">
        <v>99</v>
      </c>
      <c r="D195" s="84" t="s">
        <v>84</v>
      </c>
      <c r="E195" s="84">
        <f>VLOOKUP(A195,'2a. SI Pop'!$A$5:$E$198,5,FALSE)</f>
        <v>4</v>
      </c>
      <c r="F195" s="3">
        <f>VLOOKUP(E195,Input!$G$5:$L$24,5,FALSE)</f>
        <v>0.1</v>
      </c>
      <c r="G195" s="3">
        <f t="shared" si="15"/>
        <v>0.1</v>
      </c>
      <c r="H195" s="3">
        <f t="shared" si="15"/>
        <v>0.1</v>
      </c>
      <c r="I195" s="3">
        <f t="shared" si="15"/>
        <v>0.1</v>
      </c>
      <c r="J195" s="3">
        <f t="shared" si="15"/>
        <v>0.1</v>
      </c>
      <c r="K195" s="3">
        <f t="shared" si="15"/>
        <v>0.1</v>
      </c>
      <c r="L195" s="3">
        <f t="shared" si="15"/>
        <v>0.1</v>
      </c>
      <c r="M195" s="3">
        <f t="shared" si="15"/>
        <v>0.1</v>
      </c>
      <c r="N195" s="3">
        <f t="shared" si="15"/>
        <v>0.1</v>
      </c>
      <c r="O195" s="3">
        <f t="shared" si="15"/>
        <v>0.1</v>
      </c>
      <c r="P195" s="3">
        <f t="shared" si="15"/>
        <v>0.1</v>
      </c>
    </row>
    <row r="196" spans="1:16">
      <c r="A196" s="84" t="s">
        <v>465</v>
      </c>
      <c r="B196" s="85" t="s">
        <v>464</v>
      </c>
      <c r="C196" s="85" t="s">
        <v>74</v>
      </c>
      <c r="D196" s="84" t="s">
        <v>75</v>
      </c>
      <c r="E196" s="84">
        <f>VLOOKUP(A196,'2a. SI Pop'!$A$5:$E$198,5,FALSE)</f>
        <v>3</v>
      </c>
      <c r="F196" s="3">
        <f>VLOOKUP(E196,Input!$G$5:$L$24,5,FALSE)</f>
        <v>0.1</v>
      </c>
      <c r="G196" s="3">
        <f t="shared" si="15"/>
        <v>0.1</v>
      </c>
      <c r="H196" s="3">
        <f t="shared" si="15"/>
        <v>0.1</v>
      </c>
      <c r="I196" s="3">
        <f t="shared" si="15"/>
        <v>0.1</v>
      </c>
      <c r="J196" s="3">
        <f t="shared" si="15"/>
        <v>0.1</v>
      </c>
      <c r="K196" s="3">
        <f t="shared" si="15"/>
        <v>0.1</v>
      </c>
      <c r="L196" s="3">
        <f t="shared" si="15"/>
        <v>0.1</v>
      </c>
      <c r="M196" s="3">
        <f t="shared" si="15"/>
        <v>0.1</v>
      </c>
      <c r="N196" s="3">
        <f t="shared" si="15"/>
        <v>0.1</v>
      </c>
      <c r="O196" s="3">
        <f t="shared" si="15"/>
        <v>0.1</v>
      </c>
      <c r="P196" s="3">
        <f t="shared" si="15"/>
        <v>0.1</v>
      </c>
    </row>
    <row r="197" spans="1:16">
      <c r="A197" s="84" t="s">
        <v>467</v>
      </c>
      <c r="B197" s="85" t="s">
        <v>466</v>
      </c>
      <c r="C197" s="85" t="s">
        <v>83</v>
      </c>
      <c r="D197" s="84" t="s">
        <v>84</v>
      </c>
      <c r="E197" s="84">
        <f>VLOOKUP(A197,'2a. SI Pop'!$A$5:$E$198,5,FALSE)</f>
        <v>3</v>
      </c>
      <c r="F197" s="3">
        <f>VLOOKUP(E197,Input!$G$5:$L$24,5,FALSE)</f>
        <v>0.1</v>
      </c>
      <c r="G197" s="3">
        <f t="shared" si="15"/>
        <v>0.1</v>
      </c>
      <c r="H197" s="3">
        <f t="shared" si="15"/>
        <v>0.1</v>
      </c>
      <c r="I197" s="3">
        <f t="shared" si="15"/>
        <v>0.1</v>
      </c>
      <c r="J197" s="3">
        <f t="shared" si="15"/>
        <v>0.1</v>
      </c>
      <c r="K197" s="3">
        <f t="shared" si="15"/>
        <v>0.1</v>
      </c>
      <c r="L197" s="3">
        <f t="shared" si="15"/>
        <v>0.1</v>
      </c>
      <c r="M197" s="3">
        <f t="shared" si="15"/>
        <v>0.1</v>
      </c>
      <c r="N197" s="3">
        <f t="shared" si="15"/>
        <v>0.1</v>
      </c>
      <c r="O197" s="3">
        <f t="shared" si="15"/>
        <v>0.1</v>
      </c>
      <c r="P197" s="3">
        <f t="shared" si="15"/>
        <v>0.1</v>
      </c>
    </row>
    <row r="198" spans="1:16">
      <c r="A198" s="84" t="s">
        <v>469</v>
      </c>
      <c r="B198" s="85" t="s">
        <v>468</v>
      </c>
      <c r="C198" s="85" t="s">
        <v>83</v>
      </c>
      <c r="D198" s="84" t="s">
        <v>84</v>
      </c>
      <c r="E198" s="84">
        <f>VLOOKUP(A198,'2a. SI Pop'!$A$5:$E$198,5,FALSE)</f>
        <v>3</v>
      </c>
      <c r="F198" s="3">
        <f>VLOOKUP(E198,Input!$G$5:$L$24,5,FALSE)</f>
        <v>0.1</v>
      </c>
      <c r="G198" s="3">
        <f t="shared" ref="G198:P198" si="16">F198</f>
        <v>0.1</v>
      </c>
      <c r="H198" s="3">
        <f t="shared" si="16"/>
        <v>0.1</v>
      </c>
      <c r="I198" s="3">
        <f t="shared" si="16"/>
        <v>0.1</v>
      </c>
      <c r="J198" s="3">
        <f t="shared" si="16"/>
        <v>0.1</v>
      </c>
      <c r="K198" s="3">
        <f t="shared" si="16"/>
        <v>0.1</v>
      </c>
      <c r="L198" s="3">
        <f t="shared" si="16"/>
        <v>0.1</v>
      </c>
      <c r="M198" s="3">
        <f t="shared" si="16"/>
        <v>0.1</v>
      </c>
      <c r="N198" s="3">
        <f t="shared" si="16"/>
        <v>0.1</v>
      </c>
      <c r="O198" s="3">
        <f t="shared" si="16"/>
        <v>0.1</v>
      </c>
      <c r="P198" s="3">
        <f t="shared" si="16"/>
        <v>0.1</v>
      </c>
    </row>
  </sheetData>
  <autoFilter ref="A4:P198" xr:uid="{1BE26F4C-1587-7C4D-887A-C69327E2A753}"/>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88827-1C48-1949-95C4-DCFD75FC9ED8}">
  <sheetPr>
    <tabColor theme="7"/>
  </sheetPr>
  <dimension ref="A1:AA185"/>
  <sheetViews>
    <sheetView zoomScale="85" zoomScaleNormal="85" workbookViewId="0">
      <selection activeCell="M1401" sqref="M1401"/>
    </sheetView>
  </sheetViews>
  <sheetFormatPr defaultColWidth="11.42578125" defaultRowHeight="15"/>
  <cols>
    <col min="2" max="3" width="11.42578125" customWidth="1"/>
    <col min="5" max="5" width="6.28515625" style="36" customWidth="1"/>
    <col min="6" max="6" width="13.140625" bestFit="1" customWidth="1"/>
    <col min="8" max="8" width="14.140625" customWidth="1"/>
    <col min="13" max="13" width="6.28515625" style="36" customWidth="1"/>
    <col min="14" max="14" width="12" customWidth="1"/>
    <col min="15" max="15" width="7.42578125" bestFit="1" customWidth="1"/>
    <col min="17" max="17" width="13.7109375" customWidth="1"/>
    <col min="18" max="18" width="6.28515625" style="36" customWidth="1"/>
    <col min="19" max="19" width="13.140625" bestFit="1" customWidth="1"/>
    <col min="22" max="22" width="6.28515625" style="36" customWidth="1"/>
    <col min="23" max="23" width="13.140625" bestFit="1" customWidth="1"/>
  </cols>
  <sheetData>
    <row r="1" spans="1:27" ht="15.95" thickBot="1">
      <c r="A1" s="142" t="s">
        <v>497</v>
      </c>
      <c r="B1" s="143"/>
      <c r="C1" s="143"/>
      <c r="D1" s="144"/>
      <c r="F1" s="142" t="s">
        <v>498</v>
      </c>
      <c r="G1" s="143"/>
      <c r="H1" s="143"/>
      <c r="I1" s="143"/>
      <c r="J1" s="143"/>
      <c r="K1" s="143"/>
      <c r="L1" s="144"/>
      <c r="N1" s="142" t="s">
        <v>499</v>
      </c>
      <c r="O1" s="143"/>
      <c r="P1" s="143"/>
      <c r="Q1" s="144"/>
      <c r="S1" s="142" t="s">
        <v>500</v>
      </c>
      <c r="T1" s="143"/>
      <c r="U1" s="144"/>
      <c r="W1" s="142" t="s">
        <v>501</v>
      </c>
      <c r="X1" s="143"/>
      <c r="Y1" s="143"/>
      <c r="Z1" s="143"/>
      <c r="AA1" s="144"/>
    </row>
    <row r="2" spans="1:27" ht="69" customHeight="1" thickBot="1">
      <c r="A2" s="18" t="s">
        <v>502</v>
      </c>
      <c r="B2" s="19" t="s">
        <v>65</v>
      </c>
      <c r="C2" s="19" t="s">
        <v>503</v>
      </c>
      <c r="D2" s="20" t="s">
        <v>504</v>
      </c>
      <c r="E2" s="31"/>
      <c r="F2" s="7" t="s">
        <v>68</v>
      </c>
      <c r="G2" s="9" t="s">
        <v>505</v>
      </c>
      <c r="H2" s="7" t="s">
        <v>506</v>
      </c>
      <c r="I2" s="8" t="s">
        <v>507</v>
      </c>
      <c r="J2" s="8" t="s">
        <v>508</v>
      </c>
      <c r="K2" s="8" t="s">
        <v>509</v>
      </c>
      <c r="L2" s="9" t="s">
        <v>510</v>
      </c>
      <c r="M2" s="31"/>
      <c r="N2" s="7" t="s">
        <v>68</v>
      </c>
      <c r="O2" s="8" t="s">
        <v>505</v>
      </c>
      <c r="P2" s="13" t="s">
        <v>511</v>
      </c>
      <c r="Q2" s="4" t="s">
        <v>512</v>
      </c>
      <c r="R2" s="31"/>
      <c r="S2" s="7" t="s">
        <v>68</v>
      </c>
      <c r="T2" s="9" t="s">
        <v>505</v>
      </c>
      <c r="U2" s="55" t="s">
        <v>513</v>
      </c>
      <c r="V2" s="31"/>
      <c r="W2" s="7" t="s">
        <v>68</v>
      </c>
      <c r="X2" s="9" t="s">
        <v>505</v>
      </c>
      <c r="Y2" s="66" t="s">
        <v>514</v>
      </c>
      <c r="Z2" s="67" t="s">
        <v>515</v>
      </c>
      <c r="AA2" s="68" t="s">
        <v>516</v>
      </c>
    </row>
    <row r="3" spans="1:27" s="41" customFormat="1" ht="45" customHeight="1">
      <c r="A3" s="21" t="s">
        <v>77</v>
      </c>
      <c r="B3" s="5" t="s">
        <v>78</v>
      </c>
      <c r="C3" s="5" t="s">
        <v>80</v>
      </c>
      <c r="D3" s="22">
        <v>1</v>
      </c>
      <c r="F3" s="42"/>
      <c r="G3" s="45" t="s">
        <v>517</v>
      </c>
      <c r="H3" s="48" t="s">
        <v>487</v>
      </c>
      <c r="I3" s="43" t="s">
        <v>481</v>
      </c>
      <c r="J3" s="46" t="s">
        <v>494</v>
      </c>
      <c r="K3" s="46" t="s">
        <v>494</v>
      </c>
      <c r="L3" s="72" t="s">
        <v>494</v>
      </c>
      <c r="N3" s="42" t="s">
        <v>517</v>
      </c>
      <c r="O3" s="43"/>
      <c r="P3" s="43"/>
      <c r="Q3" s="44" t="s">
        <v>518</v>
      </c>
      <c r="S3" s="42"/>
      <c r="T3" s="45" t="s">
        <v>517</v>
      </c>
      <c r="U3" s="60" t="s">
        <v>519</v>
      </c>
      <c r="W3" s="42"/>
      <c r="X3" s="65" t="s">
        <v>517</v>
      </c>
      <c r="Y3" s="69" t="s">
        <v>494</v>
      </c>
      <c r="Z3" s="70" t="s">
        <v>494</v>
      </c>
      <c r="AA3" s="71" t="s">
        <v>494</v>
      </c>
    </row>
    <row r="4" spans="1:27" s="29" customFormat="1" ht="15.95">
      <c r="A4" s="21" t="s">
        <v>520</v>
      </c>
      <c r="B4" s="5" t="s">
        <v>91</v>
      </c>
      <c r="C4" s="5" t="s">
        <v>87</v>
      </c>
      <c r="D4" s="22">
        <v>1</v>
      </c>
      <c r="F4" s="26"/>
      <c r="G4" s="38" t="s">
        <v>521</v>
      </c>
      <c r="H4" s="26"/>
      <c r="I4" s="27"/>
      <c r="J4" s="28"/>
      <c r="K4" s="28"/>
      <c r="L4" s="38"/>
      <c r="N4" s="26" t="s">
        <v>521</v>
      </c>
      <c r="O4" s="30"/>
      <c r="P4" s="27"/>
      <c r="Q4" s="33"/>
      <c r="S4" s="26"/>
      <c r="T4" s="38" t="s">
        <v>521</v>
      </c>
      <c r="U4" s="56"/>
      <c r="W4" s="26" t="s">
        <v>522</v>
      </c>
      <c r="X4" s="26"/>
      <c r="Y4" s="59"/>
      <c r="Z4" s="28"/>
      <c r="AA4" s="32"/>
    </row>
    <row r="5" spans="1:27" ht="15.95">
      <c r="A5" s="21" t="s">
        <v>523</v>
      </c>
      <c r="B5" s="5" t="s">
        <v>126</v>
      </c>
      <c r="C5" s="5" t="s">
        <v>80</v>
      </c>
      <c r="D5" s="22">
        <v>1</v>
      </c>
      <c r="F5" s="10">
        <v>1</v>
      </c>
      <c r="G5" s="39">
        <v>1</v>
      </c>
      <c r="H5" s="49">
        <v>0.16</v>
      </c>
      <c r="I5" s="37">
        <v>0.02</v>
      </c>
      <c r="J5" s="47">
        <v>0.2</v>
      </c>
      <c r="K5" s="47">
        <v>0.1</v>
      </c>
      <c r="L5" s="73">
        <v>0</v>
      </c>
      <c r="N5" s="10">
        <v>1</v>
      </c>
      <c r="O5" s="6">
        <v>1</v>
      </c>
      <c r="P5" s="11" t="s">
        <v>524</v>
      </c>
      <c r="Q5" s="34">
        <v>0.98</v>
      </c>
      <c r="S5" s="10">
        <v>1</v>
      </c>
      <c r="T5" s="39">
        <v>1</v>
      </c>
      <c r="U5" s="53">
        <v>2.3190152964693054</v>
      </c>
      <c r="W5" s="10">
        <v>1</v>
      </c>
      <c r="X5" s="62">
        <v>1</v>
      </c>
      <c r="Y5" s="77">
        <v>0.05</v>
      </c>
      <c r="Z5" s="78">
        <v>0.05</v>
      </c>
      <c r="AA5" s="79">
        <v>0.05</v>
      </c>
    </row>
    <row r="6" spans="1:27" ht="15.95" customHeight="1">
      <c r="A6" s="21" t="s">
        <v>93</v>
      </c>
      <c r="B6" s="5" t="s">
        <v>94</v>
      </c>
      <c r="C6" s="5" t="s">
        <v>80</v>
      </c>
      <c r="D6" s="22">
        <v>1</v>
      </c>
      <c r="F6" s="10">
        <v>2</v>
      </c>
      <c r="G6" s="39">
        <v>2</v>
      </c>
      <c r="H6" s="49">
        <v>0.13</v>
      </c>
      <c r="I6" s="37">
        <v>0.02</v>
      </c>
      <c r="J6" s="47">
        <v>0.2</v>
      </c>
      <c r="K6" s="47">
        <v>0.1</v>
      </c>
      <c r="L6" s="83">
        <v>0</v>
      </c>
      <c r="N6" s="10">
        <v>1</v>
      </c>
      <c r="O6" s="6">
        <v>1</v>
      </c>
      <c r="P6" s="11" t="s">
        <v>525</v>
      </c>
      <c r="Q6" s="34">
        <v>0.52</v>
      </c>
      <c r="S6" s="10">
        <v>2</v>
      </c>
      <c r="T6" s="39">
        <v>2</v>
      </c>
      <c r="U6" s="53">
        <v>1.153734747079966E-2</v>
      </c>
      <c r="W6" s="10">
        <v>2</v>
      </c>
      <c r="X6" s="62">
        <v>2</v>
      </c>
      <c r="Y6" s="77">
        <v>0.3</v>
      </c>
      <c r="Z6" s="78">
        <v>0.3</v>
      </c>
      <c r="AA6" s="79">
        <v>0.3</v>
      </c>
    </row>
    <row r="7" spans="1:27" ht="15.95">
      <c r="A7" s="21" t="s">
        <v>95</v>
      </c>
      <c r="B7" s="5" t="s">
        <v>96</v>
      </c>
      <c r="C7" s="5" t="s">
        <v>80</v>
      </c>
      <c r="D7" s="22">
        <v>1</v>
      </c>
      <c r="F7" s="10">
        <v>3</v>
      </c>
      <c r="G7" s="39">
        <v>3</v>
      </c>
      <c r="H7" s="49">
        <v>0.23</v>
      </c>
      <c r="I7" s="37">
        <v>0.02</v>
      </c>
      <c r="J7" s="47">
        <v>0.2</v>
      </c>
      <c r="K7" s="47">
        <v>0.1</v>
      </c>
      <c r="L7" s="83">
        <v>0</v>
      </c>
      <c r="N7" s="10">
        <v>2</v>
      </c>
      <c r="O7" s="6">
        <v>2</v>
      </c>
      <c r="P7" s="11" t="s">
        <v>524</v>
      </c>
      <c r="Q7" s="34">
        <v>0.83</v>
      </c>
      <c r="S7" s="10">
        <v>3</v>
      </c>
      <c r="T7" s="39">
        <v>3</v>
      </c>
      <c r="U7" s="53">
        <v>0.53368993694944578</v>
      </c>
      <c r="W7" s="10">
        <v>3</v>
      </c>
      <c r="X7" s="62">
        <v>3</v>
      </c>
      <c r="Y7" s="77">
        <v>0.8</v>
      </c>
      <c r="Z7" s="78">
        <v>0.8</v>
      </c>
      <c r="AA7" s="79">
        <v>0.8</v>
      </c>
    </row>
    <row r="8" spans="1:27" ht="15.95">
      <c r="A8" s="21" t="s">
        <v>97</v>
      </c>
      <c r="B8" s="5" t="s">
        <v>98</v>
      </c>
      <c r="C8" s="5" t="s">
        <v>87</v>
      </c>
      <c r="D8" s="22">
        <v>1</v>
      </c>
      <c r="F8" s="10">
        <v>4</v>
      </c>
      <c r="G8" s="39">
        <v>4</v>
      </c>
      <c r="H8" s="49">
        <v>0.21</v>
      </c>
      <c r="I8" s="37">
        <v>0.02</v>
      </c>
      <c r="J8" s="47">
        <v>0.2</v>
      </c>
      <c r="K8" s="47">
        <v>0.1</v>
      </c>
      <c r="L8" s="83">
        <v>0</v>
      </c>
      <c r="N8" s="10">
        <v>2</v>
      </c>
      <c r="O8" s="6">
        <v>2</v>
      </c>
      <c r="P8" s="11" t="s">
        <v>525</v>
      </c>
      <c r="Q8" s="34">
        <v>0.38</v>
      </c>
      <c r="S8" s="10">
        <v>4</v>
      </c>
      <c r="T8" s="39">
        <v>4</v>
      </c>
      <c r="U8" s="53">
        <v>1.7360756259580992</v>
      </c>
      <c r="W8" s="10">
        <v>4</v>
      </c>
      <c r="X8" s="62">
        <v>4</v>
      </c>
      <c r="Y8" s="77">
        <v>0.8</v>
      </c>
      <c r="Z8" s="78">
        <v>0.8</v>
      </c>
      <c r="AA8" s="79">
        <v>0.8</v>
      </c>
    </row>
    <row r="9" spans="1:27" ht="15.95">
      <c r="A9" s="21" t="s">
        <v>100</v>
      </c>
      <c r="B9" s="5" t="s">
        <v>101</v>
      </c>
      <c r="C9" s="5" t="s">
        <v>87</v>
      </c>
      <c r="D9" s="22">
        <v>1</v>
      </c>
      <c r="F9" s="15" t="s">
        <v>72</v>
      </c>
      <c r="G9" s="5" t="str">
        <f>VLOOKUP(F9,Input!$A$3:$B$185,2,FALSE)</f>
        <v>AFG</v>
      </c>
      <c r="H9" s="49">
        <v>0.15</v>
      </c>
      <c r="I9" s="37">
        <v>0.02</v>
      </c>
      <c r="J9" s="47">
        <v>0.2</v>
      </c>
      <c r="K9" s="47">
        <v>0.1</v>
      </c>
      <c r="L9" s="83">
        <v>0</v>
      </c>
      <c r="N9" s="10">
        <v>3</v>
      </c>
      <c r="O9" s="6">
        <v>3</v>
      </c>
      <c r="P9" s="11" t="s">
        <v>524</v>
      </c>
      <c r="Q9" s="34">
        <v>0.56000000000000005</v>
      </c>
      <c r="S9" s="21" t="str">
        <f>F9</f>
        <v>Afghanistan</v>
      </c>
      <c r="T9" s="5" t="str">
        <f>VLOOKUP(S9,Input!$A$3:$B$185,2,FALSE)</f>
        <v>AFG</v>
      </c>
      <c r="U9" s="53">
        <v>0.53375196199999997</v>
      </c>
      <c r="W9" s="21" t="str">
        <f>F9</f>
        <v>Afghanistan</v>
      </c>
      <c r="X9" s="63" t="str">
        <f>VLOOKUP(W9,Input!$A$3:$B$185,2,FALSE)</f>
        <v>AFG</v>
      </c>
      <c r="Y9" s="77">
        <f t="shared" ref="Y9:AA10" si="0">Y7</f>
        <v>0.8</v>
      </c>
      <c r="Z9" s="78">
        <f t="shared" si="0"/>
        <v>0.8</v>
      </c>
      <c r="AA9" s="79">
        <f t="shared" si="0"/>
        <v>0.8</v>
      </c>
    </row>
    <row r="10" spans="1:27" ht="15.95">
      <c r="A10" s="21" t="s">
        <v>102</v>
      </c>
      <c r="B10" s="5" t="s">
        <v>103</v>
      </c>
      <c r="C10" s="5" t="s">
        <v>80</v>
      </c>
      <c r="D10" s="22">
        <v>1</v>
      </c>
      <c r="F10" s="15" t="s">
        <v>108</v>
      </c>
      <c r="G10" s="5" t="str">
        <f>VLOOKUP(F10,Input!$A$3:$B$185,2,FALSE)</f>
        <v>BGD</v>
      </c>
      <c r="H10" s="51">
        <f>H8</f>
        <v>0.21</v>
      </c>
      <c r="I10" s="37">
        <v>0.02</v>
      </c>
      <c r="J10" s="47">
        <v>0.2</v>
      </c>
      <c r="K10" s="47">
        <v>0.1</v>
      </c>
      <c r="L10" s="83">
        <v>0</v>
      </c>
      <c r="N10" s="10">
        <v>3</v>
      </c>
      <c r="O10" s="6">
        <v>3</v>
      </c>
      <c r="P10" s="11" t="s">
        <v>525</v>
      </c>
      <c r="Q10" s="34">
        <v>0.34</v>
      </c>
      <c r="S10" s="21" t="str">
        <f t="shared" ref="S10:S24" si="1">F10</f>
        <v>Bangladesh</v>
      </c>
      <c r="T10" s="5" t="str">
        <f>VLOOKUP(S10,Input!$A$3:$B$185,2,FALSE)</f>
        <v>BGD</v>
      </c>
      <c r="U10" s="54">
        <v>1.2069065583284968</v>
      </c>
      <c r="W10" s="21" t="str">
        <f t="shared" ref="W10:W24" si="2">F10</f>
        <v>Bangladesh</v>
      </c>
      <c r="X10" s="63" t="str">
        <f>VLOOKUP(W10,Input!$A$3:$B$185,2,FALSE)</f>
        <v>BGD</v>
      </c>
      <c r="Y10" s="77">
        <f t="shared" si="0"/>
        <v>0.8</v>
      </c>
      <c r="Z10" s="78">
        <f t="shared" si="0"/>
        <v>0.8</v>
      </c>
      <c r="AA10" s="79">
        <f t="shared" si="0"/>
        <v>0.8</v>
      </c>
    </row>
    <row r="11" spans="1:27" ht="15.95">
      <c r="A11" s="21" t="s">
        <v>104</v>
      </c>
      <c r="B11" s="5" t="s">
        <v>105</v>
      </c>
      <c r="C11" s="5" t="s">
        <v>87</v>
      </c>
      <c r="D11" s="22">
        <v>1</v>
      </c>
      <c r="F11" s="16" t="s">
        <v>129</v>
      </c>
      <c r="G11" s="5" t="str">
        <f>VLOOKUP(F11,Input!$A$3:$B$185,2,FALSE)</f>
        <v>BRA</v>
      </c>
      <c r="H11" s="51">
        <f>H6</f>
        <v>0.13</v>
      </c>
      <c r="I11" s="37">
        <v>0.02</v>
      </c>
      <c r="J11" s="47">
        <v>0.2</v>
      </c>
      <c r="K11" s="47">
        <v>0.1</v>
      </c>
      <c r="L11" s="83">
        <v>0</v>
      </c>
      <c r="N11" s="10">
        <v>4</v>
      </c>
      <c r="O11" s="6">
        <v>4</v>
      </c>
      <c r="P11" s="11" t="s">
        <v>524</v>
      </c>
      <c r="Q11" s="34">
        <v>0.56000000000000005</v>
      </c>
      <c r="S11" s="21" t="str">
        <f t="shared" si="1"/>
        <v>Brazil</v>
      </c>
      <c r="T11" s="5" t="str">
        <f>VLOOKUP(S11,Input!$A$3:$B$185,2,FALSE)</f>
        <v>BRA</v>
      </c>
      <c r="U11" s="54">
        <v>0.20597559900000001</v>
      </c>
      <c r="W11" s="21" t="str">
        <f t="shared" si="2"/>
        <v>Brazil</v>
      </c>
      <c r="X11" s="63" t="str">
        <f>VLOOKUP(W11,Input!$A$3:$B$185,2,FALSE)</f>
        <v>BRA</v>
      </c>
      <c r="Y11" s="77">
        <f>Y6</f>
        <v>0.3</v>
      </c>
      <c r="Z11" s="78">
        <f>Z6</f>
        <v>0.3</v>
      </c>
      <c r="AA11" s="79">
        <f>AA6</f>
        <v>0.3</v>
      </c>
    </row>
    <row r="12" spans="1:27" ht="15.95">
      <c r="A12" s="21" t="s">
        <v>106</v>
      </c>
      <c r="B12" s="5" t="s">
        <v>107</v>
      </c>
      <c r="C12" s="5" t="s">
        <v>87</v>
      </c>
      <c r="D12" s="22">
        <v>1</v>
      </c>
      <c r="F12" s="16" t="s">
        <v>149</v>
      </c>
      <c r="G12" s="5" t="str">
        <f>VLOOKUP(F12,Input!$A$3:$B$185,2,FALSE)</f>
        <v>TCD</v>
      </c>
      <c r="H12" s="50">
        <v>0.06</v>
      </c>
      <c r="I12" s="37">
        <v>0.02</v>
      </c>
      <c r="J12" s="47">
        <v>0.2</v>
      </c>
      <c r="K12" s="47">
        <v>0.1</v>
      </c>
      <c r="L12" s="83">
        <v>0</v>
      </c>
      <c r="N12" s="10">
        <v>4</v>
      </c>
      <c r="O12" s="6">
        <v>4</v>
      </c>
      <c r="P12" s="11" t="s">
        <v>525</v>
      </c>
      <c r="Q12" s="34">
        <v>0.41</v>
      </c>
      <c r="S12" s="21" t="str">
        <f t="shared" si="1"/>
        <v>Chad</v>
      </c>
      <c r="T12" s="5" t="str">
        <f>VLOOKUP(S12,Input!$A$3:$B$185,2,FALSE)</f>
        <v>TCD</v>
      </c>
      <c r="U12" s="57">
        <f>U7</f>
        <v>0.53368993694944578</v>
      </c>
      <c r="W12" s="21" t="str">
        <f t="shared" si="2"/>
        <v>Chad</v>
      </c>
      <c r="X12" s="63" t="str">
        <f>VLOOKUP(W12,Input!$A$3:$B$185,2,FALSE)</f>
        <v>TCD</v>
      </c>
      <c r="Y12" s="77">
        <f>Y$7</f>
        <v>0.8</v>
      </c>
      <c r="Z12" s="78">
        <f t="shared" ref="Z12:AA14" si="3">Z$7</f>
        <v>0.8</v>
      </c>
      <c r="AA12" s="79">
        <f t="shared" si="3"/>
        <v>0.8</v>
      </c>
    </row>
    <row r="13" spans="1:27" ht="15.95">
      <c r="A13" s="21" t="s">
        <v>111</v>
      </c>
      <c r="B13" s="5" t="s">
        <v>112</v>
      </c>
      <c r="C13" s="5" t="s">
        <v>87</v>
      </c>
      <c r="D13" s="22">
        <v>1</v>
      </c>
      <c r="F13" s="16" t="s">
        <v>526</v>
      </c>
      <c r="G13" s="5" t="str">
        <f>VLOOKUP(F13,Input!$A$3:$B$185,2,FALSE)</f>
        <v>COD</v>
      </c>
      <c r="H13" s="50">
        <f>0.6*0.27</f>
        <v>0.16200000000000001</v>
      </c>
      <c r="I13" s="37">
        <v>0.02</v>
      </c>
      <c r="J13" s="47">
        <v>0.2</v>
      </c>
      <c r="K13" s="47">
        <v>0.1</v>
      </c>
      <c r="L13" s="83">
        <v>0</v>
      </c>
      <c r="N13" s="15" t="str">
        <f>F9</f>
        <v>Afghanistan</v>
      </c>
      <c r="O13" s="5" t="str">
        <f>VLOOKUP(N13,Input!$A$3:$B$185,2,FALSE)</f>
        <v>AFG</v>
      </c>
      <c r="P13" s="12" t="s">
        <v>524</v>
      </c>
      <c r="Q13" s="35">
        <v>0.63</v>
      </c>
      <c r="S13" s="21" t="str">
        <f t="shared" si="1"/>
        <v>DRC</v>
      </c>
      <c r="T13" s="5" t="str">
        <f>VLOOKUP(S13,Input!$A$3:$B$185,2,FALSE)</f>
        <v>COD</v>
      </c>
      <c r="U13" s="57">
        <f>U7</f>
        <v>0.53368993694944578</v>
      </c>
      <c r="W13" s="21" t="str">
        <f t="shared" si="2"/>
        <v>DRC</v>
      </c>
      <c r="X13" s="63" t="str">
        <f>VLOOKUP(W13,Input!$A$3:$B$185,2,FALSE)</f>
        <v>COD</v>
      </c>
      <c r="Y13" s="77">
        <f>Y$7</f>
        <v>0.8</v>
      </c>
      <c r="Z13" s="78">
        <f t="shared" si="3"/>
        <v>0.8</v>
      </c>
      <c r="AA13" s="79">
        <f t="shared" si="3"/>
        <v>0.8</v>
      </c>
    </row>
    <row r="14" spans="1:27" ht="15.95">
      <c r="A14" s="21" t="s">
        <v>115</v>
      </c>
      <c r="B14" s="5" t="s">
        <v>116</v>
      </c>
      <c r="C14" s="5" t="s">
        <v>87</v>
      </c>
      <c r="D14" s="22">
        <v>1</v>
      </c>
      <c r="F14" s="16" t="s">
        <v>198</v>
      </c>
      <c r="G14" s="5" t="str">
        <f>VLOOKUP(F14,Input!$A$3:$B$185,2,FALSE)</f>
        <v>ETH</v>
      </c>
      <c r="H14" s="50">
        <f>84%*11%</f>
        <v>9.2399999999999996E-2</v>
      </c>
      <c r="I14" s="37">
        <v>0.02</v>
      </c>
      <c r="J14" s="47">
        <v>0.2</v>
      </c>
      <c r="K14" s="47">
        <v>0.1</v>
      </c>
      <c r="L14" s="83">
        <v>0</v>
      </c>
      <c r="N14" s="16" t="str">
        <f>F9</f>
        <v>Afghanistan</v>
      </c>
      <c r="O14" s="5" t="str">
        <f>VLOOKUP(N14,Input!$A$3:$B$185,2,FALSE)</f>
        <v>AFG</v>
      </c>
      <c r="P14" s="11" t="s">
        <v>525</v>
      </c>
      <c r="Q14" s="35">
        <v>0.62</v>
      </c>
      <c r="S14" s="21" t="str">
        <f t="shared" si="1"/>
        <v>Ethiopia</v>
      </c>
      <c r="T14" s="5" t="str">
        <f>VLOOKUP(S14,Input!$A$3:$B$185,2,FALSE)</f>
        <v>ETH</v>
      </c>
      <c r="U14" s="53">
        <v>2</v>
      </c>
      <c r="W14" s="21" t="str">
        <f t="shared" si="2"/>
        <v>Ethiopia</v>
      </c>
      <c r="X14" s="63" t="str">
        <f>VLOOKUP(W14,Input!$A$3:$B$185,2,FALSE)</f>
        <v>ETH</v>
      </c>
      <c r="Y14" s="77">
        <f>Y$7</f>
        <v>0.8</v>
      </c>
      <c r="Z14" s="78">
        <f t="shared" si="3"/>
        <v>0.8</v>
      </c>
      <c r="AA14" s="79">
        <f t="shared" si="3"/>
        <v>0.8</v>
      </c>
    </row>
    <row r="15" spans="1:27" ht="15.95">
      <c r="A15" s="21" t="s">
        <v>117</v>
      </c>
      <c r="B15" s="5" t="s">
        <v>118</v>
      </c>
      <c r="C15" s="5" t="s">
        <v>80</v>
      </c>
      <c r="D15" s="22">
        <v>1</v>
      </c>
      <c r="F15" s="16" t="s">
        <v>236</v>
      </c>
      <c r="G15" s="5" t="str">
        <f>VLOOKUP(F15,Input!$A$3:$B$185,2,FALSE)</f>
        <v>IND</v>
      </c>
      <c r="H15" s="50">
        <v>0.05</v>
      </c>
      <c r="I15" s="37">
        <v>0.02</v>
      </c>
      <c r="J15" s="47">
        <v>0.2</v>
      </c>
      <c r="K15" s="47">
        <v>0.1</v>
      </c>
      <c r="L15" s="83">
        <v>0</v>
      </c>
      <c r="N15" s="15" t="s">
        <v>108</v>
      </c>
      <c r="O15" s="5" t="str">
        <f>VLOOKUP(N15,Input!$A$3:$B$185,2,FALSE)</f>
        <v>BGD</v>
      </c>
      <c r="P15" s="12" t="s">
        <v>524</v>
      </c>
      <c r="Q15" s="34">
        <v>0.2</v>
      </c>
      <c r="S15" s="21" t="str">
        <f t="shared" si="1"/>
        <v>India</v>
      </c>
      <c r="T15" s="5" t="str">
        <f>VLOOKUP(S15,Input!$A$3:$B$185,2,FALSE)</f>
        <v>IND</v>
      </c>
      <c r="U15" s="54">
        <v>1.284134433</v>
      </c>
      <c r="W15" s="21" t="str">
        <f t="shared" si="2"/>
        <v>India</v>
      </c>
      <c r="X15" s="63" t="str">
        <f>VLOOKUP(W15,Input!$A$3:$B$185,2,FALSE)</f>
        <v>IND</v>
      </c>
      <c r="Y15" s="77">
        <f t="shared" ref="Y15:AA16" si="4">Y$8</f>
        <v>0.8</v>
      </c>
      <c r="Z15" s="78">
        <f t="shared" si="4"/>
        <v>0.8</v>
      </c>
      <c r="AA15" s="79">
        <f t="shared" si="4"/>
        <v>0.8</v>
      </c>
    </row>
    <row r="16" spans="1:27" ht="15.95">
      <c r="A16" s="21" t="s">
        <v>527</v>
      </c>
      <c r="B16" s="5" t="s">
        <v>132</v>
      </c>
      <c r="C16" s="5" t="s">
        <v>87</v>
      </c>
      <c r="D16" s="22">
        <v>1</v>
      </c>
      <c r="F16" s="16" t="s">
        <v>238</v>
      </c>
      <c r="G16" s="5" t="str">
        <f>VLOOKUP(F16,Input!$A$3:$B$185,2,FALSE)</f>
        <v>IDN</v>
      </c>
      <c r="H16" s="50">
        <v>0.05</v>
      </c>
      <c r="I16" s="37">
        <v>0.02</v>
      </c>
      <c r="J16" s="47">
        <v>0.2</v>
      </c>
      <c r="K16" s="47">
        <v>0.1</v>
      </c>
      <c r="L16" s="83">
        <v>0</v>
      </c>
      <c r="N16" s="16" t="s">
        <v>108</v>
      </c>
      <c r="O16" s="5" t="str">
        <f>VLOOKUP(N16,Input!$A$3:$B$185,2,FALSE)</f>
        <v>BGD</v>
      </c>
      <c r="P16" s="11" t="s">
        <v>525</v>
      </c>
      <c r="Q16" s="34">
        <v>0.2</v>
      </c>
      <c r="S16" s="21" t="str">
        <f t="shared" si="1"/>
        <v>Indonesia</v>
      </c>
      <c r="T16" s="5" t="str">
        <f>VLOOKUP(S16,Input!$A$3:$B$185,2,FALSE)</f>
        <v>IDN</v>
      </c>
      <c r="U16" s="57">
        <f>U8</f>
        <v>1.7360756259580992</v>
      </c>
      <c r="W16" s="21" t="str">
        <f t="shared" si="2"/>
        <v>Indonesia</v>
      </c>
      <c r="X16" s="63" t="str">
        <f>VLOOKUP(W16,Input!$A$3:$B$185,2,FALSE)</f>
        <v>IDN</v>
      </c>
      <c r="Y16" s="77">
        <f t="shared" si="4"/>
        <v>0.8</v>
      </c>
      <c r="Z16" s="78">
        <f t="shared" si="4"/>
        <v>0.8</v>
      </c>
      <c r="AA16" s="79">
        <f t="shared" si="4"/>
        <v>0.8</v>
      </c>
    </row>
    <row r="17" spans="1:27" ht="15.95">
      <c r="A17" s="21" t="s">
        <v>133</v>
      </c>
      <c r="B17" s="5" t="s">
        <v>134</v>
      </c>
      <c r="C17" s="5" t="s">
        <v>80</v>
      </c>
      <c r="D17" s="22">
        <v>1</v>
      </c>
      <c r="F17" s="16" t="s">
        <v>318</v>
      </c>
      <c r="G17" s="5" t="str">
        <f>VLOOKUP(F17,Input!$A$3:$B$185,2,FALSE)</f>
        <v>MOZ</v>
      </c>
      <c r="H17" s="50">
        <v>0.5</v>
      </c>
      <c r="I17" s="37">
        <v>0.02</v>
      </c>
      <c r="J17" s="47">
        <v>0.2</v>
      </c>
      <c r="K17" s="47">
        <v>0.1</v>
      </c>
      <c r="L17" s="83">
        <v>0</v>
      </c>
      <c r="N17" s="16" t="s">
        <v>129</v>
      </c>
      <c r="O17" s="5" t="str">
        <f>VLOOKUP(N17,Input!$A$3:$B$185,2,FALSE)</f>
        <v>BRA</v>
      </c>
      <c r="P17" s="12" t="s">
        <v>524</v>
      </c>
      <c r="Q17" s="40">
        <f>Q7</f>
        <v>0.83</v>
      </c>
      <c r="S17" s="21" t="str">
        <f t="shared" si="1"/>
        <v>Mozambique</v>
      </c>
      <c r="T17" s="5" t="str">
        <f>VLOOKUP(S17,Input!$A$3:$B$185,2,FALSE)</f>
        <v>MOZ</v>
      </c>
      <c r="U17" s="54">
        <v>0.23703887100767518</v>
      </c>
      <c r="W17" s="21" t="str">
        <f t="shared" si="2"/>
        <v>Mozambique</v>
      </c>
      <c r="X17" s="63" t="str">
        <f>VLOOKUP(W17,Input!$A$3:$B$185,2,FALSE)</f>
        <v>MOZ</v>
      </c>
      <c r="Y17" s="77">
        <f t="shared" ref="Y17:AA19" si="5">Y$7</f>
        <v>0.8</v>
      </c>
      <c r="Z17" s="78">
        <f t="shared" si="5"/>
        <v>0.8</v>
      </c>
      <c r="AA17" s="79">
        <f t="shared" si="5"/>
        <v>0.8</v>
      </c>
    </row>
    <row r="18" spans="1:27" ht="15.95">
      <c r="A18" s="21" t="s">
        <v>143</v>
      </c>
      <c r="B18" s="5" t="s">
        <v>144</v>
      </c>
      <c r="C18" s="5" t="s">
        <v>87</v>
      </c>
      <c r="D18" s="22">
        <v>1</v>
      </c>
      <c r="F18" s="16" t="s">
        <v>336</v>
      </c>
      <c r="G18" s="5" t="str">
        <f>VLOOKUP(F18,Input!$A$3:$B$185,2,FALSE)</f>
        <v>NGA</v>
      </c>
      <c r="H18" s="50">
        <v>0.64</v>
      </c>
      <c r="I18" s="37">
        <v>0.02</v>
      </c>
      <c r="J18" s="47">
        <v>0.2</v>
      </c>
      <c r="K18" s="47">
        <v>0.1</v>
      </c>
      <c r="L18" s="83">
        <v>0</v>
      </c>
      <c r="N18" s="16" t="s">
        <v>129</v>
      </c>
      <c r="O18" s="5" t="str">
        <f>VLOOKUP(N18,Input!$A$3:$B$185,2,FALSE)</f>
        <v>BRA</v>
      </c>
      <c r="P18" s="11" t="s">
        <v>525</v>
      </c>
      <c r="Q18" s="40">
        <f>Q8</f>
        <v>0.38</v>
      </c>
      <c r="S18" s="21" t="str">
        <f t="shared" si="1"/>
        <v>Nigeria</v>
      </c>
      <c r="T18" s="5" t="str">
        <f>VLOOKUP(S18,Input!$A$3:$B$185,2,FALSE)</f>
        <v>NGA</v>
      </c>
      <c r="U18" s="54">
        <v>0.50418443554497239</v>
      </c>
      <c r="W18" s="21" t="str">
        <f t="shared" si="2"/>
        <v>Nigeria</v>
      </c>
      <c r="X18" s="63" t="str">
        <f>VLOOKUP(W18,Input!$A$3:$B$185,2,FALSE)</f>
        <v>NGA</v>
      </c>
      <c r="Y18" s="77">
        <f t="shared" si="5"/>
        <v>0.8</v>
      </c>
      <c r="Z18" s="78">
        <f t="shared" si="5"/>
        <v>0.8</v>
      </c>
      <c r="AA18" s="79">
        <f t="shared" si="5"/>
        <v>0.8</v>
      </c>
    </row>
    <row r="19" spans="1:27" ht="15.95">
      <c r="A19" s="21" t="s">
        <v>153</v>
      </c>
      <c r="B19" s="5" t="s">
        <v>154</v>
      </c>
      <c r="C19" s="5" t="s">
        <v>80</v>
      </c>
      <c r="D19" s="22">
        <v>1</v>
      </c>
      <c r="F19" s="16" t="s">
        <v>344</v>
      </c>
      <c r="G19" s="5" t="str">
        <f>VLOOKUP(F19,Input!$A$3:$B$185,2,FALSE)</f>
        <v>PAK</v>
      </c>
      <c r="H19" s="50">
        <v>0.21</v>
      </c>
      <c r="I19" s="37">
        <v>0.02</v>
      </c>
      <c r="J19" s="47">
        <v>0.2</v>
      </c>
      <c r="K19" s="47">
        <v>0.1</v>
      </c>
      <c r="L19" s="83">
        <v>0</v>
      </c>
      <c r="N19" s="16" t="s">
        <v>149</v>
      </c>
      <c r="O19" s="5" t="str">
        <f>VLOOKUP(N19,Input!$A$3:$B$185,2,FALSE)</f>
        <v>TCD</v>
      </c>
      <c r="P19" s="12" t="s">
        <v>524</v>
      </c>
      <c r="Q19" s="34">
        <v>0.78</v>
      </c>
      <c r="S19" s="21" t="str">
        <f t="shared" si="1"/>
        <v>Pakistan</v>
      </c>
      <c r="T19" s="5" t="str">
        <f>VLOOKUP(S19,Input!$A$3:$B$185,2,FALSE)</f>
        <v>PAK</v>
      </c>
      <c r="U19" s="54">
        <v>0.50418443554497239</v>
      </c>
      <c r="W19" s="21" t="str">
        <f t="shared" si="2"/>
        <v>Pakistan</v>
      </c>
      <c r="X19" s="63" t="str">
        <f>VLOOKUP(W19,Input!$A$3:$B$185,2,FALSE)</f>
        <v>PAK</v>
      </c>
      <c r="Y19" s="77">
        <f t="shared" si="5"/>
        <v>0.8</v>
      </c>
      <c r="Z19" s="78">
        <f t="shared" si="5"/>
        <v>0.8</v>
      </c>
      <c r="AA19" s="79">
        <f t="shared" si="5"/>
        <v>0.8</v>
      </c>
    </row>
    <row r="20" spans="1:27" ht="15.95">
      <c r="A20" s="21" t="s">
        <v>163</v>
      </c>
      <c r="B20" s="5" t="s">
        <v>164</v>
      </c>
      <c r="C20" s="5" t="s">
        <v>80</v>
      </c>
      <c r="D20" s="22">
        <v>2</v>
      </c>
      <c r="F20" s="16" t="s">
        <v>356</v>
      </c>
      <c r="G20" s="5" t="str">
        <f>VLOOKUP(F20,Input!$A$3:$B$185,2,FALSE)</f>
        <v>PHL</v>
      </c>
      <c r="H20" s="51">
        <f>H8</f>
        <v>0.21</v>
      </c>
      <c r="I20" s="37">
        <v>0.02</v>
      </c>
      <c r="J20" s="47">
        <v>0.2</v>
      </c>
      <c r="K20" s="47">
        <v>0.1</v>
      </c>
      <c r="L20" s="83">
        <v>0</v>
      </c>
      <c r="N20" s="16" t="s">
        <v>149</v>
      </c>
      <c r="O20" s="5" t="str">
        <f>VLOOKUP(N20,Input!$A$3:$B$185,2,FALSE)</f>
        <v>TCD</v>
      </c>
      <c r="P20" s="11" t="s">
        <v>525</v>
      </c>
      <c r="Q20" s="34">
        <v>0.78</v>
      </c>
      <c r="S20" s="21" t="str">
        <f t="shared" si="1"/>
        <v>Philippines</v>
      </c>
      <c r="T20" s="5" t="str">
        <f>VLOOKUP(S20,Input!$A$3:$B$185,2,FALSE)</f>
        <v>PHL</v>
      </c>
      <c r="U20" s="57">
        <f>U8</f>
        <v>1.7360756259580992</v>
      </c>
      <c r="W20" s="21" t="str">
        <f t="shared" si="2"/>
        <v>Philippines</v>
      </c>
      <c r="X20" s="63" t="str">
        <f>VLOOKUP(W20,Input!$A$3:$B$185,2,FALSE)</f>
        <v>PHL</v>
      </c>
      <c r="Y20" s="77">
        <f>Y$8</f>
        <v>0.8</v>
      </c>
      <c r="Z20" s="78">
        <f>Z$8</f>
        <v>0.8</v>
      </c>
      <c r="AA20" s="79">
        <f>AA$8</f>
        <v>0.8</v>
      </c>
    </row>
    <row r="21" spans="1:27" ht="15.95">
      <c r="A21" s="21" t="s">
        <v>167</v>
      </c>
      <c r="B21" s="5" t="s">
        <v>168</v>
      </c>
      <c r="C21" s="5" t="s">
        <v>87</v>
      </c>
      <c r="D21" s="22">
        <v>1</v>
      </c>
      <c r="F21" s="16" t="s">
        <v>402</v>
      </c>
      <c r="G21" s="5" t="str">
        <f>VLOOKUP(F21,Input!$A$3:$B$185,2,FALSE)</f>
        <v>ZAF</v>
      </c>
      <c r="H21" s="51">
        <f>H7</f>
        <v>0.23</v>
      </c>
      <c r="I21" s="37">
        <v>0.02</v>
      </c>
      <c r="J21" s="47">
        <v>0.2</v>
      </c>
      <c r="K21" s="47">
        <v>0.1</v>
      </c>
      <c r="L21" s="83">
        <v>0</v>
      </c>
      <c r="N21" s="16" t="s">
        <v>526</v>
      </c>
      <c r="O21" s="5" t="str">
        <f>VLOOKUP(N21,Input!$A$3:$B$185,2,FALSE)</f>
        <v>COD</v>
      </c>
      <c r="P21" s="12" t="s">
        <v>524</v>
      </c>
      <c r="Q21" s="34">
        <v>0.77</v>
      </c>
      <c r="S21" s="21" t="str">
        <f t="shared" si="1"/>
        <v>South Africa</v>
      </c>
      <c r="T21" s="5" t="str">
        <f>VLOOKUP(S21,Input!$A$3:$B$185,2,FALSE)</f>
        <v>ZAF</v>
      </c>
      <c r="U21" s="57">
        <f>U7</f>
        <v>0.53368993694944578</v>
      </c>
      <c r="W21" s="21" t="str">
        <f t="shared" si="2"/>
        <v>South Africa</v>
      </c>
      <c r="X21" s="63" t="str">
        <f>VLOOKUP(W21,Input!$A$3:$B$185,2,FALSE)</f>
        <v>ZAF</v>
      </c>
      <c r="Y21" s="77">
        <f t="shared" ref="Y21:AA23" si="6">Y7</f>
        <v>0.8</v>
      </c>
      <c r="Z21" s="78">
        <f t="shared" si="6"/>
        <v>0.8</v>
      </c>
      <c r="AA21" s="79">
        <f t="shared" si="6"/>
        <v>0.8</v>
      </c>
    </row>
    <row r="22" spans="1:27" ht="15.95">
      <c r="A22" s="21" t="s">
        <v>169</v>
      </c>
      <c r="B22" s="5" t="s">
        <v>170</v>
      </c>
      <c r="C22" s="5" t="s">
        <v>80</v>
      </c>
      <c r="D22" s="22">
        <v>1</v>
      </c>
      <c r="F22" s="16" t="s">
        <v>528</v>
      </c>
      <c r="G22" s="5" t="str">
        <f>VLOOKUP(F22,Input!$A$3:$B$185,2,FALSE)</f>
        <v>TZA</v>
      </c>
      <c r="H22" s="50">
        <v>0.1</v>
      </c>
      <c r="I22" s="37">
        <v>0.02</v>
      </c>
      <c r="J22" s="47">
        <v>0.2</v>
      </c>
      <c r="K22" s="47">
        <v>0.1</v>
      </c>
      <c r="L22" s="83">
        <v>0</v>
      </c>
      <c r="N22" s="16" t="s">
        <v>526</v>
      </c>
      <c r="O22" s="5" t="str">
        <f>VLOOKUP(N22,Input!$A$3:$B$185,2,FALSE)</f>
        <v>COD</v>
      </c>
      <c r="P22" s="11" t="s">
        <v>525</v>
      </c>
      <c r="Q22" s="34">
        <v>0.77</v>
      </c>
      <c r="S22" s="21" t="str">
        <f t="shared" si="1"/>
        <v>Tanzania</v>
      </c>
      <c r="T22" s="5" t="str">
        <f>VLOOKUP(S22,Input!$A$3:$B$185,2,FALSE)</f>
        <v>TZA</v>
      </c>
      <c r="U22" s="53">
        <v>0.46963055729492797</v>
      </c>
      <c r="W22" s="21" t="str">
        <f t="shared" si="2"/>
        <v>Tanzania</v>
      </c>
      <c r="X22" s="63" t="str">
        <f>VLOOKUP(W22,Input!$A$3:$B$185,2,FALSE)</f>
        <v>TZA</v>
      </c>
      <c r="Y22" s="77">
        <f t="shared" si="6"/>
        <v>0.8</v>
      </c>
      <c r="Z22" s="78">
        <f t="shared" si="6"/>
        <v>0.8</v>
      </c>
      <c r="AA22" s="79">
        <f t="shared" si="6"/>
        <v>0.8</v>
      </c>
    </row>
    <row r="23" spans="1:27" ht="15.95">
      <c r="A23" s="21" t="s">
        <v>171</v>
      </c>
      <c r="B23" s="5" t="s">
        <v>172</v>
      </c>
      <c r="C23" s="5" t="s">
        <v>87</v>
      </c>
      <c r="D23" s="22">
        <v>1</v>
      </c>
      <c r="F23" s="16" t="s">
        <v>444</v>
      </c>
      <c r="G23" s="5" t="str">
        <f>VLOOKUP(F23,Input!$A$3:$B$185,2,FALSE)</f>
        <v>UGA</v>
      </c>
      <c r="H23" s="51">
        <f>H7</f>
        <v>0.23</v>
      </c>
      <c r="I23" s="37">
        <v>0.02</v>
      </c>
      <c r="J23" s="47">
        <v>0.2</v>
      </c>
      <c r="K23" s="47">
        <v>0.1</v>
      </c>
      <c r="L23" s="83">
        <v>0</v>
      </c>
      <c r="N23" s="16" t="s">
        <v>198</v>
      </c>
      <c r="O23" s="5" t="str">
        <f>VLOOKUP(N23,Input!$A$3:$B$185,2,FALSE)</f>
        <v>ETH</v>
      </c>
      <c r="P23" s="12" t="s">
        <v>524</v>
      </c>
      <c r="Q23" s="34">
        <v>0.6</v>
      </c>
      <c r="S23" s="21" t="str">
        <f t="shared" si="1"/>
        <v>Uganda</v>
      </c>
      <c r="T23" s="5" t="str">
        <f>VLOOKUP(S23,Input!$A$3:$B$185,2,FALSE)</f>
        <v>UGA</v>
      </c>
      <c r="U23" s="57">
        <f>U7</f>
        <v>0.53368993694944578</v>
      </c>
      <c r="W23" s="21" t="str">
        <f t="shared" si="2"/>
        <v>Uganda</v>
      </c>
      <c r="X23" s="63" t="str">
        <f>VLOOKUP(W23,Input!$A$3:$B$185,2,FALSE)</f>
        <v>UGA</v>
      </c>
      <c r="Y23" s="77">
        <f t="shared" si="6"/>
        <v>0.8</v>
      </c>
      <c r="Z23" s="78">
        <f t="shared" si="6"/>
        <v>0.8</v>
      </c>
      <c r="AA23" s="79">
        <f t="shared" si="6"/>
        <v>0.8</v>
      </c>
    </row>
    <row r="24" spans="1:27" ht="17.100000000000001" thickBot="1">
      <c r="A24" s="21" t="s">
        <v>529</v>
      </c>
      <c r="B24" s="5" t="s">
        <v>174</v>
      </c>
      <c r="C24" s="5" t="s">
        <v>87</v>
      </c>
      <c r="D24" s="22">
        <v>1</v>
      </c>
      <c r="F24" s="17" t="s">
        <v>453</v>
      </c>
      <c r="G24" s="24" t="str">
        <f>VLOOKUP(F24,Input!$A$3:$B$185,2,FALSE)</f>
        <v>USA</v>
      </c>
      <c r="H24" s="52">
        <f>H5</f>
        <v>0.16</v>
      </c>
      <c r="I24" s="95">
        <v>0.02</v>
      </c>
      <c r="J24" s="74">
        <v>0.2</v>
      </c>
      <c r="K24" s="74">
        <v>0.1</v>
      </c>
      <c r="L24" s="75">
        <v>0</v>
      </c>
      <c r="N24" s="16" t="s">
        <v>198</v>
      </c>
      <c r="O24" s="5" t="str">
        <f>VLOOKUP(N24,Input!$A$3:$B$185,2,FALSE)</f>
        <v>ETH</v>
      </c>
      <c r="P24" s="11" t="s">
        <v>525</v>
      </c>
      <c r="Q24" s="34">
        <v>0.6</v>
      </c>
      <c r="S24" s="23" t="str">
        <f t="shared" si="1"/>
        <v>USA</v>
      </c>
      <c r="T24" s="24" t="str">
        <f>VLOOKUP(S24,Input!$A$3:$B$185,2,FALSE)</f>
        <v>USA</v>
      </c>
      <c r="U24" s="58">
        <f>U5</f>
        <v>2.3190152964693054</v>
      </c>
      <c r="W24" s="23" t="str">
        <f t="shared" si="2"/>
        <v>USA</v>
      </c>
      <c r="X24" s="64" t="s">
        <v>453</v>
      </c>
      <c r="Y24" s="80">
        <f>Y5</f>
        <v>0.05</v>
      </c>
      <c r="Z24" s="81">
        <f>Z5</f>
        <v>0.05</v>
      </c>
      <c r="AA24" s="82">
        <f>AA5</f>
        <v>0.05</v>
      </c>
    </row>
    <row r="25" spans="1:27" ht="15.95">
      <c r="A25" s="21" t="s">
        <v>179</v>
      </c>
      <c r="B25" s="5" t="s">
        <v>180</v>
      </c>
      <c r="C25" s="5" t="s">
        <v>87</v>
      </c>
      <c r="D25" s="22">
        <v>1</v>
      </c>
      <c r="F25" s="36"/>
      <c r="G25" s="36"/>
      <c r="H25" s="36"/>
      <c r="I25" s="36"/>
      <c r="J25" s="36"/>
      <c r="K25" s="36"/>
      <c r="L25" s="36"/>
      <c r="N25" s="16" t="s">
        <v>236</v>
      </c>
      <c r="O25" s="5" t="str">
        <f>VLOOKUP(N25,Input!$A$3:$B$185,2,FALSE)</f>
        <v>IND</v>
      </c>
      <c r="P25" s="12" t="s">
        <v>524</v>
      </c>
      <c r="Q25" s="40">
        <f>Q11</f>
        <v>0.56000000000000005</v>
      </c>
      <c r="S25" s="36"/>
      <c r="T25" s="36"/>
      <c r="U25" s="36"/>
      <c r="W25" s="36"/>
      <c r="X25" s="36"/>
      <c r="Y25" s="36"/>
      <c r="Z25" s="36"/>
      <c r="AA25" s="36"/>
    </row>
    <row r="26" spans="1:27" ht="15.95">
      <c r="A26" s="21" t="s">
        <v>190</v>
      </c>
      <c r="B26" s="5" t="s">
        <v>191</v>
      </c>
      <c r="C26" s="5" t="s">
        <v>84</v>
      </c>
      <c r="D26" s="22">
        <v>1</v>
      </c>
      <c r="F26" s="36"/>
      <c r="G26" s="36"/>
      <c r="H26" s="36"/>
      <c r="I26" s="36"/>
      <c r="J26" s="36"/>
      <c r="K26" s="36"/>
      <c r="L26" s="36"/>
      <c r="N26" s="16" t="s">
        <v>236</v>
      </c>
      <c r="O26" s="5" t="str">
        <f>VLOOKUP(N26,Input!$A$3:$B$185,2,FALSE)</f>
        <v>IND</v>
      </c>
      <c r="P26" s="11" t="s">
        <v>525</v>
      </c>
      <c r="Q26" s="40">
        <f>Q12</f>
        <v>0.41</v>
      </c>
      <c r="S26" s="36"/>
      <c r="T26" s="36"/>
      <c r="U26" s="36"/>
      <c r="W26" s="36"/>
      <c r="X26" s="36"/>
      <c r="Y26" s="36"/>
      <c r="Z26" s="36"/>
      <c r="AA26" s="36"/>
    </row>
    <row r="27" spans="1:27" ht="15.95">
      <c r="A27" s="21" t="s">
        <v>196</v>
      </c>
      <c r="B27" s="5" t="s">
        <v>197</v>
      </c>
      <c r="C27" s="5" t="s">
        <v>87</v>
      </c>
      <c r="D27" s="22">
        <v>1</v>
      </c>
      <c r="N27" s="16" t="s">
        <v>238</v>
      </c>
      <c r="O27" s="5" t="str">
        <f>VLOOKUP(N27,Input!$A$3:$B$185,2,FALSE)</f>
        <v>IDN</v>
      </c>
      <c r="P27" s="12" t="s">
        <v>524</v>
      </c>
      <c r="Q27" s="34">
        <v>0.2</v>
      </c>
    </row>
    <row r="28" spans="1:27" ht="15.95">
      <c r="A28" s="21" t="s">
        <v>202</v>
      </c>
      <c r="B28" s="5" t="s">
        <v>203</v>
      </c>
      <c r="C28" s="5" t="s">
        <v>87</v>
      </c>
      <c r="D28" s="22">
        <v>1</v>
      </c>
      <c r="N28" s="16" t="s">
        <v>238</v>
      </c>
      <c r="O28" s="5" t="str">
        <f>VLOOKUP(N28,Input!$A$3:$B$185,2,FALSE)</f>
        <v>IDN</v>
      </c>
      <c r="P28" s="11" t="s">
        <v>525</v>
      </c>
      <c r="Q28" s="34">
        <v>0.2</v>
      </c>
    </row>
    <row r="29" spans="1:27" ht="15.95">
      <c r="A29" s="21" t="s">
        <v>204</v>
      </c>
      <c r="B29" s="5" t="s">
        <v>205</v>
      </c>
      <c r="C29" s="5" t="s">
        <v>87</v>
      </c>
      <c r="D29" s="22">
        <v>1</v>
      </c>
      <c r="N29" s="16" t="s">
        <v>318</v>
      </c>
      <c r="O29" s="5" t="str">
        <f>VLOOKUP(N29,Input!$A$3:$B$185,2,FALSE)</f>
        <v>MOZ</v>
      </c>
      <c r="P29" s="12" t="s">
        <v>524</v>
      </c>
      <c r="Q29" s="34">
        <v>0.5</v>
      </c>
    </row>
    <row r="30" spans="1:27" ht="15.95">
      <c r="A30" s="21" t="s">
        <v>210</v>
      </c>
      <c r="B30" s="5" t="s">
        <v>211</v>
      </c>
      <c r="C30" s="5" t="s">
        <v>80</v>
      </c>
      <c r="D30" s="22">
        <v>1</v>
      </c>
      <c r="N30" s="16" t="s">
        <v>318</v>
      </c>
      <c r="O30" s="5" t="str">
        <f>VLOOKUP(N30,Input!$A$3:$B$185,2,FALSE)</f>
        <v>MOZ</v>
      </c>
      <c r="P30" s="11" t="s">
        <v>525</v>
      </c>
      <c r="Q30" s="34">
        <v>0.5</v>
      </c>
    </row>
    <row r="31" spans="1:27" ht="15.95">
      <c r="A31" s="21" t="s">
        <v>212</v>
      </c>
      <c r="B31" s="5" t="s">
        <v>213</v>
      </c>
      <c r="C31" s="5" t="s">
        <v>87</v>
      </c>
      <c r="D31" s="22">
        <v>1</v>
      </c>
      <c r="N31" s="16" t="s">
        <v>336</v>
      </c>
      <c r="O31" s="5" t="str">
        <f>VLOOKUP(N31,Input!$A$3:$B$185,2,FALSE)</f>
        <v>NGA</v>
      </c>
      <c r="P31" s="12" t="s">
        <v>524</v>
      </c>
      <c r="Q31" s="34">
        <v>0.47</v>
      </c>
    </row>
    <row r="32" spans="1:27" ht="15.95">
      <c r="A32" s="21" t="s">
        <v>216</v>
      </c>
      <c r="B32" s="5" t="s">
        <v>217</v>
      </c>
      <c r="C32" s="5" t="s">
        <v>87</v>
      </c>
      <c r="D32" s="22">
        <v>1</v>
      </c>
      <c r="N32" s="16" t="s">
        <v>336</v>
      </c>
      <c r="O32" s="5" t="str">
        <f>VLOOKUP(N32,Input!$A$3:$B$185,2,FALSE)</f>
        <v>NGA</v>
      </c>
      <c r="P32" s="11" t="s">
        <v>525</v>
      </c>
      <c r="Q32" s="34">
        <v>0.47</v>
      </c>
    </row>
    <row r="33" spans="1:17" ht="15.95">
      <c r="A33" s="21" t="s">
        <v>218</v>
      </c>
      <c r="B33" s="5" t="s">
        <v>219</v>
      </c>
      <c r="C33" s="5" t="s">
        <v>80</v>
      </c>
      <c r="D33" s="22">
        <v>1</v>
      </c>
      <c r="N33" s="16" t="s">
        <v>344</v>
      </c>
      <c r="O33" s="5" t="str">
        <f>VLOOKUP(N33,Input!$A$3:$B$185,2,FALSE)</f>
        <v>PAK</v>
      </c>
      <c r="P33" s="12" t="s">
        <v>524</v>
      </c>
      <c r="Q33" s="34">
        <v>0.3</v>
      </c>
    </row>
    <row r="34" spans="1:17" ht="15.95">
      <c r="A34" s="21" t="s">
        <v>220</v>
      </c>
      <c r="B34" s="5" t="s">
        <v>221</v>
      </c>
      <c r="C34" s="5" t="s">
        <v>80</v>
      </c>
      <c r="D34" s="22">
        <v>1</v>
      </c>
      <c r="N34" s="16" t="s">
        <v>344</v>
      </c>
      <c r="O34" s="5" t="str">
        <f>VLOOKUP(N34,Input!$A$3:$B$185,2,FALSE)</f>
        <v>PAK</v>
      </c>
      <c r="P34" s="11" t="s">
        <v>525</v>
      </c>
      <c r="Q34" s="34">
        <v>0.3</v>
      </c>
    </row>
    <row r="35" spans="1:17" ht="15.95">
      <c r="A35" s="21" t="s">
        <v>226</v>
      </c>
      <c r="B35" s="5" t="s">
        <v>227</v>
      </c>
      <c r="C35" s="5" t="s">
        <v>80</v>
      </c>
      <c r="D35" s="22">
        <v>2</v>
      </c>
      <c r="N35" s="16" t="s">
        <v>356</v>
      </c>
      <c r="O35" s="5" t="str">
        <f>VLOOKUP(N35,Input!$A$3:$B$185,2,FALSE)</f>
        <v>PHL</v>
      </c>
      <c r="P35" s="12" t="s">
        <v>524</v>
      </c>
      <c r="Q35" s="40">
        <f>Q11</f>
        <v>0.56000000000000005</v>
      </c>
    </row>
    <row r="36" spans="1:17" ht="15.95">
      <c r="A36" s="21" t="s">
        <v>230</v>
      </c>
      <c r="B36" s="5" t="s">
        <v>231</v>
      </c>
      <c r="C36" s="5" t="s">
        <v>84</v>
      </c>
      <c r="D36" s="22">
        <v>1</v>
      </c>
      <c r="N36" s="16" t="s">
        <v>356</v>
      </c>
      <c r="O36" s="5" t="str">
        <f>VLOOKUP(N36,Input!$A$3:$B$185,2,FALSE)</f>
        <v>PHL</v>
      </c>
      <c r="P36" s="11" t="s">
        <v>525</v>
      </c>
      <c r="Q36" s="40">
        <f>Q12</f>
        <v>0.41</v>
      </c>
    </row>
    <row r="37" spans="1:17" ht="15.95">
      <c r="A37" s="21" t="s">
        <v>232</v>
      </c>
      <c r="B37" s="5" t="s">
        <v>233</v>
      </c>
      <c r="C37" s="5" t="s">
        <v>87</v>
      </c>
      <c r="D37" s="22">
        <v>1</v>
      </c>
      <c r="N37" s="16" t="s">
        <v>402</v>
      </c>
      <c r="O37" s="5" t="str">
        <f>VLOOKUP(N37,Input!$A$3:$B$185,2,FALSE)</f>
        <v>ZAF</v>
      </c>
      <c r="P37" s="12" t="s">
        <v>524</v>
      </c>
      <c r="Q37" s="40">
        <f>Q9</f>
        <v>0.56000000000000005</v>
      </c>
    </row>
    <row r="38" spans="1:17" ht="15.95">
      <c r="A38" s="21" t="s">
        <v>234</v>
      </c>
      <c r="B38" s="5" t="s">
        <v>235</v>
      </c>
      <c r="C38" s="5" t="s">
        <v>87</v>
      </c>
      <c r="D38" s="22">
        <v>1</v>
      </c>
      <c r="N38" s="16" t="s">
        <v>402</v>
      </c>
      <c r="O38" s="5" t="str">
        <f>VLOOKUP(N38,Input!$A$3:$B$185,2,FALSE)</f>
        <v>ZAF</v>
      </c>
      <c r="P38" s="11" t="s">
        <v>525</v>
      </c>
      <c r="Q38" s="40">
        <f>Q10</f>
        <v>0.34</v>
      </c>
    </row>
    <row r="39" spans="1:17" ht="15.95">
      <c r="A39" s="21" t="s">
        <v>530</v>
      </c>
      <c r="B39" s="5" t="s">
        <v>241</v>
      </c>
      <c r="C39" s="5" t="s">
        <v>80</v>
      </c>
      <c r="D39" s="22">
        <v>2</v>
      </c>
      <c r="N39" s="16" t="s">
        <v>528</v>
      </c>
      <c r="O39" s="5" t="str">
        <f>VLOOKUP(N39,Input!$A$3:$B$185,2,FALSE)</f>
        <v>TZA</v>
      </c>
      <c r="P39" s="12" t="s">
        <v>524</v>
      </c>
      <c r="Q39" s="34">
        <v>0.85</v>
      </c>
    </row>
    <row r="40" spans="1:17" ht="15.95">
      <c r="A40" s="21" t="s">
        <v>242</v>
      </c>
      <c r="B40" s="5" t="s">
        <v>243</v>
      </c>
      <c r="C40" s="5" t="s">
        <v>80</v>
      </c>
      <c r="D40" s="22">
        <v>2</v>
      </c>
      <c r="N40" s="16" t="s">
        <v>528</v>
      </c>
      <c r="O40" s="5" t="str">
        <f>VLOOKUP(N40,Input!$A$3:$B$185,2,FALSE)</f>
        <v>TZA</v>
      </c>
      <c r="P40" s="11" t="s">
        <v>525</v>
      </c>
      <c r="Q40" s="34">
        <v>0.85</v>
      </c>
    </row>
    <row r="41" spans="1:17" ht="15.95">
      <c r="A41" s="21" t="s">
        <v>244</v>
      </c>
      <c r="B41" s="5" t="s">
        <v>245</v>
      </c>
      <c r="C41" s="5" t="s">
        <v>87</v>
      </c>
      <c r="D41" s="22">
        <v>1</v>
      </c>
      <c r="N41" s="16" t="s">
        <v>444</v>
      </c>
      <c r="O41" s="5" t="str">
        <f>VLOOKUP(N41,Input!$A$3:$B$185,2,FALSE)</f>
        <v>UGA</v>
      </c>
      <c r="P41" s="12" t="s">
        <v>524</v>
      </c>
      <c r="Q41" s="34">
        <v>0.83</v>
      </c>
    </row>
    <row r="42" spans="1:17" ht="15.95">
      <c r="A42" s="21" t="s">
        <v>246</v>
      </c>
      <c r="B42" s="5" t="s">
        <v>247</v>
      </c>
      <c r="C42" s="5" t="s">
        <v>87</v>
      </c>
      <c r="D42" s="22">
        <v>1</v>
      </c>
      <c r="N42" s="16" t="s">
        <v>444</v>
      </c>
      <c r="O42" s="5" t="str">
        <f>VLOOKUP(N42,Input!$A$3:$B$185,2,FALSE)</f>
        <v>UGA</v>
      </c>
      <c r="P42" s="11" t="s">
        <v>525</v>
      </c>
      <c r="Q42" s="34">
        <v>0.83</v>
      </c>
    </row>
    <row r="43" spans="1:17" ht="15.95">
      <c r="A43" s="21" t="s">
        <v>248</v>
      </c>
      <c r="B43" s="5" t="s">
        <v>249</v>
      </c>
      <c r="C43" s="5" t="s">
        <v>87</v>
      </c>
      <c r="D43" s="22">
        <v>1</v>
      </c>
      <c r="N43" s="16" t="s">
        <v>453</v>
      </c>
      <c r="O43" s="5" t="s">
        <v>453</v>
      </c>
      <c r="P43" s="12" t="s">
        <v>524</v>
      </c>
      <c r="Q43" s="40">
        <f>Q5</f>
        <v>0.98</v>
      </c>
    </row>
    <row r="44" spans="1:17" ht="17.100000000000001" thickBot="1">
      <c r="A44" s="21" t="s">
        <v>250</v>
      </c>
      <c r="B44" s="5" t="s">
        <v>251</v>
      </c>
      <c r="C44" s="5" t="s">
        <v>80</v>
      </c>
      <c r="D44" s="22">
        <v>1</v>
      </c>
      <c r="N44" s="17" t="s">
        <v>453</v>
      </c>
      <c r="O44" s="5" t="s">
        <v>453</v>
      </c>
      <c r="P44" s="14" t="s">
        <v>525</v>
      </c>
      <c r="Q44" s="40">
        <f>Q6</f>
        <v>0.52</v>
      </c>
    </row>
    <row r="45" spans="1:17">
      <c r="A45" s="21" t="s">
        <v>254</v>
      </c>
      <c r="B45" s="5" t="s">
        <v>255</v>
      </c>
      <c r="C45" s="5" t="s">
        <v>80</v>
      </c>
      <c r="D45" s="22">
        <v>2</v>
      </c>
    </row>
    <row r="46" spans="1:17">
      <c r="A46" s="21" t="s">
        <v>264</v>
      </c>
      <c r="B46" s="5" t="s">
        <v>265</v>
      </c>
      <c r="C46" s="5" t="s">
        <v>87</v>
      </c>
      <c r="D46" s="22">
        <v>1</v>
      </c>
    </row>
    <row r="47" spans="1:17">
      <c r="A47" s="21" t="s">
        <v>266</v>
      </c>
      <c r="B47" s="5" t="s">
        <v>267</v>
      </c>
      <c r="C47" s="5" t="s">
        <v>84</v>
      </c>
      <c r="D47" s="22">
        <v>1</v>
      </c>
    </row>
    <row r="48" spans="1:17">
      <c r="A48" s="21" t="s">
        <v>270</v>
      </c>
      <c r="B48" s="5" t="s">
        <v>271</v>
      </c>
      <c r="C48" s="5" t="s">
        <v>87</v>
      </c>
      <c r="D48" s="22">
        <v>1</v>
      </c>
    </row>
    <row r="49" spans="1:4">
      <c r="A49" s="21" t="s">
        <v>272</v>
      </c>
      <c r="B49" s="5" t="s">
        <v>273</v>
      </c>
      <c r="C49" s="5" t="s">
        <v>80</v>
      </c>
      <c r="D49" s="22">
        <v>2</v>
      </c>
    </row>
    <row r="50" spans="1:4">
      <c r="A50" s="21" t="s">
        <v>280</v>
      </c>
      <c r="B50" s="5" t="s">
        <v>281</v>
      </c>
      <c r="C50" s="5" t="s">
        <v>87</v>
      </c>
      <c r="D50" s="22">
        <v>1</v>
      </c>
    </row>
    <row r="51" spans="1:4">
      <c r="A51" s="21" t="s">
        <v>282</v>
      </c>
      <c r="B51" s="5" t="s">
        <v>283</v>
      </c>
      <c r="C51" s="5" t="s">
        <v>87</v>
      </c>
      <c r="D51" s="22">
        <v>1</v>
      </c>
    </row>
    <row r="52" spans="1:4">
      <c r="A52" s="21" t="s">
        <v>531</v>
      </c>
      <c r="B52" s="5" t="s">
        <v>285</v>
      </c>
      <c r="C52" s="5" t="s">
        <v>80</v>
      </c>
      <c r="D52" s="22">
        <v>1</v>
      </c>
    </row>
    <row r="53" spans="1:4">
      <c r="A53" s="21" t="s">
        <v>290</v>
      </c>
      <c r="B53" s="5" t="s">
        <v>291</v>
      </c>
      <c r="C53" s="5" t="s">
        <v>80</v>
      </c>
      <c r="D53" s="22">
        <v>2</v>
      </c>
    </row>
    <row r="54" spans="1:4">
      <c r="A54" s="21" t="s">
        <v>296</v>
      </c>
      <c r="B54" s="5" t="s">
        <v>297</v>
      </c>
      <c r="C54" s="5" t="s">
        <v>87</v>
      </c>
      <c r="D54" s="22">
        <v>1</v>
      </c>
    </row>
    <row r="55" spans="1:4">
      <c r="A55" s="21" t="s">
        <v>302</v>
      </c>
      <c r="B55" s="5" t="s">
        <v>303</v>
      </c>
      <c r="C55" s="5" t="s">
        <v>80</v>
      </c>
      <c r="D55" s="22">
        <v>1</v>
      </c>
    </row>
    <row r="56" spans="1:4">
      <c r="A56" s="21" t="s">
        <v>532</v>
      </c>
      <c r="B56" s="5" t="s">
        <v>307</v>
      </c>
      <c r="C56" s="5" t="s">
        <v>84</v>
      </c>
      <c r="D56" s="22">
        <v>1</v>
      </c>
    </row>
    <row r="57" spans="1:4">
      <c r="A57" s="21" t="s">
        <v>533</v>
      </c>
      <c r="B57" s="5" t="s">
        <v>309</v>
      </c>
      <c r="C57" s="5" t="s">
        <v>84</v>
      </c>
      <c r="D57" s="22">
        <v>1</v>
      </c>
    </row>
    <row r="58" spans="1:4">
      <c r="A58" s="21" t="s">
        <v>314</v>
      </c>
      <c r="B58" s="5" t="s">
        <v>315</v>
      </c>
      <c r="C58" s="5" t="s">
        <v>80</v>
      </c>
      <c r="D58" s="22">
        <v>1</v>
      </c>
    </row>
    <row r="59" spans="1:4">
      <c r="A59" s="21" t="s">
        <v>328</v>
      </c>
      <c r="B59" s="5" t="s">
        <v>329</v>
      </c>
      <c r="C59" s="5" t="s">
        <v>87</v>
      </c>
      <c r="D59" s="22">
        <v>1</v>
      </c>
    </row>
    <row r="60" spans="1:4">
      <c r="A60" s="21" t="s">
        <v>330</v>
      </c>
      <c r="B60" s="5" t="s">
        <v>331</v>
      </c>
      <c r="C60" s="5" t="s">
        <v>87</v>
      </c>
      <c r="D60" s="22">
        <v>1</v>
      </c>
    </row>
    <row r="61" spans="1:4">
      <c r="A61" s="21" t="s">
        <v>340</v>
      </c>
      <c r="B61" s="5" t="s">
        <v>341</v>
      </c>
      <c r="C61" s="5" t="s">
        <v>87</v>
      </c>
      <c r="D61" s="22">
        <v>1</v>
      </c>
    </row>
    <row r="62" spans="1:4">
      <c r="A62" s="21" t="s">
        <v>342</v>
      </c>
      <c r="B62" s="5" t="s">
        <v>343</v>
      </c>
      <c r="C62" s="5" t="s">
        <v>87</v>
      </c>
      <c r="D62" s="22">
        <v>1</v>
      </c>
    </row>
    <row r="63" spans="1:4">
      <c r="A63" s="21" t="s">
        <v>348</v>
      </c>
      <c r="B63" s="5" t="s">
        <v>349</v>
      </c>
      <c r="C63" s="5" t="s">
        <v>87</v>
      </c>
      <c r="D63" s="22">
        <v>1</v>
      </c>
    </row>
    <row r="64" spans="1:4">
      <c r="A64" s="21" t="s">
        <v>352</v>
      </c>
      <c r="B64" s="5" t="s">
        <v>353</v>
      </c>
      <c r="C64" s="5" t="s">
        <v>80</v>
      </c>
      <c r="D64" s="22">
        <v>1</v>
      </c>
    </row>
    <row r="65" spans="1:4">
      <c r="A65" s="21" t="s">
        <v>358</v>
      </c>
      <c r="B65" s="5" t="s">
        <v>359</v>
      </c>
      <c r="C65" s="5" t="s">
        <v>87</v>
      </c>
      <c r="D65" s="22">
        <v>1</v>
      </c>
    </row>
    <row r="66" spans="1:4">
      <c r="A66" s="21" t="s">
        <v>360</v>
      </c>
      <c r="B66" s="5" t="s">
        <v>361</v>
      </c>
      <c r="C66" s="5" t="s">
        <v>87</v>
      </c>
      <c r="D66" s="22">
        <v>1</v>
      </c>
    </row>
    <row r="67" spans="1:4">
      <c r="A67" s="21" t="s">
        <v>362</v>
      </c>
      <c r="B67" s="5" t="s">
        <v>363</v>
      </c>
      <c r="C67" s="5" t="s">
        <v>87</v>
      </c>
      <c r="D67" s="22">
        <v>1</v>
      </c>
    </row>
    <row r="68" spans="1:4">
      <c r="A68" s="21" t="s">
        <v>364</v>
      </c>
      <c r="B68" s="5" t="s">
        <v>365</v>
      </c>
      <c r="C68" s="5" t="s">
        <v>80</v>
      </c>
      <c r="D68" s="22">
        <v>2</v>
      </c>
    </row>
    <row r="69" spans="1:4">
      <c r="A69" s="21" t="s">
        <v>534</v>
      </c>
      <c r="B69" s="5" t="s">
        <v>367</v>
      </c>
      <c r="C69" s="5" t="s">
        <v>80</v>
      </c>
      <c r="D69" s="22">
        <v>2</v>
      </c>
    </row>
    <row r="70" spans="1:4">
      <c r="A70" s="21" t="s">
        <v>372</v>
      </c>
      <c r="B70" s="5" t="s">
        <v>373</v>
      </c>
      <c r="C70" s="5" t="s">
        <v>80</v>
      </c>
      <c r="D70" s="22">
        <v>1</v>
      </c>
    </row>
    <row r="71" spans="1:4">
      <c r="A71" s="21" t="s">
        <v>535</v>
      </c>
      <c r="B71" s="5" t="s">
        <v>375</v>
      </c>
      <c r="C71" s="5" t="s">
        <v>80</v>
      </c>
      <c r="D71" s="22">
        <v>1</v>
      </c>
    </row>
    <row r="72" spans="1:4">
      <c r="A72" s="21" t="s">
        <v>382</v>
      </c>
      <c r="B72" s="5" t="s">
        <v>383</v>
      </c>
      <c r="C72" s="5" t="s">
        <v>87</v>
      </c>
      <c r="D72" s="22">
        <v>1</v>
      </c>
    </row>
    <row r="73" spans="1:4">
      <c r="A73" s="21" t="s">
        <v>386</v>
      </c>
      <c r="B73" s="5" t="s">
        <v>387</v>
      </c>
      <c r="C73" s="5" t="s">
        <v>80</v>
      </c>
      <c r="D73" s="22">
        <v>1</v>
      </c>
    </row>
    <row r="74" spans="1:4">
      <c r="A74" s="21" t="s">
        <v>388</v>
      </c>
      <c r="B74" s="5" t="s">
        <v>389</v>
      </c>
      <c r="C74" s="5" t="s">
        <v>87</v>
      </c>
      <c r="D74" s="22">
        <v>1</v>
      </c>
    </row>
    <row r="75" spans="1:4">
      <c r="A75" s="21" t="s">
        <v>392</v>
      </c>
      <c r="B75" s="5" t="s">
        <v>393</v>
      </c>
      <c r="C75" s="5" t="s">
        <v>87</v>
      </c>
      <c r="D75" s="22">
        <v>1</v>
      </c>
    </row>
    <row r="76" spans="1:4">
      <c r="A76" s="21" t="s">
        <v>394</v>
      </c>
      <c r="B76" s="5" t="s">
        <v>395</v>
      </c>
      <c r="C76" s="5" t="s">
        <v>87</v>
      </c>
      <c r="D76" s="22">
        <v>1</v>
      </c>
    </row>
    <row r="77" spans="1:4">
      <c r="A77" s="21" t="s">
        <v>396</v>
      </c>
      <c r="B77" s="5" t="s">
        <v>397</v>
      </c>
      <c r="C77" s="5" t="s">
        <v>87</v>
      </c>
      <c r="D77" s="22">
        <v>1</v>
      </c>
    </row>
    <row r="78" spans="1:4">
      <c r="A78" s="21" t="s">
        <v>536</v>
      </c>
      <c r="B78" s="5" t="s">
        <v>263</v>
      </c>
      <c r="C78" s="5" t="s">
        <v>87</v>
      </c>
      <c r="D78" s="22">
        <v>1</v>
      </c>
    </row>
    <row r="79" spans="1:4">
      <c r="A79" s="21" t="s">
        <v>404</v>
      </c>
      <c r="B79" s="5" t="s">
        <v>405</v>
      </c>
      <c r="C79" s="5" t="s">
        <v>87</v>
      </c>
      <c r="D79" s="22">
        <v>1</v>
      </c>
    </row>
    <row r="80" spans="1:4">
      <c r="A80" s="21" t="s">
        <v>406</v>
      </c>
      <c r="B80" s="5" t="s">
        <v>407</v>
      </c>
      <c r="C80" s="5" t="s">
        <v>80</v>
      </c>
      <c r="D80" s="22">
        <v>2</v>
      </c>
    </row>
    <row r="81" spans="1:4">
      <c r="A81" s="21" t="s">
        <v>412</v>
      </c>
      <c r="B81" s="5" t="s">
        <v>413</v>
      </c>
      <c r="C81" s="5" t="s">
        <v>80</v>
      </c>
      <c r="D81" s="22">
        <v>1</v>
      </c>
    </row>
    <row r="82" spans="1:4">
      <c r="A82" s="21" t="s">
        <v>416</v>
      </c>
      <c r="B82" s="5" t="s">
        <v>417</v>
      </c>
      <c r="C82" s="5" t="s">
        <v>87</v>
      </c>
      <c r="D82" s="22">
        <v>1</v>
      </c>
    </row>
    <row r="83" spans="1:4">
      <c r="A83" s="21" t="s">
        <v>418</v>
      </c>
      <c r="B83" s="5" t="s">
        <v>419</v>
      </c>
      <c r="C83" s="5" t="s">
        <v>87</v>
      </c>
      <c r="D83" s="22">
        <v>1</v>
      </c>
    </row>
    <row r="84" spans="1:4">
      <c r="A84" s="21" t="s">
        <v>426</v>
      </c>
      <c r="B84" s="5" t="s">
        <v>427</v>
      </c>
      <c r="C84" s="5" t="s">
        <v>80</v>
      </c>
      <c r="D84" s="22">
        <v>1</v>
      </c>
    </row>
    <row r="85" spans="1:4">
      <c r="A85" s="21" t="s">
        <v>432</v>
      </c>
      <c r="B85" s="5" t="s">
        <v>433</v>
      </c>
      <c r="C85" s="5" t="s">
        <v>80</v>
      </c>
      <c r="D85" s="22">
        <v>1</v>
      </c>
    </row>
    <row r="86" spans="1:4">
      <c r="A86" s="21" t="s">
        <v>537</v>
      </c>
      <c r="B86" s="5" t="s">
        <v>435</v>
      </c>
      <c r="C86" s="5" t="s">
        <v>87</v>
      </c>
      <c r="D86" s="22">
        <v>1</v>
      </c>
    </row>
    <row r="87" spans="1:4">
      <c r="A87" s="21" t="s">
        <v>438</v>
      </c>
      <c r="B87" s="5" t="s">
        <v>439</v>
      </c>
      <c r="C87" s="5" t="s">
        <v>80</v>
      </c>
      <c r="D87" s="22">
        <v>1</v>
      </c>
    </row>
    <row r="88" spans="1:4">
      <c r="A88" s="21" t="s">
        <v>440</v>
      </c>
      <c r="B88" s="5" t="s">
        <v>441</v>
      </c>
      <c r="C88" s="5" t="s">
        <v>80</v>
      </c>
      <c r="D88" s="22">
        <v>1</v>
      </c>
    </row>
    <row r="89" spans="1:4">
      <c r="A89" s="21" t="s">
        <v>538</v>
      </c>
      <c r="B89" s="5" t="s">
        <v>449</v>
      </c>
      <c r="C89" s="5" t="s">
        <v>87</v>
      </c>
      <c r="D89" s="22">
        <v>1</v>
      </c>
    </row>
    <row r="90" spans="1:4">
      <c r="A90" s="21" t="s">
        <v>539</v>
      </c>
      <c r="B90" s="5" t="s">
        <v>451</v>
      </c>
      <c r="C90" s="5" t="s">
        <v>87</v>
      </c>
      <c r="D90" s="22">
        <v>1</v>
      </c>
    </row>
    <row r="91" spans="1:4">
      <c r="A91" s="21" t="s">
        <v>446</v>
      </c>
      <c r="B91" s="5" t="s">
        <v>447</v>
      </c>
      <c r="C91" s="5" t="s">
        <v>84</v>
      </c>
      <c r="D91" s="22">
        <v>1</v>
      </c>
    </row>
    <row r="92" spans="1:4">
      <c r="A92" s="21" t="s">
        <v>454</v>
      </c>
      <c r="B92" s="5" t="s">
        <v>455</v>
      </c>
      <c r="C92" s="5" t="s">
        <v>87</v>
      </c>
      <c r="D92" s="22">
        <v>1</v>
      </c>
    </row>
    <row r="93" spans="1:4">
      <c r="A93" s="21" t="s">
        <v>456</v>
      </c>
      <c r="B93" s="5" t="s">
        <v>457</v>
      </c>
      <c r="C93" s="5" t="s">
        <v>84</v>
      </c>
      <c r="D93" s="22">
        <v>2</v>
      </c>
    </row>
    <row r="94" spans="1:4">
      <c r="A94" s="21" t="s">
        <v>460</v>
      </c>
      <c r="B94" s="5" t="s">
        <v>461</v>
      </c>
      <c r="C94" s="5" t="s">
        <v>80</v>
      </c>
      <c r="D94" s="22">
        <v>1</v>
      </c>
    </row>
    <row r="95" spans="1:4">
      <c r="A95" s="21" t="s">
        <v>81</v>
      </c>
      <c r="B95" s="5" t="s">
        <v>82</v>
      </c>
      <c r="C95" s="5" t="s">
        <v>80</v>
      </c>
      <c r="D95" s="22">
        <v>2</v>
      </c>
    </row>
    <row r="96" spans="1:4">
      <c r="A96" s="21" t="s">
        <v>113</v>
      </c>
      <c r="B96" s="5" t="s">
        <v>114</v>
      </c>
      <c r="C96" s="5" t="s">
        <v>80</v>
      </c>
      <c r="D96" s="22">
        <v>2</v>
      </c>
    </row>
    <row r="97" spans="1:4">
      <c r="A97" s="21" t="s">
        <v>256</v>
      </c>
      <c r="B97" s="5" t="s">
        <v>257</v>
      </c>
      <c r="C97" s="5" t="s">
        <v>80</v>
      </c>
      <c r="D97" s="22">
        <v>2</v>
      </c>
    </row>
    <row r="98" spans="1:4">
      <c r="A98" s="21" t="s">
        <v>121</v>
      </c>
      <c r="B98" s="5" t="s">
        <v>122</v>
      </c>
      <c r="C98" s="5" t="s">
        <v>84</v>
      </c>
      <c r="D98" s="22">
        <v>2</v>
      </c>
    </row>
    <row r="99" spans="1:4">
      <c r="A99" s="21" t="s">
        <v>123</v>
      </c>
      <c r="B99" s="5" t="s">
        <v>124</v>
      </c>
      <c r="C99" s="5" t="s">
        <v>84</v>
      </c>
      <c r="D99" s="22">
        <v>2</v>
      </c>
    </row>
    <row r="100" spans="1:4">
      <c r="A100" s="21" t="s">
        <v>127</v>
      </c>
      <c r="B100" s="5" t="s">
        <v>128</v>
      </c>
      <c r="C100" s="5" t="s">
        <v>80</v>
      </c>
      <c r="D100" s="22">
        <v>2</v>
      </c>
    </row>
    <row r="101" spans="1:4">
      <c r="A101" s="21" t="s">
        <v>540</v>
      </c>
      <c r="B101" s="5" t="s">
        <v>146</v>
      </c>
      <c r="C101" s="5" t="s">
        <v>84</v>
      </c>
      <c r="D101" s="22">
        <v>2</v>
      </c>
    </row>
    <row r="102" spans="1:4">
      <c r="A102" s="21" t="s">
        <v>151</v>
      </c>
      <c r="B102" s="5" t="s">
        <v>152</v>
      </c>
      <c r="C102" s="5" t="s">
        <v>87</v>
      </c>
      <c r="D102" s="22">
        <v>2</v>
      </c>
    </row>
    <row r="103" spans="1:4">
      <c r="A103" s="21" t="s">
        <v>155</v>
      </c>
      <c r="B103" s="5" t="s">
        <v>156</v>
      </c>
      <c r="C103" s="5" t="s">
        <v>80</v>
      </c>
      <c r="D103" s="22">
        <v>2</v>
      </c>
    </row>
    <row r="104" spans="1:4">
      <c r="A104" s="21" t="s">
        <v>541</v>
      </c>
      <c r="B104" s="5" t="s">
        <v>184</v>
      </c>
      <c r="C104" s="5" t="s">
        <v>80</v>
      </c>
      <c r="D104" s="22">
        <v>2</v>
      </c>
    </row>
    <row r="105" spans="1:4">
      <c r="A105" s="21" t="s">
        <v>186</v>
      </c>
      <c r="B105" s="5" t="s">
        <v>187</v>
      </c>
      <c r="C105" s="5" t="s">
        <v>80</v>
      </c>
      <c r="D105" s="22">
        <v>2</v>
      </c>
    </row>
    <row r="106" spans="1:4">
      <c r="A106" s="21" t="s">
        <v>188</v>
      </c>
      <c r="B106" s="5" t="s">
        <v>189</v>
      </c>
      <c r="C106" s="5" t="s">
        <v>84</v>
      </c>
      <c r="D106" s="22">
        <v>2</v>
      </c>
    </row>
    <row r="107" spans="1:4">
      <c r="A107" s="21" t="s">
        <v>228</v>
      </c>
      <c r="B107" s="5" t="s">
        <v>229</v>
      </c>
      <c r="C107" s="5" t="s">
        <v>75</v>
      </c>
      <c r="D107" s="22">
        <v>2</v>
      </c>
    </row>
    <row r="108" spans="1:4">
      <c r="A108" s="21" t="s">
        <v>278</v>
      </c>
      <c r="B108" s="5" t="s">
        <v>279</v>
      </c>
      <c r="C108" s="5" t="s">
        <v>80</v>
      </c>
      <c r="D108" s="22">
        <v>2</v>
      </c>
    </row>
    <row r="109" spans="1:4">
      <c r="A109" s="21" t="s">
        <v>292</v>
      </c>
      <c r="B109" s="5" t="s">
        <v>293</v>
      </c>
      <c r="C109" s="5" t="s">
        <v>80</v>
      </c>
      <c r="D109" s="22">
        <v>2</v>
      </c>
    </row>
    <row r="110" spans="1:4">
      <c r="A110" s="21" t="s">
        <v>304</v>
      </c>
      <c r="B110" s="5" t="s">
        <v>305</v>
      </c>
      <c r="C110" s="5" t="s">
        <v>80</v>
      </c>
      <c r="D110" s="22">
        <v>2</v>
      </c>
    </row>
    <row r="111" spans="1:4">
      <c r="A111" s="21" t="s">
        <v>312</v>
      </c>
      <c r="B111" s="5" t="s">
        <v>313</v>
      </c>
      <c r="C111" s="5" t="s">
        <v>84</v>
      </c>
      <c r="D111" s="22">
        <v>2</v>
      </c>
    </row>
    <row r="112" spans="1:4">
      <c r="A112" s="21" t="s">
        <v>332</v>
      </c>
      <c r="B112" s="5" t="s">
        <v>333</v>
      </c>
      <c r="C112" s="5" t="s">
        <v>84</v>
      </c>
      <c r="D112" s="22">
        <v>2</v>
      </c>
    </row>
    <row r="113" spans="1:4">
      <c r="A113" s="21" t="s">
        <v>354</v>
      </c>
      <c r="B113" s="5" t="s">
        <v>355</v>
      </c>
      <c r="C113" s="5" t="s">
        <v>80</v>
      </c>
      <c r="D113" s="22">
        <v>2</v>
      </c>
    </row>
    <row r="114" spans="1:4">
      <c r="A114" s="21" t="s">
        <v>376</v>
      </c>
      <c r="B114" s="5" t="s">
        <v>377</v>
      </c>
      <c r="C114" s="5" t="s">
        <v>80</v>
      </c>
      <c r="D114" s="22">
        <v>2</v>
      </c>
    </row>
    <row r="115" spans="1:4">
      <c r="A115" s="21" t="s">
        <v>542</v>
      </c>
      <c r="B115" s="5" t="s">
        <v>421</v>
      </c>
      <c r="C115" s="5" t="s">
        <v>75</v>
      </c>
      <c r="D115" s="22">
        <v>2</v>
      </c>
    </row>
    <row r="116" spans="1:4">
      <c r="A116" s="21" t="s">
        <v>424</v>
      </c>
      <c r="B116" s="5" t="s">
        <v>425</v>
      </c>
      <c r="C116" s="5" t="s">
        <v>75</v>
      </c>
      <c r="D116" s="22">
        <v>2</v>
      </c>
    </row>
    <row r="117" spans="1:4">
      <c r="A117" s="21" t="s">
        <v>88</v>
      </c>
      <c r="B117" s="5" t="s">
        <v>89</v>
      </c>
      <c r="C117" s="5" t="s">
        <v>84</v>
      </c>
      <c r="D117" s="22">
        <v>3</v>
      </c>
    </row>
    <row r="118" spans="1:4">
      <c r="A118" s="21" t="s">
        <v>119</v>
      </c>
      <c r="B118" s="5" t="s">
        <v>120</v>
      </c>
      <c r="C118" s="5" t="s">
        <v>75</v>
      </c>
      <c r="D118" s="22">
        <v>3</v>
      </c>
    </row>
    <row r="119" spans="1:4">
      <c r="A119" s="21" t="s">
        <v>414</v>
      </c>
      <c r="B119" s="5" t="s">
        <v>415</v>
      </c>
      <c r="C119" s="5" t="s">
        <v>84</v>
      </c>
      <c r="D119" s="22">
        <v>3</v>
      </c>
    </row>
    <row r="120" spans="1:4">
      <c r="A120" s="21" t="s">
        <v>135</v>
      </c>
      <c r="B120" s="5" t="s">
        <v>136</v>
      </c>
      <c r="C120" s="5" t="s">
        <v>75</v>
      </c>
      <c r="D120" s="22">
        <v>3</v>
      </c>
    </row>
    <row r="121" spans="1:4">
      <c r="A121" s="21" t="s">
        <v>137</v>
      </c>
      <c r="B121" s="5" t="s">
        <v>138</v>
      </c>
      <c r="C121" s="5" t="s">
        <v>75</v>
      </c>
      <c r="D121" s="22">
        <v>3</v>
      </c>
    </row>
    <row r="122" spans="1:4">
      <c r="A122" s="21" t="s">
        <v>141</v>
      </c>
      <c r="B122" s="5" t="s">
        <v>142</v>
      </c>
      <c r="C122" s="5" t="s">
        <v>84</v>
      </c>
      <c r="D122" s="22">
        <v>3</v>
      </c>
    </row>
    <row r="123" spans="1:4">
      <c r="A123" s="21" t="s">
        <v>543</v>
      </c>
      <c r="B123" s="5" t="s">
        <v>148</v>
      </c>
      <c r="C123" s="5" t="s">
        <v>75</v>
      </c>
      <c r="D123" s="22">
        <v>3</v>
      </c>
    </row>
    <row r="124" spans="1:4">
      <c r="A124" s="21" t="s">
        <v>157</v>
      </c>
      <c r="B124" s="5" t="s">
        <v>158</v>
      </c>
      <c r="C124" s="5" t="s">
        <v>84</v>
      </c>
      <c r="D124" s="22">
        <v>3</v>
      </c>
    </row>
    <row r="125" spans="1:4">
      <c r="A125" s="21" t="s">
        <v>159</v>
      </c>
      <c r="B125" s="5" t="s">
        <v>160</v>
      </c>
      <c r="C125" s="5" t="s">
        <v>84</v>
      </c>
      <c r="D125" s="22">
        <v>3</v>
      </c>
    </row>
    <row r="126" spans="1:4">
      <c r="A126" s="21" t="s">
        <v>544</v>
      </c>
      <c r="B126" s="5" t="s">
        <v>166</v>
      </c>
      <c r="C126" s="5" t="s">
        <v>84</v>
      </c>
      <c r="D126" s="22">
        <v>3</v>
      </c>
    </row>
    <row r="127" spans="1:4">
      <c r="A127" s="21" t="s">
        <v>181</v>
      </c>
      <c r="B127" s="5" t="s">
        <v>182</v>
      </c>
      <c r="C127" s="5" t="s">
        <v>84</v>
      </c>
      <c r="D127" s="22">
        <v>3</v>
      </c>
    </row>
    <row r="128" spans="1:4">
      <c r="A128" s="21" t="s">
        <v>192</v>
      </c>
      <c r="B128" s="5" t="s">
        <v>193</v>
      </c>
      <c r="C128" s="5" t="s">
        <v>80</v>
      </c>
      <c r="D128" s="22">
        <v>3</v>
      </c>
    </row>
    <row r="129" spans="1:4">
      <c r="A129" s="21" t="s">
        <v>194</v>
      </c>
      <c r="B129" s="5" t="s">
        <v>195</v>
      </c>
      <c r="C129" s="5" t="s">
        <v>75</v>
      </c>
      <c r="D129" s="22">
        <v>3</v>
      </c>
    </row>
    <row r="130" spans="1:4">
      <c r="A130" s="21" t="s">
        <v>206</v>
      </c>
      <c r="B130" s="5" t="s">
        <v>207</v>
      </c>
      <c r="C130" s="5" t="s">
        <v>80</v>
      </c>
      <c r="D130" s="22">
        <v>3</v>
      </c>
    </row>
    <row r="131" spans="1:4">
      <c r="A131" s="21" t="s">
        <v>208</v>
      </c>
      <c r="B131" s="5" t="s">
        <v>209</v>
      </c>
      <c r="C131" s="5" t="s">
        <v>75</v>
      </c>
      <c r="D131" s="22">
        <v>3</v>
      </c>
    </row>
    <row r="132" spans="1:4">
      <c r="A132" s="21" t="s">
        <v>214</v>
      </c>
      <c r="B132" s="5" t="s">
        <v>215</v>
      </c>
      <c r="C132" s="5" t="s">
        <v>84</v>
      </c>
      <c r="D132" s="22">
        <v>3</v>
      </c>
    </row>
    <row r="133" spans="1:4">
      <c r="A133" s="21" t="s">
        <v>222</v>
      </c>
      <c r="B133" s="5" t="s">
        <v>223</v>
      </c>
      <c r="C133" s="5" t="s">
        <v>75</v>
      </c>
      <c r="D133" s="22">
        <v>3</v>
      </c>
    </row>
    <row r="134" spans="1:4">
      <c r="A134" s="21" t="s">
        <v>224</v>
      </c>
      <c r="B134" s="5" t="s">
        <v>225</v>
      </c>
      <c r="C134" s="5" t="s">
        <v>75</v>
      </c>
      <c r="D134" s="22">
        <v>3</v>
      </c>
    </row>
    <row r="135" spans="1:4">
      <c r="A135" s="21" t="s">
        <v>258</v>
      </c>
      <c r="B135" s="5" t="s">
        <v>259</v>
      </c>
      <c r="C135" s="5" t="s">
        <v>84</v>
      </c>
      <c r="D135" s="22">
        <v>3</v>
      </c>
    </row>
    <row r="136" spans="1:4">
      <c r="A136" s="21" t="s">
        <v>274</v>
      </c>
      <c r="B136" s="5" t="s">
        <v>275</v>
      </c>
      <c r="C136" s="5" t="s">
        <v>84</v>
      </c>
      <c r="D136" s="22">
        <v>3</v>
      </c>
    </row>
    <row r="137" spans="1:4">
      <c r="A137" s="21" t="s">
        <v>276</v>
      </c>
      <c r="B137" s="5" t="s">
        <v>277</v>
      </c>
      <c r="C137" s="5" t="s">
        <v>75</v>
      </c>
      <c r="D137" s="22">
        <v>3</v>
      </c>
    </row>
    <row r="138" spans="1:4">
      <c r="A138" s="21" t="s">
        <v>286</v>
      </c>
      <c r="B138" s="5" t="s">
        <v>287</v>
      </c>
      <c r="C138" s="5" t="s">
        <v>75</v>
      </c>
      <c r="D138" s="22">
        <v>3</v>
      </c>
    </row>
    <row r="139" spans="1:4">
      <c r="A139" s="21" t="s">
        <v>288</v>
      </c>
      <c r="B139" s="5" t="s">
        <v>289</v>
      </c>
      <c r="C139" s="5" t="s">
        <v>75</v>
      </c>
      <c r="D139" s="22">
        <v>3</v>
      </c>
    </row>
    <row r="140" spans="1:4">
      <c r="A140" s="21" t="s">
        <v>294</v>
      </c>
      <c r="B140" s="5" t="s">
        <v>295</v>
      </c>
      <c r="C140" s="5" t="s">
        <v>75</v>
      </c>
      <c r="D140" s="22">
        <v>3</v>
      </c>
    </row>
    <row r="141" spans="1:4">
      <c r="A141" s="21" t="s">
        <v>300</v>
      </c>
      <c r="B141" s="5" t="s">
        <v>301</v>
      </c>
      <c r="C141" s="5" t="s">
        <v>84</v>
      </c>
      <c r="D141" s="22">
        <v>3</v>
      </c>
    </row>
    <row r="142" spans="1:4">
      <c r="A142" s="21" t="s">
        <v>316</v>
      </c>
      <c r="B142" s="5" t="s">
        <v>317</v>
      </c>
      <c r="C142" s="5" t="s">
        <v>84</v>
      </c>
      <c r="D142" s="22">
        <v>3</v>
      </c>
    </row>
    <row r="143" spans="1:4">
      <c r="A143" s="21" t="s">
        <v>322</v>
      </c>
      <c r="B143" s="5" t="s">
        <v>323</v>
      </c>
      <c r="C143" s="5" t="s">
        <v>80</v>
      </c>
      <c r="D143" s="22">
        <v>3</v>
      </c>
    </row>
    <row r="144" spans="1:4">
      <c r="A144" s="21" t="s">
        <v>334</v>
      </c>
      <c r="B144" s="5" t="s">
        <v>335</v>
      </c>
      <c r="C144" s="5" t="s">
        <v>75</v>
      </c>
      <c r="D144" s="22">
        <v>3</v>
      </c>
    </row>
    <row r="145" spans="1:4">
      <c r="A145" s="21" t="s">
        <v>368</v>
      </c>
      <c r="B145" s="5" t="s">
        <v>369</v>
      </c>
      <c r="C145" s="5" t="s">
        <v>75</v>
      </c>
      <c r="D145" s="22">
        <v>3</v>
      </c>
    </row>
    <row r="146" spans="1:4">
      <c r="A146" s="21" t="s">
        <v>545</v>
      </c>
      <c r="B146" s="5" t="s">
        <v>381</v>
      </c>
      <c r="C146" s="5" t="s">
        <v>84</v>
      </c>
      <c r="D146" s="22">
        <v>3</v>
      </c>
    </row>
    <row r="147" spans="1:4">
      <c r="A147" s="21" t="s">
        <v>384</v>
      </c>
      <c r="B147" s="5" t="s">
        <v>385</v>
      </c>
      <c r="C147" s="5" t="s">
        <v>84</v>
      </c>
      <c r="D147" s="22">
        <v>3</v>
      </c>
    </row>
    <row r="148" spans="1:4">
      <c r="A148" s="21" t="s">
        <v>390</v>
      </c>
      <c r="B148" s="5" t="s">
        <v>391</v>
      </c>
      <c r="C148" s="5" t="s">
        <v>75</v>
      </c>
      <c r="D148" s="22">
        <v>3</v>
      </c>
    </row>
    <row r="149" spans="1:4">
      <c r="A149" s="21" t="s">
        <v>398</v>
      </c>
      <c r="B149" s="5" t="s">
        <v>399</v>
      </c>
      <c r="C149" s="5" t="s">
        <v>75</v>
      </c>
      <c r="D149" s="22">
        <v>3</v>
      </c>
    </row>
    <row r="150" spans="1:4">
      <c r="A150" s="21" t="s">
        <v>410</v>
      </c>
      <c r="B150" s="5" t="s">
        <v>411</v>
      </c>
      <c r="C150" s="5" t="s">
        <v>75</v>
      </c>
      <c r="D150" s="22">
        <v>3</v>
      </c>
    </row>
    <row r="151" spans="1:4">
      <c r="A151" s="21" t="s">
        <v>408</v>
      </c>
      <c r="B151" s="5" t="s">
        <v>409</v>
      </c>
      <c r="C151" s="5" t="s">
        <v>84</v>
      </c>
      <c r="D151" s="22">
        <v>3</v>
      </c>
    </row>
    <row r="152" spans="1:4">
      <c r="A152" s="21" t="s">
        <v>430</v>
      </c>
      <c r="B152" s="5" t="s">
        <v>431</v>
      </c>
      <c r="C152" s="5" t="s">
        <v>75</v>
      </c>
      <c r="D152" s="22">
        <v>3</v>
      </c>
    </row>
    <row r="153" spans="1:4">
      <c r="A153" s="21" t="s">
        <v>436</v>
      </c>
      <c r="B153" s="5" t="s">
        <v>437</v>
      </c>
      <c r="C153" s="5" t="s">
        <v>84</v>
      </c>
      <c r="D153" s="22">
        <v>3</v>
      </c>
    </row>
    <row r="154" spans="1:4">
      <c r="A154" s="21" t="s">
        <v>464</v>
      </c>
      <c r="B154" s="5" t="s">
        <v>465</v>
      </c>
      <c r="C154" s="5" t="s">
        <v>75</v>
      </c>
      <c r="D154" s="22">
        <v>3</v>
      </c>
    </row>
    <row r="155" spans="1:4">
      <c r="A155" s="21" t="s">
        <v>466</v>
      </c>
      <c r="B155" s="5" t="s">
        <v>467</v>
      </c>
      <c r="C155" s="5" t="s">
        <v>84</v>
      </c>
      <c r="D155" s="22">
        <v>3</v>
      </c>
    </row>
    <row r="156" spans="1:4">
      <c r="A156" s="21" t="s">
        <v>468</v>
      </c>
      <c r="B156" s="5" t="s">
        <v>469</v>
      </c>
      <c r="C156" s="5" t="s">
        <v>84</v>
      </c>
      <c r="D156" s="22">
        <v>3</v>
      </c>
    </row>
    <row r="157" spans="1:4">
      <c r="A157" s="21" t="s">
        <v>139</v>
      </c>
      <c r="B157" s="5" t="s">
        <v>140</v>
      </c>
      <c r="C157" s="5" t="s">
        <v>84</v>
      </c>
      <c r="D157" s="22">
        <v>4</v>
      </c>
    </row>
    <row r="158" spans="1:4">
      <c r="A158" s="21" t="s">
        <v>200</v>
      </c>
      <c r="B158" s="5" t="s">
        <v>201</v>
      </c>
      <c r="C158" s="5" t="s">
        <v>80</v>
      </c>
      <c r="D158" s="22">
        <v>4</v>
      </c>
    </row>
    <row r="159" spans="1:4">
      <c r="A159" s="21" t="s">
        <v>252</v>
      </c>
      <c r="B159" s="5" t="s">
        <v>253</v>
      </c>
      <c r="C159" s="5" t="s">
        <v>87</v>
      </c>
      <c r="D159" s="22">
        <v>4</v>
      </c>
    </row>
    <row r="160" spans="1:4">
      <c r="A160" s="21" t="s">
        <v>260</v>
      </c>
      <c r="B160" s="5" t="s">
        <v>261</v>
      </c>
      <c r="C160" s="5" t="s">
        <v>84</v>
      </c>
      <c r="D160" s="22">
        <v>4</v>
      </c>
    </row>
    <row r="161" spans="1:4">
      <c r="A161" s="21" t="s">
        <v>546</v>
      </c>
      <c r="B161" s="5" t="s">
        <v>269</v>
      </c>
      <c r="C161" s="5" t="s">
        <v>84</v>
      </c>
      <c r="D161" s="22">
        <v>4</v>
      </c>
    </row>
    <row r="162" spans="1:4">
      <c r="A162" s="21" t="s">
        <v>320</v>
      </c>
      <c r="B162" s="5" t="s">
        <v>321</v>
      </c>
      <c r="C162" s="5" t="s">
        <v>84</v>
      </c>
      <c r="D162" s="22">
        <v>4</v>
      </c>
    </row>
    <row r="163" spans="1:4">
      <c r="A163" s="21" t="s">
        <v>326</v>
      </c>
      <c r="B163" s="5" t="s">
        <v>327</v>
      </c>
      <c r="C163" s="5" t="s">
        <v>75</v>
      </c>
      <c r="D163" s="22">
        <v>4</v>
      </c>
    </row>
    <row r="164" spans="1:4">
      <c r="A164" s="21" t="s">
        <v>547</v>
      </c>
      <c r="B164" s="5" t="s">
        <v>176</v>
      </c>
      <c r="C164" s="5" t="s">
        <v>75</v>
      </c>
      <c r="D164" s="22">
        <v>4</v>
      </c>
    </row>
    <row r="165" spans="1:4">
      <c r="A165" s="21" t="s">
        <v>350</v>
      </c>
      <c r="B165" s="5" t="s">
        <v>351</v>
      </c>
      <c r="C165" s="5" t="s">
        <v>84</v>
      </c>
      <c r="D165" s="22">
        <v>4</v>
      </c>
    </row>
    <row r="166" spans="1:4">
      <c r="A166" s="21" t="s">
        <v>400</v>
      </c>
      <c r="B166" s="5" t="s">
        <v>401</v>
      </c>
      <c r="C166" s="5" t="s">
        <v>84</v>
      </c>
      <c r="D166" s="22">
        <v>4</v>
      </c>
    </row>
    <row r="167" spans="1:4">
      <c r="A167" s="21" t="s">
        <v>428</v>
      </c>
      <c r="B167" s="5" t="s">
        <v>429</v>
      </c>
      <c r="C167" s="5" t="s">
        <v>84</v>
      </c>
      <c r="D167" s="22">
        <v>4</v>
      </c>
    </row>
    <row r="168" spans="1:4">
      <c r="A168" s="21" t="s">
        <v>458</v>
      </c>
      <c r="B168" s="5" t="s">
        <v>459</v>
      </c>
      <c r="C168" s="5" t="s">
        <v>84</v>
      </c>
      <c r="D168" s="22">
        <v>4</v>
      </c>
    </row>
    <row r="169" spans="1:4">
      <c r="A169" s="21" t="s">
        <v>462</v>
      </c>
      <c r="B169" s="5" t="s">
        <v>463</v>
      </c>
      <c r="C169" s="5" t="s">
        <v>84</v>
      </c>
      <c r="D169" s="22">
        <v>4</v>
      </c>
    </row>
    <row r="170" spans="1:4">
      <c r="A170" s="21" t="s">
        <v>72</v>
      </c>
      <c r="B170" s="5" t="s">
        <v>73</v>
      </c>
      <c r="C170" s="5" t="s">
        <v>75</v>
      </c>
      <c r="D170" s="22" t="s">
        <v>548</v>
      </c>
    </row>
    <row r="171" spans="1:4">
      <c r="A171" s="21" t="s">
        <v>108</v>
      </c>
      <c r="B171" s="5" t="s">
        <v>109</v>
      </c>
      <c r="C171" s="5" t="s">
        <v>84</v>
      </c>
      <c r="D171" s="22" t="s">
        <v>548</v>
      </c>
    </row>
    <row r="172" spans="1:4">
      <c r="A172" s="21" t="s">
        <v>129</v>
      </c>
      <c r="B172" s="5" t="s">
        <v>130</v>
      </c>
      <c r="C172" s="5" t="s">
        <v>80</v>
      </c>
      <c r="D172" s="22" t="s">
        <v>548</v>
      </c>
    </row>
    <row r="173" spans="1:4">
      <c r="A173" s="21" t="s">
        <v>149</v>
      </c>
      <c r="B173" s="5" t="s">
        <v>150</v>
      </c>
      <c r="C173" s="5" t="s">
        <v>75</v>
      </c>
      <c r="D173" s="22" t="s">
        <v>548</v>
      </c>
    </row>
    <row r="174" spans="1:4">
      <c r="A174" s="21" t="s">
        <v>526</v>
      </c>
      <c r="B174" s="5" t="s">
        <v>178</v>
      </c>
      <c r="C174" s="5" t="s">
        <v>75</v>
      </c>
      <c r="D174" s="22" t="s">
        <v>548</v>
      </c>
    </row>
    <row r="175" spans="1:4">
      <c r="A175" s="21" t="s">
        <v>198</v>
      </c>
      <c r="B175" s="5" t="s">
        <v>199</v>
      </c>
      <c r="C175" s="5" t="s">
        <v>75</v>
      </c>
      <c r="D175" s="22" t="s">
        <v>548</v>
      </c>
    </row>
    <row r="176" spans="1:4">
      <c r="A176" s="21" t="s">
        <v>236</v>
      </c>
      <c r="B176" s="5" t="s">
        <v>237</v>
      </c>
      <c r="C176" s="5" t="s">
        <v>84</v>
      </c>
      <c r="D176" s="22" t="s">
        <v>548</v>
      </c>
    </row>
    <row r="177" spans="1:4">
      <c r="A177" s="21" t="s">
        <v>238</v>
      </c>
      <c r="B177" s="5" t="s">
        <v>239</v>
      </c>
      <c r="C177" s="5" t="s">
        <v>84</v>
      </c>
      <c r="D177" s="22" t="s">
        <v>548</v>
      </c>
    </row>
    <row r="178" spans="1:4">
      <c r="A178" s="21" t="s">
        <v>318</v>
      </c>
      <c r="B178" s="5" t="s">
        <v>319</v>
      </c>
      <c r="C178" s="5" t="s">
        <v>75</v>
      </c>
      <c r="D178" s="22" t="s">
        <v>548</v>
      </c>
    </row>
    <row r="179" spans="1:4">
      <c r="A179" s="21" t="s">
        <v>336</v>
      </c>
      <c r="B179" s="5" t="s">
        <v>337</v>
      </c>
      <c r="C179" s="5" t="s">
        <v>84</v>
      </c>
      <c r="D179" s="22" t="s">
        <v>548</v>
      </c>
    </row>
    <row r="180" spans="1:4">
      <c r="A180" s="21" t="s">
        <v>344</v>
      </c>
      <c r="B180" s="5" t="s">
        <v>345</v>
      </c>
      <c r="C180" s="5" t="s">
        <v>84</v>
      </c>
      <c r="D180" s="22" t="s">
        <v>548</v>
      </c>
    </row>
    <row r="181" spans="1:4">
      <c r="A181" s="21" t="s">
        <v>356</v>
      </c>
      <c r="B181" s="5" t="s">
        <v>357</v>
      </c>
      <c r="C181" s="5" t="s">
        <v>84</v>
      </c>
      <c r="D181" s="22" t="s">
        <v>548</v>
      </c>
    </row>
    <row r="182" spans="1:4">
      <c r="A182" s="21" t="s">
        <v>402</v>
      </c>
      <c r="B182" s="5" t="s">
        <v>403</v>
      </c>
      <c r="C182" s="5" t="s">
        <v>80</v>
      </c>
      <c r="D182" s="22" t="s">
        <v>548</v>
      </c>
    </row>
    <row r="183" spans="1:4">
      <c r="A183" s="21" t="s">
        <v>528</v>
      </c>
      <c r="B183" s="5" t="s">
        <v>423</v>
      </c>
      <c r="C183" s="5" t="s">
        <v>75</v>
      </c>
      <c r="D183" s="22" t="s">
        <v>548</v>
      </c>
    </row>
    <row r="184" spans="1:4">
      <c r="A184" s="21" t="s">
        <v>444</v>
      </c>
      <c r="B184" s="5" t="s">
        <v>445</v>
      </c>
      <c r="C184" s="5" t="s">
        <v>75</v>
      </c>
      <c r="D184" s="22" t="s">
        <v>548</v>
      </c>
    </row>
    <row r="185" spans="1:4" ht="15.95" thickBot="1">
      <c r="A185" s="23" t="s">
        <v>453</v>
      </c>
      <c r="B185" s="5" t="s">
        <v>453</v>
      </c>
      <c r="C185" s="24" t="s">
        <v>87</v>
      </c>
      <c r="D185" s="25" t="s">
        <v>548</v>
      </c>
    </row>
  </sheetData>
  <autoFilter ref="A2:D185" xr:uid="{E6FBF0F7-5191-FE41-B790-FF47E8F8D950}"/>
  <sortState xmlns:xlrd2="http://schemas.microsoft.com/office/spreadsheetml/2017/richdata2" ref="N4:Q44">
    <sortCondition ref="N5:N44"/>
  </sortState>
  <mergeCells count="5">
    <mergeCell ref="A1:D1"/>
    <mergeCell ref="F1:L1"/>
    <mergeCell ref="N1:Q1"/>
    <mergeCell ref="W1:AA1"/>
    <mergeCell ref="S1:U1"/>
  </mergeCells>
  <pageMargins left="0.7" right="0.7" top="0.75" bottom="0.75" header="0.3" footer="0.3"/>
  <pageSetup orientation="portrait" horizontalDpi="0" verticalDpi="0"/>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61DB6-F1A8-A647-9006-CB3528EEB4F6}">
  <sheetPr>
    <tabColor theme="5" tint="0.79998168889431442"/>
  </sheetPr>
  <dimension ref="A1:V198"/>
  <sheetViews>
    <sheetView zoomScale="85" zoomScaleNormal="85" workbookViewId="0">
      <selection activeCell="G23" sqref="G23"/>
    </sheetView>
  </sheetViews>
  <sheetFormatPr defaultColWidth="10.85546875" defaultRowHeight="15"/>
  <cols>
    <col min="2" max="2" width="20.7109375" customWidth="1"/>
    <col min="6" max="16" width="13.7109375" bestFit="1" customWidth="1"/>
  </cols>
  <sheetData>
    <row r="1" spans="1:22">
      <c r="A1" t="s">
        <v>470</v>
      </c>
      <c r="B1" t="s">
        <v>549</v>
      </c>
      <c r="C1" t="s">
        <v>550</v>
      </c>
    </row>
    <row r="2" spans="1:22">
      <c r="A2" t="s">
        <v>471</v>
      </c>
      <c r="B2" t="s">
        <v>551</v>
      </c>
    </row>
    <row r="4" spans="1:22" s="88" customFormat="1">
      <c r="A4" s="86" t="s">
        <v>473</v>
      </c>
      <c r="B4" s="87" t="s">
        <v>64</v>
      </c>
      <c r="C4" s="86" t="s">
        <v>66</v>
      </c>
      <c r="D4" s="86" t="s">
        <v>67</v>
      </c>
      <c r="E4" s="86" t="s">
        <v>68</v>
      </c>
      <c r="F4" s="88">
        <v>2030</v>
      </c>
      <c r="G4" s="88">
        <f>F4+1</f>
        <v>2031</v>
      </c>
      <c r="H4" s="88">
        <f t="shared" ref="H4:N4" si="0">G4+1</f>
        <v>2032</v>
      </c>
      <c r="I4" s="88">
        <f t="shared" si="0"/>
        <v>2033</v>
      </c>
      <c r="J4" s="88">
        <f t="shared" si="0"/>
        <v>2034</v>
      </c>
      <c r="K4" s="88">
        <f t="shared" si="0"/>
        <v>2035</v>
      </c>
      <c r="L4" s="88">
        <f t="shared" si="0"/>
        <v>2036</v>
      </c>
      <c r="M4" s="88">
        <f t="shared" si="0"/>
        <v>2037</v>
      </c>
      <c r="N4" s="88">
        <f t="shared" si="0"/>
        <v>2038</v>
      </c>
      <c r="O4" s="88">
        <f t="shared" ref="O4:P4" si="1">N4+1</f>
        <v>2039</v>
      </c>
      <c r="P4" s="88">
        <f t="shared" si="1"/>
        <v>2040</v>
      </c>
    </row>
    <row r="5" spans="1:22">
      <c r="A5" s="84" t="s">
        <v>73</v>
      </c>
      <c r="B5" s="85" t="s">
        <v>72</v>
      </c>
      <c r="C5" s="85" t="s">
        <v>74</v>
      </c>
      <c r="D5" s="84" t="s">
        <v>75</v>
      </c>
      <c r="E5" s="84" t="str">
        <f>VLOOKUP(A5,'2a. SI Pop'!$A$5:$E$198,5,FALSE)</f>
        <v>Key</v>
      </c>
      <c r="F5" s="76">
        <f>100/(100-40)</f>
        <v>1.6666666666666667</v>
      </c>
      <c r="G5" s="76">
        <f>F5</f>
        <v>1.6666666666666667</v>
      </c>
      <c r="H5" s="76">
        <f t="shared" ref="H5:P5" si="2">G5</f>
        <v>1.6666666666666667</v>
      </c>
      <c r="I5" s="76">
        <f t="shared" si="2"/>
        <v>1.6666666666666667</v>
      </c>
      <c r="J5" s="76">
        <f t="shared" si="2"/>
        <v>1.6666666666666667</v>
      </c>
      <c r="K5" s="76">
        <f t="shared" si="2"/>
        <v>1.6666666666666667</v>
      </c>
      <c r="L5" s="76">
        <f t="shared" si="2"/>
        <v>1.6666666666666667</v>
      </c>
      <c r="M5" s="76">
        <f t="shared" si="2"/>
        <v>1.6666666666666667</v>
      </c>
      <c r="N5" s="76">
        <f t="shared" si="2"/>
        <v>1.6666666666666667</v>
      </c>
      <c r="O5" s="76">
        <f t="shared" si="2"/>
        <v>1.6666666666666667</v>
      </c>
      <c r="P5" s="76">
        <f t="shared" si="2"/>
        <v>1.6666666666666667</v>
      </c>
      <c r="Q5" s="76"/>
      <c r="R5" s="76"/>
      <c r="S5" s="76"/>
      <c r="T5" s="76"/>
      <c r="U5" s="76"/>
      <c r="V5" s="76"/>
    </row>
    <row r="6" spans="1:22">
      <c r="A6" s="84" t="s">
        <v>78</v>
      </c>
      <c r="B6" s="85" t="s">
        <v>77</v>
      </c>
      <c r="C6" s="85" t="s">
        <v>79</v>
      </c>
      <c r="D6" s="84" t="s">
        <v>80</v>
      </c>
      <c r="E6" s="84">
        <f>VLOOKUP(A6,'2a. SI Pop'!$A$5:$E$198,5,FALSE)</f>
        <v>1</v>
      </c>
      <c r="F6" s="76">
        <v>1.05</v>
      </c>
      <c r="G6" s="76">
        <f t="shared" ref="G6:P6" si="3">F6</f>
        <v>1.05</v>
      </c>
      <c r="H6" s="76">
        <f t="shared" si="3"/>
        <v>1.05</v>
      </c>
      <c r="I6" s="76">
        <f t="shared" si="3"/>
        <v>1.05</v>
      </c>
      <c r="J6" s="76">
        <f t="shared" si="3"/>
        <v>1.05</v>
      </c>
      <c r="K6" s="76">
        <f t="shared" si="3"/>
        <v>1.05</v>
      </c>
      <c r="L6" s="76">
        <f t="shared" si="3"/>
        <v>1.05</v>
      </c>
      <c r="M6" s="76">
        <f t="shared" si="3"/>
        <v>1.05</v>
      </c>
      <c r="N6" s="76">
        <f t="shared" si="3"/>
        <v>1.05</v>
      </c>
      <c r="O6" s="76">
        <f t="shared" si="3"/>
        <v>1.05</v>
      </c>
      <c r="P6" s="76">
        <f t="shared" si="3"/>
        <v>1.05</v>
      </c>
      <c r="Q6" s="76"/>
      <c r="R6" s="76"/>
      <c r="S6" s="76"/>
      <c r="T6" s="76"/>
      <c r="U6" s="76"/>
      <c r="V6" s="76"/>
    </row>
    <row r="7" spans="1:22">
      <c r="A7" s="84" t="s">
        <v>82</v>
      </c>
      <c r="B7" s="85" t="s">
        <v>81</v>
      </c>
      <c r="C7" s="85" t="s">
        <v>83</v>
      </c>
      <c r="D7" s="84" t="s">
        <v>84</v>
      </c>
      <c r="E7" s="84">
        <f>VLOOKUP(A7,'2a. SI Pop'!$A$5:$E$198,5,FALSE)</f>
        <v>2</v>
      </c>
      <c r="F7" s="76">
        <f>100/(100-40)</f>
        <v>1.6666666666666667</v>
      </c>
      <c r="G7" s="76">
        <f t="shared" ref="G7:P7" si="4">F7</f>
        <v>1.6666666666666667</v>
      </c>
      <c r="H7" s="76">
        <f t="shared" si="4"/>
        <v>1.6666666666666667</v>
      </c>
      <c r="I7" s="76">
        <f t="shared" si="4"/>
        <v>1.6666666666666667</v>
      </c>
      <c r="J7" s="76">
        <f t="shared" si="4"/>
        <v>1.6666666666666667</v>
      </c>
      <c r="K7" s="76">
        <f t="shared" si="4"/>
        <v>1.6666666666666667</v>
      </c>
      <c r="L7" s="76">
        <f t="shared" si="4"/>
        <v>1.6666666666666667</v>
      </c>
      <c r="M7" s="76">
        <f t="shared" si="4"/>
        <v>1.6666666666666667</v>
      </c>
      <c r="N7" s="76">
        <f t="shared" si="4"/>
        <v>1.6666666666666667</v>
      </c>
      <c r="O7" s="76">
        <f t="shared" si="4"/>
        <v>1.6666666666666667</v>
      </c>
      <c r="P7" s="76">
        <f t="shared" si="4"/>
        <v>1.6666666666666667</v>
      </c>
      <c r="Q7" s="76"/>
      <c r="R7" s="76"/>
      <c r="S7" s="76"/>
      <c r="T7" s="76"/>
      <c r="U7" s="76"/>
      <c r="V7" s="76"/>
    </row>
    <row r="8" spans="1:22">
      <c r="A8" s="84" t="s">
        <v>86</v>
      </c>
      <c r="B8" s="85" t="s">
        <v>85</v>
      </c>
      <c r="C8" s="85" t="s">
        <v>79</v>
      </c>
      <c r="D8" s="84" t="s">
        <v>87</v>
      </c>
      <c r="E8" s="84">
        <f>VLOOKUP(A8,'2a. SI Pop'!$A$5:$E$198,5,FALSE)</f>
        <v>1</v>
      </c>
      <c r="F8" s="76">
        <v>1.05</v>
      </c>
      <c r="G8" s="76">
        <f t="shared" ref="G8:P8" si="5">F8</f>
        <v>1.05</v>
      </c>
      <c r="H8" s="76">
        <f t="shared" si="5"/>
        <v>1.05</v>
      </c>
      <c r="I8" s="76">
        <f t="shared" si="5"/>
        <v>1.05</v>
      </c>
      <c r="J8" s="76">
        <f t="shared" si="5"/>
        <v>1.05</v>
      </c>
      <c r="K8" s="76">
        <f t="shared" si="5"/>
        <v>1.05</v>
      </c>
      <c r="L8" s="76">
        <f t="shared" si="5"/>
        <v>1.05</v>
      </c>
      <c r="M8" s="76">
        <f t="shared" si="5"/>
        <v>1.05</v>
      </c>
      <c r="N8" s="76">
        <f t="shared" si="5"/>
        <v>1.05</v>
      </c>
      <c r="O8" s="76">
        <f t="shared" si="5"/>
        <v>1.05</v>
      </c>
      <c r="P8" s="76">
        <f t="shared" si="5"/>
        <v>1.05</v>
      </c>
      <c r="Q8" s="76"/>
      <c r="R8" s="76"/>
      <c r="S8" s="76"/>
      <c r="T8" s="76"/>
      <c r="U8" s="76"/>
      <c r="V8" s="76"/>
    </row>
    <row r="9" spans="1:22">
      <c r="A9" s="84" t="s">
        <v>89</v>
      </c>
      <c r="B9" s="85" t="s">
        <v>88</v>
      </c>
      <c r="C9" s="85" t="s">
        <v>83</v>
      </c>
      <c r="D9" s="84" t="s">
        <v>84</v>
      </c>
      <c r="E9" s="84">
        <f>VLOOKUP(A9,'2a. SI Pop'!$A$5:$E$198,5,FALSE)</f>
        <v>3</v>
      </c>
      <c r="F9" s="76">
        <f>100/(100-40)</f>
        <v>1.6666666666666667</v>
      </c>
      <c r="G9" s="76">
        <f t="shared" ref="G9:P9" si="6">F9</f>
        <v>1.6666666666666667</v>
      </c>
      <c r="H9" s="76">
        <f t="shared" si="6"/>
        <v>1.6666666666666667</v>
      </c>
      <c r="I9" s="76">
        <f t="shared" si="6"/>
        <v>1.6666666666666667</v>
      </c>
      <c r="J9" s="76">
        <f t="shared" si="6"/>
        <v>1.6666666666666667</v>
      </c>
      <c r="K9" s="76">
        <f t="shared" si="6"/>
        <v>1.6666666666666667</v>
      </c>
      <c r="L9" s="76">
        <f t="shared" si="6"/>
        <v>1.6666666666666667</v>
      </c>
      <c r="M9" s="76">
        <f t="shared" si="6"/>
        <v>1.6666666666666667</v>
      </c>
      <c r="N9" s="76">
        <f t="shared" si="6"/>
        <v>1.6666666666666667</v>
      </c>
      <c r="O9" s="76">
        <f t="shared" si="6"/>
        <v>1.6666666666666667</v>
      </c>
      <c r="P9" s="76">
        <f t="shared" si="6"/>
        <v>1.6666666666666667</v>
      </c>
      <c r="Q9" s="76"/>
      <c r="R9" s="76"/>
      <c r="S9" s="76"/>
      <c r="T9" s="76"/>
      <c r="U9" s="76"/>
      <c r="V9" s="76"/>
    </row>
    <row r="10" spans="1:22">
      <c r="A10" s="84" t="s">
        <v>91</v>
      </c>
      <c r="B10" s="85" t="s">
        <v>90</v>
      </c>
      <c r="C10" s="85" t="s">
        <v>92</v>
      </c>
      <c r="D10" s="84" t="s">
        <v>87</v>
      </c>
      <c r="E10" s="84">
        <f>VLOOKUP(A10,'2a. SI Pop'!$A$5:$E$198,5,FALSE)</f>
        <v>1</v>
      </c>
      <c r="F10" s="76">
        <v>1.05</v>
      </c>
      <c r="G10" s="76">
        <f t="shared" ref="G10:P10" si="7">F10</f>
        <v>1.05</v>
      </c>
      <c r="H10" s="76">
        <f t="shared" si="7"/>
        <v>1.05</v>
      </c>
      <c r="I10" s="76">
        <f t="shared" si="7"/>
        <v>1.05</v>
      </c>
      <c r="J10" s="76">
        <f t="shared" si="7"/>
        <v>1.05</v>
      </c>
      <c r="K10" s="76">
        <f t="shared" si="7"/>
        <v>1.05</v>
      </c>
      <c r="L10" s="76">
        <f t="shared" si="7"/>
        <v>1.05</v>
      </c>
      <c r="M10" s="76">
        <f t="shared" si="7"/>
        <v>1.05</v>
      </c>
      <c r="N10" s="76">
        <f t="shared" si="7"/>
        <v>1.05</v>
      </c>
      <c r="O10" s="76">
        <f t="shared" si="7"/>
        <v>1.05</v>
      </c>
      <c r="P10" s="76">
        <f t="shared" si="7"/>
        <v>1.05</v>
      </c>
      <c r="Q10" s="76"/>
      <c r="R10" s="76"/>
      <c r="S10" s="76"/>
      <c r="T10" s="76"/>
      <c r="U10" s="76"/>
      <c r="V10" s="76"/>
    </row>
    <row r="11" spans="1:22">
      <c r="A11" s="84" t="s">
        <v>94</v>
      </c>
      <c r="B11" s="85" t="s">
        <v>93</v>
      </c>
      <c r="C11" s="85" t="s">
        <v>92</v>
      </c>
      <c r="D11" s="84" t="s">
        <v>80</v>
      </c>
      <c r="E11" s="84">
        <f>VLOOKUP(A11,'2a. SI Pop'!$A$5:$E$198,5,FALSE)</f>
        <v>1</v>
      </c>
      <c r="F11" s="76">
        <v>1.05</v>
      </c>
      <c r="G11" s="76">
        <f t="shared" ref="G11:P11" si="8">F11</f>
        <v>1.05</v>
      </c>
      <c r="H11" s="76">
        <f t="shared" si="8"/>
        <v>1.05</v>
      </c>
      <c r="I11" s="76">
        <f t="shared" si="8"/>
        <v>1.05</v>
      </c>
      <c r="J11" s="76">
        <f t="shared" si="8"/>
        <v>1.05</v>
      </c>
      <c r="K11" s="76">
        <f t="shared" si="8"/>
        <v>1.05</v>
      </c>
      <c r="L11" s="76">
        <f t="shared" si="8"/>
        <v>1.05</v>
      </c>
      <c r="M11" s="76">
        <f t="shared" si="8"/>
        <v>1.05</v>
      </c>
      <c r="N11" s="76">
        <f t="shared" si="8"/>
        <v>1.05</v>
      </c>
      <c r="O11" s="76">
        <f t="shared" si="8"/>
        <v>1.05</v>
      </c>
      <c r="P11" s="76">
        <f t="shared" si="8"/>
        <v>1.05</v>
      </c>
      <c r="Q11" s="76"/>
      <c r="R11" s="76"/>
      <c r="S11" s="76"/>
      <c r="T11" s="76"/>
      <c r="U11" s="76"/>
      <c r="V11" s="76"/>
    </row>
    <row r="12" spans="1:22">
      <c r="A12" s="84" t="s">
        <v>96</v>
      </c>
      <c r="B12" s="85" t="s">
        <v>95</v>
      </c>
      <c r="C12" s="85" t="s">
        <v>79</v>
      </c>
      <c r="D12" s="84" t="s">
        <v>80</v>
      </c>
      <c r="E12" s="84">
        <f>VLOOKUP(A12,'2a. SI Pop'!$A$5:$E$198,5,FALSE)</f>
        <v>1</v>
      </c>
      <c r="F12" s="76">
        <v>1.05</v>
      </c>
      <c r="G12" s="76">
        <f t="shared" ref="G12:P12" si="9">F12</f>
        <v>1.05</v>
      </c>
      <c r="H12" s="76">
        <f t="shared" si="9"/>
        <v>1.05</v>
      </c>
      <c r="I12" s="76">
        <f t="shared" si="9"/>
        <v>1.05</v>
      </c>
      <c r="J12" s="76">
        <f t="shared" si="9"/>
        <v>1.05</v>
      </c>
      <c r="K12" s="76">
        <f t="shared" si="9"/>
        <v>1.05</v>
      </c>
      <c r="L12" s="76">
        <f t="shared" si="9"/>
        <v>1.05</v>
      </c>
      <c r="M12" s="76">
        <f t="shared" si="9"/>
        <v>1.05</v>
      </c>
      <c r="N12" s="76">
        <f t="shared" si="9"/>
        <v>1.05</v>
      </c>
      <c r="O12" s="76">
        <f t="shared" si="9"/>
        <v>1.05</v>
      </c>
      <c r="P12" s="76">
        <f t="shared" si="9"/>
        <v>1.05</v>
      </c>
      <c r="Q12" s="76"/>
      <c r="R12" s="76"/>
      <c r="S12" s="76"/>
      <c r="T12" s="76"/>
      <c r="U12" s="76"/>
      <c r="V12" s="76"/>
    </row>
    <row r="13" spans="1:22">
      <c r="A13" s="84" t="s">
        <v>98</v>
      </c>
      <c r="B13" s="85" t="s">
        <v>97</v>
      </c>
      <c r="C13" s="85" t="s">
        <v>99</v>
      </c>
      <c r="D13" s="84" t="s">
        <v>87</v>
      </c>
      <c r="E13" s="84">
        <f>VLOOKUP(A13,'2a. SI Pop'!$A$5:$E$198,5,FALSE)</f>
        <v>1</v>
      </c>
      <c r="F13" s="76">
        <v>1.05</v>
      </c>
      <c r="G13" s="76">
        <f t="shared" ref="G13:P13" si="10">F13</f>
        <v>1.05</v>
      </c>
      <c r="H13" s="76">
        <f t="shared" si="10"/>
        <v>1.05</v>
      </c>
      <c r="I13" s="76">
        <f t="shared" si="10"/>
        <v>1.05</v>
      </c>
      <c r="J13" s="76">
        <f t="shared" si="10"/>
        <v>1.05</v>
      </c>
      <c r="K13" s="76">
        <f t="shared" si="10"/>
        <v>1.05</v>
      </c>
      <c r="L13" s="76">
        <f t="shared" si="10"/>
        <v>1.05</v>
      </c>
      <c r="M13" s="76">
        <f t="shared" si="10"/>
        <v>1.05</v>
      </c>
      <c r="N13" s="76">
        <f t="shared" si="10"/>
        <v>1.05</v>
      </c>
      <c r="O13" s="76">
        <f t="shared" si="10"/>
        <v>1.05</v>
      </c>
      <c r="P13" s="76">
        <f t="shared" si="10"/>
        <v>1.05</v>
      </c>
      <c r="Q13" s="76"/>
      <c r="R13" s="76"/>
      <c r="S13" s="76"/>
      <c r="T13" s="76"/>
      <c r="U13" s="76"/>
      <c r="V13" s="76"/>
    </row>
    <row r="14" spans="1:22">
      <c r="A14" s="84" t="s">
        <v>101</v>
      </c>
      <c r="B14" s="85" t="s">
        <v>100</v>
      </c>
      <c r="C14" s="85" t="s">
        <v>79</v>
      </c>
      <c r="D14" s="84" t="s">
        <v>87</v>
      </c>
      <c r="E14" s="84">
        <f>VLOOKUP(A14,'2a. SI Pop'!$A$5:$E$198,5,FALSE)</f>
        <v>1</v>
      </c>
      <c r="F14" s="76">
        <v>1.05</v>
      </c>
      <c r="G14" s="76">
        <f t="shared" ref="G14:P14" si="11">F14</f>
        <v>1.05</v>
      </c>
      <c r="H14" s="76">
        <f t="shared" si="11"/>
        <v>1.05</v>
      </c>
      <c r="I14" s="76">
        <f t="shared" si="11"/>
        <v>1.05</v>
      </c>
      <c r="J14" s="76">
        <f t="shared" si="11"/>
        <v>1.05</v>
      </c>
      <c r="K14" s="76">
        <f t="shared" si="11"/>
        <v>1.05</v>
      </c>
      <c r="L14" s="76">
        <f t="shared" si="11"/>
        <v>1.05</v>
      </c>
      <c r="M14" s="76">
        <f t="shared" si="11"/>
        <v>1.05</v>
      </c>
      <c r="N14" s="76">
        <f t="shared" si="11"/>
        <v>1.05</v>
      </c>
      <c r="O14" s="76">
        <f t="shared" si="11"/>
        <v>1.05</v>
      </c>
      <c r="P14" s="76">
        <f t="shared" si="11"/>
        <v>1.05</v>
      </c>
      <c r="Q14" s="76"/>
      <c r="R14" s="76"/>
      <c r="S14" s="76"/>
      <c r="T14" s="76"/>
      <c r="U14" s="76"/>
      <c r="V14" s="76"/>
    </row>
    <row r="15" spans="1:22">
      <c r="A15" s="84" t="s">
        <v>103</v>
      </c>
      <c r="B15" s="85" t="s">
        <v>102</v>
      </c>
      <c r="C15" s="85" t="s">
        <v>79</v>
      </c>
      <c r="D15" s="84" t="s">
        <v>80</v>
      </c>
      <c r="E15" s="84">
        <f>VLOOKUP(A15,'2a. SI Pop'!$A$5:$E$198,5,FALSE)</f>
        <v>1</v>
      </c>
      <c r="F15" s="76">
        <v>1.05</v>
      </c>
      <c r="G15" s="76">
        <f t="shared" ref="G15:P15" si="12">F15</f>
        <v>1.05</v>
      </c>
      <c r="H15" s="76">
        <f t="shared" si="12"/>
        <v>1.05</v>
      </c>
      <c r="I15" s="76">
        <f t="shared" si="12"/>
        <v>1.05</v>
      </c>
      <c r="J15" s="76">
        <f t="shared" si="12"/>
        <v>1.05</v>
      </c>
      <c r="K15" s="76">
        <f t="shared" si="12"/>
        <v>1.05</v>
      </c>
      <c r="L15" s="76">
        <f t="shared" si="12"/>
        <v>1.05</v>
      </c>
      <c r="M15" s="76">
        <f t="shared" si="12"/>
        <v>1.05</v>
      </c>
      <c r="N15" s="76">
        <f t="shared" si="12"/>
        <v>1.05</v>
      </c>
      <c r="O15" s="76">
        <f t="shared" si="12"/>
        <v>1.05</v>
      </c>
      <c r="P15" s="76">
        <f t="shared" si="12"/>
        <v>1.05</v>
      </c>
      <c r="Q15" s="76"/>
      <c r="R15" s="76"/>
      <c r="S15" s="76"/>
      <c r="T15" s="76"/>
      <c r="U15" s="76"/>
      <c r="V15" s="76"/>
    </row>
    <row r="16" spans="1:22">
      <c r="A16" s="84" t="s">
        <v>105</v>
      </c>
      <c r="B16" s="85" t="s">
        <v>104</v>
      </c>
      <c r="C16" s="85" t="s">
        <v>92</v>
      </c>
      <c r="D16" s="84" t="s">
        <v>87</v>
      </c>
      <c r="E16" s="84">
        <f>VLOOKUP(A16,'2a. SI Pop'!$A$5:$E$198,5,FALSE)</f>
        <v>1</v>
      </c>
      <c r="F16" s="76">
        <v>1.05</v>
      </c>
      <c r="G16" s="76">
        <f t="shared" ref="G16:P16" si="13">F16</f>
        <v>1.05</v>
      </c>
      <c r="H16" s="76">
        <f t="shared" si="13"/>
        <v>1.05</v>
      </c>
      <c r="I16" s="76">
        <f t="shared" si="13"/>
        <v>1.05</v>
      </c>
      <c r="J16" s="76">
        <f t="shared" si="13"/>
        <v>1.05</v>
      </c>
      <c r="K16" s="76">
        <f t="shared" si="13"/>
        <v>1.05</v>
      </c>
      <c r="L16" s="76">
        <f t="shared" si="13"/>
        <v>1.05</v>
      </c>
      <c r="M16" s="76">
        <f t="shared" si="13"/>
        <v>1.05</v>
      </c>
      <c r="N16" s="76">
        <f t="shared" si="13"/>
        <v>1.05</v>
      </c>
      <c r="O16" s="76">
        <f t="shared" si="13"/>
        <v>1.05</v>
      </c>
      <c r="P16" s="76">
        <f t="shared" si="13"/>
        <v>1.05</v>
      </c>
      <c r="Q16" s="76"/>
      <c r="R16" s="76"/>
      <c r="S16" s="76"/>
      <c r="T16" s="76"/>
      <c r="U16" s="76"/>
      <c r="V16" s="76"/>
    </row>
    <row r="17" spans="1:22">
      <c r="A17" s="84" t="s">
        <v>107</v>
      </c>
      <c r="B17" s="85" t="s">
        <v>106</v>
      </c>
      <c r="C17" s="85" t="s">
        <v>74</v>
      </c>
      <c r="D17" s="84" t="s">
        <v>87</v>
      </c>
      <c r="E17" s="84">
        <f>VLOOKUP(A17,'2a. SI Pop'!$A$5:$E$198,5,FALSE)</f>
        <v>1</v>
      </c>
      <c r="F17" s="76">
        <v>1.05</v>
      </c>
      <c r="G17" s="76">
        <f t="shared" ref="G17:P17" si="14">F17</f>
        <v>1.05</v>
      </c>
      <c r="H17" s="76">
        <f t="shared" si="14"/>
        <v>1.05</v>
      </c>
      <c r="I17" s="76">
        <f t="shared" si="14"/>
        <v>1.05</v>
      </c>
      <c r="J17" s="76">
        <f t="shared" si="14"/>
        <v>1.05</v>
      </c>
      <c r="K17" s="76">
        <f t="shared" si="14"/>
        <v>1.05</v>
      </c>
      <c r="L17" s="76">
        <f t="shared" si="14"/>
        <v>1.05</v>
      </c>
      <c r="M17" s="76">
        <f t="shared" si="14"/>
        <v>1.05</v>
      </c>
      <c r="N17" s="76">
        <f t="shared" si="14"/>
        <v>1.05</v>
      </c>
      <c r="O17" s="76">
        <f t="shared" si="14"/>
        <v>1.05</v>
      </c>
      <c r="P17" s="76">
        <f t="shared" si="14"/>
        <v>1.05</v>
      </c>
      <c r="Q17" s="76"/>
      <c r="R17" s="76"/>
      <c r="S17" s="76"/>
      <c r="T17" s="76"/>
      <c r="U17" s="76"/>
      <c r="V17" s="76"/>
    </row>
    <row r="18" spans="1:22">
      <c r="A18" s="84" t="s">
        <v>109</v>
      </c>
      <c r="B18" s="85" t="s">
        <v>108</v>
      </c>
      <c r="C18" s="85" t="s">
        <v>110</v>
      </c>
      <c r="D18" s="84" t="s">
        <v>84</v>
      </c>
      <c r="E18" s="84" t="str">
        <f>VLOOKUP(A18,'2a. SI Pop'!$A$5:$E$198,5,FALSE)</f>
        <v>Key</v>
      </c>
      <c r="F18" s="76">
        <f>100/(100-15)</f>
        <v>1.1764705882352942</v>
      </c>
      <c r="G18" s="76">
        <f t="shared" ref="G18:P18" si="15">F18</f>
        <v>1.1764705882352942</v>
      </c>
      <c r="H18" s="76">
        <f t="shared" si="15"/>
        <v>1.1764705882352942</v>
      </c>
      <c r="I18" s="76">
        <f t="shared" si="15"/>
        <v>1.1764705882352942</v>
      </c>
      <c r="J18" s="76">
        <f t="shared" si="15"/>
        <v>1.1764705882352942</v>
      </c>
      <c r="K18" s="76">
        <f t="shared" si="15"/>
        <v>1.1764705882352942</v>
      </c>
      <c r="L18" s="76">
        <f t="shared" si="15"/>
        <v>1.1764705882352942</v>
      </c>
      <c r="M18" s="76">
        <f t="shared" si="15"/>
        <v>1.1764705882352942</v>
      </c>
      <c r="N18" s="76">
        <f t="shared" si="15"/>
        <v>1.1764705882352942</v>
      </c>
      <c r="O18" s="76">
        <f t="shared" si="15"/>
        <v>1.1764705882352942</v>
      </c>
      <c r="P18" s="76">
        <f t="shared" si="15"/>
        <v>1.1764705882352942</v>
      </c>
      <c r="Q18" s="76"/>
      <c r="R18" s="76"/>
      <c r="S18" s="76"/>
      <c r="T18" s="76"/>
      <c r="U18" s="76"/>
      <c r="V18" s="76"/>
    </row>
    <row r="19" spans="1:22">
      <c r="A19" s="84" t="s">
        <v>112</v>
      </c>
      <c r="B19" s="85" t="s">
        <v>111</v>
      </c>
      <c r="C19" s="85" t="s">
        <v>92</v>
      </c>
      <c r="D19" s="84" t="s">
        <v>87</v>
      </c>
      <c r="E19" s="84">
        <f>VLOOKUP(A19,'2a. SI Pop'!$A$5:$E$198,5,FALSE)</f>
        <v>1</v>
      </c>
      <c r="F19" s="76">
        <v>1.05</v>
      </c>
      <c r="G19" s="76">
        <f t="shared" ref="G19:P19" si="16">F19</f>
        <v>1.05</v>
      </c>
      <c r="H19" s="76">
        <f t="shared" si="16"/>
        <v>1.05</v>
      </c>
      <c r="I19" s="76">
        <f t="shared" si="16"/>
        <v>1.05</v>
      </c>
      <c r="J19" s="76">
        <f t="shared" si="16"/>
        <v>1.05</v>
      </c>
      <c r="K19" s="76">
        <f t="shared" si="16"/>
        <v>1.05</v>
      </c>
      <c r="L19" s="76">
        <f t="shared" si="16"/>
        <v>1.05</v>
      </c>
      <c r="M19" s="76">
        <f t="shared" si="16"/>
        <v>1.05</v>
      </c>
      <c r="N19" s="76">
        <f t="shared" si="16"/>
        <v>1.05</v>
      </c>
      <c r="O19" s="76">
        <f t="shared" si="16"/>
        <v>1.05</v>
      </c>
      <c r="P19" s="76">
        <f t="shared" si="16"/>
        <v>1.05</v>
      </c>
      <c r="Q19" s="76"/>
      <c r="R19" s="76"/>
      <c r="S19" s="76"/>
      <c r="T19" s="76"/>
      <c r="U19" s="76"/>
      <c r="V19" s="76"/>
    </row>
    <row r="20" spans="1:22">
      <c r="A20" s="84" t="s">
        <v>114</v>
      </c>
      <c r="B20" s="85" t="s">
        <v>113</v>
      </c>
      <c r="C20" s="85" t="s">
        <v>79</v>
      </c>
      <c r="D20" s="84" t="s">
        <v>80</v>
      </c>
      <c r="E20" s="84">
        <f>VLOOKUP(A20,'2a. SI Pop'!$A$5:$E$198,5,FALSE)</f>
        <v>2</v>
      </c>
      <c r="F20" s="76">
        <v>1.05</v>
      </c>
      <c r="G20" s="76">
        <f t="shared" ref="G20:P20" si="17">F20</f>
        <v>1.05</v>
      </c>
      <c r="H20" s="76">
        <f t="shared" si="17"/>
        <v>1.05</v>
      </c>
      <c r="I20" s="76">
        <f t="shared" si="17"/>
        <v>1.05</v>
      </c>
      <c r="J20" s="76">
        <f t="shared" si="17"/>
        <v>1.05</v>
      </c>
      <c r="K20" s="76">
        <f t="shared" si="17"/>
        <v>1.05</v>
      </c>
      <c r="L20" s="76">
        <f t="shared" si="17"/>
        <v>1.05</v>
      </c>
      <c r="M20" s="76">
        <f t="shared" si="17"/>
        <v>1.05</v>
      </c>
      <c r="N20" s="76">
        <f t="shared" si="17"/>
        <v>1.05</v>
      </c>
      <c r="O20" s="76">
        <f t="shared" si="17"/>
        <v>1.05</v>
      </c>
      <c r="P20" s="76">
        <f t="shared" si="17"/>
        <v>1.05</v>
      </c>
      <c r="Q20" s="76"/>
      <c r="R20" s="76"/>
      <c r="S20" s="76"/>
      <c r="T20" s="76"/>
      <c r="U20" s="76"/>
      <c r="V20" s="76"/>
    </row>
    <row r="21" spans="1:22">
      <c r="A21" s="84" t="s">
        <v>116</v>
      </c>
      <c r="B21" s="85" t="s">
        <v>115</v>
      </c>
      <c r="C21" s="85" t="s">
        <v>79</v>
      </c>
      <c r="D21" s="84" t="s">
        <v>87</v>
      </c>
      <c r="E21" s="84">
        <f>VLOOKUP(A21,'2a. SI Pop'!$A$5:$E$198,5,FALSE)</f>
        <v>1</v>
      </c>
      <c r="F21" s="76">
        <v>1.05</v>
      </c>
      <c r="G21" s="76">
        <f t="shared" ref="G21:P21" si="18">F21</f>
        <v>1.05</v>
      </c>
      <c r="H21" s="76">
        <f t="shared" si="18"/>
        <v>1.05</v>
      </c>
      <c r="I21" s="76">
        <f t="shared" si="18"/>
        <v>1.05</v>
      </c>
      <c r="J21" s="76">
        <f t="shared" si="18"/>
        <v>1.05</v>
      </c>
      <c r="K21" s="76">
        <f t="shared" si="18"/>
        <v>1.05</v>
      </c>
      <c r="L21" s="76">
        <f t="shared" si="18"/>
        <v>1.05</v>
      </c>
      <c r="M21" s="76">
        <f t="shared" si="18"/>
        <v>1.05</v>
      </c>
      <c r="N21" s="76">
        <f t="shared" si="18"/>
        <v>1.05</v>
      </c>
      <c r="O21" s="76">
        <f t="shared" si="18"/>
        <v>1.05</v>
      </c>
      <c r="P21" s="76">
        <f t="shared" si="18"/>
        <v>1.05</v>
      </c>
      <c r="Q21" s="76"/>
      <c r="R21" s="76"/>
      <c r="S21" s="76"/>
      <c r="T21" s="76"/>
      <c r="U21" s="76"/>
      <c r="V21" s="76"/>
    </row>
    <row r="22" spans="1:22">
      <c r="A22" s="84" t="s">
        <v>118</v>
      </c>
      <c r="B22" s="85" t="s">
        <v>117</v>
      </c>
      <c r="C22" s="85" t="s">
        <v>92</v>
      </c>
      <c r="D22" s="84" t="s">
        <v>80</v>
      </c>
      <c r="E22" s="84">
        <f>VLOOKUP(A22,'2a. SI Pop'!$A$5:$E$198,5,FALSE)</f>
        <v>1</v>
      </c>
      <c r="F22" s="76">
        <v>1.05</v>
      </c>
      <c r="G22" s="76">
        <f t="shared" ref="G22:P22" si="19">F22</f>
        <v>1.05</v>
      </c>
      <c r="H22" s="76">
        <f t="shared" si="19"/>
        <v>1.05</v>
      </c>
      <c r="I22" s="76">
        <f t="shared" si="19"/>
        <v>1.05</v>
      </c>
      <c r="J22" s="76">
        <f t="shared" si="19"/>
        <v>1.05</v>
      </c>
      <c r="K22" s="76">
        <f t="shared" si="19"/>
        <v>1.05</v>
      </c>
      <c r="L22" s="76">
        <f t="shared" si="19"/>
        <v>1.05</v>
      </c>
      <c r="M22" s="76">
        <f t="shared" si="19"/>
        <v>1.05</v>
      </c>
      <c r="N22" s="76">
        <f t="shared" si="19"/>
        <v>1.05</v>
      </c>
      <c r="O22" s="76">
        <f t="shared" si="19"/>
        <v>1.05</v>
      </c>
      <c r="P22" s="76">
        <f t="shared" si="19"/>
        <v>1.05</v>
      </c>
      <c r="Q22" s="76"/>
      <c r="R22" s="76"/>
      <c r="S22" s="76"/>
      <c r="T22" s="76"/>
      <c r="U22" s="76"/>
      <c r="V22" s="76"/>
    </row>
    <row r="23" spans="1:22">
      <c r="A23" s="84" t="s">
        <v>120</v>
      </c>
      <c r="B23" s="85" t="s">
        <v>119</v>
      </c>
      <c r="C23" s="85" t="s">
        <v>83</v>
      </c>
      <c r="D23" s="84" t="s">
        <v>84</v>
      </c>
      <c r="E23" s="84">
        <f>VLOOKUP(A23,'2a. SI Pop'!$A$5:$E$198,5,FALSE)</f>
        <v>3</v>
      </c>
      <c r="F23" s="76">
        <f>100/(100-40)</f>
        <v>1.6666666666666667</v>
      </c>
      <c r="G23" s="76">
        <f t="shared" ref="G23:P23" si="20">F23</f>
        <v>1.6666666666666667</v>
      </c>
      <c r="H23" s="76">
        <f t="shared" si="20"/>
        <v>1.6666666666666667</v>
      </c>
      <c r="I23" s="76">
        <f t="shared" si="20"/>
        <v>1.6666666666666667</v>
      </c>
      <c r="J23" s="76">
        <f t="shared" si="20"/>
        <v>1.6666666666666667</v>
      </c>
      <c r="K23" s="76">
        <f t="shared" si="20"/>
        <v>1.6666666666666667</v>
      </c>
      <c r="L23" s="76">
        <f t="shared" si="20"/>
        <v>1.6666666666666667</v>
      </c>
      <c r="M23" s="76">
        <f t="shared" si="20"/>
        <v>1.6666666666666667</v>
      </c>
      <c r="N23" s="76">
        <f t="shared" si="20"/>
        <v>1.6666666666666667</v>
      </c>
      <c r="O23" s="76">
        <f t="shared" si="20"/>
        <v>1.6666666666666667</v>
      </c>
      <c r="P23" s="76">
        <f t="shared" si="20"/>
        <v>1.6666666666666667</v>
      </c>
      <c r="Q23" s="76"/>
      <c r="R23" s="76"/>
      <c r="S23" s="76"/>
      <c r="T23" s="76"/>
      <c r="U23" s="76"/>
      <c r="V23" s="76"/>
    </row>
    <row r="24" spans="1:22">
      <c r="A24" s="84" t="s">
        <v>122</v>
      </c>
      <c r="B24" s="85" t="s">
        <v>121</v>
      </c>
      <c r="C24" s="85" t="s">
        <v>110</v>
      </c>
      <c r="D24" s="84" t="s">
        <v>84</v>
      </c>
      <c r="E24" s="84">
        <f>VLOOKUP(A24,'2a. SI Pop'!$A$5:$E$198,5,FALSE)</f>
        <v>2</v>
      </c>
      <c r="F24" s="76">
        <v>1.05</v>
      </c>
      <c r="G24" s="76">
        <f t="shared" ref="G24:P24" si="21">F24</f>
        <v>1.05</v>
      </c>
      <c r="H24" s="76">
        <f t="shared" si="21"/>
        <v>1.05</v>
      </c>
      <c r="I24" s="76">
        <f t="shared" si="21"/>
        <v>1.05</v>
      </c>
      <c r="J24" s="76">
        <f t="shared" si="21"/>
        <v>1.05</v>
      </c>
      <c r="K24" s="76">
        <f t="shared" si="21"/>
        <v>1.05</v>
      </c>
      <c r="L24" s="76">
        <f t="shared" si="21"/>
        <v>1.05</v>
      </c>
      <c r="M24" s="76">
        <f t="shared" si="21"/>
        <v>1.05</v>
      </c>
      <c r="N24" s="76">
        <f t="shared" si="21"/>
        <v>1.05</v>
      </c>
      <c r="O24" s="76">
        <f t="shared" si="21"/>
        <v>1.05</v>
      </c>
      <c r="P24" s="76">
        <f t="shared" si="21"/>
        <v>1.05</v>
      </c>
      <c r="Q24" s="76"/>
      <c r="R24" s="76"/>
      <c r="S24" s="76"/>
      <c r="T24" s="76"/>
      <c r="U24" s="76"/>
      <c r="V24" s="76"/>
    </row>
    <row r="25" spans="1:22">
      <c r="A25" s="84" t="s">
        <v>124</v>
      </c>
      <c r="B25" s="85" t="s">
        <v>123</v>
      </c>
      <c r="C25" s="85" t="s">
        <v>92</v>
      </c>
      <c r="D25" s="84" t="s">
        <v>84</v>
      </c>
      <c r="E25" s="84">
        <f>VLOOKUP(A25,'2a. SI Pop'!$A$5:$E$198,5,FALSE)</f>
        <v>2</v>
      </c>
      <c r="F25" s="76">
        <v>1.05</v>
      </c>
      <c r="G25" s="76">
        <f t="shared" ref="G25:P25" si="22">F25</f>
        <v>1.05</v>
      </c>
      <c r="H25" s="76">
        <f t="shared" si="22"/>
        <v>1.05</v>
      </c>
      <c r="I25" s="76">
        <f t="shared" si="22"/>
        <v>1.05</v>
      </c>
      <c r="J25" s="76">
        <f t="shared" si="22"/>
        <v>1.05</v>
      </c>
      <c r="K25" s="76">
        <f t="shared" si="22"/>
        <v>1.05</v>
      </c>
      <c r="L25" s="76">
        <f t="shared" si="22"/>
        <v>1.05</v>
      </c>
      <c r="M25" s="76">
        <f t="shared" si="22"/>
        <v>1.05</v>
      </c>
      <c r="N25" s="76">
        <f t="shared" si="22"/>
        <v>1.05</v>
      </c>
      <c r="O25" s="76">
        <f t="shared" si="22"/>
        <v>1.05</v>
      </c>
      <c r="P25" s="76">
        <f t="shared" si="22"/>
        <v>1.05</v>
      </c>
      <c r="Q25" s="76"/>
      <c r="R25" s="76"/>
      <c r="S25" s="76"/>
      <c r="T25" s="76"/>
      <c r="U25" s="76"/>
      <c r="V25" s="76"/>
    </row>
    <row r="26" spans="1:22">
      <c r="A26" s="84" t="s">
        <v>126</v>
      </c>
      <c r="B26" s="85" t="s">
        <v>125</v>
      </c>
      <c r="C26" s="85" t="s">
        <v>79</v>
      </c>
      <c r="D26" s="84" t="s">
        <v>80</v>
      </c>
      <c r="E26" s="84">
        <f>VLOOKUP(A26,'2a. SI Pop'!$A$5:$E$198,5,FALSE)</f>
        <v>1</v>
      </c>
      <c r="F26" s="76">
        <v>1.05</v>
      </c>
      <c r="G26" s="76">
        <f t="shared" ref="G26:P26" si="23">F26</f>
        <v>1.05</v>
      </c>
      <c r="H26" s="76">
        <f t="shared" si="23"/>
        <v>1.05</v>
      </c>
      <c r="I26" s="76">
        <f t="shared" si="23"/>
        <v>1.05</v>
      </c>
      <c r="J26" s="76">
        <f t="shared" si="23"/>
        <v>1.05</v>
      </c>
      <c r="K26" s="76">
        <f t="shared" si="23"/>
        <v>1.05</v>
      </c>
      <c r="L26" s="76">
        <f t="shared" si="23"/>
        <v>1.05</v>
      </c>
      <c r="M26" s="76">
        <f t="shared" si="23"/>
        <v>1.05</v>
      </c>
      <c r="N26" s="76">
        <f t="shared" si="23"/>
        <v>1.05</v>
      </c>
      <c r="O26" s="76">
        <f t="shared" si="23"/>
        <v>1.05</v>
      </c>
      <c r="P26" s="76">
        <f t="shared" si="23"/>
        <v>1.05</v>
      </c>
      <c r="Q26" s="76"/>
      <c r="R26" s="76"/>
      <c r="S26" s="76"/>
      <c r="T26" s="76"/>
      <c r="U26" s="76"/>
      <c r="V26" s="76"/>
    </row>
    <row r="27" spans="1:22">
      <c r="A27" s="84" t="s">
        <v>128</v>
      </c>
      <c r="B27" s="85" t="s">
        <v>127</v>
      </c>
      <c r="C27" s="85" t="s">
        <v>83</v>
      </c>
      <c r="D27" s="84" t="s">
        <v>80</v>
      </c>
      <c r="E27" s="84">
        <f>VLOOKUP(A27,'2a. SI Pop'!$A$5:$E$198,5,FALSE)</f>
        <v>2</v>
      </c>
      <c r="F27" s="76">
        <v>1.05</v>
      </c>
      <c r="G27" s="76">
        <f t="shared" ref="G27:P27" si="24">F27</f>
        <v>1.05</v>
      </c>
      <c r="H27" s="76">
        <f t="shared" si="24"/>
        <v>1.05</v>
      </c>
      <c r="I27" s="76">
        <f t="shared" si="24"/>
        <v>1.05</v>
      </c>
      <c r="J27" s="76">
        <f t="shared" si="24"/>
        <v>1.05</v>
      </c>
      <c r="K27" s="76">
        <f t="shared" si="24"/>
        <v>1.05</v>
      </c>
      <c r="L27" s="76">
        <f t="shared" si="24"/>
        <v>1.05</v>
      </c>
      <c r="M27" s="76">
        <f t="shared" si="24"/>
        <v>1.05</v>
      </c>
      <c r="N27" s="76">
        <f t="shared" si="24"/>
        <v>1.05</v>
      </c>
      <c r="O27" s="76">
        <f t="shared" si="24"/>
        <v>1.05</v>
      </c>
      <c r="P27" s="76">
        <f t="shared" si="24"/>
        <v>1.05</v>
      </c>
      <c r="Q27" s="76"/>
      <c r="R27" s="76"/>
      <c r="S27" s="76"/>
      <c r="T27" s="76"/>
      <c r="U27" s="76"/>
      <c r="V27" s="76"/>
    </row>
    <row r="28" spans="1:22">
      <c r="A28" s="84" t="s">
        <v>130</v>
      </c>
      <c r="B28" s="85" t="s">
        <v>129</v>
      </c>
      <c r="C28" s="85" t="s">
        <v>92</v>
      </c>
      <c r="D28" s="84" t="s">
        <v>80</v>
      </c>
      <c r="E28" s="84" t="str">
        <f>VLOOKUP(A28,'2a. SI Pop'!$A$5:$E$198,5,FALSE)</f>
        <v>Key</v>
      </c>
      <c r="F28" s="76">
        <v>1.05</v>
      </c>
      <c r="G28" s="76">
        <f t="shared" ref="G28:P28" si="25">F28</f>
        <v>1.05</v>
      </c>
      <c r="H28" s="76">
        <f t="shared" si="25"/>
        <v>1.05</v>
      </c>
      <c r="I28" s="76">
        <f t="shared" si="25"/>
        <v>1.05</v>
      </c>
      <c r="J28" s="76">
        <f t="shared" si="25"/>
        <v>1.05</v>
      </c>
      <c r="K28" s="76">
        <f t="shared" si="25"/>
        <v>1.05</v>
      </c>
      <c r="L28" s="76">
        <f t="shared" si="25"/>
        <v>1.05</v>
      </c>
      <c r="M28" s="76">
        <f t="shared" si="25"/>
        <v>1.05</v>
      </c>
      <c r="N28" s="76">
        <f t="shared" si="25"/>
        <v>1.05</v>
      </c>
      <c r="O28" s="76">
        <f t="shared" si="25"/>
        <v>1.05</v>
      </c>
      <c r="P28" s="76">
        <f t="shared" si="25"/>
        <v>1.05</v>
      </c>
      <c r="Q28" s="76"/>
      <c r="R28" s="76"/>
      <c r="S28" s="76"/>
      <c r="T28" s="76"/>
      <c r="U28" s="76"/>
      <c r="V28" s="76"/>
    </row>
    <row r="29" spans="1:22">
      <c r="A29" s="84" t="s">
        <v>132</v>
      </c>
      <c r="B29" s="85" t="s">
        <v>131</v>
      </c>
      <c r="C29" s="85" t="s">
        <v>99</v>
      </c>
      <c r="D29" s="84" t="s">
        <v>87</v>
      </c>
      <c r="E29" s="84">
        <f>VLOOKUP(A29,'2a. SI Pop'!$A$5:$E$198,5,FALSE)</f>
        <v>1</v>
      </c>
      <c r="F29" s="76">
        <v>1.05</v>
      </c>
      <c r="G29" s="76">
        <f t="shared" ref="G29:P29" si="26">F29</f>
        <v>1.05</v>
      </c>
      <c r="H29" s="76">
        <f t="shared" si="26"/>
        <v>1.05</v>
      </c>
      <c r="I29" s="76">
        <f t="shared" si="26"/>
        <v>1.05</v>
      </c>
      <c r="J29" s="76">
        <f t="shared" si="26"/>
        <v>1.05</v>
      </c>
      <c r="K29" s="76">
        <f t="shared" si="26"/>
        <v>1.05</v>
      </c>
      <c r="L29" s="76">
        <f t="shared" si="26"/>
        <v>1.05</v>
      </c>
      <c r="M29" s="76">
        <f t="shared" si="26"/>
        <v>1.05</v>
      </c>
      <c r="N29" s="76">
        <f t="shared" si="26"/>
        <v>1.05</v>
      </c>
      <c r="O29" s="76">
        <f t="shared" si="26"/>
        <v>1.05</v>
      </c>
      <c r="P29" s="76">
        <f t="shared" si="26"/>
        <v>1.05</v>
      </c>
      <c r="Q29" s="76"/>
      <c r="R29" s="76"/>
      <c r="S29" s="76"/>
      <c r="T29" s="76"/>
      <c r="U29" s="76"/>
      <c r="V29" s="76"/>
    </row>
    <row r="30" spans="1:22">
      <c r="A30" s="84" t="s">
        <v>134</v>
      </c>
      <c r="B30" s="85" t="s">
        <v>133</v>
      </c>
      <c r="C30" s="85" t="s">
        <v>79</v>
      </c>
      <c r="D30" s="84" t="s">
        <v>80</v>
      </c>
      <c r="E30" s="84">
        <f>VLOOKUP(A30,'2a. SI Pop'!$A$5:$E$198,5,FALSE)</f>
        <v>1</v>
      </c>
      <c r="F30" s="76">
        <v>1.05</v>
      </c>
      <c r="G30" s="76">
        <f t="shared" ref="G30:P30" si="27">F30</f>
        <v>1.05</v>
      </c>
      <c r="H30" s="76">
        <f t="shared" si="27"/>
        <v>1.05</v>
      </c>
      <c r="I30" s="76">
        <f t="shared" si="27"/>
        <v>1.05</v>
      </c>
      <c r="J30" s="76">
        <f t="shared" si="27"/>
        <v>1.05</v>
      </c>
      <c r="K30" s="76">
        <f t="shared" si="27"/>
        <v>1.05</v>
      </c>
      <c r="L30" s="76">
        <f t="shared" si="27"/>
        <v>1.05</v>
      </c>
      <c r="M30" s="76">
        <f t="shared" si="27"/>
        <v>1.05</v>
      </c>
      <c r="N30" s="76">
        <f t="shared" si="27"/>
        <v>1.05</v>
      </c>
      <c r="O30" s="76">
        <f t="shared" si="27"/>
        <v>1.05</v>
      </c>
      <c r="P30" s="76">
        <f t="shared" si="27"/>
        <v>1.05</v>
      </c>
      <c r="Q30" s="76"/>
      <c r="R30" s="76"/>
      <c r="S30" s="76"/>
      <c r="T30" s="76"/>
      <c r="U30" s="76"/>
      <c r="V30" s="76"/>
    </row>
    <row r="31" spans="1:22">
      <c r="A31" s="84" t="s">
        <v>136</v>
      </c>
      <c r="B31" s="85" t="s">
        <v>135</v>
      </c>
      <c r="C31" s="85" t="s">
        <v>83</v>
      </c>
      <c r="D31" s="84" t="s">
        <v>75</v>
      </c>
      <c r="E31" s="84">
        <f>VLOOKUP(A31,'2a. SI Pop'!$A$5:$E$198,5,FALSE)</f>
        <v>3</v>
      </c>
      <c r="F31" s="76">
        <f>100/(100-40)</f>
        <v>1.6666666666666667</v>
      </c>
      <c r="G31" s="76">
        <f t="shared" ref="G31:P31" si="28">F31</f>
        <v>1.6666666666666667</v>
      </c>
      <c r="H31" s="76">
        <f t="shared" si="28"/>
        <v>1.6666666666666667</v>
      </c>
      <c r="I31" s="76">
        <f t="shared" si="28"/>
        <v>1.6666666666666667</v>
      </c>
      <c r="J31" s="76">
        <f t="shared" si="28"/>
        <v>1.6666666666666667</v>
      </c>
      <c r="K31" s="76">
        <f t="shared" si="28"/>
        <v>1.6666666666666667</v>
      </c>
      <c r="L31" s="76">
        <f t="shared" si="28"/>
        <v>1.6666666666666667</v>
      </c>
      <c r="M31" s="76">
        <f t="shared" si="28"/>
        <v>1.6666666666666667</v>
      </c>
      <c r="N31" s="76">
        <f t="shared" si="28"/>
        <v>1.6666666666666667</v>
      </c>
      <c r="O31" s="76">
        <f t="shared" si="28"/>
        <v>1.6666666666666667</v>
      </c>
      <c r="P31" s="76">
        <f t="shared" si="28"/>
        <v>1.6666666666666667</v>
      </c>
      <c r="Q31" s="76"/>
      <c r="R31" s="76"/>
      <c r="S31" s="76"/>
      <c r="T31" s="76"/>
      <c r="U31" s="76"/>
      <c r="V31" s="76"/>
    </row>
    <row r="32" spans="1:22">
      <c r="A32" s="84" t="s">
        <v>138</v>
      </c>
      <c r="B32" s="85" t="s">
        <v>137</v>
      </c>
      <c r="C32" s="85" t="s">
        <v>83</v>
      </c>
      <c r="D32" s="84" t="s">
        <v>75</v>
      </c>
      <c r="E32" s="84">
        <f>VLOOKUP(A32,'2a. SI Pop'!$A$5:$E$198,5,FALSE)</f>
        <v>3</v>
      </c>
      <c r="F32" s="76">
        <f>100/(100-15)</f>
        <v>1.1764705882352942</v>
      </c>
      <c r="G32" s="76">
        <f t="shared" ref="G32:P32" si="29">F32</f>
        <v>1.1764705882352942</v>
      </c>
      <c r="H32" s="76">
        <f t="shared" si="29"/>
        <v>1.1764705882352942</v>
      </c>
      <c r="I32" s="76">
        <f t="shared" si="29"/>
        <v>1.1764705882352942</v>
      </c>
      <c r="J32" s="76">
        <f t="shared" si="29"/>
        <v>1.1764705882352942</v>
      </c>
      <c r="K32" s="76">
        <f t="shared" si="29"/>
        <v>1.1764705882352942</v>
      </c>
      <c r="L32" s="76">
        <f t="shared" si="29"/>
        <v>1.1764705882352942</v>
      </c>
      <c r="M32" s="76">
        <f t="shared" si="29"/>
        <v>1.1764705882352942</v>
      </c>
      <c r="N32" s="76">
        <f t="shared" si="29"/>
        <v>1.1764705882352942</v>
      </c>
      <c r="O32" s="76">
        <f t="shared" si="29"/>
        <v>1.1764705882352942</v>
      </c>
      <c r="P32" s="76">
        <f t="shared" si="29"/>
        <v>1.1764705882352942</v>
      </c>
      <c r="Q32" s="76"/>
      <c r="R32" s="76"/>
      <c r="S32" s="76"/>
      <c r="T32" s="76"/>
      <c r="U32" s="76"/>
      <c r="V32" s="76"/>
    </row>
    <row r="33" spans="1:22">
      <c r="A33" s="84" t="s">
        <v>140</v>
      </c>
      <c r="B33" s="85" t="s">
        <v>139</v>
      </c>
      <c r="C33" s="85" t="s">
        <v>99</v>
      </c>
      <c r="D33" s="84" t="s">
        <v>84</v>
      </c>
      <c r="E33" s="84">
        <f>VLOOKUP(A33,'2a. SI Pop'!$A$5:$E$198,5,FALSE)</f>
        <v>4</v>
      </c>
      <c r="F33" s="76">
        <f>100/(100-15)</f>
        <v>1.1764705882352942</v>
      </c>
      <c r="G33" s="76">
        <f t="shared" ref="G33:P33" si="30">F33</f>
        <v>1.1764705882352942</v>
      </c>
      <c r="H33" s="76">
        <f t="shared" si="30"/>
        <v>1.1764705882352942</v>
      </c>
      <c r="I33" s="76">
        <f t="shared" si="30"/>
        <v>1.1764705882352942</v>
      </c>
      <c r="J33" s="76">
        <f t="shared" si="30"/>
        <v>1.1764705882352942</v>
      </c>
      <c r="K33" s="76">
        <f t="shared" si="30"/>
        <v>1.1764705882352942</v>
      </c>
      <c r="L33" s="76">
        <f t="shared" si="30"/>
        <v>1.1764705882352942</v>
      </c>
      <c r="M33" s="76">
        <f t="shared" si="30"/>
        <v>1.1764705882352942</v>
      </c>
      <c r="N33" s="76">
        <f t="shared" si="30"/>
        <v>1.1764705882352942</v>
      </c>
      <c r="O33" s="76">
        <f t="shared" si="30"/>
        <v>1.1764705882352942</v>
      </c>
      <c r="P33" s="76">
        <f t="shared" si="30"/>
        <v>1.1764705882352942</v>
      </c>
      <c r="Q33" s="76"/>
      <c r="R33" s="76"/>
      <c r="S33" s="76"/>
      <c r="T33" s="76"/>
      <c r="U33" s="76"/>
      <c r="V33" s="76"/>
    </row>
    <row r="34" spans="1:22">
      <c r="A34" s="84" t="s">
        <v>142</v>
      </c>
      <c r="B34" s="85" t="s">
        <v>141</v>
      </c>
      <c r="C34" s="85" t="s">
        <v>83</v>
      </c>
      <c r="D34" s="84" t="s">
        <v>84</v>
      </c>
      <c r="E34" s="84">
        <f>VLOOKUP(A34,'2a. SI Pop'!$A$5:$E$198,5,FALSE)</f>
        <v>3</v>
      </c>
      <c r="F34" s="76">
        <f>100/(100-15)</f>
        <v>1.1764705882352942</v>
      </c>
      <c r="G34" s="76">
        <f t="shared" ref="G34:P34" si="31">F34</f>
        <v>1.1764705882352942</v>
      </c>
      <c r="H34" s="76">
        <f t="shared" si="31"/>
        <v>1.1764705882352942</v>
      </c>
      <c r="I34" s="76">
        <f t="shared" si="31"/>
        <v>1.1764705882352942</v>
      </c>
      <c r="J34" s="76">
        <f t="shared" si="31"/>
        <v>1.1764705882352942</v>
      </c>
      <c r="K34" s="76">
        <f t="shared" si="31"/>
        <v>1.1764705882352942</v>
      </c>
      <c r="L34" s="76">
        <f t="shared" si="31"/>
        <v>1.1764705882352942</v>
      </c>
      <c r="M34" s="76">
        <f t="shared" si="31"/>
        <v>1.1764705882352942</v>
      </c>
      <c r="N34" s="76">
        <f t="shared" si="31"/>
        <v>1.1764705882352942</v>
      </c>
      <c r="O34" s="76">
        <f t="shared" si="31"/>
        <v>1.1764705882352942</v>
      </c>
      <c r="P34" s="76">
        <f t="shared" si="31"/>
        <v>1.1764705882352942</v>
      </c>
      <c r="Q34" s="76"/>
      <c r="R34" s="76"/>
      <c r="S34" s="76"/>
      <c r="T34" s="76"/>
      <c r="U34" s="76"/>
      <c r="V34" s="76"/>
    </row>
    <row r="35" spans="1:22">
      <c r="A35" s="84" t="s">
        <v>144</v>
      </c>
      <c r="B35" s="85" t="s">
        <v>143</v>
      </c>
      <c r="C35" s="85" t="s">
        <v>92</v>
      </c>
      <c r="D35" s="84" t="s">
        <v>87</v>
      </c>
      <c r="E35" s="84">
        <f>VLOOKUP(A35,'2a. SI Pop'!$A$5:$E$198,5,FALSE)</f>
        <v>1</v>
      </c>
      <c r="F35" s="76">
        <v>1.05</v>
      </c>
      <c r="G35" s="76">
        <f t="shared" ref="G35:P35" si="32">F35</f>
        <v>1.05</v>
      </c>
      <c r="H35" s="76">
        <f t="shared" si="32"/>
        <v>1.05</v>
      </c>
      <c r="I35" s="76">
        <f t="shared" si="32"/>
        <v>1.05</v>
      </c>
      <c r="J35" s="76">
        <f t="shared" si="32"/>
        <v>1.05</v>
      </c>
      <c r="K35" s="76">
        <f t="shared" si="32"/>
        <v>1.05</v>
      </c>
      <c r="L35" s="76">
        <f t="shared" si="32"/>
        <v>1.05</v>
      </c>
      <c r="M35" s="76">
        <f t="shared" si="32"/>
        <v>1.05</v>
      </c>
      <c r="N35" s="76">
        <f t="shared" si="32"/>
        <v>1.05</v>
      </c>
      <c r="O35" s="76">
        <f t="shared" si="32"/>
        <v>1.05</v>
      </c>
      <c r="P35" s="76">
        <f t="shared" si="32"/>
        <v>1.05</v>
      </c>
      <c r="Q35" s="76"/>
      <c r="R35" s="76"/>
      <c r="S35" s="76"/>
      <c r="T35" s="76"/>
      <c r="U35" s="76"/>
      <c r="V35" s="76"/>
    </row>
    <row r="36" spans="1:22">
      <c r="A36" s="84" t="s">
        <v>146</v>
      </c>
      <c r="B36" s="85" t="s">
        <v>145</v>
      </c>
      <c r="C36" s="85" t="s">
        <v>83</v>
      </c>
      <c r="D36" s="84" t="s">
        <v>84</v>
      </c>
      <c r="E36" s="84">
        <f>VLOOKUP(A36,'2a. SI Pop'!$A$5:$E$198,5,FALSE)</f>
        <v>2</v>
      </c>
      <c r="F36" s="76">
        <f>100/(100-15)</f>
        <v>1.1764705882352942</v>
      </c>
      <c r="G36" s="76">
        <f t="shared" ref="G36:P36" si="33">F36</f>
        <v>1.1764705882352942</v>
      </c>
      <c r="H36" s="76">
        <f t="shared" si="33"/>
        <v>1.1764705882352942</v>
      </c>
      <c r="I36" s="76">
        <f t="shared" si="33"/>
        <v>1.1764705882352942</v>
      </c>
      <c r="J36" s="76">
        <f t="shared" si="33"/>
        <v>1.1764705882352942</v>
      </c>
      <c r="K36" s="76">
        <f t="shared" si="33"/>
        <v>1.1764705882352942</v>
      </c>
      <c r="L36" s="76">
        <f t="shared" si="33"/>
        <v>1.1764705882352942</v>
      </c>
      <c r="M36" s="76">
        <f t="shared" si="33"/>
        <v>1.1764705882352942</v>
      </c>
      <c r="N36" s="76">
        <f t="shared" si="33"/>
        <v>1.1764705882352942</v>
      </c>
      <c r="O36" s="76">
        <f t="shared" si="33"/>
        <v>1.1764705882352942</v>
      </c>
      <c r="P36" s="76">
        <f t="shared" si="33"/>
        <v>1.1764705882352942</v>
      </c>
      <c r="Q36" s="76"/>
      <c r="R36" s="76"/>
      <c r="S36" s="76"/>
      <c r="T36" s="76"/>
      <c r="U36" s="76"/>
      <c r="V36" s="76"/>
    </row>
    <row r="37" spans="1:22">
      <c r="A37" s="84" t="s">
        <v>148</v>
      </c>
      <c r="B37" s="85" t="s">
        <v>147</v>
      </c>
      <c r="C37" s="85" t="s">
        <v>83</v>
      </c>
      <c r="D37" s="84" t="s">
        <v>75</v>
      </c>
      <c r="E37" s="84">
        <f>VLOOKUP(A37,'2a. SI Pop'!$A$5:$E$198,5,FALSE)</f>
        <v>3</v>
      </c>
      <c r="F37" s="76">
        <f>100/(100-40)</f>
        <v>1.6666666666666667</v>
      </c>
      <c r="G37" s="76">
        <f t="shared" ref="G37:P37" si="34">F37</f>
        <v>1.6666666666666667</v>
      </c>
      <c r="H37" s="76">
        <f t="shared" si="34"/>
        <v>1.6666666666666667</v>
      </c>
      <c r="I37" s="76">
        <f t="shared" si="34"/>
        <v>1.6666666666666667</v>
      </c>
      <c r="J37" s="76">
        <f t="shared" si="34"/>
        <v>1.6666666666666667</v>
      </c>
      <c r="K37" s="76">
        <f t="shared" si="34"/>
        <v>1.6666666666666667</v>
      </c>
      <c r="L37" s="76">
        <f t="shared" si="34"/>
        <v>1.6666666666666667</v>
      </c>
      <c r="M37" s="76">
        <f t="shared" si="34"/>
        <v>1.6666666666666667</v>
      </c>
      <c r="N37" s="76">
        <f t="shared" si="34"/>
        <v>1.6666666666666667</v>
      </c>
      <c r="O37" s="76">
        <f t="shared" si="34"/>
        <v>1.6666666666666667</v>
      </c>
      <c r="P37" s="76">
        <f t="shared" si="34"/>
        <v>1.6666666666666667</v>
      </c>
      <c r="Q37" s="76"/>
      <c r="R37" s="76"/>
      <c r="S37" s="76"/>
      <c r="T37" s="76"/>
      <c r="U37" s="76"/>
      <c r="V37" s="76"/>
    </row>
    <row r="38" spans="1:22">
      <c r="A38" s="84" t="s">
        <v>150</v>
      </c>
      <c r="B38" s="85" t="s">
        <v>149</v>
      </c>
      <c r="C38" s="85" t="s">
        <v>83</v>
      </c>
      <c r="D38" s="84" t="s">
        <v>75</v>
      </c>
      <c r="E38" s="84" t="str">
        <f>VLOOKUP(A38,'2a. SI Pop'!$A$5:$E$198,5,FALSE)</f>
        <v>Key</v>
      </c>
      <c r="F38" s="76">
        <f>100/(100-40)</f>
        <v>1.6666666666666667</v>
      </c>
      <c r="G38" s="76">
        <f t="shared" ref="G38:P38" si="35">F38</f>
        <v>1.6666666666666667</v>
      </c>
      <c r="H38" s="76">
        <f t="shared" si="35"/>
        <v>1.6666666666666667</v>
      </c>
      <c r="I38" s="76">
        <f t="shared" si="35"/>
        <v>1.6666666666666667</v>
      </c>
      <c r="J38" s="76">
        <f t="shared" si="35"/>
        <v>1.6666666666666667</v>
      </c>
      <c r="K38" s="76">
        <f t="shared" si="35"/>
        <v>1.6666666666666667</v>
      </c>
      <c r="L38" s="76">
        <f t="shared" si="35"/>
        <v>1.6666666666666667</v>
      </c>
      <c r="M38" s="76">
        <f t="shared" si="35"/>
        <v>1.6666666666666667</v>
      </c>
      <c r="N38" s="76">
        <f t="shared" si="35"/>
        <v>1.6666666666666667</v>
      </c>
      <c r="O38" s="76">
        <f t="shared" si="35"/>
        <v>1.6666666666666667</v>
      </c>
      <c r="P38" s="76">
        <f t="shared" si="35"/>
        <v>1.6666666666666667</v>
      </c>
      <c r="Q38" s="76"/>
      <c r="R38" s="76"/>
      <c r="S38" s="76"/>
      <c r="T38" s="76"/>
      <c r="U38" s="76"/>
      <c r="V38" s="76"/>
    </row>
    <row r="39" spans="1:22">
      <c r="A39" s="84" t="s">
        <v>152</v>
      </c>
      <c r="B39" s="85" t="s">
        <v>151</v>
      </c>
      <c r="C39" s="85" t="s">
        <v>92</v>
      </c>
      <c r="D39" s="84" t="s">
        <v>87</v>
      </c>
      <c r="E39" s="84">
        <f>VLOOKUP(A39,'2a. SI Pop'!$A$5:$E$198,5,FALSE)</f>
        <v>2</v>
      </c>
      <c r="F39" s="76">
        <v>1.05</v>
      </c>
      <c r="G39" s="76">
        <f t="shared" ref="G39:P39" si="36">F39</f>
        <v>1.05</v>
      </c>
      <c r="H39" s="76">
        <f t="shared" si="36"/>
        <v>1.05</v>
      </c>
      <c r="I39" s="76">
        <f t="shared" si="36"/>
        <v>1.05</v>
      </c>
      <c r="J39" s="76">
        <f t="shared" si="36"/>
        <v>1.05</v>
      </c>
      <c r="K39" s="76">
        <f t="shared" si="36"/>
        <v>1.05</v>
      </c>
      <c r="L39" s="76">
        <f t="shared" si="36"/>
        <v>1.05</v>
      </c>
      <c r="M39" s="76">
        <f t="shared" si="36"/>
        <v>1.05</v>
      </c>
      <c r="N39" s="76">
        <f t="shared" si="36"/>
        <v>1.05</v>
      </c>
      <c r="O39" s="76">
        <f t="shared" si="36"/>
        <v>1.05</v>
      </c>
      <c r="P39" s="76">
        <f t="shared" si="36"/>
        <v>1.05</v>
      </c>
      <c r="Q39" s="76"/>
      <c r="R39" s="76"/>
      <c r="S39" s="76"/>
      <c r="T39" s="76"/>
      <c r="U39" s="76"/>
      <c r="V39" s="76"/>
    </row>
    <row r="40" spans="1:22">
      <c r="A40" s="84" t="s">
        <v>154</v>
      </c>
      <c r="B40" s="85" t="s">
        <v>153</v>
      </c>
      <c r="C40" s="85" t="s">
        <v>99</v>
      </c>
      <c r="D40" s="84" t="s">
        <v>80</v>
      </c>
      <c r="E40" s="84">
        <f>VLOOKUP(A40,'2a. SI Pop'!$A$5:$E$198,5,FALSE)</f>
        <v>1</v>
      </c>
      <c r="F40" s="76">
        <v>1.05</v>
      </c>
      <c r="G40" s="76">
        <f t="shared" ref="G40:P40" si="37">F40</f>
        <v>1.05</v>
      </c>
      <c r="H40" s="76">
        <f t="shared" si="37"/>
        <v>1.05</v>
      </c>
      <c r="I40" s="76">
        <f t="shared" si="37"/>
        <v>1.05</v>
      </c>
      <c r="J40" s="76">
        <f t="shared" si="37"/>
        <v>1.05</v>
      </c>
      <c r="K40" s="76">
        <f t="shared" si="37"/>
        <v>1.05</v>
      </c>
      <c r="L40" s="76">
        <f t="shared" si="37"/>
        <v>1.05</v>
      </c>
      <c r="M40" s="76">
        <f t="shared" si="37"/>
        <v>1.05</v>
      </c>
      <c r="N40" s="76">
        <f t="shared" si="37"/>
        <v>1.05</v>
      </c>
      <c r="O40" s="76">
        <f t="shared" si="37"/>
        <v>1.05</v>
      </c>
      <c r="P40" s="76">
        <f t="shared" si="37"/>
        <v>1.05</v>
      </c>
      <c r="Q40" s="76"/>
      <c r="R40" s="76"/>
      <c r="S40" s="76"/>
      <c r="T40" s="76"/>
      <c r="U40" s="76"/>
      <c r="V40" s="76"/>
    </row>
    <row r="41" spans="1:22">
      <c r="A41" s="84" t="s">
        <v>156</v>
      </c>
      <c r="B41" s="85" t="s">
        <v>155</v>
      </c>
      <c r="C41" s="85" t="s">
        <v>92</v>
      </c>
      <c r="D41" s="84" t="s">
        <v>80</v>
      </c>
      <c r="E41" s="84">
        <f>VLOOKUP(A41,'2a. SI Pop'!$A$5:$E$198,5,FALSE)</f>
        <v>2</v>
      </c>
      <c r="F41" s="76">
        <v>1.05</v>
      </c>
      <c r="G41" s="76">
        <f t="shared" ref="G41:P41" si="38">F41</f>
        <v>1.05</v>
      </c>
      <c r="H41" s="76">
        <f t="shared" si="38"/>
        <v>1.05</v>
      </c>
      <c r="I41" s="76">
        <f t="shared" si="38"/>
        <v>1.05</v>
      </c>
      <c r="J41" s="76">
        <f t="shared" si="38"/>
        <v>1.05</v>
      </c>
      <c r="K41" s="76">
        <f t="shared" si="38"/>
        <v>1.05</v>
      </c>
      <c r="L41" s="76">
        <f t="shared" si="38"/>
        <v>1.05</v>
      </c>
      <c r="M41" s="76">
        <f t="shared" si="38"/>
        <v>1.05</v>
      </c>
      <c r="N41" s="76">
        <f t="shared" si="38"/>
        <v>1.05</v>
      </c>
      <c r="O41" s="76">
        <f t="shared" si="38"/>
        <v>1.05</v>
      </c>
      <c r="P41" s="76">
        <f t="shared" si="38"/>
        <v>1.05</v>
      </c>
      <c r="Q41" s="76"/>
      <c r="R41" s="76"/>
      <c r="S41" s="76"/>
      <c r="T41" s="76"/>
      <c r="U41" s="76"/>
      <c r="V41" s="76"/>
    </row>
    <row r="42" spans="1:22">
      <c r="A42" s="84" t="s">
        <v>158</v>
      </c>
      <c r="B42" s="85" t="s">
        <v>157</v>
      </c>
      <c r="C42" s="85" t="s">
        <v>83</v>
      </c>
      <c r="D42" s="84" t="s">
        <v>84</v>
      </c>
      <c r="E42" s="84">
        <f>VLOOKUP(A42,'2a. SI Pop'!$A$5:$E$198,5,FALSE)</f>
        <v>3</v>
      </c>
      <c r="F42" s="76">
        <f>100/(100-15)</f>
        <v>1.1764705882352942</v>
      </c>
      <c r="G42" s="76">
        <f t="shared" ref="G42:P42" si="39">F42</f>
        <v>1.1764705882352942</v>
      </c>
      <c r="H42" s="76">
        <f t="shared" si="39"/>
        <v>1.1764705882352942</v>
      </c>
      <c r="I42" s="76">
        <f t="shared" si="39"/>
        <v>1.1764705882352942</v>
      </c>
      <c r="J42" s="76">
        <f t="shared" si="39"/>
        <v>1.1764705882352942</v>
      </c>
      <c r="K42" s="76">
        <f t="shared" si="39"/>
        <v>1.1764705882352942</v>
      </c>
      <c r="L42" s="76">
        <f t="shared" si="39"/>
        <v>1.1764705882352942</v>
      </c>
      <c r="M42" s="76">
        <f t="shared" si="39"/>
        <v>1.1764705882352942</v>
      </c>
      <c r="N42" s="76">
        <f t="shared" si="39"/>
        <v>1.1764705882352942</v>
      </c>
      <c r="O42" s="76">
        <f t="shared" si="39"/>
        <v>1.1764705882352942</v>
      </c>
      <c r="P42" s="76">
        <f t="shared" si="39"/>
        <v>1.1764705882352942</v>
      </c>
      <c r="Q42" s="76"/>
      <c r="R42" s="76"/>
      <c r="S42" s="76"/>
      <c r="T42" s="76"/>
      <c r="U42" s="76"/>
      <c r="V42" s="76"/>
    </row>
    <row r="43" spans="1:22">
      <c r="A43" s="84" t="s">
        <v>160</v>
      </c>
      <c r="B43" s="85" t="s">
        <v>159</v>
      </c>
      <c r="C43" s="85" t="s">
        <v>83</v>
      </c>
      <c r="D43" s="84" t="s">
        <v>84</v>
      </c>
      <c r="E43" s="84">
        <f>VLOOKUP(A43,'2a. SI Pop'!$A$5:$E$198,5,FALSE)</f>
        <v>3</v>
      </c>
      <c r="F43" s="76">
        <f>100/(100-15)</f>
        <v>1.1764705882352942</v>
      </c>
      <c r="G43" s="76">
        <f t="shared" ref="G43:P43" si="40">F43</f>
        <v>1.1764705882352942</v>
      </c>
      <c r="H43" s="76">
        <f t="shared" si="40"/>
        <v>1.1764705882352942</v>
      </c>
      <c r="I43" s="76">
        <f t="shared" si="40"/>
        <v>1.1764705882352942</v>
      </c>
      <c r="J43" s="76">
        <f t="shared" si="40"/>
        <v>1.1764705882352942</v>
      </c>
      <c r="K43" s="76">
        <f t="shared" si="40"/>
        <v>1.1764705882352942</v>
      </c>
      <c r="L43" s="76">
        <f t="shared" si="40"/>
        <v>1.1764705882352942</v>
      </c>
      <c r="M43" s="76">
        <f t="shared" si="40"/>
        <v>1.1764705882352942</v>
      </c>
      <c r="N43" s="76">
        <f t="shared" si="40"/>
        <v>1.1764705882352942</v>
      </c>
      <c r="O43" s="76">
        <f t="shared" si="40"/>
        <v>1.1764705882352942</v>
      </c>
      <c r="P43" s="76">
        <f t="shared" si="40"/>
        <v>1.1764705882352942</v>
      </c>
      <c r="Q43" s="76"/>
      <c r="R43" s="76"/>
      <c r="S43" s="76"/>
      <c r="T43" s="76"/>
      <c r="U43" s="76"/>
      <c r="V43" s="76"/>
    </row>
    <row r="44" spans="1:22">
      <c r="A44" s="84" t="s">
        <v>162</v>
      </c>
      <c r="B44" s="85" t="s">
        <v>161</v>
      </c>
      <c r="C44" s="85" t="s">
        <v>99</v>
      </c>
      <c r="D44" s="84" t="e">
        <v>#N/A</v>
      </c>
      <c r="E44" s="84">
        <f>VLOOKUP(A44,'2a. SI Pop'!$A$5:$E$198,5,FALSE)</f>
        <v>1</v>
      </c>
      <c r="F44" s="76">
        <v>1.05</v>
      </c>
      <c r="G44" s="76">
        <f t="shared" ref="G44:P44" si="41">F44</f>
        <v>1.05</v>
      </c>
      <c r="H44" s="76">
        <f t="shared" si="41"/>
        <v>1.05</v>
      </c>
      <c r="I44" s="76">
        <f t="shared" si="41"/>
        <v>1.05</v>
      </c>
      <c r="J44" s="76">
        <f t="shared" si="41"/>
        <v>1.05</v>
      </c>
      <c r="K44" s="76">
        <f t="shared" si="41"/>
        <v>1.05</v>
      </c>
      <c r="L44" s="76">
        <f t="shared" si="41"/>
        <v>1.05</v>
      </c>
      <c r="M44" s="76">
        <f t="shared" si="41"/>
        <v>1.05</v>
      </c>
      <c r="N44" s="76">
        <f t="shared" si="41"/>
        <v>1.05</v>
      </c>
      <c r="O44" s="76">
        <f t="shared" si="41"/>
        <v>1.05</v>
      </c>
      <c r="P44" s="76">
        <f t="shared" si="41"/>
        <v>1.05</v>
      </c>
      <c r="Q44" s="76"/>
      <c r="R44" s="76"/>
      <c r="S44" s="76"/>
      <c r="T44" s="76"/>
      <c r="U44" s="76"/>
      <c r="V44" s="76"/>
    </row>
    <row r="45" spans="1:22">
      <c r="A45" s="84" t="s">
        <v>164</v>
      </c>
      <c r="B45" s="85" t="s">
        <v>163</v>
      </c>
      <c r="C45" s="85" t="s">
        <v>92</v>
      </c>
      <c r="D45" s="84" t="s">
        <v>80</v>
      </c>
      <c r="E45" s="84">
        <f>VLOOKUP(A45,'2a. SI Pop'!$A$5:$E$198,5,FALSE)</f>
        <v>2</v>
      </c>
      <c r="F45" s="76">
        <v>1.05</v>
      </c>
      <c r="G45" s="76">
        <f t="shared" ref="G45:P45" si="42">F45</f>
        <v>1.05</v>
      </c>
      <c r="H45" s="76">
        <f t="shared" si="42"/>
        <v>1.05</v>
      </c>
      <c r="I45" s="76">
        <f t="shared" si="42"/>
        <v>1.05</v>
      </c>
      <c r="J45" s="76">
        <f t="shared" si="42"/>
        <v>1.05</v>
      </c>
      <c r="K45" s="76">
        <f t="shared" si="42"/>
        <v>1.05</v>
      </c>
      <c r="L45" s="76">
        <f t="shared" si="42"/>
        <v>1.05</v>
      </c>
      <c r="M45" s="76">
        <f t="shared" si="42"/>
        <v>1.05</v>
      </c>
      <c r="N45" s="76">
        <f t="shared" si="42"/>
        <v>1.05</v>
      </c>
      <c r="O45" s="76">
        <f t="shared" si="42"/>
        <v>1.05</v>
      </c>
      <c r="P45" s="76">
        <f t="shared" si="42"/>
        <v>1.05</v>
      </c>
      <c r="Q45" s="76"/>
      <c r="R45" s="76"/>
      <c r="S45" s="76"/>
      <c r="T45" s="76"/>
      <c r="U45" s="76"/>
      <c r="V45" s="76"/>
    </row>
    <row r="46" spans="1:22">
      <c r="A46" s="84" t="s">
        <v>166</v>
      </c>
      <c r="B46" s="85" t="s">
        <v>165</v>
      </c>
      <c r="C46" s="85" t="s">
        <v>83</v>
      </c>
      <c r="D46" s="84" t="s">
        <v>84</v>
      </c>
      <c r="E46" s="84">
        <f>VLOOKUP(A46,'2a. SI Pop'!$A$5:$E$198,5,FALSE)</f>
        <v>3</v>
      </c>
      <c r="F46" s="76">
        <f>100/(100-40)</f>
        <v>1.6666666666666667</v>
      </c>
      <c r="G46" s="76">
        <f t="shared" ref="G46:P46" si="43">F46</f>
        <v>1.6666666666666667</v>
      </c>
      <c r="H46" s="76">
        <f t="shared" si="43"/>
        <v>1.6666666666666667</v>
      </c>
      <c r="I46" s="76">
        <f t="shared" si="43"/>
        <v>1.6666666666666667</v>
      </c>
      <c r="J46" s="76">
        <f t="shared" si="43"/>
        <v>1.6666666666666667</v>
      </c>
      <c r="K46" s="76">
        <f t="shared" si="43"/>
        <v>1.6666666666666667</v>
      </c>
      <c r="L46" s="76">
        <f t="shared" si="43"/>
        <v>1.6666666666666667</v>
      </c>
      <c r="M46" s="76">
        <f t="shared" si="43"/>
        <v>1.6666666666666667</v>
      </c>
      <c r="N46" s="76">
        <f t="shared" si="43"/>
        <v>1.6666666666666667</v>
      </c>
      <c r="O46" s="76">
        <f t="shared" si="43"/>
        <v>1.6666666666666667</v>
      </c>
      <c r="P46" s="76">
        <f t="shared" si="43"/>
        <v>1.6666666666666667</v>
      </c>
      <c r="Q46" s="76"/>
      <c r="R46" s="76"/>
      <c r="S46" s="76"/>
      <c r="T46" s="76"/>
      <c r="U46" s="76"/>
      <c r="V46" s="76"/>
    </row>
    <row r="47" spans="1:22">
      <c r="A47" s="84" t="s">
        <v>168</v>
      </c>
      <c r="B47" s="85" t="s">
        <v>167</v>
      </c>
      <c r="C47" s="85" t="s">
        <v>79</v>
      </c>
      <c r="D47" s="84" t="s">
        <v>87</v>
      </c>
      <c r="E47" s="84">
        <f>VLOOKUP(A47,'2a. SI Pop'!$A$5:$E$198,5,FALSE)</f>
        <v>1</v>
      </c>
      <c r="F47" s="76">
        <v>1.05</v>
      </c>
      <c r="G47" s="76">
        <f t="shared" ref="G47:P47" si="44">F47</f>
        <v>1.05</v>
      </c>
      <c r="H47" s="76">
        <f t="shared" si="44"/>
        <v>1.05</v>
      </c>
      <c r="I47" s="76">
        <f t="shared" si="44"/>
        <v>1.05</v>
      </c>
      <c r="J47" s="76">
        <f t="shared" si="44"/>
        <v>1.05</v>
      </c>
      <c r="K47" s="76">
        <f t="shared" si="44"/>
        <v>1.05</v>
      </c>
      <c r="L47" s="76">
        <f t="shared" si="44"/>
        <v>1.05</v>
      </c>
      <c r="M47" s="76">
        <f t="shared" si="44"/>
        <v>1.05</v>
      </c>
      <c r="N47" s="76">
        <f t="shared" si="44"/>
        <v>1.05</v>
      </c>
      <c r="O47" s="76">
        <f t="shared" si="44"/>
        <v>1.05</v>
      </c>
      <c r="P47" s="76">
        <f t="shared" si="44"/>
        <v>1.05</v>
      </c>
      <c r="Q47" s="76"/>
      <c r="R47" s="76"/>
      <c r="S47" s="76"/>
      <c r="T47" s="76"/>
      <c r="U47" s="76"/>
      <c r="V47" s="76"/>
    </row>
    <row r="48" spans="1:22">
      <c r="A48" s="84" t="s">
        <v>170</v>
      </c>
      <c r="B48" s="85" t="s">
        <v>169</v>
      </c>
      <c r="C48" s="85" t="s">
        <v>92</v>
      </c>
      <c r="D48" s="84" t="s">
        <v>80</v>
      </c>
      <c r="E48" s="84">
        <f>VLOOKUP(A48,'2a. SI Pop'!$A$5:$E$198,5,FALSE)</f>
        <v>1</v>
      </c>
      <c r="F48" s="76">
        <f>100/(100-40)</f>
        <v>1.6666666666666667</v>
      </c>
      <c r="G48" s="76">
        <f t="shared" ref="G48:P48" si="45">F48</f>
        <v>1.6666666666666667</v>
      </c>
      <c r="H48" s="76">
        <f t="shared" si="45"/>
        <v>1.6666666666666667</v>
      </c>
      <c r="I48" s="76">
        <f t="shared" si="45"/>
        <v>1.6666666666666667</v>
      </c>
      <c r="J48" s="76">
        <f t="shared" si="45"/>
        <v>1.6666666666666667</v>
      </c>
      <c r="K48" s="76">
        <f t="shared" si="45"/>
        <v>1.6666666666666667</v>
      </c>
      <c r="L48" s="76">
        <f t="shared" si="45"/>
        <v>1.6666666666666667</v>
      </c>
      <c r="M48" s="76">
        <f t="shared" si="45"/>
        <v>1.6666666666666667</v>
      </c>
      <c r="N48" s="76">
        <f t="shared" si="45"/>
        <v>1.6666666666666667</v>
      </c>
      <c r="O48" s="76">
        <f t="shared" si="45"/>
        <v>1.6666666666666667</v>
      </c>
      <c r="P48" s="76">
        <f t="shared" si="45"/>
        <v>1.6666666666666667</v>
      </c>
      <c r="Q48" s="76"/>
      <c r="R48" s="76"/>
      <c r="S48" s="76"/>
      <c r="T48" s="76"/>
      <c r="U48" s="76"/>
      <c r="V48" s="76"/>
    </row>
    <row r="49" spans="1:22">
      <c r="A49" s="84" t="s">
        <v>172</v>
      </c>
      <c r="B49" s="85" t="s">
        <v>171</v>
      </c>
      <c r="C49" s="85" t="s">
        <v>79</v>
      </c>
      <c r="D49" s="84" t="s">
        <v>87</v>
      </c>
      <c r="E49" s="84">
        <f>VLOOKUP(A49,'2a. SI Pop'!$A$5:$E$198,5,FALSE)</f>
        <v>1</v>
      </c>
      <c r="F49" s="76">
        <v>1.05</v>
      </c>
      <c r="G49" s="76">
        <f t="shared" ref="G49:P49" si="46">F49</f>
        <v>1.05</v>
      </c>
      <c r="H49" s="76">
        <f t="shared" si="46"/>
        <v>1.05</v>
      </c>
      <c r="I49" s="76">
        <f t="shared" si="46"/>
        <v>1.05</v>
      </c>
      <c r="J49" s="76">
        <f t="shared" si="46"/>
        <v>1.05</v>
      </c>
      <c r="K49" s="76">
        <f t="shared" si="46"/>
        <v>1.05</v>
      </c>
      <c r="L49" s="76">
        <f t="shared" si="46"/>
        <v>1.05</v>
      </c>
      <c r="M49" s="76">
        <f t="shared" si="46"/>
        <v>1.05</v>
      </c>
      <c r="N49" s="76">
        <f t="shared" si="46"/>
        <v>1.05</v>
      </c>
      <c r="O49" s="76">
        <f t="shared" si="46"/>
        <v>1.05</v>
      </c>
      <c r="P49" s="76">
        <f t="shared" si="46"/>
        <v>1.05</v>
      </c>
      <c r="Q49" s="76"/>
      <c r="R49" s="76"/>
      <c r="S49" s="76"/>
      <c r="T49" s="76"/>
      <c r="U49" s="76"/>
      <c r="V49" s="76"/>
    </row>
    <row r="50" spans="1:22">
      <c r="A50" s="84" t="s">
        <v>174</v>
      </c>
      <c r="B50" s="85" t="s">
        <v>173</v>
      </c>
      <c r="C50" s="85" t="s">
        <v>79</v>
      </c>
      <c r="D50" s="84" t="s">
        <v>87</v>
      </c>
      <c r="E50" s="84">
        <f>VLOOKUP(A50,'2a. SI Pop'!$A$5:$E$198,5,FALSE)</f>
        <v>1</v>
      </c>
      <c r="F50" s="76">
        <v>1.05</v>
      </c>
      <c r="G50" s="76">
        <f t="shared" ref="G50:P50" si="47">F50</f>
        <v>1.05</v>
      </c>
      <c r="H50" s="76">
        <f t="shared" si="47"/>
        <v>1.05</v>
      </c>
      <c r="I50" s="76">
        <f t="shared" si="47"/>
        <v>1.05</v>
      </c>
      <c r="J50" s="76">
        <f t="shared" si="47"/>
        <v>1.05</v>
      </c>
      <c r="K50" s="76">
        <f t="shared" si="47"/>
        <v>1.05</v>
      </c>
      <c r="L50" s="76">
        <f t="shared" si="47"/>
        <v>1.05</v>
      </c>
      <c r="M50" s="76">
        <f t="shared" si="47"/>
        <v>1.05</v>
      </c>
      <c r="N50" s="76">
        <f t="shared" si="47"/>
        <v>1.05</v>
      </c>
      <c r="O50" s="76">
        <f t="shared" si="47"/>
        <v>1.05</v>
      </c>
      <c r="P50" s="76">
        <f t="shared" si="47"/>
        <v>1.05</v>
      </c>
      <c r="Q50" s="76"/>
      <c r="R50" s="76"/>
      <c r="S50" s="76"/>
      <c r="T50" s="76"/>
      <c r="U50" s="76"/>
      <c r="V50" s="76"/>
    </row>
    <row r="51" spans="1:22">
      <c r="A51" s="84" t="s">
        <v>176</v>
      </c>
      <c r="B51" s="85" t="s">
        <v>175</v>
      </c>
      <c r="C51" s="85" t="s">
        <v>110</v>
      </c>
      <c r="D51" s="84" t="s">
        <v>75</v>
      </c>
      <c r="E51" s="84">
        <f>VLOOKUP(A51,'2a. SI Pop'!$A$5:$E$198,5,FALSE)</f>
        <v>4</v>
      </c>
      <c r="F51" s="76">
        <f>100/(100-40)</f>
        <v>1.6666666666666667</v>
      </c>
      <c r="G51" s="76">
        <f t="shared" ref="G51:P51" si="48">F51</f>
        <v>1.6666666666666667</v>
      </c>
      <c r="H51" s="76">
        <f t="shared" si="48"/>
        <v>1.6666666666666667</v>
      </c>
      <c r="I51" s="76">
        <f t="shared" si="48"/>
        <v>1.6666666666666667</v>
      </c>
      <c r="J51" s="76">
        <f t="shared" si="48"/>
        <v>1.6666666666666667</v>
      </c>
      <c r="K51" s="76">
        <f t="shared" si="48"/>
        <v>1.6666666666666667</v>
      </c>
      <c r="L51" s="76">
        <f t="shared" si="48"/>
        <v>1.6666666666666667</v>
      </c>
      <c r="M51" s="76">
        <f t="shared" si="48"/>
        <v>1.6666666666666667</v>
      </c>
      <c r="N51" s="76">
        <f t="shared" si="48"/>
        <v>1.6666666666666667</v>
      </c>
      <c r="O51" s="76">
        <f t="shared" si="48"/>
        <v>1.6666666666666667</v>
      </c>
      <c r="P51" s="76">
        <f t="shared" si="48"/>
        <v>1.6666666666666667</v>
      </c>
      <c r="Q51" s="76"/>
      <c r="R51" s="76"/>
      <c r="S51" s="76"/>
      <c r="T51" s="76"/>
      <c r="U51" s="76"/>
      <c r="V51" s="76"/>
    </row>
    <row r="52" spans="1:22">
      <c r="A52" s="84" t="s">
        <v>178</v>
      </c>
      <c r="B52" s="85" t="s">
        <v>177</v>
      </c>
      <c r="C52" s="85" t="s">
        <v>83</v>
      </c>
      <c r="D52" s="84" t="s">
        <v>75</v>
      </c>
      <c r="E52" s="84" t="str">
        <f>VLOOKUP(A52,'2a. SI Pop'!$A$5:$E$198,5,FALSE)</f>
        <v>Key</v>
      </c>
      <c r="F52" s="76">
        <f>100/(100-40)</f>
        <v>1.6666666666666667</v>
      </c>
      <c r="G52" s="76">
        <f t="shared" ref="G52:P52" si="49">F52</f>
        <v>1.6666666666666667</v>
      </c>
      <c r="H52" s="76">
        <f t="shared" si="49"/>
        <v>1.6666666666666667</v>
      </c>
      <c r="I52" s="76">
        <f t="shared" si="49"/>
        <v>1.6666666666666667</v>
      </c>
      <c r="J52" s="76">
        <f t="shared" si="49"/>
        <v>1.6666666666666667</v>
      </c>
      <c r="K52" s="76">
        <f t="shared" si="49"/>
        <v>1.6666666666666667</v>
      </c>
      <c r="L52" s="76">
        <f t="shared" si="49"/>
        <v>1.6666666666666667</v>
      </c>
      <c r="M52" s="76">
        <f t="shared" si="49"/>
        <v>1.6666666666666667</v>
      </c>
      <c r="N52" s="76">
        <f t="shared" si="49"/>
        <v>1.6666666666666667</v>
      </c>
      <c r="O52" s="76">
        <f t="shared" si="49"/>
        <v>1.6666666666666667</v>
      </c>
      <c r="P52" s="76">
        <f t="shared" si="49"/>
        <v>1.6666666666666667</v>
      </c>
      <c r="Q52" s="76"/>
      <c r="R52" s="76"/>
      <c r="S52" s="76"/>
      <c r="T52" s="76"/>
      <c r="U52" s="76"/>
      <c r="V52" s="76"/>
    </row>
    <row r="53" spans="1:22">
      <c r="A53" s="84" t="s">
        <v>180</v>
      </c>
      <c r="B53" s="85" t="s">
        <v>179</v>
      </c>
      <c r="C53" s="85" t="s">
        <v>79</v>
      </c>
      <c r="D53" s="84" t="s">
        <v>87</v>
      </c>
      <c r="E53" s="84">
        <f>VLOOKUP(A53,'2a. SI Pop'!$A$5:$E$198,5,FALSE)</f>
        <v>1</v>
      </c>
      <c r="F53" s="76">
        <f>100/(100-40)</f>
        <v>1.6666666666666667</v>
      </c>
      <c r="G53" s="76">
        <f t="shared" ref="G53:P53" si="50">F53</f>
        <v>1.6666666666666667</v>
      </c>
      <c r="H53" s="76">
        <f t="shared" si="50"/>
        <v>1.6666666666666667</v>
      </c>
      <c r="I53" s="76">
        <f t="shared" si="50"/>
        <v>1.6666666666666667</v>
      </c>
      <c r="J53" s="76">
        <f t="shared" si="50"/>
        <v>1.6666666666666667</v>
      </c>
      <c r="K53" s="76">
        <f t="shared" si="50"/>
        <v>1.6666666666666667</v>
      </c>
      <c r="L53" s="76">
        <f t="shared" si="50"/>
        <v>1.6666666666666667</v>
      </c>
      <c r="M53" s="76">
        <f t="shared" si="50"/>
        <v>1.6666666666666667</v>
      </c>
      <c r="N53" s="76">
        <f t="shared" si="50"/>
        <v>1.6666666666666667</v>
      </c>
      <c r="O53" s="76">
        <f t="shared" si="50"/>
        <v>1.6666666666666667</v>
      </c>
      <c r="P53" s="76">
        <f t="shared" si="50"/>
        <v>1.6666666666666667</v>
      </c>
      <c r="Q53" s="76"/>
      <c r="R53" s="76"/>
      <c r="S53" s="76"/>
      <c r="T53" s="76"/>
      <c r="U53" s="76"/>
      <c r="V53" s="76"/>
    </row>
    <row r="54" spans="1:22">
      <c r="A54" s="84" t="s">
        <v>182</v>
      </c>
      <c r="B54" s="85" t="s">
        <v>181</v>
      </c>
      <c r="C54" s="85" t="s">
        <v>74</v>
      </c>
      <c r="D54" s="84" t="s">
        <v>84</v>
      </c>
      <c r="E54" s="84">
        <f>VLOOKUP(A54,'2a. SI Pop'!$A$5:$E$198,5,FALSE)</f>
        <v>3</v>
      </c>
      <c r="F54" s="76">
        <f>100/(100-40)</f>
        <v>1.6666666666666667</v>
      </c>
      <c r="G54" s="76">
        <f t="shared" ref="G54:P54" si="51">F54</f>
        <v>1.6666666666666667</v>
      </c>
      <c r="H54" s="76">
        <f t="shared" si="51"/>
        <v>1.6666666666666667</v>
      </c>
      <c r="I54" s="76">
        <f t="shared" si="51"/>
        <v>1.6666666666666667</v>
      </c>
      <c r="J54" s="76">
        <f t="shared" si="51"/>
        <v>1.6666666666666667</v>
      </c>
      <c r="K54" s="76">
        <f t="shared" si="51"/>
        <v>1.6666666666666667</v>
      </c>
      <c r="L54" s="76">
        <f t="shared" si="51"/>
        <v>1.6666666666666667</v>
      </c>
      <c r="M54" s="76">
        <f t="shared" si="51"/>
        <v>1.6666666666666667</v>
      </c>
      <c r="N54" s="76">
        <f t="shared" si="51"/>
        <v>1.6666666666666667</v>
      </c>
      <c r="O54" s="76">
        <f t="shared" si="51"/>
        <v>1.6666666666666667</v>
      </c>
      <c r="P54" s="76">
        <f t="shared" si="51"/>
        <v>1.6666666666666667</v>
      </c>
      <c r="Q54" s="76"/>
      <c r="R54" s="76"/>
      <c r="S54" s="76"/>
      <c r="T54" s="76"/>
      <c r="U54" s="76"/>
      <c r="V54" s="76"/>
    </row>
    <row r="55" spans="1:22">
      <c r="A55" s="84" t="s">
        <v>184</v>
      </c>
      <c r="B55" s="85" t="s">
        <v>183</v>
      </c>
      <c r="C55" s="85" t="s">
        <v>92</v>
      </c>
      <c r="D55" s="84" t="s">
        <v>80</v>
      </c>
      <c r="E55" s="84">
        <f>VLOOKUP(A55,'2a. SI Pop'!$A$5:$E$198,5,FALSE)</f>
        <v>2</v>
      </c>
      <c r="F55" s="76">
        <v>1.05</v>
      </c>
      <c r="G55" s="76">
        <f t="shared" ref="G55:P55" si="52">F55</f>
        <v>1.05</v>
      </c>
      <c r="H55" s="76">
        <f t="shared" si="52"/>
        <v>1.05</v>
      </c>
      <c r="I55" s="76">
        <f t="shared" si="52"/>
        <v>1.05</v>
      </c>
      <c r="J55" s="76">
        <f t="shared" si="52"/>
        <v>1.05</v>
      </c>
      <c r="K55" s="76">
        <f t="shared" si="52"/>
        <v>1.05</v>
      </c>
      <c r="L55" s="76">
        <f t="shared" si="52"/>
        <v>1.05</v>
      </c>
      <c r="M55" s="76">
        <f t="shared" si="52"/>
        <v>1.05</v>
      </c>
      <c r="N55" s="76">
        <f t="shared" si="52"/>
        <v>1.05</v>
      </c>
      <c r="O55" s="76">
        <f t="shared" si="52"/>
        <v>1.05</v>
      </c>
      <c r="P55" s="76">
        <f t="shared" si="52"/>
        <v>1.05</v>
      </c>
      <c r="Q55" s="76"/>
      <c r="R55" s="76"/>
      <c r="S55" s="76"/>
      <c r="T55" s="76"/>
      <c r="U55" s="76"/>
      <c r="V55" s="76"/>
    </row>
    <row r="56" spans="1:22">
      <c r="A56" s="84" t="s">
        <v>184</v>
      </c>
      <c r="B56" s="85" t="s">
        <v>185</v>
      </c>
      <c r="C56" s="85" t="s">
        <v>92</v>
      </c>
      <c r="D56" s="84" t="s">
        <v>80</v>
      </c>
      <c r="E56" s="84">
        <f>VLOOKUP(A56,'2a. SI Pop'!$A$5:$E$198,5,FALSE)</f>
        <v>2</v>
      </c>
      <c r="F56" s="76">
        <v>1.05</v>
      </c>
      <c r="G56" s="76">
        <f t="shared" ref="G56:P56" si="53">F56</f>
        <v>1.05</v>
      </c>
      <c r="H56" s="76">
        <f t="shared" si="53"/>
        <v>1.05</v>
      </c>
      <c r="I56" s="76">
        <f t="shared" si="53"/>
        <v>1.05</v>
      </c>
      <c r="J56" s="76">
        <f t="shared" si="53"/>
        <v>1.05</v>
      </c>
      <c r="K56" s="76">
        <f t="shared" si="53"/>
        <v>1.05</v>
      </c>
      <c r="L56" s="76">
        <f t="shared" si="53"/>
        <v>1.05</v>
      </c>
      <c r="M56" s="76">
        <f t="shared" si="53"/>
        <v>1.05</v>
      </c>
      <c r="N56" s="76">
        <f t="shared" si="53"/>
        <v>1.05</v>
      </c>
      <c r="O56" s="76">
        <f t="shared" si="53"/>
        <v>1.05</v>
      </c>
      <c r="P56" s="76">
        <f t="shared" si="53"/>
        <v>1.05</v>
      </c>
      <c r="Q56" s="76"/>
      <c r="R56" s="76"/>
      <c r="S56" s="76"/>
      <c r="T56" s="76"/>
      <c r="U56" s="76"/>
      <c r="V56" s="76"/>
    </row>
    <row r="57" spans="1:22">
      <c r="A57" s="84" t="s">
        <v>187</v>
      </c>
      <c r="B57" s="85" t="s">
        <v>186</v>
      </c>
      <c r="C57" s="85" t="s">
        <v>92</v>
      </c>
      <c r="D57" s="84" t="s">
        <v>80</v>
      </c>
      <c r="E57" s="84">
        <f>VLOOKUP(A57,'2a. SI Pop'!$A$5:$E$198,5,FALSE)</f>
        <v>2</v>
      </c>
      <c r="F57" s="76">
        <v>1.05</v>
      </c>
      <c r="G57" s="76">
        <f t="shared" ref="G57:P57" si="54">F57</f>
        <v>1.05</v>
      </c>
      <c r="H57" s="76">
        <f t="shared" si="54"/>
        <v>1.05</v>
      </c>
      <c r="I57" s="76">
        <f t="shared" si="54"/>
        <v>1.05</v>
      </c>
      <c r="J57" s="76">
        <f t="shared" si="54"/>
        <v>1.05</v>
      </c>
      <c r="K57" s="76">
        <f t="shared" si="54"/>
        <v>1.05</v>
      </c>
      <c r="L57" s="76">
        <f t="shared" si="54"/>
        <v>1.05</v>
      </c>
      <c r="M57" s="76">
        <f t="shared" si="54"/>
        <v>1.05</v>
      </c>
      <c r="N57" s="76">
        <f t="shared" si="54"/>
        <v>1.05</v>
      </c>
      <c r="O57" s="76">
        <f t="shared" si="54"/>
        <v>1.05</v>
      </c>
      <c r="P57" s="76">
        <f t="shared" si="54"/>
        <v>1.05</v>
      </c>
      <c r="Q57" s="76"/>
      <c r="R57" s="76"/>
      <c r="S57" s="76"/>
      <c r="T57" s="76"/>
      <c r="U57" s="76"/>
      <c r="V57" s="76"/>
    </row>
    <row r="58" spans="1:22">
      <c r="A58" s="84" t="s">
        <v>189</v>
      </c>
      <c r="B58" s="85" t="s">
        <v>188</v>
      </c>
      <c r="C58" s="85" t="s">
        <v>74</v>
      </c>
      <c r="D58" s="84" t="s">
        <v>84</v>
      </c>
      <c r="E58" s="84">
        <f>VLOOKUP(A58,'2a. SI Pop'!$A$5:$E$198,5,FALSE)</f>
        <v>2</v>
      </c>
      <c r="F58" s="76">
        <f>100/(100-40)</f>
        <v>1.6666666666666667</v>
      </c>
      <c r="G58" s="76">
        <f t="shared" ref="G58:P58" si="55">F58</f>
        <v>1.6666666666666667</v>
      </c>
      <c r="H58" s="76">
        <f t="shared" si="55"/>
        <v>1.6666666666666667</v>
      </c>
      <c r="I58" s="76">
        <f t="shared" si="55"/>
        <v>1.6666666666666667</v>
      </c>
      <c r="J58" s="76">
        <f t="shared" si="55"/>
        <v>1.6666666666666667</v>
      </c>
      <c r="K58" s="76">
        <f t="shared" si="55"/>
        <v>1.6666666666666667</v>
      </c>
      <c r="L58" s="76">
        <f t="shared" si="55"/>
        <v>1.6666666666666667</v>
      </c>
      <c r="M58" s="76">
        <f t="shared" si="55"/>
        <v>1.6666666666666667</v>
      </c>
      <c r="N58" s="76">
        <f t="shared" si="55"/>
        <v>1.6666666666666667</v>
      </c>
      <c r="O58" s="76">
        <f t="shared" si="55"/>
        <v>1.6666666666666667</v>
      </c>
      <c r="P58" s="76">
        <f t="shared" si="55"/>
        <v>1.6666666666666667</v>
      </c>
      <c r="Q58" s="76"/>
      <c r="R58" s="76"/>
      <c r="S58" s="76"/>
      <c r="T58" s="76"/>
      <c r="U58" s="76"/>
      <c r="V58" s="76"/>
    </row>
    <row r="59" spans="1:22">
      <c r="A59" s="84" t="s">
        <v>191</v>
      </c>
      <c r="B59" s="85" t="s">
        <v>190</v>
      </c>
      <c r="C59" s="85" t="s">
        <v>92</v>
      </c>
      <c r="D59" s="84" t="s">
        <v>84</v>
      </c>
      <c r="E59" s="84">
        <f>VLOOKUP(A59,'2a. SI Pop'!$A$5:$E$198,5,FALSE)</f>
        <v>1</v>
      </c>
      <c r="F59" s="76">
        <v>1.05</v>
      </c>
      <c r="G59" s="76">
        <f t="shared" ref="G59:P59" si="56">F59</f>
        <v>1.05</v>
      </c>
      <c r="H59" s="76">
        <f t="shared" si="56"/>
        <v>1.05</v>
      </c>
      <c r="I59" s="76">
        <f t="shared" si="56"/>
        <v>1.05</v>
      </c>
      <c r="J59" s="76">
        <f t="shared" si="56"/>
        <v>1.05</v>
      </c>
      <c r="K59" s="76">
        <f t="shared" si="56"/>
        <v>1.05</v>
      </c>
      <c r="L59" s="76">
        <f t="shared" si="56"/>
        <v>1.05</v>
      </c>
      <c r="M59" s="76">
        <f t="shared" si="56"/>
        <v>1.05</v>
      </c>
      <c r="N59" s="76">
        <f t="shared" si="56"/>
        <v>1.05</v>
      </c>
      <c r="O59" s="76">
        <f t="shared" si="56"/>
        <v>1.05</v>
      </c>
      <c r="P59" s="76">
        <f t="shared" si="56"/>
        <v>1.05</v>
      </c>
      <c r="Q59" s="76"/>
      <c r="R59" s="76"/>
      <c r="S59" s="76"/>
      <c r="T59" s="76"/>
      <c r="U59" s="76"/>
      <c r="V59" s="76"/>
    </row>
    <row r="60" spans="1:22">
      <c r="A60" s="84" t="s">
        <v>193</v>
      </c>
      <c r="B60" s="85" t="s">
        <v>192</v>
      </c>
      <c r="C60" s="85" t="s">
        <v>83</v>
      </c>
      <c r="D60" s="84" t="s">
        <v>80</v>
      </c>
      <c r="E60" s="84">
        <f>VLOOKUP(A60,'2a. SI Pop'!$A$5:$E$198,5,FALSE)</f>
        <v>3</v>
      </c>
      <c r="F60" s="76">
        <f>100/(100-40)</f>
        <v>1.6666666666666667</v>
      </c>
      <c r="G60" s="76">
        <f t="shared" ref="G60:P60" si="57">F60</f>
        <v>1.6666666666666667</v>
      </c>
      <c r="H60" s="76">
        <f t="shared" si="57"/>
        <v>1.6666666666666667</v>
      </c>
      <c r="I60" s="76">
        <f t="shared" si="57"/>
        <v>1.6666666666666667</v>
      </c>
      <c r="J60" s="76">
        <f t="shared" si="57"/>
        <v>1.6666666666666667</v>
      </c>
      <c r="K60" s="76">
        <f t="shared" si="57"/>
        <v>1.6666666666666667</v>
      </c>
      <c r="L60" s="76">
        <f t="shared" si="57"/>
        <v>1.6666666666666667</v>
      </c>
      <c r="M60" s="76">
        <f t="shared" si="57"/>
        <v>1.6666666666666667</v>
      </c>
      <c r="N60" s="76">
        <f t="shared" si="57"/>
        <v>1.6666666666666667</v>
      </c>
      <c r="O60" s="76">
        <f t="shared" si="57"/>
        <v>1.6666666666666667</v>
      </c>
      <c r="P60" s="76">
        <f t="shared" si="57"/>
        <v>1.6666666666666667</v>
      </c>
      <c r="Q60" s="76"/>
      <c r="R60" s="76"/>
      <c r="S60" s="76"/>
      <c r="T60" s="76"/>
      <c r="U60" s="76"/>
      <c r="V60" s="76"/>
    </row>
    <row r="61" spans="1:22">
      <c r="A61" s="84" t="s">
        <v>195</v>
      </c>
      <c r="B61" s="85" t="s">
        <v>194</v>
      </c>
      <c r="C61" s="85" t="s">
        <v>83</v>
      </c>
      <c r="D61" s="84" t="s">
        <v>75</v>
      </c>
      <c r="E61" s="84">
        <f>VLOOKUP(A61,'2a. SI Pop'!$A$5:$E$198,5,FALSE)</f>
        <v>3</v>
      </c>
      <c r="F61" s="76">
        <f>100/(100-15)</f>
        <v>1.1764705882352942</v>
      </c>
      <c r="G61" s="76">
        <f t="shared" ref="G61:P61" si="58">F61</f>
        <v>1.1764705882352942</v>
      </c>
      <c r="H61" s="76">
        <f t="shared" si="58"/>
        <v>1.1764705882352942</v>
      </c>
      <c r="I61" s="76">
        <f t="shared" si="58"/>
        <v>1.1764705882352942</v>
      </c>
      <c r="J61" s="76">
        <f t="shared" si="58"/>
        <v>1.1764705882352942</v>
      </c>
      <c r="K61" s="76">
        <f t="shared" si="58"/>
        <v>1.1764705882352942</v>
      </c>
      <c r="L61" s="76">
        <f t="shared" si="58"/>
        <v>1.1764705882352942</v>
      </c>
      <c r="M61" s="76">
        <f t="shared" si="58"/>
        <v>1.1764705882352942</v>
      </c>
      <c r="N61" s="76">
        <f t="shared" si="58"/>
        <v>1.1764705882352942</v>
      </c>
      <c r="O61" s="76">
        <f t="shared" si="58"/>
        <v>1.1764705882352942</v>
      </c>
      <c r="P61" s="76">
        <f t="shared" si="58"/>
        <v>1.1764705882352942</v>
      </c>
      <c r="Q61" s="76"/>
      <c r="R61" s="76"/>
      <c r="S61" s="76"/>
      <c r="T61" s="76"/>
      <c r="U61" s="76"/>
      <c r="V61" s="76"/>
    </row>
    <row r="62" spans="1:22">
      <c r="A62" s="84" t="s">
        <v>197</v>
      </c>
      <c r="B62" s="85" t="s">
        <v>196</v>
      </c>
      <c r="C62" s="85" t="s">
        <v>79</v>
      </c>
      <c r="D62" s="84" t="s">
        <v>87</v>
      </c>
      <c r="E62" s="84">
        <f>VLOOKUP(A62,'2a. SI Pop'!$A$5:$E$198,5,FALSE)</f>
        <v>1</v>
      </c>
      <c r="F62" s="76">
        <v>1.05</v>
      </c>
      <c r="G62" s="76">
        <f t="shared" ref="G62:P62" si="59">F62</f>
        <v>1.05</v>
      </c>
      <c r="H62" s="76">
        <f t="shared" si="59"/>
        <v>1.05</v>
      </c>
      <c r="I62" s="76">
        <f t="shared" si="59"/>
        <v>1.05</v>
      </c>
      <c r="J62" s="76">
        <f t="shared" si="59"/>
        <v>1.05</v>
      </c>
      <c r="K62" s="76">
        <f t="shared" si="59"/>
        <v>1.05</v>
      </c>
      <c r="L62" s="76">
        <f t="shared" si="59"/>
        <v>1.05</v>
      </c>
      <c r="M62" s="76">
        <f t="shared" si="59"/>
        <v>1.05</v>
      </c>
      <c r="N62" s="76">
        <f t="shared" si="59"/>
        <v>1.05</v>
      </c>
      <c r="O62" s="76">
        <f t="shared" si="59"/>
        <v>1.05</v>
      </c>
      <c r="P62" s="76">
        <f t="shared" si="59"/>
        <v>1.05</v>
      </c>
      <c r="Q62" s="76"/>
      <c r="R62" s="76"/>
      <c r="S62" s="76"/>
      <c r="T62" s="76"/>
      <c r="U62" s="76"/>
      <c r="V62" s="76"/>
    </row>
    <row r="63" spans="1:22">
      <c r="A63" s="84" t="s">
        <v>199</v>
      </c>
      <c r="B63" s="85" t="s">
        <v>198</v>
      </c>
      <c r="C63" s="85" t="s">
        <v>83</v>
      </c>
      <c r="D63" s="84" t="s">
        <v>75</v>
      </c>
      <c r="E63" s="84" t="str">
        <f>VLOOKUP(A63,'2a. SI Pop'!$A$5:$E$198,5,FALSE)</f>
        <v>Key</v>
      </c>
      <c r="F63" s="76">
        <f>100/(100-15)</f>
        <v>1.1764705882352942</v>
      </c>
      <c r="G63" s="76">
        <f t="shared" ref="G63:P63" si="60">F63</f>
        <v>1.1764705882352942</v>
      </c>
      <c r="H63" s="76">
        <f t="shared" si="60"/>
        <v>1.1764705882352942</v>
      </c>
      <c r="I63" s="76">
        <f t="shared" si="60"/>
        <v>1.1764705882352942</v>
      </c>
      <c r="J63" s="76">
        <f t="shared" si="60"/>
        <v>1.1764705882352942</v>
      </c>
      <c r="K63" s="76">
        <f t="shared" si="60"/>
        <v>1.1764705882352942</v>
      </c>
      <c r="L63" s="76">
        <f t="shared" si="60"/>
        <v>1.1764705882352942</v>
      </c>
      <c r="M63" s="76">
        <f t="shared" si="60"/>
        <v>1.1764705882352942</v>
      </c>
      <c r="N63" s="76">
        <f t="shared" si="60"/>
        <v>1.1764705882352942</v>
      </c>
      <c r="O63" s="76">
        <f t="shared" si="60"/>
        <v>1.1764705882352942</v>
      </c>
      <c r="P63" s="76">
        <f t="shared" si="60"/>
        <v>1.1764705882352942</v>
      </c>
      <c r="Q63" s="76"/>
      <c r="R63" s="76"/>
      <c r="S63" s="76"/>
      <c r="T63" s="76"/>
      <c r="U63" s="76"/>
      <c r="V63" s="76"/>
    </row>
    <row r="64" spans="1:22">
      <c r="A64" s="84" t="s">
        <v>201</v>
      </c>
      <c r="B64" s="85" t="s">
        <v>200</v>
      </c>
      <c r="C64" s="85" t="s">
        <v>99</v>
      </c>
      <c r="D64" s="84" t="s">
        <v>80</v>
      </c>
      <c r="E64" s="84">
        <f>VLOOKUP(A64,'2a. SI Pop'!$A$5:$E$198,5,FALSE)</f>
        <v>4</v>
      </c>
      <c r="F64" s="76">
        <f>100/(100-40)</f>
        <v>1.6666666666666667</v>
      </c>
      <c r="G64" s="76">
        <f t="shared" ref="G64:P64" si="61">F64</f>
        <v>1.6666666666666667</v>
      </c>
      <c r="H64" s="76">
        <f t="shared" si="61"/>
        <v>1.6666666666666667</v>
      </c>
      <c r="I64" s="76">
        <f t="shared" si="61"/>
        <v>1.6666666666666667</v>
      </c>
      <c r="J64" s="76">
        <f t="shared" si="61"/>
        <v>1.6666666666666667</v>
      </c>
      <c r="K64" s="76">
        <f t="shared" si="61"/>
        <v>1.6666666666666667</v>
      </c>
      <c r="L64" s="76">
        <f t="shared" si="61"/>
        <v>1.6666666666666667</v>
      </c>
      <c r="M64" s="76">
        <f t="shared" si="61"/>
        <v>1.6666666666666667</v>
      </c>
      <c r="N64" s="76">
        <f t="shared" si="61"/>
        <v>1.6666666666666667</v>
      </c>
      <c r="O64" s="76">
        <f t="shared" si="61"/>
        <v>1.6666666666666667</v>
      </c>
      <c r="P64" s="76">
        <f t="shared" si="61"/>
        <v>1.6666666666666667</v>
      </c>
      <c r="Q64" s="76"/>
      <c r="R64" s="76"/>
      <c r="S64" s="76"/>
      <c r="T64" s="76"/>
      <c r="U64" s="76"/>
      <c r="V64" s="76"/>
    </row>
    <row r="65" spans="1:22">
      <c r="A65" s="84" t="s">
        <v>203</v>
      </c>
      <c r="B65" s="85" t="s">
        <v>202</v>
      </c>
      <c r="C65" s="85" t="s">
        <v>79</v>
      </c>
      <c r="D65" s="84" t="s">
        <v>87</v>
      </c>
      <c r="E65" s="84">
        <f>VLOOKUP(A65,'2a. SI Pop'!$A$5:$E$198,5,FALSE)</f>
        <v>1</v>
      </c>
      <c r="F65" s="76">
        <v>1.05</v>
      </c>
      <c r="G65" s="76">
        <f t="shared" ref="G65:P65" si="62">F65</f>
        <v>1.05</v>
      </c>
      <c r="H65" s="76">
        <f t="shared" si="62"/>
        <v>1.05</v>
      </c>
      <c r="I65" s="76">
        <f t="shared" si="62"/>
        <v>1.05</v>
      </c>
      <c r="J65" s="76">
        <f t="shared" si="62"/>
        <v>1.05</v>
      </c>
      <c r="K65" s="76">
        <f t="shared" si="62"/>
        <v>1.05</v>
      </c>
      <c r="L65" s="76">
        <f t="shared" si="62"/>
        <v>1.05</v>
      </c>
      <c r="M65" s="76">
        <f t="shared" si="62"/>
        <v>1.05</v>
      </c>
      <c r="N65" s="76">
        <f t="shared" si="62"/>
        <v>1.05</v>
      </c>
      <c r="O65" s="76">
        <f t="shared" si="62"/>
        <v>1.05</v>
      </c>
      <c r="P65" s="76">
        <f t="shared" si="62"/>
        <v>1.05</v>
      </c>
      <c r="Q65" s="76"/>
      <c r="R65" s="76"/>
      <c r="S65" s="76"/>
      <c r="T65" s="76"/>
      <c r="U65" s="76"/>
      <c r="V65" s="76"/>
    </row>
    <row r="66" spans="1:22">
      <c r="A66" s="84" t="s">
        <v>205</v>
      </c>
      <c r="B66" s="85" t="s">
        <v>204</v>
      </c>
      <c r="C66" s="85" t="s">
        <v>79</v>
      </c>
      <c r="D66" s="84" t="s">
        <v>87</v>
      </c>
      <c r="E66" s="84">
        <f>VLOOKUP(A66,'2a. SI Pop'!$A$5:$E$198,5,FALSE)</f>
        <v>1</v>
      </c>
      <c r="F66" s="76">
        <v>1.05</v>
      </c>
      <c r="G66" s="76">
        <f t="shared" ref="G66:P66" si="63">F66</f>
        <v>1.05</v>
      </c>
      <c r="H66" s="76">
        <f t="shared" si="63"/>
        <v>1.05</v>
      </c>
      <c r="I66" s="76">
        <f t="shared" si="63"/>
        <v>1.05</v>
      </c>
      <c r="J66" s="76">
        <f t="shared" si="63"/>
        <v>1.05</v>
      </c>
      <c r="K66" s="76">
        <f t="shared" si="63"/>
        <v>1.05</v>
      </c>
      <c r="L66" s="76">
        <f t="shared" si="63"/>
        <v>1.05</v>
      </c>
      <c r="M66" s="76">
        <f t="shared" si="63"/>
        <v>1.05</v>
      </c>
      <c r="N66" s="76">
        <f t="shared" si="63"/>
        <v>1.05</v>
      </c>
      <c r="O66" s="76">
        <f t="shared" si="63"/>
        <v>1.05</v>
      </c>
      <c r="P66" s="76">
        <f t="shared" si="63"/>
        <v>1.05</v>
      </c>
      <c r="Q66" s="76"/>
      <c r="R66" s="76"/>
      <c r="S66" s="76"/>
      <c r="T66" s="76"/>
      <c r="U66" s="76"/>
      <c r="V66" s="76"/>
    </row>
    <row r="67" spans="1:22">
      <c r="A67" s="84" t="s">
        <v>207</v>
      </c>
      <c r="B67" s="85" t="s">
        <v>206</v>
      </c>
      <c r="C67" s="85" t="s">
        <v>83</v>
      </c>
      <c r="D67" s="84" t="s">
        <v>80</v>
      </c>
      <c r="E67" s="84">
        <f>VLOOKUP(A67,'2a. SI Pop'!$A$5:$E$198,5,FALSE)</f>
        <v>3</v>
      </c>
      <c r="F67" s="76">
        <f>100/(100-40)</f>
        <v>1.6666666666666667</v>
      </c>
      <c r="G67" s="76">
        <f t="shared" ref="G67:P67" si="64">F67</f>
        <v>1.6666666666666667</v>
      </c>
      <c r="H67" s="76">
        <f t="shared" si="64"/>
        <v>1.6666666666666667</v>
      </c>
      <c r="I67" s="76">
        <f t="shared" si="64"/>
        <v>1.6666666666666667</v>
      </c>
      <c r="J67" s="76">
        <f t="shared" si="64"/>
        <v>1.6666666666666667</v>
      </c>
      <c r="K67" s="76">
        <f t="shared" si="64"/>
        <v>1.6666666666666667</v>
      </c>
      <c r="L67" s="76">
        <f t="shared" si="64"/>
        <v>1.6666666666666667</v>
      </c>
      <c r="M67" s="76">
        <f t="shared" si="64"/>
        <v>1.6666666666666667</v>
      </c>
      <c r="N67" s="76">
        <f t="shared" si="64"/>
        <v>1.6666666666666667</v>
      </c>
      <c r="O67" s="76">
        <f t="shared" si="64"/>
        <v>1.6666666666666667</v>
      </c>
      <c r="P67" s="76">
        <f t="shared" si="64"/>
        <v>1.6666666666666667</v>
      </c>
      <c r="Q67" s="76"/>
      <c r="R67" s="76"/>
      <c r="S67" s="76"/>
      <c r="T67" s="76"/>
      <c r="U67" s="76"/>
      <c r="V67" s="76"/>
    </row>
    <row r="68" spans="1:22">
      <c r="A68" s="84" t="s">
        <v>209</v>
      </c>
      <c r="B68" s="85" t="s">
        <v>208</v>
      </c>
      <c r="C68" s="85" t="s">
        <v>83</v>
      </c>
      <c r="D68" s="84" t="s">
        <v>75</v>
      </c>
      <c r="E68" s="84">
        <f>VLOOKUP(A68,'2a. SI Pop'!$A$5:$E$198,5,FALSE)</f>
        <v>3</v>
      </c>
      <c r="F68" s="76">
        <f>100/(100-40)</f>
        <v>1.6666666666666667</v>
      </c>
      <c r="G68" s="76">
        <f t="shared" ref="G68:P68" si="65">F68</f>
        <v>1.6666666666666667</v>
      </c>
      <c r="H68" s="76">
        <f t="shared" si="65"/>
        <v>1.6666666666666667</v>
      </c>
      <c r="I68" s="76">
        <f t="shared" si="65"/>
        <v>1.6666666666666667</v>
      </c>
      <c r="J68" s="76">
        <f t="shared" si="65"/>
        <v>1.6666666666666667</v>
      </c>
      <c r="K68" s="76">
        <f t="shared" si="65"/>
        <v>1.6666666666666667</v>
      </c>
      <c r="L68" s="76">
        <f t="shared" si="65"/>
        <v>1.6666666666666667</v>
      </c>
      <c r="M68" s="76">
        <f t="shared" si="65"/>
        <v>1.6666666666666667</v>
      </c>
      <c r="N68" s="76">
        <f t="shared" si="65"/>
        <v>1.6666666666666667</v>
      </c>
      <c r="O68" s="76">
        <f t="shared" si="65"/>
        <v>1.6666666666666667</v>
      </c>
      <c r="P68" s="76">
        <f t="shared" si="65"/>
        <v>1.6666666666666667</v>
      </c>
      <c r="Q68" s="76"/>
      <c r="R68" s="76"/>
      <c r="S68" s="76"/>
      <c r="T68" s="76"/>
      <c r="U68" s="76"/>
      <c r="V68" s="76"/>
    </row>
    <row r="69" spans="1:22">
      <c r="A69" s="84" t="s">
        <v>211</v>
      </c>
      <c r="B69" s="85" t="s">
        <v>210</v>
      </c>
      <c r="C69" s="85" t="s">
        <v>79</v>
      </c>
      <c r="D69" s="84" t="s">
        <v>80</v>
      </c>
      <c r="E69" s="84">
        <f>VLOOKUP(A69,'2a. SI Pop'!$A$5:$E$198,5,FALSE)</f>
        <v>1</v>
      </c>
      <c r="F69" s="76">
        <v>1.05</v>
      </c>
      <c r="G69" s="76">
        <f t="shared" ref="G69:P69" si="66">F69</f>
        <v>1.05</v>
      </c>
      <c r="H69" s="76">
        <f t="shared" si="66"/>
        <v>1.05</v>
      </c>
      <c r="I69" s="76">
        <f t="shared" si="66"/>
        <v>1.05</v>
      </c>
      <c r="J69" s="76">
        <f t="shared" si="66"/>
        <v>1.05</v>
      </c>
      <c r="K69" s="76">
        <f t="shared" si="66"/>
        <v>1.05</v>
      </c>
      <c r="L69" s="76">
        <f t="shared" si="66"/>
        <v>1.05</v>
      </c>
      <c r="M69" s="76">
        <f t="shared" si="66"/>
        <v>1.05</v>
      </c>
      <c r="N69" s="76">
        <f t="shared" si="66"/>
        <v>1.05</v>
      </c>
      <c r="O69" s="76">
        <f t="shared" si="66"/>
        <v>1.05</v>
      </c>
      <c r="P69" s="76">
        <f t="shared" si="66"/>
        <v>1.05</v>
      </c>
      <c r="Q69" s="76"/>
      <c r="R69" s="76"/>
      <c r="S69" s="76"/>
      <c r="T69" s="76"/>
      <c r="U69" s="76"/>
      <c r="V69" s="76"/>
    </row>
    <row r="70" spans="1:22">
      <c r="A70" s="84" t="s">
        <v>213</v>
      </c>
      <c r="B70" s="85" t="s">
        <v>212</v>
      </c>
      <c r="C70" s="85" t="s">
        <v>79</v>
      </c>
      <c r="D70" s="84" t="s">
        <v>87</v>
      </c>
      <c r="E70" s="84">
        <f>VLOOKUP(A70,'2a. SI Pop'!$A$5:$E$198,5,FALSE)</f>
        <v>1</v>
      </c>
      <c r="F70" s="76">
        <v>1.05</v>
      </c>
      <c r="G70" s="76">
        <f t="shared" ref="G70:P70" si="67">F70</f>
        <v>1.05</v>
      </c>
      <c r="H70" s="76">
        <f t="shared" si="67"/>
        <v>1.05</v>
      </c>
      <c r="I70" s="76">
        <f t="shared" si="67"/>
        <v>1.05</v>
      </c>
      <c r="J70" s="76">
        <f t="shared" si="67"/>
        <v>1.05</v>
      </c>
      <c r="K70" s="76">
        <f t="shared" si="67"/>
        <v>1.05</v>
      </c>
      <c r="L70" s="76">
        <f t="shared" si="67"/>
        <v>1.05</v>
      </c>
      <c r="M70" s="76">
        <f t="shared" si="67"/>
        <v>1.05</v>
      </c>
      <c r="N70" s="76">
        <f t="shared" si="67"/>
        <v>1.05</v>
      </c>
      <c r="O70" s="76">
        <f t="shared" si="67"/>
        <v>1.05</v>
      </c>
      <c r="P70" s="76">
        <f t="shared" si="67"/>
        <v>1.05</v>
      </c>
      <c r="Q70" s="76"/>
      <c r="R70" s="76"/>
      <c r="S70" s="76"/>
      <c r="T70" s="76"/>
      <c r="U70" s="76"/>
      <c r="V70" s="76"/>
    </row>
    <row r="71" spans="1:22">
      <c r="A71" s="84" t="s">
        <v>215</v>
      </c>
      <c r="B71" s="85" t="s">
        <v>214</v>
      </c>
      <c r="C71" s="85" t="s">
        <v>83</v>
      </c>
      <c r="D71" s="84" t="s">
        <v>84</v>
      </c>
      <c r="E71" s="84">
        <f>VLOOKUP(A71,'2a. SI Pop'!$A$5:$E$198,5,FALSE)</f>
        <v>3</v>
      </c>
      <c r="F71" s="76">
        <f>100/(100-15)</f>
        <v>1.1764705882352942</v>
      </c>
      <c r="G71" s="76">
        <f t="shared" ref="G71:P71" si="68">F71</f>
        <v>1.1764705882352942</v>
      </c>
      <c r="H71" s="76">
        <f t="shared" si="68"/>
        <v>1.1764705882352942</v>
      </c>
      <c r="I71" s="76">
        <f t="shared" si="68"/>
        <v>1.1764705882352942</v>
      </c>
      <c r="J71" s="76">
        <f t="shared" si="68"/>
        <v>1.1764705882352942</v>
      </c>
      <c r="K71" s="76">
        <f t="shared" si="68"/>
        <v>1.1764705882352942</v>
      </c>
      <c r="L71" s="76">
        <f t="shared" si="68"/>
        <v>1.1764705882352942</v>
      </c>
      <c r="M71" s="76">
        <f t="shared" si="68"/>
        <v>1.1764705882352942</v>
      </c>
      <c r="N71" s="76">
        <f t="shared" si="68"/>
        <v>1.1764705882352942</v>
      </c>
      <c r="O71" s="76">
        <f t="shared" si="68"/>
        <v>1.1764705882352942</v>
      </c>
      <c r="P71" s="76">
        <f t="shared" si="68"/>
        <v>1.1764705882352942</v>
      </c>
      <c r="Q71" s="76"/>
      <c r="R71" s="76"/>
      <c r="S71" s="76"/>
      <c r="T71" s="76"/>
      <c r="U71" s="76"/>
      <c r="V71" s="76"/>
    </row>
    <row r="72" spans="1:22">
      <c r="A72" s="84" t="s">
        <v>217</v>
      </c>
      <c r="B72" s="85" t="s">
        <v>216</v>
      </c>
      <c r="C72" s="85" t="s">
        <v>79</v>
      </c>
      <c r="D72" s="84" t="s">
        <v>87</v>
      </c>
      <c r="E72" s="84">
        <f>VLOOKUP(A72,'2a. SI Pop'!$A$5:$E$198,5,FALSE)</f>
        <v>1</v>
      </c>
      <c r="F72" s="76">
        <v>1.05</v>
      </c>
      <c r="G72" s="76">
        <f t="shared" ref="G72:P72" si="69">F72</f>
        <v>1.05</v>
      </c>
      <c r="H72" s="76">
        <f t="shared" si="69"/>
        <v>1.05</v>
      </c>
      <c r="I72" s="76">
        <f t="shared" si="69"/>
        <v>1.05</v>
      </c>
      <c r="J72" s="76">
        <f t="shared" si="69"/>
        <v>1.05</v>
      </c>
      <c r="K72" s="76">
        <f t="shared" si="69"/>
        <v>1.05</v>
      </c>
      <c r="L72" s="76">
        <f t="shared" si="69"/>
        <v>1.05</v>
      </c>
      <c r="M72" s="76">
        <f t="shared" si="69"/>
        <v>1.05</v>
      </c>
      <c r="N72" s="76">
        <f t="shared" si="69"/>
        <v>1.05</v>
      </c>
      <c r="O72" s="76">
        <f t="shared" si="69"/>
        <v>1.05</v>
      </c>
      <c r="P72" s="76">
        <f t="shared" si="69"/>
        <v>1.05</v>
      </c>
      <c r="Q72" s="76"/>
      <c r="R72" s="76"/>
      <c r="S72" s="76"/>
      <c r="T72" s="76"/>
      <c r="U72" s="76"/>
      <c r="V72" s="76"/>
    </row>
    <row r="73" spans="1:22">
      <c r="A73" s="84" t="s">
        <v>219</v>
      </c>
      <c r="B73" s="85" t="s">
        <v>218</v>
      </c>
      <c r="C73" s="85" t="s">
        <v>92</v>
      </c>
      <c r="D73" s="84" t="s">
        <v>80</v>
      </c>
      <c r="E73" s="84">
        <f>VLOOKUP(A73,'2a. SI Pop'!$A$5:$E$198,5,FALSE)</f>
        <v>1</v>
      </c>
      <c r="F73" s="76">
        <v>1.05</v>
      </c>
      <c r="G73" s="76">
        <f t="shared" ref="G73:P73" si="70">F73</f>
        <v>1.05</v>
      </c>
      <c r="H73" s="76">
        <f t="shared" si="70"/>
        <v>1.05</v>
      </c>
      <c r="I73" s="76">
        <f t="shared" si="70"/>
        <v>1.05</v>
      </c>
      <c r="J73" s="76">
        <f t="shared" si="70"/>
        <v>1.05</v>
      </c>
      <c r="K73" s="76">
        <f t="shared" si="70"/>
        <v>1.05</v>
      </c>
      <c r="L73" s="76">
        <f t="shared" si="70"/>
        <v>1.05</v>
      </c>
      <c r="M73" s="76">
        <f t="shared" si="70"/>
        <v>1.05</v>
      </c>
      <c r="N73" s="76">
        <f t="shared" si="70"/>
        <v>1.05</v>
      </c>
      <c r="O73" s="76">
        <f t="shared" si="70"/>
        <v>1.05</v>
      </c>
      <c r="P73" s="76">
        <f t="shared" si="70"/>
        <v>1.05</v>
      </c>
      <c r="Q73" s="76"/>
      <c r="R73" s="76"/>
      <c r="S73" s="76"/>
      <c r="T73" s="76"/>
      <c r="U73" s="76"/>
      <c r="V73" s="76"/>
    </row>
    <row r="74" spans="1:22">
      <c r="A74" s="84" t="s">
        <v>221</v>
      </c>
      <c r="B74" s="85" t="s">
        <v>220</v>
      </c>
      <c r="C74" s="85" t="s">
        <v>92</v>
      </c>
      <c r="D74" s="84" t="s">
        <v>80</v>
      </c>
      <c r="E74" s="84">
        <f>VLOOKUP(A74,'2a. SI Pop'!$A$5:$E$198,5,FALSE)</f>
        <v>1</v>
      </c>
      <c r="F74" s="76">
        <v>1.05</v>
      </c>
      <c r="G74" s="76">
        <f t="shared" ref="G74:P74" si="71">F74</f>
        <v>1.05</v>
      </c>
      <c r="H74" s="76">
        <f t="shared" si="71"/>
        <v>1.05</v>
      </c>
      <c r="I74" s="76">
        <f t="shared" si="71"/>
        <v>1.05</v>
      </c>
      <c r="J74" s="76">
        <f t="shared" si="71"/>
        <v>1.05</v>
      </c>
      <c r="K74" s="76">
        <f t="shared" si="71"/>
        <v>1.05</v>
      </c>
      <c r="L74" s="76">
        <f t="shared" si="71"/>
        <v>1.05</v>
      </c>
      <c r="M74" s="76">
        <f t="shared" si="71"/>
        <v>1.05</v>
      </c>
      <c r="N74" s="76">
        <f t="shared" si="71"/>
        <v>1.05</v>
      </c>
      <c r="O74" s="76">
        <f t="shared" si="71"/>
        <v>1.05</v>
      </c>
      <c r="P74" s="76">
        <f t="shared" si="71"/>
        <v>1.05</v>
      </c>
      <c r="Q74" s="76"/>
      <c r="R74" s="76"/>
      <c r="S74" s="76"/>
      <c r="T74" s="76"/>
      <c r="U74" s="76"/>
      <c r="V74" s="76"/>
    </row>
    <row r="75" spans="1:22">
      <c r="A75" s="84" t="s">
        <v>223</v>
      </c>
      <c r="B75" s="85" t="s">
        <v>222</v>
      </c>
      <c r="C75" s="85" t="s">
        <v>83</v>
      </c>
      <c r="D75" s="84" t="s">
        <v>75</v>
      </c>
      <c r="E75" s="84">
        <f>VLOOKUP(A75,'2a. SI Pop'!$A$5:$E$198,5,FALSE)</f>
        <v>3</v>
      </c>
      <c r="F75" s="76">
        <f>100/(100-15)</f>
        <v>1.1764705882352942</v>
      </c>
      <c r="G75" s="76">
        <f t="shared" ref="G75:P75" si="72">F75</f>
        <v>1.1764705882352942</v>
      </c>
      <c r="H75" s="76">
        <f t="shared" si="72"/>
        <v>1.1764705882352942</v>
      </c>
      <c r="I75" s="76">
        <f t="shared" si="72"/>
        <v>1.1764705882352942</v>
      </c>
      <c r="J75" s="76">
        <f t="shared" si="72"/>
        <v>1.1764705882352942</v>
      </c>
      <c r="K75" s="76">
        <f t="shared" si="72"/>
        <v>1.1764705882352942</v>
      </c>
      <c r="L75" s="76">
        <f t="shared" si="72"/>
        <v>1.1764705882352942</v>
      </c>
      <c r="M75" s="76">
        <f t="shared" si="72"/>
        <v>1.1764705882352942</v>
      </c>
      <c r="N75" s="76">
        <f t="shared" si="72"/>
        <v>1.1764705882352942</v>
      </c>
      <c r="O75" s="76">
        <f t="shared" si="72"/>
        <v>1.1764705882352942</v>
      </c>
      <c r="P75" s="76">
        <f t="shared" si="72"/>
        <v>1.1764705882352942</v>
      </c>
      <c r="Q75" s="76"/>
      <c r="R75" s="76"/>
      <c r="S75" s="76"/>
      <c r="T75" s="76"/>
      <c r="U75" s="76"/>
      <c r="V75" s="76"/>
    </row>
    <row r="76" spans="1:22">
      <c r="A76" s="84" t="s">
        <v>225</v>
      </c>
      <c r="B76" s="85" t="s">
        <v>224</v>
      </c>
      <c r="C76" s="85" t="s">
        <v>83</v>
      </c>
      <c r="D76" s="84" t="s">
        <v>75</v>
      </c>
      <c r="E76" s="84">
        <f>VLOOKUP(A76,'2a. SI Pop'!$A$5:$E$198,5,FALSE)</f>
        <v>3</v>
      </c>
      <c r="F76" s="76">
        <f>100/(100-40)</f>
        <v>1.6666666666666667</v>
      </c>
      <c r="G76" s="76">
        <f t="shared" ref="G76:P76" si="73">F76</f>
        <v>1.6666666666666667</v>
      </c>
      <c r="H76" s="76">
        <f t="shared" si="73"/>
        <v>1.6666666666666667</v>
      </c>
      <c r="I76" s="76">
        <f t="shared" si="73"/>
        <v>1.6666666666666667</v>
      </c>
      <c r="J76" s="76">
        <f t="shared" si="73"/>
        <v>1.6666666666666667</v>
      </c>
      <c r="K76" s="76">
        <f t="shared" si="73"/>
        <v>1.6666666666666667</v>
      </c>
      <c r="L76" s="76">
        <f t="shared" si="73"/>
        <v>1.6666666666666667</v>
      </c>
      <c r="M76" s="76">
        <f t="shared" si="73"/>
        <v>1.6666666666666667</v>
      </c>
      <c r="N76" s="76">
        <f t="shared" si="73"/>
        <v>1.6666666666666667</v>
      </c>
      <c r="O76" s="76">
        <f t="shared" si="73"/>
        <v>1.6666666666666667</v>
      </c>
      <c r="P76" s="76">
        <f t="shared" si="73"/>
        <v>1.6666666666666667</v>
      </c>
      <c r="Q76" s="76"/>
      <c r="R76" s="76"/>
      <c r="S76" s="76"/>
      <c r="T76" s="76"/>
      <c r="U76" s="76"/>
      <c r="V76" s="76"/>
    </row>
    <row r="77" spans="1:22">
      <c r="A77" s="84" t="s">
        <v>227</v>
      </c>
      <c r="B77" s="85" t="s">
        <v>226</v>
      </c>
      <c r="C77" s="85" t="s">
        <v>92</v>
      </c>
      <c r="D77" s="84" t="s">
        <v>80</v>
      </c>
      <c r="E77" s="84">
        <f>VLOOKUP(A77,'2a. SI Pop'!$A$5:$E$198,5,FALSE)</f>
        <v>2</v>
      </c>
      <c r="F77" s="76">
        <v>1.05</v>
      </c>
      <c r="G77" s="76">
        <f t="shared" ref="G77:P77" si="74">F77</f>
        <v>1.05</v>
      </c>
      <c r="H77" s="76">
        <f t="shared" si="74"/>
        <v>1.05</v>
      </c>
      <c r="I77" s="76">
        <f t="shared" si="74"/>
        <v>1.05</v>
      </c>
      <c r="J77" s="76">
        <f t="shared" si="74"/>
        <v>1.05</v>
      </c>
      <c r="K77" s="76">
        <f t="shared" si="74"/>
        <v>1.05</v>
      </c>
      <c r="L77" s="76">
        <f t="shared" si="74"/>
        <v>1.05</v>
      </c>
      <c r="M77" s="76">
        <f t="shared" si="74"/>
        <v>1.05</v>
      </c>
      <c r="N77" s="76">
        <f t="shared" si="74"/>
        <v>1.05</v>
      </c>
      <c r="O77" s="76">
        <f t="shared" si="74"/>
        <v>1.05</v>
      </c>
      <c r="P77" s="76">
        <f t="shared" si="74"/>
        <v>1.05</v>
      </c>
      <c r="Q77" s="76"/>
      <c r="R77" s="76"/>
      <c r="S77" s="76"/>
      <c r="T77" s="76"/>
      <c r="U77" s="76"/>
      <c r="V77" s="76"/>
    </row>
    <row r="78" spans="1:22">
      <c r="A78" s="84" t="s">
        <v>229</v>
      </c>
      <c r="B78" s="85" t="s">
        <v>228</v>
      </c>
      <c r="C78" s="85" t="s">
        <v>92</v>
      </c>
      <c r="D78" s="84" t="s">
        <v>75</v>
      </c>
      <c r="E78" s="84">
        <f>VLOOKUP(A78,'2a. SI Pop'!$A$5:$E$198,5,FALSE)</f>
        <v>2</v>
      </c>
      <c r="F78" s="76">
        <f>100/(100-15)</f>
        <v>1.1764705882352942</v>
      </c>
      <c r="G78" s="76">
        <f t="shared" ref="G78:P78" si="75">F78</f>
        <v>1.1764705882352942</v>
      </c>
      <c r="H78" s="76">
        <f t="shared" si="75"/>
        <v>1.1764705882352942</v>
      </c>
      <c r="I78" s="76">
        <f t="shared" si="75"/>
        <v>1.1764705882352942</v>
      </c>
      <c r="J78" s="76">
        <f t="shared" si="75"/>
        <v>1.1764705882352942</v>
      </c>
      <c r="K78" s="76">
        <f t="shared" si="75"/>
        <v>1.1764705882352942</v>
      </c>
      <c r="L78" s="76">
        <f t="shared" si="75"/>
        <v>1.1764705882352942</v>
      </c>
      <c r="M78" s="76">
        <f t="shared" si="75"/>
        <v>1.1764705882352942</v>
      </c>
      <c r="N78" s="76">
        <f t="shared" si="75"/>
        <v>1.1764705882352942</v>
      </c>
      <c r="O78" s="76">
        <f t="shared" si="75"/>
        <v>1.1764705882352942</v>
      </c>
      <c r="P78" s="76">
        <f t="shared" si="75"/>
        <v>1.1764705882352942</v>
      </c>
      <c r="Q78" s="76"/>
      <c r="R78" s="76"/>
      <c r="S78" s="76"/>
      <c r="T78" s="76"/>
      <c r="U78" s="76"/>
      <c r="V78" s="76"/>
    </row>
    <row r="79" spans="1:22">
      <c r="A79" s="84" t="s">
        <v>231</v>
      </c>
      <c r="B79" s="85" t="s">
        <v>230</v>
      </c>
      <c r="C79" s="85" t="s">
        <v>92</v>
      </c>
      <c r="D79" s="84" t="s">
        <v>84</v>
      </c>
      <c r="E79" s="84">
        <f>VLOOKUP(A79,'2a. SI Pop'!$A$5:$E$198,5,FALSE)</f>
        <v>1</v>
      </c>
      <c r="F79" s="76">
        <v>1.05</v>
      </c>
      <c r="G79" s="76">
        <f t="shared" ref="G79:P79" si="76">F79</f>
        <v>1.05</v>
      </c>
      <c r="H79" s="76">
        <f t="shared" si="76"/>
        <v>1.05</v>
      </c>
      <c r="I79" s="76">
        <f t="shared" si="76"/>
        <v>1.05</v>
      </c>
      <c r="J79" s="76">
        <f t="shared" si="76"/>
        <v>1.05</v>
      </c>
      <c r="K79" s="76">
        <f t="shared" si="76"/>
        <v>1.05</v>
      </c>
      <c r="L79" s="76">
        <f t="shared" si="76"/>
        <v>1.05</v>
      </c>
      <c r="M79" s="76">
        <f t="shared" si="76"/>
        <v>1.05</v>
      </c>
      <c r="N79" s="76">
        <f t="shared" si="76"/>
        <v>1.05</v>
      </c>
      <c r="O79" s="76">
        <f t="shared" si="76"/>
        <v>1.05</v>
      </c>
      <c r="P79" s="76">
        <f t="shared" si="76"/>
        <v>1.05</v>
      </c>
      <c r="Q79" s="76"/>
      <c r="R79" s="76"/>
      <c r="S79" s="76"/>
      <c r="T79" s="76"/>
      <c r="U79" s="76"/>
      <c r="V79" s="76"/>
    </row>
    <row r="80" spans="1:22">
      <c r="A80" s="84" t="s">
        <v>233</v>
      </c>
      <c r="B80" s="85" t="s">
        <v>232</v>
      </c>
      <c r="C80" s="85" t="s">
        <v>79</v>
      </c>
      <c r="D80" s="84" t="s">
        <v>87</v>
      </c>
      <c r="E80" s="84">
        <f>VLOOKUP(A80,'2a. SI Pop'!$A$5:$E$198,5,FALSE)</f>
        <v>1</v>
      </c>
      <c r="F80" s="76">
        <v>1.05</v>
      </c>
      <c r="G80" s="76">
        <f t="shared" ref="G80:P80" si="77">F80</f>
        <v>1.05</v>
      </c>
      <c r="H80" s="76">
        <f t="shared" si="77"/>
        <v>1.05</v>
      </c>
      <c r="I80" s="76">
        <f t="shared" si="77"/>
        <v>1.05</v>
      </c>
      <c r="J80" s="76">
        <f t="shared" si="77"/>
        <v>1.05</v>
      </c>
      <c r="K80" s="76">
        <f t="shared" si="77"/>
        <v>1.05</v>
      </c>
      <c r="L80" s="76">
        <f t="shared" si="77"/>
        <v>1.05</v>
      </c>
      <c r="M80" s="76">
        <f t="shared" si="77"/>
        <v>1.05</v>
      </c>
      <c r="N80" s="76">
        <f t="shared" si="77"/>
        <v>1.05</v>
      </c>
      <c r="O80" s="76">
        <f t="shared" si="77"/>
        <v>1.05</v>
      </c>
      <c r="P80" s="76">
        <f t="shared" si="77"/>
        <v>1.05</v>
      </c>
      <c r="Q80" s="76"/>
      <c r="R80" s="76"/>
      <c r="S80" s="76"/>
      <c r="T80" s="76"/>
      <c r="U80" s="76"/>
      <c r="V80" s="76"/>
    </row>
    <row r="81" spans="1:22">
      <c r="A81" s="84" t="s">
        <v>235</v>
      </c>
      <c r="B81" s="85" t="s">
        <v>234</v>
      </c>
      <c r="C81" s="85" t="s">
        <v>79</v>
      </c>
      <c r="D81" s="84" t="s">
        <v>87</v>
      </c>
      <c r="E81" s="84">
        <f>VLOOKUP(A81,'2a. SI Pop'!$A$5:$E$198,5,FALSE)</f>
        <v>1</v>
      </c>
      <c r="F81" s="76">
        <v>1.05</v>
      </c>
      <c r="G81" s="76">
        <f t="shared" ref="G81:P81" si="78">F81</f>
        <v>1.05</v>
      </c>
      <c r="H81" s="76">
        <f t="shared" si="78"/>
        <v>1.05</v>
      </c>
      <c r="I81" s="76">
        <f t="shared" si="78"/>
        <v>1.05</v>
      </c>
      <c r="J81" s="76">
        <f t="shared" si="78"/>
        <v>1.05</v>
      </c>
      <c r="K81" s="76">
        <f t="shared" si="78"/>
        <v>1.05</v>
      </c>
      <c r="L81" s="76">
        <f t="shared" si="78"/>
        <v>1.05</v>
      </c>
      <c r="M81" s="76">
        <f t="shared" si="78"/>
        <v>1.05</v>
      </c>
      <c r="N81" s="76">
        <f t="shared" si="78"/>
        <v>1.05</v>
      </c>
      <c r="O81" s="76">
        <f t="shared" si="78"/>
        <v>1.05</v>
      </c>
      <c r="P81" s="76">
        <f t="shared" si="78"/>
        <v>1.05</v>
      </c>
      <c r="Q81" s="76"/>
      <c r="R81" s="76"/>
      <c r="S81" s="76"/>
      <c r="T81" s="76"/>
      <c r="U81" s="76"/>
      <c r="V81" s="76"/>
    </row>
    <row r="82" spans="1:22">
      <c r="A82" s="84" t="s">
        <v>237</v>
      </c>
      <c r="B82" s="85" t="s">
        <v>236</v>
      </c>
      <c r="C82" s="85" t="s">
        <v>110</v>
      </c>
      <c r="D82" s="84" t="s">
        <v>84</v>
      </c>
      <c r="E82" s="84" t="str">
        <f>VLOOKUP(A82,'2a. SI Pop'!$A$5:$E$198,5,FALSE)</f>
        <v>Key</v>
      </c>
      <c r="F82" s="76">
        <f>100/(100-15)</f>
        <v>1.1764705882352942</v>
      </c>
      <c r="G82" s="76">
        <f t="shared" ref="G82:P82" si="79">F82</f>
        <v>1.1764705882352942</v>
      </c>
      <c r="H82" s="76">
        <f t="shared" si="79"/>
        <v>1.1764705882352942</v>
      </c>
      <c r="I82" s="76">
        <f t="shared" si="79"/>
        <v>1.1764705882352942</v>
      </c>
      <c r="J82" s="76">
        <f t="shared" si="79"/>
        <v>1.1764705882352942</v>
      </c>
      <c r="K82" s="76">
        <f t="shared" si="79"/>
        <v>1.1764705882352942</v>
      </c>
      <c r="L82" s="76">
        <f t="shared" si="79"/>
        <v>1.1764705882352942</v>
      </c>
      <c r="M82" s="76">
        <f t="shared" si="79"/>
        <v>1.1764705882352942</v>
      </c>
      <c r="N82" s="76">
        <f t="shared" si="79"/>
        <v>1.1764705882352942</v>
      </c>
      <c r="O82" s="76">
        <f t="shared" si="79"/>
        <v>1.1764705882352942</v>
      </c>
      <c r="P82" s="76">
        <f t="shared" si="79"/>
        <v>1.1764705882352942</v>
      </c>
      <c r="Q82" s="76"/>
      <c r="R82" s="76"/>
      <c r="S82" s="76"/>
      <c r="T82" s="76"/>
      <c r="U82" s="76"/>
      <c r="V82" s="76"/>
    </row>
    <row r="83" spans="1:22">
      <c r="A83" s="84" t="s">
        <v>239</v>
      </c>
      <c r="B83" s="85" t="s">
        <v>238</v>
      </c>
      <c r="C83" s="85" t="s">
        <v>110</v>
      </c>
      <c r="D83" s="84" t="s">
        <v>80</v>
      </c>
      <c r="E83" s="84" t="str">
        <f>VLOOKUP(A83,'2a. SI Pop'!$A$5:$E$198,5,FALSE)</f>
        <v>Key</v>
      </c>
      <c r="F83" s="76">
        <f>100/(100-40)</f>
        <v>1.6666666666666667</v>
      </c>
      <c r="G83" s="76">
        <f t="shared" ref="G83:P83" si="80">F83</f>
        <v>1.6666666666666667</v>
      </c>
      <c r="H83" s="76">
        <f t="shared" si="80"/>
        <v>1.6666666666666667</v>
      </c>
      <c r="I83" s="76">
        <f t="shared" si="80"/>
        <v>1.6666666666666667</v>
      </c>
      <c r="J83" s="76">
        <f t="shared" si="80"/>
        <v>1.6666666666666667</v>
      </c>
      <c r="K83" s="76">
        <f t="shared" si="80"/>
        <v>1.6666666666666667</v>
      </c>
      <c r="L83" s="76">
        <f t="shared" si="80"/>
        <v>1.6666666666666667</v>
      </c>
      <c r="M83" s="76">
        <f t="shared" si="80"/>
        <v>1.6666666666666667</v>
      </c>
      <c r="N83" s="76">
        <f t="shared" si="80"/>
        <v>1.6666666666666667</v>
      </c>
      <c r="O83" s="76">
        <f t="shared" si="80"/>
        <v>1.6666666666666667</v>
      </c>
      <c r="P83" s="76">
        <f t="shared" si="80"/>
        <v>1.6666666666666667</v>
      </c>
      <c r="Q83" s="76"/>
      <c r="R83" s="76"/>
      <c r="S83" s="76"/>
      <c r="T83" s="76"/>
      <c r="U83" s="76"/>
      <c r="V83" s="76"/>
    </row>
    <row r="84" spans="1:22">
      <c r="A84" s="84" t="s">
        <v>241</v>
      </c>
      <c r="B84" s="85" t="s">
        <v>240</v>
      </c>
      <c r="C84" s="85" t="s">
        <v>74</v>
      </c>
      <c r="D84" s="84" t="s">
        <v>80</v>
      </c>
      <c r="E84" s="84">
        <f>VLOOKUP(A84,'2a. SI Pop'!$A$5:$E$198,5,FALSE)</f>
        <v>2</v>
      </c>
      <c r="F84" s="76">
        <f>100/(100-15)</f>
        <v>1.1764705882352942</v>
      </c>
      <c r="G84" s="76">
        <f t="shared" ref="G84:P84" si="81">F84</f>
        <v>1.1764705882352942</v>
      </c>
      <c r="H84" s="76">
        <f t="shared" si="81"/>
        <v>1.1764705882352942</v>
      </c>
      <c r="I84" s="76">
        <f t="shared" si="81"/>
        <v>1.1764705882352942</v>
      </c>
      <c r="J84" s="76">
        <f t="shared" si="81"/>
        <v>1.1764705882352942</v>
      </c>
      <c r="K84" s="76">
        <f t="shared" si="81"/>
        <v>1.1764705882352942</v>
      </c>
      <c r="L84" s="76">
        <f t="shared" si="81"/>
        <v>1.1764705882352942</v>
      </c>
      <c r="M84" s="76">
        <f t="shared" si="81"/>
        <v>1.1764705882352942</v>
      </c>
      <c r="N84" s="76">
        <f t="shared" si="81"/>
        <v>1.1764705882352942</v>
      </c>
      <c r="O84" s="76">
        <f t="shared" si="81"/>
        <v>1.1764705882352942</v>
      </c>
      <c r="P84" s="76">
        <f t="shared" si="81"/>
        <v>1.1764705882352942</v>
      </c>
      <c r="Q84" s="76"/>
      <c r="R84" s="76"/>
      <c r="S84" s="76"/>
      <c r="T84" s="76"/>
      <c r="U84" s="76"/>
      <c r="V84" s="76"/>
    </row>
    <row r="85" spans="1:22">
      <c r="A85" s="84" t="s">
        <v>243</v>
      </c>
      <c r="B85" s="85" t="s">
        <v>242</v>
      </c>
      <c r="C85" s="85" t="s">
        <v>74</v>
      </c>
      <c r="D85" s="84" t="s">
        <v>80</v>
      </c>
      <c r="E85" s="84">
        <f>VLOOKUP(A85,'2a. SI Pop'!$A$5:$E$198,5,FALSE)</f>
        <v>2</v>
      </c>
      <c r="F85" s="76">
        <f>100/(100-40)</f>
        <v>1.6666666666666667</v>
      </c>
      <c r="G85" s="76">
        <f t="shared" ref="G85:P85" si="82">F85</f>
        <v>1.6666666666666667</v>
      </c>
      <c r="H85" s="76">
        <f t="shared" si="82"/>
        <v>1.6666666666666667</v>
      </c>
      <c r="I85" s="76">
        <f t="shared" si="82"/>
        <v>1.6666666666666667</v>
      </c>
      <c r="J85" s="76">
        <f t="shared" si="82"/>
        <v>1.6666666666666667</v>
      </c>
      <c r="K85" s="76">
        <f t="shared" si="82"/>
        <v>1.6666666666666667</v>
      </c>
      <c r="L85" s="76">
        <f t="shared" si="82"/>
        <v>1.6666666666666667</v>
      </c>
      <c r="M85" s="76">
        <f t="shared" si="82"/>
        <v>1.6666666666666667</v>
      </c>
      <c r="N85" s="76">
        <f t="shared" si="82"/>
        <v>1.6666666666666667</v>
      </c>
      <c r="O85" s="76">
        <f t="shared" si="82"/>
        <v>1.6666666666666667</v>
      </c>
      <c r="P85" s="76">
        <f t="shared" si="82"/>
        <v>1.6666666666666667</v>
      </c>
      <c r="Q85" s="76"/>
      <c r="R85" s="76"/>
      <c r="S85" s="76"/>
      <c r="T85" s="76"/>
      <c r="U85" s="76"/>
      <c r="V85" s="76"/>
    </row>
    <row r="86" spans="1:22">
      <c r="A86" s="84" t="s">
        <v>245</v>
      </c>
      <c r="B86" s="85" t="s">
        <v>244</v>
      </c>
      <c r="C86" s="85" t="s">
        <v>79</v>
      </c>
      <c r="D86" s="84" t="s">
        <v>87</v>
      </c>
      <c r="E86" s="84">
        <f>VLOOKUP(A86,'2a. SI Pop'!$A$5:$E$198,5,FALSE)</f>
        <v>1</v>
      </c>
      <c r="F86" s="76">
        <v>1.05</v>
      </c>
      <c r="G86" s="76">
        <f t="shared" ref="G86:P86" si="83">F86</f>
        <v>1.05</v>
      </c>
      <c r="H86" s="76">
        <f t="shared" si="83"/>
        <v>1.05</v>
      </c>
      <c r="I86" s="76">
        <f t="shared" si="83"/>
        <v>1.05</v>
      </c>
      <c r="J86" s="76">
        <f t="shared" si="83"/>
        <v>1.05</v>
      </c>
      <c r="K86" s="76">
        <f t="shared" si="83"/>
        <v>1.05</v>
      </c>
      <c r="L86" s="76">
        <f t="shared" si="83"/>
        <v>1.05</v>
      </c>
      <c r="M86" s="76">
        <f t="shared" si="83"/>
        <v>1.05</v>
      </c>
      <c r="N86" s="76">
        <f t="shared" si="83"/>
        <v>1.05</v>
      </c>
      <c r="O86" s="76">
        <f t="shared" si="83"/>
        <v>1.05</v>
      </c>
      <c r="P86" s="76">
        <f t="shared" si="83"/>
        <v>1.05</v>
      </c>
      <c r="Q86" s="76"/>
      <c r="R86" s="76"/>
      <c r="S86" s="76"/>
      <c r="T86" s="76"/>
      <c r="U86" s="76"/>
      <c r="V86" s="76"/>
    </row>
    <row r="87" spans="1:22">
      <c r="A87" s="84" t="s">
        <v>247</v>
      </c>
      <c r="B87" s="85" t="s">
        <v>246</v>
      </c>
      <c r="C87" s="85" t="s">
        <v>79</v>
      </c>
      <c r="D87" s="84" t="s">
        <v>87</v>
      </c>
      <c r="E87" s="84">
        <f>VLOOKUP(A87,'2a. SI Pop'!$A$5:$E$198,5,FALSE)</f>
        <v>1</v>
      </c>
      <c r="F87" s="76">
        <v>1.05</v>
      </c>
      <c r="G87" s="76">
        <f t="shared" ref="G87:P87" si="84">F87</f>
        <v>1.05</v>
      </c>
      <c r="H87" s="76">
        <f t="shared" si="84"/>
        <v>1.05</v>
      </c>
      <c r="I87" s="76">
        <f t="shared" si="84"/>
        <v>1.05</v>
      </c>
      <c r="J87" s="76">
        <f t="shared" si="84"/>
        <v>1.05</v>
      </c>
      <c r="K87" s="76">
        <f t="shared" si="84"/>
        <v>1.05</v>
      </c>
      <c r="L87" s="76">
        <f t="shared" si="84"/>
        <v>1.05</v>
      </c>
      <c r="M87" s="76">
        <f t="shared" si="84"/>
        <v>1.05</v>
      </c>
      <c r="N87" s="76">
        <f t="shared" si="84"/>
        <v>1.05</v>
      </c>
      <c r="O87" s="76">
        <f t="shared" si="84"/>
        <v>1.05</v>
      </c>
      <c r="P87" s="76">
        <f t="shared" si="84"/>
        <v>1.05</v>
      </c>
      <c r="Q87" s="76"/>
      <c r="R87" s="76"/>
      <c r="S87" s="76"/>
      <c r="T87" s="76"/>
      <c r="U87" s="76"/>
      <c r="V87" s="76"/>
    </row>
    <row r="88" spans="1:22">
      <c r="A88" s="84" t="s">
        <v>249</v>
      </c>
      <c r="B88" s="85" t="s">
        <v>248</v>
      </c>
      <c r="C88" s="85" t="s">
        <v>79</v>
      </c>
      <c r="D88" s="84" t="s">
        <v>87</v>
      </c>
      <c r="E88" s="84">
        <f>VLOOKUP(A88,'2a. SI Pop'!$A$5:$E$198,5,FALSE)</f>
        <v>1</v>
      </c>
      <c r="F88" s="76">
        <v>1.05</v>
      </c>
      <c r="G88" s="76">
        <f t="shared" ref="G88:P88" si="85">F88</f>
        <v>1.05</v>
      </c>
      <c r="H88" s="76">
        <f t="shared" si="85"/>
        <v>1.05</v>
      </c>
      <c r="I88" s="76">
        <f t="shared" si="85"/>
        <v>1.05</v>
      </c>
      <c r="J88" s="76">
        <f t="shared" si="85"/>
        <v>1.05</v>
      </c>
      <c r="K88" s="76">
        <f t="shared" si="85"/>
        <v>1.05</v>
      </c>
      <c r="L88" s="76">
        <f t="shared" si="85"/>
        <v>1.05</v>
      </c>
      <c r="M88" s="76">
        <f t="shared" si="85"/>
        <v>1.05</v>
      </c>
      <c r="N88" s="76">
        <f t="shared" si="85"/>
        <v>1.05</v>
      </c>
      <c r="O88" s="76">
        <f t="shared" si="85"/>
        <v>1.05</v>
      </c>
      <c r="P88" s="76">
        <f t="shared" si="85"/>
        <v>1.05</v>
      </c>
      <c r="Q88" s="76"/>
      <c r="R88" s="76"/>
      <c r="S88" s="76"/>
      <c r="T88" s="76"/>
      <c r="U88" s="76"/>
      <c r="V88" s="76"/>
    </row>
    <row r="89" spans="1:22">
      <c r="A89" s="84" t="s">
        <v>251</v>
      </c>
      <c r="B89" s="85" t="s">
        <v>250</v>
      </c>
      <c r="C89" s="85" t="s">
        <v>92</v>
      </c>
      <c r="D89" s="84" t="s">
        <v>80</v>
      </c>
      <c r="E89" s="84">
        <f>VLOOKUP(A89,'2a. SI Pop'!$A$5:$E$198,5,FALSE)</f>
        <v>1</v>
      </c>
      <c r="F89" s="76">
        <v>1.05</v>
      </c>
      <c r="G89" s="76">
        <f t="shared" ref="G89:P89" si="86">F89</f>
        <v>1.05</v>
      </c>
      <c r="H89" s="76">
        <f t="shared" si="86"/>
        <v>1.05</v>
      </c>
      <c r="I89" s="76">
        <f t="shared" si="86"/>
        <v>1.05</v>
      </c>
      <c r="J89" s="76">
        <f t="shared" si="86"/>
        <v>1.05</v>
      </c>
      <c r="K89" s="76">
        <f t="shared" si="86"/>
        <v>1.05</v>
      </c>
      <c r="L89" s="76">
        <f t="shared" si="86"/>
        <v>1.05</v>
      </c>
      <c r="M89" s="76">
        <f t="shared" si="86"/>
        <v>1.05</v>
      </c>
      <c r="N89" s="76">
        <f t="shared" si="86"/>
        <v>1.05</v>
      </c>
      <c r="O89" s="76">
        <f t="shared" si="86"/>
        <v>1.05</v>
      </c>
      <c r="P89" s="76">
        <f t="shared" si="86"/>
        <v>1.05</v>
      </c>
      <c r="Q89" s="76"/>
      <c r="R89" s="76"/>
      <c r="S89" s="76"/>
      <c r="T89" s="76"/>
      <c r="U89" s="76"/>
      <c r="V89" s="76"/>
    </row>
    <row r="90" spans="1:22">
      <c r="A90" s="84" t="s">
        <v>253</v>
      </c>
      <c r="B90" s="85" t="s">
        <v>252</v>
      </c>
      <c r="C90" s="85" t="s">
        <v>99</v>
      </c>
      <c r="D90" s="84" t="s">
        <v>87</v>
      </c>
      <c r="E90" s="84">
        <f>VLOOKUP(A90,'2a. SI Pop'!$A$5:$E$198,5,FALSE)</f>
        <v>4</v>
      </c>
      <c r="F90" s="76">
        <v>1.05</v>
      </c>
      <c r="G90" s="76">
        <f t="shared" ref="G90:P90" si="87">F90</f>
        <v>1.05</v>
      </c>
      <c r="H90" s="76">
        <f t="shared" si="87"/>
        <v>1.05</v>
      </c>
      <c r="I90" s="76">
        <f t="shared" si="87"/>
        <v>1.05</v>
      </c>
      <c r="J90" s="76">
        <f t="shared" si="87"/>
        <v>1.05</v>
      </c>
      <c r="K90" s="76">
        <f t="shared" si="87"/>
        <v>1.05</v>
      </c>
      <c r="L90" s="76">
        <f t="shared" si="87"/>
        <v>1.05</v>
      </c>
      <c r="M90" s="76">
        <f t="shared" si="87"/>
        <v>1.05</v>
      </c>
      <c r="N90" s="76">
        <f t="shared" si="87"/>
        <v>1.05</v>
      </c>
      <c r="O90" s="76">
        <f t="shared" si="87"/>
        <v>1.05</v>
      </c>
      <c r="P90" s="76">
        <f t="shared" si="87"/>
        <v>1.05</v>
      </c>
      <c r="Q90" s="76"/>
      <c r="R90" s="76"/>
      <c r="S90" s="76"/>
      <c r="T90" s="76"/>
      <c r="U90" s="76"/>
      <c r="V90" s="76"/>
    </row>
    <row r="91" spans="1:22">
      <c r="A91" s="84" t="s">
        <v>255</v>
      </c>
      <c r="B91" s="85" t="s">
        <v>254</v>
      </c>
      <c r="C91" s="85" t="s">
        <v>74</v>
      </c>
      <c r="D91" s="84" t="s">
        <v>80</v>
      </c>
      <c r="E91" s="84">
        <f>VLOOKUP(A91,'2a. SI Pop'!$A$5:$E$198,5,FALSE)</f>
        <v>2</v>
      </c>
      <c r="F91" s="76">
        <v>1.05</v>
      </c>
      <c r="G91" s="76">
        <f t="shared" ref="G91:P91" si="88">F91</f>
        <v>1.05</v>
      </c>
      <c r="H91" s="76">
        <f t="shared" si="88"/>
        <v>1.05</v>
      </c>
      <c r="I91" s="76">
        <f t="shared" si="88"/>
        <v>1.05</v>
      </c>
      <c r="J91" s="76">
        <f t="shared" si="88"/>
        <v>1.05</v>
      </c>
      <c r="K91" s="76">
        <f t="shared" si="88"/>
        <v>1.05</v>
      </c>
      <c r="L91" s="76">
        <f t="shared" si="88"/>
        <v>1.05</v>
      </c>
      <c r="M91" s="76">
        <f t="shared" si="88"/>
        <v>1.05</v>
      </c>
      <c r="N91" s="76">
        <f t="shared" si="88"/>
        <v>1.05</v>
      </c>
      <c r="O91" s="76">
        <f t="shared" si="88"/>
        <v>1.05</v>
      </c>
      <c r="P91" s="76">
        <f t="shared" si="88"/>
        <v>1.05</v>
      </c>
      <c r="Q91" s="76"/>
      <c r="R91" s="76"/>
      <c r="S91" s="76"/>
      <c r="T91" s="76"/>
      <c r="U91" s="76"/>
      <c r="V91" s="76"/>
    </row>
    <row r="92" spans="1:22">
      <c r="A92" s="84" t="s">
        <v>257</v>
      </c>
      <c r="B92" s="85" t="s">
        <v>256</v>
      </c>
      <c r="C92" s="85" t="s">
        <v>79</v>
      </c>
      <c r="D92" s="84" t="s">
        <v>80</v>
      </c>
      <c r="E92" s="84">
        <f>VLOOKUP(A92,'2a. SI Pop'!$A$5:$E$198,5,FALSE)</f>
        <v>2</v>
      </c>
      <c r="F92" s="76">
        <v>1.05</v>
      </c>
      <c r="G92" s="76">
        <f t="shared" ref="G92:P92" si="89">F92</f>
        <v>1.05</v>
      </c>
      <c r="H92" s="76">
        <f t="shared" si="89"/>
        <v>1.05</v>
      </c>
      <c r="I92" s="76">
        <f t="shared" si="89"/>
        <v>1.05</v>
      </c>
      <c r="J92" s="76">
        <f t="shared" si="89"/>
        <v>1.05</v>
      </c>
      <c r="K92" s="76">
        <f t="shared" si="89"/>
        <v>1.05</v>
      </c>
      <c r="L92" s="76">
        <f t="shared" si="89"/>
        <v>1.05</v>
      </c>
      <c r="M92" s="76">
        <f t="shared" si="89"/>
        <v>1.05</v>
      </c>
      <c r="N92" s="76">
        <f t="shared" si="89"/>
        <v>1.05</v>
      </c>
      <c r="O92" s="76">
        <f t="shared" si="89"/>
        <v>1.05</v>
      </c>
      <c r="P92" s="76">
        <f t="shared" si="89"/>
        <v>1.05</v>
      </c>
      <c r="Q92" s="76"/>
      <c r="R92" s="76"/>
      <c r="S92" s="76"/>
      <c r="T92" s="76"/>
      <c r="U92" s="76"/>
      <c r="V92" s="76"/>
    </row>
    <row r="93" spans="1:22">
      <c r="A93" s="84" t="s">
        <v>259</v>
      </c>
      <c r="B93" s="85" t="s">
        <v>258</v>
      </c>
      <c r="C93" s="85" t="s">
        <v>83</v>
      </c>
      <c r="D93" s="84" t="s">
        <v>84</v>
      </c>
      <c r="E93" s="84">
        <f>VLOOKUP(A93,'2a. SI Pop'!$A$5:$E$198,5,FALSE)</f>
        <v>3</v>
      </c>
      <c r="F93" s="76">
        <f>100/(100-15)</f>
        <v>1.1764705882352942</v>
      </c>
      <c r="G93" s="76">
        <f t="shared" ref="G93:P93" si="90">F93</f>
        <v>1.1764705882352942</v>
      </c>
      <c r="H93" s="76">
        <f t="shared" si="90"/>
        <v>1.1764705882352942</v>
      </c>
      <c r="I93" s="76">
        <f t="shared" si="90"/>
        <v>1.1764705882352942</v>
      </c>
      <c r="J93" s="76">
        <f t="shared" si="90"/>
        <v>1.1764705882352942</v>
      </c>
      <c r="K93" s="76">
        <f t="shared" si="90"/>
        <v>1.1764705882352942</v>
      </c>
      <c r="L93" s="76">
        <f t="shared" si="90"/>
        <v>1.1764705882352942</v>
      </c>
      <c r="M93" s="76">
        <f t="shared" si="90"/>
        <v>1.1764705882352942</v>
      </c>
      <c r="N93" s="76">
        <f t="shared" si="90"/>
        <v>1.1764705882352942</v>
      </c>
      <c r="O93" s="76">
        <f t="shared" si="90"/>
        <v>1.1764705882352942</v>
      </c>
      <c r="P93" s="76">
        <f t="shared" si="90"/>
        <v>1.1764705882352942</v>
      </c>
      <c r="Q93" s="76"/>
      <c r="R93" s="76"/>
      <c r="S93" s="76"/>
      <c r="T93" s="76"/>
      <c r="U93" s="76"/>
      <c r="V93" s="76"/>
    </row>
    <row r="94" spans="1:22">
      <c r="A94" s="84" t="s">
        <v>261</v>
      </c>
      <c r="B94" s="85" t="s">
        <v>260</v>
      </c>
      <c r="C94" s="85" t="s">
        <v>99</v>
      </c>
      <c r="D94" s="84" t="s">
        <v>84</v>
      </c>
      <c r="E94" s="84">
        <f>VLOOKUP(A94,'2a. SI Pop'!$A$5:$E$198,5,FALSE)</f>
        <v>4</v>
      </c>
      <c r="F94" s="76">
        <f>100/(100-40)</f>
        <v>1.6666666666666667</v>
      </c>
      <c r="G94" s="76">
        <f t="shared" ref="G94:P94" si="91">F94</f>
        <v>1.6666666666666667</v>
      </c>
      <c r="H94" s="76">
        <f t="shared" si="91"/>
        <v>1.6666666666666667</v>
      </c>
      <c r="I94" s="76">
        <f t="shared" si="91"/>
        <v>1.6666666666666667</v>
      </c>
      <c r="J94" s="76">
        <f t="shared" si="91"/>
        <v>1.6666666666666667</v>
      </c>
      <c r="K94" s="76">
        <f t="shared" si="91"/>
        <v>1.6666666666666667</v>
      </c>
      <c r="L94" s="76">
        <f t="shared" si="91"/>
        <v>1.6666666666666667</v>
      </c>
      <c r="M94" s="76">
        <f t="shared" si="91"/>
        <v>1.6666666666666667</v>
      </c>
      <c r="N94" s="76">
        <f t="shared" si="91"/>
        <v>1.6666666666666667</v>
      </c>
      <c r="O94" s="76">
        <f t="shared" si="91"/>
        <v>1.6666666666666667</v>
      </c>
      <c r="P94" s="76">
        <f t="shared" si="91"/>
        <v>1.6666666666666667</v>
      </c>
      <c r="Q94" s="76"/>
      <c r="R94" s="76"/>
      <c r="S94" s="76"/>
      <c r="T94" s="76"/>
      <c r="U94" s="76"/>
      <c r="V94" s="76"/>
    </row>
    <row r="95" spans="1:22">
      <c r="A95" s="84" t="s">
        <v>263</v>
      </c>
      <c r="B95" s="85" t="s">
        <v>262</v>
      </c>
      <c r="C95" s="85" t="s">
        <v>99</v>
      </c>
      <c r="D95" s="84" t="s">
        <v>87</v>
      </c>
      <c r="E95" s="84">
        <f>VLOOKUP(A95,'2a. SI Pop'!$A$5:$E$198,5,FALSE)</f>
        <v>1</v>
      </c>
      <c r="F95" s="76">
        <v>1.05</v>
      </c>
      <c r="G95" s="76">
        <f t="shared" ref="G95:P95" si="92">F95</f>
        <v>1.05</v>
      </c>
      <c r="H95" s="76">
        <f t="shared" si="92"/>
        <v>1.05</v>
      </c>
      <c r="I95" s="76">
        <f t="shared" si="92"/>
        <v>1.05</v>
      </c>
      <c r="J95" s="76">
        <f t="shared" si="92"/>
        <v>1.05</v>
      </c>
      <c r="K95" s="76">
        <f t="shared" si="92"/>
        <v>1.05</v>
      </c>
      <c r="L95" s="76">
        <f t="shared" si="92"/>
        <v>1.05</v>
      </c>
      <c r="M95" s="76">
        <f t="shared" si="92"/>
        <v>1.05</v>
      </c>
      <c r="N95" s="76">
        <f t="shared" si="92"/>
        <v>1.05</v>
      </c>
      <c r="O95" s="76">
        <f t="shared" si="92"/>
        <v>1.05</v>
      </c>
      <c r="P95" s="76">
        <f t="shared" si="92"/>
        <v>1.05</v>
      </c>
      <c r="Q95" s="76"/>
      <c r="R95" s="76"/>
      <c r="S95" s="76"/>
      <c r="T95" s="76"/>
      <c r="U95" s="76"/>
      <c r="V95" s="76"/>
    </row>
    <row r="96" spans="1:22">
      <c r="A96" s="84" t="s">
        <v>265</v>
      </c>
      <c r="B96" s="85" t="s">
        <v>264</v>
      </c>
      <c r="C96" s="85" t="s">
        <v>74</v>
      </c>
      <c r="D96" s="84" t="s">
        <v>87</v>
      </c>
      <c r="E96" s="84">
        <f>VLOOKUP(A96,'2a. SI Pop'!$A$5:$E$198,5,FALSE)</f>
        <v>1</v>
      </c>
      <c r="F96" s="76">
        <v>1.05</v>
      </c>
      <c r="G96" s="76">
        <f t="shared" ref="G96:P96" si="93">F96</f>
        <v>1.05</v>
      </c>
      <c r="H96" s="76">
        <f t="shared" si="93"/>
        <v>1.05</v>
      </c>
      <c r="I96" s="76">
        <f t="shared" si="93"/>
        <v>1.05</v>
      </c>
      <c r="J96" s="76">
        <f t="shared" si="93"/>
        <v>1.05</v>
      </c>
      <c r="K96" s="76">
        <f t="shared" si="93"/>
        <v>1.05</v>
      </c>
      <c r="L96" s="76">
        <f t="shared" si="93"/>
        <v>1.05</v>
      </c>
      <c r="M96" s="76">
        <f t="shared" si="93"/>
        <v>1.05</v>
      </c>
      <c r="N96" s="76">
        <f t="shared" si="93"/>
        <v>1.05</v>
      </c>
      <c r="O96" s="76">
        <f t="shared" si="93"/>
        <v>1.05</v>
      </c>
      <c r="P96" s="76">
        <f t="shared" si="93"/>
        <v>1.05</v>
      </c>
      <c r="Q96" s="76"/>
      <c r="R96" s="76"/>
      <c r="S96" s="76"/>
      <c r="T96" s="76"/>
      <c r="U96" s="76"/>
      <c r="V96" s="76"/>
    </row>
    <row r="97" spans="1:22">
      <c r="A97" s="84" t="s">
        <v>267</v>
      </c>
      <c r="B97" s="85" t="s">
        <v>266</v>
      </c>
      <c r="C97" s="85" t="s">
        <v>79</v>
      </c>
      <c r="D97" s="84" t="s">
        <v>84</v>
      </c>
      <c r="E97" s="84">
        <f>VLOOKUP(A97,'2a. SI Pop'!$A$5:$E$198,5,FALSE)</f>
        <v>1</v>
      </c>
      <c r="F97" s="76">
        <f>100/(100-15)</f>
        <v>1.1764705882352942</v>
      </c>
      <c r="G97" s="76">
        <f t="shared" ref="G97:P97" si="94">F97</f>
        <v>1.1764705882352942</v>
      </c>
      <c r="H97" s="76">
        <f t="shared" si="94"/>
        <v>1.1764705882352942</v>
      </c>
      <c r="I97" s="76">
        <f t="shared" si="94"/>
        <v>1.1764705882352942</v>
      </c>
      <c r="J97" s="76">
        <f t="shared" si="94"/>
        <v>1.1764705882352942</v>
      </c>
      <c r="K97" s="76">
        <f t="shared" si="94"/>
        <v>1.1764705882352942</v>
      </c>
      <c r="L97" s="76">
        <f t="shared" si="94"/>
        <v>1.1764705882352942</v>
      </c>
      <c r="M97" s="76">
        <f t="shared" si="94"/>
        <v>1.1764705882352942</v>
      </c>
      <c r="N97" s="76">
        <f t="shared" si="94"/>
        <v>1.1764705882352942</v>
      </c>
      <c r="O97" s="76">
        <f t="shared" si="94"/>
        <v>1.1764705882352942</v>
      </c>
      <c r="P97" s="76">
        <f t="shared" si="94"/>
        <v>1.1764705882352942</v>
      </c>
      <c r="Q97" s="76"/>
      <c r="R97" s="76"/>
      <c r="S97" s="76"/>
      <c r="T97" s="76"/>
      <c r="U97" s="76"/>
      <c r="V97" s="76"/>
    </row>
    <row r="98" spans="1:22">
      <c r="A98" s="84" t="s">
        <v>269</v>
      </c>
      <c r="B98" s="85" t="s">
        <v>268</v>
      </c>
      <c r="C98" s="85" t="s">
        <v>99</v>
      </c>
      <c r="D98" s="84" t="s">
        <v>84</v>
      </c>
      <c r="E98" s="84">
        <f>VLOOKUP(A98,'2a. SI Pop'!$A$5:$E$198,5,FALSE)</f>
        <v>4</v>
      </c>
      <c r="F98" s="76">
        <f>100/(100-15)</f>
        <v>1.1764705882352942</v>
      </c>
      <c r="G98" s="76">
        <f t="shared" ref="G98:P98" si="95">F98</f>
        <v>1.1764705882352942</v>
      </c>
      <c r="H98" s="76">
        <f t="shared" si="95"/>
        <v>1.1764705882352942</v>
      </c>
      <c r="I98" s="76">
        <f t="shared" si="95"/>
        <v>1.1764705882352942</v>
      </c>
      <c r="J98" s="76">
        <f t="shared" si="95"/>
        <v>1.1764705882352942</v>
      </c>
      <c r="K98" s="76">
        <f t="shared" si="95"/>
        <v>1.1764705882352942</v>
      </c>
      <c r="L98" s="76">
        <f t="shared" si="95"/>
        <v>1.1764705882352942</v>
      </c>
      <c r="M98" s="76">
        <f t="shared" si="95"/>
        <v>1.1764705882352942</v>
      </c>
      <c r="N98" s="76">
        <f t="shared" si="95"/>
        <v>1.1764705882352942</v>
      </c>
      <c r="O98" s="76">
        <f t="shared" si="95"/>
        <v>1.1764705882352942</v>
      </c>
      <c r="P98" s="76">
        <f t="shared" si="95"/>
        <v>1.1764705882352942</v>
      </c>
      <c r="Q98" s="76"/>
      <c r="R98" s="76"/>
      <c r="S98" s="76"/>
      <c r="T98" s="76"/>
      <c r="U98" s="76"/>
      <c r="V98" s="76"/>
    </row>
    <row r="99" spans="1:22">
      <c r="A99" s="84" t="s">
        <v>271</v>
      </c>
      <c r="B99" s="85" t="s">
        <v>270</v>
      </c>
      <c r="C99" s="85" t="s">
        <v>79</v>
      </c>
      <c r="D99" s="84" t="s">
        <v>87</v>
      </c>
      <c r="E99" s="84">
        <f>VLOOKUP(A99,'2a. SI Pop'!$A$5:$E$198,5,FALSE)</f>
        <v>1</v>
      </c>
      <c r="F99" s="76">
        <v>1.05</v>
      </c>
      <c r="G99" s="76">
        <f t="shared" ref="G99:P99" si="96">F99</f>
        <v>1.05</v>
      </c>
      <c r="H99" s="76">
        <f t="shared" si="96"/>
        <v>1.05</v>
      </c>
      <c r="I99" s="76">
        <f t="shared" si="96"/>
        <v>1.05</v>
      </c>
      <c r="J99" s="76">
        <f t="shared" si="96"/>
        <v>1.05</v>
      </c>
      <c r="K99" s="76">
        <f t="shared" si="96"/>
        <v>1.05</v>
      </c>
      <c r="L99" s="76">
        <f t="shared" si="96"/>
        <v>1.05</v>
      </c>
      <c r="M99" s="76">
        <f t="shared" si="96"/>
        <v>1.05</v>
      </c>
      <c r="N99" s="76">
        <f t="shared" si="96"/>
        <v>1.05</v>
      </c>
      <c r="O99" s="76">
        <f t="shared" si="96"/>
        <v>1.05</v>
      </c>
      <c r="P99" s="76">
        <f t="shared" si="96"/>
        <v>1.05</v>
      </c>
      <c r="Q99" s="76"/>
      <c r="R99" s="76"/>
      <c r="S99" s="76"/>
      <c r="T99" s="76"/>
      <c r="U99" s="76"/>
      <c r="V99" s="76"/>
    </row>
    <row r="100" spans="1:22">
      <c r="A100" s="84" t="s">
        <v>273</v>
      </c>
      <c r="B100" s="85" t="s">
        <v>272</v>
      </c>
      <c r="C100" s="85" t="s">
        <v>74</v>
      </c>
      <c r="D100" s="84" t="s">
        <v>80</v>
      </c>
      <c r="E100" s="84">
        <f>VLOOKUP(A100,'2a. SI Pop'!$A$5:$E$198,5,FALSE)</f>
        <v>2</v>
      </c>
      <c r="F100" s="76">
        <v>1.05</v>
      </c>
      <c r="G100" s="76">
        <f t="shared" ref="G100:P100" si="97">F100</f>
        <v>1.05</v>
      </c>
      <c r="H100" s="76">
        <f t="shared" si="97"/>
        <v>1.05</v>
      </c>
      <c r="I100" s="76">
        <f t="shared" si="97"/>
        <v>1.05</v>
      </c>
      <c r="J100" s="76">
        <f t="shared" si="97"/>
        <v>1.05</v>
      </c>
      <c r="K100" s="76">
        <f t="shared" si="97"/>
        <v>1.05</v>
      </c>
      <c r="L100" s="76">
        <f t="shared" si="97"/>
        <v>1.05</v>
      </c>
      <c r="M100" s="76">
        <f t="shared" si="97"/>
        <v>1.05</v>
      </c>
      <c r="N100" s="76">
        <f t="shared" si="97"/>
        <v>1.05</v>
      </c>
      <c r="O100" s="76">
        <f t="shared" si="97"/>
        <v>1.05</v>
      </c>
      <c r="P100" s="76">
        <f t="shared" si="97"/>
        <v>1.05</v>
      </c>
      <c r="Q100" s="76"/>
      <c r="R100" s="76"/>
      <c r="S100" s="76"/>
      <c r="T100" s="76"/>
      <c r="U100" s="76"/>
      <c r="V100" s="76"/>
    </row>
    <row r="101" spans="1:22">
      <c r="A101" s="84" t="s">
        <v>275</v>
      </c>
      <c r="B101" s="85" t="s">
        <v>274</v>
      </c>
      <c r="C101" s="85" t="s">
        <v>83</v>
      </c>
      <c r="D101" s="84" t="s">
        <v>84</v>
      </c>
      <c r="E101" s="84">
        <f>VLOOKUP(A101,'2a. SI Pop'!$A$5:$E$198,5,FALSE)</f>
        <v>3</v>
      </c>
      <c r="F101" s="76">
        <f>100/(100-15)</f>
        <v>1.1764705882352942</v>
      </c>
      <c r="G101" s="76">
        <f t="shared" ref="G101:P101" si="98">F101</f>
        <v>1.1764705882352942</v>
      </c>
      <c r="H101" s="76">
        <f t="shared" si="98"/>
        <v>1.1764705882352942</v>
      </c>
      <c r="I101" s="76">
        <f t="shared" si="98"/>
        <v>1.1764705882352942</v>
      </c>
      <c r="J101" s="76">
        <f t="shared" si="98"/>
        <v>1.1764705882352942</v>
      </c>
      <c r="K101" s="76">
        <f t="shared" si="98"/>
        <v>1.1764705882352942</v>
      </c>
      <c r="L101" s="76">
        <f t="shared" si="98"/>
        <v>1.1764705882352942</v>
      </c>
      <c r="M101" s="76">
        <f t="shared" si="98"/>
        <v>1.1764705882352942</v>
      </c>
      <c r="N101" s="76">
        <f t="shared" si="98"/>
        <v>1.1764705882352942</v>
      </c>
      <c r="O101" s="76">
        <f t="shared" si="98"/>
        <v>1.1764705882352942</v>
      </c>
      <c r="P101" s="76">
        <f t="shared" si="98"/>
        <v>1.1764705882352942</v>
      </c>
      <c r="Q101" s="76"/>
      <c r="R101" s="76"/>
      <c r="S101" s="76"/>
      <c r="T101" s="76"/>
      <c r="U101" s="76"/>
      <c r="V101" s="76"/>
    </row>
    <row r="102" spans="1:22">
      <c r="A102" s="84" t="s">
        <v>277</v>
      </c>
      <c r="B102" s="85" t="s">
        <v>276</v>
      </c>
      <c r="C102" s="85" t="s">
        <v>83</v>
      </c>
      <c r="D102" s="84" t="s">
        <v>75</v>
      </c>
      <c r="E102" s="84">
        <f>VLOOKUP(A102,'2a. SI Pop'!$A$5:$E$198,5,FALSE)</f>
        <v>3</v>
      </c>
      <c r="F102" s="76">
        <f>100/(100-15)</f>
        <v>1.1764705882352942</v>
      </c>
      <c r="G102" s="76">
        <f t="shared" ref="G102:P102" si="99">F102</f>
        <v>1.1764705882352942</v>
      </c>
      <c r="H102" s="76">
        <f t="shared" si="99"/>
        <v>1.1764705882352942</v>
      </c>
      <c r="I102" s="76">
        <f t="shared" si="99"/>
        <v>1.1764705882352942</v>
      </c>
      <c r="J102" s="76">
        <f t="shared" si="99"/>
        <v>1.1764705882352942</v>
      </c>
      <c r="K102" s="76">
        <f t="shared" si="99"/>
        <v>1.1764705882352942</v>
      </c>
      <c r="L102" s="76">
        <f t="shared" si="99"/>
        <v>1.1764705882352942</v>
      </c>
      <c r="M102" s="76">
        <f t="shared" si="99"/>
        <v>1.1764705882352942</v>
      </c>
      <c r="N102" s="76">
        <f t="shared" si="99"/>
        <v>1.1764705882352942</v>
      </c>
      <c r="O102" s="76">
        <f t="shared" si="99"/>
        <v>1.1764705882352942</v>
      </c>
      <c r="P102" s="76">
        <f t="shared" si="99"/>
        <v>1.1764705882352942</v>
      </c>
      <c r="Q102" s="76"/>
      <c r="R102" s="76"/>
      <c r="S102" s="76"/>
      <c r="T102" s="76"/>
      <c r="U102" s="76"/>
      <c r="V102" s="76"/>
    </row>
    <row r="103" spans="1:22">
      <c r="A103" s="84" t="s">
        <v>279</v>
      </c>
      <c r="B103" s="85" t="s">
        <v>278</v>
      </c>
      <c r="C103" s="85" t="s">
        <v>74</v>
      </c>
      <c r="D103" s="84" t="s">
        <v>80</v>
      </c>
      <c r="E103" s="84">
        <f>VLOOKUP(A103,'2a. SI Pop'!$A$5:$E$198,5,FALSE)</f>
        <v>2</v>
      </c>
      <c r="F103" s="76">
        <v>1.05</v>
      </c>
      <c r="G103" s="76">
        <f t="shared" ref="G103:P103" si="100">F103</f>
        <v>1.05</v>
      </c>
      <c r="H103" s="76">
        <f t="shared" si="100"/>
        <v>1.05</v>
      </c>
      <c r="I103" s="76">
        <f t="shared" si="100"/>
        <v>1.05</v>
      </c>
      <c r="J103" s="76">
        <f t="shared" si="100"/>
        <v>1.05</v>
      </c>
      <c r="K103" s="76">
        <f t="shared" si="100"/>
        <v>1.05</v>
      </c>
      <c r="L103" s="76">
        <f t="shared" si="100"/>
        <v>1.05</v>
      </c>
      <c r="M103" s="76">
        <f t="shared" si="100"/>
        <v>1.05</v>
      </c>
      <c r="N103" s="76">
        <f t="shared" si="100"/>
        <v>1.05</v>
      </c>
      <c r="O103" s="76">
        <f t="shared" si="100"/>
        <v>1.05</v>
      </c>
      <c r="P103" s="76">
        <f t="shared" si="100"/>
        <v>1.05</v>
      </c>
      <c r="Q103" s="76"/>
      <c r="R103" s="76"/>
      <c r="S103" s="76"/>
      <c r="T103" s="76"/>
      <c r="U103" s="76"/>
      <c r="V103" s="76"/>
    </row>
    <row r="104" spans="1:22">
      <c r="A104" s="84" t="s">
        <v>281</v>
      </c>
      <c r="B104" s="85" t="s">
        <v>280</v>
      </c>
      <c r="C104" s="85" t="s">
        <v>79</v>
      </c>
      <c r="D104" s="84" t="s">
        <v>87</v>
      </c>
      <c r="E104" s="84">
        <f>VLOOKUP(A104,'2a. SI Pop'!$A$5:$E$198,5,FALSE)</f>
        <v>1</v>
      </c>
      <c r="F104" s="76">
        <v>1.05</v>
      </c>
      <c r="G104" s="76">
        <f t="shared" ref="G104:P104" si="101">F104</f>
        <v>1.05</v>
      </c>
      <c r="H104" s="76">
        <f t="shared" si="101"/>
        <v>1.05</v>
      </c>
      <c r="I104" s="76">
        <f t="shared" si="101"/>
        <v>1.05</v>
      </c>
      <c r="J104" s="76">
        <f t="shared" si="101"/>
        <v>1.05</v>
      </c>
      <c r="K104" s="76">
        <f t="shared" si="101"/>
        <v>1.05</v>
      </c>
      <c r="L104" s="76">
        <f t="shared" si="101"/>
        <v>1.05</v>
      </c>
      <c r="M104" s="76">
        <f t="shared" si="101"/>
        <v>1.05</v>
      </c>
      <c r="N104" s="76">
        <f t="shared" si="101"/>
        <v>1.05</v>
      </c>
      <c r="O104" s="76">
        <f t="shared" si="101"/>
        <v>1.05</v>
      </c>
      <c r="P104" s="76">
        <f t="shared" si="101"/>
        <v>1.05</v>
      </c>
      <c r="Q104" s="76"/>
      <c r="R104" s="76"/>
      <c r="S104" s="76"/>
      <c r="T104" s="76"/>
      <c r="U104" s="76"/>
      <c r="V104" s="76"/>
    </row>
    <row r="105" spans="1:22">
      <c r="A105" s="84" t="s">
        <v>283</v>
      </c>
      <c r="B105" s="85" t="s">
        <v>282</v>
      </c>
      <c r="C105" s="85" t="s">
        <v>79</v>
      </c>
      <c r="D105" s="84" t="s">
        <v>87</v>
      </c>
      <c r="E105" s="84">
        <f>VLOOKUP(A105,'2a. SI Pop'!$A$5:$E$198,5,FALSE)</f>
        <v>1</v>
      </c>
      <c r="F105" s="76">
        <v>1.05</v>
      </c>
      <c r="G105" s="76">
        <f t="shared" ref="G105:P105" si="102">F105</f>
        <v>1.05</v>
      </c>
      <c r="H105" s="76">
        <f t="shared" si="102"/>
        <v>1.05</v>
      </c>
      <c r="I105" s="76">
        <f t="shared" si="102"/>
        <v>1.05</v>
      </c>
      <c r="J105" s="76">
        <f t="shared" si="102"/>
        <v>1.05</v>
      </c>
      <c r="K105" s="76">
        <f t="shared" si="102"/>
        <v>1.05</v>
      </c>
      <c r="L105" s="76">
        <f t="shared" si="102"/>
        <v>1.05</v>
      </c>
      <c r="M105" s="76">
        <f t="shared" si="102"/>
        <v>1.05</v>
      </c>
      <c r="N105" s="76">
        <f t="shared" si="102"/>
        <v>1.05</v>
      </c>
      <c r="O105" s="76">
        <f t="shared" si="102"/>
        <v>1.05</v>
      </c>
      <c r="P105" s="76">
        <f t="shared" si="102"/>
        <v>1.05</v>
      </c>
      <c r="Q105" s="76"/>
      <c r="R105" s="76"/>
      <c r="S105" s="76"/>
      <c r="T105" s="76"/>
      <c r="U105" s="76"/>
      <c r="V105" s="76"/>
    </row>
    <row r="106" spans="1:22">
      <c r="A106" s="84" t="s">
        <v>285</v>
      </c>
      <c r="B106" s="85" t="s">
        <v>284</v>
      </c>
      <c r="C106" s="85" t="s">
        <v>79</v>
      </c>
      <c r="D106" s="84" t="s">
        <v>80</v>
      </c>
      <c r="E106" s="84">
        <f>VLOOKUP(A106,'2a. SI Pop'!$A$5:$E$198,5,FALSE)</f>
        <v>1</v>
      </c>
      <c r="F106" s="76">
        <v>1.05</v>
      </c>
      <c r="G106" s="76">
        <f t="shared" ref="G106:P106" si="103">F106</f>
        <v>1.05</v>
      </c>
      <c r="H106" s="76">
        <f t="shared" si="103"/>
        <v>1.05</v>
      </c>
      <c r="I106" s="76">
        <f t="shared" si="103"/>
        <v>1.05</v>
      </c>
      <c r="J106" s="76">
        <f t="shared" si="103"/>
        <v>1.05</v>
      </c>
      <c r="K106" s="76">
        <f t="shared" si="103"/>
        <v>1.05</v>
      </c>
      <c r="L106" s="76">
        <f t="shared" si="103"/>
        <v>1.05</v>
      </c>
      <c r="M106" s="76">
        <f t="shared" si="103"/>
        <v>1.05</v>
      </c>
      <c r="N106" s="76">
        <f t="shared" si="103"/>
        <v>1.05</v>
      </c>
      <c r="O106" s="76">
        <f t="shared" si="103"/>
        <v>1.05</v>
      </c>
      <c r="P106" s="76">
        <f t="shared" si="103"/>
        <v>1.05</v>
      </c>
      <c r="Q106" s="76"/>
      <c r="R106" s="76"/>
      <c r="S106" s="76"/>
      <c r="T106" s="76"/>
      <c r="U106" s="76"/>
      <c r="V106" s="76"/>
    </row>
    <row r="107" spans="1:22">
      <c r="A107" s="84" t="s">
        <v>287</v>
      </c>
      <c r="B107" s="85" t="s">
        <v>286</v>
      </c>
      <c r="C107" s="85" t="s">
        <v>83</v>
      </c>
      <c r="D107" s="84" t="s">
        <v>75</v>
      </c>
      <c r="E107" s="84">
        <f>VLOOKUP(A107,'2a. SI Pop'!$A$5:$E$198,5,FALSE)</f>
        <v>3</v>
      </c>
      <c r="F107" s="76">
        <f>100/(100-15)</f>
        <v>1.1764705882352942</v>
      </c>
      <c r="G107" s="76">
        <f t="shared" ref="G107:P107" si="104">F107</f>
        <v>1.1764705882352942</v>
      </c>
      <c r="H107" s="76">
        <f t="shared" si="104"/>
        <v>1.1764705882352942</v>
      </c>
      <c r="I107" s="76">
        <f t="shared" si="104"/>
        <v>1.1764705882352942</v>
      </c>
      <c r="J107" s="76">
        <f t="shared" si="104"/>
        <v>1.1764705882352942</v>
      </c>
      <c r="K107" s="76">
        <f t="shared" si="104"/>
        <v>1.1764705882352942</v>
      </c>
      <c r="L107" s="76">
        <f t="shared" si="104"/>
        <v>1.1764705882352942</v>
      </c>
      <c r="M107" s="76">
        <f t="shared" si="104"/>
        <v>1.1764705882352942</v>
      </c>
      <c r="N107" s="76">
        <f t="shared" si="104"/>
        <v>1.1764705882352942</v>
      </c>
      <c r="O107" s="76">
        <f t="shared" si="104"/>
        <v>1.1764705882352942</v>
      </c>
      <c r="P107" s="76">
        <f t="shared" si="104"/>
        <v>1.1764705882352942</v>
      </c>
      <c r="Q107" s="76"/>
      <c r="R107" s="76"/>
      <c r="S107" s="76"/>
      <c r="T107" s="76"/>
      <c r="U107" s="76"/>
      <c r="V107" s="76"/>
    </row>
    <row r="108" spans="1:22">
      <c r="A108" s="84" t="s">
        <v>289</v>
      </c>
      <c r="B108" s="85" t="s">
        <v>288</v>
      </c>
      <c r="C108" s="85" t="s">
        <v>83</v>
      </c>
      <c r="D108" s="84" t="s">
        <v>75</v>
      </c>
      <c r="E108" s="84">
        <f>VLOOKUP(A108,'2a. SI Pop'!$A$5:$E$198,5,FALSE)</f>
        <v>3</v>
      </c>
      <c r="F108" s="76">
        <f>100/(100-40)</f>
        <v>1.6666666666666667</v>
      </c>
      <c r="G108" s="76">
        <f t="shared" ref="G108:P108" si="105">F108</f>
        <v>1.6666666666666667</v>
      </c>
      <c r="H108" s="76">
        <f t="shared" si="105"/>
        <v>1.6666666666666667</v>
      </c>
      <c r="I108" s="76">
        <f t="shared" si="105"/>
        <v>1.6666666666666667</v>
      </c>
      <c r="J108" s="76">
        <f t="shared" si="105"/>
        <v>1.6666666666666667</v>
      </c>
      <c r="K108" s="76">
        <f t="shared" si="105"/>
        <v>1.6666666666666667</v>
      </c>
      <c r="L108" s="76">
        <f t="shared" si="105"/>
        <v>1.6666666666666667</v>
      </c>
      <c r="M108" s="76">
        <f t="shared" si="105"/>
        <v>1.6666666666666667</v>
      </c>
      <c r="N108" s="76">
        <f t="shared" si="105"/>
        <v>1.6666666666666667</v>
      </c>
      <c r="O108" s="76">
        <f t="shared" si="105"/>
        <v>1.6666666666666667</v>
      </c>
      <c r="P108" s="76">
        <f t="shared" si="105"/>
        <v>1.6666666666666667</v>
      </c>
      <c r="Q108" s="76"/>
      <c r="R108" s="76"/>
      <c r="S108" s="76"/>
      <c r="T108" s="76"/>
      <c r="U108" s="76"/>
      <c r="V108" s="76"/>
    </row>
    <row r="109" spans="1:22">
      <c r="A109" s="84" t="s">
        <v>291</v>
      </c>
      <c r="B109" s="85" t="s">
        <v>290</v>
      </c>
      <c r="C109" s="85" t="s">
        <v>99</v>
      </c>
      <c r="D109" s="84" t="s">
        <v>80</v>
      </c>
      <c r="E109" s="84">
        <f>VLOOKUP(A109,'2a. SI Pop'!$A$5:$E$198,5,FALSE)</f>
        <v>2</v>
      </c>
      <c r="F109" s="76">
        <v>1.05</v>
      </c>
      <c r="G109" s="76">
        <f t="shared" ref="G109:P109" si="106">F109</f>
        <v>1.05</v>
      </c>
      <c r="H109" s="76">
        <f t="shared" si="106"/>
        <v>1.05</v>
      </c>
      <c r="I109" s="76">
        <f t="shared" si="106"/>
        <v>1.05</v>
      </c>
      <c r="J109" s="76">
        <f t="shared" si="106"/>
        <v>1.05</v>
      </c>
      <c r="K109" s="76">
        <f t="shared" si="106"/>
        <v>1.05</v>
      </c>
      <c r="L109" s="76">
        <f t="shared" si="106"/>
        <v>1.05</v>
      </c>
      <c r="M109" s="76">
        <f t="shared" si="106"/>
        <v>1.05</v>
      </c>
      <c r="N109" s="76">
        <f t="shared" si="106"/>
        <v>1.05</v>
      </c>
      <c r="O109" s="76">
        <f t="shared" si="106"/>
        <v>1.05</v>
      </c>
      <c r="P109" s="76">
        <f t="shared" si="106"/>
        <v>1.05</v>
      </c>
      <c r="Q109" s="76"/>
      <c r="R109" s="76"/>
      <c r="S109" s="76"/>
      <c r="T109" s="76"/>
      <c r="U109" s="76"/>
      <c r="V109" s="76"/>
    </row>
    <row r="110" spans="1:22">
      <c r="A110" s="84" t="s">
        <v>293</v>
      </c>
      <c r="B110" s="85" t="s">
        <v>292</v>
      </c>
      <c r="C110" s="85" t="s">
        <v>110</v>
      </c>
      <c r="D110" s="84" t="s">
        <v>80</v>
      </c>
      <c r="E110" s="84">
        <f>VLOOKUP(A110,'2a. SI Pop'!$A$5:$E$198,5,FALSE)</f>
        <v>2</v>
      </c>
      <c r="F110" s="76">
        <f>100/(100-15)</f>
        <v>1.1764705882352942</v>
      </c>
      <c r="G110" s="76">
        <f t="shared" ref="G110:P110" si="107">F110</f>
        <v>1.1764705882352942</v>
      </c>
      <c r="H110" s="76">
        <f t="shared" si="107"/>
        <v>1.1764705882352942</v>
      </c>
      <c r="I110" s="76">
        <f t="shared" si="107"/>
        <v>1.1764705882352942</v>
      </c>
      <c r="J110" s="76">
        <f t="shared" si="107"/>
        <v>1.1764705882352942</v>
      </c>
      <c r="K110" s="76">
        <f t="shared" si="107"/>
        <v>1.1764705882352942</v>
      </c>
      <c r="L110" s="76">
        <f t="shared" si="107"/>
        <v>1.1764705882352942</v>
      </c>
      <c r="M110" s="76">
        <f t="shared" si="107"/>
        <v>1.1764705882352942</v>
      </c>
      <c r="N110" s="76">
        <f t="shared" si="107"/>
        <v>1.1764705882352942</v>
      </c>
      <c r="O110" s="76">
        <f t="shared" si="107"/>
        <v>1.1764705882352942</v>
      </c>
      <c r="P110" s="76">
        <f t="shared" si="107"/>
        <v>1.1764705882352942</v>
      </c>
      <c r="Q110" s="76"/>
      <c r="R110" s="76"/>
      <c r="S110" s="76"/>
      <c r="T110" s="76"/>
      <c r="U110" s="76"/>
      <c r="V110" s="76"/>
    </row>
    <row r="111" spans="1:22">
      <c r="A111" s="84" t="s">
        <v>295</v>
      </c>
      <c r="B111" s="85" t="s">
        <v>294</v>
      </c>
      <c r="C111" s="85" t="s">
        <v>83</v>
      </c>
      <c r="D111" s="84" t="s">
        <v>75</v>
      </c>
      <c r="E111" s="84">
        <f>VLOOKUP(A111,'2a. SI Pop'!$A$5:$E$198,5,FALSE)</f>
        <v>3</v>
      </c>
      <c r="F111" s="76">
        <f>100/(100-15)</f>
        <v>1.1764705882352942</v>
      </c>
      <c r="G111" s="76">
        <f t="shared" ref="G111:P111" si="108">F111</f>
        <v>1.1764705882352942</v>
      </c>
      <c r="H111" s="76">
        <f t="shared" si="108"/>
        <v>1.1764705882352942</v>
      </c>
      <c r="I111" s="76">
        <f t="shared" si="108"/>
        <v>1.1764705882352942</v>
      </c>
      <c r="J111" s="76">
        <f t="shared" si="108"/>
        <v>1.1764705882352942</v>
      </c>
      <c r="K111" s="76">
        <f t="shared" si="108"/>
        <v>1.1764705882352942</v>
      </c>
      <c r="L111" s="76">
        <f t="shared" si="108"/>
        <v>1.1764705882352942</v>
      </c>
      <c r="M111" s="76">
        <f t="shared" si="108"/>
        <v>1.1764705882352942</v>
      </c>
      <c r="N111" s="76">
        <f t="shared" si="108"/>
        <v>1.1764705882352942</v>
      </c>
      <c r="O111" s="76">
        <f t="shared" si="108"/>
        <v>1.1764705882352942</v>
      </c>
      <c r="P111" s="76">
        <f t="shared" si="108"/>
        <v>1.1764705882352942</v>
      </c>
      <c r="Q111" s="76"/>
      <c r="R111" s="76"/>
      <c r="S111" s="76"/>
      <c r="T111" s="76"/>
      <c r="U111" s="76"/>
      <c r="V111" s="76"/>
    </row>
    <row r="112" spans="1:22">
      <c r="A112" s="84" t="s">
        <v>297</v>
      </c>
      <c r="B112" s="85" t="s">
        <v>296</v>
      </c>
      <c r="C112" s="85" t="s">
        <v>79</v>
      </c>
      <c r="D112" s="84" t="s">
        <v>87</v>
      </c>
      <c r="E112" s="84">
        <f>VLOOKUP(A112,'2a. SI Pop'!$A$5:$E$198,5,FALSE)</f>
        <v>1</v>
      </c>
      <c r="F112" s="76">
        <v>1.05</v>
      </c>
      <c r="G112" s="76">
        <f t="shared" ref="G112:P112" si="109">F112</f>
        <v>1.05</v>
      </c>
      <c r="H112" s="76">
        <f t="shared" si="109"/>
        <v>1.05</v>
      </c>
      <c r="I112" s="76">
        <f t="shared" si="109"/>
        <v>1.05</v>
      </c>
      <c r="J112" s="76">
        <f t="shared" si="109"/>
        <v>1.05</v>
      </c>
      <c r="K112" s="76">
        <f t="shared" si="109"/>
        <v>1.05</v>
      </c>
      <c r="L112" s="76">
        <f t="shared" si="109"/>
        <v>1.05</v>
      </c>
      <c r="M112" s="76">
        <f t="shared" si="109"/>
        <v>1.05</v>
      </c>
      <c r="N112" s="76">
        <f t="shared" si="109"/>
        <v>1.05</v>
      </c>
      <c r="O112" s="76">
        <f t="shared" si="109"/>
        <v>1.05</v>
      </c>
      <c r="P112" s="76">
        <f t="shared" si="109"/>
        <v>1.05</v>
      </c>
      <c r="Q112" s="76"/>
      <c r="R112" s="76"/>
      <c r="S112" s="76"/>
      <c r="T112" s="76"/>
      <c r="U112" s="76"/>
      <c r="V112" s="76"/>
    </row>
    <row r="113" spans="1:22">
      <c r="A113" s="84" t="s">
        <v>299</v>
      </c>
      <c r="B113" s="85" t="s">
        <v>298</v>
      </c>
      <c r="C113" s="85" t="s">
        <v>99</v>
      </c>
      <c r="D113" s="84" t="s">
        <v>80</v>
      </c>
      <c r="E113" s="84">
        <f>VLOOKUP(A113,'2a. SI Pop'!$A$5:$E$198,5,FALSE)</f>
        <v>1</v>
      </c>
      <c r="F113" s="76">
        <v>0</v>
      </c>
      <c r="G113" s="76">
        <f t="shared" ref="G113:P113" si="110">F113</f>
        <v>0</v>
      </c>
      <c r="H113" s="76">
        <f t="shared" si="110"/>
        <v>0</v>
      </c>
      <c r="I113" s="76">
        <f t="shared" si="110"/>
        <v>0</v>
      </c>
      <c r="J113" s="76">
        <f t="shared" si="110"/>
        <v>0</v>
      </c>
      <c r="K113" s="76">
        <f t="shared" si="110"/>
        <v>0</v>
      </c>
      <c r="L113" s="76">
        <f t="shared" si="110"/>
        <v>0</v>
      </c>
      <c r="M113" s="76">
        <f t="shared" si="110"/>
        <v>0</v>
      </c>
      <c r="N113" s="76">
        <f t="shared" si="110"/>
        <v>0</v>
      </c>
      <c r="O113" s="76">
        <f t="shared" si="110"/>
        <v>0</v>
      </c>
      <c r="P113" s="76">
        <f t="shared" si="110"/>
        <v>0</v>
      </c>
      <c r="Q113" s="76"/>
      <c r="R113" s="76"/>
      <c r="S113" s="76"/>
      <c r="T113" s="76"/>
      <c r="U113" s="76"/>
      <c r="V113" s="76"/>
    </row>
    <row r="114" spans="1:22">
      <c r="A114" s="84" t="s">
        <v>301</v>
      </c>
      <c r="B114" s="85" t="s">
        <v>300</v>
      </c>
      <c r="C114" s="85" t="s">
        <v>83</v>
      </c>
      <c r="D114" s="84" t="s">
        <v>84</v>
      </c>
      <c r="E114" s="84">
        <f>VLOOKUP(A114,'2a. SI Pop'!$A$5:$E$198,5,FALSE)</f>
        <v>3</v>
      </c>
      <c r="F114" s="76">
        <f>100/(100-15)</f>
        <v>1.1764705882352942</v>
      </c>
      <c r="G114" s="76">
        <f t="shared" ref="G114:P114" si="111">F114</f>
        <v>1.1764705882352942</v>
      </c>
      <c r="H114" s="76">
        <f t="shared" si="111"/>
        <v>1.1764705882352942</v>
      </c>
      <c r="I114" s="76">
        <f t="shared" si="111"/>
        <v>1.1764705882352942</v>
      </c>
      <c r="J114" s="76">
        <f t="shared" si="111"/>
        <v>1.1764705882352942</v>
      </c>
      <c r="K114" s="76">
        <f t="shared" si="111"/>
        <v>1.1764705882352942</v>
      </c>
      <c r="L114" s="76">
        <f t="shared" si="111"/>
        <v>1.1764705882352942</v>
      </c>
      <c r="M114" s="76">
        <f t="shared" si="111"/>
        <v>1.1764705882352942</v>
      </c>
      <c r="N114" s="76">
        <f t="shared" si="111"/>
        <v>1.1764705882352942</v>
      </c>
      <c r="O114" s="76">
        <f t="shared" si="111"/>
        <v>1.1764705882352942</v>
      </c>
      <c r="P114" s="76">
        <f t="shared" si="111"/>
        <v>1.1764705882352942</v>
      </c>
      <c r="Q114" s="76"/>
      <c r="R114" s="76"/>
      <c r="S114" s="76"/>
      <c r="T114" s="76"/>
      <c r="U114" s="76"/>
      <c r="V114" s="76"/>
    </row>
    <row r="115" spans="1:22">
      <c r="A115" s="84" t="s">
        <v>303</v>
      </c>
      <c r="B115" s="85" t="s">
        <v>302</v>
      </c>
      <c r="C115" s="85" t="s">
        <v>83</v>
      </c>
      <c r="D115" s="84" t="s">
        <v>87</v>
      </c>
      <c r="E115" s="84">
        <f>VLOOKUP(A115,'2a. SI Pop'!$A$5:$E$198,5,FALSE)</f>
        <v>1</v>
      </c>
      <c r="F115" s="76">
        <v>1.05</v>
      </c>
      <c r="G115" s="76">
        <f t="shared" ref="G115:P115" si="112">F115</f>
        <v>1.05</v>
      </c>
      <c r="H115" s="76">
        <f t="shared" si="112"/>
        <v>1.05</v>
      </c>
      <c r="I115" s="76">
        <f t="shared" si="112"/>
        <v>1.05</v>
      </c>
      <c r="J115" s="76">
        <f t="shared" si="112"/>
        <v>1.05</v>
      </c>
      <c r="K115" s="76">
        <f t="shared" si="112"/>
        <v>1.05</v>
      </c>
      <c r="L115" s="76">
        <f t="shared" si="112"/>
        <v>1.05</v>
      </c>
      <c r="M115" s="76">
        <f t="shared" si="112"/>
        <v>1.05</v>
      </c>
      <c r="N115" s="76">
        <f t="shared" si="112"/>
        <v>1.05</v>
      </c>
      <c r="O115" s="76">
        <f t="shared" si="112"/>
        <v>1.05</v>
      </c>
      <c r="P115" s="76">
        <f t="shared" si="112"/>
        <v>1.05</v>
      </c>
      <c r="Q115" s="76"/>
      <c r="R115" s="76"/>
      <c r="S115" s="76"/>
      <c r="T115" s="76"/>
      <c r="U115" s="76"/>
      <c r="V115" s="76"/>
    </row>
    <row r="116" spans="1:22">
      <c r="A116" s="84" t="s">
        <v>305</v>
      </c>
      <c r="B116" s="85" t="s">
        <v>304</v>
      </c>
      <c r="C116" s="85" t="s">
        <v>92</v>
      </c>
      <c r="D116" s="84" t="s">
        <v>80</v>
      </c>
      <c r="E116" s="84">
        <f>VLOOKUP(A116,'2a. SI Pop'!$A$5:$E$198,5,FALSE)</f>
        <v>2</v>
      </c>
      <c r="F116" s="76">
        <f>100/(100-40)</f>
        <v>1.6666666666666667</v>
      </c>
      <c r="G116" s="76">
        <f t="shared" ref="G116:P116" si="113">F116</f>
        <v>1.6666666666666667</v>
      </c>
      <c r="H116" s="76">
        <f t="shared" si="113"/>
        <v>1.6666666666666667</v>
      </c>
      <c r="I116" s="76">
        <f t="shared" si="113"/>
        <v>1.6666666666666667</v>
      </c>
      <c r="J116" s="76">
        <f t="shared" si="113"/>
        <v>1.6666666666666667</v>
      </c>
      <c r="K116" s="76">
        <f t="shared" si="113"/>
        <v>1.6666666666666667</v>
      </c>
      <c r="L116" s="76">
        <f t="shared" si="113"/>
        <v>1.6666666666666667</v>
      </c>
      <c r="M116" s="76">
        <f t="shared" si="113"/>
        <v>1.6666666666666667</v>
      </c>
      <c r="N116" s="76">
        <f t="shared" si="113"/>
        <v>1.6666666666666667</v>
      </c>
      <c r="O116" s="76">
        <f t="shared" si="113"/>
        <v>1.6666666666666667</v>
      </c>
      <c r="P116" s="76">
        <f t="shared" si="113"/>
        <v>1.6666666666666667</v>
      </c>
      <c r="Q116" s="76"/>
      <c r="R116" s="76"/>
      <c r="S116" s="76"/>
      <c r="T116" s="76"/>
      <c r="U116" s="76"/>
      <c r="V116" s="76"/>
    </row>
    <row r="117" spans="1:22">
      <c r="A117" s="84" t="s">
        <v>307</v>
      </c>
      <c r="B117" s="85" t="s">
        <v>306</v>
      </c>
      <c r="C117" s="85" t="s">
        <v>99</v>
      </c>
      <c r="D117" s="84" t="s">
        <v>84</v>
      </c>
      <c r="E117" s="84">
        <f>VLOOKUP(A117,'2a. SI Pop'!$A$5:$E$198,5,FALSE)</f>
        <v>1</v>
      </c>
      <c r="F117" s="76">
        <v>1.05</v>
      </c>
      <c r="G117" s="76">
        <f t="shared" ref="G117:P117" si="114">F117</f>
        <v>1.05</v>
      </c>
      <c r="H117" s="76">
        <f t="shared" si="114"/>
        <v>1.05</v>
      </c>
      <c r="I117" s="76">
        <f t="shared" si="114"/>
        <v>1.05</v>
      </c>
      <c r="J117" s="76">
        <f t="shared" si="114"/>
        <v>1.05</v>
      </c>
      <c r="K117" s="76">
        <f t="shared" si="114"/>
        <v>1.05</v>
      </c>
      <c r="L117" s="76">
        <f t="shared" si="114"/>
        <v>1.05</v>
      </c>
      <c r="M117" s="76">
        <f t="shared" si="114"/>
        <v>1.05</v>
      </c>
      <c r="N117" s="76">
        <f t="shared" si="114"/>
        <v>1.05</v>
      </c>
      <c r="O117" s="76">
        <f t="shared" si="114"/>
        <v>1.05</v>
      </c>
      <c r="P117" s="76">
        <f t="shared" si="114"/>
        <v>1.05</v>
      </c>
      <c r="Q117" s="76"/>
      <c r="R117" s="76"/>
      <c r="S117" s="76"/>
      <c r="T117" s="76"/>
      <c r="U117" s="76"/>
      <c r="V117" s="76"/>
    </row>
    <row r="118" spans="1:22">
      <c r="A118" s="84" t="s">
        <v>309</v>
      </c>
      <c r="B118" s="85" t="s">
        <v>308</v>
      </c>
      <c r="C118" s="85" t="s">
        <v>79</v>
      </c>
      <c r="D118" s="84" t="s">
        <v>84</v>
      </c>
      <c r="E118" s="84">
        <f>VLOOKUP(A118,'2a. SI Pop'!$A$5:$E$198,5,FALSE)</f>
        <v>1</v>
      </c>
      <c r="F118" s="76">
        <v>1.05</v>
      </c>
      <c r="G118" s="76">
        <f t="shared" ref="G118:P118" si="115">F118</f>
        <v>1.05</v>
      </c>
      <c r="H118" s="76">
        <f t="shared" si="115"/>
        <v>1.05</v>
      </c>
      <c r="I118" s="76">
        <f t="shared" si="115"/>
        <v>1.05</v>
      </c>
      <c r="J118" s="76">
        <f t="shared" si="115"/>
        <v>1.05</v>
      </c>
      <c r="K118" s="76">
        <f t="shared" si="115"/>
        <v>1.05</v>
      </c>
      <c r="L118" s="76">
        <f t="shared" si="115"/>
        <v>1.05</v>
      </c>
      <c r="M118" s="76">
        <f t="shared" si="115"/>
        <v>1.05</v>
      </c>
      <c r="N118" s="76">
        <f t="shared" si="115"/>
        <v>1.05</v>
      </c>
      <c r="O118" s="76">
        <f t="shared" si="115"/>
        <v>1.05</v>
      </c>
      <c r="P118" s="76">
        <f t="shared" si="115"/>
        <v>1.05</v>
      </c>
      <c r="Q118" s="76"/>
      <c r="R118" s="76"/>
      <c r="S118" s="76"/>
      <c r="T118" s="76"/>
      <c r="U118" s="76"/>
      <c r="V118" s="76"/>
    </row>
    <row r="119" spans="1:22">
      <c r="A119" s="84" t="s">
        <v>311</v>
      </c>
      <c r="B119" s="85" t="s">
        <v>310</v>
      </c>
      <c r="C119" s="85" t="s">
        <v>79</v>
      </c>
      <c r="D119" s="84" t="s">
        <v>87</v>
      </c>
      <c r="E119" s="84">
        <f>VLOOKUP(A119,'2a. SI Pop'!$A$5:$E$198,5,FALSE)</f>
        <v>1</v>
      </c>
      <c r="F119" s="76">
        <v>0</v>
      </c>
      <c r="G119" s="76">
        <f t="shared" ref="G119:P119" si="116">F119</f>
        <v>0</v>
      </c>
      <c r="H119" s="76">
        <f t="shared" si="116"/>
        <v>0</v>
      </c>
      <c r="I119" s="76">
        <f t="shared" si="116"/>
        <v>0</v>
      </c>
      <c r="J119" s="76">
        <f t="shared" si="116"/>
        <v>0</v>
      </c>
      <c r="K119" s="76">
        <f t="shared" si="116"/>
        <v>0</v>
      </c>
      <c r="L119" s="76">
        <f t="shared" si="116"/>
        <v>0</v>
      </c>
      <c r="M119" s="76">
        <f t="shared" si="116"/>
        <v>0</v>
      </c>
      <c r="N119" s="76">
        <f t="shared" si="116"/>
        <v>0</v>
      </c>
      <c r="O119" s="76">
        <f t="shared" si="116"/>
        <v>0</v>
      </c>
      <c r="P119" s="76">
        <f t="shared" si="116"/>
        <v>0</v>
      </c>
      <c r="Q119" s="76"/>
      <c r="R119" s="76"/>
      <c r="S119" s="76"/>
      <c r="T119" s="76"/>
      <c r="U119" s="76"/>
      <c r="V119" s="76"/>
    </row>
    <row r="120" spans="1:22">
      <c r="A120" s="84" t="s">
        <v>313</v>
      </c>
      <c r="B120" s="85" t="s">
        <v>312</v>
      </c>
      <c r="C120" s="85" t="s">
        <v>99</v>
      </c>
      <c r="D120" s="84" t="s">
        <v>84</v>
      </c>
      <c r="E120" s="84">
        <f>VLOOKUP(A120,'2a. SI Pop'!$A$5:$E$198,5,FALSE)</f>
        <v>2</v>
      </c>
      <c r="F120" s="76">
        <f>100/(100-15)</f>
        <v>1.1764705882352942</v>
      </c>
      <c r="G120" s="76">
        <f t="shared" ref="G120:P120" si="117">F120</f>
        <v>1.1764705882352942</v>
      </c>
      <c r="H120" s="76">
        <f t="shared" si="117"/>
        <v>1.1764705882352942</v>
      </c>
      <c r="I120" s="76">
        <f t="shared" si="117"/>
        <v>1.1764705882352942</v>
      </c>
      <c r="J120" s="76">
        <f t="shared" si="117"/>
        <v>1.1764705882352942</v>
      </c>
      <c r="K120" s="76">
        <f t="shared" si="117"/>
        <v>1.1764705882352942</v>
      </c>
      <c r="L120" s="76">
        <f t="shared" si="117"/>
        <v>1.1764705882352942</v>
      </c>
      <c r="M120" s="76">
        <f t="shared" si="117"/>
        <v>1.1764705882352942</v>
      </c>
      <c r="N120" s="76">
        <f t="shared" si="117"/>
        <v>1.1764705882352942</v>
      </c>
      <c r="O120" s="76">
        <f t="shared" si="117"/>
        <v>1.1764705882352942</v>
      </c>
      <c r="P120" s="76">
        <f t="shared" si="117"/>
        <v>1.1764705882352942</v>
      </c>
      <c r="Q120" s="76"/>
      <c r="R120" s="76"/>
      <c r="S120" s="76"/>
      <c r="T120" s="76"/>
      <c r="U120" s="76"/>
      <c r="V120" s="76"/>
    </row>
    <row r="121" spans="1:22">
      <c r="A121" s="84" t="s">
        <v>315</v>
      </c>
      <c r="B121" s="85" t="s">
        <v>314</v>
      </c>
      <c r="C121" s="85" t="s">
        <v>79</v>
      </c>
      <c r="D121" s="84" t="s">
        <v>80</v>
      </c>
      <c r="E121" s="84">
        <f>VLOOKUP(A121,'2a. SI Pop'!$A$5:$E$198,5,FALSE)</f>
        <v>1</v>
      </c>
      <c r="F121" s="76">
        <v>1.05</v>
      </c>
      <c r="G121" s="76">
        <f t="shared" ref="G121:P121" si="118">F121</f>
        <v>1.05</v>
      </c>
      <c r="H121" s="76">
        <f t="shared" si="118"/>
        <v>1.05</v>
      </c>
      <c r="I121" s="76">
        <f t="shared" si="118"/>
        <v>1.05</v>
      </c>
      <c r="J121" s="76">
        <f t="shared" si="118"/>
        <v>1.05</v>
      </c>
      <c r="K121" s="76">
        <f t="shared" si="118"/>
        <v>1.05</v>
      </c>
      <c r="L121" s="76">
        <f t="shared" si="118"/>
        <v>1.05</v>
      </c>
      <c r="M121" s="76">
        <f t="shared" si="118"/>
        <v>1.05</v>
      </c>
      <c r="N121" s="76">
        <f t="shared" si="118"/>
        <v>1.05</v>
      </c>
      <c r="O121" s="76">
        <f t="shared" si="118"/>
        <v>1.05</v>
      </c>
      <c r="P121" s="76">
        <f t="shared" si="118"/>
        <v>1.05</v>
      </c>
      <c r="Q121" s="76"/>
      <c r="R121" s="76"/>
      <c r="S121" s="76"/>
      <c r="T121" s="76"/>
      <c r="U121" s="76"/>
      <c r="V121" s="76"/>
    </row>
    <row r="122" spans="1:22">
      <c r="A122" s="84" t="s">
        <v>317</v>
      </c>
      <c r="B122" s="85" t="s">
        <v>316</v>
      </c>
      <c r="C122" s="85" t="s">
        <v>74</v>
      </c>
      <c r="D122" s="84" t="s">
        <v>84</v>
      </c>
      <c r="E122" s="84">
        <f>VLOOKUP(A122,'2a. SI Pop'!$A$5:$E$198,5,FALSE)</f>
        <v>3</v>
      </c>
      <c r="F122" s="76">
        <f>100/(100-40)</f>
        <v>1.6666666666666667</v>
      </c>
      <c r="G122" s="76">
        <f t="shared" ref="G122:P122" si="119">F122</f>
        <v>1.6666666666666667</v>
      </c>
      <c r="H122" s="76">
        <f t="shared" si="119"/>
        <v>1.6666666666666667</v>
      </c>
      <c r="I122" s="76">
        <f t="shared" si="119"/>
        <v>1.6666666666666667</v>
      </c>
      <c r="J122" s="76">
        <f t="shared" si="119"/>
        <v>1.6666666666666667</v>
      </c>
      <c r="K122" s="76">
        <f t="shared" si="119"/>
        <v>1.6666666666666667</v>
      </c>
      <c r="L122" s="76">
        <f t="shared" si="119"/>
        <v>1.6666666666666667</v>
      </c>
      <c r="M122" s="76">
        <f t="shared" si="119"/>
        <v>1.6666666666666667</v>
      </c>
      <c r="N122" s="76">
        <f t="shared" si="119"/>
        <v>1.6666666666666667</v>
      </c>
      <c r="O122" s="76">
        <f t="shared" si="119"/>
        <v>1.6666666666666667</v>
      </c>
      <c r="P122" s="76">
        <f t="shared" si="119"/>
        <v>1.6666666666666667</v>
      </c>
      <c r="Q122" s="76"/>
      <c r="R122" s="76"/>
      <c r="S122" s="76"/>
      <c r="T122" s="76"/>
      <c r="U122" s="76"/>
      <c r="V122" s="76"/>
    </row>
    <row r="123" spans="1:22">
      <c r="A123" s="84" t="s">
        <v>319</v>
      </c>
      <c r="B123" s="85" t="s">
        <v>318</v>
      </c>
      <c r="C123" s="85" t="s">
        <v>83</v>
      </c>
      <c r="D123" s="84" t="s">
        <v>75</v>
      </c>
      <c r="E123" s="84" t="str">
        <f>VLOOKUP(A123,'2a. SI Pop'!$A$5:$E$198,5,FALSE)</f>
        <v>Key</v>
      </c>
      <c r="F123" s="76">
        <f>100/(100-40)</f>
        <v>1.6666666666666667</v>
      </c>
      <c r="G123" s="76">
        <f t="shared" ref="G123:P123" si="120">F123</f>
        <v>1.6666666666666667</v>
      </c>
      <c r="H123" s="76">
        <f t="shared" si="120"/>
        <v>1.6666666666666667</v>
      </c>
      <c r="I123" s="76">
        <f t="shared" si="120"/>
        <v>1.6666666666666667</v>
      </c>
      <c r="J123" s="76">
        <f t="shared" si="120"/>
        <v>1.6666666666666667</v>
      </c>
      <c r="K123" s="76">
        <f t="shared" si="120"/>
        <v>1.6666666666666667</v>
      </c>
      <c r="L123" s="76">
        <f t="shared" si="120"/>
        <v>1.6666666666666667</v>
      </c>
      <c r="M123" s="76">
        <f t="shared" si="120"/>
        <v>1.6666666666666667</v>
      </c>
      <c r="N123" s="76">
        <f t="shared" si="120"/>
        <v>1.6666666666666667</v>
      </c>
      <c r="O123" s="76">
        <f t="shared" si="120"/>
        <v>1.6666666666666667</v>
      </c>
      <c r="P123" s="76">
        <f t="shared" si="120"/>
        <v>1.6666666666666667</v>
      </c>
      <c r="Q123" s="76"/>
      <c r="R123" s="76"/>
      <c r="S123" s="76"/>
      <c r="T123" s="76"/>
      <c r="U123" s="76"/>
      <c r="V123" s="76"/>
    </row>
    <row r="124" spans="1:22">
      <c r="A124" s="84" t="s">
        <v>321</v>
      </c>
      <c r="B124" s="85" t="s">
        <v>320</v>
      </c>
      <c r="C124" s="85" t="s">
        <v>110</v>
      </c>
      <c r="D124" s="84" t="s">
        <v>84</v>
      </c>
      <c r="E124" s="84">
        <f>VLOOKUP(A124,'2a. SI Pop'!$A$5:$E$198,5,FALSE)</f>
        <v>4</v>
      </c>
      <c r="F124" s="76">
        <f>100/(100-15)</f>
        <v>1.1764705882352942</v>
      </c>
      <c r="G124" s="76">
        <f t="shared" ref="G124:P124" si="121">F124</f>
        <v>1.1764705882352942</v>
      </c>
      <c r="H124" s="76">
        <f t="shared" si="121"/>
        <v>1.1764705882352942</v>
      </c>
      <c r="I124" s="76">
        <f t="shared" si="121"/>
        <v>1.1764705882352942</v>
      </c>
      <c r="J124" s="76">
        <f t="shared" si="121"/>
        <v>1.1764705882352942</v>
      </c>
      <c r="K124" s="76">
        <f t="shared" si="121"/>
        <v>1.1764705882352942</v>
      </c>
      <c r="L124" s="76">
        <f t="shared" si="121"/>
        <v>1.1764705882352942</v>
      </c>
      <c r="M124" s="76">
        <f t="shared" si="121"/>
        <v>1.1764705882352942</v>
      </c>
      <c r="N124" s="76">
        <f t="shared" si="121"/>
        <v>1.1764705882352942</v>
      </c>
      <c r="O124" s="76">
        <f t="shared" si="121"/>
        <v>1.1764705882352942</v>
      </c>
      <c r="P124" s="76">
        <f t="shared" si="121"/>
        <v>1.1764705882352942</v>
      </c>
      <c r="Q124" s="76"/>
      <c r="R124" s="76"/>
      <c r="S124" s="76"/>
      <c r="T124" s="76"/>
      <c r="U124" s="76"/>
      <c r="V124" s="76"/>
    </row>
    <row r="125" spans="1:22">
      <c r="A125" s="84" t="s">
        <v>323</v>
      </c>
      <c r="B125" s="85" t="s">
        <v>322</v>
      </c>
      <c r="C125" s="85" t="s">
        <v>83</v>
      </c>
      <c r="D125" s="84" t="s">
        <v>80</v>
      </c>
      <c r="E125" s="84">
        <f>VLOOKUP(A125,'2a. SI Pop'!$A$5:$E$198,5,FALSE)</f>
        <v>3</v>
      </c>
      <c r="F125" s="76">
        <f>100/(100-40)</f>
        <v>1.6666666666666667</v>
      </c>
      <c r="G125" s="76">
        <f t="shared" ref="G125:P125" si="122">F125</f>
        <v>1.6666666666666667</v>
      </c>
      <c r="H125" s="76">
        <f t="shared" si="122"/>
        <v>1.6666666666666667</v>
      </c>
      <c r="I125" s="76">
        <f t="shared" si="122"/>
        <v>1.6666666666666667</v>
      </c>
      <c r="J125" s="76">
        <f t="shared" si="122"/>
        <v>1.6666666666666667</v>
      </c>
      <c r="K125" s="76">
        <f t="shared" si="122"/>
        <v>1.6666666666666667</v>
      </c>
      <c r="L125" s="76">
        <f t="shared" si="122"/>
        <v>1.6666666666666667</v>
      </c>
      <c r="M125" s="76">
        <f t="shared" si="122"/>
        <v>1.6666666666666667</v>
      </c>
      <c r="N125" s="76">
        <f t="shared" si="122"/>
        <v>1.6666666666666667</v>
      </c>
      <c r="O125" s="76">
        <f t="shared" si="122"/>
        <v>1.6666666666666667</v>
      </c>
      <c r="P125" s="76">
        <f t="shared" si="122"/>
        <v>1.6666666666666667</v>
      </c>
      <c r="Q125" s="76"/>
      <c r="R125" s="76"/>
      <c r="S125" s="76"/>
      <c r="T125" s="76"/>
      <c r="U125" s="76"/>
      <c r="V125" s="76"/>
    </row>
    <row r="126" spans="1:22">
      <c r="A126" s="84" t="s">
        <v>325</v>
      </c>
      <c r="B126" s="85" t="s">
        <v>324</v>
      </c>
      <c r="C126" s="85" t="s">
        <v>99</v>
      </c>
      <c r="D126" s="84" t="s">
        <v>87</v>
      </c>
      <c r="E126" s="84">
        <f>VLOOKUP(A126,'2a. SI Pop'!$A$5:$E$198,5,FALSE)</f>
        <v>1</v>
      </c>
      <c r="F126" s="76">
        <v>0</v>
      </c>
      <c r="G126" s="76">
        <f t="shared" ref="G126:P126" si="123">F126</f>
        <v>0</v>
      </c>
      <c r="H126" s="76">
        <f t="shared" si="123"/>
        <v>0</v>
      </c>
      <c r="I126" s="76">
        <f t="shared" si="123"/>
        <v>0</v>
      </c>
      <c r="J126" s="76">
        <f t="shared" si="123"/>
        <v>0</v>
      </c>
      <c r="K126" s="76">
        <f t="shared" si="123"/>
        <v>0</v>
      </c>
      <c r="L126" s="76">
        <f t="shared" si="123"/>
        <v>0</v>
      </c>
      <c r="M126" s="76">
        <f t="shared" si="123"/>
        <v>0</v>
      </c>
      <c r="N126" s="76">
        <f t="shared" si="123"/>
        <v>0</v>
      </c>
      <c r="O126" s="76">
        <f t="shared" si="123"/>
        <v>0</v>
      </c>
      <c r="P126" s="76">
        <f t="shared" si="123"/>
        <v>0</v>
      </c>
      <c r="Q126" s="76"/>
      <c r="R126" s="76"/>
      <c r="S126" s="76"/>
      <c r="T126" s="76"/>
      <c r="U126" s="76"/>
      <c r="V126" s="76"/>
    </row>
    <row r="127" spans="1:22">
      <c r="A127" s="84" t="s">
        <v>327</v>
      </c>
      <c r="B127" s="85" t="s">
        <v>326</v>
      </c>
      <c r="C127" s="85" t="s">
        <v>110</v>
      </c>
      <c r="D127" s="84" t="s">
        <v>84</v>
      </c>
      <c r="E127" s="84">
        <f>VLOOKUP(A127,'2a. SI Pop'!$A$5:$E$198,5,FALSE)</f>
        <v>4</v>
      </c>
      <c r="F127" s="76">
        <f>100/(100-40)</f>
        <v>1.6666666666666667</v>
      </c>
      <c r="G127" s="76">
        <f t="shared" ref="G127:P127" si="124">F127</f>
        <v>1.6666666666666667</v>
      </c>
      <c r="H127" s="76">
        <f t="shared" si="124"/>
        <v>1.6666666666666667</v>
      </c>
      <c r="I127" s="76">
        <f t="shared" si="124"/>
        <v>1.6666666666666667</v>
      </c>
      <c r="J127" s="76">
        <f t="shared" si="124"/>
        <v>1.6666666666666667</v>
      </c>
      <c r="K127" s="76">
        <f t="shared" si="124"/>
        <v>1.6666666666666667</v>
      </c>
      <c r="L127" s="76">
        <f t="shared" si="124"/>
        <v>1.6666666666666667</v>
      </c>
      <c r="M127" s="76">
        <f t="shared" si="124"/>
        <v>1.6666666666666667</v>
      </c>
      <c r="N127" s="76">
        <f t="shared" si="124"/>
        <v>1.6666666666666667</v>
      </c>
      <c r="O127" s="76">
        <f t="shared" si="124"/>
        <v>1.6666666666666667</v>
      </c>
      <c r="P127" s="76">
        <f t="shared" si="124"/>
        <v>1.6666666666666667</v>
      </c>
      <c r="Q127" s="76"/>
      <c r="R127" s="76"/>
      <c r="S127" s="76"/>
      <c r="T127" s="76"/>
      <c r="U127" s="76"/>
      <c r="V127" s="76"/>
    </row>
    <row r="128" spans="1:22">
      <c r="A128" s="84" t="s">
        <v>329</v>
      </c>
      <c r="B128" s="85" t="s">
        <v>328</v>
      </c>
      <c r="C128" s="85" t="s">
        <v>79</v>
      </c>
      <c r="D128" s="84" t="s">
        <v>87</v>
      </c>
      <c r="E128" s="84">
        <f>VLOOKUP(A128,'2a. SI Pop'!$A$5:$E$198,5,FALSE)</f>
        <v>1</v>
      </c>
      <c r="F128" s="76">
        <v>1.05</v>
      </c>
      <c r="G128" s="76">
        <f t="shared" ref="G128:P128" si="125">F128</f>
        <v>1.05</v>
      </c>
      <c r="H128" s="76">
        <f t="shared" si="125"/>
        <v>1.05</v>
      </c>
      <c r="I128" s="76">
        <f t="shared" si="125"/>
        <v>1.05</v>
      </c>
      <c r="J128" s="76">
        <f t="shared" si="125"/>
        <v>1.05</v>
      </c>
      <c r="K128" s="76">
        <f t="shared" si="125"/>
        <v>1.05</v>
      </c>
      <c r="L128" s="76">
        <f t="shared" si="125"/>
        <v>1.05</v>
      </c>
      <c r="M128" s="76">
        <f t="shared" si="125"/>
        <v>1.05</v>
      </c>
      <c r="N128" s="76">
        <f t="shared" si="125"/>
        <v>1.05</v>
      </c>
      <c r="O128" s="76">
        <f t="shared" si="125"/>
        <v>1.05</v>
      </c>
      <c r="P128" s="76">
        <f t="shared" si="125"/>
        <v>1.05</v>
      </c>
      <c r="Q128" s="76"/>
      <c r="R128" s="76"/>
      <c r="S128" s="76"/>
      <c r="T128" s="76"/>
      <c r="U128" s="76"/>
      <c r="V128" s="76"/>
    </row>
    <row r="129" spans="1:22">
      <c r="A129" s="84" t="s">
        <v>331</v>
      </c>
      <c r="B129" s="85" t="s">
        <v>330</v>
      </c>
      <c r="C129" s="85" t="s">
        <v>99</v>
      </c>
      <c r="D129" s="84" t="s">
        <v>87</v>
      </c>
      <c r="E129" s="84">
        <f>VLOOKUP(A129,'2a. SI Pop'!$A$5:$E$198,5,FALSE)</f>
        <v>1</v>
      </c>
      <c r="F129" s="76">
        <v>1.05</v>
      </c>
      <c r="G129" s="76">
        <f t="shared" ref="G129:P129" si="126">F129</f>
        <v>1.05</v>
      </c>
      <c r="H129" s="76">
        <f t="shared" si="126"/>
        <v>1.05</v>
      </c>
      <c r="I129" s="76">
        <f t="shared" si="126"/>
        <v>1.05</v>
      </c>
      <c r="J129" s="76">
        <f t="shared" si="126"/>
        <v>1.05</v>
      </c>
      <c r="K129" s="76">
        <f t="shared" si="126"/>
        <v>1.05</v>
      </c>
      <c r="L129" s="76">
        <f t="shared" si="126"/>
        <v>1.05</v>
      </c>
      <c r="M129" s="76">
        <f t="shared" si="126"/>
        <v>1.05</v>
      </c>
      <c r="N129" s="76">
        <f t="shared" si="126"/>
        <v>1.05</v>
      </c>
      <c r="O129" s="76">
        <f t="shared" si="126"/>
        <v>1.05</v>
      </c>
      <c r="P129" s="76">
        <f t="shared" si="126"/>
        <v>1.05</v>
      </c>
      <c r="Q129" s="76"/>
      <c r="R129" s="76"/>
      <c r="S129" s="76"/>
      <c r="T129" s="76"/>
      <c r="U129" s="76"/>
      <c r="V129" s="76"/>
    </row>
    <row r="130" spans="1:22">
      <c r="A130" s="84" t="s">
        <v>333</v>
      </c>
      <c r="B130" s="85" t="s">
        <v>332</v>
      </c>
      <c r="C130" s="85" t="s">
        <v>92</v>
      </c>
      <c r="D130" s="84" t="s">
        <v>84</v>
      </c>
      <c r="E130" s="84">
        <f>VLOOKUP(A130,'2a. SI Pop'!$A$5:$E$198,5,FALSE)</f>
        <v>2</v>
      </c>
      <c r="F130" s="76">
        <v>1.05</v>
      </c>
      <c r="G130" s="76">
        <f t="shared" ref="G130:P130" si="127">F130</f>
        <v>1.05</v>
      </c>
      <c r="H130" s="76">
        <f t="shared" si="127"/>
        <v>1.05</v>
      </c>
      <c r="I130" s="76">
        <f t="shared" si="127"/>
        <v>1.05</v>
      </c>
      <c r="J130" s="76">
        <f t="shared" si="127"/>
        <v>1.05</v>
      </c>
      <c r="K130" s="76">
        <f t="shared" si="127"/>
        <v>1.05</v>
      </c>
      <c r="L130" s="76">
        <f t="shared" si="127"/>
        <v>1.05</v>
      </c>
      <c r="M130" s="76">
        <f t="shared" si="127"/>
        <v>1.05</v>
      </c>
      <c r="N130" s="76">
        <f t="shared" si="127"/>
        <v>1.05</v>
      </c>
      <c r="O130" s="76">
        <f t="shared" si="127"/>
        <v>1.05</v>
      </c>
      <c r="P130" s="76">
        <f t="shared" si="127"/>
        <v>1.05</v>
      </c>
      <c r="Q130" s="76"/>
      <c r="R130" s="76"/>
      <c r="S130" s="76"/>
      <c r="T130" s="76"/>
      <c r="U130" s="76"/>
      <c r="V130" s="76"/>
    </row>
    <row r="131" spans="1:22">
      <c r="A131" s="84" t="s">
        <v>335</v>
      </c>
      <c r="B131" s="85" t="s">
        <v>334</v>
      </c>
      <c r="C131" s="85" t="s">
        <v>83</v>
      </c>
      <c r="D131" s="84" t="s">
        <v>75</v>
      </c>
      <c r="E131" s="84">
        <f>VLOOKUP(A131,'2a. SI Pop'!$A$5:$E$198,5,FALSE)</f>
        <v>3</v>
      </c>
      <c r="F131" s="76">
        <f>100/(100-40)</f>
        <v>1.6666666666666667</v>
      </c>
      <c r="G131" s="76">
        <f t="shared" ref="G131:P131" si="128">F131</f>
        <v>1.6666666666666667</v>
      </c>
      <c r="H131" s="76">
        <f t="shared" si="128"/>
        <v>1.6666666666666667</v>
      </c>
      <c r="I131" s="76">
        <f t="shared" si="128"/>
        <v>1.6666666666666667</v>
      </c>
      <c r="J131" s="76">
        <f t="shared" si="128"/>
        <v>1.6666666666666667</v>
      </c>
      <c r="K131" s="76">
        <f t="shared" si="128"/>
        <v>1.6666666666666667</v>
      </c>
      <c r="L131" s="76">
        <f t="shared" si="128"/>
        <v>1.6666666666666667</v>
      </c>
      <c r="M131" s="76">
        <f t="shared" si="128"/>
        <v>1.6666666666666667</v>
      </c>
      <c r="N131" s="76">
        <f t="shared" si="128"/>
        <v>1.6666666666666667</v>
      </c>
      <c r="O131" s="76">
        <f t="shared" si="128"/>
        <v>1.6666666666666667</v>
      </c>
      <c r="P131" s="76">
        <f t="shared" si="128"/>
        <v>1.6666666666666667</v>
      </c>
      <c r="Q131" s="76"/>
      <c r="R131" s="76"/>
      <c r="S131" s="76"/>
      <c r="T131" s="76"/>
      <c r="U131" s="76"/>
      <c r="V131" s="76"/>
    </row>
    <row r="132" spans="1:22">
      <c r="A132" s="84" t="s">
        <v>337</v>
      </c>
      <c r="B132" s="85" t="s">
        <v>336</v>
      </c>
      <c r="C132" s="85" t="s">
        <v>83</v>
      </c>
      <c r="D132" s="84" t="s">
        <v>84</v>
      </c>
      <c r="E132" s="84" t="str">
        <f>VLOOKUP(A132,'2a. SI Pop'!$A$5:$E$198,5,FALSE)</f>
        <v>Key</v>
      </c>
      <c r="F132" s="76">
        <f>100/(100-15)</f>
        <v>1.1764705882352942</v>
      </c>
      <c r="G132" s="76">
        <f t="shared" ref="G132:P132" si="129">F132</f>
        <v>1.1764705882352942</v>
      </c>
      <c r="H132" s="76">
        <f t="shared" si="129"/>
        <v>1.1764705882352942</v>
      </c>
      <c r="I132" s="76">
        <f t="shared" si="129"/>
        <v>1.1764705882352942</v>
      </c>
      <c r="J132" s="76">
        <f t="shared" si="129"/>
        <v>1.1764705882352942</v>
      </c>
      <c r="K132" s="76">
        <f t="shared" si="129"/>
        <v>1.1764705882352942</v>
      </c>
      <c r="L132" s="76">
        <f t="shared" si="129"/>
        <v>1.1764705882352942</v>
      </c>
      <c r="M132" s="76">
        <f t="shared" si="129"/>
        <v>1.1764705882352942</v>
      </c>
      <c r="N132" s="76">
        <f t="shared" si="129"/>
        <v>1.1764705882352942</v>
      </c>
      <c r="O132" s="76">
        <f t="shared" si="129"/>
        <v>1.1764705882352942</v>
      </c>
      <c r="P132" s="76">
        <f t="shared" si="129"/>
        <v>1.1764705882352942</v>
      </c>
      <c r="Q132" s="76"/>
      <c r="R132" s="76"/>
      <c r="S132" s="76"/>
      <c r="T132" s="76"/>
      <c r="U132" s="76"/>
      <c r="V132" s="76"/>
    </row>
    <row r="133" spans="1:22">
      <c r="A133" s="84" t="s">
        <v>339</v>
      </c>
      <c r="B133" s="85" t="s">
        <v>338</v>
      </c>
      <c r="C133" s="85" t="s">
        <v>99</v>
      </c>
      <c r="D133" s="84" t="e">
        <v>#N/A</v>
      </c>
      <c r="E133" s="84">
        <f>VLOOKUP(A133,'2a. SI Pop'!$A$5:$E$198,5,FALSE)</f>
        <v>1</v>
      </c>
      <c r="F133" s="76">
        <v>0</v>
      </c>
      <c r="G133" s="76">
        <f t="shared" ref="G133:P133" si="130">F133</f>
        <v>0</v>
      </c>
      <c r="H133" s="76">
        <f t="shared" si="130"/>
        <v>0</v>
      </c>
      <c r="I133" s="76">
        <f t="shared" si="130"/>
        <v>0</v>
      </c>
      <c r="J133" s="76">
        <f t="shared" si="130"/>
        <v>0</v>
      </c>
      <c r="K133" s="76">
        <f t="shared" si="130"/>
        <v>0</v>
      </c>
      <c r="L133" s="76">
        <f t="shared" si="130"/>
        <v>0</v>
      </c>
      <c r="M133" s="76">
        <f t="shared" si="130"/>
        <v>0</v>
      </c>
      <c r="N133" s="76">
        <f t="shared" si="130"/>
        <v>0</v>
      </c>
      <c r="O133" s="76">
        <f t="shared" si="130"/>
        <v>0</v>
      </c>
      <c r="P133" s="76">
        <f t="shared" si="130"/>
        <v>0</v>
      </c>
      <c r="Q133" s="76"/>
      <c r="R133" s="76"/>
      <c r="S133" s="76"/>
      <c r="T133" s="76"/>
      <c r="U133" s="76"/>
      <c r="V133" s="76"/>
    </row>
    <row r="134" spans="1:22">
      <c r="A134" s="84" t="s">
        <v>341</v>
      </c>
      <c r="B134" s="85" t="s">
        <v>340</v>
      </c>
      <c r="C134" s="85" t="s">
        <v>79</v>
      </c>
      <c r="D134" s="84" t="s">
        <v>87</v>
      </c>
      <c r="E134" s="84">
        <f>VLOOKUP(A134,'2a. SI Pop'!$A$5:$E$198,5,FALSE)</f>
        <v>1</v>
      </c>
      <c r="F134" s="76">
        <v>1.05</v>
      </c>
      <c r="G134" s="76">
        <f t="shared" ref="G134:P134" si="131">F134</f>
        <v>1.05</v>
      </c>
      <c r="H134" s="76">
        <f t="shared" si="131"/>
        <v>1.05</v>
      </c>
      <c r="I134" s="76">
        <f t="shared" si="131"/>
        <v>1.05</v>
      </c>
      <c r="J134" s="76">
        <f t="shared" si="131"/>
        <v>1.05</v>
      </c>
      <c r="K134" s="76">
        <f t="shared" si="131"/>
        <v>1.05</v>
      </c>
      <c r="L134" s="76">
        <f t="shared" si="131"/>
        <v>1.05</v>
      </c>
      <c r="M134" s="76">
        <f t="shared" si="131"/>
        <v>1.05</v>
      </c>
      <c r="N134" s="76">
        <f t="shared" si="131"/>
        <v>1.05</v>
      </c>
      <c r="O134" s="76">
        <f t="shared" si="131"/>
        <v>1.05</v>
      </c>
      <c r="P134" s="76">
        <f t="shared" si="131"/>
        <v>1.05</v>
      </c>
      <c r="Q134" s="76"/>
      <c r="R134" s="76"/>
      <c r="S134" s="76"/>
      <c r="T134" s="76"/>
      <c r="U134" s="76"/>
      <c r="V134" s="76"/>
    </row>
    <row r="135" spans="1:22">
      <c r="A135" s="84" t="s">
        <v>343</v>
      </c>
      <c r="B135" s="85" t="s">
        <v>342</v>
      </c>
      <c r="C135" s="85" t="s">
        <v>74</v>
      </c>
      <c r="D135" s="84" t="s">
        <v>87</v>
      </c>
      <c r="E135" s="84">
        <f>VLOOKUP(A135,'2a. SI Pop'!$A$5:$E$198,5,FALSE)</f>
        <v>1</v>
      </c>
      <c r="F135" s="76">
        <v>1.05</v>
      </c>
      <c r="G135" s="76">
        <f t="shared" ref="G135:P135" si="132">F135</f>
        <v>1.05</v>
      </c>
      <c r="H135" s="76">
        <f t="shared" si="132"/>
        <v>1.05</v>
      </c>
      <c r="I135" s="76">
        <f t="shared" si="132"/>
        <v>1.05</v>
      </c>
      <c r="J135" s="76">
        <f t="shared" si="132"/>
        <v>1.05</v>
      </c>
      <c r="K135" s="76">
        <f t="shared" si="132"/>
        <v>1.05</v>
      </c>
      <c r="L135" s="76">
        <f t="shared" si="132"/>
        <v>1.05</v>
      </c>
      <c r="M135" s="76">
        <f t="shared" si="132"/>
        <v>1.05</v>
      </c>
      <c r="N135" s="76">
        <f t="shared" si="132"/>
        <v>1.05</v>
      </c>
      <c r="O135" s="76">
        <f t="shared" si="132"/>
        <v>1.05</v>
      </c>
      <c r="P135" s="76">
        <f t="shared" si="132"/>
        <v>1.05</v>
      </c>
      <c r="Q135" s="76"/>
      <c r="R135" s="76"/>
      <c r="S135" s="76"/>
      <c r="T135" s="76"/>
      <c r="U135" s="76"/>
      <c r="V135" s="76"/>
    </row>
    <row r="136" spans="1:22">
      <c r="A136" s="84" t="s">
        <v>345</v>
      </c>
      <c r="B136" s="85" t="s">
        <v>344</v>
      </c>
      <c r="C136" s="85" t="s">
        <v>74</v>
      </c>
      <c r="D136" s="84" t="s">
        <v>84</v>
      </c>
      <c r="E136" s="84" t="str">
        <f>VLOOKUP(A136,'2a. SI Pop'!$A$5:$E$198,5,FALSE)</f>
        <v>Key</v>
      </c>
      <c r="F136" s="76">
        <f>100/(100-40)</f>
        <v>1.6666666666666667</v>
      </c>
      <c r="G136" s="76">
        <f t="shared" ref="G136:P136" si="133">F136</f>
        <v>1.6666666666666667</v>
      </c>
      <c r="H136" s="76">
        <f t="shared" si="133"/>
        <v>1.6666666666666667</v>
      </c>
      <c r="I136" s="76">
        <f t="shared" si="133"/>
        <v>1.6666666666666667</v>
      </c>
      <c r="J136" s="76">
        <f t="shared" si="133"/>
        <v>1.6666666666666667</v>
      </c>
      <c r="K136" s="76">
        <f t="shared" si="133"/>
        <v>1.6666666666666667</v>
      </c>
      <c r="L136" s="76">
        <f t="shared" si="133"/>
        <v>1.6666666666666667</v>
      </c>
      <c r="M136" s="76">
        <f t="shared" si="133"/>
        <v>1.6666666666666667</v>
      </c>
      <c r="N136" s="76">
        <f t="shared" si="133"/>
        <v>1.6666666666666667</v>
      </c>
      <c r="O136" s="76">
        <f t="shared" si="133"/>
        <v>1.6666666666666667</v>
      </c>
      <c r="P136" s="76">
        <f t="shared" si="133"/>
        <v>1.6666666666666667</v>
      </c>
      <c r="Q136" s="76"/>
      <c r="R136" s="76"/>
      <c r="S136" s="76"/>
      <c r="T136" s="76"/>
      <c r="U136" s="76"/>
      <c r="V136" s="76"/>
    </row>
    <row r="137" spans="1:22">
      <c r="A137" s="84" t="s">
        <v>347</v>
      </c>
      <c r="B137" s="85" t="s">
        <v>346</v>
      </c>
      <c r="C137" s="85" t="s">
        <v>99</v>
      </c>
      <c r="D137" s="84" t="s">
        <v>87</v>
      </c>
      <c r="E137" s="84">
        <f>VLOOKUP(A137,'2a. SI Pop'!$A$5:$E$198,5,FALSE)</f>
        <v>1</v>
      </c>
      <c r="F137" s="76">
        <v>0</v>
      </c>
      <c r="G137" s="76">
        <f t="shared" ref="G137:P137" si="134">F137</f>
        <v>0</v>
      </c>
      <c r="H137" s="76">
        <f t="shared" si="134"/>
        <v>0</v>
      </c>
      <c r="I137" s="76">
        <f t="shared" si="134"/>
        <v>0</v>
      </c>
      <c r="J137" s="76">
        <f t="shared" si="134"/>
        <v>0</v>
      </c>
      <c r="K137" s="76">
        <f t="shared" si="134"/>
        <v>0</v>
      </c>
      <c r="L137" s="76">
        <f t="shared" si="134"/>
        <v>0</v>
      </c>
      <c r="M137" s="76">
        <f t="shared" si="134"/>
        <v>0</v>
      </c>
      <c r="N137" s="76">
        <f t="shared" si="134"/>
        <v>0</v>
      </c>
      <c r="O137" s="76">
        <f t="shared" si="134"/>
        <v>0</v>
      </c>
      <c r="P137" s="76">
        <f t="shared" si="134"/>
        <v>0</v>
      </c>
      <c r="Q137" s="76"/>
      <c r="R137" s="76"/>
      <c r="S137" s="76"/>
      <c r="T137" s="76"/>
      <c r="U137" s="76"/>
      <c r="V137" s="76"/>
    </row>
    <row r="138" spans="1:22">
      <c r="A138" s="84" t="s">
        <v>349</v>
      </c>
      <c r="B138" s="85" t="s">
        <v>348</v>
      </c>
      <c r="C138" s="85" t="s">
        <v>92</v>
      </c>
      <c r="D138" s="84" t="s">
        <v>87</v>
      </c>
      <c r="E138" s="84">
        <f>VLOOKUP(A138,'2a. SI Pop'!$A$5:$E$198,5,FALSE)</f>
        <v>1</v>
      </c>
      <c r="F138" s="76">
        <v>1.05</v>
      </c>
      <c r="G138" s="76">
        <f t="shared" ref="G138:P138" si="135">F138</f>
        <v>1.05</v>
      </c>
      <c r="H138" s="76">
        <f t="shared" si="135"/>
        <v>1.05</v>
      </c>
      <c r="I138" s="76">
        <f t="shared" si="135"/>
        <v>1.05</v>
      </c>
      <c r="J138" s="76">
        <f t="shared" si="135"/>
        <v>1.05</v>
      </c>
      <c r="K138" s="76">
        <f t="shared" si="135"/>
        <v>1.05</v>
      </c>
      <c r="L138" s="76">
        <f t="shared" si="135"/>
        <v>1.05</v>
      </c>
      <c r="M138" s="76">
        <f t="shared" si="135"/>
        <v>1.05</v>
      </c>
      <c r="N138" s="76">
        <f t="shared" si="135"/>
        <v>1.05</v>
      </c>
      <c r="O138" s="76">
        <f t="shared" si="135"/>
        <v>1.05</v>
      </c>
      <c r="P138" s="76">
        <f t="shared" si="135"/>
        <v>1.05</v>
      </c>
      <c r="Q138" s="76"/>
      <c r="R138" s="76"/>
      <c r="S138" s="76"/>
      <c r="T138" s="76"/>
      <c r="U138" s="76"/>
      <c r="V138" s="76"/>
    </row>
    <row r="139" spans="1:22">
      <c r="A139" s="84" t="s">
        <v>351</v>
      </c>
      <c r="B139" s="85" t="s">
        <v>350</v>
      </c>
      <c r="C139" s="85" t="s">
        <v>99</v>
      </c>
      <c r="D139" s="84" t="s">
        <v>84</v>
      </c>
      <c r="E139" s="84">
        <f>VLOOKUP(A139,'2a. SI Pop'!$A$5:$E$198,5,FALSE)</f>
        <v>4</v>
      </c>
      <c r="F139" s="76">
        <f>100/(100-40)</f>
        <v>1.6666666666666667</v>
      </c>
      <c r="G139" s="76">
        <f t="shared" ref="G139:P139" si="136">F139</f>
        <v>1.6666666666666667</v>
      </c>
      <c r="H139" s="76">
        <f t="shared" si="136"/>
        <v>1.6666666666666667</v>
      </c>
      <c r="I139" s="76">
        <f t="shared" si="136"/>
        <v>1.6666666666666667</v>
      </c>
      <c r="J139" s="76">
        <f t="shared" si="136"/>
        <v>1.6666666666666667</v>
      </c>
      <c r="K139" s="76">
        <f t="shared" si="136"/>
        <v>1.6666666666666667</v>
      </c>
      <c r="L139" s="76">
        <f t="shared" si="136"/>
        <v>1.6666666666666667</v>
      </c>
      <c r="M139" s="76">
        <f t="shared" si="136"/>
        <v>1.6666666666666667</v>
      </c>
      <c r="N139" s="76">
        <f t="shared" si="136"/>
        <v>1.6666666666666667</v>
      </c>
      <c r="O139" s="76">
        <f t="shared" si="136"/>
        <v>1.6666666666666667</v>
      </c>
      <c r="P139" s="76">
        <f t="shared" si="136"/>
        <v>1.6666666666666667</v>
      </c>
      <c r="Q139" s="76"/>
      <c r="R139" s="76"/>
      <c r="S139" s="76"/>
      <c r="T139" s="76"/>
      <c r="U139" s="76"/>
      <c r="V139" s="76"/>
    </row>
    <row r="140" spans="1:22">
      <c r="A140" s="84" t="s">
        <v>353</v>
      </c>
      <c r="B140" s="85" t="s">
        <v>352</v>
      </c>
      <c r="C140" s="85" t="s">
        <v>92</v>
      </c>
      <c r="D140" s="84" t="s">
        <v>80</v>
      </c>
      <c r="E140" s="84">
        <f>VLOOKUP(A140,'2a. SI Pop'!$A$5:$E$198,5,FALSE)</f>
        <v>1</v>
      </c>
      <c r="F140" s="76">
        <v>1.05</v>
      </c>
      <c r="G140" s="76">
        <f t="shared" ref="G140:P140" si="137">F140</f>
        <v>1.05</v>
      </c>
      <c r="H140" s="76">
        <f t="shared" si="137"/>
        <v>1.05</v>
      </c>
      <c r="I140" s="76">
        <f t="shared" si="137"/>
        <v>1.05</v>
      </c>
      <c r="J140" s="76">
        <f t="shared" si="137"/>
        <v>1.05</v>
      </c>
      <c r="K140" s="76">
        <f t="shared" si="137"/>
        <v>1.05</v>
      </c>
      <c r="L140" s="76">
        <f t="shared" si="137"/>
        <v>1.05</v>
      </c>
      <c r="M140" s="76">
        <f t="shared" si="137"/>
        <v>1.05</v>
      </c>
      <c r="N140" s="76">
        <f t="shared" si="137"/>
        <v>1.05</v>
      </c>
      <c r="O140" s="76">
        <f t="shared" si="137"/>
        <v>1.05</v>
      </c>
      <c r="P140" s="76">
        <f t="shared" si="137"/>
        <v>1.05</v>
      </c>
      <c r="Q140" s="76"/>
      <c r="R140" s="76"/>
      <c r="S140" s="76"/>
      <c r="T140" s="76"/>
      <c r="U140" s="76"/>
      <c r="V140" s="76"/>
    </row>
    <row r="141" spans="1:22">
      <c r="A141" s="84" t="s">
        <v>355</v>
      </c>
      <c r="B141" s="85" t="s">
        <v>354</v>
      </c>
      <c r="C141" s="85" t="s">
        <v>92</v>
      </c>
      <c r="D141" s="84" t="s">
        <v>80</v>
      </c>
      <c r="E141" s="84">
        <f>VLOOKUP(A141,'2a. SI Pop'!$A$5:$E$198,5,FALSE)</f>
        <v>2</v>
      </c>
      <c r="F141" s="76">
        <v>1.05</v>
      </c>
      <c r="G141" s="76">
        <f t="shared" ref="G141:P141" si="138">F141</f>
        <v>1.05</v>
      </c>
      <c r="H141" s="76">
        <f t="shared" si="138"/>
        <v>1.05</v>
      </c>
      <c r="I141" s="76">
        <f t="shared" si="138"/>
        <v>1.05</v>
      </c>
      <c r="J141" s="76">
        <f t="shared" si="138"/>
        <v>1.05</v>
      </c>
      <c r="K141" s="76">
        <f t="shared" si="138"/>
        <v>1.05</v>
      </c>
      <c r="L141" s="76">
        <f t="shared" si="138"/>
        <v>1.05</v>
      </c>
      <c r="M141" s="76">
        <f t="shared" si="138"/>
        <v>1.05</v>
      </c>
      <c r="N141" s="76">
        <f t="shared" si="138"/>
        <v>1.05</v>
      </c>
      <c r="O141" s="76">
        <f t="shared" si="138"/>
        <v>1.05</v>
      </c>
      <c r="P141" s="76">
        <f t="shared" si="138"/>
        <v>1.05</v>
      </c>
      <c r="Q141" s="76"/>
      <c r="R141" s="76"/>
      <c r="S141" s="76"/>
      <c r="T141" s="76"/>
      <c r="U141" s="76"/>
      <c r="V141" s="76"/>
    </row>
    <row r="142" spans="1:22">
      <c r="A142" s="84" t="s">
        <v>357</v>
      </c>
      <c r="B142" s="85" t="s">
        <v>356</v>
      </c>
      <c r="C142" s="85" t="s">
        <v>99</v>
      </c>
      <c r="D142" s="84" t="s">
        <v>84</v>
      </c>
      <c r="E142" s="84" t="str">
        <f>VLOOKUP(A142,'2a. SI Pop'!$A$5:$E$198,5,FALSE)</f>
        <v>Key</v>
      </c>
      <c r="F142" s="76">
        <f>100/(100-15)</f>
        <v>1.1764705882352942</v>
      </c>
      <c r="G142" s="76">
        <f t="shared" ref="G142:P142" si="139">F142</f>
        <v>1.1764705882352942</v>
      </c>
      <c r="H142" s="76">
        <f t="shared" si="139"/>
        <v>1.1764705882352942</v>
      </c>
      <c r="I142" s="76">
        <f t="shared" si="139"/>
        <v>1.1764705882352942</v>
      </c>
      <c r="J142" s="76">
        <f t="shared" si="139"/>
        <v>1.1764705882352942</v>
      </c>
      <c r="K142" s="76">
        <f t="shared" si="139"/>
        <v>1.1764705882352942</v>
      </c>
      <c r="L142" s="76">
        <f t="shared" si="139"/>
        <v>1.1764705882352942</v>
      </c>
      <c r="M142" s="76">
        <f t="shared" si="139"/>
        <v>1.1764705882352942</v>
      </c>
      <c r="N142" s="76">
        <f t="shared" si="139"/>
        <v>1.1764705882352942</v>
      </c>
      <c r="O142" s="76">
        <f t="shared" si="139"/>
        <v>1.1764705882352942</v>
      </c>
      <c r="P142" s="76">
        <f t="shared" si="139"/>
        <v>1.1764705882352942</v>
      </c>
      <c r="Q142" s="76"/>
      <c r="R142" s="76"/>
      <c r="S142" s="76"/>
      <c r="T142" s="76"/>
      <c r="U142" s="76"/>
      <c r="V142" s="76"/>
    </row>
    <row r="143" spans="1:22">
      <c r="A143" s="84" t="s">
        <v>359</v>
      </c>
      <c r="B143" s="85" t="s">
        <v>358</v>
      </c>
      <c r="C143" s="85" t="s">
        <v>79</v>
      </c>
      <c r="D143" s="84" t="s">
        <v>87</v>
      </c>
      <c r="E143" s="84">
        <f>VLOOKUP(A143,'2a. SI Pop'!$A$5:$E$198,5,FALSE)</f>
        <v>1</v>
      </c>
      <c r="F143" s="76">
        <v>1.05</v>
      </c>
      <c r="G143" s="76">
        <f t="shared" ref="G143:P143" si="140">F143</f>
        <v>1.05</v>
      </c>
      <c r="H143" s="76">
        <f t="shared" si="140"/>
        <v>1.05</v>
      </c>
      <c r="I143" s="76">
        <f t="shared" si="140"/>
        <v>1.05</v>
      </c>
      <c r="J143" s="76">
        <f t="shared" si="140"/>
        <v>1.05</v>
      </c>
      <c r="K143" s="76">
        <f t="shared" si="140"/>
        <v>1.05</v>
      </c>
      <c r="L143" s="76">
        <f t="shared" si="140"/>
        <v>1.05</v>
      </c>
      <c r="M143" s="76">
        <f t="shared" si="140"/>
        <v>1.05</v>
      </c>
      <c r="N143" s="76">
        <f t="shared" si="140"/>
        <v>1.05</v>
      </c>
      <c r="O143" s="76">
        <f t="shared" si="140"/>
        <v>1.05</v>
      </c>
      <c r="P143" s="76">
        <f t="shared" si="140"/>
        <v>1.05</v>
      </c>
      <c r="Q143" s="76"/>
      <c r="R143" s="76"/>
      <c r="S143" s="76"/>
      <c r="T143" s="76"/>
      <c r="U143" s="76"/>
      <c r="V143" s="76"/>
    </row>
    <row r="144" spans="1:22">
      <c r="A144" s="84" t="s">
        <v>361</v>
      </c>
      <c r="B144" s="85" t="s">
        <v>360</v>
      </c>
      <c r="C144" s="85" t="s">
        <v>79</v>
      </c>
      <c r="D144" s="84" t="s">
        <v>87</v>
      </c>
      <c r="E144" s="84">
        <f>VLOOKUP(A144,'2a. SI Pop'!$A$5:$E$198,5,FALSE)</f>
        <v>1</v>
      </c>
      <c r="F144" s="76">
        <v>1.05</v>
      </c>
      <c r="G144" s="76">
        <f t="shared" ref="G144:P144" si="141">F144</f>
        <v>1.05</v>
      </c>
      <c r="H144" s="76">
        <f t="shared" si="141"/>
        <v>1.05</v>
      </c>
      <c r="I144" s="76">
        <f t="shared" si="141"/>
        <v>1.05</v>
      </c>
      <c r="J144" s="76">
        <f t="shared" si="141"/>
        <v>1.05</v>
      </c>
      <c r="K144" s="76">
        <f t="shared" si="141"/>
        <v>1.05</v>
      </c>
      <c r="L144" s="76">
        <f t="shared" si="141"/>
        <v>1.05</v>
      </c>
      <c r="M144" s="76">
        <f t="shared" si="141"/>
        <v>1.05</v>
      </c>
      <c r="N144" s="76">
        <f t="shared" si="141"/>
        <v>1.05</v>
      </c>
      <c r="O144" s="76">
        <f t="shared" si="141"/>
        <v>1.05</v>
      </c>
      <c r="P144" s="76">
        <f t="shared" si="141"/>
        <v>1.05</v>
      </c>
      <c r="Q144" s="76"/>
      <c r="R144" s="76"/>
      <c r="S144" s="76"/>
      <c r="T144" s="76"/>
      <c r="U144" s="76"/>
      <c r="V144" s="76"/>
    </row>
    <row r="145" spans="1:22">
      <c r="A145" s="84" t="s">
        <v>363</v>
      </c>
      <c r="B145" s="85" t="s">
        <v>362</v>
      </c>
      <c r="C145" s="85" t="s">
        <v>74</v>
      </c>
      <c r="D145" s="84" t="s">
        <v>87</v>
      </c>
      <c r="E145" s="84">
        <f>VLOOKUP(A145,'2a. SI Pop'!$A$5:$E$198,5,FALSE)</f>
        <v>1</v>
      </c>
      <c r="F145" s="76">
        <v>1.05</v>
      </c>
      <c r="G145" s="76">
        <f t="shared" ref="G145:P145" si="142">F145</f>
        <v>1.05</v>
      </c>
      <c r="H145" s="76">
        <f t="shared" si="142"/>
        <v>1.05</v>
      </c>
      <c r="I145" s="76">
        <f t="shared" si="142"/>
        <v>1.05</v>
      </c>
      <c r="J145" s="76">
        <f t="shared" si="142"/>
        <v>1.05</v>
      </c>
      <c r="K145" s="76">
        <f t="shared" si="142"/>
        <v>1.05</v>
      </c>
      <c r="L145" s="76">
        <f t="shared" si="142"/>
        <v>1.05</v>
      </c>
      <c r="M145" s="76">
        <f t="shared" si="142"/>
        <v>1.05</v>
      </c>
      <c r="N145" s="76">
        <f t="shared" si="142"/>
        <v>1.05</v>
      </c>
      <c r="O145" s="76">
        <f t="shared" si="142"/>
        <v>1.05</v>
      </c>
      <c r="P145" s="76">
        <f t="shared" si="142"/>
        <v>1.05</v>
      </c>
      <c r="Q145" s="76"/>
      <c r="R145" s="76"/>
      <c r="S145" s="76"/>
      <c r="T145" s="76"/>
      <c r="U145" s="76"/>
      <c r="V145" s="76"/>
    </row>
    <row r="146" spans="1:22">
      <c r="A146" s="84" t="s">
        <v>365</v>
      </c>
      <c r="B146" s="85" t="s">
        <v>364</v>
      </c>
      <c r="C146" s="85" t="s">
        <v>79</v>
      </c>
      <c r="D146" s="84" t="s">
        <v>87</v>
      </c>
      <c r="E146" s="84">
        <f>VLOOKUP(A146,'2a. SI Pop'!$A$5:$E$198,5,FALSE)</f>
        <v>2</v>
      </c>
      <c r="F146" s="76">
        <v>1.05</v>
      </c>
      <c r="G146" s="76">
        <f t="shared" ref="G146:P146" si="143">F146</f>
        <v>1.05</v>
      </c>
      <c r="H146" s="76">
        <f t="shared" si="143"/>
        <v>1.05</v>
      </c>
      <c r="I146" s="76">
        <f t="shared" si="143"/>
        <v>1.05</v>
      </c>
      <c r="J146" s="76">
        <f t="shared" si="143"/>
        <v>1.05</v>
      </c>
      <c r="K146" s="76">
        <f t="shared" si="143"/>
        <v>1.05</v>
      </c>
      <c r="L146" s="76">
        <f t="shared" si="143"/>
        <v>1.05</v>
      </c>
      <c r="M146" s="76">
        <f t="shared" si="143"/>
        <v>1.05</v>
      </c>
      <c r="N146" s="76">
        <f t="shared" si="143"/>
        <v>1.05</v>
      </c>
      <c r="O146" s="76">
        <f t="shared" si="143"/>
        <v>1.05</v>
      </c>
      <c r="P146" s="76">
        <f t="shared" si="143"/>
        <v>1.05</v>
      </c>
      <c r="Q146" s="76"/>
      <c r="R146" s="76"/>
      <c r="S146" s="76"/>
      <c r="T146" s="76"/>
      <c r="U146" s="76"/>
      <c r="V146" s="76"/>
    </row>
    <row r="147" spans="1:22">
      <c r="A147" s="84" t="s">
        <v>367</v>
      </c>
      <c r="B147" s="85" t="s">
        <v>366</v>
      </c>
      <c r="C147" s="85" t="s">
        <v>79</v>
      </c>
      <c r="D147" s="84" t="s">
        <v>80</v>
      </c>
      <c r="E147" s="84">
        <f>VLOOKUP(A147,'2a. SI Pop'!$A$5:$E$198,5,FALSE)</f>
        <v>2</v>
      </c>
      <c r="F147" s="76">
        <v>1.05</v>
      </c>
      <c r="G147" s="76">
        <f t="shared" ref="G147:P147" si="144">F147</f>
        <v>1.05</v>
      </c>
      <c r="H147" s="76">
        <f t="shared" si="144"/>
        <v>1.05</v>
      </c>
      <c r="I147" s="76">
        <f t="shared" si="144"/>
        <v>1.05</v>
      </c>
      <c r="J147" s="76">
        <f t="shared" si="144"/>
        <v>1.05</v>
      </c>
      <c r="K147" s="76">
        <f t="shared" si="144"/>
        <v>1.05</v>
      </c>
      <c r="L147" s="76">
        <f t="shared" si="144"/>
        <v>1.05</v>
      </c>
      <c r="M147" s="76">
        <f t="shared" si="144"/>
        <v>1.05</v>
      </c>
      <c r="N147" s="76">
        <f t="shared" si="144"/>
        <v>1.05</v>
      </c>
      <c r="O147" s="76">
        <f t="shared" si="144"/>
        <v>1.05</v>
      </c>
      <c r="P147" s="76">
        <f t="shared" si="144"/>
        <v>1.05</v>
      </c>
      <c r="Q147" s="76"/>
      <c r="R147" s="76"/>
      <c r="S147" s="76"/>
      <c r="T147" s="76"/>
      <c r="U147" s="76"/>
      <c r="V147" s="76"/>
    </row>
    <row r="148" spans="1:22">
      <c r="A148" s="84" t="s">
        <v>369</v>
      </c>
      <c r="B148" s="85" t="s">
        <v>368</v>
      </c>
      <c r="C148" s="85" t="s">
        <v>83</v>
      </c>
      <c r="D148" s="84" t="s">
        <v>75</v>
      </c>
      <c r="E148" s="84">
        <f>VLOOKUP(A148,'2a. SI Pop'!$A$5:$E$198,5,FALSE)</f>
        <v>3</v>
      </c>
      <c r="F148" s="76">
        <f>100/(100-40)</f>
        <v>1.6666666666666667</v>
      </c>
      <c r="G148" s="76">
        <f t="shared" ref="G148:P148" si="145">F148</f>
        <v>1.6666666666666667</v>
      </c>
      <c r="H148" s="76">
        <f t="shared" si="145"/>
        <v>1.6666666666666667</v>
      </c>
      <c r="I148" s="76">
        <f t="shared" si="145"/>
        <v>1.6666666666666667</v>
      </c>
      <c r="J148" s="76">
        <f t="shared" si="145"/>
        <v>1.6666666666666667</v>
      </c>
      <c r="K148" s="76">
        <f t="shared" si="145"/>
        <v>1.6666666666666667</v>
      </c>
      <c r="L148" s="76">
        <f t="shared" si="145"/>
        <v>1.6666666666666667</v>
      </c>
      <c r="M148" s="76">
        <f t="shared" si="145"/>
        <v>1.6666666666666667</v>
      </c>
      <c r="N148" s="76">
        <f t="shared" si="145"/>
        <v>1.6666666666666667</v>
      </c>
      <c r="O148" s="76">
        <f t="shared" si="145"/>
        <v>1.6666666666666667</v>
      </c>
      <c r="P148" s="76">
        <f t="shared" si="145"/>
        <v>1.6666666666666667</v>
      </c>
      <c r="Q148" s="76"/>
      <c r="R148" s="76"/>
      <c r="S148" s="76"/>
      <c r="T148" s="76"/>
      <c r="U148" s="76"/>
      <c r="V148" s="76"/>
    </row>
    <row r="149" spans="1:22">
      <c r="A149" s="84" t="s">
        <v>371</v>
      </c>
      <c r="B149" s="85" t="s">
        <v>370</v>
      </c>
      <c r="C149" s="85" t="s">
        <v>92</v>
      </c>
      <c r="D149" s="84" t="s">
        <v>87</v>
      </c>
      <c r="E149" s="84">
        <f>VLOOKUP(A149,'2a. SI Pop'!$A$5:$E$198,5,FALSE)</f>
        <v>1</v>
      </c>
      <c r="F149" s="76">
        <v>0</v>
      </c>
      <c r="G149" s="76">
        <f t="shared" ref="G149:P149" si="146">F149</f>
        <v>0</v>
      </c>
      <c r="H149" s="76">
        <f t="shared" si="146"/>
        <v>0</v>
      </c>
      <c r="I149" s="76">
        <f t="shared" si="146"/>
        <v>0</v>
      </c>
      <c r="J149" s="76">
        <f t="shared" si="146"/>
        <v>0</v>
      </c>
      <c r="K149" s="76">
        <f t="shared" si="146"/>
        <v>0</v>
      </c>
      <c r="L149" s="76">
        <f t="shared" si="146"/>
        <v>0</v>
      </c>
      <c r="M149" s="76">
        <f t="shared" si="146"/>
        <v>0</v>
      </c>
      <c r="N149" s="76">
        <f t="shared" si="146"/>
        <v>0</v>
      </c>
      <c r="O149" s="76">
        <f t="shared" si="146"/>
        <v>0</v>
      </c>
      <c r="P149" s="76">
        <f t="shared" si="146"/>
        <v>0</v>
      </c>
      <c r="Q149" s="76"/>
      <c r="R149" s="76"/>
      <c r="S149" s="76"/>
      <c r="T149" s="76"/>
      <c r="U149" s="76"/>
      <c r="V149" s="76"/>
    </row>
    <row r="150" spans="1:22">
      <c r="A150" s="84" t="s">
        <v>373</v>
      </c>
      <c r="B150" s="85" t="s">
        <v>372</v>
      </c>
      <c r="C150" s="85" t="s">
        <v>92</v>
      </c>
      <c r="D150" s="84" t="s">
        <v>80</v>
      </c>
      <c r="E150" s="84">
        <f>VLOOKUP(A150,'2a. SI Pop'!$A$5:$E$198,5,FALSE)</f>
        <v>1</v>
      </c>
      <c r="F150" s="76">
        <v>1.05</v>
      </c>
      <c r="G150" s="76">
        <f t="shared" ref="G150:P150" si="147">F150</f>
        <v>1.05</v>
      </c>
      <c r="H150" s="76">
        <f t="shared" si="147"/>
        <v>1.05</v>
      </c>
      <c r="I150" s="76">
        <f t="shared" si="147"/>
        <v>1.05</v>
      </c>
      <c r="J150" s="76">
        <f t="shared" si="147"/>
        <v>1.05</v>
      </c>
      <c r="K150" s="76">
        <f t="shared" si="147"/>
        <v>1.05</v>
      </c>
      <c r="L150" s="76">
        <f t="shared" si="147"/>
        <v>1.05</v>
      </c>
      <c r="M150" s="76">
        <f t="shared" si="147"/>
        <v>1.05</v>
      </c>
      <c r="N150" s="76">
        <f t="shared" si="147"/>
        <v>1.05</v>
      </c>
      <c r="O150" s="76">
        <f t="shared" si="147"/>
        <v>1.05</v>
      </c>
      <c r="P150" s="76">
        <f t="shared" si="147"/>
        <v>1.05</v>
      </c>
      <c r="Q150" s="76"/>
      <c r="R150" s="76"/>
      <c r="S150" s="76"/>
      <c r="T150" s="76"/>
      <c r="U150" s="76"/>
      <c r="V150" s="76"/>
    </row>
    <row r="151" spans="1:22">
      <c r="A151" s="84" t="s">
        <v>375</v>
      </c>
      <c r="B151" s="85" t="s">
        <v>374</v>
      </c>
      <c r="C151" s="85" t="s">
        <v>92</v>
      </c>
      <c r="D151" s="84" t="s">
        <v>80</v>
      </c>
      <c r="E151" s="84">
        <f>VLOOKUP(A151,'2a. SI Pop'!$A$5:$E$198,5,FALSE)</f>
        <v>1</v>
      </c>
      <c r="F151" s="76">
        <v>1.05</v>
      </c>
      <c r="G151" s="76">
        <f t="shared" ref="G151:P151" si="148">F151</f>
        <v>1.05</v>
      </c>
      <c r="H151" s="76">
        <f t="shared" si="148"/>
        <v>1.05</v>
      </c>
      <c r="I151" s="76">
        <f t="shared" si="148"/>
        <v>1.05</v>
      </c>
      <c r="J151" s="76">
        <f t="shared" si="148"/>
        <v>1.05</v>
      </c>
      <c r="K151" s="76">
        <f t="shared" si="148"/>
        <v>1.05</v>
      </c>
      <c r="L151" s="76">
        <f t="shared" si="148"/>
        <v>1.05</v>
      </c>
      <c r="M151" s="76">
        <f t="shared" si="148"/>
        <v>1.05</v>
      </c>
      <c r="N151" s="76">
        <f t="shared" si="148"/>
        <v>1.05</v>
      </c>
      <c r="O151" s="76">
        <f t="shared" si="148"/>
        <v>1.05</v>
      </c>
      <c r="P151" s="76">
        <f t="shared" si="148"/>
        <v>1.05</v>
      </c>
      <c r="Q151" s="76"/>
      <c r="R151" s="76"/>
      <c r="S151" s="76"/>
      <c r="T151" s="76"/>
      <c r="U151" s="76"/>
      <c r="V151" s="76"/>
    </row>
    <row r="152" spans="1:22">
      <c r="A152" s="84" t="s">
        <v>377</v>
      </c>
      <c r="B152" s="85" t="s">
        <v>376</v>
      </c>
      <c r="C152" s="85" t="s">
        <v>99</v>
      </c>
      <c r="D152" s="84" t="s">
        <v>80</v>
      </c>
      <c r="E152" s="84">
        <f>VLOOKUP(A152,'2a. SI Pop'!$A$5:$E$198,5,FALSE)</f>
        <v>2</v>
      </c>
      <c r="F152" s="76">
        <f>100/(100-15)</f>
        <v>1.1764705882352942</v>
      </c>
      <c r="G152" s="76">
        <f t="shared" ref="G152:P152" si="149">F152</f>
        <v>1.1764705882352942</v>
      </c>
      <c r="H152" s="76">
        <f t="shared" si="149"/>
        <v>1.1764705882352942</v>
      </c>
      <c r="I152" s="76">
        <f t="shared" si="149"/>
        <v>1.1764705882352942</v>
      </c>
      <c r="J152" s="76">
        <f t="shared" si="149"/>
        <v>1.1764705882352942</v>
      </c>
      <c r="K152" s="76">
        <f t="shared" si="149"/>
        <v>1.1764705882352942</v>
      </c>
      <c r="L152" s="76">
        <f t="shared" si="149"/>
        <v>1.1764705882352942</v>
      </c>
      <c r="M152" s="76">
        <f t="shared" si="149"/>
        <v>1.1764705882352942</v>
      </c>
      <c r="N152" s="76">
        <f t="shared" si="149"/>
        <v>1.1764705882352942</v>
      </c>
      <c r="O152" s="76">
        <f t="shared" si="149"/>
        <v>1.1764705882352942</v>
      </c>
      <c r="P152" s="76">
        <f t="shared" si="149"/>
        <v>1.1764705882352942</v>
      </c>
      <c r="Q152" s="76"/>
      <c r="R152" s="76"/>
      <c r="S152" s="76"/>
      <c r="T152" s="76"/>
      <c r="U152" s="76"/>
      <c r="V152" s="76"/>
    </row>
    <row r="153" spans="1:22">
      <c r="A153" s="84" t="s">
        <v>379</v>
      </c>
      <c r="B153" s="85" t="s">
        <v>378</v>
      </c>
      <c r="C153" s="85" t="s">
        <v>79</v>
      </c>
      <c r="D153" s="84" t="s">
        <v>87</v>
      </c>
      <c r="E153" s="84">
        <f>VLOOKUP(A153,'2a. SI Pop'!$A$5:$E$198,5,FALSE)</f>
        <v>1</v>
      </c>
      <c r="F153" s="76">
        <v>1.05</v>
      </c>
      <c r="G153" s="76">
        <f t="shared" ref="G153:P153" si="150">F153</f>
        <v>1.05</v>
      </c>
      <c r="H153" s="76">
        <f t="shared" si="150"/>
        <v>1.05</v>
      </c>
      <c r="I153" s="76">
        <f t="shared" si="150"/>
        <v>1.05</v>
      </c>
      <c r="J153" s="76">
        <f t="shared" si="150"/>
        <v>1.05</v>
      </c>
      <c r="K153" s="76">
        <f t="shared" si="150"/>
        <v>1.05</v>
      </c>
      <c r="L153" s="76">
        <f t="shared" si="150"/>
        <v>1.05</v>
      </c>
      <c r="M153" s="76">
        <f t="shared" si="150"/>
        <v>1.05</v>
      </c>
      <c r="N153" s="76">
        <f t="shared" si="150"/>
        <v>1.05</v>
      </c>
      <c r="O153" s="76">
        <f t="shared" si="150"/>
        <v>1.05</v>
      </c>
      <c r="P153" s="76">
        <f t="shared" si="150"/>
        <v>1.05</v>
      </c>
      <c r="Q153" s="76"/>
      <c r="R153" s="76"/>
      <c r="S153" s="76"/>
      <c r="T153" s="76"/>
      <c r="U153" s="76"/>
      <c r="V153" s="76"/>
    </row>
    <row r="154" spans="1:22">
      <c r="A154" s="84" t="s">
        <v>381</v>
      </c>
      <c r="B154" s="85" t="s">
        <v>380</v>
      </c>
      <c r="C154" s="85" t="s">
        <v>83</v>
      </c>
      <c r="D154" s="84" t="s">
        <v>84</v>
      </c>
      <c r="E154" s="84">
        <f>VLOOKUP(A154,'2a. SI Pop'!$A$5:$E$198,5,FALSE)</f>
        <v>3</v>
      </c>
      <c r="F154" s="76">
        <f>100/(100-15)</f>
        <v>1.1764705882352942</v>
      </c>
      <c r="G154" s="76">
        <f t="shared" ref="G154:P154" si="151">F154</f>
        <v>1.1764705882352942</v>
      </c>
      <c r="H154" s="76">
        <f t="shared" si="151"/>
        <v>1.1764705882352942</v>
      </c>
      <c r="I154" s="76">
        <f t="shared" si="151"/>
        <v>1.1764705882352942</v>
      </c>
      <c r="J154" s="76">
        <f t="shared" si="151"/>
        <v>1.1764705882352942</v>
      </c>
      <c r="K154" s="76">
        <f t="shared" si="151"/>
        <v>1.1764705882352942</v>
      </c>
      <c r="L154" s="76">
        <f t="shared" si="151"/>
        <v>1.1764705882352942</v>
      </c>
      <c r="M154" s="76">
        <f t="shared" si="151"/>
        <v>1.1764705882352942</v>
      </c>
      <c r="N154" s="76">
        <f t="shared" si="151"/>
        <v>1.1764705882352942</v>
      </c>
      <c r="O154" s="76">
        <f t="shared" si="151"/>
        <v>1.1764705882352942</v>
      </c>
      <c r="P154" s="76">
        <f t="shared" si="151"/>
        <v>1.1764705882352942</v>
      </c>
      <c r="Q154" s="76"/>
      <c r="R154" s="76"/>
      <c r="S154" s="76"/>
      <c r="T154" s="76"/>
      <c r="U154" s="76"/>
      <c r="V154" s="76"/>
    </row>
    <row r="155" spans="1:22">
      <c r="A155" s="84" t="s">
        <v>383</v>
      </c>
      <c r="B155" s="85" t="s">
        <v>382</v>
      </c>
      <c r="C155" s="85" t="s">
        <v>74</v>
      </c>
      <c r="D155" s="84" t="s">
        <v>87</v>
      </c>
      <c r="E155" s="84">
        <f>VLOOKUP(A155,'2a. SI Pop'!$A$5:$E$198,5,FALSE)</f>
        <v>1</v>
      </c>
      <c r="F155" s="76">
        <v>1.05</v>
      </c>
      <c r="G155" s="76">
        <f t="shared" ref="G155:P155" si="152">F155</f>
        <v>1.05</v>
      </c>
      <c r="H155" s="76">
        <f t="shared" si="152"/>
        <v>1.05</v>
      </c>
      <c r="I155" s="76">
        <f t="shared" si="152"/>
        <v>1.05</v>
      </c>
      <c r="J155" s="76">
        <f t="shared" si="152"/>
        <v>1.05</v>
      </c>
      <c r="K155" s="76">
        <f t="shared" si="152"/>
        <v>1.05</v>
      </c>
      <c r="L155" s="76">
        <f t="shared" si="152"/>
        <v>1.05</v>
      </c>
      <c r="M155" s="76">
        <f t="shared" si="152"/>
        <v>1.05</v>
      </c>
      <c r="N155" s="76">
        <f t="shared" si="152"/>
        <v>1.05</v>
      </c>
      <c r="O155" s="76">
        <f t="shared" si="152"/>
        <v>1.05</v>
      </c>
      <c r="P155" s="76">
        <f t="shared" si="152"/>
        <v>1.05</v>
      </c>
      <c r="Q155" s="76"/>
      <c r="R155" s="76"/>
      <c r="S155" s="76"/>
      <c r="T155" s="76"/>
      <c r="U155" s="76"/>
      <c r="V155" s="76"/>
    </row>
    <row r="156" spans="1:22">
      <c r="A156" s="84" t="s">
        <v>385</v>
      </c>
      <c r="B156" s="85" t="s">
        <v>384</v>
      </c>
      <c r="C156" s="85" t="s">
        <v>83</v>
      </c>
      <c r="D156" s="84" t="s">
        <v>84</v>
      </c>
      <c r="E156" s="84">
        <f>VLOOKUP(A156,'2a. SI Pop'!$A$5:$E$198,5,FALSE)</f>
        <v>3</v>
      </c>
      <c r="F156" s="76">
        <f>100/(100-15)</f>
        <v>1.1764705882352942</v>
      </c>
      <c r="G156" s="76">
        <f t="shared" ref="G156:P156" si="153">F156</f>
        <v>1.1764705882352942</v>
      </c>
      <c r="H156" s="76">
        <f t="shared" si="153"/>
        <v>1.1764705882352942</v>
      </c>
      <c r="I156" s="76">
        <f t="shared" si="153"/>
        <v>1.1764705882352942</v>
      </c>
      <c r="J156" s="76">
        <f t="shared" si="153"/>
        <v>1.1764705882352942</v>
      </c>
      <c r="K156" s="76">
        <f t="shared" si="153"/>
        <v>1.1764705882352942</v>
      </c>
      <c r="L156" s="76">
        <f t="shared" si="153"/>
        <v>1.1764705882352942</v>
      </c>
      <c r="M156" s="76">
        <f t="shared" si="153"/>
        <v>1.1764705882352942</v>
      </c>
      <c r="N156" s="76">
        <f t="shared" si="153"/>
        <v>1.1764705882352942</v>
      </c>
      <c r="O156" s="76">
        <f t="shared" si="153"/>
        <v>1.1764705882352942</v>
      </c>
      <c r="P156" s="76">
        <f t="shared" si="153"/>
        <v>1.1764705882352942</v>
      </c>
      <c r="Q156" s="76"/>
      <c r="R156" s="76"/>
      <c r="S156" s="76"/>
      <c r="T156" s="76"/>
      <c r="U156" s="76"/>
      <c r="V156" s="76"/>
    </row>
    <row r="157" spans="1:22">
      <c r="A157" s="84" t="s">
        <v>387</v>
      </c>
      <c r="B157" s="85" t="s">
        <v>386</v>
      </c>
      <c r="C157" s="85" t="s">
        <v>79</v>
      </c>
      <c r="D157" s="84" t="s">
        <v>80</v>
      </c>
      <c r="E157" s="84">
        <f>VLOOKUP(A157,'2a. SI Pop'!$A$5:$E$198,5,FALSE)</f>
        <v>1</v>
      </c>
      <c r="F157" s="76">
        <v>1.05</v>
      </c>
      <c r="G157" s="76">
        <f t="shared" ref="G157:P157" si="154">F157</f>
        <v>1.05</v>
      </c>
      <c r="H157" s="76">
        <f t="shared" si="154"/>
        <v>1.05</v>
      </c>
      <c r="I157" s="76">
        <f t="shared" si="154"/>
        <v>1.05</v>
      </c>
      <c r="J157" s="76">
        <f t="shared" si="154"/>
        <v>1.05</v>
      </c>
      <c r="K157" s="76">
        <f t="shared" si="154"/>
        <v>1.05</v>
      </c>
      <c r="L157" s="76">
        <f t="shared" si="154"/>
        <v>1.05</v>
      </c>
      <c r="M157" s="76">
        <f t="shared" si="154"/>
        <v>1.05</v>
      </c>
      <c r="N157" s="76">
        <f t="shared" si="154"/>
        <v>1.05</v>
      </c>
      <c r="O157" s="76">
        <f t="shared" si="154"/>
        <v>1.05</v>
      </c>
      <c r="P157" s="76">
        <f t="shared" si="154"/>
        <v>1.05</v>
      </c>
      <c r="Q157" s="76"/>
      <c r="R157" s="76"/>
      <c r="S157" s="76"/>
      <c r="T157" s="76"/>
      <c r="U157" s="76"/>
      <c r="V157" s="76"/>
    </row>
    <row r="158" spans="1:22">
      <c r="A158" s="84" t="s">
        <v>389</v>
      </c>
      <c r="B158" s="85" t="s">
        <v>388</v>
      </c>
      <c r="C158" s="85" t="s">
        <v>83</v>
      </c>
      <c r="D158" s="84" t="s">
        <v>87</v>
      </c>
      <c r="E158" s="84">
        <f>VLOOKUP(A158,'2a. SI Pop'!$A$5:$E$198,5,FALSE)</f>
        <v>1</v>
      </c>
      <c r="F158" s="76">
        <v>1.05</v>
      </c>
      <c r="G158" s="76">
        <f t="shared" ref="G158:P158" si="155">F158</f>
        <v>1.05</v>
      </c>
      <c r="H158" s="76">
        <f t="shared" si="155"/>
        <v>1.05</v>
      </c>
      <c r="I158" s="76">
        <f t="shared" si="155"/>
        <v>1.05</v>
      </c>
      <c r="J158" s="76">
        <f t="shared" si="155"/>
        <v>1.05</v>
      </c>
      <c r="K158" s="76">
        <f t="shared" si="155"/>
        <v>1.05</v>
      </c>
      <c r="L158" s="76">
        <f t="shared" si="155"/>
        <v>1.05</v>
      </c>
      <c r="M158" s="76">
        <f t="shared" si="155"/>
        <v>1.05</v>
      </c>
      <c r="N158" s="76">
        <f t="shared" si="155"/>
        <v>1.05</v>
      </c>
      <c r="O158" s="76">
        <f t="shared" si="155"/>
        <v>1.05</v>
      </c>
      <c r="P158" s="76">
        <f t="shared" si="155"/>
        <v>1.05</v>
      </c>
      <c r="Q158" s="76"/>
      <c r="R158" s="76"/>
      <c r="S158" s="76"/>
      <c r="T158" s="76"/>
      <c r="U158" s="76"/>
      <c r="V158" s="76"/>
    </row>
    <row r="159" spans="1:22">
      <c r="A159" s="84" t="s">
        <v>391</v>
      </c>
      <c r="B159" s="85" t="s">
        <v>390</v>
      </c>
      <c r="C159" s="85" t="s">
        <v>83</v>
      </c>
      <c r="D159" s="84" t="s">
        <v>75</v>
      </c>
      <c r="E159" s="84">
        <f>VLOOKUP(A159,'2a. SI Pop'!$A$5:$E$198,5,FALSE)</f>
        <v>3</v>
      </c>
      <c r="F159" s="76">
        <f>100/(100-15)</f>
        <v>1.1764705882352942</v>
      </c>
      <c r="G159" s="76">
        <f t="shared" ref="G159:P159" si="156">F159</f>
        <v>1.1764705882352942</v>
      </c>
      <c r="H159" s="76">
        <f t="shared" si="156"/>
        <v>1.1764705882352942</v>
      </c>
      <c r="I159" s="76">
        <f t="shared" si="156"/>
        <v>1.1764705882352942</v>
      </c>
      <c r="J159" s="76">
        <f t="shared" si="156"/>
        <v>1.1764705882352942</v>
      </c>
      <c r="K159" s="76">
        <f t="shared" si="156"/>
        <v>1.1764705882352942</v>
      </c>
      <c r="L159" s="76">
        <f t="shared" si="156"/>
        <v>1.1764705882352942</v>
      </c>
      <c r="M159" s="76">
        <f t="shared" si="156"/>
        <v>1.1764705882352942</v>
      </c>
      <c r="N159" s="76">
        <f t="shared" si="156"/>
        <v>1.1764705882352942</v>
      </c>
      <c r="O159" s="76">
        <f t="shared" si="156"/>
        <v>1.1764705882352942</v>
      </c>
      <c r="P159" s="76">
        <f t="shared" si="156"/>
        <v>1.1764705882352942</v>
      </c>
      <c r="Q159" s="76"/>
      <c r="R159" s="76"/>
      <c r="S159" s="76"/>
      <c r="T159" s="76"/>
      <c r="U159" s="76"/>
      <c r="V159" s="76"/>
    </row>
    <row r="160" spans="1:22">
      <c r="A160" s="84" t="s">
        <v>393</v>
      </c>
      <c r="B160" s="85" t="s">
        <v>392</v>
      </c>
      <c r="C160" s="85" t="s">
        <v>99</v>
      </c>
      <c r="D160" s="84" t="s">
        <v>87</v>
      </c>
      <c r="E160" s="84">
        <f>VLOOKUP(A160,'2a. SI Pop'!$A$5:$E$198,5,FALSE)</f>
        <v>1</v>
      </c>
      <c r="F160" s="76">
        <v>1.05</v>
      </c>
      <c r="G160" s="76">
        <f t="shared" ref="G160:P160" si="157">F160</f>
        <v>1.05</v>
      </c>
      <c r="H160" s="76">
        <f t="shared" si="157"/>
        <v>1.05</v>
      </c>
      <c r="I160" s="76">
        <f t="shared" si="157"/>
        <v>1.05</v>
      </c>
      <c r="J160" s="76">
        <f t="shared" si="157"/>
        <v>1.05</v>
      </c>
      <c r="K160" s="76">
        <f t="shared" si="157"/>
        <v>1.05</v>
      </c>
      <c r="L160" s="76">
        <f t="shared" si="157"/>
        <v>1.05</v>
      </c>
      <c r="M160" s="76">
        <f t="shared" si="157"/>
        <v>1.05</v>
      </c>
      <c r="N160" s="76">
        <f t="shared" si="157"/>
        <v>1.05</v>
      </c>
      <c r="O160" s="76">
        <f t="shared" si="157"/>
        <v>1.05</v>
      </c>
      <c r="P160" s="76">
        <f t="shared" si="157"/>
        <v>1.05</v>
      </c>
      <c r="Q160" s="76"/>
      <c r="R160" s="76"/>
      <c r="S160" s="76"/>
      <c r="T160" s="76"/>
      <c r="U160" s="76"/>
      <c r="V160" s="76"/>
    </row>
    <row r="161" spans="1:22">
      <c r="A161" s="84" t="s">
        <v>395</v>
      </c>
      <c r="B161" s="85" t="s">
        <v>394</v>
      </c>
      <c r="C161" s="85" t="s">
        <v>79</v>
      </c>
      <c r="D161" s="84" t="s">
        <v>87</v>
      </c>
      <c r="E161" s="84">
        <f>VLOOKUP(A161,'2a. SI Pop'!$A$5:$E$198,5,FALSE)</f>
        <v>1</v>
      </c>
      <c r="F161" s="76">
        <v>1.05</v>
      </c>
      <c r="G161" s="76">
        <f t="shared" ref="G161:P161" si="158">F161</f>
        <v>1.05</v>
      </c>
      <c r="H161" s="76">
        <f t="shared" si="158"/>
        <v>1.05</v>
      </c>
      <c r="I161" s="76">
        <f t="shared" si="158"/>
        <v>1.05</v>
      </c>
      <c r="J161" s="76">
        <f t="shared" si="158"/>
        <v>1.05</v>
      </c>
      <c r="K161" s="76">
        <f t="shared" si="158"/>
        <v>1.05</v>
      </c>
      <c r="L161" s="76">
        <f t="shared" si="158"/>
        <v>1.05</v>
      </c>
      <c r="M161" s="76">
        <f t="shared" si="158"/>
        <v>1.05</v>
      </c>
      <c r="N161" s="76">
        <f t="shared" si="158"/>
        <v>1.05</v>
      </c>
      <c r="O161" s="76">
        <f t="shared" si="158"/>
        <v>1.05</v>
      </c>
      <c r="P161" s="76">
        <f t="shared" si="158"/>
        <v>1.05</v>
      </c>
      <c r="Q161" s="76"/>
      <c r="R161" s="76"/>
      <c r="S161" s="76"/>
      <c r="T161" s="76"/>
      <c r="U161" s="76"/>
      <c r="V161" s="76"/>
    </row>
    <row r="162" spans="1:22">
      <c r="A162" s="84" t="s">
        <v>397</v>
      </c>
      <c r="B162" s="85" t="s">
        <v>396</v>
      </c>
      <c r="C162" s="85" t="s">
        <v>79</v>
      </c>
      <c r="D162" s="84" t="s">
        <v>87</v>
      </c>
      <c r="E162" s="84">
        <f>VLOOKUP(A162,'2a. SI Pop'!$A$5:$E$198,5,FALSE)</f>
        <v>1</v>
      </c>
      <c r="F162" s="76">
        <v>1.05</v>
      </c>
      <c r="G162" s="76">
        <f t="shared" ref="G162:P162" si="159">F162</f>
        <v>1.05</v>
      </c>
      <c r="H162" s="76">
        <f t="shared" si="159"/>
        <v>1.05</v>
      </c>
      <c r="I162" s="76">
        <f t="shared" si="159"/>
        <v>1.05</v>
      </c>
      <c r="J162" s="76">
        <f t="shared" si="159"/>
        <v>1.05</v>
      </c>
      <c r="K162" s="76">
        <f t="shared" si="159"/>
        <v>1.05</v>
      </c>
      <c r="L162" s="76">
        <f t="shared" si="159"/>
        <v>1.05</v>
      </c>
      <c r="M162" s="76">
        <f t="shared" si="159"/>
        <v>1.05</v>
      </c>
      <c r="N162" s="76">
        <f t="shared" si="159"/>
        <v>1.05</v>
      </c>
      <c r="O162" s="76">
        <f t="shared" si="159"/>
        <v>1.05</v>
      </c>
      <c r="P162" s="76">
        <f t="shared" si="159"/>
        <v>1.05</v>
      </c>
      <c r="Q162" s="76"/>
      <c r="R162" s="76"/>
      <c r="S162" s="76"/>
      <c r="T162" s="76"/>
      <c r="U162" s="76"/>
      <c r="V162" s="76"/>
    </row>
    <row r="163" spans="1:22">
      <c r="A163" s="84" t="s">
        <v>399</v>
      </c>
      <c r="B163" s="85" t="s">
        <v>398</v>
      </c>
      <c r="C163" s="85" t="s">
        <v>74</v>
      </c>
      <c r="D163" s="84" t="s">
        <v>75</v>
      </c>
      <c r="E163" s="84">
        <f>VLOOKUP(A163,'2a. SI Pop'!$A$5:$E$198,5,FALSE)</f>
        <v>3</v>
      </c>
      <c r="F163" s="76">
        <f>100/(100-15)</f>
        <v>1.1764705882352942</v>
      </c>
      <c r="G163" s="76">
        <f t="shared" ref="G163:P163" si="160">F163</f>
        <v>1.1764705882352942</v>
      </c>
      <c r="H163" s="76">
        <f t="shared" si="160"/>
        <v>1.1764705882352942</v>
      </c>
      <c r="I163" s="76">
        <f t="shared" si="160"/>
        <v>1.1764705882352942</v>
      </c>
      <c r="J163" s="76">
        <f t="shared" si="160"/>
        <v>1.1764705882352942</v>
      </c>
      <c r="K163" s="76">
        <f t="shared" si="160"/>
        <v>1.1764705882352942</v>
      </c>
      <c r="L163" s="76">
        <f t="shared" si="160"/>
        <v>1.1764705882352942</v>
      </c>
      <c r="M163" s="76">
        <f t="shared" si="160"/>
        <v>1.1764705882352942</v>
      </c>
      <c r="N163" s="76">
        <f t="shared" si="160"/>
        <v>1.1764705882352942</v>
      </c>
      <c r="O163" s="76">
        <f t="shared" si="160"/>
        <v>1.1764705882352942</v>
      </c>
      <c r="P163" s="76">
        <f t="shared" si="160"/>
        <v>1.1764705882352942</v>
      </c>
      <c r="Q163" s="76"/>
      <c r="R163" s="76"/>
      <c r="S163" s="76"/>
      <c r="T163" s="76"/>
      <c r="U163" s="76"/>
      <c r="V163" s="76"/>
    </row>
    <row r="164" spans="1:22">
      <c r="A164" s="84" t="s">
        <v>401</v>
      </c>
      <c r="B164" s="85" t="s">
        <v>400</v>
      </c>
      <c r="C164" s="85" t="s">
        <v>99</v>
      </c>
      <c r="D164" s="84" t="s">
        <v>84</v>
      </c>
      <c r="E164" s="84">
        <f>VLOOKUP(A164,'2a. SI Pop'!$A$5:$E$198,5,FALSE)</f>
        <v>4</v>
      </c>
      <c r="F164" s="76">
        <f>100/(100-15)</f>
        <v>1.1764705882352942</v>
      </c>
      <c r="G164" s="76">
        <f t="shared" ref="G164:P164" si="161">F164</f>
        <v>1.1764705882352942</v>
      </c>
      <c r="H164" s="76">
        <f t="shared" si="161"/>
        <v>1.1764705882352942</v>
      </c>
      <c r="I164" s="76">
        <f t="shared" si="161"/>
        <v>1.1764705882352942</v>
      </c>
      <c r="J164" s="76">
        <f t="shared" si="161"/>
        <v>1.1764705882352942</v>
      </c>
      <c r="K164" s="76">
        <f t="shared" si="161"/>
        <v>1.1764705882352942</v>
      </c>
      <c r="L164" s="76">
        <f t="shared" si="161"/>
        <v>1.1764705882352942</v>
      </c>
      <c r="M164" s="76">
        <f t="shared" si="161"/>
        <v>1.1764705882352942</v>
      </c>
      <c r="N164" s="76">
        <f t="shared" si="161"/>
        <v>1.1764705882352942</v>
      </c>
      <c r="O164" s="76">
        <f t="shared" si="161"/>
        <v>1.1764705882352942</v>
      </c>
      <c r="P164" s="76">
        <f t="shared" si="161"/>
        <v>1.1764705882352942</v>
      </c>
      <c r="Q164" s="76"/>
      <c r="R164" s="76"/>
      <c r="S164" s="76"/>
      <c r="T164" s="76"/>
      <c r="U164" s="76"/>
      <c r="V164" s="76"/>
    </row>
    <row r="165" spans="1:22">
      <c r="A165" s="84" t="s">
        <v>403</v>
      </c>
      <c r="B165" s="85" t="s">
        <v>402</v>
      </c>
      <c r="C165" s="85" t="s">
        <v>83</v>
      </c>
      <c r="D165" s="84" t="s">
        <v>80</v>
      </c>
      <c r="E165" s="84" t="str">
        <f>VLOOKUP(A165,'2a. SI Pop'!$A$5:$E$198,5,FALSE)</f>
        <v>Key</v>
      </c>
      <c r="F165" s="76">
        <f>100/(100-40)</f>
        <v>1.6666666666666667</v>
      </c>
      <c r="G165" s="76">
        <f t="shared" ref="G165:P165" si="162">F165</f>
        <v>1.6666666666666667</v>
      </c>
      <c r="H165" s="76">
        <f t="shared" si="162"/>
        <v>1.6666666666666667</v>
      </c>
      <c r="I165" s="76">
        <f t="shared" si="162"/>
        <v>1.6666666666666667</v>
      </c>
      <c r="J165" s="76">
        <f t="shared" si="162"/>
        <v>1.6666666666666667</v>
      </c>
      <c r="K165" s="76">
        <f t="shared" si="162"/>
        <v>1.6666666666666667</v>
      </c>
      <c r="L165" s="76">
        <f t="shared" si="162"/>
        <v>1.6666666666666667</v>
      </c>
      <c r="M165" s="76">
        <f t="shared" si="162"/>
        <v>1.6666666666666667</v>
      </c>
      <c r="N165" s="76">
        <f t="shared" si="162"/>
        <v>1.6666666666666667</v>
      </c>
      <c r="O165" s="76">
        <f t="shared" si="162"/>
        <v>1.6666666666666667</v>
      </c>
      <c r="P165" s="76">
        <f t="shared" si="162"/>
        <v>1.6666666666666667</v>
      </c>
      <c r="Q165" s="76"/>
      <c r="R165" s="76"/>
      <c r="S165" s="76"/>
      <c r="T165" s="76"/>
      <c r="U165" s="76"/>
      <c r="V165" s="76"/>
    </row>
    <row r="166" spans="1:22">
      <c r="A166" s="84" t="s">
        <v>405</v>
      </c>
      <c r="B166" s="85" t="s">
        <v>404</v>
      </c>
      <c r="C166" s="85" t="s">
        <v>79</v>
      </c>
      <c r="D166" s="84" t="s">
        <v>87</v>
      </c>
      <c r="E166" s="84">
        <f>VLOOKUP(A166,'2a. SI Pop'!$A$5:$E$198,5,FALSE)</f>
        <v>1</v>
      </c>
      <c r="F166" s="76">
        <v>1.05</v>
      </c>
      <c r="G166" s="76">
        <f t="shared" ref="G166:P166" si="163">F166</f>
        <v>1.05</v>
      </c>
      <c r="H166" s="76">
        <f t="shared" si="163"/>
        <v>1.05</v>
      </c>
      <c r="I166" s="76">
        <f t="shared" si="163"/>
        <v>1.05</v>
      </c>
      <c r="J166" s="76">
        <f t="shared" si="163"/>
        <v>1.05</v>
      </c>
      <c r="K166" s="76">
        <f t="shared" si="163"/>
        <v>1.05</v>
      </c>
      <c r="L166" s="76">
        <f t="shared" si="163"/>
        <v>1.05</v>
      </c>
      <c r="M166" s="76">
        <f t="shared" si="163"/>
        <v>1.05</v>
      </c>
      <c r="N166" s="76">
        <f t="shared" si="163"/>
        <v>1.05</v>
      </c>
      <c r="O166" s="76">
        <f t="shared" si="163"/>
        <v>1.05</v>
      </c>
      <c r="P166" s="76">
        <f t="shared" si="163"/>
        <v>1.05</v>
      </c>
      <c r="Q166" s="76"/>
      <c r="R166" s="76"/>
      <c r="S166" s="76"/>
      <c r="T166" s="76"/>
      <c r="U166" s="76"/>
      <c r="V166" s="76"/>
    </row>
    <row r="167" spans="1:22">
      <c r="A167" s="84" t="s">
        <v>407</v>
      </c>
      <c r="B167" s="85" t="s">
        <v>406</v>
      </c>
      <c r="C167" s="85" t="s">
        <v>110</v>
      </c>
      <c r="D167" s="84" t="s">
        <v>84</v>
      </c>
      <c r="E167" s="84">
        <f>VLOOKUP(A167,'2a. SI Pop'!$A$5:$E$198,5,FALSE)</f>
        <v>2</v>
      </c>
      <c r="F167" s="76">
        <f>100/(100-40)</f>
        <v>1.6666666666666667</v>
      </c>
      <c r="G167" s="76">
        <f t="shared" ref="G167:P167" si="164">F167</f>
        <v>1.6666666666666667</v>
      </c>
      <c r="H167" s="76">
        <f t="shared" si="164"/>
        <v>1.6666666666666667</v>
      </c>
      <c r="I167" s="76">
        <f t="shared" si="164"/>
        <v>1.6666666666666667</v>
      </c>
      <c r="J167" s="76">
        <f t="shared" si="164"/>
        <v>1.6666666666666667</v>
      </c>
      <c r="K167" s="76">
        <f t="shared" si="164"/>
        <v>1.6666666666666667</v>
      </c>
      <c r="L167" s="76">
        <f t="shared" si="164"/>
        <v>1.6666666666666667</v>
      </c>
      <c r="M167" s="76">
        <f t="shared" si="164"/>
        <v>1.6666666666666667</v>
      </c>
      <c r="N167" s="76">
        <f t="shared" si="164"/>
        <v>1.6666666666666667</v>
      </c>
      <c r="O167" s="76">
        <f t="shared" si="164"/>
        <v>1.6666666666666667</v>
      </c>
      <c r="P167" s="76">
        <f t="shared" si="164"/>
        <v>1.6666666666666667</v>
      </c>
      <c r="Q167" s="76"/>
      <c r="R167" s="76"/>
      <c r="S167" s="76"/>
      <c r="T167" s="76"/>
      <c r="U167" s="76"/>
      <c r="V167" s="76"/>
    </row>
    <row r="168" spans="1:22">
      <c r="A168" s="84" t="s">
        <v>409</v>
      </c>
      <c r="B168" s="85" t="s">
        <v>408</v>
      </c>
      <c r="C168" s="85" t="s">
        <v>74</v>
      </c>
      <c r="D168" s="84" t="s">
        <v>75</v>
      </c>
      <c r="E168" s="84">
        <f>VLOOKUP(A168,'2a. SI Pop'!$A$5:$E$198,5,FALSE)</f>
        <v>3</v>
      </c>
      <c r="F168" s="76">
        <f>100/(100-15)</f>
        <v>1.1764705882352942</v>
      </c>
      <c r="G168" s="76">
        <f t="shared" ref="G168:P168" si="165">F168</f>
        <v>1.1764705882352942</v>
      </c>
      <c r="H168" s="76">
        <f t="shared" si="165"/>
        <v>1.1764705882352942</v>
      </c>
      <c r="I168" s="76">
        <f t="shared" si="165"/>
        <v>1.1764705882352942</v>
      </c>
      <c r="J168" s="76">
        <f t="shared" si="165"/>
        <v>1.1764705882352942</v>
      </c>
      <c r="K168" s="76">
        <f t="shared" si="165"/>
        <v>1.1764705882352942</v>
      </c>
      <c r="L168" s="76">
        <f t="shared" si="165"/>
        <v>1.1764705882352942</v>
      </c>
      <c r="M168" s="76">
        <f t="shared" si="165"/>
        <v>1.1764705882352942</v>
      </c>
      <c r="N168" s="76">
        <f t="shared" si="165"/>
        <v>1.1764705882352942</v>
      </c>
      <c r="O168" s="76">
        <f t="shared" si="165"/>
        <v>1.1764705882352942</v>
      </c>
      <c r="P168" s="76">
        <f t="shared" si="165"/>
        <v>1.1764705882352942</v>
      </c>
      <c r="Q168" s="76"/>
      <c r="R168" s="76"/>
      <c r="S168" s="76"/>
      <c r="T168" s="76"/>
      <c r="U168" s="76"/>
      <c r="V168" s="76"/>
    </row>
    <row r="169" spans="1:22">
      <c r="A169" s="84" t="s">
        <v>411</v>
      </c>
      <c r="B169" s="85" t="s">
        <v>410</v>
      </c>
      <c r="C169" s="85" t="s">
        <v>74</v>
      </c>
      <c r="D169" s="84" t="s">
        <v>75</v>
      </c>
      <c r="E169" s="84">
        <f>VLOOKUP(A169,'2a. SI Pop'!$A$5:$E$198,5,FALSE)</f>
        <v>3</v>
      </c>
      <c r="F169" s="76">
        <f>100/(100-40)</f>
        <v>1.6666666666666667</v>
      </c>
      <c r="G169" s="76">
        <f t="shared" ref="G169:P169" si="166">F169</f>
        <v>1.6666666666666667</v>
      </c>
      <c r="H169" s="76">
        <f t="shared" si="166"/>
        <v>1.6666666666666667</v>
      </c>
      <c r="I169" s="76">
        <f t="shared" si="166"/>
        <v>1.6666666666666667</v>
      </c>
      <c r="J169" s="76">
        <f t="shared" si="166"/>
        <v>1.6666666666666667</v>
      </c>
      <c r="K169" s="76">
        <f t="shared" si="166"/>
        <v>1.6666666666666667</v>
      </c>
      <c r="L169" s="76">
        <f t="shared" si="166"/>
        <v>1.6666666666666667</v>
      </c>
      <c r="M169" s="76">
        <f t="shared" si="166"/>
        <v>1.6666666666666667</v>
      </c>
      <c r="N169" s="76">
        <f t="shared" si="166"/>
        <v>1.6666666666666667</v>
      </c>
      <c r="O169" s="76">
        <f t="shared" si="166"/>
        <v>1.6666666666666667</v>
      </c>
      <c r="P169" s="76">
        <f t="shared" si="166"/>
        <v>1.6666666666666667</v>
      </c>
      <c r="Q169" s="76"/>
      <c r="R169" s="76"/>
      <c r="S169" s="76"/>
      <c r="T169" s="76"/>
      <c r="U169" s="76"/>
      <c r="V169" s="76"/>
    </row>
    <row r="170" spans="1:22">
      <c r="A170" s="84" t="s">
        <v>413</v>
      </c>
      <c r="B170" s="85" t="s">
        <v>412</v>
      </c>
      <c r="C170" s="85" t="s">
        <v>92</v>
      </c>
      <c r="D170" s="84" t="s">
        <v>80</v>
      </c>
      <c r="E170" s="84">
        <f>VLOOKUP(A170,'2a. SI Pop'!$A$5:$E$198,5,FALSE)</f>
        <v>1</v>
      </c>
      <c r="F170" s="76">
        <v>1.05</v>
      </c>
      <c r="G170" s="76">
        <f t="shared" ref="G170:P170" si="167">F170</f>
        <v>1.05</v>
      </c>
      <c r="H170" s="76">
        <f t="shared" si="167"/>
        <v>1.05</v>
      </c>
      <c r="I170" s="76">
        <f t="shared" si="167"/>
        <v>1.05</v>
      </c>
      <c r="J170" s="76">
        <f t="shared" si="167"/>
        <v>1.05</v>
      </c>
      <c r="K170" s="76">
        <f t="shared" si="167"/>
        <v>1.05</v>
      </c>
      <c r="L170" s="76">
        <f t="shared" si="167"/>
        <v>1.05</v>
      </c>
      <c r="M170" s="76">
        <f t="shared" si="167"/>
        <v>1.05</v>
      </c>
      <c r="N170" s="76">
        <f t="shared" si="167"/>
        <v>1.05</v>
      </c>
      <c r="O170" s="76">
        <f t="shared" si="167"/>
        <v>1.05</v>
      </c>
      <c r="P170" s="76">
        <f t="shared" si="167"/>
        <v>1.05</v>
      </c>
      <c r="Q170" s="76"/>
      <c r="R170" s="76"/>
      <c r="S170" s="76"/>
      <c r="T170" s="76"/>
      <c r="U170" s="76"/>
      <c r="V170" s="76"/>
    </row>
    <row r="171" spans="1:22">
      <c r="A171" s="84" t="s">
        <v>415</v>
      </c>
      <c r="B171" s="85" t="s">
        <v>414</v>
      </c>
      <c r="C171" s="85" t="s">
        <v>83</v>
      </c>
      <c r="D171" s="84" t="s">
        <v>84</v>
      </c>
      <c r="E171" s="84">
        <f>VLOOKUP(A171,'2a. SI Pop'!$A$5:$E$198,5,FALSE)</f>
        <v>3</v>
      </c>
      <c r="F171" s="76">
        <f>100/(100-15)</f>
        <v>1.1764705882352942</v>
      </c>
      <c r="G171" s="76">
        <f t="shared" ref="G171:P171" si="168">F171</f>
        <v>1.1764705882352942</v>
      </c>
      <c r="H171" s="76">
        <f t="shared" si="168"/>
        <v>1.1764705882352942</v>
      </c>
      <c r="I171" s="76">
        <f t="shared" si="168"/>
        <v>1.1764705882352942</v>
      </c>
      <c r="J171" s="76">
        <f t="shared" si="168"/>
        <v>1.1764705882352942</v>
      </c>
      <c r="K171" s="76">
        <f t="shared" si="168"/>
        <v>1.1764705882352942</v>
      </c>
      <c r="L171" s="76">
        <f t="shared" si="168"/>
        <v>1.1764705882352942</v>
      </c>
      <c r="M171" s="76">
        <f t="shared" si="168"/>
        <v>1.1764705882352942</v>
      </c>
      <c r="N171" s="76">
        <f t="shared" si="168"/>
        <v>1.1764705882352942</v>
      </c>
      <c r="O171" s="76">
        <f t="shared" si="168"/>
        <v>1.1764705882352942</v>
      </c>
      <c r="P171" s="76">
        <f t="shared" si="168"/>
        <v>1.1764705882352942</v>
      </c>
      <c r="Q171" s="76"/>
      <c r="R171" s="76"/>
      <c r="S171" s="76"/>
      <c r="T171" s="76"/>
      <c r="U171" s="76"/>
      <c r="V171" s="76"/>
    </row>
    <row r="172" spans="1:22">
      <c r="A172" s="84" t="s">
        <v>417</v>
      </c>
      <c r="B172" s="85" t="s">
        <v>416</v>
      </c>
      <c r="C172" s="85" t="s">
        <v>79</v>
      </c>
      <c r="D172" s="84" t="s">
        <v>87</v>
      </c>
      <c r="E172" s="84">
        <f>VLOOKUP(A172,'2a. SI Pop'!$A$5:$E$198,5,FALSE)</f>
        <v>1</v>
      </c>
      <c r="F172" s="76">
        <v>1.05</v>
      </c>
      <c r="G172" s="76">
        <f t="shared" ref="G172:P172" si="169">F172</f>
        <v>1.05</v>
      </c>
      <c r="H172" s="76">
        <f t="shared" si="169"/>
        <v>1.05</v>
      </c>
      <c r="I172" s="76">
        <f t="shared" si="169"/>
        <v>1.05</v>
      </c>
      <c r="J172" s="76">
        <f t="shared" si="169"/>
        <v>1.05</v>
      </c>
      <c r="K172" s="76">
        <f t="shared" si="169"/>
        <v>1.05</v>
      </c>
      <c r="L172" s="76">
        <f t="shared" si="169"/>
        <v>1.05</v>
      </c>
      <c r="M172" s="76">
        <f t="shared" si="169"/>
        <v>1.05</v>
      </c>
      <c r="N172" s="76">
        <f t="shared" si="169"/>
        <v>1.05</v>
      </c>
      <c r="O172" s="76">
        <f t="shared" si="169"/>
        <v>1.05</v>
      </c>
      <c r="P172" s="76">
        <f t="shared" si="169"/>
        <v>1.05</v>
      </c>
      <c r="Q172" s="76"/>
      <c r="R172" s="76"/>
      <c r="S172" s="76"/>
      <c r="T172" s="76"/>
      <c r="U172" s="76"/>
      <c r="V172" s="76"/>
    </row>
    <row r="173" spans="1:22">
      <c r="A173" s="84" t="s">
        <v>419</v>
      </c>
      <c r="B173" s="85" t="s">
        <v>418</v>
      </c>
      <c r="C173" s="85" t="s">
        <v>79</v>
      </c>
      <c r="D173" s="84" t="s">
        <v>87</v>
      </c>
      <c r="E173" s="84">
        <f>VLOOKUP(A173,'2a. SI Pop'!$A$5:$E$198,5,FALSE)</f>
        <v>1</v>
      </c>
      <c r="F173" s="76">
        <v>1.05</v>
      </c>
      <c r="G173" s="76">
        <f t="shared" ref="G173:P173" si="170">F173</f>
        <v>1.05</v>
      </c>
      <c r="H173" s="76">
        <f t="shared" si="170"/>
        <v>1.05</v>
      </c>
      <c r="I173" s="76">
        <f t="shared" si="170"/>
        <v>1.05</v>
      </c>
      <c r="J173" s="76">
        <f t="shared" si="170"/>
        <v>1.05</v>
      </c>
      <c r="K173" s="76">
        <f t="shared" si="170"/>
        <v>1.05</v>
      </c>
      <c r="L173" s="76">
        <f t="shared" si="170"/>
        <v>1.05</v>
      </c>
      <c r="M173" s="76">
        <f t="shared" si="170"/>
        <v>1.05</v>
      </c>
      <c r="N173" s="76">
        <f t="shared" si="170"/>
        <v>1.05</v>
      </c>
      <c r="O173" s="76">
        <f t="shared" si="170"/>
        <v>1.05</v>
      </c>
      <c r="P173" s="76">
        <f t="shared" si="170"/>
        <v>1.05</v>
      </c>
      <c r="Q173" s="76"/>
      <c r="R173" s="76"/>
      <c r="S173" s="76"/>
      <c r="T173" s="76"/>
      <c r="U173" s="76"/>
      <c r="V173" s="76"/>
    </row>
    <row r="174" spans="1:22">
      <c r="A174" s="84" t="s">
        <v>421</v>
      </c>
      <c r="B174" s="85" t="s">
        <v>420</v>
      </c>
      <c r="C174" s="85" t="s">
        <v>74</v>
      </c>
      <c r="D174" s="84" t="s">
        <v>75</v>
      </c>
      <c r="E174" s="84">
        <f>VLOOKUP(A174,'2a. SI Pop'!$A$5:$E$198,5,FALSE)</f>
        <v>2</v>
      </c>
      <c r="F174" s="76">
        <f>100/(100-40)</f>
        <v>1.6666666666666667</v>
      </c>
      <c r="G174" s="76">
        <f t="shared" ref="G174:P174" si="171">F174</f>
        <v>1.6666666666666667</v>
      </c>
      <c r="H174" s="76">
        <f t="shared" si="171"/>
        <v>1.6666666666666667</v>
      </c>
      <c r="I174" s="76">
        <f t="shared" si="171"/>
        <v>1.6666666666666667</v>
      </c>
      <c r="J174" s="76">
        <f t="shared" si="171"/>
        <v>1.6666666666666667</v>
      </c>
      <c r="K174" s="76">
        <f t="shared" si="171"/>
        <v>1.6666666666666667</v>
      </c>
      <c r="L174" s="76">
        <f t="shared" si="171"/>
        <v>1.6666666666666667</v>
      </c>
      <c r="M174" s="76">
        <f t="shared" si="171"/>
        <v>1.6666666666666667</v>
      </c>
      <c r="N174" s="76">
        <f t="shared" si="171"/>
        <v>1.6666666666666667</v>
      </c>
      <c r="O174" s="76">
        <f t="shared" si="171"/>
        <v>1.6666666666666667</v>
      </c>
      <c r="P174" s="76">
        <f t="shared" si="171"/>
        <v>1.6666666666666667</v>
      </c>
      <c r="Q174" s="76"/>
      <c r="R174" s="76"/>
      <c r="S174" s="76"/>
      <c r="T174" s="76"/>
      <c r="U174" s="76"/>
      <c r="V174" s="76"/>
    </row>
    <row r="175" spans="1:22">
      <c r="A175" s="84" t="s">
        <v>423</v>
      </c>
      <c r="B175" s="85" t="s">
        <v>422</v>
      </c>
      <c r="C175" s="85" t="s">
        <v>83</v>
      </c>
      <c r="D175" s="84" t="s">
        <v>84</v>
      </c>
      <c r="E175" s="84" t="str">
        <f>VLOOKUP(A175,'2a. SI Pop'!$A$5:$E$198,5,FALSE)</f>
        <v>Key</v>
      </c>
      <c r="F175" s="76">
        <f>100/(100-15)</f>
        <v>1.1764705882352942</v>
      </c>
      <c r="G175" s="76">
        <f t="shared" ref="G175:P175" si="172">F175</f>
        <v>1.1764705882352942</v>
      </c>
      <c r="H175" s="76">
        <f t="shared" si="172"/>
        <v>1.1764705882352942</v>
      </c>
      <c r="I175" s="76">
        <f t="shared" si="172"/>
        <v>1.1764705882352942</v>
      </c>
      <c r="J175" s="76">
        <f t="shared" si="172"/>
        <v>1.1764705882352942</v>
      </c>
      <c r="K175" s="76">
        <f t="shared" si="172"/>
        <v>1.1764705882352942</v>
      </c>
      <c r="L175" s="76">
        <f t="shared" si="172"/>
        <v>1.1764705882352942</v>
      </c>
      <c r="M175" s="76">
        <f t="shared" si="172"/>
        <v>1.1764705882352942</v>
      </c>
      <c r="N175" s="76">
        <f t="shared" si="172"/>
        <v>1.1764705882352942</v>
      </c>
      <c r="O175" s="76">
        <f t="shared" si="172"/>
        <v>1.1764705882352942</v>
      </c>
      <c r="P175" s="76">
        <f t="shared" si="172"/>
        <v>1.1764705882352942</v>
      </c>
      <c r="Q175" s="76"/>
      <c r="R175" s="76"/>
      <c r="S175" s="76"/>
      <c r="T175" s="76"/>
      <c r="U175" s="76"/>
      <c r="V175" s="76"/>
    </row>
    <row r="176" spans="1:22">
      <c r="A176" s="84" t="s">
        <v>425</v>
      </c>
      <c r="B176" s="85" t="s">
        <v>424</v>
      </c>
      <c r="C176" s="85" t="s">
        <v>79</v>
      </c>
      <c r="D176" s="84" t="s">
        <v>75</v>
      </c>
      <c r="E176" s="84">
        <f>VLOOKUP(A176,'2a. SI Pop'!$A$5:$E$198,5,FALSE)</f>
        <v>2</v>
      </c>
      <c r="F176" s="76">
        <f>100/(100-15)</f>
        <v>1.1764705882352942</v>
      </c>
      <c r="G176" s="76">
        <f t="shared" ref="G176:P176" si="173">F176</f>
        <v>1.1764705882352942</v>
      </c>
      <c r="H176" s="76">
        <f t="shared" si="173"/>
        <v>1.1764705882352942</v>
      </c>
      <c r="I176" s="76">
        <f t="shared" si="173"/>
        <v>1.1764705882352942</v>
      </c>
      <c r="J176" s="76">
        <f t="shared" si="173"/>
        <v>1.1764705882352942</v>
      </c>
      <c r="K176" s="76">
        <f t="shared" si="173"/>
        <v>1.1764705882352942</v>
      </c>
      <c r="L176" s="76">
        <f t="shared" si="173"/>
        <v>1.1764705882352942</v>
      </c>
      <c r="M176" s="76">
        <f t="shared" si="173"/>
        <v>1.1764705882352942</v>
      </c>
      <c r="N176" s="76">
        <f t="shared" si="173"/>
        <v>1.1764705882352942</v>
      </c>
      <c r="O176" s="76">
        <f t="shared" si="173"/>
        <v>1.1764705882352942</v>
      </c>
      <c r="P176" s="76">
        <f t="shared" si="173"/>
        <v>1.1764705882352942</v>
      </c>
      <c r="Q176" s="76"/>
      <c r="R176" s="76"/>
      <c r="S176" s="76"/>
      <c r="T176" s="76"/>
      <c r="U176" s="76"/>
      <c r="V176" s="76"/>
    </row>
    <row r="177" spans="1:22">
      <c r="A177" s="84" t="s">
        <v>427</v>
      </c>
      <c r="B177" s="85" t="s">
        <v>426</v>
      </c>
      <c r="C177" s="85" t="s">
        <v>110</v>
      </c>
      <c r="D177" s="84" t="s">
        <v>80</v>
      </c>
      <c r="E177" s="84">
        <f>VLOOKUP(A177,'2a. SI Pop'!$A$5:$E$198,5,FALSE)</f>
        <v>1</v>
      </c>
      <c r="F177" s="76">
        <v>1.05</v>
      </c>
      <c r="G177" s="76">
        <f t="shared" ref="G177:P177" si="174">F177</f>
        <v>1.05</v>
      </c>
      <c r="H177" s="76">
        <f t="shared" si="174"/>
        <v>1.05</v>
      </c>
      <c r="I177" s="76">
        <f t="shared" si="174"/>
        <v>1.05</v>
      </c>
      <c r="J177" s="76">
        <f t="shared" si="174"/>
        <v>1.05</v>
      </c>
      <c r="K177" s="76">
        <f t="shared" si="174"/>
        <v>1.05</v>
      </c>
      <c r="L177" s="76">
        <f t="shared" si="174"/>
        <v>1.05</v>
      </c>
      <c r="M177" s="76">
        <f t="shared" si="174"/>
        <v>1.05</v>
      </c>
      <c r="N177" s="76">
        <f t="shared" si="174"/>
        <v>1.05</v>
      </c>
      <c r="O177" s="76">
        <f t="shared" si="174"/>
        <v>1.05</v>
      </c>
      <c r="P177" s="76">
        <f t="shared" si="174"/>
        <v>1.05</v>
      </c>
      <c r="Q177" s="76"/>
      <c r="R177" s="76"/>
      <c r="S177" s="76"/>
      <c r="T177" s="76"/>
      <c r="U177" s="76"/>
      <c r="V177" s="76"/>
    </row>
    <row r="178" spans="1:22">
      <c r="A178" s="84" t="s">
        <v>429</v>
      </c>
      <c r="B178" s="85" t="s">
        <v>428</v>
      </c>
      <c r="C178" s="85" t="s">
        <v>110</v>
      </c>
      <c r="D178" s="84" t="s">
        <v>84</v>
      </c>
      <c r="E178" s="84">
        <f>VLOOKUP(A178,'2a. SI Pop'!$A$5:$E$198,5,FALSE)</f>
        <v>4</v>
      </c>
      <c r="F178" s="76">
        <f>100/(100-15)</f>
        <v>1.1764705882352942</v>
      </c>
      <c r="G178" s="76">
        <f t="shared" ref="G178:P178" si="175">F178</f>
        <v>1.1764705882352942</v>
      </c>
      <c r="H178" s="76">
        <f t="shared" si="175"/>
        <v>1.1764705882352942</v>
      </c>
      <c r="I178" s="76">
        <f t="shared" si="175"/>
        <v>1.1764705882352942</v>
      </c>
      <c r="J178" s="76">
        <f t="shared" si="175"/>
        <v>1.1764705882352942</v>
      </c>
      <c r="K178" s="76">
        <f t="shared" si="175"/>
        <v>1.1764705882352942</v>
      </c>
      <c r="L178" s="76">
        <f t="shared" si="175"/>
        <v>1.1764705882352942</v>
      </c>
      <c r="M178" s="76">
        <f t="shared" si="175"/>
        <v>1.1764705882352942</v>
      </c>
      <c r="N178" s="76">
        <f t="shared" si="175"/>
        <v>1.1764705882352942</v>
      </c>
      <c r="O178" s="76">
        <f t="shared" si="175"/>
        <v>1.1764705882352942</v>
      </c>
      <c r="P178" s="76">
        <f t="shared" si="175"/>
        <v>1.1764705882352942</v>
      </c>
      <c r="Q178" s="76"/>
      <c r="R178" s="76"/>
      <c r="S178" s="76"/>
      <c r="T178" s="76"/>
      <c r="U178" s="76"/>
      <c r="V178" s="76"/>
    </row>
    <row r="179" spans="1:22">
      <c r="A179" s="84" t="s">
        <v>431</v>
      </c>
      <c r="B179" s="85" t="s">
        <v>430</v>
      </c>
      <c r="C179" s="85" t="s">
        <v>83</v>
      </c>
      <c r="D179" s="84" t="s">
        <v>75</v>
      </c>
      <c r="E179" s="84">
        <f>VLOOKUP(A179,'2a. SI Pop'!$A$5:$E$198,5,FALSE)</f>
        <v>3</v>
      </c>
      <c r="F179" s="76">
        <f>100/(100-15)</f>
        <v>1.1764705882352942</v>
      </c>
      <c r="G179" s="76">
        <f t="shared" ref="G179:P179" si="176">F179</f>
        <v>1.1764705882352942</v>
      </c>
      <c r="H179" s="76">
        <f t="shared" si="176"/>
        <v>1.1764705882352942</v>
      </c>
      <c r="I179" s="76">
        <f t="shared" si="176"/>
        <v>1.1764705882352942</v>
      </c>
      <c r="J179" s="76">
        <f t="shared" si="176"/>
        <v>1.1764705882352942</v>
      </c>
      <c r="K179" s="76">
        <f t="shared" si="176"/>
        <v>1.1764705882352942</v>
      </c>
      <c r="L179" s="76">
        <f t="shared" si="176"/>
        <v>1.1764705882352942</v>
      </c>
      <c r="M179" s="76">
        <f t="shared" si="176"/>
        <v>1.1764705882352942</v>
      </c>
      <c r="N179" s="76">
        <f t="shared" si="176"/>
        <v>1.1764705882352942</v>
      </c>
      <c r="O179" s="76">
        <f t="shared" si="176"/>
        <v>1.1764705882352942</v>
      </c>
      <c r="P179" s="76">
        <f t="shared" si="176"/>
        <v>1.1764705882352942</v>
      </c>
      <c r="Q179" s="76"/>
      <c r="R179" s="76"/>
      <c r="S179" s="76"/>
      <c r="T179" s="76"/>
      <c r="U179" s="76"/>
      <c r="V179" s="76"/>
    </row>
    <row r="180" spans="1:22">
      <c r="A180" s="84" t="s">
        <v>433</v>
      </c>
      <c r="B180" s="85" t="s">
        <v>432</v>
      </c>
      <c r="C180" s="85" t="s">
        <v>99</v>
      </c>
      <c r="D180" s="84" t="s">
        <v>80</v>
      </c>
      <c r="E180" s="84">
        <f>VLOOKUP(A180,'2a. SI Pop'!$A$5:$E$198,5,FALSE)</f>
        <v>1</v>
      </c>
      <c r="F180" s="76">
        <f>100/(100-40)</f>
        <v>1.6666666666666667</v>
      </c>
      <c r="G180" s="76">
        <f t="shared" ref="G180:P180" si="177">F180</f>
        <v>1.6666666666666667</v>
      </c>
      <c r="H180" s="76">
        <f t="shared" si="177"/>
        <v>1.6666666666666667</v>
      </c>
      <c r="I180" s="76">
        <f t="shared" si="177"/>
        <v>1.6666666666666667</v>
      </c>
      <c r="J180" s="76">
        <f t="shared" si="177"/>
        <v>1.6666666666666667</v>
      </c>
      <c r="K180" s="76">
        <f t="shared" si="177"/>
        <v>1.6666666666666667</v>
      </c>
      <c r="L180" s="76">
        <f t="shared" si="177"/>
        <v>1.6666666666666667</v>
      </c>
      <c r="M180" s="76">
        <f t="shared" si="177"/>
        <v>1.6666666666666667</v>
      </c>
      <c r="N180" s="76">
        <f t="shared" si="177"/>
        <v>1.6666666666666667</v>
      </c>
      <c r="O180" s="76">
        <f t="shared" si="177"/>
        <v>1.6666666666666667</v>
      </c>
      <c r="P180" s="76">
        <f t="shared" si="177"/>
        <v>1.6666666666666667</v>
      </c>
      <c r="Q180" s="76"/>
      <c r="R180" s="76"/>
      <c r="S180" s="76"/>
      <c r="T180" s="76"/>
      <c r="U180" s="76"/>
      <c r="V180" s="76"/>
    </row>
    <row r="181" spans="1:22">
      <c r="A181" s="84" t="s">
        <v>435</v>
      </c>
      <c r="B181" s="85" t="s">
        <v>434</v>
      </c>
      <c r="C181" s="85" t="s">
        <v>92</v>
      </c>
      <c r="D181" s="84" t="s">
        <v>87</v>
      </c>
      <c r="E181" s="84">
        <f>VLOOKUP(A181,'2a. SI Pop'!$A$5:$E$198,5,FALSE)</f>
        <v>1</v>
      </c>
      <c r="F181" s="76">
        <v>1.05</v>
      </c>
      <c r="G181" s="76">
        <f t="shared" ref="G181:P181" si="178">F181</f>
        <v>1.05</v>
      </c>
      <c r="H181" s="76">
        <f t="shared" si="178"/>
        <v>1.05</v>
      </c>
      <c r="I181" s="76">
        <f t="shared" si="178"/>
        <v>1.05</v>
      </c>
      <c r="J181" s="76">
        <f t="shared" si="178"/>
        <v>1.05</v>
      </c>
      <c r="K181" s="76">
        <f t="shared" si="178"/>
        <v>1.05</v>
      </c>
      <c r="L181" s="76">
        <f t="shared" si="178"/>
        <v>1.05</v>
      </c>
      <c r="M181" s="76">
        <f t="shared" si="178"/>
        <v>1.05</v>
      </c>
      <c r="N181" s="76">
        <f t="shared" si="178"/>
        <v>1.05</v>
      </c>
      <c r="O181" s="76">
        <f t="shared" si="178"/>
        <v>1.05</v>
      </c>
      <c r="P181" s="76">
        <f t="shared" si="178"/>
        <v>1.05</v>
      </c>
      <c r="Q181" s="76"/>
      <c r="R181" s="76"/>
      <c r="S181" s="76"/>
      <c r="T181" s="76"/>
      <c r="U181" s="76"/>
      <c r="V181" s="76"/>
    </row>
    <row r="182" spans="1:22">
      <c r="A182" s="84" t="s">
        <v>437</v>
      </c>
      <c r="B182" s="85" t="s">
        <v>436</v>
      </c>
      <c r="C182" s="85" t="s">
        <v>74</v>
      </c>
      <c r="D182" s="84" t="s">
        <v>84</v>
      </c>
      <c r="E182" s="84">
        <f>VLOOKUP(A182,'2a. SI Pop'!$A$5:$E$198,5,FALSE)</f>
        <v>3</v>
      </c>
      <c r="F182" s="76">
        <f>100/(100-40)</f>
        <v>1.6666666666666667</v>
      </c>
      <c r="G182" s="76">
        <f t="shared" ref="G182:P182" si="179">F182</f>
        <v>1.6666666666666667</v>
      </c>
      <c r="H182" s="76">
        <f t="shared" si="179"/>
        <v>1.6666666666666667</v>
      </c>
      <c r="I182" s="76">
        <f t="shared" si="179"/>
        <v>1.6666666666666667</v>
      </c>
      <c r="J182" s="76">
        <f t="shared" si="179"/>
        <v>1.6666666666666667</v>
      </c>
      <c r="K182" s="76">
        <f t="shared" si="179"/>
        <v>1.6666666666666667</v>
      </c>
      <c r="L182" s="76">
        <f t="shared" si="179"/>
        <v>1.6666666666666667</v>
      </c>
      <c r="M182" s="76">
        <f t="shared" si="179"/>
        <v>1.6666666666666667</v>
      </c>
      <c r="N182" s="76">
        <f t="shared" si="179"/>
        <v>1.6666666666666667</v>
      </c>
      <c r="O182" s="76">
        <f t="shared" si="179"/>
        <v>1.6666666666666667</v>
      </c>
      <c r="P182" s="76">
        <f t="shared" si="179"/>
        <v>1.6666666666666667</v>
      </c>
      <c r="Q182" s="76"/>
      <c r="R182" s="76"/>
      <c r="S182" s="76"/>
      <c r="T182" s="76"/>
      <c r="U182" s="76"/>
      <c r="V182" s="76"/>
    </row>
    <row r="183" spans="1:22">
      <c r="A183" s="84" t="s">
        <v>439</v>
      </c>
      <c r="B183" s="85" t="s">
        <v>438</v>
      </c>
      <c r="C183" s="85" t="s">
        <v>79</v>
      </c>
      <c r="D183" s="84" t="s">
        <v>80</v>
      </c>
      <c r="E183" s="84">
        <f>VLOOKUP(A183,'2a. SI Pop'!$A$5:$E$198,5,FALSE)</f>
        <v>1</v>
      </c>
      <c r="F183" s="76">
        <v>1.05</v>
      </c>
      <c r="G183" s="76">
        <f t="shared" ref="G183:P183" si="180">F183</f>
        <v>1.05</v>
      </c>
      <c r="H183" s="76">
        <f t="shared" si="180"/>
        <v>1.05</v>
      </c>
      <c r="I183" s="76">
        <f t="shared" si="180"/>
        <v>1.05</v>
      </c>
      <c r="J183" s="76">
        <f t="shared" si="180"/>
        <v>1.05</v>
      </c>
      <c r="K183" s="76">
        <f t="shared" si="180"/>
        <v>1.05</v>
      </c>
      <c r="L183" s="76">
        <f t="shared" si="180"/>
        <v>1.05</v>
      </c>
      <c r="M183" s="76">
        <f t="shared" si="180"/>
        <v>1.05</v>
      </c>
      <c r="N183" s="76">
        <f t="shared" si="180"/>
        <v>1.05</v>
      </c>
      <c r="O183" s="76">
        <f t="shared" si="180"/>
        <v>1.05</v>
      </c>
      <c r="P183" s="76">
        <f t="shared" si="180"/>
        <v>1.05</v>
      </c>
      <c r="Q183" s="76"/>
      <c r="R183" s="76"/>
      <c r="S183" s="76"/>
      <c r="T183" s="76"/>
      <c r="U183" s="76"/>
      <c r="V183" s="76"/>
    </row>
    <row r="184" spans="1:22">
      <c r="A184" s="84" t="s">
        <v>441</v>
      </c>
      <c r="B184" s="85" t="s">
        <v>440</v>
      </c>
      <c r="C184" s="85" t="s">
        <v>79</v>
      </c>
      <c r="D184" s="84" t="s">
        <v>80</v>
      </c>
      <c r="E184" s="84">
        <f>VLOOKUP(A184,'2a. SI Pop'!$A$5:$E$198,5,FALSE)</f>
        <v>1</v>
      </c>
      <c r="F184" s="76">
        <v>1.05</v>
      </c>
      <c r="G184" s="76">
        <f t="shared" ref="G184:P184" si="181">F184</f>
        <v>1.05</v>
      </c>
      <c r="H184" s="76">
        <f t="shared" si="181"/>
        <v>1.05</v>
      </c>
      <c r="I184" s="76">
        <f t="shared" si="181"/>
        <v>1.05</v>
      </c>
      <c r="J184" s="76">
        <f t="shared" si="181"/>
        <v>1.05</v>
      </c>
      <c r="K184" s="76">
        <f t="shared" si="181"/>
        <v>1.05</v>
      </c>
      <c r="L184" s="76">
        <f t="shared" si="181"/>
        <v>1.05</v>
      </c>
      <c r="M184" s="76">
        <f t="shared" si="181"/>
        <v>1.05</v>
      </c>
      <c r="N184" s="76">
        <f t="shared" si="181"/>
        <v>1.05</v>
      </c>
      <c r="O184" s="76">
        <f t="shared" si="181"/>
        <v>1.05</v>
      </c>
      <c r="P184" s="76">
        <f t="shared" si="181"/>
        <v>1.05</v>
      </c>
      <c r="Q184" s="76"/>
      <c r="R184" s="76"/>
      <c r="S184" s="76"/>
      <c r="T184" s="76"/>
      <c r="U184" s="76"/>
      <c r="V184" s="76"/>
    </row>
    <row r="185" spans="1:22">
      <c r="A185" s="84" t="s">
        <v>443</v>
      </c>
      <c r="B185" s="85" t="s">
        <v>442</v>
      </c>
      <c r="C185" s="85" t="s">
        <v>99</v>
      </c>
      <c r="D185" s="84" t="s">
        <v>80</v>
      </c>
      <c r="E185" s="84">
        <f>VLOOKUP(A185,'2a. SI Pop'!$A$5:$E$198,5,FALSE)</f>
        <v>4</v>
      </c>
      <c r="F185" s="76">
        <f>100/(100-40)</f>
        <v>1.6666666666666667</v>
      </c>
      <c r="G185" s="76">
        <f t="shared" ref="G185:P185" si="182">F185</f>
        <v>1.6666666666666667</v>
      </c>
      <c r="H185" s="76">
        <f t="shared" si="182"/>
        <v>1.6666666666666667</v>
      </c>
      <c r="I185" s="76">
        <f t="shared" si="182"/>
        <v>1.6666666666666667</v>
      </c>
      <c r="J185" s="76">
        <f t="shared" si="182"/>
        <v>1.6666666666666667</v>
      </c>
      <c r="K185" s="76">
        <f t="shared" si="182"/>
        <v>1.6666666666666667</v>
      </c>
      <c r="L185" s="76">
        <f t="shared" si="182"/>
        <v>1.6666666666666667</v>
      </c>
      <c r="M185" s="76">
        <f t="shared" si="182"/>
        <v>1.6666666666666667</v>
      </c>
      <c r="N185" s="76">
        <f t="shared" si="182"/>
        <v>1.6666666666666667</v>
      </c>
      <c r="O185" s="76">
        <f t="shared" si="182"/>
        <v>1.6666666666666667</v>
      </c>
      <c r="P185" s="76">
        <f t="shared" si="182"/>
        <v>1.6666666666666667</v>
      </c>
      <c r="Q185" s="76"/>
      <c r="R185" s="76"/>
      <c r="S185" s="76"/>
      <c r="T185" s="76"/>
      <c r="U185" s="76"/>
      <c r="V185" s="76"/>
    </row>
    <row r="186" spans="1:22">
      <c r="A186" s="84" t="s">
        <v>445</v>
      </c>
      <c r="B186" s="85" t="s">
        <v>444</v>
      </c>
      <c r="C186" s="85" t="s">
        <v>83</v>
      </c>
      <c r="D186" s="84" t="s">
        <v>75</v>
      </c>
      <c r="E186" s="84" t="str">
        <f>VLOOKUP(A186,'2a. SI Pop'!$A$5:$E$198,5,FALSE)</f>
        <v>Key</v>
      </c>
      <c r="F186" s="76">
        <f>100/(100-40)</f>
        <v>1.6666666666666667</v>
      </c>
      <c r="G186" s="76">
        <f t="shared" ref="G186:P186" si="183">F186</f>
        <v>1.6666666666666667</v>
      </c>
      <c r="H186" s="76">
        <f t="shared" si="183"/>
        <v>1.6666666666666667</v>
      </c>
      <c r="I186" s="76">
        <f t="shared" si="183"/>
        <v>1.6666666666666667</v>
      </c>
      <c r="J186" s="76">
        <f t="shared" si="183"/>
        <v>1.6666666666666667</v>
      </c>
      <c r="K186" s="76">
        <f t="shared" si="183"/>
        <v>1.6666666666666667</v>
      </c>
      <c r="L186" s="76">
        <f t="shared" si="183"/>
        <v>1.6666666666666667</v>
      </c>
      <c r="M186" s="76">
        <f t="shared" si="183"/>
        <v>1.6666666666666667</v>
      </c>
      <c r="N186" s="76">
        <f t="shared" si="183"/>
        <v>1.6666666666666667</v>
      </c>
      <c r="O186" s="76">
        <f t="shared" si="183"/>
        <v>1.6666666666666667</v>
      </c>
      <c r="P186" s="76">
        <f t="shared" si="183"/>
        <v>1.6666666666666667</v>
      </c>
      <c r="Q186" s="76"/>
      <c r="R186" s="76"/>
      <c r="S186" s="76"/>
      <c r="T186" s="76"/>
      <c r="U186" s="76"/>
      <c r="V186" s="76"/>
    </row>
    <row r="187" spans="1:22">
      <c r="A187" s="84" t="s">
        <v>447</v>
      </c>
      <c r="B187" s="85" t="s">
        <v>446</v>
      </c>
      <c r="C187" s="85" t="s">
        <v>79</v>
      </c>
      <c r="D187" s="84" t="s">
        <v>84</v>
      </c>
      <c r="E187" s="84">
        <f>VLOOKUP(A187,'2a. SI Pop'!$A$5:$E$198,5,FALSE)</f>
        <v>1</v>
      </c>
      <c r="F187" s="76">
        <v>1.05</v>
      </c>
      <c r="G187" s="76">
        <f t="shared" ref="G187:P187" si="184">F187</f>
        <v>1.05</v>
      </c>
      <c r="H187" s="76">
        <f t="shared" si="184"/>
        <v>1.05</v>
      </c>
      <c r="I187" s="76">
        <f t="shared" si="184"/>
        <v>1.05</v>
      </c>
      <c r="J187" s="76">
        <f t="shared" si="184"/>
        <v>1.05</v>
      </c>
      <c r="K187" s="76">
        <f t="shared" si="184"/>
        <v>1.05</v>
      </c>
      <c r="L187" s="76">
        <f t="shared" si="184"/>
        <v>1.05</v>
      </c>
      <c r="M187" s="76">
        <f t="shared" si="184"/>
        <v>1.05</v>
      </c>
      <c r="N187" s="76">
        <f t="shared" si="184"/>
        <v>1.05</v>
      </c>
      <c r="O187" s="76">
        <f t="shared" si="184"/>
        <v>1.05</v>
      </c>
      <c r="P187" s="76">
        <f t="shared" si="184"/>
        <v>1.05</v>
      </c>
      <c r="Q187" s="76"/>
      <c r="R187" s="76"/>
      <c r="S187" s="76"/>
      <c r="T187" s="76"/>
      <c r="U187" s="76"/>
      <c r="V187" s="76"/>
    </row>
    <row r="188" spans="1:22">
      <c r="A188" s="84" t="s">
        <v>449</v>
      </c>
      <c r="B188" s="85" t="s">
        <v>448</v>
      </c>
      <c r="C188" s="85" t="s">
        <v>74</v>
      </c>
      <c r="D188" s="84" t="s">
        <v>87</v>
      </c>
      <c r="E188" s="84">
        <f>VLOOKUP(A188,'2a. SI Pop'!$A$5:$E$198,5,FALSE)</f>
        <v>1</v>
      </c>
      <c r="F188" s="76">
        <v>1.05</v>
      </c>
      <c r="G188" s="76">
        <f t="shared" ref="G188:P188" si="185">F188</f>
        <v>1.05</v>
      </c>
      <c r="H188" s="76">
        <f t="shared" si="185"/>
        <v>1.05</v>
      </c>
      <c r="I188" s="76">
        <f t="shared" si="185"/>
        <v>1.05</v>
      </c>
      <c r="J188" s="76">
        <f t="shared" si="185"/>
        <v>1.05</v>
      </c>
      <c r="K188" s="76">
        <f t="shared" si="185"/>
        <v>1.05</v>
      </c>
      <c r="L188" s="76">
        <f t="shared" si="185"/>
        <v>1.05</v>
      </c>
      <c r="M188" s="76">
        <f t="shared" si="185"/>
        <v>1.05</v>
      </c>
      <c r="N188" s="76">
        <f t="shared" si="185"/>
        <v>1.05</v>
      </c>
      <c r="O188" s="76">
        <f t="shared" si="185"/>
        <v>1.05</v>
      </c>
      <c r="P188" s="76">
        <f t="shared" si="185"/>
        <v>1.05</v>
      </c>
      <c r="Q188" s="76"/>
      <c r="R188" s="76"/>
      <c r="S188" s="76"/>
      <c r="T188" s="76"/>
      <c r="U188" s="76"/>
      <c r="V188" s="76"/>
    </row>
    <row r="189" spans="1:22">
      <c r="A189" s="84" t="s">
        <v>451</v>
      </c>
      <c r="B189" s="85" t="s">
        <v>450</v>
      </c>
      <c r="C189" s="85" t="s">
        <v>79</v>
      </c>
      <c r="D189" s="84" t="s">
        <v>87</v>
      </c>
      <c r="E189" s="84">
        <f>VLOOKUP(A189,'2a. SI Pop'!$A$5:$E$198,5,FALSE)</f>
        <v>1</v>
      </c>
      <c r="F189" s="76">
        <v>1.05</v>
      </c>
      <c r="G189" s="76">
        <f t="shared" ref="G189:P189" si="186">F189</f>
        <v>1.05</v>
      </c>
      <c r="H189" s="76">
        <f t="shared" si="186"/>
        <v>1.05</v>
      </c>
      <c r="I189" s="76">
        <f t="shared" si="186"/>
        <v>1.05</v>
      </c>
      <c r="J189" s="76">
        <f t="shared" si="186"/>
        <v>1.05</v>
      </c>
      <c r="K189" s="76">
        <f t="shared" si="186"/>
        <v>1.05</v>
      </c>
      <c r="L189" s="76">
        <f t="shared" si="186"/>
        <v>1.05</v>
      </c>
      <c r="M189" s="76">
        <f t="shared" si="186"/>
        <v>1.05</v>
      </c>
      <c r="N189" s="76">
        <f t="shared" si="186"/>
        <v>1.05</v>
      </c>
      <c r="O189" s="76">
        <f t="shared" si="186"/>
        <v>1.05</v>
      </c>
      <c r="P189" s="76">
        <f t="shared" si="186"/>
        <v>1.05</v>
      </c>
      <c r="Q189" s="76"/>
      <c r="R189" s="76"/>
      <c r="S189" s="76"/>
      <c r="T189" s="76"/>
      <c r="U189" s="76"/>
      <c r="V189" s="76"/>
    </row>
    <row r="190" spans="1:22">
      <c r="A190" s="84" t="s">
        <v>453</v>
      </c>
      <c r="B190" s="85" t="s">
        <v>452</v>
      </c>
      <c r="C190" s="85" t="s">
        <v>92</v>
      </c>
      <c r="D190" s="84" t="s">
        <v>87</v>
      </c>
      <c r="E190" s="84" t="str">
        <f>VLOOKUP(A190,'2a. SI Pop'!$A$5:$E$198,5,FALSE)</f>
        <v>Key</v>
      </c>
      <c r="F190" s="76">
        <v>1.05</v>
      </c>
      <c r="G190" s="76">
        <f t="shared" ref="G190:P190" si="187">F190</f>
        <v>1.05</v>
      </c>
      <c r="H190" s="76">
        <f t="shared" si="187"/>
        <v>1.05</v>
      </c>
      <c r="I190" s="76">
        <f t="shared" si="187"/>
        <v>1.05</v>
      </c>
      <c r="J190" s="76">
        <f t="shared" si="187"/>
        <v>1.05</v>
      </c>
      <c r="K190" s="76">
        <f t="shared" si="187"/>
        <v>1.05</v>
      </c>
      <c r="L190" s="76">
        <f t="shared" si="187"/>
        <v>1.05</v>
      </c>
      <c r="M190" s="76">
        <f t="shared" si="187"/>
        <v>1.05</v>
      </c>
      <c r="N190" s="76">
        <f t="shared" si="187"/>
        <v>1.05</v>
      </c>
      <c r="O190" s="76">
        <f t="shared" si="187"/>
        <v>1.05</v>
      </c>
      <c r="P190" s="76">
        <f t="shared" si="187"/>
        <v>1.05</v>
      </c>
      <c r="Q190" s="76"/>
      <c r="R190" s="76"/>
      <c r="S190" s="76"/>
      <c r="T190" s="76"/>
      <c r="U190" s="76"/>
      <c r="V190" s="76"/>
    </row>
    <row r="191" spans="1:22">
      <c r="A191" s="84" t="s">
        <v>455</v>
      </c>
      <c r="B191" s="85" t="s">
        <v>454</v>
      </c>
      <c r="C191" s="85" t="s">
        <v>92</v>
      </c>
      <c r="D191" s="84" t="s">
        <v>87</v>
      </c>
      <c r="E191" s="84">
        <f>VLOOKUP(A191,'2a. SI Pop'!$A$5:$E$198,5,FALSE)</f>
        <v>1</v>
      </c>
      <c r="F191" s="76">
        <v>1.05</v>
      </c>
      <c r="G191" s="76">
        <f t="shared" ref="G191:P191" si="188">F191</f>
        <v>1.05</v>
      </c>
      <c r="H191" s="76">
        <f t="shared" si="188"/>
        <v>1.05</v>
      </c>
      <c r="I191" s="76">
        <f t="shared" si="188"/>
        <v>1.05</v>
      </c>
      <c r="J191" s="76">
        <f t="shared" si="188"/>
        <v>1.05</v>
      </c>
      <c r="K191" s="76">
        <f t="shared" si="188"/>
        <v>1.05</v>
      </c>
      <c r="L191" s="76">
        <f t="shared" si="188"/>
        <v>1.05</v>
      </c>
      <c r="M191" s="76">
        <f t="shared" si="188"/>
        <v>1.05</v>
      </c>
      <c r="N191" s="76">
        <f t="shared" si="188"/>
        <v>1.05</v>
      </c>
      <c r="O191" s="76">
        <f t="shared" si="188"/>
        <v>1.05</v>
      </c>
      <c r="P191" s="76">
        <f t="shared" si="188"/>
        <v>1.05</v>
      </c>
      <c r="Q191" s="76"/>
      <c r="R191" s="76"/>
      <c r="S191" s="76"/>
      <c r="T191" s="76"/>
      <c r="U191" s="76"/>
      <c r="V191" s="76"/>
    </row>
    <row r="192" spans="1:22">
      <c r="A192" s="84" t="s">
        <v>457</v>
      </c>
      <c r="B192" s="85" t="s">
        <v>456</v>
      </c>
      <c r="C192" s="85" t="s">
        <v>79</v>
      </c>
      <c r="D192" s="84" t="s">
        <v>84</v>
      </c>
      <c r="E192" s="84">
        <f>VLOOKUP(A192,'2a. SI Pop'!$A$5:$E$198,5,FALSE)</f>
        <v>2</v>
      </c>
      <c r="F192" s="76">
        <f>100/(100-40)</f>
        <v>1.6666666666666667</v>
      </c>
      <c r="G192" s="76">
        <f t="shared" ref="G192:P192" si="189">F192</f>
        <v>1.6666666666666667</v>
      </c>
      <c r="H192" s="76">
        <f t="shared" si="189"/>
        <v>1.6666666666666667</v>
      </c>
      <c r="I192" s="76">
        <f t="shared" si="189"/>
        <v>1.6666666666666667</v>
      </c>
      <c r="J192" s="76">
        <f t="shared" si="189"/>
        <v>1.6666666666666667</v>
      </c>
      <c r="K192" s="76">
        <f t="shared" si="189"/>
        <v>1.6666666666666667</v>
      </c>
      <c r="L192" s="76">
        <f t="shared" si="189"/>
        <v>1.6666666666666667</v>
      </c>
      <c r="M192" s="76">
        <f t="shared" si="189"/>
        <v>1.6666666666666667</v>
      </c>
      <c r="N192" s="76">
        <f t="shared" si="189"/>
        <v>1.6666666666666667</v>
      </c>
      <c r="O192" s="76">
        <f t="shared" si="189"/>
        <v>1.6666666666666667</v>
      </c>
      <c r="P192" s="76">
        <f t="shared" si="189"/>
        <v>1.6666666666666667</v>
      </c>
      <c r="Q192" s="76"/>
      <c r="R192" s="76"/>
      <c r="S192" s="76"/>
      <c r="T192" s="76"/>
      <c r="U192" s="76"/>
      <c r="V192" s="76"/>
    </row>
    <row r="193" spans="1:22">
      <c r="A193" s="84" t="s">
        <v>459</v>
      </c>
      <c r="B193" s="85" t="s">
        <v>458</v>
      </c>
      <c r="C193" s="85" t="s">
        <v>99</v>
      </c>
      <c r="D193" s="84" t="s">
        <v>84</v>
      </c>
      <c r="E193" s="84">
        <f>VLOOKUP(A193,'2a. SI Pop'!$A$5:$E$198,5,FALSE)</f>
        <v>4</v>
      </c>
      <c r="F193" s="76">
        <f>100/(100-40)</f>
        <v>1.6666666666666667</v>
      </c>
      <c r="G193" s="76">
        <f t="shared" ref="G193:P193" si="190">F193</f>
        <v>1.6666666666666667</v>
      </c>
      <c r="H193" s="76">
        <f t="shared" si="190"/>
        <v>1.6666666666666667</v>
      </c>
      <c r="I193" s="76">
        <f t="shared" si="190"/>
        <v>1.6666666666666667</v>
      </c>
      <c r="J193" s="76">
        <f t="shared" si="190"/>
        <v>1.6666666666666667</v>
      </c>
      <c r="K193" s="76">
        <f t="shared" si="190"/>
        <v>1.6666666666666667</v>
      </c>
      <c r="L193" s="76">
        <f t="shared" si="190"/>
        <v>1.6666666666666667</v>
      </c>
      <c r="M193" s="76">
        <f t="shared" si="190"/>
        <v>1.6666666666666667</v>
      </c>
      <c r="N193" s="76">
        <f t="shared" si="190"/>
        <v>1.6666666666666667</v>
      </c>
      <c r="O193" s="76">
        <f t="shared" si="190"/>
        <v>1.6666666666666667</v>
      </c>
      <c r="P193" s="76">
        <f t="shared" si="190"/>
        <v>1.6666666666666667</v>
      </c>
      <c r="Q193" s="76"/>
      <c r="R193" s="76"/>
      <c r="S193" s="76"/>
      <c r="T193" s="76"/>
      <c r="U193" s="76"/>
      <c r="V193" s="76"/>
    </row>
    <row r="194" spans="1:22">
      <c r="A194" s="84" t="s">
        <v>461</v>
      </c>
      <c r="B194" s="85" t="s">
        <v>460</v>
      </c>
      <c r="C194" s="85" t="s">
        <v>92</v>
      </c>
      <c r="D194" s="84" t="s">
        <v>80</v>
      </c>
      <c r="E194" s="84">
        <f>VLOOKUP(A194,'2a. SI Pop'!$A$5:$E$198,5,FALSE)</f>
        <v>1</v>
      </c>
      <c r="F194" s="76">
        <f>100/(100-15)</f>
        <v>1.1764705882352942</v>
      </c>
      <c r="G194" s="76">
        <f t="shared" ref="G194:P194" si="191">F194</f>
        <v>1.1764705882352942</v>
      </c>
      <c r="H194" s="76">
        <f t="shared" si="191"/>
        <v>1.1764705882352942</v>
      </c>
      <c r="I194" s="76">
        <f t="shared" si="191"/>
        <v>1.1764705882352942</v>
      </c>
      <c r="J194" s="76">
        <f t="shared" si="191"/>
        <v>1.1764705882352942</v>
      </c>
      <c r="K194" s="76">
        <f t="shared" si="191"/>
        <v>1.1764705882352942</v>
      </c>
      <c r="L194" s="76">
        <f t="shared" si="191"/>
        <v>1.1764705882352942</v>
      </c>
      <c r="M194" s="76">
        <f t="shared" si="191"/>
        <v>1.1764705882352942</v>
      </c>
      <c r="N194" s="76">
        <f t="shared" si="191"/>
        <v>1.1764705882352942</v>
      </c>
      <c r="O194" s="76">
        <f t="shared" si="191"/>
        <v>1.1764705882352942</v>
      </c>
      <c r="P194" s="76">
        <f t="shared" si="191"/>
        <v>1.1764705882352942</v>
      </c>
      <c r="Q194" s="76"/>
      <c r="R194" s="76"/>
      <c r="S194" s="76"/>
      <c r="T194" s="76"/>
      <c r="U194" s="76"/>
      <c r="V194" s="76"/>
    </row>
    <row r="195" spans="1:22">
      <c r="A195" s="84" t="s">
        <v>463</v>
      </c>
      <c r="B195" s="85" t="s">
        <v>462</v>
      </c>
      <c r="C195" s="85" t="s">
        <v>99</v>
      </c>
      <c r="D195" s="84" t="s">
        <v>84</v>
      </c>
      <c r="E195" s="84">
        <f>VLOOKUP(A195,'2a. SI Pop'!$A$5:$E$198,5,FALSE)</f>
        <v>4</v>
      </c>
      <c r="F195" s="76">
        <f>100/(100-40)</f>
        <v>1.6666666666666667</v>
      </c>
      <c r="G195" s="76">
        <f t="shared" ref="G195:P195" si="192">F195</f>
        <v>1.6666666666666667</v>
      </c>
      <c r="H195" s="76">
        <f t="shared" si="192"/>
        <v>1.6666666666666667</v>
      </c>
      <c r="I195" s="76">
        <f t="shared" si="192"/>
        <v>1.6666666666666667</v>
      </c>
      <c r="J195" s="76">
        <f t="shared" si="192"/>
        <v>1.6666666666666667</v>
      </c>
      <c r="K195" s="76">
        <f t="shared" si="192"/>
        <v>1.6666666666666667</v>
      </c>
      <c r="L195" s="76">
        <f t="shared" si="192"/>
        <v>1.6666666666666667</v>
      </c>
      <c r="M195" s="76">
        <f t="shared" si="192"/>
        <v>1.6666666666666667</v>
      </c>
      <c r="N195" s="76">
        <f t="shared" si="192"/>
        <v>1.6666666666666667</v>
      </c>
      <c r="O195" s="76">
        <f t="shared" si="192"/>
        <v>1.6666666666666667</v>
      </c>
      <c r="P195" s="76">
        <f t="shared" si="192"/>
        <v>1.6666666666666667</v>
      </c>
      <c r="Q195" s="76"/>
      <c r="R195" s="76"/>
      <c r="S195" s="76"/>
      <c r="T195" s="76"/>
      <c r="U195" s="76"/>
      <c r="V195" s="76"/>
    </row>
    <row r="196" spans="1:22">
      <c r="A196" s="84" t="s">
        <v>465</v>
      </c>
      <c r="B196" s="85" t="s">
        <v>464</v>
      </c>
      <c r="C196" s="85" t="s">
        <v>74</v>
      </c>
      <c r="D196" s="84" t="s">
        <v>75</v>
      </c>
      <c r="E196" s="84">
        <f>VLOOKUP(A196,'2a. SI Pop'!$A$5:$E$198,5,FALSE)</f>
        <v>3</v>
      </c>
      <c r="F196" s="76">
        <f>100/(100-15)</f>
        <v>1.1764705882352942</v>
      </c>
      <c r="G196" s="76">
        <f t="shared" ref="G196:P196" si="193">F196</f>
        <v>1.1764705882352942</v>
      </c>
      <c r="H196" s="76">
        <f t="shared" si="193"/>
        <v>1.1764705882352942</v>
      </c>
      <c r="I196" s="76">
        <f t="shared" si="193"/>
        <v>1.1764705882352942</v>
      </c>
      <c r="J196" s="76">
        <f t="shared" si="193"/>
        <v>1.1764705882352942</v>
      </c>
      <c r="K196" s="76">
        <f t="shared" si="193"/>
        <v>1.1764705882352942</v>
      </c>
      <c r="L196" s="76">
        <f t="shared" si="193"/>
        <v>1.1764705882352942</v>
      </c>
      <c r="M196" s="76">
        <f t="shared" si="193"/>
        <v>1.1764705882352942</v>
      </c>
      <c r="N196" s="76">
        <f t="shared" si="193"/>
        <v>1.1764705882352942</v>
      </c>
      <c r="O196" s="76">
        <f t="shared" si="193"/>
        <v>1.1764705882352942</v>
      </c>
      <c r="P196" s="76">
        <f t="shared" si="193"/>
        <v>1.1764705882352942</v>
      </c>
      <c r="Q196" s="76"/>
      <c r="R196" s="76"/>
      <c r="S196" s="76"/>
      <c r="T196" s="76"/>
      <c r="U196" s="76"/>
      <c r="V196" s="76"/>
    </row>
    <row r="197" spans="1:22">
      <c r="A197" s="84" t="s">
        <v>467</v>
      </c>
      <c r="B197" s="85" t="s">
        <v>466</v>
      </c>
      <c r="C197" s="85" t="s">
        <v>83</v>
      </c>
      <c r="D197" s="84" t="s">
        <v>84</v>
      </c>
      <c r="E197" s="84">
        <f>VLOOKUP(A197,'2a. SI Pop'!$A$5:$E$198,5,FALSE)</f>
        <v>3</v>
      </c>
      <c r="F197" s="76">
        <f>100/(100-15)</f>
        <v>1.1764705882352942</v>
      </c>
      <c r="G197" s="76">
        <f t="shared" ref="G197:P197" si="194">F197</f>
        <v>1.1764705882352942</v>
      </c>
      <c r="H197" s="76">
        <f t="shared" si="194"/>
        <v>1.1764705882352942</v>
      </c>
      <c r="I197" s="76">
        <f t="shared" si="194"/>
        <v>1.1764705882352942</v>
      </c>
      <c r="J197" s="76">
        <f t="shared" si="194"/>
        <v>1.1764705882352942</v>
      </c>
      <c r="K197" s="76">
        <f t="shared" si="194"/>
        <v>1.1764705882352942</v>
      </c>
      <c r="L197" s="76">
        <f t="shared" si="194"/>
        <v>1.1764705882352942</v>
      </c>
      <c r="M197" s="76">
        <f t="shared" si="194"/>
        <v>1.1764705882352942</v>
      </c>
      <c r="N197" s="76">
        <f t="shared" si="194"/>
        <v>1.1764705882352942</v>
      </c>
      <c r="O197" s="76">
        <f t="shared" si="194"/>
        <v>1.1764705882352942</v>
      </c>
      <c r="P197" s="76">
        <f t="shared" si="194"/>
        <v>1.1764705882352942</v>
      </c>
      <c r="Q197" s="76"/>
      <c r="R197" s="76"/>
      <c r="S197" s="76"/>
      <c r="T197" s="76"/>
      <c r="U197" s="76"/>
      <c r="V197" s="76"/>
    </row>
    <row r="198" spans="1:22">
      <c r="A198" s="84" t="s">
        <v>469</v>
      </c>
      <c r="B198" s="85" t="s">
        <v>468</v>
      </c>
      <c r="C198" s="85" t="s">
        <v>83</v>
      </c>
      <c r="D198" s="84" t="s">
        <v>84</v>
      </c>
      <c r="E198" s="84">
        <f>VLOOKUP(A198,'2a. SI Pop'!$A$5:$E$198,5,FALSE)</f>
        <v>3</v>
      </c>
      <c r="F198" s="76">
        <f>100/(100-40)</f>
        <v>1.6666666666666667</v>
      </c>
      <c r="G198" s="76">
        <f t="shared" ref="G198:P198" si="195">F198</f>
        <v>1.6666666666666667</v>
      </c>
      <c r="H198" s="76">
        <f t="shared" si="195"/>
        <v>1.6666666666666667</v>
      </c>
      <c r="I198" s="76">
        <f t="shared" si="195"/>
        <v>1.6666666666666667</v>
      </c>
      <c r="J198" s="76">
        <f t="shared" si="195"/>
        <v>1.6666666666666667</v>
      </c>
      <c r="K198" s="76">
        <f t="shared" si="195"/>
        <v>1.6666666666666667</v>
      </c>
      <c r="L198" s="76">
        <f t="shared" si="195"/>
        <v>1.6666666666666667</v>
      </c>
      <c r="M198" s="76">
        <f t="shared" si="195"/>
        <v>1.6666666666666667</v>
      </c>
      <c r="N198" s="76">
        <f t="shared" si="195"/>
        <v>1.6666666666666667</v>
      </c>
      <c r="O198" s="76">
        <f t="shared" si="195"/>
        <v>1.6666666666666667</v>
      </c>
      <c r="P198" s="76">
        <f t="shared" si="195"/>
        <v>1.6666666666666667</v>
      </c>
      <c r="Q198" s="76"/>
      <c r="R198" s="76"/>
      <c r="S198" s="76"/>
      <c r="T198" s="76"/>
      <c r="U198" s="76"/>
      <c r="V198" s="76"/>
    </row>
  </sheetData>
  <autoFilter ref="A4:P198" xr:uid="{1BE26F4C-1587-7C4D-887A-C69327E2A75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AEDD-37B2-7741-87D3-A625762EB8CE}">
  <sheetPr>
    <tabColor theme="7" tint="0.59999389629810485"/>
  </sheetPr>
  <dimension ref="A1:P198"/>
  <sheetViews>
    <sheetView zoomScale="85" zoomScaleNormal="85" workbookViewId="0">
      <selection activeCell="H35" sqref="H35"/>
    </sheetView>
  </sheetViews>
  <sheetFormatPr defaultColWidth="10.85546875" defaultRowHeight="15"/>
  <cols>
    <col min="6" max="16" width="13.7109375" bestFit="1" customWidth="1"/>
  </cols>
  <sheetData>
    <row r="1" spans="1:16">
      <c r="A1" t="s">
        <v>470</v>
      </c>
      <c r="B1" t="s">
        <v>552</v>
      </c>
    </row>
    <row r="2" spans="1:16">
      <c r="A2" t="s">
        <v>471</v>
      </c>
      <c r="B2" t="s">
        <v>518</v>
      </c>
    </row>
    <row r="4" spans="1:16" s="88" customFormat="1">
      <c r="A4" s="86" t="s">
        <v>473</v>
      </c>
      <c r="B4" s="87" t="s">
        <v>64</v>
      </c>
      <c r="C4" s="86" t="s">
        <v>66</v>
      </c>
      <c r="D4" s="86" t="s">
        <v>67</v>
      </c>
      <c r="E4" s="86" t="s">
        <v>68</v>
      </c>
      <c r="F4" s="88">
        <v>2030</v>
      </c>
      <c r="G4" s="88">
        <f>F4+1</f>
        <v>2031</v>
      </c>
      <c r="H4" s="88">
        <f t="shared" ref="H4:N4" si="0">G4+1</f>
        <v>2032</v>
      </c>
      <c r="I4" s="88">
        <f t="shared" si="0"/>
        <v>2033</v>
      </c>
      <c r="J4" s="88">
        <f t="shared" si="0"/>
        <v>2034</v>
      </c>
      <c r="K4" s="88">
        <f t="shared" si="0"/>
        <v>2035</v>
      </c>
      <c r="L4" s="88">
        <f t="shared" si="0"/>
        <v>2036</v>
      </c>
      <c r="M4" s="88">
        <f t="shared" si="0"/>
        <v>2037</v>
      </c>
      <c r="N4" s="88">
        <f t="shared" si="0"/>
        <v>2038</v>
      </c>
      <c r="O4" s="88">
        <f t="shared" ref="O4:P4" si="1">N4+1</f>
        <v>2039</v>
      </c>
      <c r="P4" s="88">
        <f t="shared" si="1"/>
        <v>2040</v>
      </c>
    </row>
    <row r="5" spans="1:16">
      <c r="A5" s="84" t="s">
        <v>73</v>
      </c>
      <c r="B5" s="85" t="s">
        <v>72</v>
      </c>
      <c r="C5" s="85" t="s">
        <v>74</v>
      </c>
      <c r="D5" s="84" t="s">
        <v>75</v>
      </c>
      <c r="E5" s="84" t="str">
        <f>VLOOKUP(A5,'2a. SI Pop'!$A$5:$E$198,5,FALSE)</f>
        <v>Key</v>
      </c>
      <c r="F5" s="3">
        <f>SUMIFS(Input!$Q$5:$Q$44,Input!$O$5:$O$44,'6a. %FP-Routine'!A5,Input!$P$5:$P$44,"Routine")</f>
        <v>0.63</v>
      </c>
      <c r="G5" s="3">
        <f>F5</f>
        <v>0.63</v>
      </c>
      <c r="H5" s="3">
        <f t="shared" ref="H5:P5" si="2">G5</f>
        <v>0.63</v>
      </c>
      <c r="I5" s="3">
        <f t="shared" si="2"/>
        <v>0.63</v>
      </c>
      <c r="J5" s="3">
        <f t="shared" si="2"/>
        <v>0.63</v>
      </c>
      <c r="K5" s="3">
        <f t="shared" si="2"/>
        <v>0.63</v>
      </c>
      <c r="L5" s="3">
        <f t="shared" si="2"/>
        <v>0.63</v>
      </c>
      <c r="M5" s="3">
        <f t="shared" si="2"/>
        <v>0.63</v>
      </c>
      <c r="N5" s="3">
        <f t="shared" si="2"/>
        <v>0.63</v>
      </c>
      <c r="O5" s="3">
        <f t="shared" si="2"/>
        <v>0.63</v>
      </c>
      <c r="P5" s="3">
        <f t="shared" si="2"/>
        <v>0.63</v>
      </c>
    </row>
    <row r="6" spans="1:16">
      <c r="A6" s="84" t="s">
        <v>78</v>
      </c>
      <c r="B6" s="85" t="s">
        <v>77</v>
      </c>
      <c r="C6" s="85" t="s">
        <v>79</v>
      </c>
      <c r="D6" s="84" t="s">
        <v>80</v>
      </c>
      <c r="E6" s="84">
        <f>VLOOKUP(A6,'2a. SI Pop'!$A$5:$E$198,5,FALSE)</f>
        <v>1</v>
      </c>
      <c r="F6" s="3">
        <f>SUMIFS(Input!$Q$5:$Q$44,Input!$O$5:$O$44,'6a. %FP-Routine'!E6,Input!$P$5:$P$44,"Routine")</f>
        <v>0.98</v>
      </c>
      <c r="G6" s="3">
        <f t="shared" ref="G6:P21" si="3">F6</f>
        <v>0.98</v>
      </c>
      <c r="H6" s="3">
        <f t="shared" si="3"/>
        <v>0.98</v>
      </c>
      <c r="I6" s="3">
        <f t="shared" si="3"/>
        <v>0.98</v>
      </c>
      <c r="J6" s="3">
        <f t="shared" si="3"/>
        <v>0.98</v>
      </c>
      <c r="K6" s="3">
        <f t="shared" si="3"/>
        <v>0.98</v>
      </c>
      <c r="L6" s="3">
        <f t="shared" si="3"/>
        <v>0.98</v>
      </c>
      <c r="M6" s="3">
        <f t="shared" si="3"/>
        <v>0.98</v>
      </c>
      <c r="N6" s="3">
        <f t="shared" si="3"/>
        <v>0.98</v>
      </c>
      <c r="O6" s="3">
        <f t="shared" si="3"/>
        <v>0.98</v>
      </c>
      <c r="P6" s="3">
        <f t="shared" si="3"/>
        <v>0.98</v>
      </c>
    </row>
    <row r="7" spans="1:16">
      <c r="A7" s="84" t="s">
        <v>82</v>
      </c>
      <c r="B7" s="85" t="s">
        <v>81</v>
      </c>
      <c r="C7" s="85" t="s">
        <v>83</v>
      </c>
      <c r="D7" s="84" t="s">
        <v>84</v>
      </c>
      <c r="E7" s="84">
        <f>VLOOKUP(A7,'2a. SI Pop'!$A$5:$E$198,5,FALSE)</f>
        <v>2</v>
      </c>
      <c r="F7" s="3">
        <f>SUMIFS(Input!$Q$5:$Q$44,Input!$O$5:$O$44,'6a. %FP-Routine'!E7,Input!$P$5:$P$44,"Routine")</f>
        <v>0.83</v>
      </c>
      <c r="G7" s="3">
        <f t="shared" si="3"/>
        <v>0.83</v>
      </c>
      <c r="H7" s="3">
        <f t="shared" si="3"/>
        <v>0.83</v>
      </c>
      <c r="I7" s="3">
        <f t="shared" si="3"/>
        <v>0.83</v>
      </c>
      <c r="J7" s="3">
        <f t="shared" si="3"/>
        <v>0.83</v>
      </c>
      <c r="K7" s="3">
        <f t="shared" si="3"/>
        <v>0.83</v>
      </c>
      <c r="L7" s="3">
        <f t="shared" si="3"/>
        <v>0.83</v>
      </c>
      <c r="M7" s="3">
        <f t="shared" si="3"/>
        <v>0.83</v>
      </c>
      <c r="N7" s="3">
        <f t="shared" si="3"/>
        <v>0.83</v>
      </c>
      <c r="O7" s="3">
        <f t="shared" si="3"/>
        <v>0.83</v>
      </c>
      <c r="P7" s="3">
        <f t="shared" si="3"/>
        <v>0.83</v>
      </c>
    </row>
    <row r="8" spans="1:16">
      <c r="A8" s="84" t="s">
        <v>86</v>
      </c>
      <c r="B8" s="85" t="s">
        <v>85</v>
      </c>
      <c r="C8" s="85" t="s">
        <v>79</v>
      </c>
      <c r="D8" s="84" t="s">
        <v>87</v>
      </c>
      <c r="E8" s="84">
        <f>VLOOKUP(A8,'2a. SI Pop'!$A$5:$E$198,5,FALSE)</f>
        <v>1</v>
      </c>
      <c r="F8" s="3">
        <f>SUMIFS(Input!$Q$5:$Q$44,Input!$O$5:$O$44,'6a. %FP-Routine'!E8,Input!$P$5:$P$44,"Routine")</f>
        <v>0.98</v>
      </c>
      <c r="G8" s="3">
        <f t="shared" si="3"/>
        <v>0.98</v>
      </c>
      <c r="H8" s="3">
        <f t="shared" si="3"/>
        <v>0.98</v>
      </c>
      <c r="I8" s="3">
        <f t="shared" si="3"/>
        <v>0.98</v>
      </c>
      <c r="J8" s="3">
        <f t="shared" si="3"/>
        <v>0.98</v>
      </c>
      <c r="K8" s="3">
        <f t="shared" si="3"/>
        <v>0.98</v>
      </c>
      <c r="L8" s="3">
        <f t="shared" si="3"/>
        <v>0.98</v>
      </c>
      <c r="M8" s="3">
        <f t="shared" si="3"/>
        <v>0.98</v>
      </c>
      <c r="N8" s="3">
        <f t="shared" si="3"/>
        <v>0.98</v>
      </c>
      <c r="O8" s="3">
        <f t="shared" si="3"/>
        <v>0.98</v>
      </c>
      <c r="P8" s="3">
        <f t="shared" si="3"/>
        <v>0.98</v>
      </c>
    </row>
    <row r="9" spans="1:16">
      <c r="A9" s="84" t="s">
        <v>89</v>
      </c>
      <c r="B9" s="85" t="s">
        <v>88</v>
      </c>
      <c r="C9" s="85" t="s">
        <v>83</v>
      </c>
      <c r="D9" s="84" t="s">
        <v>84</v>
      </c>
      <c r="E9" s="84">
        <f>VLOOKUP(A9,'2a. SI Pop'!$A$5:$E$198,5,FALSE)</f>
        <v>3</v>
      </c>
      <c r="F9" s="3">
        <f>SUMIFS(Input!$Q$5:$Q$44,Input!$O$5:$O$44,'6a. %FP-Routine'!E9,Input!$P$5:$P$44,"Routine")</f>
        <v>0.56000000000000005</v>
      </c>
      <c r="G9" s="3">
        <f t="shared" si="3"/>
        <v>0.56000000000000005</v>
      </c>
      <c r="H9" s="3">
        <f t="shared" si="3"/>
        <v>0.56000000000000005</v>
      </c>
      <c r="I9" s="3">
        <f t="shared" si="3"/>
        <v>0.56000000000000005</v>
      </c>
      <c r="J9" s="3">
        <f t="shared" si="3"/>
        <v>0.56000000000000005</v>
      </c>
      <c r="K9" s="3">
        <f t="shared" si="3"/>
        <v>0.56000000000000005</v>
      </c>
      <c r="L9" s="3">
        <f t="shared" si="3"/>
        <v>0.56000000000000005</v>
      </c>
      <c r="M9" s="3">
        <f t="shared" si="3"/>
        <v>0.56000000000000005</v>
      </c>
      <c r="N9" s="3">
        <f t="shared" si="3"/>
        <v>0.56000000000000005</v>
      </c>
      <c r="O9" s="3">
        <f t="shared" si="3"/>
        <v>0.56000000000000005</v>
      </c>
      <c r="P9" s="3">
        <f t="shared" si="3"/>
        <v>0.56000000000000005</v>
      </c>
    </row>
    <row r="10" spans="1:16">
      <c r="A10" s="84" t="s">
        <v>91</v>
      </c>
      <c r="B10" s="85" t="s">
        <v>90</v>
      </c>
      <c r="C10" s="85" t="s">
        <v>92</v>
      </c>
      <c r="D10" s="84" t="s">
        <v>87</v>
      </c>
      <c r="E10" s="84">
        <f>VLOOKUP(A10,'2a. SI Pop'!$A$5:$E$198,5,FALSE)</f>
        <v>1</v>
      </c>
      <c r="F10" s="3">
        <f>SUMIFS(Input!$Q$5:$Q$44,Input!$O$5:$O$44,'6a. %FP-Routine'!E10,Input!$P$5:$P$44,"Routine")</f>
        <v>0.98</v>
      </c>
      <c r="G10" s="3">
        <f t="shared" si="3"/>
        <v>0.98</v>
      </c>
      <c r="H10" s="3">
        <f t="shared" si="3"/>
        <v>0.98</v>
      </c>
      <c r="I10" s="3">
        <f t="shared" si="3"/>
        <v>0.98</v>
      </c>
      <c r="J10" s="3">
        <f t="shared" si="3"/>
        <v>0.98</v>
      </c>
      <c r="K10" s="3">
        <f t="shared" si="3"/>
        <v>0.98</v>
      </c>
      <c r="L10" s="3">
        <f t="shared" si="3"/>
        <v>0.98</v>
      </c>
      <c r="M10" s="3">
        <f t="shared" si="3"/>
        <v>0.98</v>
      </c>
      <c r="N10" s="3">
        <f t="shared" si="3"/>
        <v>0.98</v>
      </c>
      <c r="O10" s="3">
        <f t="shared" si="3"/>
        <v>0.98</v>
      </c>
      <c r="P10" s="3">
        <f t="shared" si="3"/>
        <v>0.98</v>
      </c>
    </row>
    <row r="11" spans="1:16">
      <c r="A11" s="84" t="s">
        <v>94</v>
      </c>
      <c r="B11" s="85" t="s">
        <v>93</v>
      </c>
      <c r="C11" s="85" t="s">
        <v>92</v>
      </c>
      <c r="D11" s="84" t="s">
        <v>80</v>
      </c>
      <c r="E11" s="84">
        <f>VLOOKUP(A11,'2a. SI Pop'!$A$5:$E$198,5,FALSE)</f>
        <v>1</v>
      </c>
      <c r="F11" s="3">
        <f>SUMIFS(Input!$Q$5:$Q$44,Input!$O$5:$O$44,'6a. %FP-Routine'!E11,Input!$P$5:$P$44,"Routine")</f>
        <v>0.98</v>
      </c>
      <c r="G11" s="3">
        <f t="shared" si="3"/>
        <v>0.98</v>
      </c>
      <c r="H11" s="3">
        <f t="shared" si="3"/>
        <v>0.98</v>
      </c>
      <c r="I11" s="3">
        <f t="shared" si="3"/>
        <v>0.98</v>
      </c>
      <c r="J11" s="3">
        <f t="shared" si="3"/>
        <v>0.98</v>
      </c>
      <c r="K11" s="3">
        <f t="shared" si="3"/>
        <v>0.98</v>
      </c>
      <c r="L11" s="3">
        <f t="shared" si="3"/>
        <v>0.98</v>
      </c>
      <c r="M11" s="3">
        <f t="shared" si="3"/>
        <v>0.98</v>
      </c>
      <c r="N11" s="3">
        <f t="shared" si="3"/>
        <v>0.98</v>
      </c>
      <c r="O11" s="3">
        <f t="shared" si="3"/>
        <v>0.98</v>
      </c>
      <c r="P11" s="3">
        <f t="shared" si="3"/>
        <v>0.98</v>
      </c>
    </row>
    <row r="12" spans="1:16">
      <c r="A12" s="84" t="s">
        <v>96</v>
      </c>
      <c r="B12" s="85" t="s">
        <v>95</v>
      </c>
      <c r="C12" s="85" t="s">
        <v>79</v>
      </c>
      <c r="D12" s="84" t="s">
        <v>80</v>
      </c>
      <c r="E12" s="84">
        <f>VLOOKUP(A12,'2a. SI Pop'!$A$5:$E$198,5,FALSE)</f>
        <v>1</v>
      </c>
      <c r="F12" s="3">
        <f>SUMIFS(Input!$Q$5:$Q$44,Input!$O$5:$O$44,'6a. %FP-Routine'!E12,Input!$P$5:$P$44,"Routine")</f>
        <v>0.98</v>
      </c>
      <c r="G12" s="3">
        <f t="shared" si="3"/>
        <v>0.98</v>
      </c>
      <c r="H12" s="3">
        <f t="shared" si="3"/>
        <v>0.98</v>
      </c>
      <c r="I12" s="3">
        <f t="shared" si="3"/>
        <v>0.98</v>
      </c>
      <c r="J12" s="3">
        <f t="shared" si="3"/>
        <v>0.98</v>
      </c>
      <c r="K12" s="3">
        <f t="shared" si="3"/>
        <v>0.98</v>
      </c>
      <c r="L12" s="3">
        <f t="shared" si="3"/>
        <v>0.98</v>
      </c>
      <c r="M12" s="3">
        <f t="shared" si="3"/>
        <v>0.98</v>
      </c>
      <c r="N12" s="3">
        <f t="shared" si="3"/>
        <v>0.98</v>
      </c>
      <c r="O12" s="3">
        <f t="shared" si="3"/>
        <v>0.98</v>
      </c>
      <c r="P12" s="3">
        <f t="shared" si="3"/>
        <v>0.98</v>
      </c>
    </row>
    <row r="13" spans="1:16">
      <c r="A13" s="84" t="s">
        <v>98</v>
      </c>
      <c r="B13" s="85" t="s">
        <v>97</v>
      </c>
      <c r="C13" s="85" t="s">
        <v>99</v>
      </c>
      <c r="D13" s="84" t="s">
        <v>87</v>
      </c>
      <c r="E13" s="84">
        <f>VLOOKUP(A13,'2a. SI Pop'!$A$5:$E$198,5,FALSE)</f>
        <v>1</v>
      </c>
      <c r="F13" s="3">
        <f>SUMIFS(Input!$Q$5:$Q$44,Input!$O$5:$O$44,'6a. %FP-Routine'!E13,Input!$P$5:$P$44,"Routine")</f>
        <v>0.98</v>
      </c>
      <c r="G13" s="3">
        <f t="shared" si="3"/>
        <v>0.98</v>
      </c>
      <c r="H13" s="3">
        <f t="shared" si="3"/>
        <v>0.98</v>
      </c>
      <c r="I13" s="3">
        <f t="shared" si="3"/>
        <v>0.98</v>
      </c>
      <c r="J13" s="3">
        <f t="shared" si="3"/>
        <v>0.98</v>
      </c>
      <c r="K13" s="3">
        <f t="shared" si="3"/>
        <v>0.98</v>
      </c>
      <c r="L13" s="3">
        <f t="shared" si="3"/>
        <v>0.98</v>
      </c>
      <c r="M13" s="3">
        <f t="shared" si="3"/>
        <v>0.98</v>
      </c>
      <c r="N13" s="3">
        <f t="shared" si="3"/>
        <v>0.98</v>
      </c>
      <c r="O13" s="3">
        <f t="shared" si="3"/>
        <v>0.98</v>
      </c>
      <c r="P13" s="3">
        <f t="shared" si="3"/>
        <v>0.98</v>
      </c>
    </row>
    <row r="14" spans="1:16">
      <c r="A14" s="84" t="s">
        <v>101</v>
      </c>
      <c r="B14" s="85" t="s">
        <v>100</v>
      </c>
      <c r="C14" s="85" t="s">
        <v>79</v>
      </c>
      <c r="D14" s="84" t="s">
        <v>87</v>
      </c>
      <c r="E14" s="84">
        <f>VLOOKUP(A14,'2a. SI Pop'!$A$5:$E$198,5,FALSE)</f>
        <v>1</v>
      </c>
      <c r="F14" s="3">
        <f>SUMIFS(Input!$Q$5:$Q$44,Input!$O$5:$O$44,'6a. %FP-Routine'!E14,Input!$P$5:$P$44,"Routine")</f>
        <v>0.98</v>
      </c>
      <c r="G14" s="3">
        <f t="shared" si="3"/>
        <v>0.98</v>
      </c>
      <c r="H14" s="3">
        <f t="shared" si="3"/>
        <v>0.98</v>
      </c>
      <c r="I14" s="3">
        <f t="shared" si="3"/>
        <v>0.98</v>
      </c>
      <c r="J14" s="3">
        <f t="shared" si="3"/>
        <v>0.98</v>
      </c>
      <c r="K14" s="3">
        <f t="shared" si="3"/>
        <v>0.98</v>
      </c>
      <c r="L14" s="3">
        <f t="shared" si="3"/>
        <v>0.98</v>
      </c>
      <c r="M14" s="3">
        <f t="shared" si="3"/>
        <v>0.98</v>
      </c>
      <c r="N14" s="3">
        <f t="shared" si="3"/>
        <v>0.98</v>
      </c>
      <c r="O14" s="3">
        <f t="shared" si="3"/>
        <v>0.98</v>
      </c>
      <c r="P14" s="3">
        <f t="shared" si="3"/>
        <v>0.98</v>
      </c>
    </row>
    <row r="15" spans="1:16">
      <c r="A15" s="84" t="s">
        <v>103</v>
      </c>
      <c r="B15" s="85" t="s">
        <v>102</v>
      </c>
      <c r="C15" s="85" t="s">
        <v>79</v>
      </c>
      <c r="D15" s="84" t="s">
        <v>80</v>
      </c>
      <c r="E15" s="84">
        <f>VLOOKUP(A15,'2a. SI Pop'!$A$5:$E$198,5,FALSE)</f>
        <v>1</v>
      </c>
      <c r="F15" s="3">
        <f>SUMIFS(Input!$Q$5:$Q$44,Input!$O$5:$O$44,'6a. %FP-Routine'!E15,Input!$P$5:$P$44,"Routine")</f>
        <v>0.98</v>
      </c>
      <c r="G15" s="3">
        <f t="shared" si="3"/>
        <v>0.98</v>
      </c>
      <c r="H15" s="3">
        <f t="shared" si="3"/>
        <v>0.98</v>
      </c>
      <c r="I15" s="3">
        <f t="shared" si="3"/>
        <v>0.98</v>
      </c>
      <c r="J15" s="3">
        <f t="shared" si="3"/>
        <v>0.98</v>
      </c>
      <c r="K15" s="3">
        <f t="shared" si="3"/>
        <v>0.98</v>
      </c>
      <c r="L15" s="3">
        <f t="shared" si="3"/>
        <v>0.98</v>
      </c>
      <c r="M15" s="3">
        <f t="shared" si="3"/>
        <v>0.98</v>
      </c>
      <c r="N15" s="3">
        <f t="shared" si="3"/>
        <v>0.98</v>
      </c>
      <c r="O15" s="3">
        <f t="shared" si="3"/>
        <v>0.98</v>
      </c>
      <c r="P15" s="3">
        <f t="shared" si="3"/>
        <v>0.98</v>
      </c>
    </row>
    <row r="16" spans="1:16">
      <c r="A16" s="84" t="s">
        <v>105</v>
      </c>
      <c r="B16" s="85" t="s">
        <v>104</v>
      </c>
      <c r="C16" s="85" t="s">
        <v>92</v>
      </c>
      <c r="D16" s="84" t="s">
        <v>87</v>
      </c>
      <c r="E16" s="84">
        <f>VLOOKUP(A16,'2a. SI Pop'!$A$5:$E$198,5,FALSE)</f>
        <v>1</v>
      </c>
      <c r="F16" s="3">
        <f>SUMIFS(Input!$Q$5:$Q$44,Input!$O$5:$O$44,'6a. %FP-Routine'!E16,Input!$P$5:$P$44,"Routine")</f>
        <v>0.98</v>
      </c>
      <c r="G16" s="3">
        <f t="shared" si="3"/>
        <v>0.98</v>
      </c>
      <c r="H16" s="3">
        <f t="shared" si="3"/>
        <v>0.98</v>
      </c>
      <c r="I16" s="3">
        <f t="shared" si="3"/>
        <v>0.98</v>
      </c>
      <c r="J16" s="3">
        <f t="shared" si="3"/>
        <v>0.98</v>
      </c>
      <c r="K16" s="3">
        <f t="shared" si="3"/>
        <v>0.98</v>
      </c>
      <c r="L16" s="3">
        <f t="shared" si="3"/>
        <v>0.98</v>
      </c>
      <c r="M16" s="3">
        <f t="shared" si="3"/>
        <v>0.98</v>
      </c>
      <c r="N16" s="3">
        <f t="shared" si="3"/>
        <v>0.98</v>
      </c>
      <c r="O16" s="3">
        <f t="shared" si="3"/>
        <v>0.98</v>
      </c>
      <c r="P16" s="3">
        <f t="shared" si="3"/>
        <v>0.98</v>
      </c>
    </row>
    <row r="17" spans="1:16">
      <c r="A17" s="84" t="s">
        <v>107</v>
      </c>
      <c r="B17" s="85" t="s">
        <v>106</v>
      </c>
      <c r="C17" s="85" t="s">
        <v>74</v>
      </c>
      <c r="D17" s="84" t="s">
        <v>87</v>
      </c>
      <c r="E17" s="84">
        <f>VLOOKUP(A17,'2a. SI Pop'!$A$5:$E$198,5,FALSE)</f>
        <v>1</v>
      </c>
      <c r="F17" s="3">
        <f>SUMIFS(Input!$Q$5:$Q$44,Input!$O$5:$O$44,'6a. %FP-Routine'!E17,Input!$P$5:$P$44,"Routine")</f>
        <v>0.98</v>
      </c>
      <c r="G17" s="3">
        <f t="shared" si="3"/>
        <v>0.98</v>
      </c>
      <c r="H17" s="3">
        <f t="shared" si="3"/>
        <v>0.98</v>
      </c>
      <c r="I17" s="3">
        <f t="shared" si="3"/>
        <v>0.98</v>
      </c>
      <c r="J17" s="3">
        <f t="shared" si="3"/>
        <v>0.98</v>
      </c>
      <c r="K17" s="3">
        <f t="shared" si="3"/>
        <v>0.98</v>
      </c>
      <c r="L17" s="3">
        <f t="shared" si="3"/>
        <v>0.98</v>
      </c>
      <c r="M17" s="3">
        <f t="shared" si="3"/>
        <v>0.98</v>
      </c>
      <c r="N17" s="3">
        <f t="shared" si="3"/>
        <v>0.98</v>
      </c>
      <c r="O17" s="3">
        <f t="shared" si="3"/>
        <v>0.98</v>
      </c>
      <c r="P17" s="3">
        <f t="shared" si="3"/>
        <v>0.98</v>
      </c>
    </row>
    <row r="18" spans="1:16">
      <c r="A18" s="84" t="s">
        <v>109</v>
      </c>
      <c r="B18" s="85" t="s">
        <v>108</v>
      </c>
      <c r="C18" s="85" t="s">
        <v>110</v>
      </c>
      <c r="D18" s="84" t="s">
        <v>84</v>
      </c>
      <c r="E18" s="84" t="str">
        <f>VLOOKUP(A18,'2a. SI Pop'!$A$5:$E$198,5,FALSE)</f>
        <v>Key</v>
      </c>
      <c r="F18" s="3">
        <f>SUMIFS(Input!$Q$5:$Q$44,Input!$O$5:$O$44,'6a. %FP-Routine'!A18,Input!$P$5:$P$44,"Routine")</f>
        <v>0.2</v>
      </c>
      <c r="G18" s="3">
        <f t="shared" si="3"/>
        <v>0.2</v>
      </c>
      <c r="H18" s="3">
        <f t="shared" si="3"/>
        <v>0.2</v>
      </c>
      <c r="I18" s="3">
        <f t="shared" si="3"/>
        <v>0.2</v>
      </c>
      <c r="J18" s="3">
        <f t="shared" si="3"/>
        <v>0.2</v>
      </c>
      <c r="K18" s="3">
        <f t="shared" si="3"/>
        <v>0.2</v>
      </c>
      <c r="L18" s="3">
        <f t="shared" si="3"/>
        <v>0.2</v>
      </c>
      <c r="M18" s="3">
        <f t="shared" si="3"/>
        <v>0.2</v>
      </c>
      <c r="N18" s="3">
        <f t="shared" si="3"/>
        <v>0.2</v>
      </c>
      <c r="O18" s="3">
        <f t="shared" si="3"/>
        <v>0.2</v>
      </c>
      <c r="P18" s="3">
        <f t="shared" si="3"/>
        <v>0.2</v>
      </c>
    </row>
    <row r="19" spans="1:16">
      <c r="A19" s="84" t="s">
        <v>112</v>
      </c>
      <c r="B19" s="85" t="s">
        <v>111</v>
      </c>
      <c r="C19" s="85" t="s">
        <v>92</v>
      </c>
      <c r="D19" s="84" t="s">
        <v>87</v>
      </c>
      <c r="E19" s="84">
        <f>VLOOKUP(A19,'2a. SI Pop'!$A$5:$E$198,5,FALSE)</f>
        <v>1</v>
      </c>
      <c r="F19" s="3">
        <f>SUMIFS(Input!$Q$5:$Q$44,Input!$O$5:$O$44,'6a. %FP-Routine'!E19,Input!$P$5:$P$44,"Routine")</f>
        <v>0.98</v>
      </c>
      <c r="G19" s="3">
        <f t="shared" si="3"/>
        <v>0.98</v>
      </c>
      <c r="H19" s="3">
        <f t="shared" si="3"/>
        <v>0.98</v>
      </c>
      <c r="I19" s="3">
        <f t="shared" si="3"/>
        <v>0.98</v>
      </c>
      <c r="J19" s="3">
        <f t="shared" si="3"/>
        <v>0.98</v>
      </c>
      <c r="K19" s="3">
        <f t="shared" si="3"/>
        <v>0.98</v>
      </c>
      <c r="L19" s="3">
        <f t="shared" si="3"/>
        <v>0.98</v>
      </c>
      <c r="M19" s="3">
        <f t="shared" si="3"/>
        <v>0.98</v>
      </c>
      <c r="N19" s="3">
        <f t="shared" si="3"/>
        <v>0.98</v>
      </c>
      <c r="O19" s="3">
        <f t="shared" si="3"/>
        <v>0.98</v>
      </c>
      <c r="P19" s="3">
        <f t="shared" si="3"/>
        <v>0.98</v>
      </c>
    </row>
    <row r="20" spans="1:16">
      <c r="A20" s="84" t="s">
        <v>114</v>
      </c>
      <c r="B20" s="85" t="s">
        <v>113</v>
      </c>
      <c r="C20" s="85" t="s">
        <v>79</v>
      </c>
      <c r="D20" s="84" t="s">
        <v>80</v>
      </c>
      <c r="E20" s="84">
        <f>VLOOKUP(A20,'2a. SI Pop'!$A$5:$E$198,5,FALSE)</f>
        <v>2</v>
      </c>
      <c r="F20" s="3">
        <f>SUMIFS(Input!$Q$5:$Q$44,Input!$O$5:$O$44,'6a. %FP-Routine'!E20,Input!$P$5:$P$44,"Routine")</f>
        <v>0.83</v>
      </c>
      <c r="G20" s="3">
        <f t="shared" si="3"/>
        <v>0.83</v>
      </c>
      <c r="H20" s="3">
        <f t="shared" si="3"/>
        <v>0.83</v>
      </c>
      <c r="I20" s="3">
        <f t="shared" si="3"/>
        <v>0.83</v>
      </c>
      <c r="J20" s="3">
        <f t="shared" si="3"/>
        <v>0.83</v>
      </c>
      <c r="K20" s="3">
        <f t="shared" si="3"/>
        <v>0.83</v>
      </c>
      <c r="L20" s="3">
        <f t="shared" si="3"/>
        <v>0.83</v>
      </c>
      <c r="M20" s="3">
        <f t="shared" si="3"/>
        <v>0.83</v>
      </c>
      <c r="N20" s="3">
        <f t="shared" si="3"/>
        <v>0.83</v>
      </c>
      <c r="O20" s="3">
        <f t="shared" si="3"/>
        <v>0.83</v>
      </c>
      <c r="P20" s="3">
        <f t="shared" si="3"/>
        <v>0.83</v>
      </c>
    </row>
    <row r="21" spans="1:16">
      <c r="A21" s="84" t="s">
        <v>116</v>
      </c>
      <c r="B21" s="85" t="s">
        <v>115</v>
      </c>
      <c r="C21" s="85" t="s">
        <v>79</v>
      </c>
      <c r="D21" s="84" t="s">
        <v>87</v>
      </c>
      <c r="E21" s="84">
        <f>VLOOKUP(A21,'2a. SI Pop'!$A$5:$E$198,5,FALSE)</f>
        <v>1</v>
      </c>
      <c r="F21" s="3">
        <f>SUMIFS(Input!$Q$5:$Q$44,Input!$O$5:$O$44,'6a. %FP-Routine'!E21,Input!$P$5:$P$44,"Routine")</f>
        <v>0.98</v>
      </c>
      <c r="G21" s="3">
        <f t="shared" si="3"/>
        <v>0.98</v>
      </c>
      <c r="H21" s="3">
        <f t="shared" si="3"/>
        <v>0.98</v>
      </c>
      <c r="I21" s="3">
        <f t="shared" si="3"/>
        <v>0.98</v>
      </c>
      <c r="J21" s="3">
        <f t="shared" si="3"/>
        <v>0.98</v>
      </c>
      <c r="K21" s="3">
        <f t="shared" si="3"/>
        <v>0.98</v>
      </c>
      <c r="L21" s="3">
        <f t="shared" si="3"/>
        <v>0.98</v>
      </c>
      <c r="M21" s="3">
        <f t="shared" si="3"/>
        <v>0.98</v>
      </c>
      <c r="N21" s="3">
        <f t="shared" si="3"/>
        <v>0.98</v>
      </c>
      <c r="O21" s="3">
        <f t="shared" si="3"/>
        <v>0.98</v>
      </c>
      <c r="P21" s="3">
        <f t="shared" si="3"/>
        <v>0.98</v>
      </c>
    </row>
    <row r="22" spans="1:16">
      <c r="A22" s="84" t="s">
        <v>118</v>
      </c>
      <c r="B22" s="85" t="s">
        <v>117</v>
      </c>
      <c r="C22" s="85" t="s">
        <v>92</v>
      </c>
      <c r="D22" s="84" t="s">
        <v>80</v>
      </c>
      <c r="E22" s="84">
        <f>VLOOKUP(A22,'2a. SI Pop'!$A$5:$E$198,5,FALSE)</f>
        <v>1</v>
      </c>
      <c r="F22" s="3">
        <f>SUMIFS(Input!$Q$5:$Q$44,Input!$O$5:$O$44,'6a. %FP-Routine'!E22,Input!$P$5:$P$44,"Routine")</f>
        <v>0.98</v>
      </c>
      <c r="G22" s="3">
        <f t="shared" ref="G22:P37" si="4">F22</f>
        <v>0.98</v>
      </c>
      <c r="H22" s="3">
        <f t="shared" si="4"/>
        <v>0.98</v>
      </c>
      <c r="I22" s="3">
        <f t="shared" si="4"/>
        <v>0.98</v>
      </c>
      <c r="J22" s="3">
        <f t="shared" si="4"/>
        <v>0.98</v>
      </c>
      <c r="K22" s="3">
        <f t="shared" si="4"/>
        <v>0.98</v>
      </c>
      <c r="L22" s="3">
        <f t="shared" si="4"/>
        <v>0.98</v>
      </c>
      <c r="M22" s="3">
        <f t="shared" si="4"/>
        <v>0.98</v>
      </c>
      <c r="N22" s="3">
        <f t="shared" si="4"/>
        <v>0.98</v>
      </c>
      <c r="O22" s="3">
        <f t="shared" si="4"/>
        <v>0.98</v>
      </c>
      <c r="P22" s="3">
        <f t="shared" si="4"/>
        <v>0.98</v>
      </c>
    </row>
    <row r="23" spans="1:16">
      <c r="A23" s="84" t="s">
        <v>120</v>
      </c>
      <c r="B23" s="85" t="s">
        <v>119</v>
      </c>
      <c r="C23" s="85" t="s">
        <v>83</v>
      </c>
      <c r="D23" s="84" t="s">
        <v>84</v>
      </c>
      <c r="E23" s="84">
        <f>VLOOKUP(A23,'2a. SI Pop'!$A$5:$E$198,5,FALSE)</f>
        <v>3</v>
      </c>
      <c r="F23" s="3">
        <f>SUMIFS(Input!$Q$5:$Q$44,Input!$O$5:$O$44,'6a. %FP-Routine'!E23,Input!$P$5:$P$44,"Routine")</f>
        <v>0.56000000000000005</v>
      </c>
      <c r="G23" s="3">
        <f t="shared" si="4"/>
        <v>0.56000000000000005</v>
      </c>
      <c r="H23" s="3">
        <f t="shared" si="4"/>
        <v>0.56000000000000005</v>
      </c>
      <c r="I23" s="3">
        <f t="shared" si="4"/>
        <v>0.56000000000000005</v>
      </c>
      <c r="J23" s="3">
        <f t="shared" si="4"/>
        <v>0.56000000000000005</v>
      </c>
      <c r="K23" s="3">
        <f t="shared" si="4"/>
        <v>0.56000000000000005</v>
      </c>
      <c r="L23" s="3">
        <f t="shared" si="4"/>
        <v>0.56000000000000005</v>
      </c>
      <c r="M23" s="3">
        <f t="shared" si="4"/>
        <v>0.56000000000000005</v>
      </c>
      <c r="N23" s="3">
        <f t="shared" si="4"/>
        <v>0.56000000000000005</v>
      </c>
      <c r="O23" s="3">
        <f t="shared" si="4"/>
        <v>0.56000000000000005</v>
      </c>
      <c r="P23" s="3">
        <f t="shared" si="4"/>
        <v>0.56000000000000005</v>
      </c>
    </row>
    <row r="24" spans="1:16">
      <c r="A24" s="84" t="s">
        <v>122</v>
      </c>
      <c r="B24" s="85" t="s">
        <v>121</v>
      </c>
      <c r="C24" s="85" t="s">
        <v>110</v>
      </c>
      <c r="D24" s="84" t="s">
        <v>84</v>
      </c>
      <c r="E24" s="84">
        <f>VLOOKUP(A24,'2a. SI Pop'!$A$5:$E$198,5,FALSE)</f>
        <v>2</v>
      </c>
      <c r="F24" s="3">
        <f>SUMIFS(Input!$Q$5:$Q$44,Input!$O$5:$O$44,'6a. %FP-Routine'!E24,Input!$P$5:$P$44,"Routine")</f>
        <v>0.83</v>
      </c>
      <c r="G24" s="3">
        <f t="shared" si="4"/>
        <v>0.83</v>
      </c>
      <c r="H24" s="3">
        <f t="shared" si="4"/>
        <v>0.83</v>
      </c>
      <c r="I24" s="3">
        <f t="shared" si="4"/>
        <v>0.83</v>
      </c>
      <c r="J24" s="3">
        <f t="shared" si="4"/>
        <v>0.83</v>
      </c>
      <c r="K24" s="3">
        <f t="shared" si="4"/>
        <v>0.83</v>
      </c>
      <c r="L24" s="3">
        <f t="shared" si="4"/>
        <v>0.83</v>
      </c>
      <c r="M24" s="3">
        <f t="shared" si="4"/>
        <v>0.83</v>
      </c>
      <c r="N24" s="3">
        <f t="shared" si="4"/>
        <v>0.83</v>
      </c>
      <c r="O24" s="3">
        <f t="shared" si="4"/>
        <v>0.83</v>
      </c>
      <c r="P24" s="3">
        <f t="shared" si="4"/>
        <v>0.83</v>
      </c>
    </row>
    <row r="25" spans="1:16">
      <c r="A25" s="84" t="s">
        <v>124</v>
      </c>
      <c r="B25" s="85" t="s">
        <v>123</v>
      </c>
      <c r="C25" s="85" t="s">
        <v>92</v>
      </c>
      <c r="D25" s="84" t="s">
        <v>84</v>
      </c>
      <c r="E25" s="84">
        <f>VLOOKUP(A25,'2a. SI Pop'!$A$5:$E$198,5,FALSE)</f>
        <v>2</v>
      </c>
      <c r="F25" s="3">
        <f>SUMIFS(Input!$Q$5:$Q$44,Input!$O$5:$O$44,'6a. %FP-Routine'!E25,Input!$P$5:$P$44,"Routine")</f>
        <v>0.83</v>
      </c>
      <c r="G25" s="3">
        <f t="shared" si="4"/>
        <v>0.83</v>
      </c>
      <c r="H25" s="3">
        <f t="shared" si="4"/>
        <v>0.83</v>
      </c>
      <c r="I25" s="3">
        <f t="shared" si="4"/>
        <v>0.83</v>
      </c>
      <c r="J25" s="3">
        <f t="shared" si="4"/>
        <v>0.83</v>
      </c>
      <c r="K25" s="3">
        <f t="shared" si="4"/>
        <v>0.83</v>
      </c>
      <c r="L25" s="3">
        <f t="shared" si="4"/>
        <v>0.83</v>
      </c>
      <c r="M25" s="3">
        <f t="shared" si="4"/>
        <v>0.83</v>
      </c>
      <c r="N25" s="3">
        <f t="shared" si="4"/>
        <v>0.83</v>
      </c>
      <c r="O25" s="3">
        <f t="shared" si="4"/>
        <v>0.83</v>
      </c>
      <c r="P25" s="3">
        <f t="shared" si="4"/>
        <v>0.83</v>
      </c>
    </row>
    <row r="26" spans="1:16">
      <c r="A26" s="84" t="s">
        <v>126</v>
      </c>
      <c r="B26" s="85" t="s">
        <v>125</v>
      </c>
      <c r="C26" s="85" t="s">
        <v>79</v>
      </c>
      <c r="D26" s="84" t="s">
        <v>80</v>
      </c>
      <c r="E26" s="84">
        <f>VLOOKUP(A26,'2a. SI Pop'!$A$5:$E$198,5,FALSE)</f>
        <v>1</v>
      </c>
      <c r="F26" s="3">
        <f>SUMIFS(Input!$Q$5:$Q$44,Input!$O$5:$O$44,'6a. %FP-Routine'!E26,Input!$P$5:$P$44,"Routine")</f>
        <v>0.98</v>
      </c>
      <c r="G26" s="3">
        <f t="shared" si="4"/>
        <v>0.98</v>
      </c>
      <c r="H26" s="3">
        <f t="shared" si="4"/>
        <v>0.98</v>
      </c>
      <c r="I26" s="3">
        <f t="shared" si="4"/>
        <v>0.98</v>
      </c>
      <c r="J26" s="3">
        <f t="shared" si="4"/>
        <v>0.98</v>
      </c>
      <c r="K26" s="3">
        <f t="shared" si="4"/>
        <v>0.98</v>
      </c>
      <c r="L26" s="3">
        <f t="shared" si="4"/>
        <v>0.98</v>
      </c>
      <c r="M26" s="3">
        <f t="shared" si="4"/>
        <v>0.98</v>
      </c>
      <c r="N26" s="3">
        <f t="shared" si="4"/>
        <v>0.98</v>
      </c>
      <c r="O26" s="3">
        <f t="shared" si="4"/>
        <v>0.98</v>
      </c>
      <c r="P26" s="3">
        <f t="shared" si="4"/>
        <v>0.98</v>
      </c>
    </row>
    <row r="27" spans="1:16">
      <c r="A27" s="84" t="s">
        <v>128</v>
      </c>
      <c r="B27" s="85" t="s">
        <v>127</v>
      </c>
      <c r="C27" s="85" t="s">
        <v>83</v>
      </c>
      <c r="D27" s="84" t="s">
        <v>80</v>
      </c>
      <c r="E27" s="84">
        <f>VLOOKUP(A27,'2a. SI Pop'!$A$5:$E$198,5,FALSE)</f>
        <v>2</v>
      </c>
      <c r="F27" s="3">
        <f>SUMIFS(Input!$Q$5:$Q$44,Input!$O$5:$O$44,'6a. %FP-Routine'!E27,Input!$P$5:$P$44,"Routine")</f>
        <v>0.83</v>
      </c>
      <c r="G27" s="3">
        <f t="shared" si="4"/>
        <v>0.83</v>
      </c>
      <c r="H27" s="3">
        <f t="shared" si="4"/>
        <v>0.83</v>
      </c>
      <c r="I27" s="3">
        <f t="shared" si="4"/>
        <v>0.83</v>
      </c>
      <c r="J27" s="3">
        <f t="shared" si="4"/>
        <v>0.83</v>
      </c>
      <c r="K27" s="3">
        <f t="shared" si="4"/>
        <v>0.83</v>
      </c>
      <c r="L27" s="3">
        <f t="shared" si="4"/>
        <v>0.83</v>
      </c>
      <c r="M27" s="3">
        <f t="shared" si="4"/>
        <v>0.83</v>
      </c>
      <c r="N27" s="3">
        <f t="shared" si="4"/>
        <v>0.83</v>
      </c>
      <c r="O27" s="3">
        <f t="shared" si="4"/>
        <v>0.83</v>
      </c>
      <c r="P27" s="3">
        <f t="shared" si="4"/>
        <v>0.83</v>
      </c>
    </row>
    <row r="28" spans="1:16">
      <c r="A28" s="84" t="s">
        <v>130</v>
      </c>
      <c r="B28" s="85" t="s">
        <v>129</v>
      </c>
      <c r="C28" s="85" t="s">
        <v>92</v>
      </c>
      <c r="D28" s="84" t="s">
        <v>80</v>
      </c>
      <c r="E28" s="84" t="str">
        <f>VLOOKUP(A28,'2a. SI Pop'!$A$5:$E$198,5,FALSE)</f>
        <v>Key</v>
      </c>
      <c r="F28" s="3">
        <f>SUMIFS(Input!$Q$5:$Q$44,Input!$O$5:$O$44,'6a. %FP-Routine'!A28,Input!$P$5:$P$44,"Routine")</f>
        <v>0.83</v>
      </c>
      <c r="G28" s="3">
        <f t="shared" si="4"/>
        <v>0.83</v>
      </c>
      <c r="H28" s="3">
        <f t="shared" si="4"/>
        <v>0.83</v>
      </c>
      <c r="I28" s="3">
        <f t="shared" si="4"/>
        <v>0.83</v>
      </c>
      <c r="J28" s="3">
        <f t="shared" si="4"/>
        <v>0.83</v>
      </c>
      <c r="K28" s="3">
        <f t="shared" si="4"/>
        <v>0.83</v>
      </c>
      <c r="L28" s="3">
        <f t="shared" si="4"/>
        <v>0.83</v>
      </c>
      <c r="M28" s="3">
        <f t="shared" si="4"/>
        <v>0.83</v>
      </c>
      <c r="N28" s="3">
        <f t="shared" si="4"/>
        <v>0.83</v>
      </c>
      <c r="O28" s="3">
        <f t="shared" si="4"/>
        <v>0.83</v>
      </c>
      <c r="P28" s="3">
        <f t="shared" si="4"/>
        <v>0.83</v>
      </c>
    </row>
    <row r="29" spans="1:16">
      <c r="A29" s="84" t="s">
        <v>132</v>
      </c>
      <c r="B29" s="85" t="s">
        <v>131</v>
      </c>
      <c r="C29" s="85" t="s">
        <v>99</v>
      </c>
      <c r="D29" s="84" t="s">
        <v>87</v>
      </c>
      <c r="E29" s="84">
        <f>VLOOKUP(A29,'2a. SI Pop'!$A$5:$E$198,5,FALSE)</f>
        <v>1</v>
      </c>
      <c r="F29" s="3">
        <f>SUMIFS(Input!$Q$5:$Q$44,Input!$O$5:$O$44,'6a. %FP-Routine'!E29,Input!$P$5:$P$44,"Routine")</f>
        <v>0.98</v>
      </c>
      <c r="G29" s="3">
        <f t="shared" si="4"/>
        <v>0.98</v>
      </c>
      <c r="H29" s="3">
        <f t="shared" si="4"/>
        <v>0.98</v>
      </c>
      <c r="I29" s="3">
        <f t="shared" si="4"/>
        <v>0.98</v>
      </c>
      <c r="J29" s="3">
        <f t="shared" si="4"/>
        <v>0.98</v>
      </c>
      <c r="K29" s="3">
        <f t="shared" si="4"/>
        <v>0.98</v>
      </c>
      <c r="L29" s="3">
        <f t="shared" si="4"/>
        <v>0.98</v>
      </c>
      <c r="M29" s="3">
        <f t="shared" si="4"/>
        <v>0.98</v>
      </c>
      <c r="N29" s="3">
        <f t="shared" si="4"/>
        <v>0.98</v>
      </c>
      <c r="O29" s="3">
        <f t="shared" si="4"/>
        <v>0.98</v>
      </c>
      <c r="P29" s="3">
        <f t="shared" si="4"/>
        <v>0.98</v>
      </c>
    </row>
    <row r="30" spans="1:16">
      <c r="A30" s="84" t="s">
        <v>134</v>
      </c>
      <c r="B30" s="85" t="s">
        <v>133</v>
      </c>
      <c r="C30" s="85" t="s">
        <v>79</v>
      </c>
      <c r="D30" s="84" t="s">
        <v>80</v>
      </c>
      <c r="E30" s="84">
        <f>VLOOKUP(A30,'2a. SI Pop'!$A$5:$E$198,5,FALSE)</f>
        <v>1</v>
      </c>
      <c r="F30" s="3">
        <f>SUMIFS(Input!$Q$5:$Q$44,Input!$O$5:$O$44,'6a. %FP-Routine'!E30,Input!$P$5:$P$44,"Routine")</f>
        <v>0.98</v>
      </c>
      <c r="G30" s="3">
        <f t="shared" si="4"/>
        <v>0.98</v>
      </c>
      <c r="H30" s="3">
        <f t="shared" si="4"/>
        <v>0.98</v>
      </c>
      <c r="I30" s="3">
        <f t="shared" si="4"/>
        <v>0.98</v>
      </c>
      <c r="J30" s="3">
        <f t="shared" si="4"/>
        <v>0.98</v>
      </c>
      <c r="K30" s="3">
        <f t="shared" si="4"/>
        <v>0.98</v>
      </c>
      <c r="L30" s="3">
        <f t="shared" si="4"/>
        <v>0.98</v>
      </c>
      <c r="M30" s="3">
        <f t="shared" si="4"/>
        <v>0.98</v>
      </c>
      <c r="N30" s="3">
        <f t="shared" si="4"/>
        <v>0.98</v>
      </c>
      <c r="O30" s="3">
        <f t="shared" si="4"/>
        <v>0.98</v>
      </c>
      <c r="P30" s="3">
        <f t="shared" si="4"/>
        <v>0.98</v>
      </c>
    </row>
    <row r="31" spans="1:16">
      <c r="A31" s="84" t="s">
        <v>136</v>
      </c>
      <c r="B31" s="85" t="s">
        <v>135</v>
      </c>
      <c r="C31" s="85" t="s">
        <v>83</v>
      </c>
      <c r="D31" s="84" t="s">
        <v>75</v>
      </c>
      <c r="E31" s="84">
        <f>VLOOKUP(A31,'2a. SI Pop'!$A$5:$E$198,5,FALSE)</f>
        <v>3</v>
      </c>
      <c r="F31" s="3">
        <f>SUMIFS(Input!$Q$5:$Q$44,Input!$O$5:$O$44,'6a. %FP-Routine'!E31,Input!$P$5:$P$44,"Routine")</f>
        <v>0.56000000000000005</v>
      </c>
      <c r="G31" s="3">
        <f t="shared" si="4"/>
        <v>0.56000000000000005</v>
      </c>
      <c r="H31" s="3">
        <f t="shared" si="4"/>
        <v>0.56000000000000005</v>
      </c>
      <c r="I31" s="3">
        <f t="shared" si="4"/>
        <v>0.56000000000000005</v>
      </c>
      <c r="J31" s="3">
        <f t="shared" si="4"/>
        <v>0.56000000000000005</v>
      </c>
      <c r="K31" s="3">
        <f t="shared" si="4"/>
        <v>0.56000000000000005</v>
      </c>
      <c r="L31" s="3">
        <f t="shared" si="4"/>
        <v>0.56000000000000005</v>
      </c>
      <c r="M31" s="3">
        <f t="shared" si="4"/>
        <v>0.56000000000000005</v>
      </c>
      <c r="N31" s="3">
        <f t="shared" si="4"/>
        <v>0.56000000000000005</v>
      </c>
      <c r="O31" s="3">
        <f t="shared" si="4"/>
        <v>0.56000000000000005</v>
      </c>
      <c r="P31" s="3">
        <f t="shared" si="4"/>
        <v>0.56000000000000005</v>
      </c>
    </row>
    <row r="32" spans="1:16">
      <c r="A32" s="84" t="s">
        <v>138</v>
      </c>
      <c r="B32" s="85" t="s">
        <v>137</v>
      </c>
      <c r="C32" s="85" t="s">
        <v>83</v>
      </c>
      <c r="D32" s="84" t="s">
        <v>75</v>
      </c>
      <c r="E32" s="84">
        <f>VLOOKUP(A32,'2a. SI Pop'!$A$5:$E$198,5,FALSE)</f>
        <v>3</v>
      </c>
      <c r="F32" s="3">
        <f>SUMIFS(Input!$Q$5:$Q$44,Input!$O$5:$O$44,'6a. %FP-Routine'!E32,Input!$P$5:$P$44,"Routine")</f>
        <v>0.56000000000000005</v>
      </c>
      <c r="G32" s="3">
        <f t="shared" si="4"/>
        <v>0.56000000000000005</v>
      </c>
      <c r="H32" s="3">
        <f t="shared" si="4"/>
        <v>0.56000000000000005</v>
      </c>
      <c r="I32" s="3">
        <f t="shared" si="4"/>
        <v>0.56000000000000005</v>
      </c>
      <c r="J32" s="3">
        <f t="shared" si="4"/>
        <v>0.56000000000000005</v>
      </c>
      <c r="K32" s="3">
        <f t="shared" si="4"/>
        <v>0.56000000000000005</v>
      </c>
      <c r="L32" s="3">
        <f t="shared" si="4"/>
        <v>0.56000000000000005</v>
      </c>
      <c r="M32" s="3">
        <f t="shared" si="4"/>
        <v>0.56000000000000005</v>
      </c>
      <c r="N32" s="3">
        <f t="shared" si="4"/>
        <v>0.56000000000000005</v>
      </c>
      <c r="O32" s="3">
        <f t="shared" si="4"/>
        <v>0.56000000000000005</v>
      </c>
      <c r="P32" s="3">
        <f t="shared" si="4"/>
        <v>0.56000000000000005</v>
      </c>
    </row>
    <row r="33" spans="1:16">
      <c r="A33" s="84" t="s">
        <v>140</v>
      </c>
      <c r="B33" s="85" t="s">
        <v>139</v>
      </c>
      <c r="C33" s="85" t="s">
        <v>99</v>
      </c>
      <c r="D33" s="84" t="s">
        <v>84</v>
      </c>
      <c r="E33" s="84">
        <f>VLOOKUP(A33,'2a. SI Pop'!$A$5:$E$198,5,FALSE)</f>
        <v>4</v>
      </c>
      <c r="F33" s="3">
        <f>SUMIFS(Input!$Q$5:$Q$44,Input!$O$5:$O$44,'6a. %FP-Routine'!E33,Input!$P$5:$P$44,"Routine")</f>
        <v>0.56000000000000005</v>
      </c>
      <c r="G33" s="3">
        <f t="shared" si="4"/>
        <v>0.56000000000000005</v>
      </c>
      <c r="H33" s="3">
        <f t="shared" si="4"/>
        <v>0.56000000000000005</v>
      </c>
      <c r="I33" s="3">
        <f t="shared" si="4"/>
        <v>0.56000000000000005</v>
      </c>
      <c r="J33" s="3">
        <f t="shared" si="4"/>
        <v>0.56000000000000005</v>
      </c>
      <c r="K33" s="3">
        <f t="shared" si="4"/>
        <v>0.56000000000000005</v>
      </c>
      <c r="L33" s="3">
        <f t="shared" si="4"/>
        <v>0.56000000000000005</v>
      </c>
      <c r="M33" s="3">
        <f t="shared" si="4"/>
        <v>0.56000000000000005</v>
      </c>
      <c r="N33" s="3">
        <f t="shared" si="4"/>
        <v>0.56000000000000005</v>
      </c>
      <c r="O33" s="3">
        <f t="shared" si="4"/>
        <v>0.56000000000000005</v>
      </c>
      <c r="P33" s="3">
        <f t="shared" si="4"/>
        <v>0.56000000000000005</v>
      </c>
    </row>
    <row r="34" spans="1:16">
      <c r="A34" s="84" t="s">
        <v>142</v>
      </c>
      <c r="B34" s="85" t="s">
        <v>141</v>
      </c>
      <c r="C34" s="85" t="s">
        <v>83</v>
      </c>
      <c r="D34" s="84" t="s">
        <v>84</v>
      </c>
      <c r="E34" s="84">
        <f>VLOOKUP(A34,'2a. SI Pop'!$A$5:$E$198,5,FALSE)</f>
        <v>3</v>
      </c>
      <c r="F34" s="3">
        <f>SUMIFS(Input!$Q$5:$Q$44,Input!$O$5:$O$44,'6a. %FP-Routine'!E34,Input!$P$5:$P$44,"Routine")</f>
        <v>0.56000000000000005</v>
      </c>
      <c r="G34" s="3">
        <f t="shared" si="4"/>
        <v>0.56000000000000005</v>
      </c>
      <c r="H34" s="3">
        <f t="shared" si="4"/>
        <v>0.56000000000000005</v>
      </c>
      <c r="I34" s="3">
        <f t="shared" si="4"/>
        <v>0.56000000000000005</v>
      </c>
      <c r="J34" s="3">
        <f t="shared" si="4"/>
        <v>0.56000000000000005</v>
      </c>
      <c r="K34" s="3">
        <f t="shared" si="4"/>
        <v>0.56000000000000005</v>
      </c>
      <c r="L34" s="3">
        <f t="shared" si="4"/>
        <v>0.56000000000000005</v>
      </c>
      <c r="M34" s="3">
        <f t="shared" si="4"/>
        <v>0.56000000000000005</v>
      </c>
      <c r="N34" s="3">
        <f t="shared" si="4"/>
        <v>0.56000000000000005</v>
      </c>
      <c r="O34" s="3">
        <f t="shared" si="4"/>
        <v>0.56000000000000005</v>
      </c>
      <c r="P34" s="3">
        <f t="shared" si="4"/>
        <v>0.56000000000000005</v>
      </c>
    </row>
    <row r="35" spans="1:16">
      <c r="A35" s="84" t="s">
        <v>144</v>
      </c>
      <c r="B35" s="85" t="s">
        <v>143</v>
      </c>
      <c r="C35" s="85" t="s">
        <v>92</v>
      </c>
      <c r="D35" s="84" t="s">
        <v>87</v>
      </c>
      <c r="E35" s="84">
        <f>VLOOKUP(A35,'2a. SI Pop'!$A$5:$E$198,5,FALSE)</f>
        <v>1</v>
      </c>
      <c r="F35" s="3">
        <f>SUMIFS(Input!$Q$5:$Q$44,Input!$O$5:$O$44,'6a. %FP-Routine'!E35,Input!$P$5:$P$44,"Routine")</f>
        <v>0.98</v>
      </c>
      <c r="G35" s="3">
        <f t="shared" si="4"/>
        <v>0.98</v>
      </c>
      <c r="H35" s="3">
        <f t="shared" si="4"/>
        <v>0.98</v>
      </c>
      <c r="I35" s="3">
        <f t="shared" si="4"/>
        <v>0.98</v>
      </c>
      <c r="J35" s="3">
        <f t="shared" si="4"/>
        <v>0.98</v>
      </c>
      <c r="K35" s="3">
        <f t="shared" si="4"/>
        <v>0.98</v>
      </c>
      <c r="L35" s="3">
        <f t="shared" si="4"/>
        <v>0.98</v>
      </c>
      <c r="M35" s="3">
        <f t="shared" si="4"/>
        <v>0.98</v>
      </c>
      <c r="N35" s="3">
        <f t="shared" si="4"/>
        <v>0.98</v>
      </c>
      <c r="O35" s="3">
        <f t="shared" si="4"/>
        <v>0.98</v>
      </c>
      <c r="P35" s="3">
        <f t="shared" si="4"/>
        <v>0.98</v>
      </c>
    </row>
    <row r="36" spans="1:16">
      <c r="A36" s="84" t="s">
        <v>146</v>
      </c>
      <c r="B36" s="85" t="s">
        <v>145</v>
      </c>
      <c r="C36" s="85" t="s">
        <v>83</v>
      </c>
      <c r="D36" s="84" t="s">
        <v>84</v>
      </c>
      <c r="E36" s="84">
        <f>VLOOKUP(A36,'2a. SI Pop'!$A$5:$E$198,5,FALSE)</f>
        <v>2</v>
      </c>
      <c r="F36" s="3">
        <f>SUMIFS(Input!$Q$5:$Q$44,Input!$O$5:$O$44,'6a. %FP-Routine'!E36,Input!$P$5:$P$44,"Routine")</f>
        <v>0.83</v>
      </c>
      <c r="G36" s="3">
        <f t="shared" si="4"/>
        <v>0.83</v>
      </c>
      <c r="H36" s="3">
        <f t="shared" si="4"/>
        <v>0.83</v>
      </c>
      <c r="I36" s="3">
        <f t="shared" si="4"/>
        <v>0.83</v>
      </c>
      <c r="J36" s="3">
        <f t="shared" si="4"/>
        <v>0.83</v>
      </c>
      <c r="K36" s="3">
        <f t="shared" si="4"/>
        <v>0.83</v>
      </c>
      <c r="L36" s="3">
        <f t="shared" si="4"/>
        <v>0.83</v>
      </c>
      <c r="M36" s="3">
        <f t="shared" si="4"/>
        <v>0.83</v>
      </c>
      <c r="N36" s="3">
        <f t="shared" si="4"/>
        <v>0.83</v>
      </c>
      <c r="O36" s="3">
        <f t="shared" si="4"/>
        <v>0.83</v>
      </c>
      <c r="P36" s="3">
        <f t="shared" si="4"/>
        <v>0.83</v>
      </c>
    </row>
    <row r="37" spans="1:16">
      <c r="A37" s="84" t="s">
        <v>148</v>
      </c>
      <c r="B37" s="85" t="s">
        <v>147</v>
      </c>
      <c r="C37" s="85" t="s">
        <v>83</v>
      </c>
      <c r="D37" s="84" t="s">
        <v>75</v>
      </c>
      <c r="E37" s="84">
        <f>VLOOKUP(A37,'2a. SI Pop'!$A$5:$E$198,5,FALSE)</f>
        <v>3</v>
      </c>
      <c r="F37" s="3">
        <f>SUMIFS(Input!$Q$5:$Q$44,Input!$O$5:$O$44,'6a. %FP-Routine'!E37,Input!$P$5:$P$44,"Routine")</f>
        <v>0.56000000000000005</v>
      </c>
      <c r="G37" s="3">
        <f t="shared" si="4"/>
        <v>0.56000000000000005</v>
      </c>
      <c r="H37" s="3">
        <f t="shared" si="4"/>
        <v>0.56000000000000005</v>
      </c>
      <c r="I37" s="3">
        <f t="shared" si="4"/>
        <v>0.56000000000000005</v>
      </c>
      <c r="J37" s="3">
        <f t="shared" si="4"/>
        <v>0.56000000000000005</v>
      </c>
      <c r="K37" s="3">
        <f t="shared" si="4"/>
        <v>0.56000000000000005</v>
      </c>
      <c r="L37" s="3">
        <f t="shared" si="4"/>
        <v>0.56000000000000005</v>
      </c>
      <c r="M37" s="3">
        <f t="shared" si="4"/>
        <v>0.56000000000000005</v>
      </c>
      <c r="N37" s="3">
        <f t="shared" si="4"/>
        <v>0.56000000000000005</v>
      </c>
      <c r="O37" s="3">
        <f t="shared" si="4"/>
        <v>0.56000000000000005</v>
      </c>
      <c r="P37" s="3">
        <f t="shared" si="4"/>
        <v>0.56000000000000005</v>
      </c>
    </row>
    <row r="38" spans="1:16">
      <c r="A38" s="84" t="s">
        <v>150</v>
      </c>
      <c r="B38" s="85" t="s">
        <v>149</v>
      </c>
      <c r="C38" s="85" t="s">
        <v>83</v>
      </c>
      <c r="D38" s="84" t="s">
        <v>75</v>
      </c>
      <c r="E38" s="84" t="str">
        <f>VLOOKUP(A38,'2a. SI Pop'!$A$5:$E$198,5,FALSE)</f>
        <v>Key</v>
      </c>
      <c r="F38" s="3">
        <f>SUMIFS(Input!$Q$5:$Q$44,Input!$O$5:$O$44,'6a. %FP-Routine'!A38,Input!$P$5:$P$44,"Routine")</f>
        <v>0.78</v>
      </c>
      <c r="G38" s="3">
        <f t="shared" ref="G38:P53" si="5">F38</f>
        <v>0.78</v>
      </c>
      <c r="H38" s="3">
        <f t="shared" si="5"/>
        <v>0.78</v>
      </c>
      <c r="I38" s="3">
        <f t="shared" si="5"/>
        <v>0.78</v>
      </c>
      <c r="J38" s="3">
        <f t="shared" si="5"/>
        <v>0.78</v>
      </c>
      <c r="K38" s="3">
        <f t="shared" si="5"/>
        <v>0.78</v>
      </c>
      <c r="L38" s="3">
        <f t="shared" si="5"/>
        <v>0.78</v>
      </c>
      <c r="M38" s="3">
        <f t="shared" si="5"/>
        <v>0.78</v>
      </c>
      <c r="N38" s="3">
        <f t="shared" si="5"/>
        <v>0.78</v>
      </c>
      <c r="O38" s="3">
        <f t="shared" si="5"/>
        <v>0.78</v>
      </c>
      <c r="P38" s="3">
        <f t="shared" si="5"/>
        <v>0.78</v>
      </c>
    </row>
    <row r="39" spans="1:16">
      <c r="A39" s="84" t="s">
        <v>152</v>
      </c>
      <c r="B39" s="85" t="s">
        <v>151</v>
      </c>
      <c r="C39" s="85" t="s">
        <v>92</v>
      </c>
      <c r="D39" s="84" t="s">
        <v>87</v>
      </c>
      <c r="E39" s="84">
        <f>VLOOKUP(A39,'2a. SI Pop'!$A$5:$E$198,5,FALSE)</f>
        <v>2</v>
      </c>
      <c r="F39" s="3">
        <f>SUMIFS(Input!$Q$5:$Q$44,Input!$O$5:$O$44,'6a. %FP-Routine'!E39,Input!$P$5:$P$44,"Routine")</f>
        <v>0.83</v>
      </c>
      <c r="G39" s="3">
        <f t="shared" si="5"/>
        <v>0.83</v>
      </c>
      <c r="H39" s="3">
        <f t="shared" si="5"/>
        <v>0.83</v>
      </c>
      <c r="I39" s="3">
        <f t="shared" si="5"/>
        <v>0.83</v>
      </c>
      <c r="J39" s="3">
        <f t="shared" si="5"/>
        <v>0.83</v>
      </c>
      <c r="K39" s="3">
        <f t="shared" si="5"/>
        <v>0.83</v>
      </c>
      <c r="L39" s="3">
        <f t="shared" si="5"/>
        <v>0.83</v>
      </c>
      <c r="M39" s="3">
        <f t="shared" si="5"/>
        <v>0.83</v>
      </c>
      <c r="N39" s="3">
        <f t="shared" si="5"/>
        <v>0.83</v>
      </c>
      <c r="O39" s="3">
        <f t="shared" si="5"/>
        <v>0.83</v>
      </c>
      <c r="P39" s="3">
        <f t="shared" si="5"/>
        <v>0.83</v>
      </c>
    </row>
    <row r="40" spans="1:16">
      <c r="A40" s="84" t="s">
        <v>154</v>
      </c>
      <c r="B40" s="85" t="s">
        <v>153</v>
      </c>
      <c r="C40" s="85" t="s">
        <v>99</v>
      </c>
      <c r="D40" s="84" t="s">
        <v>80</v>
      </c>
      <c r="E40" s="84">
        <f>VLOOKUP(A40,'2a. SI Pop'!$A$5:$E$198,5,FALSE)</f>
        <v>1</v>
      </c>
      <c r="F40" s="3">
        <f>SUMIFS(Input!$Q$5:$Q$44,Input!$O$5:$O$44,'6a. %FP-Routine'!E40,Input!$P$5:$P$44,"Routine")</f>
        <v>0.98</v>
      </c>
      <c r="G40" s="3">
        <f t="shared" si="5"/>
        <v>0.98</v>
      </c>
      <c r="H40" s="3">
        <f t="shared" si="5"/>
        <v>0.98</v>
      </c>
      <c r="I40" s="3">
        <f t="shared" si="5"/>
        <v>0.98</v>
      </c>
      <c r="J40" s="3">
        <f t="shared" si="5"/>
        <v>0.98</v>
      </c>
      <c r="K40" s="3">
        <f t="shared" si="5"/>
        <v>0.98</v>
      </c>
      <c r="L40" s="3">
        <f t="shared" si="5"/>
        <v>0.98</v>
      </c>
      <c r="M40" s="3">
        <f t="shared" si="5"/>
        <v>0.98</v>
      </c>
      <c r="N40" s="3">
        <f t="shared" si="5"/>
        <v>0.98</v>
      </c>
      <c r="O40" s="3">
        <f t="shared" si="5"/>
        <v>0.98</v>
      </c>
      <c r="P40" s="3">
        <f t="shared" si="5"/>
        <v>0.98</v>
      </c>
    </row>
    <row r="41" spans="1:16">
      <c r="A41" s="84" t="s">
        <v>156</v>
      </c>
      <c r="B41" s="85" t="s">
        <v>155</v>
      </c>
      <c r="C41" s="85" t="s">
        <v>92</v>
      </c>
      <c r="D41" s="84" t="s">
        <v>80</v>
      </c>
      <c r="E41" s="84">
        <f>VLOOKUP(A41,'2a. SI Pop'!$A$5:$E$198,5,FALSE)</f>
        <v>2</v>
      </c>
      <c r="F41" s="3">
        <f>SUMIFS(Input!$Q$5:$Q$44,Input!$O$5:$O$44,'6a. %FP-Routine'!E41,Input!$P$5:$P$44,"Routine")</f>
        <v>0.83</v>
      </c>
      <c r="G41" s="3">
        <f t="shared" si="5"/>
        <v>0.83</v>
      </c>
      <c r="H41" s="3">
        <f t="shared" si="5"/>
        <v>0.83</v>
      </c>
      <c r="I41" s="3">
        <f t="shared" si="5"/>
        <v>0.83</v>
      </c>
      <c r="J41" s="3">
        <f t="shared" si="5"/>
        <v>0.83</v>
      </c>
      <c r="K41" s="3">
        <f t="shared" si="5"/>
        <v>0.83</v>
      </c>
      <c r="L41" s="3">
        <f t="shared" si="5"/>
        <v>0.83</v>
      </c>
      <c r="M41" s="3">
        <f t="shared" si="5"/>
        <v>0.83</v>
      </c>
      <c r="N41" s="3">
        <f t="shared" si="5"/>
        <v>0.83</v>
      </c>
      <c r="O41" s="3">
        <f t="shared" si="5"/>
        <v>0.83</v>
      </c>
      <c r="P41" s="3">
        <f t="shared" si="5"/>
        <v>0.83</v>
      </c>
    </row>
    <row r="42" spans="1:16">
      <c r="A42" s="84" t="s">
        <v>158</v>
      </c>
      <c r="B42" s="85" t="s">
        <v>157</v>
      </c>
      <c r="C42" s="85" t="s">
        <v>83</v>
      </c>
      <c r="D42" s="84" t="s">
        <v>84</v>
      </c>
      <c r="E42" s="84">
        <f>VLOOKUP(A42,'2a. SI Pop'!$A$5:$E$198,5,FALSE)</f>
        <v>3</v>
      </c>
      <c r="F42" s="3">
        <f>SUMIFS(Input!$Q$5:$Q$44,Input!$O$5:$O$44,'6a. %FP-Routine'!E42,Input!$P$5:$P$44,"Routine")</f>
        <v>0.56000000000000005</v>
      </c>
      <c r="G42" s="3">
        <f t="shared" si="5"/>
        <v>0.56000000000000005</v>
      </c>
      <c r="H42" s="3">
        <f t="shared" si="5"/>
        <v>0.56000000000000005</v>
      </c>
      <c r="I42" s="3">
        <f t="shared" si="5"/>
        <v>0.56000000000000005</v>
      </c>
      <c r="J42" s="3">
        <f t="shared" si="5"/>
        <v>0.56000000000000005</v>
      </c>
      <c r="K42" s="3">
        <f t="shared" si="5"/>
        <v>0.56000000000000005</v>
      </c>
      <c r="L42" s="3">
        <f t="shared" si="5"/>
        <v>0.56000000000000005</v>
      </c>
      <c r="M42" s="3">
        <f t="shared" si="5"/>
        <v>0.56000000000000005</v>
      </c>
      <c r="N42" s="3">
        <f t="shared" si="5"/>
        <v>0.56000000000000005</v>
      </c>
      <c r="O42" s="3">
        <f t="shared" si="5"/>
        <v>0.56000000000000005</v>
      </c>
      <c r="P42" s="3">
        <f t="shared" si="5"/>
        <v>0.56000000000000005</v>
      </c>
    </row>
    <row r="43" spans="1:16">
      <c r="A43" s="84" t="s">
        <v>160</v>
      </c>
      <c r="B43" s="85" t="s">
        <v>159</v>
      </c>
      <c r="C43" s="85" t="s">
        <v>83</v>
      </c>
      <c r="D43" s="84" t="s">
        <v>84</v>
      </c>
      <c r="E43" s="84">
        <f>VLOOKUP(A43,'2a. SI Pop'!$A$5:$E$198,5,FALSE)</f>
        <v>3</v>
      </c>
      <c r="F43" s="3">
        <f>SUMIFS(Input!$Q$5:$Q$44,Input!$O$5:$O$44,'6a. %FP-Routine'!E43,Input!$P$5:$P$44,"Routine")</f>
        <v>0.56000000000000005</v>
      </c>
      <c r="G43" s="3">
        <f t="shared" si="5"/>
        <v>0.56000000000000005</v>
      </c>
      <c r="H43" s="3">
        <f t="shared" si="5"/>
        <v>0.56000000000000005</v>
      </c>
      <c r="I43" s="3">
        <f t="shared" si="5"/>
        <v>0.56000000000000005</v>
      </c>
      <c r="J43" s="3">
        <f t="shared" si="5"/>
        <v>0.56000000000000005</v>
      </c>
      <c r="K43" s="3">
        <f t="shared" si="5"/>
        <v>0.56000000000000005</v>
      </c>
      <c r="L43" s="3">
        <f t="shared" si="5"/>
        <v>0.56000000000000005</v>
      </c>
      <c r="M43" s="3">
        <f t="shared" si="5"/>
        <v>0.56000000000000005</v>
      </c>
      <c r="N43" s="3">
        <f t="shared" si="5"/>
        <v>0.56000000000000005</v>
      </c>
      <c r="O43" s="3">
        <f t="shared" si="5"/>
        <v>0.56000000000000005</v>
      </c>
      <c r="P43" s="3">
        <f t="shared" si="5"/>
        <v>0.56000000000000005</v>
      </c>
    </row>
    <row r="44" spans="1:16">
      <c r="A44" s="84" t="s">
        <v>162</v>
      </c>
      <c r="B44" s="85" t="s">
        <v>161</v>
      </c>
      <c r="C44" s="85" t="s">
        <v>99</v>
      </c>
      <c r="D44" s="84" t="e">
        <v>#N/A</v>
      </c>
      <c r="E44" s="84">
        <f>VLOOKUP(A44,'2a. SI Pop'!$A$5:$E$198,5,FALSE)</f>
        <v>1</v>
      </c>
      <c r="F44" s="3">
        <f>SUMIFS(Input!$Q$5:$Q$44,Input!$O$5:$O$44,'6a. %FP-Routine'!#REF!,Input!$P$5:$P$44,"Routine")</f>
        <v>0</v>
      </c>
      <c r="G44" s="3">
        <f t="shared" si="5"/>
        <v>0</v>
      </c>
      <c r="H44" s="3">
        <f t="shared" si="5"/>
        <v>0</v>
      </c>
      <c r="I44" s="3">
        <f t="shared" si="5"/>
        <v>0</v>
      </c>
      <c r="J44" s="3">
        <f t="shared" si="5"/>
        <v>0</v>
      </c>
      <c r="K44" s="3">
        <f t="shared" si="5"/>
        <v>0</v>
      </c>
      <c r="L44" s="3">
        <f t="shared" si="5"/>
        <v>0</v>
      </c>
      <c r="M44" s="3">
        <f t="shared" si="5"/>
        <v>0</v>
      </c>
      <c r="N44" s="3">
        <f t="shared" si="5"/>
        <v>0</v>
      </c>
      <c r="O44" s="3">
        <f t="shared" si="5"/>
        <v>0</v>
      </c>
      <c r="P44" s="3">
        <f t="shared" si="5"/>
        <v>0</v>
      </c>
    </row>
    <row r="45" spans="1:16">
      <c r="A45" s="84" t="s">
        <v>164</v>
      </c>
      <c r="B45" s="85" t="s">
        <v>163</v>
      </c>
      <c r="C45" s="85" t="s">
        <v>92</v>
      </c>
      <c r="D45" s="84" t="s">
        <v>80</v>
      </c>
      <c r="E45" s="84">
        <f>VLOOKUP(A45,'2a. SI Pop'!$A$5:$E$198,5,FALSE)</f>
        <v>2</v>
      </c>
      <c r="F45" s="3">
        <f>SUMIFS(Input!$Q$5:$Q$44,Input!$O$5:$O$44,'6a. %FP-Routine'!E45,Input!$P$5:$P$44,"Routine")</f>
        <v>0.83</v>
      </c>
      <c r="G45" s="3">
        <f t="shared" si="5"/>
        <v>0.83</v>
      </c>
      <c r="H45" s="3">
        <f t="shared" si="5"/>
        <v>0.83</v>
      </c>
      <c r="I45" s="3">
        <f t="shared" si="5"/>
        <v>0.83</v>
      </c>
      <c r="J45" s="3">
        <f t="shared" si="5"/>
        <v>0.83</v>
      </c>
      <c r="K45" s="3">
        <f t="shared" si="5"/>
        <v>0.83</v>
      </c>
      <c r="L45" s="3">
        <f t="shared" si="5"/>
        <v>0.83</v>
      </c>
      <c r="M45" s="3">
        <f t="shared" si="5"/>
        <v>0.83</v>
      </c>
      <c r="N45" s="3">
        <f t="shared" si="5"/>
        <v>0.83</v>
      </c>
      <c r="O45" s="3">
        <f t="shared" si="5"/>
        <v>0.83</v>
      </c>
      <c r="P45" s="3">
        <f t="shared" si="5"/>
        <v>0.83</v>
      </c>
    </row>
    <row r="46" spans="1:16">
      <c r="A46" s="84" t="s">
        <v>166</v>
      </c>
      <c r="B46" s="85" t="s">
        <v>165</v>
      </c>
      <c r="C46" s="85" t="s">
        <v>83</v>
      </c>
      <c r="D46" s="84" t="s">
        <v>84</v>
      </c>
      <c r="E46" s="84">
        <f>VLOOKUP(A46,'2a. SI Pop'!$A$5:$E$198,5,FALSE)</f>
        <v>3</v>
      </c>
      <c r="F46" s="3">
        <f>SUMIFS(Input!$Q$5:$Q$44,Input!$O$5:$O$44,'6a. %FP-Routine'!E46,Input!$P$5:$P$44,"Routine")</f>
        <v>0.56000000000000005</v>
      </c>
      <c r="G46" s="3">
        <f t="shared" si="5"/>
        <v>0.56000000000000005</v>
      </c>
      <c r="H46" s="3">
        <f t="shared" si="5"/>
        <v>0.56000000000000005</v>
      </c>
      <c r="I46" s="3">
        <f t="shared" si="5"/>
        <v>0.56000000000000005</v>
      </c>
      <c r="J46" s="3">
        <f t="shared" si="5"/>
        <v>0.56000000000000005</v>
      </c>
      <c r="K46" s="3">
        <f t="shared" si="5"/>
        <v>0.56000000000000005</v>
      </c>
      <c r="L46" s="3">
        <f t="shared" si="5"/>
        <v>0.56000000000000005</v>
      </c>
      <c r="M46" s="3">
        <f t="shared" si="5"/>
        <v>0.56000000000000005</v>
      </c>
      <c r="N46" s="3">
        <f t="shared" si="5"/>
        <v>0.56000000000000005</v>
      </c>
      <c r="O46" s="3">
        <f t="shared" si="5"/>
        <v>0.56000000000000005</v>
      </c>
      <c r="P46" s="3">
        <f t="shared" si="5"/>
        <v>0.56000000000000005</v>
      </c>
    </row>
    <row r="47" spans="1:16">
      <c r="A47" s="84" t="s">
        <v>168</v>
      </c>
      <c r="B47" s="85" t="s">
        <v>167</v>
      </c>
      <c r="C47" s="85" t="s">
        <v>79</v>
      </c>
      <c r="D47" s="84" t="s">
        <v>87</v>
      </c>
      <c r="E47" s="84">
        <f>VLOOKUP(A47,'2a. SI Pop'!$A$5:$E$198,5,FALSE)</f>
        <v>1</v>
      </c>
      <c r="F47" s="3">
        <f>SUMIFS(Input!$Q$5:$Q$44,Input!$O$5:$O$44,'6a. %FP-Routine'!E47,Input!$P$5:$P$44,"Routine")</f>
        <v>0.98</v>
      </c>
      <c r="G47" s="3">
        <f t="shared" si="5"/>
        <v>0.98</v>
      </c>
      <c r="H47" s="3">
        <f t="shared" si="5"/>
        <v>0.98</v>
      </c>
      <c r="I47" s="3">
        <f t="shared" si="5"/>
        <v>0.98</v>
      </c>
      <c r="J47" s="3">
        <f t="shared" si="5"/>
        <v>0.98</v>
      </c>
      <c r="K47" s="3">
        <f t="shared" si="5"/>
        <v>0.98</v>
      </c>
      <c r="L47" s="3">
        <f t="shared" si="5"/>
        <v>0.98</v>
      </c>
      <c r="M47" s="3">
        <f t="shared" si="5"/>
        <v>0.98</v>
      </c>
      <c r="N47" s="3">
        <f t="shared" si="5"/>
        <v>0.98</v>
      </c>
      <c r="O47" s="3">
        <f t="shared" si="5"/>
        <v>0.98</v>
      </c>
      <c r="P47" s="3">
        <f t="shared" si="5"/>
        <v>0.98</v>
      </c>
    </row>
    <row r="48" spans="1:16">
      <c r="A48" s="84" t="s">
        <v>170</v>
      </c>
      <c r="B48" s="85" t="s">
        <v>169</v>
      </c>
      <c r="C48" s="85" t="s">
        <v>92</v>
      </c>
      <c r="D48" s="84" t="s">
        <v>80</v>
      </c>
      <c r="E48" s="84">
        <f>VLOOKUP(A48,'2a. SI Pop'!$A$5:$E$198,5,FALSE)</f>
        <v>1</v>
      </c>
      <c r="F48" s="3">
        <f>SUMIFS(Input!$Q$5:$Q$44,Input!$O$5:$O$44,'6a. %FP-Routine'!E48,Input!$P$5:$P$44,"Routine")</f>
        <v>0.98</v>
      </c>
      <c r="G48" s="3">
        <f t="shared" si="5"/>
        <v>0.98</v>
      </c>
      <c r="H48" s="3">
        <f t="shared" si="5"/>
        <v>0.98</v>
      </c>
      <c r="I48" s="3">
        <f t="shared" si="5"/>
        <v>0.98</v>
      </c>
      <c r="J48" s="3">
        <f t="shared" si="5"/>
        <v>0.98</v>
      </c>
      <c r="K48" s="3">
        <f t="shared" si="5"/>
        <v>0.98</v>
      </c>
      <c r="L48" s="3">
        <f t="shared" si="5"/>
        <v>0.98</v>
      </c>
      <c r="M48" s="3">
        <f t="shared" si="5"/>
        <v>0.98</v>
      </c>
      <c r="N48" s="3">
        <f t="shared" si="5"/>
        <v>0.98</v>
      </c>
      <c r="O48" s="3">
        <f t="shared" si="5"/>
        <v>0.98</v>
      </c>
      <c r="P48" s="3">
        <f t="shared" si="5"/>
        <v>0.98</v>
      </c>
    </row>
    <row r="49" spans="1:16">
      <c r="A49" s="84" t="s">
        <v>172</v>
      </c>
      <c r="B49" s="85" t="s">
        <v>171</v>
      </c>
      <c r="C49" s="85" t="s">
        <v>79</v>
      </c>
      <c r="D49" s="84" t="s">
        <v>87</v>
      </c>
      <c r="E49" s="84">
        <f>VLOOKUP(A49,'2a. SI Pop'!$A$5:$E$198,5,FALSE)</f>
        <v>1</v>
      </c>
      <c r="F49" s="3">
        <f>SUMIFS(Input!$Q$5:$Q$44,Input!$O$5:$O$44,'6a. %FP-Routine'!E49,Input!$P$5:$P$44,"Routine")</f>
        <v>0.98</v>
      </c>
      <c r="G49" s="3">
        <f t="shared" si="5"/>
        <v>0.98</v>
      </c>
      <c r="H49" s="3">
        <f t="shared" si="5"/>
        <v>0.98</v>
      </c>
      <c r="I49" s="3">
        <f t="shared" si="5"/>
        <v>0.98</v>
      </c>
      <c r="J49" s="3">
        <f t="shared" si="5"/>
        <v>0.98</v>
      </c>
      <c r="K49" s="3">
        <f t="shared" si="5"/>
        <v>0.98</v>
      </c>
      <c r="L49" s="3">
        <f t="shared" si="5"/>
        <v>0.98</v>
      </c>
      <c r="M49" s="3">
        <f t="shared" si="5"/>
        <v>0.98</v>
      </c>
      <c r="N49" s="3">
        <f t="shared" si="5"/>
        <v>0.98</v>
      </c>
      <c r="O49" s="3">
        <f t="shared" si="5"/>
        <v>0.98</v>
      </c>
      <c r="P49" s="3">
        <f t="shared" si="5"/>
        <v>0.98</v>
      </c>
    </row>
    <row r="50" spans="1:16">
      <c r="A50" s="84" t="s">
        <v>174</v>
      </c>
      <c r="B50" s="85" t="s">
        <v>173</v>
      </c>
      <c r="C50" s="85" t="s">
        <v>79</v>
      </c>
      <c r="D50" s="84" t="s">
        <v>87</v>
      </c>
      <c r="E50" s="84">
        <f>VLOOKUP(A50,'2a. SI Pop'!$A$5:$E$198,5,FALSE)</f>
        <v>1</v>
      </c>
      <c r="F50" s="3">
        <f>SUMIFS(Input!$Q$5:$Q$44,Input!$O$5:$O$44,'6a. %FP-Routine'!E50,Input!$P$5:$P$44,"Routine")</f>
        <v>0.98</v>
      </c>
      <c r="G50" s="3">
        <f t="shared" si="5"/>
        <v>0.98</v>
      </c>
      <c r="H50" s="3">
        <f t="shared" si="5"/>
        <v>0.98</v>
      </c>
      <c r="I50" s="3">
        <f t="shared" si="5"/>
        <v>0.98</v>
      </c>
      <c r="J50" s="3">
        <f t="shared" si="5"/>
        <v>0.98</v>
      </c>
      <c r="K50" s="3">
        <f t="shared" si="5"/>
        <v>0.98</v>
      </c>
      <c r="L50" s="3">
        <f t="shared" si="5"/>
        <v>0.98</v>
      </c>
      <c r="M50" s="3">
        <f t="shared" si="5"/>
        <v>0.98</v>
      </c>
      <c r="N50" s="3">
        <f t="shared" si="5"/>
        <v>0.98</v>
      </c>
      <c r="O50" s="3">
        <f t="shared" si="5"/>
        <v>0.98</v>
      </c>
      <c r="P50" s="3">
        <f t="shared" si="5"/>
        <v>0.98</v>
      </c>
    </row>
    <row r="51" spans="1:16">
      <c r="A51" s="84" t="s">
        <v>176</v>
      </c>
      <c r="B51" s="85" t="s">
        <v>175</v>
      </c>
      <c r="C51" s="85" t="s">
        <v>110</v>
      </c>
      <c r="D51" s="84" t="s">
        <v>75</v>
      </c>
      <c r="E51" s="84">
        <f>VLOOKUP(A51,'2a. SI Pop'!$A$5:$E$198,5,FALSE)</f>
        <v>4</v>
      </c>
      <c r="F51" s="3">
        <f>SUMIFS(Input!$Q$5:$Q$44,Input!$O$5:$O$44,'6a. %FP-Routine'!E51,Input!$P$5:$P$44,"Routine")</f>
        <v>0.56000000000000005</v>
      </c>
      <c r="G51" s="3">
        <f t="shared" si="5"/>
        <v>0.56000000000000005</v>
      </c>
      <c r="H51" s="3">
        <f t="shared" si="5"/>
        <v>0.56000000000000005</v>
      </c>
      <c r="I51" s="3">
        <f t="shared" si="5"/>
        <v>0.56000000000000005</v>
      </c>
      <c r="J51" s="3">
        <f t="shared" si="5"/>
        <v>0.56000000000000005</v>
      </c>
      <c r="K51" s="3">
        <f t="shared" si="5"/>
        <v>0.56000000000000005</v>
      </c>
      <c r="L51" s="3">
        <f t="shared" si="5"/>
        <v>0.56000000000000005</v>
      </c>
      <c r="M51" s="3">
        <f t="shared" si="5"/>
        <v>0.56000000000000005</v>
      </c>
      <c r="N51" s="3">
        <f t="shared" si="5"/>
        <v>0.56000000000000005</v>
      </c>
      <c r="O51" s="3">
        <f t="shared" si="5"/>
        <v>0.56000000000000005</v>
      </c>
      <c r="P51" s="3">
        <f t="shared" si="5"/>
        <v>0.56000000000000005</v>
      </c>
    </row>
    <row r="52" spans="1:16">
      <c r="A52" s="84" t="s">
        <v>178</v>
      </c>
      <c r="B52" s="85" t="s">
        <v>177</v>
      </c>
      <c r="C52" s="85" t="s">
        <v>83</v>
      </c>
      <c r="D52" s="84" t="s">
        <v>75</v>
      </c>
      <c r="E52" s="84" t="str">
        <f>VLOOKUP(A52,'2a. SI Pop'!$A$5:$E$198,5,FALSE)</f>
        <v>Key</v>
      </c>
      <c r="F52" s="3">
        <f>SUMIFS(Input!$Q$5:$Q$44,Input!$O$5:$O$44,'6a. %FP-Routine'!A52,Input!$P$5:$P$44,"Routine")</f>
        <v>0.77</v>
      </c>
      <c r="G52" s="3">
        <f t="shared" si="5"/>
        <v>0.77</v>
      </c>
      <c r="H52" s="3">
        <f t="shared" si="5"/>
        <v>0.77</v>
      </c>
      <c r="I52" s="3">
        <f t="shared" si="5"/>
        <v>0.77</v>
      </c>
      <c r="J52" s="3">
        <f t="shared" si="5"/>
        <v>0.77</v>
      </c>
      <c r="K52" s="3">
        <f t="shared" si="5"/>
        <v>0.77</v>
      </c>
      <c r="L52" s="3">
        <f t="shared" si="5"/>
        <v>0.77</v>
      </c>
      <c r="M52" s="3">
        <f t="shared" si="5"/>
        <v>0.77</v>
      </c>
      <c r="N52" s="3">
        <f t="shared" si="5"/>
        <v>0.77</v>
      </c>
      <c r="O52" s="3">
        <f t="shared" si="5"/>
        <v>0.77</v>
      </c>
      <c r="P52" s="3">
        <f t="shared" si="5"/>
        <v>0.77</v>
      </c>
    </row>
    <row r="53" spans="1:16">
      <c r="A53" s="84" t="s">
        <v>180</v>
      </c>
      <c r="B53" s="85" t="s">
        <v>179</v>
      </c>
      <c r="C53" s="85" t="s">
        <v>79</v>
      </c>
      <c r="D53" s="84" t="s">
        <v>87</v>
      </c>
      <c r="E53" s="84">
        <f>VLOOKUP(A53,'2a. SI Pop'!$A$5:$E$198,5,FALSE)</f>
        <v>1</v>
      </c>
      <c r="F53" s="3">
        <f>SUMIFS(Input!$Q$5:$Q$44,Input!$O$5:$O$44,'6a. %FP-Routine'!E53,Input!$P$5:$P$44,"Routine")</f>
        <v>0.98</v>
      </c>
      <c r="G53" s="3">
        <f t="shared" si="5"/>
        <v>0.98</v>
      </c>
      <c r="H53" s="3">
        <f t="shared" si="5"/>
        <v>0.98</v>
      </c>
      <c r="I53" s="3">
        <f t="shared" si="5"/>
        <v>0.98</v>
      </c>
      <c r="J53" s="3">
        <f t="shared" si="5"/>
        <v>0.98</v>
      </c>
      <c r="K53" s="3">
        <f t="shared" si="5"/>
        <v>0.98</v>
      </c>
      <c r="L53" s="3">
        <f t="shared" si="5"/>
        <v>0.98</v>
      </c>
      <c r="M53" s="3">
        <f t="shared" si="5"/>
        <v>0.98</v>
      </c>
      <c r="N53" s="3">
        <f t="shared" si="5"/>
        <v>0.98</v>
      </c>
      <c r="O53" s="3">
        <f t="shared" si="5"/>
        <v>0.98</v>
      </c>
      <c r="P53" s="3">
        <f t="shared" si="5"/>
        <v>0.98</v>
      </c>
    </row>
    <row r="54" spans="1:16">
      <c r="A54" s="84" t="s">
        <v>182</v>
      </c>
      <c r="B54" s="85" t="s">
        <v>181</v>
      </c>
      <c r="C54" s="85" t="s">
        <v>74</v>
      </c>
      <c r="D54" s="84" t="s">
        <v>84</v>
      </c>
      <c r="E54" s="84">
        <f>VLOOKUP(A54,'2a. SI Pop'!$A$5:$E$198,5,FALSE)</f>
        <v>3</v>
      </c>
      <c r="F54" s="3">
        <f>SUMIFS(Input!$Q$5:$Q$44,Input!$O$5:$O$44,'6a. %FP-Routine'!E54,Input!$P$5:$P$44,"Routine")</f>
        <v>0.56000000000000005</v>
      </c>
      <c r="G54" s="3">
        <f t="shared" ref="G54:P69" si="6">F54</f>
        <v>0.56000000000000005</v>
      </c>
      <c r="H54" s="3">
        <f t="shared" si="6"/>
        <v>0.56000000000000005</v>
      </c>
      <c r="I54" s="3">
        <f t="shared" si="6"/>
        <v>0.56000000000000005</v>
      </c>
      <c r="J54" s="3">
        <f t="shared" si="6"/>
        <v>0.56000000000000005</v>
      </c>
      <c r="K54" s="3">
        <f t="shared" si="6"/>
        <v>0.56000000000000005</v>
      </c>
      <c r="L54" s="3">
        <f t="shared" si="6"/>
        <v>0.56000000000000005</v>
      </c>
      <c r="M54" s="3">
        <f t="shared" si="6"/>
        <v>0.56000000000000005</v>
      </c>
      <c r="N54" s="3">
        <f t="shared" si="6"/>
        <v>0.56000000000000005</v>
      </c>
      <c r="O54" s="3">
        <f t="shared" si="6"/>
        <v>0.56000000000000005</v>
      </c>
      <c r="P54" s="3">
        <f t="shared" si="6"/>
        <v>0.56000000000000005</v>
      </c>
    </row>
    <row r="55" spans="1:16">
      <c r="A55" s="84" t="s">
        <v>184</v>
      </c>
      <c r="B55" s="85" t="s">
        <v>183</v>
      </c>
      <c r="C55" s="85" t="s">
        <v>92</v>
      </c>
      <c r="D55" s="84" t="s">
        <v>80</v>
      </c>
      <c r="E55" s="84">
        <f>VLOOKUP(A55,'2a. SI Pop'!$A$5:$E$198,5,FALSE)</f>
        <v>2</v>
      </c>
      <c r="F55" s="3">
        <f>SUMIFS(Input!$Q$5:$Q$44,Input!$O$5:$O$44,'6a. %FP-Routine'!E55,Input!$P$5:$P$44,"Routine")</f>
        <v>0.83</v>
      </c>
      <c r="G55" s="3">
        <f t="shared" si="6"/>
        <v>0.83</v>
      </c>
      <c r="H55" s="3">
        <f t="shared" si="6"/>
        <v>0.83</v>
      </c>
      <c r="I55" s="3">
        <f t="shared" si="6"/>
        <v>0.83</v>
      </c>
      <c r="J55" s="3">
        <f t="shared" si="6"/>
        <v>0.83</v>
      </c>
      <c r="K55" s="3">
        <f t="shared" si="6"/>
        <v>0.83</v>
      </c>
      <c r="L55" s="3">
        <f t="shared" si="6"/>
        <v>0.83</v>
      </c>
      <c r="M55" s="3">
        <f t="shared" si="6"/>
        <v>0.83</v>
      </c>
      <c r="N55" s="3">
        <f t="shared" si="6"/>
        <v>0.83</v>
      </c>
      <c r="O55" s="3">
        <f t="shared" si="6"/>
        <v>0.83</v>
      </c>
      <c r="P55" s="3">
        <f t="shared" si="6"/>
        <v>0.83</v>
      </c>
    </row>
    <row r="56" spans="1:16">
      <c r="A56" s="84" t="s">
        <v>184</v>
      </c>
      <c r="B56" s="85" t="s">
        <v>185</v>
      </c>
      <c r="C56" s="85" t="s">
        <v>92</v>
      </c>
      <c r="D56" s="84" t="s">
        <v>80</v>
      </c>
      <c r="E56" s="84">
        <f>VLOOKUP(A56,'2a. SI Pop'!$A$5:$E$198,5,FALSE)</f>
        <v>2</v>
      </c>
      <c r="F56" s="3">
        <f>SUMIFS(Input!$Q$5:$Q$44,Input!$O$5:$O$44,'6a. %FP-Routine'!E56,Input!$P$5:$P$44,"Routine")</f>
        <v>0.83</v>
      </c>
      <c r="G56" s="3">
        <f t="shared" si="6"/>
        <v>0.83</v>
      </c>
      <c r="H56" s="3">
        <f t="shared" si="6"/>
        <v>0.83</v>
      </c>
      <c r="I56" s="3">
        <f t="shared" si="6"/>
        <v>0.83</v>
      </c>
      <c r="J56" s="3">
        <f t="shared" si="6"/>
        <v>0.83</v>
      </c>
      <c r="K56" s="3">
        <f t="shared" si="6"/>
        <v>0.83</v>
      </c>
      <c r="L56" s="3">
        <f t="shared" si="6"/>
        <v>0.83</v>
      </c>
      <c r="M56" s="3">
        <f t="shared" si="6"/>
        <v>0.83</v>
      </c>
      <c r="N56" s="3">
        <f t="shared" si="6"/>
        <v>0.83</v>
      </c>
      <c r="O56" s="3">
        <f t="shared" si="6"/>
        <v>0.83</v>
      </c>
      <c r="P56" s="3">
        <f t="shared" si="6"/>
        <v>0.83</v>
      </c>
    </row>
    <row r="57" spans="1:16">
      <c r="A57" s="84" t="s">
        <v>187</v>
      </c>
      <c r="B57" s="85" t="s">
        <v>186</v>
      </c>
      <c r="C57" s="85" t="s">
        <v>92</v>
      </c>
      <c r="D57" s="84" t="s">
        <v>80</v>
      </c>
      <c r="E57" s="84">
        <f>VLOOKUP(A57,'2a. SI Pop'!$A$5:$E$198,5,FALSE)</f>
        <v>2</v>
      </c>
      <c r="F57" s="3">
        <f>SUMIFS(Input!$Q$5:$Q$44,Input!$O$5:$O$44,'6a. %FP-Routine'!E57,Input!$P$5:$P$44,"Routine")</f>
        <v>0.83</v>
      </c>
      <c r="G57" s="3">
        <f t="shared" si="6"/>
        <v>0.83</v>
      </c>
      <c r="H57" s="3">
        <f t="shared" si="6"/>
        <v>0.83</v>
      </c>
      <c r="I57" s="3">
        <f t="shared" si="6"/>
        <v>0.83</v>
      </c>
      <c r="J57" s="3">
        <f t="shared" si="6"/>
        <v>0.83</v>
      </c>
      <c r="K57" s="3">
        <f t="shared" si="6"/>
        <v>0.83</v>
      </c>
      <c r="L57" s="3">
        <f t="shared" si="6"/>
        <v>0.83</v>
      </c>
      <c r="M57" s="3">
        <f t="shared" si="6"/>
        <v>0.83</v>
      </c>
      <c r="N57" s="3">
        <f t="shared" si="6"/>
        <v>0.83</v>
      </c>
      <c r="O57" s="3">
        <f t="shared" si="6"/>
        <v>0.83</v>
      </c>
      <c r="P57" s="3">
        <f t="shared" si="6"/>
        <v>0.83</v>
      </c>
    </row>
    <row r="58" spans="1:16">
      <c r="A58" s="84" t="s">
        <v>189</v>
      </c>
      <c r="B58" s="85" t="s">
        <v>188</v>
      </c>
      <c r="C58" s="85" t="s">
        <v>74</v>
      </c>
      <c r="D58" s="84" t="s">
        <v>84</v>
      </c>
      <c r="E58" s="84">
        <f>VLOOKUP(A58,'2a. SI Pop'!$A$5:$E$198,5,FALSE)</f>
        <v>2</v>
      </c>
      <c r="F58" s="3">
        <f>SUMIFS(Input!$Q$5:$Q$44,Input!$O$5:$O$44,'6a. %FP-Routine'!E58,Input!$P$5:$P$44,"Routine")</f>
        <v>0.83</v>
      </c>
      <c r="G58" s="3">
        <f t="shared" si="6"/>
        <v>0.83</v>
      </c>
      <c r="H58" s="3">
        <f t="shared" si="6"/>
        <v>0.83</v>
      </c>
      <c r="I58" s="3">
        <f t="shared" si="6"/>
        <v>0.83</v>
      </c>
      <c r="J58" s="3">
        <f t="shared" si="6"/>
        <v>0.83</v>
      </c>
      <c r="K58" s="3">
        <f t="shared" si="6"/>
        <v>0.83</v>
      </c>
      <c r="L58" s="3">
        <f t="shared" si="6"/>
        <v>0.83</v>
      </c>
      <c r="M58" s="3">
        <f t="shared" si="6"/>
        <v>0.83</v>
      </c>
      <c r="N58" s="3">
        <f t="shared" si="6"/>
        <v>0.83</v>
      </c>
      <c r="O58" s="3">
        <f t="shared" si="6"/>
        <v>0.83</v>
      </c>
      <c r="P58" s="3">
        <f t="shared" si="6"/>
        <v>0.83</v>
      </c>
    </row>
    <row r="59" spans="1:16">
      <c r="A59" s="84" t="s">
        <v>191</v>
      </c>
      <c r="B59" s="85" t="s">
        <v>190</v>
      </c>
      <c r="C59" s="85" t="s">
        <v>92</v>
      </c>
      <c r="D59" s="84" t="s">
        <v>84</v>
      </c>
      <c r="E59" s="84">
        <f>VLOOKUP(A59,'2a. SI Pop'!$A$5:$E$198,5,FALSE)</f>
        <v>1</v>
      </c>
      <c r="F59" s="3">
        <f>SUMIFS(Input!$Q$5:$Q$44,Input!$O$5:$O$44,'6a. %FP-Routine'!E59,Input!$P$5:$P$44,"Routine")</f>
        <v>0.98</v>
      </c>
      <c r="G59" s="3">
        <f t="shared" si="6"/>
        <v>0.98</v>
      </c>
      <c r="H59" s="3">
        <f t="shared" si="6"/>
        <v>0.98</v>
      </c>
      <c r="I59" s="3">
        <f t="shared" si="6"/>
        <v>0.98</v>
      </c>
      <c r="J59" s="3">
        <f t="shared" si="6"/>
        <v>0.98</v>
      </c>
      <c r="K59" s="3">
        <f t="shared" si="6"/>
        <v>0.98</v>
      </c>
      <c r="L59" s="3">
        <f t="shared" si="6"/>
        <v>0.98</v>
      </c>
      <c r="M59" s="3">
        <f t="shared" si="6"/>
        <v>0.98</v>
      </c>
      <c r="N59" s="3">
        <f t="shared" si="6"/>
        <v>0.98</v>
      </c>
      <c r="O59" s="3">
        <f t="shared" si="6"/>
        <v>0.98</v>
      </c>
      <c r="P59" s="3">
        <f t="shared" si="6"/>
        <v>0.98</v>
      </c>
    </row>
    <row r="60" spans="1:16">
      <c r="A60" s="84" t="s">
        <v>193</v>
      </c>
      <c r="B60" s="85" t="s">
        <v>192</v>
      </c>
      <c r="C60" s="85" t="s">
        <v>83</v>
      </c>
      <c r="D60" s="84" t="s">
        <v>80</v>
      </c>
      <c r="E60" s="84">
        <f>VLOOKUP(A60,'2a. SI Pop'!$A$5:$E$198,5,FALSE)</f>
        <v>3</v>
      </c>
      <c r="F60" s="3">
        <f>SUMIFS(Input!$Q$5:$Q$44,Input!$O$5:$O$44,'6a. %FP-Routine'!E60,Input!$P$5:$P$44,"Routine")</f>
        <v>0.56000000000000005</v>
      </c>
      <c r="G60" s="3">
        <f t="shared" si="6"/>
        <v>0.56000000000000005</v>
      </c>
      <c r="H60" s="3">
        <f t="shared" si="6"/>
        <v>0.56000000000000005</v>
      </c>
      <c r="I60" s="3">
        <f t="shared" si="6"/>
        <v>0.56000000000000005</v>
      </c>
      <c r="J60" s="3">
        <f t="shared" si="6"/>
        <v>0.56000000000000005</v>
      </c>
      <c r="K60" s="3">
        <f t="shared" si="6"/>
        <v>0.56000000000000005</v>
      </c>
      <c r="L60" s="3">
        <f t="shared" si="6"/>
        <v>0.56000000000000005</v>
      </c>
      <c r="M60" s="3">
        <f t="shared" si="6"/>
        <v>0.56000000000000005</v>
      </c>
      <c r="N60" s="3">
        <f t="shared" si="6"/>
        <v>0.56000000000000005</v>
      </c>
      <c r="O60" s="3">
        <f t="shared" si="6"/>
        <v>0.56000000000000005</v>
      </c>
      <c r="P60" s="3">
        <f t="shared" si="6"/>
        <v>0.56000000000000005</v>
      </c>
    </row>
    <row r="61" spans="1:16">
      <c r="A61" s="84" t="s">
        <v>195</v>
      </c>
      <c r="B61" s="85" t="s">
        <v>194</v>
      </c>
      <c r="C61" s="85" t="s">
        <v>83</v>
      </c>
      <c r="D61" s="84" t="s">
        <v>75</v>
      </c>
      <c r="E61" s="84">
        <f>VLOOKUP(A61,'2a. SI Pop'!$A$5:$E$198,5,FALSE)</f>
        <v>3</v>
      </c>
      <c r="F61" s="3">
        <f>SUMIFS(Input!$Q$5:$Q$44,Input!$O$5:$O$44,'6a. %FP-Routine'!E61,Input!$P$5:$P$44,"Routine")</f>
        <v>0.56000000000000005</v>
      </c>
      <c r="G61" s="3">
        <f t="shared" si="6"/>
        <v>0.56000000000000005</v>
      </c>
      <c r="H61" s="3">
        <f t="shared" si="6"/>
        <v>0.56000000000000005</v>
      </c>
      <c r="I61" s="3">
        <f t="shared" si="6"/>
        <v>0.56000000000000005</v>
      </c>
      <c r="J61" s="3">
        <f t="shared" si="6"/>
        <v>0.56000000000000005</v>
      </c>
      <c r="K61" s="3">
        <f t="shared" si="6"/>
        <v>0.56000000000000005</v>
      </c>
      <c r="L61" s="3">
        <f t="shared" si="6"/>
        <v>0.56000000000000005</v>
      </c>
      <c r="M61" s="3">
        <f t="shared" si="6"/>
        <v>0.56000000000000005</v>
      </c>
      <c r="N61" s="3">
        <f t="shared" si="6"/>
        <v>0.56000000000000005</v>
      </c>
      <c r="O61" s="3">
        <f t="shared" si="6"/>
        <v>0.56000000000000005</v>
      </c>
      <c r="P61" s="3">
        <f t="shared" si="6"/>
        <v>0.56000000000000005</v>
      </c>
    </row>
    <row r="62" spans="1:16">
      <c r="A62" s="84" t="s">
        <v>197</v>
      </c>
      <c r="B62" s="85" t="s">
        <v>196</v>
      </c>
      <c r="C62" s="85" t="s">
        <v>79</v>
      </c>
      <c r="D62" s="84" t="s">
        <v>87</v>
      </c>
      <c r="E62" s="84">
        <f>VLOOKUP(A62,'2a. SI Pop'!$A$5:$E$198,5,FALSE)</f>
        <v>1</v>
      </c>
      <c r="F62" s="3">
        <f>SUMIFS(Input!$Q$5:$Q$44,Input!$O$5:$O$44,'6a. %FP-Routine'!E62,Input!$P$5:$P$44,"Routine")</f>
        <v>0.98</v>
      </c>
      <c r="G62" s="3">
        <f t="shared" si="6"/>
        <v>0.98</v>
      </c>
      <c r="H62" s="3">
        <f t="shared" si="6"/>
        <v>0.98</v>
      </c>
      <c r="I62" s="3">
        <f t="shared" si="6"/>
        <v>0.98</v>
      </c>
      <c r="J62" s="3">
        <f t="shared" si="6"/>
        <v>0.98</v>
      </c>
      <c r="K62" s="3">
        <f t="shared" si="6"/>
        <v>0.98</v>
      </c>
      <c r="L62" s="3">
        <f t="shared" si="6"/>
        <v>0.98</v>
      </c>
      <c r="M62" s="3">
        <f t="shared" si="6"/>
        <v>0.98</v>
      </c>
      <c r="N62" s="3">
        <f t="shared" si="6"/>
        <v>0.98</v>
      </c>
      <c r="O62" s="3">
        <f t="shared" si="6"/>
        <v>0.98</v>
      </c>
      <c r="P62" s="3">
        <f t="shared" si="6"/>
        <v>0.98</v>
      </c>
    </row>
    <row r="63" spans="1:16">
      <c r="A63" s="84" t="s">
        <v>199</v>
      </c>
      <c r="B63" s="85" t="s">
        <v>198</v>
      </c>
      <c r="C63" s="85" t="s">
        <v>83</v>
      </c>
      <c r="D63" s="84" t="s">
        <v>75</v>
      </c>
      <c r="E63" s="84" t="str">
        <f>VLOOKUP(A63,'2a. SI Pop'!$A$5:$E$198,5,FALSE)</f>
        <v>Key</v>
      </c>
      <c r="F63" s="3">
        <f>SUMIFS(Input!$Q$5:$Q$44,Input!$O$5:$O$44,'6a. %FP-Routine'!A63,Input!$P$5:$P$44,"Routine")</f>
        <v>0.6</v>
      </c>
      <c r="G63" s="3">
        <f t="shared" si="6"/>
        <v>0.6</v>
      </c>
      <c r="H63" s="3">
        <f t="shared" si="6"/>
        <v>0.6</v>
      </c>
      <c r="I63" s="3">
        <f t="shared" si="6"/>
        <v>0.6</v>
      </c>
      <c r="J63" s="3">
        <f t="shared" si="6"/>
        <v>0.6</v>
      </c>
      <c r="K63" s="3">
        <f t="shared" si="6"/>
        <v>0.6</v>
      </c>
      <c r="L63" s="3">
        <f t="shared" si="6"/>
        <v>0.6</v>
      </c>
      <c r="M63" s="3">
        <f t="shared" si="6"/>
        <v>0.6</v>
      </c>
      <c r="N63" s="3">
        <f t="shared" si="6"/>
        <v>0.6</v>
      </c>
      <c r="O63" s="3">
        <f t="shared" si="6"/>
        <v>0.6</v>
      </c>
      <c r="P63" s="3">
        <f t="shared" si="6"/>
        <v>0.6</v>
      </c>
    </row>
    <row r="64" spans="1:16">
      <c r="A64" s="84" t="s">
        <v>201</v>
      </c>
      <c r="B64" s="85" t="s">
        <v>200</v>
      </c>
      <c r="C64" s="85" t="s">
        <v>99</v>
      </c>
      <c r="D64" s="84" t="s">
        <v>80</v>
      </c>
      <c r="E64" s="84">
        <f>VLOOKUP(A64,'2a. SI Pop'!$A$5:$E$198,5,FALSE)</f>
        <v>4</v>
      </c>
      <c r="F64" s="3">
        <f>SUMIFS(Input!$Q$5:$Q$44,Input!$O$5:$O$44,'6a. %FP-Routine'!E64,Input!$P$5:$P$44,"Routine")</f>
        <v>0.56000000000000005</v>
      </c>
      <c r="G64" s="3">
        <f t="shared" si="6"/>
        <v>0.56000000000000005</v>
      </c>
      <c r="H64" s="3">
        <f t="shared" si="6"/>
        <v>0.56000000000000005</v>
      </c>
      <c r="I64" s="3">
        <f t="shared" si="6"/>
        <v>0.56000000000000005</v>
      </c>
      <c r="J64" s="3">
        <f t="shared" si="6"/>
        <v>0.56000000000000005</v>
      </c>
      <c r="K64" s="3">
        <f t="shared" si="6"/>
        <v>0.56000000000000005</v>
      </c>
      <c r="L64" s="3">
        <f t="shared" si="6"/>
        <v>0.56000000000000005</v>
      </c>
      <c r="M64" s="3">
        <f t="shared" si="6"/>
        <v>0.56000000000000005</v>
      </c>
      <c r="N64" s="3">
        <f t="shared" si="6"/>
        <v>0.56000000000000005</v>
      </c>
      <c r="O64" s="3">
        <f t="shared" si="6"/>
        <v>0.56000000000000005</v>
      </c>
      <c r="P64" s="3">
        <f t="shared" si="6"/>
        <v>0.56000000000000005</v>
      </c>
    </row>
    <row r="65" spans="1:16">
      <c r="A65" s="84" t="s">
        <v>203</v>
      </c>
      <c r="B65" s="85" t="s">
        <v>202</v>
      </c>
      <c r="C65" s="85" t="s">
        <v>79</v>
      </c>
      <c r="D65" s="84" t="s">
        <v>87</v>
      </c>
      <c r="E65" s="84">
        <f>VLOOKUP(A65,'2a. SI Pop'!$A$5:$E$198,5,FALSE)</f>
        <v>1</v>
      </c>
      <c r="F65" s="3">
        <f>SUMIFS(Input!$Q$5:$Q$44,Input!$O$5:$O$44,'6a. %FP-Routine'!E65,Input!$P$5:$P$44,"Routine")</f>
        <v>0.98</v>
      </c>
      <c r="G65" s="3">
        <f t="shared" si="6"/>
        <v>0.98</v>
      </c>
      <c r="H65" s="3">
        <f t="shared" si="6"/>
        <v>0.98</v>
      </c>
      <c r="I65" s="3">
        <f t="shared" si="6"/>
        <v>0.98</v>
      </c>
      <c r="J65" s="3">
        <f t="shared" si="6"/>
        <v>0.98</v>
      </c>
      <c r="K65" s="3">
        <f t="shared" si="6"/>
        <v>0.98</v>
      </c>
      <c r="L65" s="3">
        <f t="shared" si="6"/>
        <v>0.98</v>
      </c>
      <c r="M65" s="3">
        <f t="shared" si="6"/>
        <v>0.98</v>
      </c>
      <c r="N65" s="3">
        <f t="shared" si="6"/>
        <v>0.98</v>
      </c>
      <c r="O65" s="3">
        <f t="shared" si="6"/>
        <v>0.98</v>
      </c>
      <c r="P65" s="3">
        <f t="shared" si="6"/>
        <v>0.98</v>
      </c>
    </row>
    <row r="66" spans="1:16">
      <c r="A66" s="84" t="s">
        <v>205</v>
      </c>
      <c r="B66" s="85" t="s">
        <v>204</v>
      </c>
      <c r="C66" s="85" t="s">
        <v>79</v>
      </c>
      <c r="D66" s="84" t="s">
        <v>87</v>
      </c>
      <c r="E66" s="84">
        <f>VLOOKUP(A66,'2a. SI Pop'!$A$5:$E$198,5,FALSE)</f>
        <v>1</v>
      </c>
      <c r="F66" s="3">
        <f>SUMIFS(Input!$Q$5:$Q$44,Input!$O$5:$O$44,'6a. %FP-Routine'!E66,Input!$P$5:$P$44,"Routine")</f>
        <v>0.98</v>
      </c>
      <c r="G66" s="3">
        <f t="shared" si="6"/>
        <v>0.98</v>
      </c>
      <c r="H66" s="3">
        <f t="shared" si="6"/>
        <v>0.98</v>
      </c>
      <c r="I66" s="3">
        <f t="shared" si="6"/>
        <v>0.98</v>
      </c>
      <c r="J66" s="3">
        <f t="shared" si="6"/>
        <v>0.98</v>
      </c>
      <c r="K66" s="3">
        <f t="shared" si="6"/>
        <v>0.98</v>
      </c>
      <c r="L66" s="3">
        <f t="shared" si="6"/>
        <v>0.98</v>
      </c>
      <c r="M66" s="3">
        <f t="shared" si="6"/>
        <v>0.98</v>
      </c>
      <c r="N66" s="3">
        <f t="shared" si="6"/>
        <v>0.98</v>
      </c>
      <c r="O66" s="3">
        <f t="shared" si="6"/>
        <v>0.98</v>
      </c>
      <c r="P66" s="3">
        <f t="shared" si="6"/>
        <v>0.98</v>
      </c>
    </row>
    <row r="67" spans="1:16">
      <c r="A67" s="84" t="s">
        <v>207</v>
      </c>
      <c r="B67" s="85" t="s">
        <v>206</v>
      </c>
      <c r="C67" s="85" t="s">
        <v>83</v>
      </c>
      <c r="D67" s="84" t="s">
        <v>80</v>
      </c>
      <c r="E67" s="84">
        <f>VLOOKUP(A67,'2a. SI Pop'!$A$5:$E$198,5,FALSE)</f>
        <v>3</v>
      </c>
      <c r="F67" s="3">
        <f>SUMIFS(Input!$Q$5:$Q$44,Input!$O$5:$O$44,'6a. %FP-Routine'!E67,Input!$P$5:$P$44,"Routine")</f>
        <v>0.56000000000000005</v>
      </c>
      <c r="G67" s="3">
        <f t="shared" si="6"/>
        <v>0.56000000000000005</v>
      </c>
      <c r="H67" s="3">
        <f t="shared" si="6"/>
        <v>0.56000000000000005</v>
      </c>
      <c r="I67" s="3">
        <f t="shared" si="6"/>
        <v>0.56000000000000005</v>
      </c>
      <c r="J67" s="3">
        <f t="shared" si="6"/>
        <v>0.56000000000000005</v>
      </c>
      <c r="K67" s="3">
        <f t="shared" si="6"/>
        <v>0.56000000000000005</v>
      </c>
      <c r="L67" s="3">
        <f t="shared" si="6"/>
        <v>0.56000000000000005</v>
      </c>
      <c r="M67" s="3">
        <f t="shared" si="6"/>
        <v>0.56000000000000005</v>
      </c>
      <c r="N67" s="3">
        <f t="shared" si="6"/>
        <v>0.56000000000000005</v>
      </c>
      <c r="O67" s="3">
        <f t="shared" si="6"/>
        <v>0.56000000000000005</v>
      </c>
      <c r="P67" s="3">
        <f t="shared" si="6"/>
        <v>0.56000000000000005</v>
      </c>
    </row>
    <row r="68" spans="1:16">
      <c r="A68" s="84" t="s">
        <v>209</v>
      </c>
      <c r="B68" s="85" t="s">
        <v>208</v>
      </c>
      <c r="C68" s="85" t="s">
        <v>83</v>
      </c>
      <c r="D68" s="84" t="s">
        <v>75</v>
      </c>
      <c r="E68" s="84">
        <f>VLOOKUP(A68,'2a. SI Pop'!$A$5:$E$198,5,FALSE)</f>
        <v>3</v>
      </c>
      <c r="F68" s="3">
        <f>SUMIFS(Input!$Q$5:$Q$44,Input!$O$5:$O$44,'6a. %FP-Routine'!E68,Input!$P$5:$P$44,"Routine")</f>
        <v>0.56000000000000005</v>
      </c>
      <c r="G68" s="3">
        <f t="shared" si="6"/>
        <v>0.56000000000000005</v>
      </c>
      <c r="H68" s="3">
        <f t="shared" si="6"/>
        <v>0.56000000000000005</v>
      </c>
      <c r="I68" s="3">
        <f t="shared" si="6"/>
        <v>0.56000000000000005</v>
      </c>
      <c r="J68" s="3">
        <f t="shared" si="6"/>
        <v>0.56000000000000005</v>
      </c>
      <c r="K68" s="3">
        <f t="shared" si="6"/>
        <v>0.56000000000000005</v>
      </c>
      <c r="L68" s="3">
        <f t="shared" si="6"/>
        <v>0.56000000000000005</v>
      </c>
      <c r="M68" s="3">
        <f t="shared" si="6"/>
        <v>0.56000000000000005</v>
      </c>
      <c r="N68" s="3">
        <f t="shared" si="6"/>
        <v>0.56000000000000005</v>
      </c>
      <c r="O68" s="3">
        <f t="shared" si="6"/>
        <v>0.56000000000000005</v>
      </c>
      <c r="P68" s="3">
        <f t="shared" si="6"/>
        <v>0.56000000000000005</v>
      </c>
    </row>
    <row r="69" spans="1:16">
      <c r="A69" s="84" t="s">
        <v>211</v>
      </c>
      <c r="B69" s="85" t="s">
        <v>210</v>
      </c>
      <c r="C69" s="85" t="s">
        <v>79</v>
      </c>
      <c r="D69" s="84" t="s">
        <v>80</v>
      </c>
      <c r="E69" s="84">
        <f>VLOOKUP(A69,'2a. SI Pop'!$A$5:$E$198,5,FALSE)</f>
        <v>1</v>
      </c>
      <c r="F69" s="3">
        <f>SUMIFS(Input!$Q$5:$Q$44,Input!$O$5:$O$44,'6a. %FP-Routine'!E69,Input!$P$5:$P$44,"Routine")</f>
        <v>0.98</v>
      </c>
      <c r="G69" s="3">
        <f t="shared" si="6"/>
        <v>0.98</v>
      </c>
      <c r="H69" s="3">
        <f t="shared" si="6"/>
        <v>0.98</v>
      </c>
      <c r="I69" s="3">
        <f t="shared" si="6"/>
        <v>0.98</v>
      </c>
      <c r="J69" s="3">
        <f t="shared" si="6"/>
        <v>0.98</v>
      </c>
      <c r="K69" s="3">
        <f t="shared" si="6"/>
        <v>0.98</v>
      </c>
      <c r="L69" s="3">
        <f t="shared" si="6"/>
        <v>0.98</v>
      </c>
      <c r="M69" s="3">
        <f t="shared" si="6"/>
        <v>0.98</v>
      </c>
      <c r="N69" s="3">
        <f t="shared" si="6"/>
        <v>0.98</v>
      </c>
      <c r="O69" s="3">
        <f t="shared" si="6"/>
        <v>0.98</v>
      </c>
      <c r="P69" s="3">
        <f t="shared" si="6"/>
        <v>0.98</v>
      </c>
    </row>
    <row r="70" spans="1:16">
      <c r="A70" s="84" t="s">
        <v>213</v>
      </c>
      <c r="B70" s="85" t="s">
        <v>212</v>
      </c>
      <c r="C70" s="85" t="s">
        <v>79</v>
      </c>
      <c r="D70" s="84" t="s">
        <v>87</v>
      </c>
      <c r="E70" s="84">
        <f>VLOOKUP(A70,'2a. SI Pop'!$A$5:$E$198,5,FALSE)</f>
        <v>1</v>
      </c>
      <c r="F70" s="3">
        <f>SUMIFS(Input!$Q$5:$Q$44,Input!$O$5:$O$44,'6a. %FP-Routine'!E70,Input!$P$5:$P$44,"Routine")</f>
        <v>0.98</v>
      </c>
      <c r="G70" s="3">
        <f t="shared" ref="G70:P85" si="7">F70</f>
        <v>0.98</v>
      </c>
      <c r="H70" s="3">
        <f t="shared" si="7"/>
        <v>0.98</v>
      </c>
      <c r="I70" s="3">
        <f t="shared" si="7"/>
        <v>0.98</v>
      </c>
      <c r="J70" s="3">
        <f t="shared" si="7"/>
        <v>0.98</v>
      </c>
      <c r="K70" s="3">
        <f t="shared" si="7"/>
        <v>0.98</v>
      </c>
      <c r="L70" s="3">
        <f t="shared" si="7"/>
        <v>0.98</v>
      </c>
      <c r="M70" s="3">
        <f t="shared" si="7"/>
        <v>0.98</v>
      </c>
      <c r="N70" s="3">
        <f t="shared" si="7"/>
        <v>0.98</v>
      </c>
      <c r="O70" s="3">
        <f t="shared" si="7"/>
        <v>0.98</v>
      </c>
      <c r="P70" s="3">
        <f t="shared" si="7"/>
        <v>0.98</v>
      </c>
    </row>
    <row r="71" spans="1:16">
      <c r="A71" s="84" t="s">
        <v>215</v>
      </c>
      <c r="B71" s="85" t="s">
        <v>214</v>
      </c>
      <c r="C71" s="85" t="s">
        <v>83</v>
      </c>
      <c r="D71" s="84" t="s">
        <v>84</v>
      </c>
      <c r="E71" s="84">
        <f>VLOOKUP(A71,'2a. SI Pop'!$A$5:$E$198,5,FALSE)</f>
        <v>3</v>
      </c>
      <c r="F71" s="3">
        <f>SUMIFS(Input!$Q$5:$Q$44,Input!$O$5:$O$44,'6a. %FP-Routine'!E71,Input!$P$5:$P$44,"Routine")</f>
        <v>0.56000000000000005</v>
      </c>
      <c r="G71" s="3">
        <f t="shared" si="7"/>
        <v>0.56000000000000005</v>
      </c>
      <c r="H71" s="3">
        <f t="shared" si="7"/>
        <v>0.56000000000000005</v>
      </c>
      <c r="I71" s="3">
        <f t="shared" si="7"/>
        <v>0.56000000000000005</v>
      </c>
      <c r="J71" s="3">
        <f t="shared" si="7"/>
        <v>0.56000000000000005</v>
      </c>
      <c r="K71" s="3">
        <f t="shared" si="7"/>
        <v>0.56000000000000005</v>
      </c>
      <c r="L71" s="3">
        <f t="shared" si="7"/>
        <v>0.56000000000000005</v>
      </c>
      <c r="M71" s="3">
        <f t="shared" si="7"/>
        <v>0.56000000000000005</v>
      </c>
      <c r="N71" s="3">
        <f t="shared" si="7"/>
        <v>0.56000000000000005</v>
      </c>
      <c r="O71" s="3">
        <f t="shared" si="7"/>
        <v>0.56000000000000005</v>
      </c>
      <c r="P71" s="3">
        <f t="shared" si="7"/>
        <v>0.56000000000000005</v>
      </c>
    </row>
    <row r="72" spans="1:16">
      <c r="A72" s="84" t="s">
        <v>217</v>
      </c>
      <c r="B72" s="85" t="s">
        <v>216</v>
      </c>
      <c r="C72" s="85" t="s">
        <v>79</v>
      </c>
      <c r="D72" s="84" t="s">
        <v>87</v>
      </c>
      <c r="E72" s="84">
        <f>VLOOKUP(A72,'2a. SI Pop'!$A$5:$E$198,5,FALSE)</f>
        <v>1</v>
      </c>
      <c r="F72" s="3">
        <f>SUMIFS(Input!$Q$5:$Q$44,Input!$O$5:$O$44,'6a. %FP-Routine'!E72,Input!$P$5:$P$44,"Routine")</f>
        <v>0.98</v>
      </c>
      <c r="G72" s="3">
        <f t="shared" si="7"/>
        <v>0.98</v>
      </c>
      <c r="H72" s="3">
        <f t="shared" si="7"/>
        <v>0.98</v>
      </c>
      <c r="I72" s="3">
        <f t="shared" si="7"/>
        <v>0.98</v>
      </c>
      <c r="J72" s="3">
        <f t="shared" si="7"/>
        <v>0.98</v>
      </c>
      <c r="K72" s="3">
        <f t="shared" si="7"/>
        <v>0.98</v>
      </c>
      <c r="L72" s="3">
        <f t="shared" si="7"/>
        <v>0.98</v>
      </c>
      <c r="M72" s="3">
        <f t="shared" si="7"/>
        <v>0.98</v>
      </c>
      <c r="N72" s="3">
        <f t="shared" si="7"/>
        <v>0.98</v>
      </c>
      <c r="O72" s="3">
        <f t="shared" si="7"/>
        <v>0.98</v>
      </c>
      <c r="P72" s="3">
        <f t="shared" si="7"/>
        <v>0.98</v>
      </c>
    </row>
    <row r="73" spans="1:16">
      <c r="A73" s="84" t="s">
        <v>219</v>
      </c>
      <c r="B73" s="85" t="s">
        <v>218</v>
      </c>
      <c r="C73" s="85" t="s">
        <v>92</v>
      </c>
      <c r="D73" s="84" t="s">
        <v>80</v>
      </c>
      <c r="E73" s="84">
        <f>VLOOKUP(A73,'2a. SI Pop'!$A$5:$E$198,5,FALSE)</f>
        <v>1</v>
      </c>
      <c r="F73" s="3">
        <f>SUMIFS(Input!$Q$5:$Q$44,Input!$O$5:$O$44,'6a. %FP-Routine'!E73,Input!$P$5:$P$44,"Routine")</f>
        <v>0.98</v>
      </c>
      <c r="G73" s="3">
        <f t="shared" si="7"/>
        <v>0.98</v>
      </c>
      <c r="H73" s="3">
        <f t="shared" si="7"/>
        <v>0.98</v>
      </c>
      <c r="I73" s="3">
        <f t="shared" si="7"/>
        <v>0.98</v>
      </c>
      <c r="J73" s="3">
        <f t="shared" si="7"/>
        <v>0.98</v>
      </c>
      <c r="K73" s="3">
        <f t="shared" si="7"/>
        <v>0.98</v>
      </c>
      <c r="L73" s="3">
        <f t="shared" si="7"/>
        <v>0.98</v>
      </c>
      <c r="M73" s="3">
        <f t="shared" si="7"/>
        <v>0.98</v>
      </c>
      <c r="N73" s="3">
        <f t="shared" si="7"/>
        <v>0.98</v>
      </c>
      <c r="O73" s="3">
        <f t="shared" si="7"/>
        <v>0.98</v>
      </c>
      <c r="P73" s="3">
        <f t="shared" si="7"/>
        <v>0.98</v>
      </c>
    </row>
    <row r="74" spans="1:16">
      <c r="A74" s="84" t="s">
        <v>221</v>
      </c>
      <c r="B74" s="85" t="s">
        <v>220</v>
      </c>
      <c r="C74" s="85" t="s">
        <v>92</v>
      </c>
      <c r="D74" s="84" t="s">
        <v>80</v>
      </c>
      <c r="E74" s="84">
        <f>VLOOKUP(A74,'2a. SI Pop'!$A$5:$E$198,5,FALSE)</f>
        <v>1</v>
      </c>
      <c r="F74" s="3">
        <f>SUMIFS(Input!$Q$5:$Q$44,Input!$O$5:$O$44,'6a. %FP-Routine'!E74,Input!$P$5:$P$44,"Routine")</f>
        <v>0.98</v>
      </c>
      <c r="G74" s="3">
        <f t="shared" si="7"/>
        <v>0.98</v>
      </c>
      <c r="H74" s="3">
        <f t="shared" si="7"/>
        <v>0.98</v>
      </c>
      <c r="I74" s="3">
        <f t="shared" si="7"/>
        <v>0.98</v>
      </c>
      <c r="J74" s="3">
        <f t="shared" si="7"/>
        <v>0.98</v>
      </c>
      <c r="K74" s="3">
        <f t="shared" si="7"/>
        <v>0.98</v>
      </c>
      <c r="L74" s="3">
        <f t="shared" si="7"/>
        <v>0.98</v>
      </c>
      <c r="M74" s="3">
        <f t="shared" si="7"/>
        <v>0.98</v>
      </c>
      <c r="N74" s="3">
        <f t="shared" si="7"/>
        <v>0.98</v>
      </c>
      <c r="O74" s="3">
        <f t="shared" si="7"/>
        <v>0.98</v>
      </c>
      <c r="P74" s="3">
        <f t="shared" si="7"/>
        <v>0.98</v>
      </c>
    </row>
    <row r="75" spans="1:16">
      <c r="A75" s="84" t="s">
        <v>223</v>
      </c>
      <c r="B75" s="85" t="s">
        <v>222</v>
      </c>
      <c r="C75" s="85" t="s">
        <v>83</v>
      </c>
      <c r="D75" s="84" t="s">
        <v>75</v>
      </c>
      <c r="E75" s="84">
        <f>VLOOKUP(A75,'2a. SI Pop'!$A$5:$E$198,5,FALSE)</f>
        <v>3</v>
      </c>
      <c r="F75" s="3">
        <f>SUMIFS(Input!$Q$5:$Q$44,Input!$O$5:$O$44,'6a. %FP-Routine'!E75,Input!$P$5:$P$44,"Routine")</f>
        <v>0.56000000000000005</v>
      </c>
      <c r="G75" s="3">
        <f t="shared" si="7"/>
        <v>0.56000000000000005</v>
      </c>
      <c r="H75" s="3">
        <f t="shared" si="7"/>
        <v>0.56000000000000005</v>
      </c>
      <c r="I75" s="3">
        <f t="shared" si="7"/>
        <v>0.56000000000000005</v>
      </c>
      <c r="J75" s="3">
        <f t="shared" si="7"/>
        <v>0.56000000000000005</v>
      </c>
      <c r="K75" s="3">
        <f t="shared" si="7"/>
        <v>0.56000000000000005</v>
      </c>
      <c r="L75" s="3">
        <f t="shared" si="7"/>
        <v>0.56000000000000005</v>
      </c>
      <c r="M75" s="3">
        <f t="shared" si="7"/>
        <v>0.56000000000000005</v>
      </c>
      <c r="N75" s="3">
        <f t="shared" si="7"/>
        <v>0.56000000000000005</v>
      </c>
      <c r="O75" s="3">
        <f t="shared" si="7"/>
        <v>0.56000000000000005</v>
      </c>
      <c r="P75" s="3">
        <f t="shared" si="7"/>
        <v>0.56000000000000005</v>
      </c>
    </row>
    <row r="76" spans="1:16">
      <c r="A76" s="84" t="s">
        <v>225</v>
      </c>
      <c r="B76" s="85" t="s">
        <v>224</v>
      </c>
      <c r="C76" s="85" t="s">
        <v>83</v>
      </c>
      <c r="D76" s="84" t="s">
        <v>75</v>
      </c>
      <c r="E76" s="84">
        <f>VLOOKUP(A76,'2a. SI Pop'!$A$5:$E$198,5,FALSE)</f>
        <v>3</v>
      </c>
      <c r="F76" s="3">
        <f>SUMIFS(Input!$Q$5:$Q$44,Input!$O$5:$O$44,'6a. %FP-Routine'!E76,Input!$P$5:$P$44,"Routine")</f>
        <v>0.56000000000000005</v>
      </c>
      <c r="G76" s="3">
        <f t="shared" si="7"/>
        <v>0.56000000000000005</v>
      </c>
      <c r="H76" s="3">
        <f t="shared" si="7"/>
        <v>0.56000000000000005</v>
      </c>
      <c r="I76" s="3">
        <f t="shared" si="7"/>
        <v>0.56000000000000005</v>
      </c>
      <c r="J76" s="3">
        <f t="shared" si="7"/>
        <v>0.56000000000000005</v>
      </c>
      <c r="K76" s="3">
        <f t="shared" si="7"/>
        <v>0.56000000000000005</v>
      </c>
      <c r="L76" s="3">
        <f t="shared" si="7"/>
        <v>0.56000000000000005</v>
      </c>
      <c r="M76" s="3">
        <f t="shared" si="7"/>
        <v>0.56000000000000005</v>
      </c>
      <c r="N76" s="3">
        <f t="shared" si="7"/>
        <v>0.56000000000000005</v>
      </c>
      <c r="O76" s="3">
        <f t="shared" si="7"/>
        <v>0.56000000000000005</v>
      </c>
      <c r="P76" s="3">
        <f t="shared" si="7"/>
        <v>0.56000000000000005</v>
      </c>
    </row>
    <row r="77" spans="1:16">
      <c r="A77" s="84" t="s">
        <v>227</v>
      </c>
      <c r="B77" s="85" t="s">
        <v>226</v>
      </c>
      <c r="C77" s="85" t="s">
        <v>92</v>
      </c>
      <c r="D77" s="84" t="s">
        <v>80</v>
      </c>
      <c r="E77" s="84">
        <f>VLOOKUP(A77,'2a. SI Pop'!$A$5:$E$198,5,FALSE)</f>
        <v>2</v>
      </c>
      <c r="F77" s="3">
        <f>SUMIFS(Input!$Q$5:$Q$44,Input!$O$5:$O$44,'6a. %FP-Routine'!E77,Input!$P$5:$P$44,"Routine")</f>
        <v>0.83</v>
      </c>
      <c r="G77" s="3">
        <f t="shared" si="7"/>
        <v>0.83</v>
      </c>
      <c r="H77" s="3">
        <f t="shared" si="7"/>
        <v>0.83</v>
      </c>
      <c r="I77" s="3">
        <f t="shared" si="7"/>
        <v>0.83</v>
      </c>
      <c r="J77" s="3">
        <f t="shared" si="7"/>
        <v>0.83</v>
      </c>
      <c r="K77" s="3">
        <f t="shared" si="7"/>
        <v>0.83</v>
      </c>
      <c r="L77" s="3">
        <f t="shared" si="7"/>
        <v>0.83</v>
      </c>
      <c r="M77" s="3">
        <f t="shared" si="7"/>
        <v>0.83</v>
      </c>
      <c r="N77" s="3">
        <f t="shared" si="7"/>
        <v>0.83</v>
      </c>
      <c r="O77" s="3">
        <f t="shared" si="7"/>
        <v>0.83</v>
      </c>
      <c r="P77" s="3">
        <f t="shared" si="7"/>
        <v>0.83</v>
      </c>
    </row>
    <row r="78" spans="1:16">
      <c r="A78" s="84" t="s">
        <v>229</v>
      </c>
      <c r="B78" s="85" t="s">
        <v>228</v>
      </c>
      <c r="C78" s="85" t="s">
        <v>92</v>
      </c>
      <c r="D78" s="84" t="s">
        <v>75</v>
      </c>
      <c r="E78" s="84">
        <f>VLOOKUP(A78,'2a. SI Pop'!$A$5:$E$198,5,FALSE)</f>
        <v>2</v>
      </c>
      <c r="F78" s="3">
        <f>SUMIFS(Input!$Q$5:$Q$44,Input!$O$5:$O$44,'6a. %FP-Routine'!E78,Input!$P$5:$P$44,"Routine")</f>
        <v>0.83</v>
      </c>
      <c r="G78" s="3">
        <f t="shared" si="7"/>
        <v>0.83</v>
      </c>
      <c r="H78" s="3">
        <f t="shared" si="7"/>
        <v>0.83</v>
      </c>
      <c r="I78" s="3">
        <f t="shared" si="7"/>
        <v>0.83</v>
      </c>
      <c r="J78" s="3">
        <f t="shared" si="7"/>
        <v>0.83</v>
      </c>
      <c r="K78" s="3">
        <f t="shared" si="7"/>
        <v>0.83</v>
      </c>
      <c r="L78" s="3">
        <f t="shared" si="7"/>
        <v>0.83</v>
      </c>
      <c r="M78" s="3">
        <f t="shared" si="7"/>
        <v>0.83</v>
      </c>
      <c r="N78" s="3">
        <f t="shared" si="7"/>
        <v>0.83</v>
      </c>
      <c r="O78" s="3">
        <f t="shared" si="7"/>
        <v>0.83</v>
      </c>
      <c r="P78" s="3">
        <f t="shared" si="7"/>
        <v>0.83</v>
      </c>
    </row>
    <row r="79" spans="1:16">
      <c r="A79" s="84" t="s">
        <v>231</v>
      </c>
      <c r="B79" s="85" t="s">
        <v>230</v>
      </c>
      <c r="C79" s="85" t="s">
        <v>92</v>
      </c>
      <c r="D79" s="84" t="s">
        <v>84</v>
      </c>
      <c r="E79" s="84">
        <f>VLOOKUP(A79,'2a. SI Pop'!$A$5:$E$198,5,FALSE)</f>
        <v>1</v>
      </c>
      <c r="F79" s="3">
        <f>SUMIFS(Input!$Q$5:$Q$44,Input!$O$5:$O$44,'6a. %FP-Routine'!E79,Input!$P$5:$P$44,"Routine")</f>
        <v>0.98</v>
      </c>
      <c r="G79" s="3">
        <f t="shared" si="7"/>
        <v>0.98</v>
      </c>
      <c r="H79" s="3">
        <f t="shared" si="7"/>
        <v>0.98</v>
      </c>
      <c r="I79" s="3">
        <f t="shared" si="7"/>
        <v>0.98</v>
      </c>
      <c r="J79" s="3">
        <f t="shared" si="7"/>
        <v>0.98</v>
      </c>
      <c r="K79" s="3">
        <f t="shared" si="7"/>
        <v>0.98</v>
      </c>
      <c r="L79" s="3">
        <f t="shared" si="7"/>
        <v>0.98</v>
      </c>
      <c r="M79" s="3">
        <f t="shared" si="7"/>
        <v>0.98</v>
      </c>
      <c r="N79" s="3">
        <f t="shared" si="7"/>
        <v>0.98</v>
      </c>
      <c r="O79" s="3">
        <f t="shared" si="7"/>
        <v>0.98</v>
      </c>
      <c r="P79" s="3">
        <f t="shared" si="7"/>
        <v>0.98</v>
      </c>
    </row>
    <row r="80" spans="1:16">
      <c r="A80" s="84" t="s">
        <v>233</v>
      </c>
      <c r="B80" s="85" t="s">
        <v>232</v>
      </c>
      <c r="C80" s="85" t="s">
        <v>79</v>
      </c>
      <c r="D80" s="84" t="s">
        <v>87</v>
      </c>
      <c r="E80" s="84">
        <f>VLOOKUP(A80,'2a. SI Pop'!$A$5:$E$198,5,FALSE)</f>
        <v>1</v>
      </c>
      <c r="F80" s="3">
        <f>SUMIFS(Input!$Q$5:$Q$44,Input!$O$5:$O$44,'6a. %FP-Routine'!E80,Input!$P$5:$P$44,"Routine")</f>
        <v>0.98</v>
      </c>
      <c r="G80" s="3">
        <f t="shared" si="7"/>
        <v>0.98</v>
      </c>
      <c r="H80" s="3">
        <f t="shared" si="7"/>
        <v>0.98</v>
      </c>
      <c r="I80" s="3">
        <f t="shared" si="7"/>
        <v>0.98</v>
      </c>
      <c r="J80" s="3">
        <f t="shared" si="7"/>
        <v>0.98</v>
      </c>
      <c r="K80" s="3">
        <f t="shared" si="7"/>
        <v>0.98</v>
      </c>
      <c r="L80" s="3">
        <f t="shared" si="7"/>
        <v>0.98</v>
      </c>
      <c r="M80" s="3">
        <f t="shared" si="7"/>
        <v>0.98</v>
      </c>
      <c r="N80" s="3">
        <f t="shared" si="7"/>
        <v>0.98</v>
      </c>
      <c r="O80" s="3">
        <f t="shared" si="7"/>
        <v>0.98</v>
      </c>
      <c r="P80" s="3">
        <f t="shared" si="7"/>
        <v>0.98</v>
      </c>
    </row>
    <row r="81" spans="1:16">
      <c r="A81" s="84" t="s">
        <v>235</v>
      </c>
      <c r="B81" s="85" t="s">
        <v>234</v>
      </c>
      <c r="C81" s="85" t="s">
        <v>79</v>
      </c>
      <c r="D81" s="84" t="s">
        <v>87</v>
      </c>
      <c r="E81" s="84">
        <f>VLOOKUP(A81,'2a. SI Pop'!$A$5:$E$198,5,FALSE)</f>
        <v>1</v>
      </c>
      <c r="F81" s="3">
        <f>SUMIFS(Input!$Q$5:$Q$44,Input!$O$5:$O$44,'6a. %FP-Routine'!E81,Input!$P$5:$P$44,"Routine")</f>
        <v>0.98</v>
      </c>
      <c r="G81" s="3">
        <f t="shared" si="7"/>
        <v>0.98</v>
      </c>
      <c r="H81" s="3">
        <f t="shared" si="7"/>
        <v>0.98</v>
      </c>
      <c r="I81" s="3">
        <f t="shared" si="7"/>
        <v>0.98</v>
      </c>
      <c r="J81" s="3">
        <f t="shared" si="7"/>
        <v>0.98</v>
      </c>
      <c r="K81" s="3">
        <f t="shared" si="7"/>
        <v>0.98</v>
      </c>
      <c r="L81" s="3">
        <f t="shared" si="7"/>
        <v>0.98</v>
      </c>
      <c r="M81" s="3">
        <f t="shared" si="7"/>
        <v>0.98</v>
      </c>
      <c r="N81" s="3">
        <f t="shared" si="7"/>
        <v>0.98</v>
      </c>
      <c r="O81" s="3">
        <f t="shared" si="7"/>
        <v>0.98</v>
      </c>
      <c r="P81" s="3">
        <f t="shared" si="7"/>
        <v>0.98</v>
      </c>
    </row>
    <row r="82" spans="1:16">
      <c r="A82" s="84" t="s">
        <v>237</v>
      </c>
      <c r="B82" s="85" t="s">
        <v>236</v>
      </c>
      <c r="C82" s="85" t="s">
        <v>110</v>
      </c>
      <c r="D82" s="84" t="s">
        <v>84</v>
      </c>
      <c r="E82" s="84" t="str">
        <f>VLOOKUP(A82,'2a. SI Pop'!$A$5:$E$198,5,FALSE)</f>
        <v>Key</v>
      </c>
      <c r="F82" s="3">
        <f>SUMIFS(Input!$Q$5:$Q$44,Input!$O$5:$O$44,'6a. %FP-Routine'!A82,Input!$P$5:$P$44,"Routine")</f>
        <v>0.56000000000000005</v>
      </c>
      <c r="G82" s="3">
        <f t="shared" si="7"/>
        <v>0.56000000000000005</v>
      </c>
      <c r="H82" s="3">
        <f t="shared" si="7"/>
        <v>0.56000000000000005</v>
      </c>
      <c r="I82" s="3">
        <f t="shared" si="7"/>
        <v>0.56000000000000005</v>
      </c>
      <c r="J82" s="3">
        <f t="shared" si="7"/>
        <v>0.56000000000000005</v>
      </c>
      <c r="K82" s="3">
        <f t="shared" si="7"/>
        <v>0.56000000000000005</v>
      </c>
      <c r="L82" s="3">
        <f t="shared" si="7"/>
        <v>0.56000000000000005</v>
      </c>
      <c r="M82" s="3">
        <f t="shared" si="7"/>
        <v>0.56000000000000005</v>
      </c>
      <c r="N82" s="3">
        <f t="shared" si="7"/>
        <v>0.56000000000000005</v>
      </c>
      <c r="O82" s="3">
        <f t="shared" si="7"/>
        <v>0.56000000000000005</v>
      </c>
      <c r="P82" s="3">
        <f t="shared" si="7"/>
        <v>0.56000000000000005</v>
      </c>
    </row>
    <row r="83" spans="1:16">
      <c r="A83" s="84" t="s">
        <v>239</v>
      </c>
      <c r="B83" s="85" t="s">
        <v>238</v>
      </c>
      <c r="C83" s="85" t="s">
        <v>110</v>
      </c>
      <c r="D83" s="84" t="s">
        <v>80</v>
      </c>
      <c r="E83" s="84" t="str">
        <f>VLOOKUP(A83,'2a. SI Pop'!$A$5:$E$198,5,FALSE)</f>
        <v>Key</v>
      </c>
      <c r="F83" s="3">
        <f>SUMIFS(Input!$Q$5:$Q$44,Input!$O$5:$O$44,'6a. %FP-Routine'!A83,Input!$P$5:$P$44,"Routine")</f>
        <v>0.2</v>
      </c>
      <c r="G83" s="3">
        <f t="shared" si="7"/>
        <v>0.2</v>
      </c>
      <c r="H83" s="3">
        <f t="shared" si="7"/>
        <v>0.2</v>
      </c>
      <c r="I83" s="3">
        <f t="shared" si="7"/>
        <v>0.2</v>
      </c>
      <c r="J83" s="3">
        <f t="shared" si="7"/>
        <v>0.2</v>
      </c>
      <c r="K83" s="3">
        <f t="shared" si="7"/>
        <v>0.2</v>
      </c>
      <c r="L83" s="3">
        <f t="shared" si="7"/>
        <v>0.2</v>
      </c>
      <c r="M83" s="3">
        <f t="shared" si="7"/>
        <v>0.2</v>
      </c>
      <c r="N83" s="3">
        <f t="shared" si="7"/>
        <v>0.2</v>
      </c>
      <c r="O83" s="3">
        <f t="shared" si="7"/>
        <v>0.2</v>
      </c>
      <c r="P83" s="3">
        <f t="shared" si="7"/>
        <v>0.2</v>
      </c>
    </row>
    <row r="84" spans="1:16">
      <c r="A84" s="84" t="s">
        <v>241</v>
      </c>
      <c r="B84" s="85" t="s">
        <v>240</v>
      </c>
      <c r="C84" s="85" t="s">
        <v>74</v>
      </c>
      <c r="D84" s="84" t="s">
        <v>80</v>
      </c>
      <c r="E84" s="84">
        <f>VLOOKUP(A84,'2a. SI Pop'!$A$5:$E$198,5,FALSE)</f>
        <v>2</v>
      </c>
      <c r="F84" s="3">
        <f>SUMIFS(Input!$Q$5:$Q$44,Input!$O$5:$O$44,'6a. %FP-Routine'!E84,Input!$P$5:$P$44,"Routine")</f>
        <v>0.83</v>
      </c>
      <c r="G84" s="3">
        <f t="shared" si="7"/>
        <v>0.83</v>
      </c>
      <c r="H84" s="3">
        <f t="shared" si="7"/>
        <v>0.83</v>
      </c>
      <c r="I84" s="3">
        <f t="shared" si="7"/>
        <v>0.83</v>
      </c>
      <c r="J84" s="3">
        <f t="shared" si="7"/>
        <v>0.83</v>
      </c>
      <c r="K84" s="3">
        <f t="shared" si="7"/>
        <v>0.83</v>
      </c>
      <c r="L84" s="3">
        <f t="shared" si="7"/>
        <v>0.83</v>
      </c>
      <c r="M84" s="3">
        <f t="shared" si="7"/>
        <v>0.83</v>
      </c>
      <c r="N84" s="3">
        <f t="shared" si="7"/>
        <v>0.83</v>
      </c>
      <c r="O84" s="3">
        <f t="shared" si="7"/>
        <v>0.83</v>
      </c>
      <c r="P84" s="3">
        <f t="shared" si="7"/>
        <v>0.83</v>
      </c>
    </row>
    <row r="85" spans="1:16">
      <c r="A85" s="84" t="s">
        <v>243</v>
      </c>
      <c r="B85" s="85" t="s">
        <v>242</v>
      </c>
      <c r="C85" s="85" t="s">
        <v>74</v>
      </c>
      <c r="D85" s="84" t="s">
        <v>80</v>
      </c>
      <c r="E85" s="84">
        <f>VLOOKUP(A85,'2a. SI Pop'!$A$5:$E$198,5,FALSE)</f>
        <v>2</v>
      </c>
      <c r="F85" s="3">
        <f>SUMIFS(Input!$Q$5:$Q$44,Input!$O$5:$O$44,'6a. %FP-Routine'!E85,Input!$P$5:$P$44,"Routine")</f>
        <v>0.83</v>
      </c>
      <c r="G85" s="3">
        <f t="shared" si="7"/>
        <v>0.83</v>
      </c>
      <c r="H85" s="3">
        <f t="shared" si="7"/>
        <v>0.83</v>
      </c>
      <c r="I85" s="3">
        <f t="shared" si="7"/>
        <v>0.83</v>
      </c>
      <c r="J85" s="3">
        <f t="shared" si="7"/>
        <v>0.83</v>
      </c>
      <c r="K85" s="3">
        <f t="shared" si="7"/>
        <v>0.83</v>
      </c>
      <c r="L85" s="3">
        <f t="shared" si="7"/>
        <v>0.83</v>
      </c>
      <c r="M85" s="3">
        <f t="shared" si="7"/>
        <v>0.83</v>
      </c>
      <c r="N85" s="3">
        <f t="shared" si="7"/>
        <v>0.83</v>
      </c>
      <c r="O85" s="3">
        <f t="shared" si="7"/>
        <v>0.83</v>
      </c>
      <c r="P85" s="3">
        <f t="shared" si="7"/>
        <v>0.83</v>
      </c>
    </row>
    <row r="86" spans="1:16">
      <c r="A86" s="84" t="s">
        <v>245</v>
      </c>
      <c r="B86" s="85" t="s">
        <v>244</v>
      </c>
      <c r="C86" s="85" t="s">
        <v>79</v>
      </c>
      <c r="D86" s="84" t="s">
        <v>87</v>
      </c>
      <c r="E86" s="84">
        <f>VLOOKUP(A86,'2a. SI Pop'!$A$5:$E$198,5,FALSE)</f>
        <v>1</v>
      </c>
      <c r="F86" s="3">
        <f>SUMIFS(Input!$Q$5:$Q$44,Input!$O$5:$O$44,'6a. %FP-Routine'!E86,Input!$P$5:$P$44,"Routine")</f>
        <v>0.98</v>
      </c>
      <c r="G86" s="3">
        <f t="shared" ref="G86:P101" si="8">F86</f>
        <v>0.98</v>
      </c>
      <c r="H86" s="3">
        <f t="shared" si="8"/>
        <v>0.98</v>
      </c>
      <c r="I86" s="3">
        <f t="shared" si="8"/>
        <v>0.98</v>
      </c>
      <c r="J86" s="3">
        <f t="shared" si="8"/>
        <v>0.98</v>
      </c>
      <c r="K86" s="3">
        <f t="shared" si="8"/>
        <v>0.98</v>
      </c>
      <c r="L86" s="3">
        <f t="shared" si="8"/>
        <v>0.98</v>
      </c>
      <c r="M86" s="3">
        <f t="shared" si="8"/>
        <v>0.98</v>
      </c>
      <c r="N86" s="3">
        <f t="shared" si="8"/>
        <v>0.98</v>
      </c>
      <c r="O86" s="3">
        <f t="shared" si="8"/>
        <v>0.98</v>
      </c>
      <c r="P86" s="3">
        <f t="shared" si="8"/>
        <v>0.98</v>
      </c>
    </row>
    <row r="87" spans="1:16">
      <c r="A87" s="84" t="s">
        <v>247</v>
      </c>
      <c r="B87" s="85" t="s">
        <v>246</v>
      </c>
      <c r="C87" s="85" t="s">
        <v>79</v>
      </c>
      <c r="D87" s="84" t="s">
        <v>87</v>
      </c>
      <c r="E87" s="84">
        <f>VLOOKUP(A87,'2a. SI Pop'!$A$5:$E$198,5,FALSE)</f>
        <v>1</v>
      </c>
      <c r="F87" s="3">
        <f>SUMIFS(Input!$Q$5:$Q$44,Input!$O$5:$O$44,'6a. %FP-Routine'!E87,Input!$P$5:$P$44,"Routine")</f>
        <v>0.98</v>
      </c>
      <c r="G87" s="3">
        <f t="shared" si="8"/>
        <v>0.98</v>
      </c>
      <c r="H87" s="3">
        <f t="shared" si="8"/>
        <v>0.98</v>
      </c>
      <c r="I87" s="3">
        <f t="shared" si="8"/>
        <v>0.98</v>
      </c>
      <c r="J87" s="3">
        <f t="shared" si="8"/>
        <v>0.98</v>
      </c>
      <c r="K87" s="3">
        <f t="shared" si="8"/>
        <v>0.98</v>
      </c>
      <c r="L87" s="3">
        <f t="shared" si="8"/>
        <v>0.98</v>
      </c>
      <c r="M87" s="3">
        <f t="shared" si="8"/>
        <v>0.98</v>
      </c>
      <c r="N87" s="3">
        <f t="shared" si="8"/>
        <v>0.98</v>
      </c>
      <c r="O87" s="3">
        <f t="shared" si="8"/>
        <v>0.98</v>
      </c>
      <c r="P87" s="3">
        <f t="shared" si="8"/>
        <v>0.98</v>
      </c>
    </row>
    <row r="88" spans="1:16">
      <c r="A88" s="84" t="s">
        <v>249</v>
      </c>
      <c r="B88" s="85" t="s">
        <v>248</v>
      </c>
      <c r="C88" s="85" t="s">
        <v>79</v>
      </c>
      <c r="D88" s="84" t="s">
        <v>87</v>
      </c>
      <c r="E88" s="84">
        <f>VLOOKUP(A88,'2a. SI Pop'!$A$5:$E$198,5,FALSE)</f>
        <v>1</v>
      </c>
      <c r="F88" s="3">
        <f>SUMIFS(Input!$Q$5:$Q$44,Input!$O$5:$O$44,'6a. %FP-Routine'!E88,Input!$P$5:$P$44,"Routine")</f>
        <v>0.98</v>
      </c>
      <c r="G88" s="3">
        <f t="shared" si="8"/>
        <v>0.98</v>
      </c>
      <c r="H88" s="3">
        <f t="shared" si="8"/>
        <v>0.98</v>
      </c>
      <c r="I88" s="3">
        <f t="shared" si="8"/>
        <v>0.98</v>
      </c>
      <c r="J88" s="3">
        <f t="shared" si="8"/>
        <v>0.98</v>
      </c>
      <c r="K88" s="3">
        <f t="shared" si="8"/>
        <v>0.98</v>
      </c>
      <c r="L88" s="3">
        <f t="shared" si="8"/>
        <v>0.98</v>
      </c>
      <c r="M88" s="3">
        <f t="shared" si="8"/>
        <v>0.98</v>
      </c>
      <c r="N88" s="3">
        <f t="shared" si="8"/>
        <v>0.98</v>
      </c>
      <c r="O88" s="3">
        <f t="shared" si="8"/>
        <v>0.98</v>
      </c>
      <c r="P88" s="3">
        <f t="shared" si="8"/>
        <v>0.98</v>
      </c>
    </row>
    <row r="89" spans="1:16">
      <c r="A89" s="84" t="s">
        <v>251</v>
      </c>
      <c r="B89" s="85" t="s">
        <v>250</v>
      </c>
      <c r="C89" s="85" t="s">
        <v>92</v>
      </c>
      <c r="D89" s="84" t="s">
        <v>80</v>
      </c>
      <c r="E89" s="84">
        <f>VLOOKUP(A89,'2a. SI Pop'!$A$5:$E$198,5,FALSE)</f>
        <v>1</v>
      </c>
      <c r="F89" s="3">
        <f>SUMIFS(Input!$Q$5:$Q$44,Input!$O$5:$O$44,'6a. %FP-Routine'!E89,Input!$P$5:$P$44,"Routine")</f>
        <v>0.98</v>
      </c>
      <c r="G89" s="3">
        <f t="shared" si="8"/>
        <v>0.98</v>
      </c>
      <c r="H89" s="3">
        <f t="shared" si="8"/>
        <v>0.98</v>
      </c>
      <c r="I89" s="3">
        <f t="shared" si="8"/>
        <v>0.98</v>
      </c>
      <c r="J89" s="3">
        <f t="shared" si="8"/>
        <v>0.98</v>
      </c>
      <c r="K89" s="3">
        <f t="shared" si="8"/>
        <v>0.98</v>
      </c>
      <c r="L89" s="3">
        <f t="shared" si="8"/>
        <v>0.98</v>
      </c>
      <c r="M89" s="3">
        <f t="shared" si="8"/>
        <v>0.98</v>
      </c>
      <c r="N89" s="3">
        <f t="shared" si="8"/>
        <v>0.98</v>
      </c>
      <c r="O89" s="3">
        <f t="shared" si="8"/>
        <v>0.98</v>
      </c>
      <c r="P89" s="3">
        <f t="shared" si="8"/>
        <v>0.98</v>
      </c>
    </row>
    <row r="90" spans="1:16">
      <c r="A90" s="84" t="s">
        <v>253</v>
      </c>
      <c r="B90" s="85" t="s">
        <v>252</v>
      </c>
      <c r="C90" s="85" t="s">
        <v>99</v>
      </c>
      <c r="D90" s="84" t="s">
        <v>87</v>
      </c>
      <c r="E90" s="84">
        <f>VLOOKUP(A90,'2a. SI Pop'!$A$5:$E$198,5,FALSE)</f>
        <v>4</v>
      </c>
      <c r="F90" s="3">
        <f>SUMIFS(Input!$Q$5:$Q$44,Input!$O$5:$O$44,'6a. %FP-Routine'!E90,Input!$P$5:$P$44,"Routine")</f>
        <v>0.56000000000000005</v>
      </c>
      <c r="G90" s="3">
        <f t="shared" si="8"/>
        <v>0.56000000000000005</v>
      </c>
      <c r="H90" s="3">
        <f t="shared" si="8"/>
        <v>0.56000000000000005</v>
      </c>
      <c r="I90" s="3">
        <f t="shared" si="8"/>
        <v>0.56000000000000005</v>
      </c>
      <c r="J90" s="3">
        <f t="shared" si="8"/>
        <v>0.56000000000000005</v>
      </c>
      <c r="K90" s="3">
        <f t="shared" si="8"/>
        <v>0.56000000000000005</v>
      </c>
      <c r="L90" s="3">
        <f t="shared" si="8"/>
        <v>0.56000000000000005</v>
      </c>
      <c r="M90" s="3">
        <f t="shared" si="8"/>
        <v>0.56000000000000005</v>
      </c>
      <c r="N90" s="3">
        <f t="shared" si="8"/>
        <v>0.56000000000000005</v>
      </c>
      <c r="O90" s="3">
        <f t="shared" si="8"/>
        <v>0.56000000000000005</v>
      </c>
      <c r="P90" s="3">
        <f t="shared" si="8"/>
        <v>0.56000000000000005</v>
      </c>
    </row>
    <row r="91" spans="1:16">
      <c r="A91" s="84" t="s">
        <v>255</v>
      </c>
      <c r="B91" s="85" t="s">
        <v>254</v>
      </c>
      <c r="C91" s="85" t="s">
        <v>74</v>
      </c>
      <c r="D91" s="84" t="s">
        <v>80</v>
      </c>
      <c r="E91" s="84">
        <f>VLOOKUP(A91,'2a. SI Pop'!$A$5:$E$198,5,FALSE)</f>
        <v>2</v>
      </c>
      <c r="F91" s="3">
        <f>SUMIFS(Input!$Q$5:$Q$44,Input!$O$5:$O$44,'6a. %FP-Routine'!E91,Input!$P$5:$P$44,"Routine")</f>
        <v>0.83</v>
      </c>
      <c r="G91" s="3">
        <f t="shared" si="8"/>
        <v>0.83</v>
      </c>
      <c r="H91" s="3">
        <f t="shared" si="8"/>
        <v>0.83</v>
      </c>
      <c r="I91" s="3">
        <f t="shared" si="8"/>
        <v>0.83</v>
      </c>
      <c r="J91" s="3">
        <f t="shared" si="8"/>
        <v>0.83</v>
      </c>
      <c r="K91" s="3">
        <f t="shared" si="8"/>
        <v>0.83</v>
      </c>
      <c r="L91" s="3">
        <f t="shared" si="8"/>
        <v>0.83</v>
      </c>
      <c r="M91" s="3">
        <f t="shared" si="8"/>
        <v>0.83</v>
      </c>
      <c r="N91" s="3">
        <f t="shared" si="8"/>
        <v>0.83</v>
      </c>
      <c r="O91" s="3">
        <f t="shared" si="8"/>
        <v>0.83</v>
      </c>
      <c r="P91" s="3">
        <f t="shared" si="8"/>
        <v>0.83</v>
      </c>
    </row>
    <row r="92" spans="1:16">
      <c r="A92" s="84" t="s">
        <v>257</v>
      </c>
      <c r="B92" s="85" t="s">
        <v>256</v>
      </c>
      <c r="C92" s="85" t="s">
        <v>79</v>
      </c>
      <c r="D92" s="84" t="s">
        <v>80</v>
      </c>
      <c r="E92" s="84">
        <f>VLOOKUP(A92,'2a. SI Pop'!$A$5:$E$198,5,FALSE)</f>
        <v>2</v>
      </c>
      <c r="F92" s="3">
        <f>SUMIFS(Input!$Q$5:$Q$44,Input!$O$5:$O$44,'6a. %FP-Routine'!E92,Input!$P$5:$P$44,"Routine")</f>
        <v>0.83</v>
      </c>
      <c r="G92" s="3">
        <f t="shared" si="8"/>
        <v>0.83</v>
      </c>
      <c r="H92" s="3">
        <f t="shared" si="8"/>
        <v>0.83</v>
      </c>
      <c r="I92" s="3">
        <f t="shared" si="8"/>
        <v>0.83</v>
      </c>
      <c r="J92" s="3">
        <f t="shared" si="8"/>
        <v>0.83</v>
      </c>
      <c r="K92" s="3">
        <f t="shared" si="8"/>
        <v>0.83</v>
      </c>
      <c r="L92" s="3">
        <f t="shared" si="8"/>
        <v>0.83</v>
      </c>
      <c r="M92" s="3">
        <f t="shared" si="8"/>
        <v>0.83</v>
      </c>
      <c r="N92" s="3">
        <f t="shared" si="8"/>
        <v>0.83</v>
      </c>
      <c r="O92" s="3">
        <f t="shared" si="8"/>
        <v>0.83</v>
      </c>
      <c r="P92" s="3">
        <f t="shared" si="8"/>
        <v>0.83</v>
      </c>
    </row>
    <row r="93" spans="1:16">
      <c r="A93" s="84" t="s">
        <v>259</v>
      </c>
      <c r="B93" s="85" t="s">
        <v>258</v>
      </c>
      <c r="C93" s="85" t="s">
        <v>83</v>
      </c>
      <c r="D93" s="84" t="s">
        <v>84</v>
      </c>
      <c r="E93" s="84">
        <f>VLOOKUP(A93,'2a. SI Pop'!$A$5:$E$198,5,FALSE)</f>
        <v>3</v>
      </c>
      <c r="F93" s="3">
        <f>SUMIFS(Input!$Q$5:$Q$44,Input!$O$5:$O$44,'6a. %FP-Routine'!E93,Input!$P$5:$P$44,"Routine")</f>
        <v>0.56000000000000005</v>
      </c>
      <c r="G93" s="3">
        <f t="shared" si="8"/>
        <v>0.56000000000000005</v>
      </c>
      <c r="H93" s="3">
        <f t="shared" si="8"/>
        <v>0.56000000000000005</v>
      </c>
      <c r="I93" s="3">
        <f t="shared" si="8"/>
        <v>0.56000000000000005</v>
      </c>
      <c r="J93" s="3">
        <f t="shared" si="8"/>
        <v>0.56000000000000005</v>
      </c>
      <c r="K93" s="3">
        <f t="shared" si="8"/>
        <v>0.56000000000000005</v>
      </c>
      <c r="L93" s="3">
        <f t="shared" si="8"/>
        <v>0.56000000000000005</v>
      </c>
      <c r="M93" s="3">
        <f t="shared" si="8"/>
        <v>0.56000000000000005</v>
      </c>
      <c r="N93" s="3">
        <f t="shared" si="8"/>
        <v>0.56000000000000005</v>
      </c>
      <c r="O93" s="3">
        <f t="shared" si="8"/>
        <v>0.56000000000000005</v>
      </c>
      <c r="P93" s="3">
        <f t="shared" si="8"/>
        <v>0.56000000000000005</v>
      </c>
    </row>
    <row r="94" spans="1:16">
      <c r="A94" s="84" t="s">
        <v>261</v>
      </c>
      <c r="B94" s="85" t="s">
        <v>260</v>
      </c>
      <c r="C94" s="85" t="s">
        <v>99</v>
      </c>
      <c r="D94" s="84" t="s">
        <v>84</v>
      </c>
      <c r="E94" s="84">
        <f>VLOOKUP(A94,'2a. SI Pop'!$A$5:$E$198,5,FALSE)</f>
        <v>4</v>
      </c>
      <c r="F94" s="3">
        <f>SUMIFS(Input!$Q$5:$Q$44,Input!$O$5:$O$44,'6a. %FP-Routine'!E94,Input!$P$5:$P$44,"Routine")</f>
        <v>0.56000000000000005</v>
      </c>
      <c r="G94" s="3">
        <f t="shared" si="8"/>
        <v>0.56000000000000005</v>
      </c>
      <c r="H94" s="3">
        <f t="shared" si="8"/>
        <v>0.56000000000000005</v>
      </c>
      <c r="I94" s="3">
        <f t="shared" si="8"/>
        <v>0.56000000000000005</v>
      </c>
      <c r="J94" s="3">
        <f t="shared" si="8"/>
        <v>0.56000000000000005</v>
      </c>
      <c r="K94" s="3">
        <f t="shared" si="8"/>
        <v>0.56000000000000005</v>
      </c>
      <c r="L94" s="3">
        <f t="shared" si="8"/>
        <v>0.56000000000000005</v>
      </c>
      <c r="M94" s="3">
        <f t="shared" si="8"/>
        <v>0.56000000000000005</v>
      </c>
      <c r="N94" s="3">
        <f t="shared" si="8"/>
        <v>0.56000000000000005</v>
      </c>
      <c r="O94" s="3">
        <f t="shared" si="8"/>
        <v>0.56000000000000005</v>
      </c>
      <c r="P94" s="3">
        <f t="shared" si="8"/>
        <v>0.56000000000000005</v>
      </c>
    </row>
    <row r="95" spans="1:16">
      <c r="A95" s="84" t="s">
        <v>263</v>
      </c>
      <c r="B95" s="85" t="s">
        <v>262</v>
      </c>
      <c r="C95" s="85" t="s">
        <v>99</v>
      </c>
      <c r="D95" s="84" t="s">
        <v>87</v>
      </c>
      <c r="E95" s="84">
        <f>VLOOKUP(A95,'2a. SI Pop'!$A$5:$E$198,5,FALSE)</f>
        <v>1</v>
      </c>
      <c r="F95" s="3">
        <f>SUMIFS(Input!$Q$5:$Q$44,Input!$O$5:$O$44,'6a. %FP-Routine'!E95,Input!$P$5:$P$44,"Routine")</f>
        <v>0.98</v>
      </c>
      <c r="G95" s="3">
        <f t="shared" si="8"/>
        <v>0.98</v>
      </c>
      <c r="H95" s="3">
        <f t="shared" si="8"/>
        <v>0.98</v>
      </c>
      <c r="I95" s="3">
        <f t="shared" si="8"/>
        <v>0.98</v>
      </c>
      <c r="J95" s="3">
        <f t="shared" si="8"/>
        <v>0.98</v>
      </c>
      <c r="K95" s="3">
        <f t="shared" si="8"/>
        <v>0.98</v>
      </c>
      <c r="L95" s="3">
        <f t="shared" si="8"/>
        <v>0.98</v>
      </c>
      <c r="M95" s="3">
        <f t="shared" si="8"/>
        <v>0.98</v>
      </c>
      <c r="N95" s="3">
        <f t="shared" si="8"/>
        <v>0.98</v>
      </c>
      <c r="O95" s="3">
        <f t="shared" si="8"/>
        <v>0.98</v>
      </c>
      <c r="P95" s="3">
        <f t="shared" si="8"/>
        <v>0.98</v>
      </c>
    </row>
    <row r="96" spans="1:16">
      <c r="A96" s="84" t="s">
        <v>265</v>
      </c>
      <c r="B96" s="85" t="s">
        <v>264</v>
      </c>
      <c r="C96" s="85" t="s">
        <v>74</v>
      </c>
      <c r="D96" s="84" t="s">
        <v>87</v>
      </c>
      <c r="E96" s="84">
        <f>VLOOKUP(A96,'2a. SI Pop'!$A$5:$E$198,5,FALSE)</f>
        <v>1</v>
      </c>
      <c r="F96" s="3">
        <f>SUMIFS(Input!$Q$5:$Q$44,Input!$O$5:$O$44,'6a. %FP-Routine'!E96,Input!$P$5:$P$44,"Routine")</f>
        <v>0.98</v>
      </c>
      <c r="G96" s="3">
        <f t="shared" si="8"/>
        <v>0.98</v>
      </c>
      <c r="H96" s="3">
        <f t="shared" si="8"/>
        <v>0.98</v>
      </c>
      <c r="I96" s="3">
        <f t="shared" si="8"/>
        <v>0.98</v>
      </c>
      <c r="J96" s="3">
        <f t="shared" si="8"/>
        <v>0.98</v>
      </c>
      <c r="K96" s="3">
        <f t="shared" si="8"/>
        <v>0.98</v>
      </c>
      <c r="L96" s="3">
        <f t="shared" si="8"/>
        <v>0.98</v>
      </c>
      <c r="M96" s="3">
        <f t="shared" si="8"/>
        <v>0.98</v>
      </c>
      <c r="N96" s="3">
        <f t="shared" si="8"/>
        <v>0.98</v>
      </c>
      <c r="O96" s="3">
        <f t="shared" si="8"/>
        <v>0.98</v>
      </c>
      <c r="P96" s="3">
        <f t="shared" si="8"/>
        <v>0.98</v>
      </c>
    </row>
    <row r="97" spans="1:16">
      <c r="A97" s="84" t="s">
        <v>267</v>
      </c>
      <c r="B97" s="85" t="s">
        <v>266</v>
      </c>
      <c r="C97" s="85" t="s">
        <v>79</v>
      </c>
      <c r="D97" s="84" t="s">
        <v>84</v>
      </c>
      <c r="E97" s="84">
        <f>VLOOKUP(A97,'2a. SI Pop'!$A$5:$E$198,5,FALSE)</f>
        <v>1</v>
      </c>
      <c r="F97" s="3">
        <f>SUMIFS(Input!$Q$5:$Q$44,Input!$O$5:$O$44,'6a. %FP-Routine'!E97,Input!$P$5:$P$44,"Routine")</f>
        <v>0.98</v>
      </c>
      <c r="G97" s="3">
        <f t="shared" si="8"/>
        <v>0.98</v>
      </c>
      <c r="H97" s="3">
        <f t="shared" si="8"/>
        <v>0.98</v>
      </c>
      <c r="I97" s="3">
        <f t="shared" si="8"/>
        <v>0.98</v>
      </c>
      <c r="J97" s="3">
        <f t="shared" si="8"/>
        <v>0.98</v>
      </c>
      <c r="K97" s="3">
        <f t="shared" si="8"/>
        <v>0.98</v>
      </c>
      <c r="L97" s="3">
        <f t="shared" si="8"/>
        <v>0.98</v>
      </c>
      <c r="M97" s="3">
        <f t="shared" si="8"/>
        <v>0.98</v>
      </c>
      <c r="N97" s="3">
        <f t="shared" si="8"/>
        <v>0.98</v>
      </c>
      <c r="O97" s="3">
        <f t="shared" si="8"/>
        <v>0.98</v>
      </c>
      <c r="P97" s="3">
        <f t="shared" si="8"/>
        <v>0.98</v>
      </c>
    </row>
    <row r="98" spans="1:16">
      <c r="A98" s="84" t="s">
        <v>269</v>
      </c>
      <c r="B98" s="85" t="s">
        <v>268</v>
      </c>
      <c r="C98" s="85" t="s">
        <v>99</v>
      </c>
      <c r="D98" s="84" t="s">
        <v>84</v>
      </c>
      <c r="E98" s="84">
        <f>VLOOKUP(A98,'2a. SI Pop'!$A$5:$E$198,5,FALSE)</f>
        <v>4</v>
      </c>
      <c r="F98" s="3">
        <f>SUMIFS(Input!$Q$5:$Q$44,Input!$O$5:$O$44,'6a. %FP-Routine'!E98,Input!$P$5:$P$44,"Routine")</f>
        <v>0.56000000000000005</v>
      </c>
      <c r="G98" s="3">
        <f t="shared" si="8"/>
        <v>0.56000000000000005</v>
      </c>
      <c r="H98" s="3">
        <f t="shared" si="8"/>
        <v>0.56000000000000005</v>
      </c>
      <c r="I98" s="3">
        <f t="shared" si="8"/>
        <v>0.56000000000000005</v>
      </c>
      <c r="J98" s="3">
        <f t="shared" si="8"/>
        <v>0.56000000000000005</v>
      </c>
      <c r="K98" s="3">
        <f t="shared" si="8"/>
        <v>0.56000000000000005</v>
      </c>
      <c r="L98" s="3">
        <f t="shared" si="8"/>
        <v>0.56000000000000005</v>
      </c>
      <c r="M98" s="3">
        <f t="shared" si="8"/>
        <v>0.56000000000000005</v>
      </c>
      <c r="N98" s="3">
        <f t="shared" si="8"/>
        <v>0.56000000000000005</v>
      </c>
      <c r="O98" s="3">
        <f t="shared" si="8"/>
        <v>0.56000000000000005</v>
      </c>
      <c r="P98" s="3">
        <f t="shared" si="8"/>
        <v>0.56000000000000005</v>
      </c>
    </row>
    <row r="99" spans="1:16">
      <c r="A99" s="84" t="s">
        <v>271</v>
      </c>
      <c r="B99" s="85" t="s">
        <v>270</v>
      </c>
      <c r="C99" s="85" t="s">
        <v>79</v>
      </c>
      <c r="D99" s="84" t="s">
        <v>87</v>
      </c>
      <c r="E99" s="84">
        <f>VLOOKUP(A99,'2a. SI Pop'!$A$5:$E$198,5,FALSE)</f>
        <v>1</v>
      </c>
      <c r="F99" s="3">
        <f>SUMIFS(Input!$Q$5:$Q$44,Input!$O$5:$O$44,'6a. %FP-Routine'!E99,Input!$P$5:$P$44,"Routine")</f>
        <v>0.98</v>
      </c>
      <c r="G99" s="3">
        <f t="shared" si="8"/>
        <v>0.98</v>
      </c>
      <c r="H99" s="3">
        <f t="shared" si="8"/>
        <v>0.98</v>
      </c>
      <c r="I99" s="3">
        <f t="shared" si="8"/>
        <v>0.98</v>
      </c>
      <c r="J99" s="3">
        <f t="shared" si="8"/>
        <v>0.98</v>
      </c>
      <c r="K99" s="3">
        <f t="shared" si="8"/>
        <v>0.98</v>
      </c>
      <c r="L99" s="3">
        <f t="shared" si="8"/>
        <v>0.98</v>
      </c>
      <c r="M99" s="3">
        <f t="shared" si="8"/>
        <v>0.98</v>
      </c>
      <c r="N99" s="3">
        <f t="shared" si="8"/>
        <v>0.98</v>
      </c>
      <c r="O99" s="3">
        <f t="shared" si="8"/>
        <v>0.98</v>
      </c>
      <c r="P99" s="3">
        <f t="shared" si="8"/>
        <v>0.98</v>
      </c>
    </row>
    <row r="100" spans="1:16">
      <c r="A100" s="84" t="s">
        <v>273</v>
      </c>
      <c r="B100" s="85" t="s">
        <v>272</v>
      </c>
      <c r="C100" s="85" t="s">
        <v>74</v>
      </c>
      <c r="D100" s="84" t="s">
        <v>80</v>
      </c>
      <c r="E100" s="84">
        <f>VLOOKUP(A100,'2a. SI Pop'!$A$5:$E$198,5,FALSE)</f>
        <v>2</v>
      </c>
      <c r="F100" s="3">
        <f>SUMIFS(Input!$Q$5:$Q$44,Input!$O$5:$O$44,'6a. %FP-Routine'!E100,Input!$P$5:$P$44,"Routine")</f>
        <v>0.83</v>
      </c>
      <c r="G100" s="3">
        <f t="shared" si="8"/>
        <v>0.83</v>
      </c>
      <c r="H100" s="3">
        <f t="shared" si="8"/>
        <v>0.83</v>
      </c>
      <c r="I100" s="3">
        <f t="shared" si="8"/>
        <v>0.83</v>
      </c>
      <c r="J100" s="3">
        <f t="shared" si="8"/>
        <v>0.83</v>
      </c>
      <c r="K100" s="3">
        <f t="shared" si="8"/>
        <v>0.83</v>
      </c>
      <c r="L100" s="3">
        <f t="shared" si="8"/>
        <v>0.83</v>
      </c>
      <c r="M100" s="3">
        <f t="shared" si="8"/>
        <v>0.83</v>
      </c>
      <c r="N100" s="3">
        <f t="shared" si="8"/>
        <v>0.83</v>
      </c>
      <c r="O100" s="3">
        <f t="shared" si="8"/>
        <v>0.83</v>
      </c>
      <c r="P100" s="3">
        <f t="shared" si="8"/>
        <v>0.83</v>
      </c>
    </row>
    <row r="101" spans="1:16">
      <c r="A101" s="84" t="s">
        <v>275</v>
      </c>
      <c r="B101" s="85" t="s">
        <v>274</v>
      </c>
      <c r="C101" s="85" t="s">
        <v>83</v>
      </c>
      <c r="D101" s="84" t="s">
        <v>84</v>
      </c>
      <c r="E101" s="84">
        <f>VLOOKUP(A101,'2a. SI Pop'!$A$5:$E$198,5,FALSE)</f>
        <v>3</v>
      </c>
      <c r="F101" s="3">
        <f>SUMIFS(Input!$Q$5:$Q$44,Input!$O$5:$O$44,'6a. %FP-Routine'!E101,Input!$P$5:$P$44,"Routine")</f>
        <v>0.56000000000000005</v>
      </c>
      <c r="G101" s="3">
        <f t="shared" si="8"/>
        <v>0.56000000000000005</v>
      </c>
      <c r="H101" s="3">
        <f t="shared" si="8"/>
        <v>0.56000000000000005</v>
      </c>
      <c r="I101" s="3">
        <f t="shared" si="8"/>
        <v>0.56000000000000005</v>
      </c>
      <c r="J101" s="3">
        <f t="shared" si="8"/>
        <v>0.56000000000000005</v>
      </c>
      <c r="K101" s="3">
        <f t="shared" si="8"/>
        <v>0.56000000000000005</v>
      </c>
      <c r="L101" s="3">
        <f t="shared" si="8"/>
        <v>0.56000000000000005</v>
      </c>
      <c r="M101" s="3">
        <f t="shared" si="8"/>
        <v>0.56000000000000005</v>
      </c>
      <c r="N101" s="3">
        <f t="shared" si="8"/>
        <v>0.56000000000000005</v>
      </c>
      <c r="O101" s="3">
        <f t="shared" si="8"/>
        <v>0.56000000000000005</v>
      </c>
      <c r="P101" s="3">
        <f t="shared" si="8"/>
        <v>0.56000000000000005</v>
      </c>
    </row>
    <row r="102" spans="1:16">
      <c r="A102" s="84" t="s">
        <v>277</v>
      </c>
      <c r="B102" s="85" t="s">
        <v>276</v>
      </c>
      <c r="C102" s="85" t="s">
        <v>83</v>
      </c>
      <c r="D102" s="84" t="s">
        <v>75</v>
      </c>
      <c r="E102" s="84">
        <f>VLOOKUP(A102,'2a. SI Pop'!$A$5:$E$198,5,FALSE)</f>
        <v>3</v>
      </c>
      <c r="F102" s="3">
        <f>SUMIFS(Input!$Q$5:$Q$44,Input!$O$5:$O$44,'6a. %FP-Routine'!E102,Input!$P$5:$P$44,"Routine")</f>
        <v>0.56000000000000005</v>
      </c>
      <c r="G102" s="3">
        <f t="shared" ref="G102:P117" si="9">F102</f>
        <v>0.56000000000000005</v>
      </c>
      <c r="H102" s="3">
        <f t="shared" si="9"/>
        <v>0.56000000000000005</v>
      </c>
      <c r="I102" s="3">
        <f t="shared" si="9"/>
        <v>0.56000000000000005</v>
      </c>
      <c r="J102" s="3">
        <f t="shared" si="9"/>
        <v>0.56000000000000005</v>
      </c>
      <c r="K102" s="3">
        <f t="shared" si="9"/>
        <v>0.56000000000000005</v>
      </c>
      <c r="L102" s="3">
        <f t="shared" si="9"/>
        <v>0.56000000000000005</v>
      </c>
      <c r="M102" s="3">
        <f t="shared" si="9"/>
        <v>0.56000000000000005</v>
      </c>
      <c r="N102" s="3">
        <f t="shared" si="9"/>
        <v>0.56000000000000005</v>
      </c>
      <c r="O102" s="3">
        <f t="shared" si="9"/>
        <v>0.56000000000000005</v>
      </c>
      <c r="P102" s="3">
        <f t="shared" si="9"/>
        <v>0.56000000000000005</v>
      </c>
    </row>
    <row r="103" spans="1:16">
      <c r="A103" s="84" t="s">
        <v>279</v>
      </c>
      <c r="B103" s="85" t="s">
        <v>278</v>
      </c>
      <c r="C103" s="85" t="s">
        <v>74</v>
      </c>
      <c r="D103" s="84" t="s">
        <v>80</v>
      </c>
      <c r="E103" s="84">
        <f>VLOOKUP(A103,'2a. SI Pop'!$A$5:$E$198,5,FALSE)</f>
        <v>2</v>
      </c>
      <c r="F103" s="3">
        <f>SUMIFS(Input!$Q$5:$Q$44,Input!$O$5:$O$44,'6a. %FP-Routine'!E103,Input!$P$5:$P$44,"Routine")</f>
        <v>0.83</v>
      </c>
      <c r="G103" s="3">
        <f t="shared" si="9"/>
        <v>0.83</v>
      </c>
      <c r="H103" s="3">
        <f t="shared" si="9"/>
        <v>0.83</v>
      </c>
      <c r="I103" s="3">
        <f t="shared" si="9"/>
        <v>0.83</v>
      </c>
      <c r="J103" s="3">
        <f t="shared" si="9"/>
        <v>0.83</v>
      </c>
      <c r="K103" s="3">
        <f t="shared" si="9"/>
        <v>0.83</v>
      </c>
      <c r="L103" s="3">
        <f t="shared" si="9"/>
        <v>0.83</v>
      </c>
      <c r="M103" s="3">
        <f t="shared" si="9"/>
        <v>0.83</v>
      </c>
      <c r="N103" s="3">
        <f t="shared" si="9"/>
        <v>0.83</v>
      </c>
      <c r="O103" s="3">
        <f t="shared" si="9"/>
        <v>0.83</v>
      </c>
      <c r="P103" s="3">
        <f t="shared" si="9"/>
        <v>0.83</v>
      </c>
    </row>
    <row r="104" spans="1:16">
      <c r="A104" s="84" t="s">
        <v>281</v>
      </c>
      <c r="B104" s="85" t="s">
        <v>280</v>
      </c>
      <c r="C104" s="85" t="s">
        <v>79</v>
      </c>
      <c r="D104" s="84" t="s">
        <v>87</v>
      </c>
      <c r="E104" s="84">
        <f>VLOOKUP(A104,'2a. SI Pop'!$A$5:$E$198,5,FALSE)</f>
        <v>1</v>
      </c>
      <c r="F104" s="3">
        <f>SUMIFS(Input!$Q$5:$Q$44,Input!$O$5:$O$44,'6a. %FP-Routine'!E104,Input!$P$5:$P$44,"Routine")</f>
        <v>0.98</v>
      </c>
      <c r="G104" s="3">
        <f t="shared" si="9"/>
        <v>0.98</v>
      </c>
      <c r="H104" s="3">
        <f t="shared" si="9"/>
        <v>0.98</v>
      </c>
      <c r="I104" s="3">
        <f t="shared" si="9"/>
        <v>0.98</v>
      </c>
      <c r="J104" s="3">
        <f t="shared" si="9"/>
        <v>0.98</v>
      </c>
      <c r="K104" s="3">
        <f t="shared" si="9"/>
        <v>0.98</v>
      </c>
      <c r="L104" s="3">
        <f t="shared" si="9"/>
        <v>0.98</v>
      </c>
      <c r="M104" s="3">
        <f t="shared" si="9"/>
        <v>0.98</v>
      </c>
      <c r="N104" s="3">
        <f t="shared" si="9"/>
        <v>0.98</v>
      </c>
      <c r="O104" s="3">
        <f t="shared" si="9"/>
        <v>0.98</v>
      </c>
      <c r="P104" s="3">
        <f t="shared" si="9"/>
        <v>0.98</v>
      </c>
    </row>
    <row r="105" spans="1:16">
      <c r="A105" s="84" t="s">
        <v>283</v>
      </c>
      <c r="B105" s="85" t="s">
        <v>282</v>
      </c>
      <c r="C105" s="85" t="s">
        <v>79</v>
      </c>
      <c r="D105" s="84" t="s">
        <v>87</v>
      </c>
      <c r="E105" s="84">
        <f>VLOOKUP(A105,'2a. SI Pop'!$A$5:$E$198,5,FALSE)</f>
        <v>1</v>
      </c>
      <c r="F105" s="3">
        <f>SUMIFS(Input!$Q$5:$Q$44,Input!$O$5:$O$44,'6a. %FP-Routine'!E105,Input!$P$5:$P$44,"Routine")</f>
        <v>0.98</v>
      </c>
      <c r="G105" s="3">
        <f t="shared" si="9"/>
        <v>0.98</v>
      </c>
      <c r="H105" s="3">
        <f t="shared" si="9"/>
        <v>0.98</v>
      </c>
      <c r="I105" s="3">
        <f t="shared" si="9"/>
        <v>0.98</v>
      </c>
      <c r="J105" s="3">
        <f t="shared" si="9"/>
        <v>0.98</v>
      </c>
      <c r="K105" s="3">
        <f t="shared" si="9"/>
        <v>0.98</v>
      </c>
      <c r="L105" s="3">
        <f t="shared" si="9"/>
        <v>0.98</v>
      </c>
      <c r="M105" s="3">
        <f t="shared" si="9"/>
        <v>0.98</v>
      </c>
      <c r="N105" s="3">
        <f t="shared" si="9"/>
        <v>0.98</v>
      </c>
      <c r="O105" s="3">
        <f t="shared" si="9"/>
        <v>0.98</v>
      </c>
      <c r="P105" s="3">
        <f t="shared" si="9"/>
        <v>0.98</v>
      </c>
    </row>
    <row r="106" spans="1:16">
      <c r="A106" s="84" t="s">
        <v>285</v>
      </c>
      <c r="B106" s="85" t="s">
        <v>284</v>
      </c>
      <c r="C106" s="85" t="s">
        <v>79</v>
      </c>
      <c r="D106" s="84" t="s">
        <v>80</v>
      </c>
      <c r="E106" s="84">
        <f>VLOOKUP(A106,'2a. SI Pop'!$A$5:$E$198,5,FALSE)</f>
        <v>1</v>
      </c>
      <c r="F106" s="3">
        <f>SUMIFS(Input!$Q$5:$Q$44,Input!$O$5:$O$44,'6a. %FP-Routine'!E106,Input!$P$5:$P$44,"Routine")</f>
        <v>0.98</v>
      </c>
      <c r="G106" s="3">
        <f t="shared" si="9"/>
        <v>0.98</v>
      </c>
      <c r="H106" s="3">
        <f t="shared" si="9"/>
        <v>0.98</v>
      </c>
      <c r="I106" s="3">
        <f t="shared" si="9"/>
        <v>0.98</v>
      </c>
      <c r="J106" s="3">
        <f t="shared" si="9"/>
        <v>0.98</v>
      </c>
      <c r="K106" s="3">
        <f t="shared" si="9"/>
        <v>0.98</v>
      </c>
      <c r="L106" s="3">
        <f t="shared" si="9"/>
        <v>0.98</v>
      </c>
      <c r="M106" s="3">
        <f t="shared" si="9"/>
        <v>0.98</v>
      </c>
      <c r="N106" s="3">
        <f t="shared" si="9"/>
        <v>0.98</v>
      </c>
      <c r="O106" s="3">
        <f t="shared" si="9"/>
        <v>0.98</v>
      </c>
      <c r="P106" s="3">
        <f t="shared" si="9"/>
        <v>0.98</v>
      </c>
    </row>
    <row r="107" spans="1:16">
      <c r="A107" s="84" t="s">
        <v>287</v>
      </c>
      <c r="B107" s="85" t="s">
        <v>286</v>
      </c>
      <c r="C107" s="85" t="s">
        <v>83</v>
      </c>
      <c r="D107" s="84" t="s">
        <v>75</v>
      </c>
      <c r="E107" s="84">
        <f>VLOOKUP(A107,'2a. SI Pop'!$A$5:$E$198,5,FALSE)</f>
        <v>3</v>
      </c>
      <c r="F107" s="3">
        <f>SUMIFS(Input!$Q$5:$Q$44,Input!$O$5:$O$44,'6a. %FP-Routine'!E107,Input!$P$5:$P$44,"Routine")</f>
        <v>0.56000000000000005</v>
      </c>
      <c r="G107" s="3">
        <f t="shared" si="9"/>
        <v>0.56000000000000005</v>
      </c>
      <c r="H107" s="3">
        <f t="shared" si="9"/>
        <v>0.56000000000000005</v>
      </c>
      <c r="I107" s="3">
        <f t="shared" si="9"/>
        <v>0.56000000000000005</v>
      </c>
      <c r="J107" s="3">
        <f t="shared" si="9"/>
        <v>0.56000000000000005</v>
      </c>
      <c r="K107" s="3">
        <f t="shared" si="9"/>
        <v>0.56000000000000005</v>
      </c>
      <c r="L107" s="3">
        <f t="shared" si="9"/>
        <v>0.56000000000000005</v>
      </c>
      <c r="M107" s="3">
        <f t="shared" si="9"/>
        <v>0.56000000000000005</v>
      </c>
      <c r="N107" s="3">
        <f t="shared" si="9"/>
        <v>0.56000000000000005</v>
      </c>
      <c r="O107" s="3">
        <f t="shared" si="9"/>
        <v>0.56000000000000005</v>
      </c>
      <c r="P107" s="3">
        <f t="shared" si="9"/>
        <v>0.56000000000000005</v>
      </c>
    </row>
    <row r="108" spans="1:16">
      <c r="A108" s="84" t="s">
        <v>289</v>
      </c>
      <c r="B108" s="85" t="s">
        <v>288</v>
      </c>
      <c r="C108" s="85" t="s">
        <v>83</v>
      </c>
      <c r="D108" s="84" t="s">
        <v>75</v>
      </c>
      <c r="E108" s="84">
        <f>VLOOKUP(A108,'2a. SI Pop'!$A$5:$E$198,5,FALSE)</f>
        <v>3</v>
      </c>
      <c r="F108" s="3">
        <f>SUMIFS(Input!$Q$5:$Q$44,Input!$O$5:$O$44,'6a. %FP-Routine'!E108,Input!$P$5:$P$44,"Routine")</f>
        <v>0.56000000000000005</v>
      </c>
      <c r="G108" s="3">
        <f t="shared" si="9"/>
        <v>0.56000000000000005</v>
      </c>
      <c r="H108" s="3">
        <f t="shared" si="9"/>
        <v>0.56000000000000005</v>
      </c>
      <c r="I108" s="3">
        <f t="shared" si="9"/>
        <v>0.56000000000000005</v>
      </c>
      <c r="J108" s="3">
        <f t="shared" si="9"/>
        <v>0.56000000000000005</v>
      </c>
      <c r="K108" s="3">
        <f t="shared" si="9"/>
        <v>0.56000000000000005</v>
      </c>
      <c r="L108" s="3">
        <f t="shared" si="9"/>
        <v>0.56000000000000005</v>
      </c>
      <c r="M108" s="3">
        <f t="shared" si="9"/>
        <v>0.56000000000000005</v>
      </c>
      <c r="N108" s="3">
        <f t="shared" si="9"/>
        <v>0.56000000000000005</v>
      </c>
      <c r="O108" s="3">
        <f t="shared" si="9"/>
        <v>0.56000000000000005</v>
      </c>
      <c r="P108" s="3">
        <f t="shared" si="9"/>
        <v>0.56000000000000005</v>
      </c>
    </row>
    <row r="109" spans="1:16">
      <c r="A109" s="84" t="s">
        <v>291</v>
      </c>
      <c r="B109" s="85" t="s">
        <v>290</v>
      </c>
      <c r="C109" s="85" t="s">
        <v>99</v>
      </c>
      <c r="D109" s="84" t="s">
        <v>80</v>
      </c>
      <c r="E109" s="84">
        <f>VLOOKUP(A109,'2a. SI Pop'!$A$5:$E$198,5,FALSE)</f>
        <v>2</v>
      </c>
      <c r="F109" s="3">
        <f>SUMIFS(Input!$Q$5:$Q$44,Input!$O$5:$O$44,'6a. %FP-Routine'!E109,Input!$P$5:$P$44,"Routine")</f>
        <v>0.83</v>
      </c>
      <c r="G109" s="3">
        <f t="shared" si="9"/>
        <v>0.83</v>
      </c>
      <c r="H109" s="3">
        <f t="shared" si="9"/>
        <v>0.83</v>
      </c>
      <c r="I109" s="3">
        <f t="shared" si="9"/>
        <v>0.83</v>
      </c>
      <c r="J109" s="3">
        <f t="shared" si="9"/>
        <v>0.83</v>
      </c>
      <c r="K109" s="3">
        <f t="shared" si="9"/>
        <v>0.83</v>
      </c>
      <c r="L109" s="3">
        <f t="shared" si="9"/>
        <v>0.83</v>
      </c>
      <c r="M109" s="3">
        <f t="shared" si="9"/>
        <v>0.83</v>
      </c>
      <c r="N109" s="3">
        <f t="shared" si="9"/>
        <v>0.83</v>
      </c>
      <c r="O109" s="3">
        <f t="shared" si="9"/>
        <v>0.83</v>
      </c>
      <c r="P109" s="3">
        <f t="shared" si="9"/>
        <v>0.83</v>
      </c>
    </row>
    <row r="110" spans="1:16">
      <c r="A110" s="84" t="s">
        <v>293</v>
      </c>
      <c r="B110" s="85" t="s">
        <v>292</v>
      </c>
      <c r="C110" s="85" t="s">
        <v>110</v>
      </c>
      <c r="D110" s="84" t="s">
        <v>80</v>
      </c>
      <c r="E110" s="84">
        <f>VLOOKUP(A110,'2a. SI Pop'!$A$5:$E$198,5,FALSE)</f>
        <v>2</v>
      </c>
      <c r="F110" s="3">
        <f>SUMIFS(Input!$Q$5:$Q$44,Input!$O$5:$O$44,'6a. %FP-Routine'!E110,Input!$P$5:$P$44,"Routine")</f>
        <v>0.83</v>
      </c>
      <c r="G110" s="3">
        <f t="shared" si="9"/>
        <v>0.83</v>
      </c>
      <c r="H110" s="3">
        <f t="shared" si="9"/>
        <v>0.83</v>
      </c>
      <c r="I110" s="3">
        <f t="shared" si="9"/>
        <v>0.83</v>
      </c>
      <c r="J110" s="3">
        <f t="shared" si="9"/>
        <v>0.83</v>
      </c>
      <c r="K110" s="3">
        <f t="shared" si="9"/>
        <v>0.83</v>
      </c>
      <c r="L110" s="3">
        <f t="shared" si="9"/>
        <v>0.83</v>
      </c>
      <c r="M110" s="3">
        <f t="shared" si="9"/>
        <v>0.83</v>
      </c>
      <c r="N110" s="3">
        <f t="shared" si="9"/>
        <v>0.83</v>
      </c>
      <c r="O110" s="3">
        <f t="shared" si="9"/>
        <v>0.83</v>
      </c>
      <c r="P110" s="3">
        <f t="shared" si="9"/>
        <v>0.83</v>
      </c>
    </row>
    <row r="111" spans="1:16">
      <c r="A111" s="84" t="s">
        <v>295</v>
      </c>
      <c r="B111" s="85" t="s">
        <v>294</v>
      </c>
      <c r="C111" s="85" t="s">
        <v>83</v>
      </c>
      <c r="D111" s="84" t="s">
        <v>75</v>
      </c>
      <c r="E111" s="84">
        <f>VLOOKUP(A111,'2a. SI Pop'!$A$5:$E$198,5,FALSE)</f>
        <v>3</v>
      </c>
      <c r="F111" s="3">
        <f>SUMIFS(Input!$Q$5:$Q$44,Input!$O$5:$O$44,'6a. %FP-Routine'!E111,Input!$P$5:$P$44,"Routine")</f>
        <v>0.56000000000000005</v>
      </c>
      <c r="G111" s="3">
        <f t="shared" si="9"/>
        <v>0.56000000000000005</v>
      </c>
      <c r="H111" s="3">
        <f t="shared" si="9"/>
        <v>0.56000000000000005</v>
      </c>
      <c r="I111" s="3">
        <f t="shared" si="9"/>
        <v>0.56000000000000005</v>
      </c>
      <c r="J111" s="3">
        <f t="shared" si="9"/>
        <v>0.56000000000000005</v>
      </c>
      <c r="K111" s="3">
        <f t="shared" si="9"/>
        <v>0.56000000000000005</v>
      </c>
      <c r="L111" s="3">
        <f t="shared" si="9"/>
        <v>0.56000000000000005</v>
      </c>
      <c r="M111" s="3">
        <f t="shared" si="9"/>
        <v>0.56000000000000005</v>
      </c>
      <c r="N111" s="3">
        <f t="shared" si="9"/>
        <v>0.56000000000000005</v>
      </c>
      <c r="O111" s="3">
        <f t="shared" si="9"/>
        <v>0.56000000000000005</v>
      </c>
      <c r="P111" s="3">
        <f t="shared" si="9"/>
        <v>0.56000000000000005</v>
      </c>
    </row>
    <row r="112" spans="1:16">
      <c r="A112" s="84" t="s">
        <v>297</v>
      </c>
      <c r="B112" s="85" t="s">
        <v>296</v>
      </c>
      <c r="C112" s="85" t="s">
        <v>79</v>
      </c>
      <c r="D112" s="84" t="s">
        <v>87</v>
      </c>
      <c r="E112" s="84">
        <f>VLOOKUP(A112,'2a. SI Pop'!$A$5:$E$198,5,FALSE)</f>
        <v>1</v>
      </c>
      <c r="F112" s="3">
        <f>SUMIFS(Input!$Q$5:$Q$44,Input!$O$5:$O$44,'6a. %FP-Routine'!E112,Input!$P$5:$P$44,"Routine")</f>
        <v>0.98</v>
      </c>
      <c r="G112" s="3">
        <f t="shared" si="9"/>
        <v>0.98</v>
      </c>
      <c r="H112" s="3">
        <f t="shared" si="9"/>
        <v>0.98</v>
      </c>
      <c r="I112" s="3">
        <f t="shared" si="9"/>
        <v>0.98</v>
      </c>
      <c r="J112" s="3">
        <f t="shared" si="9"/>
        <v>0.98</v>
      </c>
      <c r="K112" s="3">
        <f t="shared" si="9"/>
        <v>0.98</v>
      </c>
      <c r="L112" s="3">
        <f t="shared" si="9"/>
        <v>0.98</v>
      </c>
      <c r="M112" s="3">
        <f t="shared" si="9"/>
        <v>0.98</v>
      </c>
      <c r="N112" s="3">
        <f t="shared" si="9"/>
        <v>0.98</v>
      </c>
      <c r="O112" s="3">
        <f t="shared" si="9"/>
        <v>0.98</v>
      </c>
      <c r="P112" s="3">
        <f t="shared" si="9"/>
        <v>0.98</v>
      </c>
    </row>
    <row r="113" spans="1:16">
      <c r="A113" s="84" t="s">
        <v>299</v>
      </c>
      <c r="B113" s="85" t="s">
        <v>298</v>
      </c>
      <c r="C113" s="85" t="s">
        <v>99</v>
      </c>
      <c r="D113" s="84" t="s">
        <v>80</v>
      </c>
      <c r="E113" s="84">
        <f>VLOOKUP(A113,'2a. SI Pop'!$A$5:$E$198,5,FALSE)</f>
        <v>1</v>
      </c>
      <c r="F113" s="3">
        <f>SUMIFS(Input!$Q$5:$Q$44,Input!$O$5:$O$44,'6a. %FP-Routine'!E113,Input!$P$5:$P$44,"Routine")</f>
        <v>0.98</v>
      </c>
      <c r="G113" s="3">
        <f t="shared" si="9"/>
        <v>0.98</v>
      </c>
      <c r="H113" s="3">
        <f t="shared" si="9"/>
        <v>0.98</v>
      </c>
      <c r="I113" s="3">
        <f t="shared" si="9"/>
        <v>0.98</v>
      </c>
      <c r="J113" s="3">
        <f t="shared" si="9"/>
        <v>0.98</v>
      </c>
      <c r="K113" s="3">
        <f t="shared" si="9"/>
        <v>0.98</v>
      </c>
      <c r="L113" s="3">
        <f t="shared" si="9"/>
        <v>0.98</v>
      </c>
      <c r="M113" s="3">
        <f t="shared" si="9"/>
        <v>0.98</v>
      </c>
      <c r="N113" s="3">
        <f t="shared" si="9"/>
        <v>0.98</v>
      </c>
      <c r="O113" s="3">
        <f t="shared" si="9"/>
        <v>0.98</v>
      </c>
      <c r="P113" s="3">
        <f t="shared" si="9"/>
        <v>0.98</v>
      </c>
    </row>
    <row r="114" spans="1:16">
      <c r="A114" s="84" t="s">
        <v>301</v>
      </c>
      <c r="B114" s="85" t="s">
        <v>300</v>
      </c>
      <c r="C114" s="85" t="s">
        <v>83</v>
      </c>
      <c r="D114" s="84" t="s">
        <v>84</v>
      </c>
      <c r="E114" s="84">
        <f>VLOOKUP(A114,'2a. SI Pop'!$A$5:$E$198,5,FALSE)</f>
        <v>3</v>
      </c>
      <c r="F114" s="3">
        <f>SUMIFS(Input!$Q$5:$Q$44,Input!$O$5:$O$44,'6a. %FP-Routine'!E114,Input!$P$5:$P$44,"Routine")</f>
        <v>0.56000000000000005</v>
      </c>
      <c r="G114" s="3">
        <f t="shared" si="9"/>
        <v>0.56000000000000005</v>
      </c>
      <c r="H114" s="3">
        <f t="shared" si="9"/>
        <v>0.56000000000000005</v>
      </c>
      <c r="I114" s="3">
        <f t="shared" si="9"/>
        <v>0.56000000000000005</v>
      </c>
      <c r="J114" s="3">
        <f t="shared" si="9"/>
        <v>0.56000000000000005</v>
      </c>
      <c r="K114" s="3">
        <f t="shared" si="9"/>
        <v>0.56000000000000005</v>
      </c>
      <c r="L114" s="3">
        <f t="shared" si="9"/>
        <v>0.56000000000000005</v>
      </c>
      <c r="M114" s="3">
        <f t="shared" si="9"/>
        <v>0.56000000000000005</v>
      </c>
      <c r="N114" s="3">
        <f t="shared" si="9"/>
        <v>0.56000000000000005</v>
      </c>
      <c r="O114" s="3">
        <f t="shared" si="9"/>
        <v>0.56000000000000005</v>
      </c>
      <c r="P114" s="3">
        <f t="shared" si="9"/>
        <v>0.56000000000000005</v>
      </c>
    </row>
    <row r="115" spans="1:16">
      <c r="A115" s="84" t="s">
        <v>303</v>
      </c>
      <c r="B115" s="85" t="s">
        <v>302</v>
      </c>
      <c r="C115" s="85" t="s">
        <v>83</v>
      </c>
      <c r="D115" s="84" t="s">
        <v>87</v>
      </c>
      <c r="E115" s="84">
        <f>VLOOKUP(A115,'2a. SI Pop'!$A$5:$E$198,5,FALSE)</f>
        <v>1</v>
      </c>
      <c r="F115" s="3">
        <f>SUMIFS(Input!$Q$5:$Q$44,Input!$O$5:$O$44,'6a. %FP-Routine'!E115,Input!$P$5:$P$44,"Routine")</f>
        <v>0.98</v>
      </c>
      <c r="G115" s="3">
        <f t="shared" si="9"/>
        <v>0.98</v>
      </c>
      <c r="H115" s="3">
        <f t="shared" si="9"/>
        <v>0.98</v>
      </c>
      <c r="I115" s="3">
        <f t="shared" si="9"/>
        <v>0.98</v>
      </c>
      <c r="J115" s="3">
        <f t="shared" si="9"/>
        <v>0.98</v>
      </c>
      <c r="K115" s="3">
        <f t="shared" si="9"/>
        <v>0.98</v>
      </c>
      <c r="L115" s="3">
        <f t="shared" si="9"/>
        <v>0.98</v>
      </c>
      <c r="M115" s="3">
        <f t="shared" si="9"/>
        <v>0.98</v>
      </c>
      <c r="N115" s="3">
        <f t="shared" si="9"/>
        <v>0.98</v>
      </c>
      <c r="O115" s="3">
        <f t="shared" si="9"/>
        <v>0.98</v>
      </c>
      <c r="P115" s="3">
        <f t="shared" si="9"/>
        <v>0.98</v>
      </c>
    </row>
    <row r="116" spans="1:16">
      <c r="A116" s="84" t="s">
        <v>305</v>
      </c>
      <c r="B116" s="85" t="s">
        <v>304</v>
      </c>
      <c r="C116" s="85" t="s">
        <v>92</v>
      </c>
      <c r="D116" s="84" t="s">
        <v>80</v>
      </c>
      <c r="E116" s="84">
        <f>VLOOKUP(A116,'2a. SI Pop'!$A$5:$E$198,5,FALSE)</f>
        <v>2</v>
      </c>
      <c r="F116" s="3">
        <f>SUMIFS(Input!$Q$5:$Q$44,Input!$O$5:$O$44,'6a. %FP-Routine'!E116,Input!$P$5:$P$44,"Routine")</f>
        <v>0.83</v>
      </c>
      <c r="G116" s="3">
        <f t="shared" si="9"/>
        <v>0.83</v>
      </c>
      <c r="H116" s="3">
        <f t="shared" si="9"/>
        <v>0.83</v>
      </c>
      <c r="I116" s="3">
        <f t="shared" si="9"/>
        <v>0.83</v>
      </c>
      <c r="J116" s="3">
        <f t="shared" si="9"/>
        <v>0.83</v>
      </c>
      <c r="K116" s="3">
        <f t="shared" si="9"/>
        <v>0.83</v>
      </c>
      <c r="L116" s="3">
        <f t="shared" si="9"/>
        <v>0.83</v>
      </c>
      <c r="M116" s="3">
        <f t="shared" si="9"/>
        <v>0.83</v>
      </c>
      <c r="N116" s="3">
        <f t="shared" si="9"/>
        <v>0.83</v>
      </c>
      <c r="O116" s="3">
        <f t="shared" si="9"/>
        <v>0.83</v>
      </c>
      <c r="P116" s="3">
        <f t="shared" si="9"/>
        <v>0.83</v>
      </c>
    </row>
    <row r="117" spans="1:16">
      <c r="A117" s="84" t="s">
        <v>307</v>
      </c>
      <c r="B117" s="85" t="s">
        <v>306</v>
      </c>
      <c r="C117" s="85" t="s">
        <v>99</v>
      </c>
      <c r="D117" s="84" t="s">
        <v>84</v>
      </c>
      <c r="E117" s="84">
        <f>VLOOKUP(A117,'2a. SI Pop'!$A$5:$E$198,5,FALSE)</f>
        <v>1</v>
      </c>
      <c r="F117" s="3">
        <f>SUMIFS(Input!$Q$5:$Q$44,Input!$O$5:$O$44,'6a. %FP-Routine'!E117,Input!$P$5:$P$44,"Routine")</f>
        <v>0.98</v>
      </c>
      <c r="G117" s="3">
        <f t="shared" si="9"/>
        <v>0.98</v>
      </c>
      <c r="H117" s="3">
        <f t="shared" si="9"/>
        <v>0.98</v>
      </c>
      <c r="I117" s="3">
        <f t="shared" si="9"/>
        <v>0.98</v>
      </c>
      <c r="J117" s="3">
        <f t="shared" si="9"/>
        <v>0.98</v>
      </c>
      <c r="K117" s="3">
        <f t="shared" si="9"/>
        <v>0.98</v>
      </c>
      <c r="L117" s="3">
        <f t="shared" si="9"/>
        <v>0.98</v>
      </c>
      <c r="M117" s="3">
        <f t="shared" si="9"/>
        <v>0.98</v>
      </c>
      <c r="N117" s="3">
        <f t="shared" si="9"/>
        <v>0.98</v>
      </c>
      <c r="O117" s="3">
        <f t="shared" si="9"/>
        <v>0.98</v>
      </c>
      <c r="P117" s="3">
        <f t="shared" si="9"/>
        <v>0.98</v>
      </c>
    </row>
    <row r="118" spans="1:16">
      <c r="A118" s="84" t="s">
        <v>309</v>
      </c>
      <c r="B118" s="85" t="s">
        <v>308</v>
      </c>
      <c r="C118" s="85" t="s">
        <v>79</v>
      </c>
      <c r="D118" s="84" t="s">
        <v>84</v>
      </c>
      <c r="E118" s="84">
        <f>VLOOKUP(A118,'2a. SI Pop'!$A$5:$E$198,5,FALSE)</f>
        <v>1</v>
      </c>
      <c r="F118" s="3">
        <f>SUMIFS(Input!$Q$5:$Q$44,Input!$O$5:$O$44,'6a. %FP-Routine'!E118,Input!$P$5:$P$44,"Routine")</f>
        <v>0.98</v>
      </c>
      <c r="G118" s="3">
        <f t="shared" ref="G118:P133" si="10">F118</f>
        <v>0.98</v>
      </c>
      <c r="H118" s="3">
        <f t="shared" si="10"/>
        <v>0.98</v>
      </c>
      <c r="I118" s="3">
        <f t="shared" si="10"/>
        <v>0.98</v>
      </c>
      <c r="J118" s="3">
        <f t="shared" si="10"/>
        <v>0.98</v>
      </c>
      <c r="K118" s="3">
        <f t="shared" si="10"/>
        <v>0.98</v>
      </c>
      <c r="L118" s="3">
        <f t="shared" si="10"/>
        <v>0.98</v>
      </c>
      <c r="M118" s="3">
        <f t="shared" si="10"/>
        <v>0.98</v>
      </c>
      <c r="N118" s="3">
        <f t="shared" si="10"/>
        <v>0.98</v>
      </c>
      <c r="O118" s="3">
        <f t="shared" si="10"/>
        <v>0.98</v>
      </c>
      <c r="P118" s="3">
        <f t="shared" si="10"/>
        <v>0.98</v>
      </c>
    </row>
    <row r="119" spans="1:16">
      <c r="A119" s="84" t="s">
        <v>311</v>
      </c>
      <c r="B119" s="85" t="s">
        <v>310</v>
      </c>
      <c r="C119" s="85" t="s">
        <v>79</v>
      </c>
      <c r="D119" s="84" t="s">
        <v>87</v>
      </c>
      <c r="E119" s="84">
        <f>VLOOKUP(A119,'2a. SI Pop'!$A$5:$E$198,5,FALSE)</f>
        <v>1</v>
      </c>
      <c r="F119" s="3">
        <f>SUMIFS(Input!$Q$5:$Q$44,Input!$O$5:$O$44,'6a. %FP-Routine'!E119,Input!$P$5:$P$44,"Routine")</f>
        <v>0.98</v>
      </c>
      <c r="G119" s="3">
        <f t="shared" si="10"/>
        <v>0.98</v>
      </c>
      <c r="H119" s="3">
        <f t="shared" si="10"/>
        <v>0.98</v>
      </c>
      <c r="I119" s="3">
        <f t="shared" si="10"/>
        <v>0.98</v>
      </c>
      <c r="J119" s="3">
        <f t="shared" si="10"/>
        <v>0.98</v>
      </c>
      <c r="K119" s="3">
        <f t="shared" si="10"/>
        <v>0.98</v>
      </c>
      <c r="L119" s="3">
        <f t="shared" si="10"/>
        <v>0.98</v>
      </c>
      <c r="M119" s="3">
        <f t="shared" si="10"/>
        <v>0.98</v>
      </c>
      <c r="N119" s="3">
        <f t="shared" si="10"/>
        <v>0.98</v>
      </c>
      <c r="O119" s="3">
        <f t="shared" si="10"/>
        <v>0.98</v>
      </c>
      <c r="P119" s="3">
        <f t="shared" si="10"/>
        <v>0.98</v>
      </c>
    </row>
    <row r="120" spans="1:16">
      <c r="A120" s="84" t="s">
        <v>313</v>
      </c>
      <c r="B120" s="85" t="s">
        <v>312</v>
      </c>
      <c r="C120" s="85" t="s">
        <v>99</v>
      </c>
      <c r="D120" s="84" t="s">
        <v>84</v>
      </c>
      <c r="E120" s="84">
        <f>VLOOKUP(A120,'2a. SI Pop'!$A$5:$E$198,5,FALSE)</f>
        <v>2</v>
      </c>
      <c r="F120" s="3">
        <f>SUMIFS(Input!$Q$5:$Q$44,Input!$O$5:$O$44,'6a. %FP-Routine'!E120,Input!$P$5:$P$44,"Routine")</f>
        <v>0.83</v>
      </c>
      <c r="G120" s="3">
        <f t="shared" si="10"/>
        <v>0.83</v>
      </c>
      <c r="H120" s="3">
        <f t="shared" si="10"/>
        <v>0.83</v>
      </c>
      <c r="I120" s="3">
        <f t="shared" si="10"/>
        <v>0.83</v>
      </c>
      <c r="J120" s="3">
        <f t="shared" si="10"/>
        <v>0.83</v>
      </c>
      <c r="K120" s="3">
        <f t="shared" si="10"/>
        <v>0.83</v>
      </c>
      <c r="L120" s="3">
        <f t="shared" si="10"/>
        <v>0.83</v>
      </c>
      <c r="M120" s="3">
        <f t="shared" si="10"/>
        <v>0.83</v>
      </c>
      <c r="N120" s="3">
        <f t="shared" si="10"/>
        <v>0.83</v>
      </c>
      <c r="O120" s="3">
        <f t="shared" si="10"/>
        <v>0.83</v>
      </c>
      <c r="P120" s="3">
        <f t="shared" si="10"/>
        <v>0.83</v>
      </c>
    </row>
    <row r="121" spans="1:16">
      <c r="A121" s="84" t="s">
        <v>315</v>
      </c>
      <c r="B121" s="85" t="s">
        <v>314</v>
      </c>
      <c r="C121" s="85" t="s">
        <v>79</v>
      </c>
      <c r="D121" s="84" t="s">
        <v>80</v>
      </c>
      <c r="E121" s="84">
        <f>VLOOKUP(A121,'2a. SI Pop'!$A$5:$E$198,5,FALSE)</f>
        <v>1</v>
      </c>
      <c r="F121" s="3">
        <f>SUMIFS(Input!$Q$5:$Q$44,Input!$O$5:$O$44,'6a. %FP-Routine'!E121,Input!$P$5:$P$44,"Routine")</f>
        <v>0.98</v>
      </c>
      <c r="G121" s="3">
        <f t="shared" si="10"/>
        <v>0.98</v>
      </c>
      <c r="H121" s="3">
        <f t="shared" si="10"/>
        <v>0.98</v>
      </c>
      <c r="I121" s="3">
        <f t="shared" si="10"/>
        <v>0.98</v>
      </c>
      <c r="J121" s="3">
        <f t="shared" si="10"/>
        <v>0.98</v>
      </c>
      <c r="K121" s="3">
        <f t="shared" si="10"/>
        <v>0.98</v>
      </c>
      <c r="L121" s="3">
        <f t="shared" si="10"/>
        <v>0.98</v>
      </c>
      <c r="M121" s="3">
        <f t="shared" si="10"/>
        <v>0.98</v>
      </c>
      <c r="N121" s="3">
        <f t="shared" si="10"/>
        <v>0.98</v>
      </c>
      <c r="O121" s="3">
        <f t="shared" si="10"/>
        <v>0.98</v>
      </c>
      <c r="P121" s="3">
        <f t="shared" si="10"/>
        <v>0.98</v>
      </c>
    </row>
    <row r="122" spans="1:16">
      <c r="A122" s="84" t="s">
        <v>317</v>
      </c>
      <c r="B122" s="85" t="s">
        <v>316</v>
      </c>
      <c r="C122" s="85" t="s">
        <v>74</v>
      </c>
      <c r="D122" s="84" t="s">
        <v>84</v>
      </c>
      <c r="E122" s="84">
        <f>VLOOKUP(A122,'2a. SI Pop'!$A$5:$E$198,5,FALSE)</f>
        <v>3</v>
      </c>
      <c r="F122" s="3">
        <f>SUMIFS(Input!$Q$5:$Q$44,Input!$O$5:$O$44,'6a. %FP-Routine'!E122,Input!$P$5:$P$44,"Routine")</f>
        <v>0.56000000000000005</v>
      </c>
      <c r="G122" s="3">
        <f t="shared" si="10"/>
        <v>0.56000000000000005</v>
      </c>
      <c r="H122" s="3">
        <f t="shared" si="10"/>
        <v>0.56000000000000005</v>
      </c>
      <c r="I122" s="3">
        <f t="shared" si="10"/>
        <v>0.56000000000000005</v>
      </c>
      <c r="J122" s="3">
        <f t="shared" si="10"/>
        <v>0.56000000000000005</v>
      </c>
      <c r="K122" s="3">
        <f t="shared" si="10"/>
        <v>0.56000000000000005</v>
      </c>
      <c r="L122" s="3">
        <f t="shared" si="10"/>
        <v>0.56000000000000005</v>
      </c>
      <c r="M122" s="3">
        <f t="shared" si="10"/>
        <v>0.56000000000000005</v>
      </c>
      <c r="N122" s="3">
        <f t="shared" si="10"/>
        <v>0.56000000000000005</v>
      </c>
      <c r="O122" s="3">
        <f t="shared" si="10"/>
        <v>0.56000000000000005</v>
      </c>
      <c r="P122" s="3">
        <f t="shared" si="10"/>
        <v>0.56000000000000005</v>
      </c>
    </row>
    <row r="123" spans="1:16">
      <c r="A123" s="84" t="s">
        <v>319</v>
      </c>
      <c r="B123" s="85" t="s">
        <v>318</v>
      </c>
      <c r="C123" s="85" t="s">
        <v>83</v>
      </c>
      <c r="D123" s="84" t="s">
        <v>75</v>
      </c>
      <c r="E123" s="84" t="str">
        <f>VLOOKUP(A123,'2a. SI Pop'!$A$5:$E$198,5,FALSE)</f>
        <v>Key</v>
      </c>
      <c r="F123" s="3">
        <f>SUMIFS(Input!$Q$5:$Q$44,Input!$O$5:$O$44,'6a. %FP-Routine'!A123,Input!$P$5:$P$44,"Routine")</f>
        <v>0.5</v>
      </c>
      <c r="G123" s="3">
        <f t="shared" si="10"/>
        <v>0.5</v>
      </c>
      <c r="H123" s="3">
        <f t="shared" si="10"/>
        <v>0.5</v>
      </c>
      <c r="I123" s="3">
        <f t="shared" si="10"/>
        <v>0.5</v>
      </c>
      <c r="J123" s="3">
        <f t="shared" si="10"/>
        <v>0.5</v>
      </c>
      <c r="K123" s="3">
        <f t="shared" si="10"/>
        <v>0.5</v>
      </c>
      <c r="L123" s="3">
        <f t="shared" si="10"/>
        <v>0.5</v>
      </c>
      <c r="M123" s="3">
        <f t="shared" si="10"/>
        <v>0.5</v>
      </c>
      <c r="N123" s="3">
        <f t="shared" si="10"/>
        <v>0.5</v>
      </c>
      <c r="O123" s="3">
        <f t="shared" si="10"/>
        <v>0.5</v>
      </c>
      <c r="P123" s="3">
        <f t="shared" si="10"/>
        <v>0.5</v>
      </c>
    </row>
    <row r="124" spans="1:16">
      <c r="A124" s="84" t="s">
        <v>321</v>
      </c>
      <c r="B124" s="85" t="s">
        <v>320</v>
      </c>
      <c r="C124" s="85" t="s">
        <v>110</v>
      </c>
      <c r="D124" s="84" t="s">
        <v>84</v>
      </c>
      <c r="E124" s="84">
        <f>VLOOKUP(A124,'2a. SI Pop'!$A$5:$E$198,5,FALSE)</f>
        <v>4</v>
      </c>
      <c r="F124" s="3">
        <f>SUMIFS(Input!$Q$5:$Q$44,Input!$O$5:$O$44,'6a. %FP-Routine'!E124,Input!$P$5:$P$44,"Routine")</f>
        <v>0.56000000000000005</v>
      </c>
      <c r="G124" s="3">
        <f t="shared" si="10"/>
        <v>0.56000000000000005</v>
      </c>
      <c r="H124" s="3">
        <f t="shared" si="10"/>
        <v>0.56000000000000005</v>
      </c>
      <c r="I124" s="3">
        <f t="shared" si="10"/>
        <v>0.56000000000000005</v>
      </c>
      <c r="J124" s="3">
        <f t="shared" si="10"/>
        <v>0.56000000000000005</v>
      </c>
      <c r="K124" s="3">
        <f t="shared" si="10"/>
        <v>0.56000000000000005</v>
      </c>
      <c r="L124" s="3">
        <f t="shared" si="10"/>
        <v>0.56000000000000005</v>
      </c>
      <c r="M124" s="3">
        <f t="shared" si="10"/>
        <v>0.56000000000000005</v>
      </c>
      <c r="N124" s="3">
        <f t="shared" si="10"/>
        <v>0.56000000000000005</v>
      </c>
      <c r="O124" s="3">
        <f t="shared" si="10"/>
        <v>0.56000000000000005</v>
      </c>
      <c r="P124" s="3">
        <f t="shared" si="10"/>
        <v>0.56000000000000005</v>
      </c>
    </row>
    <row r="125" spans="1:16">
      <c r="A125" s="84" t="s">
        <v>323</v>
      </c>
      <c r="B125" s="85" t="s">
        <v>322</v>
      </c>
      <c r="C125" s="85" t="s">
        <v>83</v>
      </c>
      <c r="D125" s="84" t="s">
        <v>80</v>
      </c>
      <c r="E125" s="84">
        <f>VLOOKUP(A125,'2a. SI Pop'!$A$5:$E$198,5,FALSE)</f>
        <v>3</v>
      </c>
      <c r="F125" s="3">
        <f>SUMIFS(Input!$Q$5:$Q$44,Input!$O$5:$O$44,'6a. %FP-Routine'!E125,Input!$P$5:$P$44,"Routine")</f>
        <v>0.56000000000000005</v>
      </c>
      <c r="G125" s="3">
        <f t="shared" si="10"/>
        <v>0.56000000000000005</v>
      </c>
      <c r="H125" s="3">
        <f t="shared" si="10"/>
        <v>0.56000000000000005</v>
      </c>
      <c r="I125" s="3">
        <f t="shared" si="10"/>
        <v>0.56000000000000005</v>
      </c>
      <c r="J125" s="3">
        <f t="shared" si="10"/>
        <v>0.56000000000000005</v>
      </c>
      <c r="K125" s="3">
        <f t="shared" si="10"/>
        <v>0.56000000000000005</v>
      </c>
      <c r="L125" s="3">
        <f t="shared" si="10"/>
        <v>0.56000000000000005</v>
      </c>
      <c r="M125" s="3">
        <f t="shared" si="10"/>
        <v>0.56000000000000005</v>
      </c>
      <c r="N125" s="3">
        <f t="shared" si="10"/>
        <v>0.56000000000000005</v>
      </c>
      <c r="O125" s="3">
        <f t="shared" si="10"/>
        <v>0.56000000000000005</v>
      </c>
      <c r="P125" s="3">
        <f t="shared" si="10"/>
        <v>0.56000000000000005</v>
      </c>
    </row>
    <row r="126" spans="1:16">
      <c r="A126" s="84" t="s">
        <v>325</v>
      </c>
      <c r="B126" s="85" t="s">
        <v>324</v>
      </c>
      <c r="C126" s="85" t="s">
        <v>99</v>
      </c>
      <c r="D126" s="84" t="s">
        <v>87</v>
      </c>
      <c r="E126" s="84">
        <f>VLOOKUP(A126,'2a. SI Pop'!$A$5:$E$198,5,FALSE)</f>
        <v>1</v>
      </c>
      <c r="F126" s="3">
        <f>SUMIFS(Input!$Q$5:$Q$44,Input!$O$5:$O$44,'6a. %FP-Routine'!E126,Input!$P$5:$P$44,"Routine")</f>
        <v>0.98</v>
      </c>
      <c r="G126" s="3">
        <f t="shared" si="10"/>
        <v>0.98</v>
      </c>
      <c r="H126" s="3">
        <f t="shared" si="10"/>
        <v>0.98</v>
      </c>
      <c r="I126" s="3">
        <f t="shared" si="10"/>
        <v>0.98</v>
      </c>
      <c r="J126" s="3">
        <f t="shared" si="10"/>
        <v>0.98</v>
      </c>
      <c r="K126" s="3">
        <f t="shared" si="10"/>
        <v>0.98</v>
      </c>
      <c r="L126" s="3">
        <f t="shared" si="10"/>
        <v>0.98</v>
      </c>
      <c r="M126" s="3">
        <f t="shared" si="10"/>
        <v>0.98</v>
      </c>
      <c r="N126" s="3">
        <f t="shared" si="10"/>
        <v>0.98</v>
      </c>
      <c r="O126" s="3">
        <f t="shared" si="10"/>
        <v>0.98</v>
      </c>
      <c r="P126" s="3">
        <f t="shared" si="10"/>
        <v>0.98</v>
      </c>
    </row>
    <row r="127" spans="1:16">
      <c r="A127" s="84" t="s">
        <v>327</v>
      </c>
      <c r="B127" s="85" t="s">
        <v>326</v>
      </c>
      <c r="C127" s="85" t="s">
        <v>110</v>
      </c>
      <c r="D127" s="84" t="s">
        <v>84</v>
      </c>
      <c r="E127" s="84">
        <f>VLOOKUP(A127,'2a. SI Pop'!$A$5:$E$198,5,FALSE)</f>
        <v>4</v>
      </c>
      <c r="F127" s="3">
        <f>SUMIFS(Input!$Q$5:$Q$44,Input!$O$5:$O$44,'6a. %FP-Routine'!E127,Input!$P$5:$P$44,"Routine")</f>
        <v>0.56000000000000005</v>
      </c>
      <c r="G127" s="3">
        <f t="shared" si="10"/>
        <v>0.56000000000000005</v>
      </c>
      <c r="H127" s="3">
        <f t="shared" si="10"/>
        <v>0.56000000000000005</v>
      </c>
      <c r="I127" s="3">
        <f t="shared" si="10"/>
        <v>0.56000000000000005</v>
      </c>
      <c r="J127" s="3">
        <f t="shared" si="10"/>
        <v>0.56000000000000005</v>
      </c>
      <c r="K127" s="3">
        <f t="shared" si="10"/>
        <v>0.56000000000000005</v>
      </c>
      <c r="L127" s="3">
        <f t="shared" si="10"/>
        <v>0.56000000000000005</v>
      </c>
      <c r="M127" s="3">
        <f t="shared" si="10"/>
        <v>0.56000000000000005</v>
      </c>
      <c r="N127" s="3">
        <f t="shared" si="10"/>
        <v>0.56000000000000005</v>
      </c>
      <c r="O127" s="3">
        <f t="shared" si="10"/>
        <v>0.56000000000000005</v>
      </c>
      <c r="P127" s="3">
        <f t="shared" si="10"/>
        <v>0.56000000000000005</v>
      </c>
    </row>
    <row r="128" spans="1:16">
      <c r="A128" s="84" t="s">
        <v>329</v>
      </c>
      <c r="B128" s="85" t="s">
        <v>328</v>
      </c>
      <c r="C128" s="85" t="s">
        <v>79</v>
      </c>
      <c r="D128" s="84" t="s">
        <v>87</v>
      </c>
      <c r="E128" s="84">
        <f>VLOOKUP(A128,'2a. SI Pop'!$A$5:$E$198,5,FALSE)</f>
        <v>1</v>
      </c>
      <c r="F128" s="3">
        <f>SUMIFS(Input!$Q$5:$Q$44,Input!$O$5:$O$44,'6a. %FP-Routine'!E128,Input!$P$5:$P$44,"Routine")</f>
        <v>0.98</v>
      </c>
      <c r="G128" s="3">
        <f t="shared" si="10"/>
        <v>0.98</v>
      </c>
      <c r="H128" s="3">
        <f t="shared" si="10"/>
        <v>0.98</v>
      </c>
      <c r="I128" s="3">
        <f t="shared" si="10"/>
        <v>0.98</v>
      </c>
      <c r="J128" s="3">
        <f t="shared" si="10"/>
        <v>0.98</v>
      </c>
      <c r="K128" s="3">
        <f t="shared" si="10"/>
        <v>0.98</v>
      </c>
      <c r="L128" s="3">
        <f t="shared" si="10"/>
        <v>0.98</v>
      </c>
      <c r="M128" s="3">
        <f t="shared" si="10"/>
        <v>0.98</v>
      </c>
      <c r="N128" s="3">
        <f t="shared" si="10"/>
        <v>0.98</v>
      </c>
      <c r="O128" s="3">
        <f t="shared" si="10"/>
        <v>0.98</v>
      </c>
      <c r="P128" s="3">
        <f t="shared" si="10"/>
        <v>0.98</v>
      </c>
    </row>
    <row r="129" spans="1:16">
      <c r="A129" s="84" t="s">
        <v>331</v>
      </c>
      <c r="B129" s="85" t="s">
        <v>330</v>
      </c>
      <c r="C129" s="85" t="s">
        <v>99</v>
      </c>
      <c r="D129" s="84" t="s">
        <v>87</v>
      </c>
      <c r="E129" s="84">
        <f>VLOOKUP(A129,'2a. SI Pop'!$A$5:$E$198,5,FALSE)</f>
        <v>1</v>
      </c>
      <c r="F129" s="3">
        <f>SUMIFS(Input!$Q$5:$Q$44,Input!$O$5:$O$44,'6a. %FP-Routine'!E129,Input!$P$5:$P$44,"Routine")</f>
        <v>0.98</v>
      </c>
      <c r="G129" s="3">
        <f t="shared" si="10"/>
        <v>0.98</v>
      </c>
      <c r="H129" s="3">
        <f t="shared" si="10"/>
        <v>0.98</v>
      </c>
      <c r="I129" s="3">
        <f t="shared" si="10"/>
        <v>0.98</v>
      </c>
      <c r="J129" s="3">
        <f t="shared" si="10"/>
        <v>0.98</v>
      </c>
      <c r="K129" s="3">
        <f t="shared" si="10"/>
        <v>0.98</v>
      </c>
      <c r="L129" s="3">
        <f t="shared" si="10"/>
        <v>0.98</v>
      </c>
      <c r="M129" s="3">
        <f t="shared" si="10"/>
        <v>0.98</v>
      </c>
      <c r="N129" s="3">
        <f t="shared" si="10"/>
        <v>0.98</v>
      </c>
      <c r="O129" s="3">
        <f t="shared" si="10"/>
        <v>0.98</v>
      </c>
      <c r="P129" s="3">
        <f t="shared" si="10"/>
        <v>0.98</v>
      </c>
    </row>
    <row r="130" spans="1:16">
      <c r="A130" s="84" t="s">
        <v>333</v>
      </c>
      <c r="B130" s="85" t="s">
        <v>332</v>
      </c>
      <c r="C130" s="85" t="s">
        <v>92</v>
      </c>
      <c r="D130" s="84" t="s">
        <v>84</v>
      </c>
      <c r="E130" s="84">
        <f>VLOOKUP(A130,'2a. SI Pop'!$A$5:$E$198,5,FALSE)</f>
        <v>2</v>
      </c>
      <c r="F130" s="3">
        <f>SUMIFS(Input!$Q$5:$Q$44,Input!$O$5:$O$44,'6a. %FP-Routine'!E130,Input!$P$5:$P$44,"Routine")</f>
        <v>0.83</v>
      </c>
      <c r="G130" s="3">
        <f t="shared" si="10"/>
        <v>0.83</v>
      </c>
      <c r="H130" s="3">
        <f t="shared" si="10"/>
        <v>0.83</v>
      </c>
      <c r="I130" s="3">
        <f t="shared" si="10"/>
        <v>0.83</v>
      </c>
      <c r="J130" s="3">
        <f t="shared" si="10"/>
        <v>0.83</v>
      </c>
      <c r="K130" s="3">
        <f t="shared" si="10"/>
        <v>0.83</v>
      </c>
      <c r="L130" s="3">
        <f t="shared" si="10"/>
        <v>0.83</v>
      </c>
      <c r="M130" s="3">
        <f t="shared" si="10"/>
        <v>0.83</v>
      </c>
      <c r="N130" s="3">
        <f t="shared" si="10"/>
        <v>0.83</v>
      </c>
      <c r="O130" s="3">
        <f t="shared" si="10"/>
        <v>0.83</v>
      </c>
      <c r="P130" s="3">
        <f t="shared" si="10"/>
        <v>0.83</v>
      </c>
    </row>
    <row r="131" spans="1:16">
      <c r="A131" s="84" t="s">
        <v>335</v>
      </c>
      <c r="B131" s="85" t="s">
        <v>334</v>
      </c>
      <c r="C131" s="85" t="s">
        <v>83</v>
      </c>
      <c r="D131" s="84" t="s">
        <v>75</v>
      </c>
      <c r="E131" s="84">
        <f>VLOOKUP(A131,'2a. SI Pop'!$A$5:$E$198,5,FALSE)</f>
        <v>3</v>
      </c>
      <c r="F131" s="3">
        <f>SUMIFS(Input!$Q$5:$Q$44,Input!$O$5:$O$44,'6a. %FP-Routine'!E131,Input!$P$5:$P$44,"Routine")</f>
        <v>0.56000000000000005</v>
      </c>
      <c r="G131" s="3">
        <f t="shared" si="10"/>
        <v>0.56000000000000005</v>
      </c>
      <c r="H131" s="3">
        <f t="shared" si="10"/>
        <v>0.56000000000000005</v>
      </c>
      <c r="I131" s="3">
        <f t="shared" si="10"/>
        <v>0.56000000000000005</v>
      </c>
      <c r="J131" s="3">
        <f t="shared" si="10"/>
        <v>0.56000000000000005</v>
      </c>
      <c r="K131" s="3">
        <f t="shared" si="10"/>
        <v>0.56000000000000005</v>
      </c>
      <c r="L131" s="3">
        <f t="shared" si="10"/>
        <v>0.56000000000000005</v>
      </c>
      <c r="M131" s="3">
        <f t="shared" si="10"/>
        <v>0.56000000000000005</v>
      </c>
      <c r="N131" s="3">
        <f t="shared" si="10"/>
        <v>0.56000000000000005</v>
      </c>
      <c r="O131" s="3">
        <f t="shared" si="10"/>
        <v>0.56000000000000005</v>
      </c>
      <c r="P131" s="3">
        <f t="shared" si="10"/>
        <v>0.56000000000000005</v>
      </c>
    </row>
    <row r="132" spans="1:16">
      <c r="A132" s="84" t="s">
        <v>337</v>
      </c>
      <c r="B132" s="85" t="s">
        <v>336</v>
      </c>
      <c r="C132" s="85" t="s">
        <v>83</v>
      </c>
      <c r="D132" s="84" t="s">
        <v>84</v>
      </c>
      <c r="E132" s="84" t="str">
        <f>VLOOKUP(A132,'2a. SI Pop'!$A$5:$E$198,5,FALSE)</f>
        <v>Key</v>
      </c>
      <c r="F132" s="3">
        <f>SUMIFS(Input!$Q$5:$Q$44,Input!$O$5:$O$44,'6a. %FP-Routine'!A132,Input!$P$5:$P$44,"Routine")</f>
        <v>0.47</v>
      </c>
      <c r="G132" s="3">
        <f t="shared" si="10"/>
        <v>0.47</v>
      </c>
      <c r="H132" s="3">
        <f t="shared" si="10"/>
        <v>0.47</v>
      </c>
      <c r="I132" s="3">
        <f t="shared" si="10"/>
        <v>0.47</v>
      </c>
      <c r="J132" s="3">
        <f t="shared" si="10"/>
        <v>0.47</v>
      </c>
      <c r="K132" s="3">
        <f t="shared" si="10"/>
        <v>0.47</v>
      </c>
      <c r="L132" s="3">
        <f t="shared" si="10"/>
        <v>0.47</v>
      </c>
      <c r="M132" s="3">
        <f t="shared" si="10"/>
        <v>0.47</v>
      </c>
      <c r="N132" s="3">
        <f t="shared" si="10"/>
        <v>0.47</v>
      </c>
      <c r="O132" s="3">
        <f t="shared" si="10"/>
        <v>0.47</v>
      </c>
      <c r="P132" s="3">
        <f t="shared" si="10"/>
        <v>0.47</v>
      </c>
    </row>
    <row r="133" spans="1:16">
      <c r="A133" s="84" t="s">
        <v>339</v>
      </c>
      <c r="B133" s="85" t="s">
        <v>338</v>
      </c>
      <c r="C133" s="85" t="s">
        <v>99</v>
      </c>
      <c r="D133" s="84" t="e">
        <v>#N/A</v>
      </c>
      <c r="E133" s="84">
        <f>VLOOKUP(A133,'2a. SI Pop'!$A$5:$E$198,5,FALSE)</f>
        <v>1</v>
      </c>
      <c r="F133" s="3">
        <f>SUMIFS(Input!$Q$5:$Q$44,Input!$O$5:$O$44,'6a. %FP-Routine'!E133,Input!$P$5:$P$44,"Routine")</f>
        <v>0.98</v>
      </c>
      <c r="G133" s="3">
        <f t="shared" si="10"/>
        <v>0.98</v>
      </c>
      <c r="H133" s="3">
        <f t="shared" si="10"/>
        <v>0.98</v>
      </c>
      <c r="I133" s="3">
        <f t="shared" si="10"/>
        <v>0.98</v>
      </c>
      <c r="J133" s="3">
        <f t="shared" si="10"/>
        <v>0.98</v>
      </c>
      <c r="K133" s="3">
        <f t="shared" si="10"/>
        <v>0.98</v>
      </c>
      <c r="L133" s="3">
        <f t="shared" si="10"/>
        <v>0.98</v>
      </c>
      <c r="M133" s="3">
        <f t="shared" si="10"/>
        <v>0.98</v>
      </c>
      <c r="N133" s="3">
        <f t="shared" si="10"/>
        <v>0.98</v>
      </c>
      <c r="O133" s="3">
        <f t="shared" si="10"/>
        <v>0.98</v>
      </c>
      <c r="P133" s="3">
        <f t="shared" si="10"/>
        <v>0.98</v>
      </c>
    </row>
    <row r="134" spans="1:16">
      <c r="A134" s="84" t="s">
        <v>341</v>
      </c>
      <c r="B134" s="85" t="s">
        <v>340</v>
      </c>
      <c r="C134" s="85" t="s">
        <v>79</v>
      </c>
      <c r="D134" s="84" t="s">
        <v>87</v>
      </c>
      <c r="E134" s="84">
        <f>VLOOKUP(A134,'2a. SI Pop'!$A$5:$E$198,5,FALSE)</f>
        <v>1</v>
      </c>
      <c r="F134" s="3">
        <f>SUMIFS(Input!$Q$5:$Q$44,Input!$O$5:$O$44,'6a. %FP-Routine'!E134,Input!$P$5:$P$44,"Routine")</f>
        <v>0.98</v>
      </c>
      <c r="G134" s="3">
        <f t="shared" ref="G134:P149" si="11">F134</f>
        <v>0.98</v>
      </c>
      <c r="H134" s="3">
        <f t="shared" si="11"/>
        <v>0.98</v>
      </c>
      <c r="I134" s="3">
        <f t="shared" si="11"/>
        <v>0.98</v>
      </c>
      <c r="J134" s="3">
        <f t="shared" si="11"/>
        <v>0.98</v>
      </c>
      <c r="K134" s="3">
        <f t="shared" si="11"/>
        <v>0.98</v>
      </c>
      <c r="L134" s="3">
        <f t="shared" si="11"/>
        <v>0.98</v>
      </c>
      <c r="M134" s="3">
        <f t="shared" si="11"/>
        <v>0.98</v>
      </c>
      <c r="N134" s="3">
        <f t="shared" si="11"/>
        <v>0.98</v>
      </c>
      <c r="O134" s="3">
        <f t="shared" si="11"/>
        <v>0.98</v>
      </c>
      <c r="P134" s="3">
        <f t="shared" si="11"/>
        <v>0.98</v>
      </c>
    </row>
    <row r="135" spans="1:16">
      <c r="A135" s="84" t="s">
        <v>343</v>
      </c>
      <c r="B135" s="85" t="s">
        <v>342</v>
      </c>
      <c r="C135" s="85" t="s">
        <v>74</v>
      </c>
      <c r="D135" s="84" t="s">
        <v>87</v>
      </c>
      <c r="E135" s="84">
        <f>VLOOKUP(A135,'2a. SI Pop'!$A$5:$E$198,5,FALSE)</f>
        <v>1</v>
      </c>
      <c r="F135" s="3">
        <f>SUMIFS(Input!$Q$5:$Q$44,Input!$O$5:$O$44,'6a. %FP-Routine'!E135,Input!$P$5:$P$44,"Routine")</f>
        <v>0.98</v>
      </c>
      <c r="G135" s="3">
        <f t="shared" si="11"/>
        <v>0.98</v>
      </c>
      <c r="H135" s="3">
        <f t="shared" si="11"/>
        <v>0.98</v>
      </c>
      <c r="I135" s="3">
        <f t="shared" si="11"/>
        <v>0.98</v>
      </c>
      <c r="J135" s="3">
        <f t="shared" si="11"/>
        <v>0.98</v>
      </c>
      <c r="K135" s="3">
        <f t="shared" si="11"/>
        <v>0.98</v>
      </c>
      <c r="L135" s="3">
        <f t="shared" si="11"/>
        <v>0.98</v>
      </c>
      <c r="M135" s="3">
        <f t="shared" si="11"/>
        <v>0.98</v>
      </c>
      <c r="N135" s="3">
        <f t="shared" si="11"/>
        <v>0.98</v>
      </c>
      <c r="O135" s="3">
        <f t="shared" si="11"/>
        <v>0.98</v>
      </c>
      <c r="P135" s="3">
        <f t="shared" si="11"/>
        <v>0.98</v>
      </c>
    </row>
    <row r="136" spans="1:16">
      <c r="A136" s="84" t="s">
        <v>345</v>
      </c>
      <c r="B136" s="85" t="s">
        <v>344</v>
      </c>
      <c r="C136" s="85" t="s">
        <v>74</v>
      </c>
      <c r="D136" s="84" t="s">
        <v>84</v>
      </c>
      <c r="E136" s="84" t="str">
        <f>VLOOKUP(A136,'2a. SI Pop'!$A$5:$E$198,5,FALSE)</f>
        <v>Key</v>
      </c>
      <c r="F136" s="3">
        <f>SUMIFS(Input!$Q$5:$Q$44,Input!$O$5:$O$44,'6a. %FP-Routine'!A136,Input!$P$5:$P$44,"Routine")</f>
        <v>0.3</v>
      </c>
      <c r="G136" s="3">
        <f t="shared" si="11"/>
        <v>0.3</v>
      </c>
      <c r="H136" s="3">
        <f t="shared" si="11"/>
        <v>0.3</v>
      </c>
      <c r="I136" s="3">
        <f t="shared" si="11"/>
        <v>0.3</v>
      </c>
      <c r="J136" s="3">
        <f t="shared" si="11"/>
        <v>0.3</v>
      </c>
      <c r="K136" s="3">
        <f t="shared" si="11"/>
        <v>0.3</v>
      </c>
      <c r="L136" s="3">
        <f t="shared" si="11"/>
        <v>0.3</v>
      </c>
      <c r="M136" s="3">
        <f t="shared" si="11"/>
        <v>0.3</v>
      </c>
      <c r="N136" s="3">
        <f t="shared" si="11"/>
        <v>0.3</v>
      </c>
      <c r="O136" s="3">
        <f t="shared" si="11"/>
        <v>0.3</v>
      </c>
      <c r="P136" s="3">
        <f t="shared" si="11"/>
        <v>0.3</v>
      </c>
    </row>
    <row r="137" spans="1:16">
      <c r="A137" s="84" t="s">
        <v>347</v>
      </c>
      <c r="B137" s="85" t="s">
        <v>346</v>
      </c>
      <c r="C137" s="85" t="s">
        <v>99</v>
      </c>
      <c r="D137" s="84" t="s">
        <v>87</v>
      </c>
      <c r="E137" s="84">
        <f>VLOOKUP(A137,'2a. SI Pop'!$A$5:$E$198,5,FALSE)</f>
        <v>1</v>
      </c>
      <c r="F137" s="3">
        <f>SUMIFS(Input!$Q$5:$Q$44,Input!$O$5:$O$44,'6a. %FP-Routine'!E137,Input!$P$5:$P$44,"Routine")</f>
        <v>0.98</v>
      </c>
      <c r="G137" s="3">
        <f t="shared" si="11"/>
        <v>0.98</v>
      </c>
      <c r="H137" s="3">
        <f t="shared" si="11"/>
        <v>0.98</v>
      </c>
      <c r="I137" s="3">
        <f t="shared" si="11"/>
        <v>0.98</v>
      </c>
      <c r="J137" s="3">
        <f t="shared" si="11"/>
        <v>0.98</v>
      </c>
      <c r="K137" s="3">
        <f t="shared" si="11"/>
        <v>0.98</v>
      </c>
      <c r="L137" s="3">
        <f t="shared" si="11"/>
        <v>0.98</v>
      </c>
      <c r="M137" s="3">
        <f t="shared" si="11"/>
        <v>0.98</v>
      </c>
      <c r="N137" s="3">
        <f t="shared" si="11"/>
        <v>0.98</v>
      </c>
      <c r="O137" s="3">
        <f t="shared" si="11"/>
        <v>0.98</v>
      </c>
      <c r="P137" s="3">
        <f t="shared" si="11"/>
        <v>0.98</v>
      </c>
    </row>
    <row r="138" spans="1:16">
      <c r="A138" s="84" t="s">
        <v>349</v>
      </c>
      <c r="B138" s="85" t="s">
        <v>348</v>
      </c>
      <c r="C138" s="85" t="s">
        <v>92</v>
      </c>
      <c r="D138" s="84" t="s">
        <v>87</v>
      </c>
      <c r="E138" s="84">
        <f>VLOOKUP(A138,'2a. SI Pop'!$A$5:$E$198,5,FALSE)</f>
        <v>1</v>
      </c>
      <c r="F138" s="3">
        <f>SUMIFS(Input!$Q$5:$Q$44,Input!$O$5:$O$44,'6a. %FP-Routine'!E138,Input!$P$5:$P$44,"Routine")</f>
        <v>0.98</v>
      </c>
      <c r="G138" s="3">
        <f t="shared" si="11"/>
        <v>0.98</v>
      </c>
      <c r="H138" s="3">
        <f t="shared" si="11"/>
        <v>0.98</v>
      </c>
      <c r="I138" s="3">
        <f t="shared" si="11"/>
        <v>0.98</v>
      </c>
      <c r="J138" s="3">
        <f t="shared" si="11"/>
        <v>0.98</v>
      </c>
      <c r="K138" s="3">
        <f t="shared" si="11"/>
        <v>0.98</v>
      </c>
      <c r="L138" s="3">
        <f t="shared" si="11"/>
        <v>0.98</v>
      </c>
      <c r="M138" s="3">
        <f t="shared" si="11"/>
        <v>0.98</v>
      </c>
      <c r="N138" s="3">
        <f t="shared" si="11"/>
        <v>0.98</v>
      </c>
      <c r="O138" s="3">
        <f t="shared" si="11"/>
        <v>0.98</v>
      </c>
      <c r="P138" s="3">
        <f t="shared" si="11"/>
        <v>0.98</v>
      </c>
    </row>
    <row r="139" spans="1:16">
      <c r="A139" s="84" t="s">
        <v>351</v>
      </c>
      <c r="B139" s="85" t="s">
        <v>350</v>
      </c>
      <c r="C139" s="85" t="s">
        <v>99</v>
      </c>
      <c r="D139" s="84" t="s">
        <v>84</v>
      </c>
      <c r="E139" s="84">
        <f>VLOOKUP(A139,'2a. SI Pop'!$A$5:$E$198,5,FALSE)</f>
        <v>4</v>
      </c>
      <c r="F139" s="3">
        <f>SUMIFS(Input!$Q$5:$Q$44,Input!$O$5:$O$44,'6a. %FP-Routine'!E139,Input!$P$5:$P$44,"Routine")</f>
        <v>0.56000000000000005</v>
      </c>
      <c r="G139" s="3">
        <f t="shared" si="11"/>
        <v>0.56000000000000005</v>
      </c>
      <c r="H139" s="3">
        <f t="shared" si="11"/>
        <v>0.56000000000000005</v>
      </c>
      <c r="I139" s="3">
        <f t="shared" si="11"/>
        <v>0.56000000000000005</v>
      </c>
      <c r="J139" s="3">
        <f t="shared" si="11"/>
        <v>0.56000000000000005</v>
      </c>
      <c r="K139" s="3">
        <f t="shared" si="11"/>
        <v>0.56000000000000005</v>
      </c>
      <c r="L139" s="3">
        <f t="shared" si="11"/>
        <v>0.56000000000000005</v>
      </c>
      <c r="M139" s="3">
        <f t="shared" si="11"/>
        <v>0.56000000000000005</v>
      </c>
      <c r="N139" s="3">
        <f t="shared" si="11"/>
        <v>0.56000000000000005</v>
      </c>
      <c r="O139" s="3">
        <f t="shared" si="11"/>
        <v>0.56000000000000005</v>
      </c>
      <c r="P139" s="3">
        <f t="shared" si="11"/>
        <v>0.56000000000000005</v>
      </c>
    </row>
    <row r="140" spans="1:16">
      <c r="A140" s="84" t="s">
        <v>353</v>
      </c>
      <c r="B140" s="85" t="s">
        <v>352</v>
      </c>
      <c r="C140" s="85" t="s">
        <v>92</v>
      </c>
      <c r="D140" s="84" t="s">
        <v>80</v>
      </c>
      <c r="E140" s="84">
        <f>VLOOKUP(A140,'2a. SI Pop'!$A$5:$E$198,5,FALSE)</f>
        <v>1</v>
      </c>
      <c r="F140" s="3">
        <f>SUMIFS(Input!$Q$5:$Q$44,Input!$O$5:$O$44,'6a. %FP-Routine'!E140,Input!$P$5:$P$44,"Routine")</f>
        <v>0.98</v>
      </c>
      <c r="G140" s="3">
        <f t="shared" si="11"/>
        <v>0.98</v>
      </c>
      <c r="H140" s="3">
        <f t="shared" si="11"/>
        <v>0.98</v>
      </c>
      <c r="I140" s="3">
        <f t="shared" si="11"/>
        <v>0.98</v>
      </c>
      <c r="J140" s="3">
        <f t="shared" si="11"/>
        <v>0.98</v>
      </c>
      <c r="K140" s="3">
        <f t="shared" si="11"/>
        <v>0.98</v>
      </c>
      <c r="L140" s="3">
        <f t="shared" si="11"/>
        <v>0.98</v>
      </c>
      <c r="M140" s="3">
        <f t="shared" si="11"/>
        <v>0.98</v>
      </c>
      <c r="N140" s="3">
        <f t="shared" si="11"/>
        <v>0.98</v>
      </c>
      <c r="O140" s="3">
        <f t="shared" si="11"/>
        <v>0.98</v>
      </c>
      <c r="P140" s="3">
        <f t="shared" si="11"/>
        <v>0.98</v>
      </c>
    </row>
    <row r="141" spans="1:16">
      <c r="A141" s="84" t="s">
        <v>355</v>
      </c>
      <c r="B141" s="85" t="s">
        <v>354</v>
      </c>
      <c r="C141" s="85" t="s">
        <v>92</v>
      </c>
      <c r="D141" s="84" t="s">
        <v>80</v>
      </c>
      <c r="E141" s="84">
        <f>VLOOKUP(A141,'2a. SI Pop'!$A$5:$E$198,5,FALSE)</f>
        <v>2</v>
      </c>
      <c r="F141" s="3">
        <f>SUMIFS(Input!$Q$5:$Q$44,Input!$O$5:$O$44,'6a. %FP-Routine'!E141,Input!$P$5:$P$44,"Routine")</f>
        <v>0.83</v>
      </c>
      <c r="G141" s="3">
        <f t="shared" si="11"/>
        <v>0.83</v>
      </c>
      <c r="H141" s="3">
        <f t="shared" si="11"/>
        <v>0.83</v>
      </c>
      <c r="I141" s="3">
        <f t="shared" si="11"/>
        <v>0.83</v>
      </c>
      <c r="J141" s="3">
        <f t="shared" si="11"/>
        <v>0.83</v>
      </c>
      <c r="K141" s="3">
        <f t="shared" si="11"/>
        <v>0.83</v>
      </c>
      <c r="L141" s="3">
        <f t="shared" si="11"/>
        <v>0.83</v>
      </c>
      <c r="M141" s="3">
        <f t="shared" si="11"/>
        <v>0.83</v>
      </c>
      <c r="N141" s="3">
        <f t="shared" si="11"/>
        <v>0.83</v>
      </c>
      <c r="O141" s="3">
        <f t="shared" si="11"/>
        <v>0.83</v>
      </c>
      <c r="P141" s="3">
        <f t="shared" si="11"/>
        <v>0.83</v>
      </c>
    </row>
    <row r="142" spans="1:16">
      <c r="A142" s="84" t="s">
        <v>357</v>
      </c>
      <c r="B142" s="85" t="s">
        <v>356</v>
      </c>
      <c r="C142" s="85" t="s">
        <v>99</v>
      </c>
      <c r="D142" s="84" t="s">
        <v>84</v>
      </c>
      <c r="E142" s="84" t="str">
        <f>VLOOKUP(A142,'2a. SI Pop'!$A$5:$E$198,5,FALSE)</f>
        <v>Key</v>
      </c>
      <c r="F142" s="3">
        <f>SUMIFS(Input!$Q$5:$Q$44,Input!$O$5:$O$44,'6a. %FP-Routine'!A142,Input!$P$5:$P$44,"Routine")</f>
        <v>0.56000000000000005</v>
      </c>
      <c r="G142" s="3">
        <f t="shared" si="11"/>
        <v>0.56000000000000005</v>
      </c>
      <c r="H142" s="3">
        <f t="shared" si="11"/>
        <v>0.56000000000000005</v>
      </c>
      <c r="I142" s="3">
        <f t="shared" si="11"/>
        <v>0.56000000000000005</v>
      </c>
      <c r="J142" s="3">
        <f t="shared" si="11"/>
        <v>0.56000000000000005</v>
      </c>
      <c r="K142" s="3">
        <f t="shared" si="11"/>
        <v>0.56000000000000005</v>
      </c>
      <c r="L142" s="3">
        <f t="shared" si="11"/>
        <v>0.56000000000000005</v>
      </c>
      <c r="M142" s="3">
        <f t="shared" si="11"/>
        <v>0.56000000000000005</v>
      </c>
      <c r="N142" s="3">
        <f t="shared" si="11"/>
        <v>0.56000000000000005</v>
      </c>
      <c r="O142" s="3">
        <f t="shared" si="11"/>
        <v>0.56000000000000005</v>
      </c>
      <c r="P142" s="3">
        <f t="shared" si="11"/>
        <v>0.56000000000000005</v>
      </c>
    </row>
    <row r="143" spans="1:16">
      <c r="A143" s="84" t="s">
        <v>359</v>
      </c>
      <c r="B143" s="85" t="s">
        <v>358</v>
      </c>
      <c r="C143" s="85" t="s">
        <v>79</v>
      </c>
      <c r="D143" s="84" t="s">
        <v>87</v>
      </c>
      <c r="E143" s="84">
        <f>VLOOKUP(A143,'2a. SI Pop'!$A$5:$E$198,5,FALSE)</f>
        <v>1</v>
      </c>
      <c r="F143" s="3">
        <f>SUMIFS(Input!$Q$5:$Q$44,Input!$O$5:$O$44,'6a. %FP-Routine'!E143,Input!$P$5:$P$44,"Routine")</f>
        <v>0.98</v>
      </c>
      <c r="G143" s="3">
        <f t="shared" si="11"/>
        <v>0.98</v>
      </c>
      <c r="H143" s="3">
        <f t="shared" si="11"/>
        <v>0.98</v>
      </c>
      <c r="I143" s="3">
        <f t="shared" si="11"/>
        <v>0.98</v>
      </c>
      <c r="J143" s="3">
        <f t="shared" si="11"/>
        <v>0.98</v>
      </c>
      <c r="K143" s="3">
        <f t="shared" si="11"/>
        <v>0.98</v>
      </c>
      <c r="L143" s="3">
        <f t="shared" si="11"/>
        <v>0.98</v>
      </c>
      <c r="M143" s="3">
        <f t="shared" si="11"/>
        <v>0.98</v>
      </c>
      <c r="N143" s="3">
        <f t="shared" si="11"/>
        <v>0.98</v>
      </c>
      <c r="O143" s="3">
        <f t="shared" si="11"/>
        <v>0.98</v>
      </c>
      <c r="P143" s="3">
        <f t="shared" si="11"/>
        <v>0.98</v>
      </c>
    </row>
    <row r="144" spans="1:16">
      <c r="A144" s="84" t="s">
        <v>361</v>
      </c>
      <c r="B144" s="85" t="s">
        <v>360</v>
      </c>
      <c r="C144" s="85" t="s">
        <v>79</v>
      </c>
      <c r="D144" s="84" t="s">
        <v>87</v>
      </c>
      <c r="E144" s="84">
        <f>VLOOKUP(A144,'2a. SI Pop'!$A$5:$E$198,5,FALSE)</f>
        <v>1</v>
      </c>
      <c r="F144" s="3">
        <f>SUMIFS(Input!$Q$5:$Q$44,Input!$O$5:$O$44,'6a. %FP-Routine'!E144,Input!$P$5:$P$44,"Routine")</f>
        <v>0.98</v>
      </c>
      <c r="G144" s="3">
        <f t="shared" si="11"/>
        <v>0.98</v>
      </c>
      <c r="H144" s="3">
        <f t="shared" si="11"/>
        <v>0.98</v>
      </c>
      <c r="I144" s="3">
        <f t="shared" si="11"/>
        <v>0.98</v>
      </c>
      <c r="J144" s="3">
        <f t="shared" si="11"/>
        <v>0.98</v>
      </c>
      <c r="K144" s="3">
        <f t="shared" si="11"/>
        <v>0.98</v>
      </c>
      <c r="L144" s="3">
        <f t="shared" si="11"/>
        <v>0.98</v>
      </c>
      <c r="M144" s="3">
        <f t="shared" si="11"/>
        <v>0.98</v>
      </c>
      <c r="N144" s="3">
        <f t="shared" si="11"/>
        <v>0.98</v>
      </c>
      <c r="O144" s="3">
        <f t="shared" si="11"/>
        <v>0.98</v>
      </c>
      <c r="P144" s="3">
        <f t="shared" si="11"/>
        <v>0.98</v>
      </c>
    </row>
    <row r="145" spans="1:16">
      <c r="A145" s="84" t="s">
        <v>363</v>
      </c>
      <c r="B145" s="85" t="s">
        <v>362</v>
      </c>
      <c r="C145" s="85" t="s">
        <v>74</v>
      </c>
      <c r="D145" s="84" t="s">
        <v>87</v>
      </c>
      <c r="E145" s="84">
        <f>VLOOKUP(A145,'2a. SI Pop'!$A$5:$E$198,5,FALSE)</f>
        <v>1</v>
      </c>
      <c r="F145" s="3">
        <f>SUMIFS(Input!$Q$5:$Q$44,Input!$O$5:$O$44,'6a. %FP-Routine'!E145,Input!$P$5:$P$44,"Routine")</f>
        <v>0.98</v>
      </c>
      <c r="G145" s="3">
        <f t="shared" si="11"/>
        <v>0.98</v>
      </c>
      <c r="H145" s="3">
        <f t="shared" si="11"/>
        <v>0.98</v>
      </c>
      <c r="I145" s="3">
        <f t="shared" si="11"/>
        <v>0.98</v>
      </c>
      <c r="J145" s="3">
        <f t="shared" si="11"/>
        <v>0.98</v>
      </c>
      <c r="K145" s="3">
        <f t="shared" si="11"/>
        <v>0.98</v>
      </c>
      <c r="L145" s="3">
        <f t="shared" si="11"/>
        <v>0.98</v>
      </c>
      <c r="M145" s="3">
        <f t="shared" si="11"/>
        <v>0.98</v>
      </c>
      <c r="N145" s="3">
        <f t="shared" si="11"/>
        <v>0.98</v>
      </c>
      <c r="O145" s="3">
        <f t="shared" si="11"/>
        <v>0.98</v>
      </c>
      <c r="P145" s="3">
        <f t="shared" si="11"/>
        <v>0.98</v>
      </c>
    </row>
    <row r="146" spans="1:16">
      <c r="A146" s="84" t="s">
        <v>365</v>
      </c>
      <c r="B146" s="85" t="s">
        <v>364</v>
      </c>
      <c r="C146" s="85" t="s">
        <v>79</v>
      </c>
      <c r="D146" s="84" t="s">
        <v>87</v>
      </c>
      <c r="E146" s="84">
        <f>VLOOKUP(A146,'2a. SI Pop'!$A$5:$E$198,5,FALSE)</f>
        <v>2</v>
      </c>
      <c r="F146" s="3">
        <f>SUMIFS(Input!$Q$5:$Q$44,Input!$O$5:$O$44,'6a. %FP-Routine'!E146,Input!$P$5:$P$44,"Routine")</f>
        <v>0.83</v>
      </c>
      <c r="G146" s="3">
        <f t="shared" si="11"/>
        <v>0.83</v>
      </c>
      <c r="H146" s="3">
        <f t="shared" si="11"/>
        <v>0.83</v>
      </c>
      <c r="I146" s="3">
        <f t="shared" si="11"/>
        <v>0.83</v>
      </c>
      <c r="J146" s="3">
        <f t="shared" si="11"/>
        <v>0.83</v>
      </c>
      <c r="K146" s="3">
        <f t="shared" si="11"/>
        <v>0.83</v>
      </c>
      <c r="L146" s="3">
        <f t="shared" si="11"/>
        <v>0.83</v>
      </c>
      <c r="M146" s="3">
        <f t="shared" si="11"/>
        <v>0.83</v>
      </c>
      <c r="N146" s="3">
        <f t="shared" si="11"/>
        <v>0.83</v>
      </c>
      <c r="O146" s="3">
        <f t="shared" si="11"/>
        <v>0.83</v>
      </c>
      <c r="P146" s="3">
        <f t="shared" si="11"/>
        <v>0.83</v>
      </c>
    </row>
    <row r="147" spans="1:16">
      <c r="A147" s="84" t="s">
        <v>367</v>
      </c>
      <c r="B147" s="85" t="s">
        <v>366</v>
      </c>
      <c r="C147" s="85" t="s">
        <v>79</v>
      </c>
      <c r="D147" s="84" t="s">
        <v>80</v>
      </c>
      <c r="E147" s="84">
        <f>VLOOKUP(A147,'2a. SI Pop'!$A$5:$E$198,5,FALSE)</f>
        <v>2</v>
      </c>
      <c r="F147" s="3">
        <f>SUMIFS(Input!$Q$5:$Q$44,Input!$O$5:$O$44,'6a. %FP-Routine'!E147,Input!$P$5:$P$44,"Routine")</f>
        <v>0.83</v>
      </c>
      <c r="G147" s="3">
        <f t="shared" si="11"/>
        <v>0.83</v>
      </c>
      <c r="H147" s="3">
        <f t="shared" si="11"/>
        <v>0.83</v>
      </c>
      <c r="I147" s="3">
        <f t="shared" si="11"/>
        <v>0.83</v>
      </c>
      <c r="J147" s="3">
        <f t="shared" si="11"/>
        <v>0.83</v>
      </c>
      <c r="K147" s="3">
        <f t="shared" si="11"/>
        <v>0.83</v>
      </c>
      <c r="L147" s="3">
        <f t="shared" si="11"/>
        <v>0.83</v>
      </c>
      <c r="M147" s="3">
        <f t="shared" si="11"/>
        <v>0.83</v>
      </c>
      <c r="N147" s="3">
        <f t="shared" si="11"/>
        <v>0.83</v>
      </c>
      <c r="O147" s="3">
        <f t="shared" si="11"/>
        <v>0.83</v>
      </c>
      <c r="P147" s="3">
        <f t="shared" si="11"/>
        <v>0.83</v>
      </c>
    </row>
    <row r="148" spans="1:16">
      <c r="A148" s="84" t="s">
        <v>369</v>
      </c>
      <c r="B148" s="85" t="s">
        <v>368</v>
      </c>
      <c r="C148" s="85" t="s">
        <v>83</v>
      </c>
      <c r="D148" s="84" t="s">
        <v>75</v>
      </c>
      <c r="E148" s="84">
        <f>VLOOKUP(A148,'2a. SI Pop'!$A$5:$E$198,5,FALSE)</f>
        <v>3</v>
      </c>
      <c r="F148" s="3">
        <f>SUMIFS(Input!$Q$5:$Q$44,Input!$O$5:$O$44,'6a. %FP-Routine'!E148,Input!$P$5:$P$44,"Routine")</f>
        <v>0.56000000000000005</v>
      </c>
      <c r="G148" s="3">
        <f t="shared" si="11"/>
        <v>0.56000000000000005</v>
      </c>
      <c r="H148" s="3">
        <f t="shared" si="11"/>
        <v>0.56000000000000005</v>
      </c>
      <c r="I148" s="3">
        <f t="shared" si="11"/>
        <v>0.56000000000000005</v>
      </c>
      <c r="J148" s="3">
        <f t="shared" si="11"/>
        <v>0.56000000000000005</v>
      </c>
      <c r="K148" s="3">
        <f t="shared" si="11"/>
        <v>0.56000000000000005</v>
      </c>
      <c r="L148" s="3">
        <f t="shared" si="11"/>
        <v>0.56000000000000005</v>
      </c>
      <c r="M148" s="3">
        <f t="shared" si="11"/>
        <v>0.56000000000000005</v>
      </c>
      <c r="N148" s="3">
        <f t="shared" si="11"/>
        <v>0.56000000000000005</v>
      </c>
      <c r="O148" s="3">
        <f t="shared" si="11"/>
        <v>0.56000000000000005</v>
      </c>
      <c r="P148" s="3">
        <f t="shared" si="11"/>
        <v>0.56000000000000005</v>
      </c>
    </row>
    <row r="149" spans="1:16">
      <c r="A149" s="84" t="s">
        <v>371</v>
      </c>
      <c r="B149" s="85" t="s">
        <v>370</v>
      </c>
      <c r="C149" s="85" t="s">
        <v>92</v>
      </c>
      <c r="D149" s="84" t="s">
        <v>87</v>
      </c>
      <c r="E149" s="84">
        <f>VLOOKUP(A149,'2a. SI Pop'!$A$5:$E$198,5,FALSE)</f>
        <v>1</v>
      </c>
      <c r="F149" s="3">
        <f>SUMIFS(Input!$Q$5:$Q$44,Input!$O$5:$O$44,'6a. %FP-Routine'!E149,Input!$P$5:$P$44,"Routine")</f>
        <v>0.98</v>
      </c>
      <c r="G149" s="3">
        <f t="shared" si="11"/>
        <v>0.98</v>
      </c>
      <c r="H149" s="3">
        <f t="shared" si="11"/>
        <v>0.98</v>
      </c>
      <c r="I149" s="3">
        <f t="shared" si="11"/>
        <v>0.98</v>
      </c>
      <c r="J149" s="3">
        <f t="shared" si="11"/>
        <v>0.98</v>
      </c>
      <c r="K149" s="3">
        <f t="shared" si="11"/>
        <v>0.98</v>
      </c>
      <c r="L149" s="3">
        <f t="shared" si="11"/>
        <v>0.98</v>
      </c>
      <c r="M149" s="3">
        <f t="shared" si="11"/>
        <v>0.98</v>
      </c>
      <c r="N149" s="3">
        <f t="shared" si="11"/>
        <v>0.98</v>
      </c>
      <c r="O149" s="3">
        <f t="shared" si="11"/>
        <v>0.98</v>
      </c>
      <c r="P149" s="3">
        <f t="shared" si="11"/>
        <v>0.98</v>
      </c>
    </row>
    <row r="150" spans="1:16">
      <c r="A150" s="84" t="s">
        <v>373</v>
      </c>
      <c r="B150" s="85" t="s">
        <v>372</v>
      </c>
      <c r="C150" s="85" t="s">
        <v>92</v>
      </c>
      <c r="D150" s="84" t="s">
        <v>80</v>
      </c>
      <c r="E150" s="84">
        <f>VLOOKUP(A150,'2a. SI Pop'!$A$5:$E$198,5,FALSE)</f>
        <v>1</v>
      </c>
      <c r="F150" s="3">
        <f>SUMIFS(Input!$Q$5:$Q$44,Input!$O$5:$O$44,'6a. %FP-Routine'!E150,Input!$P$5:$P$44,"Routine")</f>
        <v>0.98</v>
      </c>
      <c r="G150" s="3">
        <f t="shared" ref="G150:P165" si="12">F150</f>
        <v>0.98</v>
      </c>
      <c r="H150" s="3">
        <f t="shared" si="12"/>
        <v>0.98</v>
      </c>
      <c r="I150" s="3">
        <f t="shared" si="12"/>
        <v>0.98</v>
      </c>
      <c r="J150" s="3">
        <f t="shared" si="12"/>
        <v>0.98</v>
      </c>
      <c r="K150" s="3">
        <f t="shared" si="12"/>
        <v>0.98</v>
      </c>
      <c r="L150" s="3">
        <f t="shared" si="12"/>
        <v>0.98</v>
      </c>
      <c r="M150" s="3">
        <f t="shared" si="12"/>
        <v>0.98</v>
      </c>
      <c r="N150" s="3">
        <f t="shared" si="12"/>
        <v>0.98</v>
      </c>
      <c r="O150" s="3">
        <f t="shared" si="12"/>
        <v>0.98</v>
      </c>
      <c r="P150" s="3">
        <f t="shared" si="12"/>
        <v>0.98</v>
      </c>
    </row>
    <row r="151" spans="1:16">
      <c r="A151" s="84" t="s">
        <v>375</v>
      </c>
      <c r="B151" s="85" t="s">
        <v>374</v>
      </c>
      <c r="C151" s="85" t="s">
        <v>92</v>
      </c>
      <c r="D151" s="84" t="s">
        <v>80</v>
      </c>
      <c r="E151" s="84">
        <f>VLOOKUP(A151,'2a. SI Pop'!$A$5:$E$198,5,FALSE)</f>
        <v>1</v>
      </c>
      <c r="F151" s="3">
        <f>SUMIFS(Input!$Q$5:$Q$44,Input!$O$5:$O$44,'6a. %FP-Routine'!E151,Input!$P$5:$P$44,"Routine")</f>
        <v>0.98</v>
      </c>
      <c r="G151" s="3">
        <f t="shared" si="12"/>
        <v>0.98</v>
      </c>
      <c r="H151" s="3">
        <f t="shared" si="12"/>
        <v>0.98</v>
      </c>
      <c r="I151" s="3">
        <f t="shared" si="12"/>
        <v>0.98</v>
      </c>
      <c r="J151" s="3">
        <f t="shared" si="12"/>
        <v>0.98</v>
      </c>
      <c r="K151" s="3">
        <f t="shared" si="12"/>
        <v>0.98</v>
      </c>
      <c r="L151" s="3">
        <f t="shared" si="12"/>
        <v>0.98</v>
      </c>
      <c r="M151" s="3">
        <f t="shared" si="12"/>
        <v>0.98</v>
      </c>
      <c r="N151" s="3">
        <f t="shared" si="12"/>
        <v>0.98</v>
      </c>
      <c r="O151" s="3">
        <f t="shared" si="12"/>
        <v>0.98</v>
      </c>
      <c r="P151" s="3">
        <f t="shared" si="12"/>
        <v>0.98</v>
      </c>
    </row>
    <row r="152" spans="1:16">
      <c r="A152" s="84" t="s">
        <v>377</v>
      </c>
      <c r="B152" s="85" t="s">
        <v>376</v>
      </c>
      <c r="C152" s="85" t="s">
        <v>99</v>
      </c>
      <c r="D152" s="84" t="s">
        <v>80</v>
      </c>
      <c r="E152" s="84">
        <f>VLOOKUP(A152,'2a. SI Pop'!$A$5:$E$198,5,FALSE)</f>
        <v>2</v>
      </c>
      <c r="F152" s="3">
        <f>SUMIFS(Input!$Q$5:$Q$44,Input!$O$5:$O$44,'6a. %FP-Routine'!E152,Input!$P$5:$P$44,"Routine")</f>
        <v>0.83</v>
      </c>
      <c r="G152" s="3">
        <f t="shared" si="12"/>
        <v>0.83</v>
      </c>
      <c r="H152" s="3">
        <f t="shared" si="12"/>
        <v>0.83</v>
      </c>
      <c r="I152" s="3">
        <f t="shared" si="12"/>
        <v>0.83</v>
      </c>
      <c r="J152" s="3">
        <f t="shared" si="12"/>
        <v>0.83</v>
      </c>
      <c r="K152" s="3">
        <f t="shared" si="12"/>
        <v>0.83</v>
      </c>
      <c r="L152" s="3">
        <f t="shared" si="12"/>
        <v>0.83</v>
      </c>
      <c r="M152" s="3">
        <f t="shared" si="12"/>
        <v>0.83</v>
      </c>
      <c r="N152" s="3">
        <f t="shared" si="12"/>
        <v>0.83</v>
      </c>
      <c r="O152" s="3">
        <f t="shared" si="12"/>
        <v>0.83</v>
      </c>
      <c r="P152" s="3">
        <f t="shared" si="12"/>
        <v>0.83</v>
      </c>
    </row>
    <row r="153" spans="1:16">
      <c r="A153" s="84" t="s">
        <v>379</v>
      </c>
      <c r="B153" s="85" t="s">
        <v>378</v>
      </c>
      <c r="C153" s="85" t="s">
        <v>79</v>
      </c>
      <c r="D153" s="84" t="s">
        <v>87</v>
      </c>
      <c r="E153" s="84">
        <f>VLOOKUP(A153,'2a. SI Pop'!$A$5:$E$198,5,FALSE)</f>
        <v>1</v>
      </c>
      <c r="F153" s="3">
        <f>SUMIFS(Input!$Q$5:$Q$44,Input!$O$5:$O$44,'6a. %FP-Routine'!E153,Input!$P$5:$P$44,"Routine")</f>
        <v>0.98</v>
      </c>
      <c r="G153" s="3">
        <f t="shared" si="12"/>
        <v>0.98</v>
      </c>
      <c r="H153" s="3">
        <f t="shared" si="12"/>
        <v>0.98</v>
      </c>
      <c r="I153" s="3">
        <f t="shared" si="12"/>
        <v>0.98</v>
      </c>
      <c r="J153" s="3">
        <f t="shared" si="12"/>
        <v>0.98</v>
      </c>
      <c r="K153" s="3">
        <f t="shared" si="12"/>
        <v>0.98</v>
      </c>
      <c r="L153" s="3">
        <f t="shared" si="12"/>
        <v>0.98</v>
      </c>
      <c r="M153" s="3">
        <f t="shared" si="12"/>
        <v>0.98</v>
      </c>
      <c r="N153" s="3">
        <f t="shared" si="12"/>
        <v>0.98</v>
      </c>
      <c r="O153" s="3">
        <f t="shared" si="12"/>
        <v>0.98</v>
      </c>
      <c r="P153" s="3">
        <f t="shared" si="12"/>
        <v>0.98</v>
      </c>
    </row>
    <row r="154" spans="1:16">
      <c r="A154" s="84" t="s">
        <v>381</v>
      </c>
      <c r="B154" s="85" t="s">
        <v>380</v>
      </c>
      <c r="C154" s="85" t="s">
        <v>83</v>
      </c>
      <c r="D154" s="84" t="s">
        <v>84</v>
      </c>
      <c r="E154" s="84">
        <f>VLOOKUP(A154,'2a. SI Pop'!$A$5:$E$198,5,FALSE)</f>
        <v>3</v>
      </c>
      <c r="F154" s="3">
        <f>SUMIFS(Input!$Q$5:$Q$44,Input!$O$5:$O$44,'6a. %FP-Routine'!E154,Input!$P$5:$P$44,"Routine")</f>
        <v>0.56000000000000005</v>
      </c>
      <c r="G154" s="3">
        <f t="shared" si="12"/>
        <v>0.56000000000000005</v>
      </c>
      <c r="H154" s="3">
        <f t="shared" si="12"/>
        <v>0.56000000000000005</v>
      </c>
      <c r="I154" s="3">
        <f t="shared" si="12"/>
        <v>0.56000000000000005</v>
      </c>
      <c r="J154" s="3">
        <f t="shared" si="12"/>
        <v>0.56000000000000005</v>
      </c>
      <c r="K154" s="3">
        <f t="shared" si="12"/>
        <v>0.56000000000000005</v>
      </c>
      <c r="L154" s="3">
        <f t="shared" si="12"/>
        <v>0.56000000000000005</v>
      </c>
      <c r="M154" s="3">
        <f t="shared" si="12"/>
        <v>0.56000000000000005</v>
      </c>
      <c r="N154" s="3">
        <f t="shared" si="12"/>
        <v>0.56000000000000005</v>
      </c>
      <c r="O154" s="3">
        <f t="shared" si="12"/>
        <v>0.56000000000000005</v>
      </c>
      <c r="P154" s="3">
        <f t="shared" si="12"/>
        <v>0.56000000000000005</v>
      </c>
    </row>
    <row r="155" spans="1:16">
      <c r="A155" s="84" t="s">
        <v>383</v>
      </c>
      <c r="B155" s="85" t="s">
        <v>382</v>
      </c>
      <c r="C155" s="85" t="s">
        <v>74</v>
      </c>
      <c r="D155" s="84" t="s">
        <v>87</v>
      </c>
      <c r="E155" s="84">
        <f>VLOOKUP(A155,'2a. SI Pop'!$A$5:$E$198,5,FALSE)</f>
        <v>1</v>
      </c>
      <c r="F155" s="3">
        <f>SUMIFS(Input!$Q$5:$Q$44,Input!$O$5:$O$44,'6a. %FP-Routine'!E155,Input!$P$5:$P$44,"Routine")</f>
        <v>0.98</v>
      </c>
      <c r="G155" s="3">
        <f t="shared" si="12"/>
        <v>0.98</v>
      </c>
      <c r="H155" s="3">
        <f t="shared" si="12"/>
        <v>0.98</v>
      </c>
      <c r="I155" s="3">
        <f t="shared" si="12"/>
        <v>0.98</v>
      </c>
      <c r="J155" s="3">
        <f t="shared" si="12"/>
        <v>0.98</v>
      </c>
      <c r="K155" s="3">
        <f t="shared" si="12"/>
        <v>0.98</v>
      </c>
      <c r="L155" s="3">
        <f t="shared" si="12"/>
        <v>0.98</v>
      </c>
      <c r="M155" s="3">
        <f t="shared" si="12"/>
        <v>0.98</v>
      </c>
      <c r="N155" s="3">
        <f t="shared" si="12"/>
        <v>0.98</v>
      </c>
      <c r="O155" s="3">
        <f t="shared" si="12"/>
        <v>0.98</v>
      </c>
      <c r="P155" s="3">
        <f t="shared" si="12"/>
        <v>0.98</v>
      </c>
    </row>
    <row r="156" spans="1:16">
      <c r="A156" s="84" t="s">
        <v>385</v>
      </c>
      <c r="B156" s="85" t="s">
        <v>384</v>
      </c>
      <c r="C156" s="85" t="s">
        <v>83</v>
      </c>
      <c r="D156" s="84" t="s">
        <v>84</v>
      </c>
      <c r="E156" s="84">
        <f>VLOOKUP(A156,'2a. SI Pop'!$A$5:$E$198,5,FALSE)</f>
        <v>3</v>
      </c>
      <c r="F156" s="3">
        <f>SUMIFS(Input!$Q$5:$Q$44,Input!$O$5:$O$44,'6a. %FP-Routine'!E156,Input!$P$5:$P$44,"Routine")</f>
        <v>0.56000000000000005</v>
      </c>
      <c r="G156" s="3">
        <f t="shared" si="12"/>
        <v>0.56000000000000005</v>
      </c>
      <c r="H156" s="3">
        <f t="shared" si="12"/>
        <v>0.56000000000000005</v>
      </c>
      <c r="I156" s="3">
        <f t="shared" si="12"/>
        <v>0.56000000000000005</v>
      </c>
      <c r="J156" s="3">
        <f t="shared" si="12"/>
        <v>0.56000000000000005</v>
      </c>
      <c r="K156" s="3">
        <f t="shared" si="12"/>
        <v>0.56000000000000005</v>
      </c>
      <c r="L156" s="3">
        <f t="shared" si="12"/>
        <v>0.56000000000000005</v>
      </c>
      <c r="M156" s="3">
        <f t="shared" si="12"/>
        <v>0.56000000000000005</v>
      </c>
      <c r="N156" s="3">
        <f t="shared" si="12"/>
        <v>0.56000000000000005</v>
      </c>
      <c r="O156" s="3">
        <f t="shared" si="12"/>
        <v>0.56000000000000005</v>
      </c>
      <c r="P156" s="3">
        <f t="shared" si="12"/>
        <v>0.56000000000000005</v>
      </c>
    </row>
    <row r="157" spans="1:16">
      <c r="A157" s="84" t="s">
        <v>387</v>
      </c>
      <c r="B157" s="85" t="s">
        <v>386</v>
      </c>
      <c r="C157" s="85" t="s">
        <v>79</v>
      </c>
      <c r="D157" s="84" t="s">
        <v>80</v>
      </c>
      <c r="E157" s="84">
        <f>VLOOKUP(A157,'2a. SI Pop'!$A$5:$E$198,5,FALSE)</f>
        <v>1</v>
      </c>
      <c r="F157" s="3">
        <f>SUMIFS(Input!$Q$5:$Q$44,Input!$O$5:$O$44,'6a. %FP-Routine'!E157,Input!$P$5:$P$44,"Routine")</f>
        <v>0.98</v>
      </c>
      <c r="G157" s="3">
        <f t="shared" si="12"/>
        <v>0.98</v>
      </c>
      <c r="H157" s="3">
        <f t="shared" si="12"/>
        <v>0.98</v>
      </c>
      <c r="I157" s="3">
        <f t="shared" si="12"/>
        <v>0.98</v>
      </c>
      <c r="J157" s="3">
        <f t="shared" si="12"/>
        <v>0.98</v>
      </c>
      <c r="K157" s="3">
        <f t="shared" si="12"/>
        <v>0.98</v>
      </c>
      <c r="L157" s="3">
        <f t="shared" si="12"/>
        <v>0.98</v>
      </c>
      <c r="M157" s="3">
        <f t="shared" si="12"/>
        <v>0.98</v>
      </c>
      <c r="N157" s="3">
        <f t="shared" si="12"/>
        <v>0.98</v>
      </c>
      <c r="O157" s="3">
        <f t="shared" si="12"/>
        <v>0.98</v>
      </c>
      <c r="P157" s="3">
        <f t="shared" si="12"/>
        <v>0.98</v>
      </c>
    </row>
    <row r="158" spans="1:16">
      <c r="A158" s="84" t="s">
        <v>389</v>
      </c>
      <c r="B158" s="85" t="s">
        <v>388</v>
      </c>
      <c r="C158" s="85" t="s">
        <v>83</v>
      </c>
      <c r="D158" s="84" t="s">
        <v>87</v>
      </c>
      <c r="E158" s="84">
        <f>VLOOKUP(A158,'2a. SI Pop'!$A$5:$E$198,5,FALSE)</f>
        <v>1</v>
      </c>
      <c r="F158" s="3">
        <f>SUMIFS(Input!$Q$5:$Q$44,Input!$O$5:$O$44,'6a. %FP-Routine'!E158,Input!$P$5:$P$44,"Routine")</f>
        <v>0.98</v>
      </c>
      <c r="G158" s="3">
        <f t="shared" si="12"/>
        <v>0.98</v>
      </c>
      <c r="H158" s="3">
        <f t="shared" si="12"/>
        <v>0.98</v>
      </c>
      <c r="I158" s="3">
        <f t="shared" si="12"/>
        <v>0.98</v>
      </c>
      <c r="J158" s="3">
        <f t="shared" si="12"/>
        <v>0.98</v>
      </c>
      <c r="K158" s="3">
        <f t="shared" si="12"/>
        <v>0.98</v>
      </c>
      <c r="L158" s="3">
        <f t="shared" si="12"/>
        <v>0.98</v>
      </c>
      <c r="M158" s="3">
        <f t="shared" si="12"/>
        <v>0.98</v>
      </c>
      <c r="N158" s="3">
        <f t="shared" si="12"/>
        <v>0.98</v>
      </c>
      <c r="O158" s="3">
        <f t="shared" si="12"/>
        <v>0.98</v>
      </c>
      <c r="P158" s="3">
        <f t="shared" si="12"/>
        <v>0.98</v>
      </c>
    </row>
    <row r="159" spans="1:16">
      <c r="A159" s="84" t="s">
        <v>391</v>
      </c>
      <c r="B159" s="85" t="s">
        <v>390</v>
      </c>
      <c r="C159" s="85" t="s">
        <v>83</v>
      </c>
      <c r="D159" s="84" t="s">
        <v>75</v>
      </c>
      <c r="E159" s="84">
        <f>VLOOKUP(A159,'2a. SI Pop'!$A$5:$E$198,5,FALSE)</f>
        <v>3</v>
      </c>
      <c r="F159" s="3">
        <f>SUMIFS(Input!$Q$5:$Q$44,Input!$O$5:$O$44,'6a. %FP-Routine'!E159,Input!$P$5:$P$44,"Routine")</f>
        <v>0.56000000000000005</v>
      </c>
      <c r="G159" s="3">
        <f t="shared" si="12"/>
        <v>0.56000000000000005</v>
      </c>
      <c r="H159" s="3">
        <f t="shared" si="12"/>
        <v>0.56000000000000005</v>
      </c>
      <c r="I159" s="3">
        <f t="shared" si="12"/>
        <v>0.56000000000000005</v>
      </c>
      <c r="J159" s="3">
        <f t="shared" si="12"/>
        <v>0.56000000000000005</v>
      </c>
      <c r="K159" s="3">
        <f t="shared" si="12"/>
        <v>0.56000000000000005</v>
      </c>
      <c r="L159" s="3">
        <f t="shared" si="12"/>
        <v>0.56000000000000005</v>
      </c>
      <c r="M159" s="3">
        <f t="shared" si="12"/>
        <v>0.56000000000000005</v>
      </c>
      <c r="N159" s="3">
        <f t="shared" si="12"/>
        <v>0.56000000000000005</v>
      </c>
      <c r="O159" s="3">
        <f t="shared" si="12"/>
        <v>0.56000000000000005</v>
      </c>
      <c r="P159" s="3">
        <f t="shared" si="12"/>
        <v>0.56000000000000005</v>
      </c>
    </row>
    <row r="160" spans="1:16">
      <c r="A160" s="84" t="s">
        <v>393</v>
      </c>
      <c r="B160" s="85" t="s">
        <v>392</v>
      </c>
      <c r="C160" s="85" t="s">
        <v>99</v>
      </c>
      <c r="D160" s="84" t="s">
        <v>87</v>
      </c>
      <c r="E160" s="84">
        <f>VLOOKUP(A160,'2a. SI Pop'!$A$5:$E$198,5,FALSE)</f>
        <v>1</v>
      </c>
      <c r="F160" s="3">
        <f>SUMIFS(Input!$Q$5:$Q$44,Input!$O$5:$O$44,'6a. %FP-Routine'!E160,Input!$P$5:$P$44,"Routine")</f>
        <v>0.98</v>
      </c>
      <c r="G160" s="3">
        <f t="shared" si="12"/>
        <v>0.98</v>
      </c>
      <c r="H160" s="3">
        <f t="shared" si="12"/>
        <v>0.98</v>
      </c>
      <c r="I160" s="3">
        <f t="shared" si="12"/>
        <v>0.98</v>
      </c>
      <c r="J160" s="3">
        <f t="shared" si="12"/>
        <v>0.98</v>
      </c>
      <c r="K160" s="3">
        <f t="shared" si="12"/>
        <v>0.98</v>
      </c>
      <c r="L160" s="3">
        <f t="shared" si="12"/>
        <v>0.98</v>
      </c>
      <c r="M160" s="3">
        <f t="shared" si="12"/>
        <v>0.98</v>
      </c>
      <c r="N160" s="3">
        <f t="shared" si="12"/>
        <v>0.98</v>
      </c>
      <c r="O160" s="3">
        <f t="shared" si="12"/>
        <v>0.98</v>
      </c>
      <c r="P160" s="3">
        <f t="shared" si="12"/>
        <v>0.98</v>
      </c>
    </row>
    <row r="161" spans="1:16">
      <c r="A161" s="84" t="s">
        <v>395</v>
      </c>
      <c r="B161" s="85" t="s">
        <v>394</v>
      </c>
      <c r="C161" s="85" t="s">
        <v>79</v>
      </c>
      <c r="D161" s="84" t="s">
        <v>87</v>
      </c>
      <c r="E161" s="84">
        <f>VLOOKUP(A161,'2a. SI Pop'!$A$5:$E$198,5,FALSE)</f>
        <v>1</v>
      </c>
      <c r="F161" s="3">
        <f>SUMIFS(Input!$Q$5:$Q$44,Input!$O$5:$O$44,'6a. %FP-Routine'!E161,Input!$P$5:$P$44,"Routine")</f>
        <v>0.98</v>
      </c>
      <c r="G161" s="3">
        <f t="shared" si="12"/>
        <v>0.98</v>
      </c>
      <c r="H161" s="3">
        <f t="shared" si="12"/>
        <v>0.98</v>
      </c>
      <c r="I161" s="3">
        <f t="shared" si="12"/>
        <v>0.98</v>
      </c>
      <c r="J161" s="3">
        <f t="shared" si="12"/>
        <v>0.98</v>
      </c>
      <c r="K161" s="3">
        <f t="shared" si="12"/>
        <v>0.98</v>
      </c>
      <c r="L161" s="3">
        <f t="shared" si="12"/>
        <v>0.98</v>
      </c>
      <c r="M161" s="3">
        <f t="shared" si="12"/>
        <v>0.98</v>
      </c>
      <c r="N161" s="3">
        <f t="shared" si="12"/>
        <v>0.98</v>
      </c>
      <c r="O161" s="3">
        <f t="shared" si="12"/>
        <v>0.98</v>
      </c>
      <c r="P161" s="3">
        <f t="shared" si="12"/>
        <v>0.98</v>
      </c>
    </row>
    <row r="162" spans="1:16">
      <c r="A162" s="84" t="s">
        <v>397</v>
      </c>
      <c r="B162" s="85" t="s">
        <v>396</v>
      </c>
      <c r="C162" s="85" t="s">
        <v>79</v>
      </c>
      <c r="D162" s="84" t="s">
        <v>87</v>
      </c>
      <c r="E162" s="84">
        <f>VLOOKUP(A162,'2a. SI Pop'!$A$5:$E$198,5,FALSE)</f>
        <v>1</v>
      </c>
      <c r="F162" s="3">
        <f>SUMIFS(Input!$Q$5:$Q$44,Input!$O$5:$O$44,'6a. %FP-Routine'!E162,Input!$P$5:$P$44,"Routine")</f>
        <v>0.98</v>
      </c>
      <c r="G162" s="3">
        <f t="shared" si="12"/>
        <v>0.98</v>
      </c>
      <c r="H162" s="3">
        <f t="shared" si="12"/>
        <v>0.98</v>
      </c>
      <c r="I162" s="3">
        <f t="shared" si="12"/>
        <v>0.98</v>
      </c>
      <c r="J162" s="3">
        <f t="shared" si="12"/>
        <v>0.98</v>
      </c>
      <c r="K162" s="3">
        <f t="shared" si="12"/>
        <v>0.98</v>
      </c>
      <c r="L162" s="3">
        <f t="shared" si="12"/>
        <v>0.98</v>
      </c>
      <c r="M162" s="3">
        <f t="shared" si="12"/>
        <v>0.98</v>
      </c>
      <c r="N162" s="3">
        <f t="shared" si="12"/>
        <v>0.98</v>
      </c>
      <c r="O162" s="3">
        <f t="shared" si="12"/>
        <v>0.98</v>
      </c>
      <c r="P162" s="3">
        <f t="shared" si="12"/>
        <v>0.98</v>
      </c>
    </row>
    <row r="163" spans="1:16">
      <c r="A163" s="84" t="s">
        <v>399</v>
      </c>
      <c r="B163" s="85" t="s">
        <v>398</v>
      </c>
      <c r="C163" s="85" t="s">
        <v>74</v>
      </c>
      <c r="D163" s="84" t="s">
        <v>75</v>
      </c>
      <c r="E163" s="84">
        <f>VLOOKUP(A163,'2a. SI Pop'!$A$5:$E$198,5,FALSE)</f>
        <v>3</v>
      </c>
      <c r="F163" s="3">
        <f>SUMIFS(Input!$Q$5:$Q$44,Input!$O$5:$O$44,'6a. %FP-Routine'!E163,Input!$P$5:$P$44,"Routine")</f>
        <v>0.56000000000000005</v>
      </c>
      <c r="G163" s="3">
        <f t="shared" si="12"/>
        <v>0.56000000000000005</v>
      </c>
      <c r="H163" s="3">
        <f t="shared" si="12"/>
        <v>0.56000000000000005</v>
      </c>
      <c r="I163" s="3">
        <f t="shared" si="12"/>
        <v>0.56000000000000005</v>
      </c>
      <c r="J163" s="3">
        <f t="shared" si="12"/>
        <v>0.56000000000000005</v>
      </c>
      <c r="K163" s="3">
        <f t="shared" si="12"/>
        <v>0.56000000000000005</v>
      </c>
      <c r="L163" s="3">
        <f t="shared" si="12"/>
        <v>0.56000000000000005</v>
      </c>
      <c r="M163" s="3">
        <f t="shared" si="12"/>
        <v>0.56000000000000005</v>
      </c>
      <c r="N163" s="3">
        <f t="shared" si="12"/>
        <v>0.56000000000000005</v>
      </c>
      <c r="O163" s="3">
        <f t="shared" si="12"/>
        <v>0.56000000000000005</v>
      </c>
      <c r="P163" s="3">
        <f t="shared" si="12"/>
        <v>0.56000000000000005</v>
      </c>
    </row>
    <row r="164" spans="1:16">
      <c r="A164" s="84" t="s">
        <v>401</v>
      </c>
      <c r="B164" s="85" t="s">
        <v>400</v>
      </c>
      <c r="C164" s="85" t="s">
        <v>99</v>
      </c>
      <c r="D164" s="84" t="s">
        <v>84</v>
      </c>
      <c r="E164" s="84">
        <f>VLOOKUP(A164,'2a. SI Pop'!$A$5:$E$198,5,FALSE)</f>
        <v>4</v>
      </c>
      <c r="F164" s="3">
        <f>SUMIFS(Input!$Q$5:$Q$44,Input!$O$5:$O$44,'6a. %FP-Routine'!E164,Input!$P$5:$P$44,"Routine")</f>
        <v>0.56000000000000005</v>
      </c>
      <c r="G164" s="3">
        <f t="shared" si="12"/>
        <v>0.56000000000000005</v>
      </c>
      <c r="H164" s="3">
        <f t="shared" si="12"/>
        <v>0.56000000000000005</v>
      </c>
      <c r="I164" s="3">
        <f t="shared" si="12"/>
        <v>0.56000000000000005</v>
      </c>
      <c r="J164" s="3">
        <f t="shared" si="12"/>
        <v>0.56000000000000005</v>
      </c>
      <c r="K164" s="3">
        <f t="shared" si="12"/>
        <v>0.56000000000000005</v>
      </c>
      <c r="L164" s="3">
        <f t="shared" si="12"/>
        <v>0.56000000000000005</v>
      </c>
      <c r="M164" s="3">
        <f t="shared" si="12"/>
        <v>0.56000000000000005</v>
      </c>
      <c r="N164" s="3">
        <f t="shared" si="12"/>
        <v>0.56000000000000005</v>
      </c>
      <c r="O164" s="3">
        <f t="shared" si="12"/>
        <v>0.56000000000000005</v>
      </c>
      <c r="P164" s="3">
        <f t="shared" si="12"/>
        <v>0.56000000000000005</v>
      </c>
    </row>
    <row r="165" spans="1:16">
      <c r="A165" s="84" t="s">
        <v>403</v>
      </c>
      <c r="B165" s="85" t="s">
        <v>402</v>
      </c>
      <c r="C165" s="85" t="s">
        <v>83</v>
      </c>
      <c r="D165" s="84" t="s">
        <v>80</v>
      </c>
      <c r="E165" s="84" t="str">
        <f>VLOOKUP(A165,'2a. SI Pop'!$A$5:$E$198,5,FALSE)</f>
        <v>Key</v>
      </c>
      <c r="F165" s="3">
        <f>SUMIFS(Input!$Q$5:$Q$44,Input!$O$5:$O$44,'6a. %FP-Routine'!A165,Input!$P$5:$P$44,"Routine")</f>
        <v>0.56000000000000005</v>
      </c>
      <c r="G165" s="3">
        <f t="shared" si="12"/>
        <v>0.56000000000000005</v>
      </c>
      <c r="H165" s="3">
        <f t="shared" si="12"/>
        <v>0.56000000000000005</v>
      </c>
      <c r="I165" s="3">
        <f t="shared" si="12"/>
        <v>0.56000000000000005</v>
      </c>
      <c r="J165" s="3">
        <f t="shared" si="12"/>
        <v>0.56000000000000005</v>
      </c>
      <c r="K165" s="3">
        <f t="shared" si="12"/>
        <v>0.56000000000000005</v>
      </c>
      <c r="L165" s="3">
        <f t="shared" si="12"/>
        <v>0.56000000000000005</v>
      </c>
      <c r="M165" s="3">
        <f t="shared" si="12"/>
        <v>0.56000000000000005</v>
      </c>
      <c r="N165" s="3">
        <f t="shared" si="12"/>
        <v>0.56000000000000005</v>
      </c>
      <c r="O165" s="3">
        <f t="shared" si="12"/>
        <v>0.56000000000000005</v>
      </c>
      <c r="P165" s="3">
        <f t="shared" si="12"/>
        <v>0.56000000000000005</v>
      </c>
    </row>
    <row r="166" spans="1:16">
      <c r="A166" s="84" t="s">
        <v>405</v>
      </c>
      <c r="B166" s="85" t="s">
        <v>404</v>
      </c>
      <c r="C166" s="85" t="s">
        <v>79</v>
      </c>
      <c r="D166" s="84" t="s">
        <v>87</v>
      </c>
      <c r="E166" s="84">
        <f>VLOOKUP(A166,'2a. SI Pop'!$A$5:$E$198,5,FALSE)</f>
        <v>1</v>
      </c>
      <c r="F166" s="3">
        <f>SUMIFS(Input!$Q$5:$Q$44,Input!$O$5:$O$44,'6a. %FP-Routine'!E166,Input!$P$5:$P$44,"Routine")</f>
        <v>0.98</v>
      </c>
      <c r="G166" s="3">
        <f t="shared" ref="G166:P181" si="13">F166</f>
        <v>0.98</v>
      </c>
      <c r="H166" s="3">
        <f t="shared" si="13"/>
        <v>0.98</v>
      </c>
      <c r="I166" s="3">
        <f t="shared" si="13"/>
        <v>0.98</v>
      </c>
      <c r="J166" s="3">
        <f t="shared" si="13"/>
        <v>0.98</v>
      </c>
      <c r="K166" s="3">
        <f t="shared" si="13"/>
        <v>0.98</v>
      </c>
      <c r="L166" s="3">
        <f t="shared" si="13"/>
        <v>0.98</v>
      </c>
      <c r="M166" s="3">
        <f t="shared" si="13"/>
        <v>0.98</v>
      </c>
      <c r="N166" s="3">
        <f t="shared" si="13"/>
        <v>0.98</v>
      </c>
      <c r="O166" s="3">
        <f t="shared" si="13"/>
        <v>0.98</v>
      </c>
      <c r="P166" s="3">
        <f t="shared" si="13"/>
        <v>0.98</v>
      </c>
    </row>
    <row r="167" spans="1:16">
      <c r="A167" s="84" t="s">
        <v>407</v>
      </c>
      <c r="B167" s="85" t="s">
        <v>406</v>
      </c>
      <c r="C167" s="85" t="s">
        <v>110</v>
      </c>
      <c r="D167" s="84" t="s">
        <v>84</v>
      </c>
      <c r="E167" s="84">
        <f>VLOOKUP(A167,'2a. SI Pop'!$A$5:$E$198,5,FALSE)</f>
        <v>2</v>
      </c>
      <c r="F167" s="3">
        <f>SUMIFS(Input!$Q$5:$Q$44,Input!$O$5:$O$44,'6a. %FP-Routine'!E167,Input!$P$5:$P$44,"Routine")</f>
        <v>0.83</v>
      </c>
      <c r="G167" s="3">
        <f t="shared" si="13"/>
        <v>0.83</v>
      </c>
      <c r="H167" s="3">
        <f t="shared" si="13"/>
        <v>0.83</v>
      </c>
      <c r="I167" s="3">
        <f t="shared" si="13"/>
        <v>0.83</v>
      </c>
      <c r="J167" s="3">
        <f t="shared" si="13"/>
        <v>0.83</v>
      </c>
      <c r="K167" s="3">
        <f t="shared" si="13"/>
        <v>0.83</v>
      </c>
      <c r="L167" s="3">
        <f t="shared" si="13"/>
        <v>0.83</v>
      </c>
      <c r="M167" s="3">
        <f t="shared" si="13"/>
        <v>0.83</v>
      </c>
      <c r="N167" s="3">
        <f t="shared" si="13"/>
        <v>0.83</v>
      </c>
      <c r="O167" s="3">
        <f t="shared" si="13"/>
        <v>0.83</v>
      </c>
      <c r="P167" s="3">
        <f t="shared" si="13"/>
        <v>0.83</v>
      </c>
    </row>
    <row r="168" spans="1:16">
      <c r="A168" s="84" t="s">
        <v>409</v>
      </c>
      <c r="B168" s="85" t="s">
        <v>408</v>
      </c>
      <c r="C168" s="85" t="s">
        <v>74</v>
      </c>
      <c r="D168" s="84" t="s">
        <v>75</v>
      </c>
      <c r="E168" s="84">
        <f>VLOOKUP(A168,'2a. SI Pop'!$A$5:$E$198,5,FALSE)</f>
        <v>3</v>
      </c>
      <c r="F168" s="3">
        <f>SUMIFS(Input!$Q$5:$Q$44,Input!$O$5:$O$44,'6a. %FP-Routine'!E168,Input!$P$5:$P$44,"Routine")</f>
        <v>0.56000000000000005</v>
      </c>
      <c r="G168" s="3">
        <f t="shared" si="13"/>
        <v>0.56000000000000005</v>
      </c>
      <c r="H168" s="3">
        <f t="shared" si="13"/>
        <v>0.56000000000000005</v>
      </c>
      <c r="I168" s="3">
        <f t="shared" si="13"/>
        <v>0.56000000000000005</v>
      </c>
      <c r="J168" s="3">
        <f t="shared" si="13"/>
        <v>0.56000000000000005</v>
      </c>
      <c r="K168" s="3">
        <f t="shared" si="13"/>
        <v>0.56000000000000005</v>
      </c>
      <c r="L168" s="3">
        <f t="shared" si="13"/>
        <v>0.56000000000000005</v>
      </c>
      <c r="M168" s="3">
        <f t="shared" si="13"/>
        <v>0.56000000000000005</v>
      </c>
      <c r="N168" s="3">
        <f t="shared" si="13"/>
        <v>0.56000000000000005</v>
      </c>
      <c r="O168" s="3">
        <f t="shared" si="13"/>
        <v>0.56000000000000005</v>
      </c>
      <c r="P168" s="3">
        <f t="shared" si="13"/>
        <v>0.56000000000000005</v>
      </c>
    </row>
    <row r="169" spans="1:16">
      <c r="A169" s="84" t="s">
        <v>411</v>
      </c>
      <c r="B169" s="85" t="s">
        <v>410</v>
      </c>
      <c r="C169" s="85" t="s">
        <v>74</v>
      </c>
      <c r="D169" s="84" t="s">
        <v>75</v>
      </c>
      <c r="E169" s="84">
        <f>VLOOKUP(A169,'2a. SI Pop'!$A$5:$E$198,5,FALSE)</f>
        <v>3</v>
      </c>
      <c r="F169" s="3">
        <f>SUMIFS(Input!$Q$5:$Q$44,Input!$O$5:$O$44,'6a. %FP-Routine'!E169,Input!$P$5:$P$44,"Routine")</f>
        <v>0.56000000000000005</v>
      </c>
      <c r="G169" s="3">
        <f t="shared" si="13"/>
        <v>0.56000000000000005</v>
      </c>
      <c r="H169" s="3">
        <f t="shared" si="13"/>
        <v>0.56000000000000005</v>
      </c>
      <c r="I169" s="3">
        <f t="shared" si="13"/>
        <v>0.56000000000000005</v>
      </c>
      <c r="J169" s="3">
        <f t="shared" si="13"/>
        <v>0.56000000000000005</v>
      </c>
      <c r="K169" s="3">
        <f t="shared" si="13"/>
        <v>0.56000000000000005</v>
      </c>
      <c r="L169" s="3">
        <f t="shared" si="13"/>
        <v>0.56000000000000005</v>
      </c>
      <c r="M169" s="3">
        <f t="shared" si="13"/>
        <v>0.56000000000000005</v>
      </c>
      <c r="N169" s="3">
        <f t="shared" si="13"/>
        <v>0.56000000000000005</v>
      </c>
      <c r="O169" s="3">
        <f t="shared" si="13"/>
        <v>0.56000000000000005</v>
      </c>
      <c r="P169" s="3">
        <f t="shared" si="13"/>
        <v>0.56000000000000005</v>
      </c>
    </row>
    <row r="170" spans="1:16">
      <c r="A170" s="84" t="s">
        <v>413</v>
      </c>
      <c r="B170" s="85" t="s">
        <v>412</v>
      </c>
      <c r="C170" s="85" t="s">
        <v>92</v>
      </c>
      <c r="D170" s="84" t="s">
        <v>80</v>
      </c>
      <c r="E170" s="84">
        <f>VLOOKUP(A170,'2a. SI Pop'!$A$5:$E$198,5,FALSE)</f>
        <v>1</v>
      </c>
      <c r="F170" s="3">
        <f>SUMIFS(Input!$Q$5:$Q$44,Input!$O$5:$O$44,'6a. %FP-Routine'!E170,Input!$P$5:$P$44,"Routine")</f>
        <v>0.98</v>
      </c>
      <c r="G170" s="3">
        <f t="shared" si="13"/>
        <v>0.98</v>
      </c>
      <c r="H170" s="3">
        <f t="shared" si="13"/>
        <v>0.98</v>
      </c>
      <c r="I170" s="3">
        <f t="shared" si="13"/>
        <v>0.98</v>
      </c>
      <c r="J170" s="3">
        <f t="shared" si="13"/>
        <v>0.98</v>
      </c>
      <c r="K170" s="3">
        <f t="shared" si="13"/>
        <v>0.98</v>
      </c>
      <c r="L170" s="3">
        <f t="shared" si="13"/>
        <v>0.98</v>
      </c>
      <c r="M170" s="3">
        <f t="shared" si="13"/>
        <v>0.98</v>
      </c>
      <c r="N170" s="3">
        <f t="shared" si="13"/>
        <v>0.98</v>
      </c>
      <c r="O170" s="3">
        <f t="shared" si="13"/>
        <v>0.98</v>
      </c>
      <c r="P170" s="3">
        <f t="shared" si="13"/>
        <v>0.98</v>
      </c>
    </row>
    <row r="171" spans="1:16">
      <c r="A171" s="84" t="s">
        <v>415</v>
      </c>
      <c r="B171" s="85" t="s">
        <v>414</v>
      </c>
      <c r="C171" s="85" t="s">
        <v>83</v>
      </c>
      <c r="D171" s="84" t="s">
        <v>84</v>
      </c>
      <c r="E171" s="84">
        <f>VLOOKUP(A171,'2a. SI Pop'!$A$5:$E$198,5,FALSE)</f>
        <v>3</v>
      </c>
      <c r="F171" s="3">
        <f>SUMIFS(Input!$Q$5:$Q$44,Input!$O$5:$O$44,'6a. %FP-Routine'!E171,Input!$P$5:$P$44,"Routine")</f>
        <v>0.56000000000000005</v>
      </c>
      <c r="G171" s="3">
        <f t="shared" si="13"/>
        <v>0.56000000000000005</v>
      </c>
      <c r="H171" s="3">
        <f t="shared" si="13"/>
        <v>0.56000000000000005</v>
      </c>
      <c r="I171" s="3">
        <f t="shared" si="13"/>
        <v>0.56000000000000005</v>
      </c>
      <c r="J171" s="3">
        <f t="shared" si="13"/>
        <v>0.56000000000000005</v>
      </c>
      <c r="K171" s="3">
        <f t="shared" si="13"/>
        <v>0.56000000000000005</v>
      </c>
      <c r="L171" s="3">
        <f t="shared" si="13"/>
        <v>0.56000000000000005</v>
      </c>
      <c r="M171" s="3">
        <f t="shared" si="13"/>
        <v>0.56000000000000005</v>
      </c>
      <c r="N171" s="3">
        <f t="shared" si="13"/>
        <v>0.56000000000000005</v>
      </c>
      <c r="O171" s="3">
        <f t="shared" si="13"/>
        <v>0.56000000000000005</v>
      </c>
      <c r="P171" s="3">
        <f t="shared" si="13"/>
        <v>0.56000000000000005</v>
      </c>
    </row>
    <row r="172" spans="1:16">
      <c r="A172" s="84" t="s">
        <v>417</v>
      </c>
      <c r="B172" s="85" t="s">
        <v>416</v>
      </c>
      <c r="C172" s="85" t="s">
        <v>79</v>
      </c>
      <c r="D172" s="84" t="s">
        <v>87</v>
      </c>
      <c r="E172" s="84">
        <f>VLOOKUP(A172,'2a. SI Pop'!$A$5:$E$198,5,FALSE)</f>
        <v>1</v>
      </c>
      <c r="F172" s="3">
        <f>SUMIFS(Input!$Q$5:$Q$44,Input!$O$5:$O$44,'6a. %FP-Routine'!E172,Input!$P$5:$P$44,"Routine")</f>
        <v>0.98</v>
      </c>
      <c r="G172" s="3">
        <f t="shared" si="13"/>
        <v>0.98</v>
      </c>
      <c r="H172" s="3">
        <f t="shared" si="13"/>
        <v>0.98</v>
      </c>
      <c r="I172" s="3">
        <f t="shared" si="13"/>
        <v>0.98</v>
      </c>
      <c r="J172" s="3">
        <f t="shared" si="13"/>
        <v>0.98</v>
      </c>
      <c r="K172" s="3">
        <f t="shared" si="13"/>
        <v>0.98</v>
      </c>
      <c r="L172" s="3">
        <f t="shared" si="13"/>
        <v>0.98</v>
      </c>
      <c r="M172" s="3">
        <f t="shared" si="13"/>
        <v>0.98</v>
      </c>
      <c r="N172" s="3">
        <f t="shared" si="13"/>
        <v>0.98</v>
      </c>
      <c r="O172" s="3">
        <f t="shared" si="13"/>
        <v>0.98</v>
      </c>
      <c r="P172" s="3">
        <f t="shared" si="13"/>
        <v>0.98</v>
      </c>
    </row>
    <row r="173" spans="1:16">
      <c r="A173" s="84" t="s">
        <v>419</v>
      </c>
      <c r="B173" s="85" t="s">
        <v>418</v>
      </c>
      <c r="C173" s="85" t="s">
        <v>79</v>
      </c>
      <c r="D173" s="84" t="s">
        <v>87</v>
      </c>
      <c r="E173" s="84">
        <f>VLOOKUP(A173,'2a. SI Pop'!$A$5:$E$198,5,FALSE)</f>
        <v>1</v>
      </c>
      <c r="F173" s="3">
        <f>SUMIFS(Input!$Q$5:$Q$44,Input!$O$5:$O$44,'6a. %FP-Routine'!E173,Input!$P$5:$P$44,"Routine")</f>
        <v>0.98</v>
      </c>
      <c r="G173" s="3">
        <f t="shared" si="13"/>
        <v>0.98</v>
      </c>
      <c r="H173" s="3">
        <f t="shared" si="13"/>
        <v>0.98</v>
      </c>
      <c r="I173" s="3">
        <f t="shared" si="13"/>
        <v>0.98</v>
      </c>
      <c r="J173" s="3">
        <f t="shared" si="13"/>
        <v>0.98</v>
      </c>
      <c r="K173" s="3">
        <f t="shared" si="13"/>
        <v>0.98</v>
      </c>
      <c r="L173" s="3">
        <f t="shared" si="13"/>
        <v>0.98</v>
      </c>
      <c r="M173" s="3">
        <f t="shared" si="13"/>
        <v>0.98</v>
      </c>
      <c r="N173" s="3">
        <f t="shared" si="13"/>
        <v>0.98</v>
      </c>
      <c r="O173" s="3">
        <f t="shared" si="13"/>
        <v>0.98</v>
      </c>
      <c r="P173" s="3">
        <f t="shared" si="13"/>
        <v>0.98</v>
      </c>
    </row>
    <row r="174" spans="1:16">
      <c r="A174" s="84" t="s">
        <v>421</v>
      </c>
      <c r="B174" s="85" t="s">
        <v>420</v>
      </c>
      <c r="C174" s="85" t="s">
        <v>74</v>
      </c>
      <c r="D174" s="84" t="s">
        <v>75</v>
      </c>
      <c r="E174" s="84">
        <f>VLOOKUP(A174,'2a. SI Pop'!$A$5:$E$198,5,FALSE)</f>
        <v>2</v>
      </c>
      <c r="F174" s="3">
        <f>SUMIFS(Input!$Q$5:$Q$44,Input!$O$5:$O$44,'6a. %FP-Routine'!E174,Input!$P$5:$P$44,"Routine")</f>
        <v>0.83</v>
      </c>
      <c r="G174" s="3">
        <f t="shared" si="13"/>
        <v>0.83</v>
      </c>
      <c r="H174" s="3">
        <f t="shared" si="13"/>
        <v>0.83</v>
      </c>
      <c r="I174" s="3">
        <f t="shared" si="13"/>
        <v>0.83</v>
      </c>
      <c r="J174" s="3">
        <f t="shared" si="13"/>
        <v>0.83</v>
      </c>
      <c r="K174" s="3">
        <f t="shared" si="13"/>
        <v>0.83</v>
      </c>
      <c r="L174" s="3">
        <f t="shared" si="13"/>
        <v>0.83</v>
      </c>
      <c r="M174" s="3">
        <f t="shared" si="13"/>
        <v>0.83</v>
      </c>
      <c r="N174" s="3">
        <f t="shared" si="13"/>
        <v>0.83</v>
      </c>
      <c r="O174" s="3">
        <f t="shared" si="13"/>
        <v>0.83</v>
      </c>
      <c r="P174" s="3">
        <f t="shared" si="13"/>
        <v>0.83</v>
      </c>
    </row>
    <row r="175" spans="1:16">
      <c r="A175" s="84" t="s">
        <v>423</v>
      </c>
      <c r="B175" s="85" t="s">
        <v>422</v>
      </c>
      <c r="C175" s="85" t="s">
        <v>83</v>
      </c>
      <c r="D175" s="84" t="s">
        <v>84</v>
      </c>
      <c r="E175" s="84" t="str">
        <f>VLOOKUP(A175,'2a. SI Pop'!$A$5:$E$198,5,FALSE)</f>
        <v>Key</v>
      </c>
      <c r="F175" s="3">
        <f>SUMIFS(Input!$Q$5:$Q$44,Input!$O$5:$O$44,'6a. %FP-Routine'!A175,Input!$P$5:$P$44,"Routine")</f>
        <v>0.85</v>
      </c>
      <c r="G175" s="3">
        <f t="shared" si="13"/>
        <v>0.85</v>
      </c>
      <c r="H175" s="3">
        <f t="shared" si="13"/>
        <v>0.85</v>
      </c>
      <c r="I175" s="3">
        <f t="shared" si="13"/>
        <v>0.85</v>
      </c>
      <c r="J175" s="3">
        <f t="shared" si="13"/>
        <v>0.85</v>
      </c>
      <c r="K175" s="3">
        <f t="shared" si="13"/>
        <v>0.85</v>
      </c>
      <c r="L175" s="3">
        <f t="shared" si="13"/>
        <v>0.85</v>
      </c>
      <c r="M175" s="3">
        <f t="shared" si="13"/>
        <v>0.85</v>
      </c>
      <c r="N175" s="3">
        <f t="shared" si="13"/>
        <v>0.85</v>
      </c>
      <c r="O175" s="3">
        <f t="shared" si="13"/>
        <v>0.85</v>
      </c>
      <c r="P175" s="3">
        <f t="shared" si="13"/>
        <v>0.85</v>
      </c>
    </row>
    <row r="176" spans="1:16">
      <c r="A176" s="84" t="s">
        <v>425</v>
      </c>
      <c r="B176" s="85" t="s">
        <v>424</v>
      </c>
      <c r="C176" s="85" t="s">
        <v>79</v>
      </c>
      <c r="D176" s="84" t="s">
        <v>75</v>
      </c>
      <c r="E176" s="84">
        <f>VLOOKUP(A176,'2a. SI Pop'!$A$5:$E$198,5,FALSE)</f>
        <v>2</v>
      </c>
      <c r="F176" s="3">
        <f>SUMIFS(Input!$Q$5:$Q$44,Input!$O$5:$O$44,'6a. %FP-Routine'!E176,Input!$P$5:$P$44,"Routine")</f>
        <v>0.83</v>
      </c>
      <c r="G176" s="3">
        <f t="shared" si="13"/>
        <v>0.83</v>
      </c>
      <c r="H176" s="3">
        <f t="shared" si="13"/>
        <v>0.83</v>
      </c>
      <c r="I176" s="3">
        <f t="shared" si="13"/>
        <v>0.83</v>
      </c>
      <c r="J176" s="3">
        <f t="shared" si="13"/>
        <v>0.83</v>
      </c>
      <c r="K176" s="3">
        <f t="shared" si="13"/>
        <v>0.83</v>
      </c>
      <c r="L176" s="3">
        <f t="shared" si="13"/>
        <v>0.83</v>
      </c>
      <c r="M176" s="3">
        <f t="shared" si="13"/>
        <v>0.83</v>
      </c>
      <c r="N176" s="3">
        <f t="shared" si="13"/>
        <v>0.83</v>
      </c>
      <c r="O176" s="3">
        <f t="shared" si="13"/>
        <v>0.83</v>
      </c>
      <c r="P176" s="3">
        <f t="shared" si="13"/>
        <v>0.83</v>
      </c>
    </row>
    <row r="177" spans="1:16">
      <c r="A177" s="84" t="s">
        <v>427</v>
      </c>
      <c r="B177" s="85" t="s">
        <v>426</v>
      </c>
      <c r="C177" s="85" t="s">
        <v>110</v>
      </c>
      <c r="D177" s="84" t="s">
        <v>80</v>
      </c>
      <c r="E177" s="84">
        <f>VLOOKUP(A177,'2a. SI Pop'!$A$5:$E$198,5,FALSE)</f>
        <v>1</v>
      </c>
      <c r="F177" s="3">
        <f>SUMIFS(Input!$Q$5:$Q$44,Input!$O$5:$O$44,'6a. %FP-Routine'!E177,Input!$P$5:$P$44,"Routine")</f>
        <v>0.98</v>
      </c>
      <c r="G177" s="3">
        <f t="shared" si="13"/>
        <v>0.98</v>
      </c>
      <c r="H177" s="3">
        <f t="shared" si="13"/>
        <v>0.98</v>
      </c>
      <c r="I177" s="3">
        <f t="shared" si="13"/>
        <v>0.98</v>
      </c>
      <c r="J177" s="3">
        <f t="shared" si="13"/>
        <v>0.98</v>
      </c>
      <c r="K177" s="3">
        <f t="shared" si="13"/>
        <v>0.98</v>
      </c>
      <c r="L177" s="3">
        <f t="shared" si="13"/>
        <v>0.98</v>
      </c>
      <c r="M177" s="3">
        <f t="shared" si="13"/>
        <v>0.98</v>
      </c>
      <c r="N177" s="3">
        <f t="shared" si="13"/>
        <v>0.98</v>
      </c>
      <c r="O177" s="3">
        <f t="shared" si="13"/>
        <v>0.98</v>
      </c>
      <c r="P177" s="3">
        <f t="shared" si="13"/>
        <v>0.98</v>
      </c>
    </row>
    <row r="178" spans="1:16">
      <c r="A178" s="84" t="s">
        <v>429</v>
      </c>
      <c r="B178" s="85" t="s">
        <v>428</v>
      </c>
      <c r="C178" s="85" t="s">
        <v>110</v>
      </c>
      <c r="D178" s="84" t="s">
        <v>84</v>
      </c>
      <c r="E178" s="84">
        <f>VLOOKUP(A178,'2a. SI Pop'!$A$5:$E$198,5,FALSE)</f>
        <v>4</v>
      </c>
      <c r="F178" s="3">
        <f>SUMIFS(Input!$Q$5:$Q$44,Input!$O$5:$O$44,'6a. %FP-Routine'!E178,Input!$P$5:$P$44,"Routine")</f>
        <v>0.56000000000000005</v>
      </c>
      <c r="G178" s="3">
        <f t="shared" si="13"/>
        <v>0.56000000000000005</v>
      </c>
      <c r="H178" s="3">
        <f t="shared" si="13"/>
        <v>0.56000000000000005</v>
      </c>
      <c r="I178" s="3">
        <f t="shared" si="13"/>
        <v>0.56000000000000005</v>
      </c>
      <c r="J178" s="3">
        <f t="shared" si="13"/>
        <v>0.56000000000000005</v>
      </c>
      <c r="K178" s="3">
        <f t="shared" si="13"/>
        <v>0.56000000000000005</v>
      </c>
      <c r="L178" s="3">
        <f t="shared" si="13"/>
        <v>0.56000000000000005</v>
      </c>
      <c r="M178" s="3">
        <f t="shared" si="13"/>
        <v>0.56000000000000005</v>
      </c>
      <c r="N178" s="3">
        <f t="shared" si="13"/>
        <v>0.56000000000000005</v>
      </c>
      <c r="O178" s="3">
        <f t="shared" si="13"/>
        <v>0.56000000000000005</v>
      </c>
      <c r="P178" s="3">
        <f t="shared" si="13"/>
        <v>0.56000000000000005</v>
      </c>
    </row>
    <row r="179" spans="1:16">
      <c r="A179" s="84" t="s">
        <v>431</v>
      </c>
      <c r="B179" s="85" t="s">
        <v>430</v>
      </c>
      <c r="C179" s="85" t="s">
        <v>83</v>
      </c>
      <c r="D179" s="84" t="s">
        <v>75</v>
      </c>
      <c r="E179" s="84">
        <f>VLOOKUP(A179,'2a. SI Pop'!$A$5:$E$198,5,FALSE)</f>
        <v>3</v>
      </c>
      <c r="F179" s="3">
        <f>SUMIFS(Input!$Q$5:$Q$44,Input!$O$5:$O$44,'6a. %FP-Routine'!E179,Input!$P$5:$P$44,"Routine")</f>
        <v>0.56000000000000005</v>
      </c>
      <c r="G179" s="3">
        <f t="shared" si="13"/>
        <v>0.56000000000000005</v>
      </c>
      <c r="H179" s="3">
        <f t="shared" si="13"/>
        <v>0.56000000000000005</v>
      </c>
      <c r="I179" s="3">
        <f t="shared" si="13"/>
        <v>0.56000000000000005</v>
      </c>
      <c r="J179" s="3">
        <f t="shared" si="13"/>
        <v>0.56000000000000005</v>
      </c>
      <c r="K179" s="3">
        <f t="shared" si="13"/>
        <v>0.56000000000000005</v>
      </c>
      <c r="L179" s="3">
        <f t="shared" si="13"/>
        <v>0.56000000000000005</v>
      </c>
      <c r="M179" s="3">
        <f t="shared" si="13"/>
        <v>0.56000000000000005</v>
      </c>
      <c r="N179" s="3">
        <f t="shared" si="13"/>
        <v>0.56000000000000005</v>
      </c>
      <c r="O179" s="3">
        <f t="shared" si="13"/>
        <v>0.56000000000000005</v>
      </c>
      <c r="P179" s="3">
        <f t="shared" si="13"/>
        <v>0.56000000000000005</v>
      </c>
    </row>
    <row r="180" spans="1:16">
      <c r="A180" s="84" t="s">
        <v>433</v>
      </c>
      <c r="B180" s="85" t="s">
        <v>432</v>
      </c>
      <c r="C180" s="85" t="s">
        <v>99</v>
      </c>
      <c r="D180" s="84" t="s">
        <v>80</v>
      </c>
      <c r="E180" s="84">
        <f>VLOOKUP(A180,'2a. SI Pop'!$A$5:$E$198,5,FALSE)</f>
        <v>1</v>
      </c>
      <c r="F180" s="3">
        <f>SUMIFS(Input!$Q$5:$Q$44,Input!$O$5:$O$44,'6a. %FP-Routine'!E180,Input!$P$5:$P$44,"Routine")</f>
        <v>0.98</v>
      </c>
      <c r="G180" s="3">
        <f t="shared" si="13"/>
        <v>0.98</v>
      </c>
      <c r="H180" s="3">
        <f t="shared" si="13"/>
        <v>0.98</v>
      </c>
      <c r="I180" s="3">
        <f t="shared" si="13"/>
        <v>0.98</v>
      </c>
      <c r="J180" s="3">
        <f t="shared" si="13"/>
        <v>0.98</v>
      </c>
      <c r="K180" s="3">
        <f t="shared" si="13"/>
        <v>0.98</v>
      </c>
      <c r="L180" s="3">
        <f t="shared" si="13"/>
        <v>0.98</v>
      </c>
      <c r="M180" s="3">
        <f t="shared" si="13"/>
        <v>0.98</v>
      </c>
      <c r="N180" s="3">
        <f t="shared" si="13"/>
        <v>0.98</v>
      </c>
      <c r="O180" s="3">
        <f t="shared" si="13"/>
        <v>0.98</v>
      </c>
      <c r="P180" s="3">
        <f t="shared" si="13"/>
        <v>0.98</v>
      </c>
    </row>
    <row r="181" spans="1:16">
      <c r="A181" s="84" t="s">
        <v>435</v>
      </c>
      <c r="B181" s="85" t="s">
        <v>434</v>
      </c>
      <c r="C181" s="85" t="s">
        <v>92</v>
      </c>
      <c r="D181" s="84" t="s">
        <v>87</v>
      </c>
      <c r="E181" s="84">
        <f>VLOOKUP(A181,'2a. SI Pop'!$A$5:$E$198,5,FALSE)</f>
        <v>1</v>
      </c>
      <c r="F181" s="3">
        <f>SUMIFS(Input!$Q$5:$Q$44,Input!$O$5:$O$44,'6a. %FP-Routine'!E181,Input!$P$5:$P$44,"Routine")</f>
        <v>0.98</v>
      </c>
      <c r="G181" s="3">
        <f t="shared" si="13"/>
        <v>0.98</v>
      </c>
      <c r="H181" s="3">
        <f t="shared" si="13"/>
        <v>0.98</v>
      </c>
      <c r="I181" s="3">
        <f t="shared" si="13"/>
        <v>0.98</v>
      </c>
      <c r="J181" s="3">
        <f t="shared" si="13"/>
        <v>0.98</v>
      </c>
      <c r="K181" s="3">
        <f t="shared" si="13"/>
        <v>0.98</v>
      </c>
      <c r="L181" s="3">
        <f t="shared" si="13"/>
        <v>0.98</v>
      </c>
      <c r="M181" s="3">
        <f t="shared" si="13"/>
        <v>0.98</v>
      </c>
      <c r="N181" s="3">
        <f t="shared" si="13"/>
        <v>0.98</v>
      </c>
      <c r="O181" s="3">
        <f t="shared" si="13"/>
        <v>0.98</v>
      </c>
      <c r="P181" s="3">
        <f t="shared" si="13"/>
        <v>0.98</v>
      </c>
    </row>
    <row r="182" spans="1:16">
      <c r="A182" s="84" t="s">
        <v>437</v>
      </c>
      <c r="B182" s="85" t="s">
        <v>436</v>
      </c>
      <c r="C182" s="85" t="s">
        <v>74</v>
      </c>
      <c r="D182" s="84" t="s">
        <v>84</v>
      </c>
      <c r="E182" s="84">
        <f>VLOOKUP(A182,'2a. SI Pop'!$A$5:$E$198,5,FALSE)</f>
        <v>3</v>
      </c>
      <c r="F182" s="3">
        <f>SUMIFS(Input!$Q$5:$Q$44,Input!$O$5:$O$44,'6a. %FP-Routine'!E182,Input!$P$5:$P$44,"Routine")</f>
        <v>0.56000000000000005</v>
      </c>
      <c r="G182" s="3">
        <f t="shared" ref="G182:P197" si="14">F182</f>
        <v>0.56000000000000005</v>
      </c>
      <c r="H182" s="3">
        <f t="shared" si="14"/>
        <v>0.56000000000000005</v>
      </c>
      <c r="I182" s="3">
        <f t="shared" si="14"/>
        <v>0.56000000000000005</v>
      </c>
      <c r="J182" s="3">
        <f t="shared" si="14"/>
        <v>0.56000000000000005</v>
      </c>
      <c r="K182" s="3">
        <f t="shared" si="14"/>
        <v>0.56000000000000005</v>
      </c>
      <c r="L182" s="3">
        <f t="shared" si="14"/>
        <v>0.56000000000000005</v>
      </c>
      <c r="M182" s="3">
        <f t="shared" si="14"/>
        <v>0.56000000000000005</v>
      </c>
      <c r="N182" s="3">
        <f t="shared" si="14"/>
        <v>0.56000000000000005</v>
      </c>
      <c r="O182" s="3">
        <f t="shared" si="14"/>
        <v>0.56000000000000005</v>
      </c>
      <c r="P182" s="3">
        <f t="shared" si="14"/>
        <v>0.56000000000000005</v>
      </c>
    </row>
    <row r="183" spans="1:16">
      <c r="A183" s="84" t="s">
        <v>439</v>
      </c>
      <c r="B183" s="85" t="s">
        <v>438</v>
      </c>
      <c r="C183" s="85" t="s">
        <v>79</v>
      </c>
      <c r="D183" s="84" t="s">
        <v>80</v>
      </c>
      <c r="E183" s="84">
        <f>VLOOKUP(A183,'2a. SI Pop'!$A$5:$E$198,5,FALSE)</f>
        <v>1</v>
      </c>
      <c r="F183" s="3">
        <f>SUMIFS(Input!$Q$5:$Q$44,Input!$O$5:$O$44,'6a. %FP-Routine'!E183,Input!$P$5:$P$44,"Routine")</f>
        <v>0.98</v>
      </c>
      <c r="G183" s="3">
        <f t="shared" si="14"/>
        <v>0.98</v>
      </c>
      <c r="H183" s="3">
        <f t="shared" si="14"/>
        <v>0.98</v>
      </c>
      <c r="I183" s="3">
        <f t="shared" si="14"/>
        <v>0.98</v>
      </c>
      <c r="J183" s="3">
        <f t="shared" si="14"/>
        <v>0.98</v>
      </c>
      <c r="K183" s="3">
        <f t="shared" si="14"/>
        <v>0.98</v>
      </c>
      <c r="L183" s="3">
        <f t="shared" si="14"/>
        <v>0.98</v>
      </c>
      <c r="M183" s="3">
        <f t="shared" si="14"/>
        <v>0.98</v>
      </c>
      <c r="N183" s="3">
        <f t="shared" si="14"/>
        <v>0.98</v>
      </c>
      <c r="O183" s="3">
        <f t="shared" si="14"/>
        <v>0.98</v>
      </c>
      <c r="P183" s="3">
        <f t="shared" si="14"/>
        <v>0.98</v>
      </c>
    </row>
    <row r="184" spans="1:16">
      <c r="A184" s="84" t="s">
        <v>441</v>
      </c>
      <c r="B184" s="85" t="s">
        <v>440</v>
      </c>
      <c r="C184" s="85" t="s">
        <v>79</v>
      </c>
      <c r="D184" s="84" t="s">
        <v>80</v>
      </c>
      <c r="E184" s="84">
        <f>VLOOKUP(A184,'2a. SI Pop'!$A$5:$E$198,5,FALSE)</f>
        <v>1</v>
      </c>
      <c r="F184" s="3">
        <f>SUMIFS(Input!$Q$5:$Q$44,Input!$O$5:$O$44,'6a. %FP-Routine'!E184,Input!$P$5:$P$44,"Routine")</f>
        <v>0.98</v>
      </c>
      <c r="G184" s="3">
        <f t="shared" si="14"/>
        <v>0.98</v>
      </c>
      <c r="H184" s="3">
        <f t="shared" si="14"/>
        <v>0.98</v>
      </c>
      <c r="I184" s="3">
        <f t="shared" si="14"/>
        <v>0.98</v>
      </c>
      <c r="J184" s="3">
        <f t="shared" si="14"/>
        <v>0.98</v>
      </c>
      <c r="K184" s="3">
        <f t="shared" si="14"/>
        <v>0.98</v>
      </c>
      <c r="L184" s="3">
        <f t="shared" si="14"/>
        <v>0.98</v>
      </c>
      <c r="M184" s="3">
        <f t="shared" si="14"/>
        <v>0.98</v>
      </c>
      <c r="N184" s="3">
        <f t="shared" si="14"/>
        <v>0.98</v>
      </c>
      <c r="O184" s="3">
        <f t="shared" si="14"/>
        <v>0.98</v>
      </c>
      <c r="P184" s="3">
        <f t="shared" si="14"/>
        <v>0.98</v>
      </c>
    </row>
    <row r="185" spans="1:16">
      <c r="A185" s="84" t="s">
        <v>443</v>
      </c>
      <c r="B185" s="85" t="s">
        <v>442</v>
      </c>
      <c r="C185" s="85" t="s">
        <v>99</v>
      </c>
      <c r="D185" s="84" t="s">
        <v>80</v>
      </c>
      <c r="E185" s="84">
        <f>VLOOKUP(A185,'2a. SI Pop'!$A$5:$E$198,5,FALSE)</f>
        <v>4</v>
      </c>
      <c r="F185" s="3">
        <f>SUMIFS(Input!$Q$5:$Q$44,Input!$O$5:$O$44,'6a. %FP-Routine'!E185,Input!$P$5:$P$44,"Routine")</f>
        <v>0.56000000000000005</v>
      </c>
      <c r="G185" s="3">
        <f t="shared" si="14"/>
        <v>0.56000000000000005</v>
      </c>
      <c r="H185" s="3">
        <f t="shared" si="14"/>
        <v>0.56000000000000005</v>
      </c>
      <c r="I185" s="3">
        <f t="shared" si="14"/>
        <v>0.56000000000000005</v>
      </c>
      <c r="J185" s="3">
        <f t="shared" si="14"/>
        <v>0.56000000000000005</v>
      </c>
      <c r="K185" s="3">
        <f t="shared" si="14"/>
        <v>0.56000000000000005</v>
      </c>
      <c r="L185" s="3">
        <f t="shared" si="14"/>
        <v>0.56000000000000005</v>
      </c>
      <c r="M185" s="3">
        <f t="shared" si="14"/>
        <v>0.56000000000000005</v>
      </c>
      <c r="N185" s="3">
        <f t="shared" si="14"/>
        <v>0.56000000000000005</v>
      </c>
      <c r="O185" s="3">
        <f t="shared" si="14"/>
        <v>0.56000000000000005</v>
      </c>
      <c r="P185" s="3">
        <f t="shared" si="14"/>
        <v>0.56000000000000005</v>
      </c>
    </row>
    <row r="186" spans="1:16">
      <c r="A186" s="84" t="s">
        <v>445</v>
      </c>
      <c r="B186" s="85" t="s">
        <v>444</v>
      </c>
      <c r="C186" s="85" t="s">
        <v>83</v>
      </c>
      <c r="D186" s="84" t="s">
        <v>75</v>
      </c>
      <c r="E186" s="84" t="str">
        <f>VLOOKUP(A186,'2a. SI Pop'!$A$5:$E$198,5,FALSE)</f>
        <v>Key</v>
      </c>
      <c r="F186" s="3">
        <f>SUMIFS(Input!$Q$5:$Q$44,Input!$O$5:$O$44,'6a. %FP-Routine'!A186,Input!$P$5:$P$44,"Routine")</f>
        <v>0.83</v>
      </c>
      <c r="G186" s="3">
        <f t="shared" si="14"/>
        <v>0.83</v>
      </c>
      <c r="H186" s="3">
        <f t="shared" si="14"/>
        <v>0.83</v>
      </c>
      <c r="I186" s="3">
        <f t="shared" si="14"/>
        <v>0.83</v>
      </c>
      <c r="J186" s="3">
        <f t="shared" si="14"/>
        <v>0.83</v>
      </c>
      <c r="K186" s="3">
        <f t="shared" si="14"/>
        <v>0.83</v>
      </c>
      <c r="L186" s="3">
        <f t="shared" si="14"/>
        <v>0.83</v>
      </c>
      <c r="M186" s="3">
        <f t="shared" si="14"/>
        <v>0.83</v>
      </c>
      <c r="N186" s="3">
        <f t="shared" si="14"/>
        <v>0.83</v>
      </c>
      <c r="O186" s="3">
        <f t="shared" si="14"/>
        <v>0.83</v>
      </c>
      <c r="P186" s="3">
        <f t="shared" si="14"/>
        <v>0.83</v>
      </c>
    </row>
    <row r="187" spans="1:16">
      <c r="A187" s="84" t="s">
        <v>447</v>
      </c>
      <c r="B187" s="85" t="s">
        <v>446</v>
      </c>
      <c r="C187" s="85" t="s">
        <v>79</v>
      </c>
      <c r="D187" s="84" t="s">
        <v>84</v>
      </c>
      <c r="E187" s="84">
        <f>VLOOKUP(A187,'2a. SI Pop'!$A$5:$E$198,5,FALSE)</f>
        <v>1</v>
      </c>
      <c r="F187" s="3">
        <f>SUMIFS(Input!$Q$5:$Q$44,Input!$O$5:$O$44,'6a. %FP-Routine'!E187,Input!$P$5:$P$44,"Routine")</f>
        <v>0.98</v>
      </c>
      <c r="G187" s="3">
        <f t="shared" si="14"/>
        <v>0.98</v>
      </c>
      <c r="H187" s="3">
        <f t="shared" si="14"/>
        <v>0.98</v>
      </c>
      <c r="I187" s="3">
        <f t="shared" si="14"/>
        <v>0.98</v>
      </c>
      <c r="J187" s="3">
        <f t="shared" si="14"/>
        <v>0.98</v>
      </c>
      <c r="K187" s="3">
        <f t="shared" si="14"/>
        <v>0.98</v>
      </c>
      <c r="L187" s="3">
        <f t="shared" si="14"/>
        <v>0.98</v>
      </c>
      <c r="M187" s="3">
        <f t="shared" si="14"/>
        <v>0.98</v>
      </c>
      <c r="N187" s="3">
        <f t="shared" si="14"/>
        <v>0.98</v>
      </c>
      <c r="O187" s="3">
        <f t="shared" si="14"/>
        <v>0.98</v>
      </c>
      <c r="P187" s="3">
        <f t="shared" si="14"/>
        <v>0.98</v>
      </c>
    </row>
    <row r="188" spans="1:16">
      <c r="A188" s="84" t="s">
        <v>449</v>
      </c>
      <c r="B188" s="85" t="s">
        <v>448</v>
      </c>
      <c r="C188" s="85" t="s">
        <v>74</v>
      </c>
      <c r="D188" s="84" t="s">
        <v>87</v>
      </c>
      <c r="E188" s="84">
        <f>VLOOKUP(A188,'2a. SI Pop'!$A$5:$E$198,5,FALSE)</f>
        <v>1</v>
      </c>
      <c r="F188" s="3">
        <f>SUMIFS(Input!$Q$5:$Q$44,Input!$O$5:$O$44,'6a. %FP-Routine'!E188,Input!$P$5:$P$44,"Routine")</f>
        <v>0.98</v>
      </c>
      <c r="G188" s="3">
        <f t="shared" si="14"/>
        <v>0.98</v>
      </c>
      <c r="H188" s="3">
        <f t="shared" si="14"/>
        <v>0.98</v>
      </c>
      <c r="I188" s="3">
        <f t="shared" si="14"/>
        <v>0.98</v>
      </c>
      <c r="J188" s="3">
        <f t="shared" si="14"/>
        <v>0.98</v>
      </c>
      <c r="K188" s="3">
        <f t="shared" si="14"/>
        <v>0.98</v>
      </c>
      <c r="L188" s="3">
        <f t="shared" si="14"/>
        <v>0.98</v>
      </c>
      <c r="M188" s="3">
        <f t="shared" si="14"/>
        <v>0.98</v>
      </c>
      <c r="N188" s="3">
        <f t="shared" si="14"/>
        <v>0.98</v>
      </c>
      <c r="O188" s="3">
        <f t="shared" si="14"/>
        <v>0.98</v>
      </c>
      <c r="P188" s="3">
        <f t="shared" si="14"/>
        <v>0.98</v>
      </c>
    </row>
    <row r="189" spans="1:16">
      <c r="A189" s="84" t="s">
        <v>451</v>
      </c>
      <c r="B189" s="85" t="s">
        <v>450</v>
      </c>
      <c r="C189" s="85" t="s">
        <v>79</v>
      </c>
      <c r="D189" s="84" t="s">
        <v>87</v>
      </c>
      <c r="E189" s="84">
        <f>VLOOKUP(A189,'2a. SI Pop'!$A$5:$E$198,5,FALSE)</f>
        <v>1</v>
      </c>
      <c r="F189" s="3">
        <f>SUMIFS(Input!$Q$5:$Q$44,Input!$O$5:$O$44,'6a. %FP-Routine'!E189,Input!$P$5:$P$44,"Routine")</f>
        <v>0.98</v>
      </c>
      <c r="G189" s="3">
        <f t="shared" si="14"/>
        <v>0.98</v>
      </c>
      <c r="H189" s="3">
        <f t="shared" si="14"/>
        <v>0.98</v>
      </c>
      <c r="I189" s="3">
        <f t="shared" si="14"/>
        <v>0.98</v>
      </c>
      <c r="J189" s="3">
        <f t="shared" si="14"/>
        <v>0.98</v>
      </c>
      <c r="K189" s="3">
        <f t="shared" si="14"/>
        <v>0.98</v>
      </c>
      <c r="L189" s="3">
        <f t="shared" si="14"/>
        <v>0.98</v>
      </c>
      <c r="M189" s="3">
        <f t="shared" si="14"/>
        <v>0.98</v>
      </c>
      <c r="N189" s="3">
        <f t="shared" si="14"/>
        <v>0.98</v>
      </c>
      <c r="O189" s="3">
        <f t="shared" si="14"/>
        <v>0.98</v>
      </c>
      <c r="P189" s="3">
        <f t="shared" si="14"/>
        <v>0.98</v>
      </c>
    </row>
    <row r="190" spans="1:16">
      <c r="A190" s="84" t="s">
        <v>453</v>
      </c>
      <c r="B190" s="85" t="s">
        <v>452</v>
      </c>
      <c r="C190" s="85" t="s">
        <v>92</v>
      </c>
      <c r="D190" s="84" t="s">
        <v>87</v>
      </c>
      <c r="E190" s="84" t="str">
        <f>VLOOKUP(A190,'2a. SI Pop'!$A$5:$E$198,5,FALSE)</f>
        <v>Key</v>
      </c>
      <c r="F190" s="3">
        <f>SUMIFS(Input!$Q$5:$Q$44,Input!$O$5:$O$44,'6a. %FP-Routine'!A190,Input!$P$5:$P$44,"Routine")</f>
        <v>0.98</v>
      </c>
      <c r="G190" s="3">
        <f t="shared" si="14"/>
        <v>0.98</v>
      </c>
      <c r="H190" s="3">
        <f t="shared" si="14"/>
        <v>0.98</v>
      </c>
      <c r="I190" s="3">
        <f t="shared" si="14"/>
        <v>0.98</v>
      </c>
      <c r="J190" s="3">
        <f t="shared" si="14"/>
        <v>0.98</v>
      </c>
      <c r="K190" s="3">
        <f t="shared" si="14"/>
        <v>0.98</v>
      </c>
      <c r="L190" s="3">
        <f t="shared" si="14"/>
        <v>0.98</v>
      </c>
      <c r="M190" s="3">
        <f t="shared" si="14"/>
        <v>0.98</v>
      </c>
      <c r="N190" s="3">
        <f t="shared" si="14"/>
        <v>0.98</v>
      </c>
      <c r="O190" s="3">
        <f t="shared" si="14"/>
        <v>0.98</v>
      </c>
      <c r="P190" s="3">
        <f t="shared" si="14"/>
        <v>0.98</v>
      </c>
    </row>
    <row r="191" spans="1:16">
      <c r="A191" s="84" t="s">
        <v>455</v>
      </c>
      <c r="B191" s="85" t="s">
        <v>454</v>
      </c>
      <c r="C191" s="85" t="s">
        <v>92</v>
      </c>
      <c r="D191" s="84" t="s">
        <v>87</v>
      </c>
      <c r="E191" s="84">
        <f>VLOOKUP(A191,'2a. SI Pop'!$A$5:$E$198,5,FALSE)</f>
        <v>1</v>
      </c>
      <c r="F191" s="3">
        <f>SUMIFS(Input!$Q$5:$Q$44,Input!$O$5:$O$44,'6a. %FP-Routine'!E191,Input!$P$5:$P$44,"Routine")</f>
        <v>0.98</v>
      </c>
      <c r="G191" s="3">
        <f t="shared" si="14"/>
        <v>0.98</v>
      </c>
      <c r="H191" s="3">
        <f t="shared" si="14"/>
        <v>0.98</v>
      </c>
      <c r="I191" s="3">
        <f t="shared" si="14"/>
        <v>0.98</v>
      </c>
      <c r="J191" s="3">
        <f t="shared" si="14"/>
        <v>0.98</v>
      </c>
      <c r="K191" s="3">
        <f t="shared" si="14"/>
        <v>0.98</v>
      </c>
      <c r="L191" s="3">
        <f t="shared" si="14"/>
        <v>0.98</v>
      </c>
      <c r="M191" s="3">
        <f t="shared" si="14"/>
        <v>0.98</v>
      </c>
      <c r="N191" s="3">
        <f t="shared" si="14"/>
        <v>0.98</v>
      </c>
      <c r="O191" s="3">
        <f t="shared" si="14"/>
        <v>0.98</v>
      </c>
      <c r="P191" s="3">
        <f t="shared" si="14"/>
        <v>0.98</v>
      </c>
    </row>
    <row r="192" spans="1:16">
      <c r="A192" s="84" t="s">
        <v>457</v>
      </c>
      <c r="B192" s="85" t="s">
        <v>456</v>
      </c>
      <c r="C192" s="85" t="s">
        <v>79</v>
      </c>
      <c r="D192" s="84" t="s">
        <v>84</v>
      </c>
      <c r="E192" s="84">
        <f>VLOOKUP(A192,'2a. SI Pop'!$A$5:$E$198,5,FALSE)</f>
        <v>2</v>
      </c>
      <c r="F192" s="3">
        <f>SUMIFS(Input!$Q$5:$Q$44,Input!$O$5:$O$44,'6a. %FP-Routine'!E192,Input!$P$5:$P$44,"Routine")</f>
        <v>0.83</v>
      </c>
      <c r="G192" s="3">
        <f t="shared" si="14"/>
        <v>0.83</v>
      </c>
      <c r="H192" s="3">
        <f t="shared" si="14"/>
        <v>0.83</v>
      </c>
      <c r="I192" s="3">
        <f t="shared" si="14"/>
        <v>0.83</v>
      </c>
      <c r="J192" s="3">
        <f t="shared" si="14"/>
        <v>0.83</v>
      </c>
      <c r="K192" s="3">
        <f t="shared" si="14"/>
        <v>0.83</v>
      </c>
      <c r="L192" s="3">
        <f t="shared" si="14"/>
        <v>0.83</v>
      </c>
      <c r="M192" s="3">
        <f t="shared" si="14"/>
        <v>0.83</v>
      </c>
      <c r="N192" s="3">
        <f t="shared" si="14"/>
        <v>0.83</v>
      </c>
      <c r="O192" s="3">
        <f t="shared" si="14"/>
        <v>0.83</v>
      </c>
      <c r="P192" s="3">
        <f t="shared" si="14"/>
        <v>0.83</v>
      </c>
    </row>
    <row r="193" spans="1:16">
      <c r="A193" s="84" t="s">
        <v>459</v>
      </c>
      <c r="B193" s="85" t="s">
        <v>458</v>
      </c>
      <c r="C193" s="85" t="s">
        <v>99</v>
      </c>
      <c r="D193" s="84" t="s">
        <v>84</v>
      </c>
      <c r="E193" s="84">
        <f>VLOOKUP(A193,'2a. SI Pop'!$A$5:$E$198,5,FALSE)</f>
        <v>4</v>
      </c>
      <c r="F193" s="3">
        <f>SUMIFS(Input!$Q$5:$Q$44,Input!$O$5:$O$44,'6a. %FP-Routine'!E193,Input!$P$5:$P$44,"Routine")</f>
        <v>0.56000000000000005</v>
      </c>
      <c r="G193" s="3">
        <f t="shared" si="14"/>
        <v>0.56000000000000005</v>
      </c>
      <c r="H193" s="3">
        <f t="shared" si="14"/>
        <v>0.56000000000000005</v>
      </c>
      <c r="I193" s="3">
        <f t="shared" si="14"/>
        <v>0.56000000000000005</v>
      </c>
      <c r="J193" s="3">
        <f t="shared" si="14"/>
        <v>0.56000000000000005</v>
      </c>
      <c r="K193" s="3">
        <f t="shared" si="14"/>
        <v>0.56000000000000005</v>
      </c>
      <c r="L193" s="3">
        <f t="shared" si="14"/>
        <v>0.56000000000000005</v>
      </c>
      <c r="M193" s="3">
        <f t="shared" si="14"/>
        <v>0.56000000000000005</v>
      </c>
      <c r="N193" s="3">
        <f t="shared" si="14"/>
        <v>0.56000000000000005</v>
      </c>
      <c r="O193" s="3">
        <f t="shared" si="14"/>
        <v>0.56000000000000005</v>
      </c>
      <c r="P193" s="3">
        <f t="shared" si="14"/>
        <v>0.56000000000000005</v>
      </c>
    </row>
    <row r="194" spans="1:16">
      <c r="A194" s="84" t="s">
        <v>461</v>
      </c>
      <c r="B194" s="85" t="s">
        <v>460</v>
      </c>
      <c r="C194" s="85" t="s">
        <v>92</v>
      </c>
      <c r="D194" s="84" t="s">
        <v>80</v>
      </c>
      <c r="E194" s="84">
        <f>VLOOKUP(A194,'2a. SI Pop'!$A$5:$E$198,5,FALSE)</f>
        <v>1</v>
      </c>
      <c r="F194" s="3">
        <f>SUMIFS(Input!$Q$5:$Q$44,Input!$O$5:$O$44,'6a. %FP-Routine'!E194,Input!$P$5:$P$44,"Routine")</f>
        <v>0.98</v>
      </c>
      <c r="G194" s="3">
        <f t="shared" si="14"/>
        <v>0.98</v>
      </c>
      <c r="H194" s="3">
        <f t="shared" si="14"/>
        <v>0.98</v>
      </c>
      <c r="I194" s="3">
        <f t="shared" si="14"/>
        <v>0.98</v>
      </c>
      <c r="J194" s="3">
        <f t="shared" si="14"/>
        <v>0.98</v>
      </c>
      <c r="K194" s="3">
        <f t="shared" si="14"/>
        <v>0.98</v>
      </c>
      <c r="L194" s="3">
        <f t="shared" si="14"/>
        <v>0.98</v>
      </c>
      <c r="M194" s="3">
        <f t="shared" si="14"/>
        <v>0.98</v>
      </c>
      <c r="N194" s="3">
        <f t="shared" si="14"/>
        <v>0.98</v>
      </c>
      <c r="O194" s="3">
        <f t="shared" si="14"/>
        <v>0.98</v>
      </c>
      <c r="P194" s="3">
        <f t="shared" si="14"/>
        <v>0.98</v>
      </c>
    </row>
    <row r="195" spans="1:16">
      <c r="A195" s="84" t="s">
        <v>463</v>
      </c>
      <c r="B195" s="85" t="s">
        <v>462</v>
      </c>
      <c r="C195" s="85" t="s">
        <v>99</v>
      </c>
      <c r="D195" s="84" t="s">
        <v>84</v>
      </c>
      <c r="E195" s="84">
        <f>VLOOKUP(A195,'2a. SI Pop'!$A$5:$E$198,5,FALSE)</f>
        <v>4</v>
      </c>
      <c r="F195" s="3">
        <f>SUMIFS(Input!$Q$5:$Q$44,Input!$O$5:$O$44,'6a. %FP-Routine'!E195,Input!$P$5:$P$44,"Routine")</f>
        <v>0.56000000000000005</v>
      </c>
      <c r="G195" s="3">
        <f t="shared" si="14"/>
        <v>0.56000000000000005</v>
      </c>
      <c r="H195" s="3">
        <f t="shared" si="14"/>
        <v>0.56000000000000005</v>
      </c>
      <c r="I195" s="3">
        <f t="shared" si="14"/>
        <v>0.56000000000000005</v>
      </c>
      <c r="J195" s="3">
        <f t="shared" si="14"/>
        <v>0.56000000000000005</v>
      </c>
      <c r="K195" s="3">
        <f t="shared" si="14"/>
        <v>0.56000000000000005</v>
      </c>
      <c r="L195" s="3">
        <f t="shared" si="14"/>
        <v>0.56000000000000005</v>
      </c>
      <c r="M195" s="3">
        <f t="shared" si="14"/>
        <v>0.56000000000000005</v>
      </c>
      <c r="N195" s="3">
        <f t="shared" si="14"/>
        <v>0.56000000000000005</v>
      </c>
      <c r="O195" s="3">
        <f t="shared" si="14"/>
        <v>0.56000000000000005</v>
      </c>
      <c r="P195" s="3">
        <f t="shared" si="14"/>
        <v>0.56000000000000005</v>
      </c>
    </row>
    <row r="196" spans="1:16">
      <c r="A196" s="84" t="s">
        <v>465</v>
      </c>
      <c r="B196" s="85" t="s">
        <v>464</v>
      </c>
      <c r="C196" s="85" t="s">
        <v>74</v>
      </c>
      <c r="D196" s="84" t="s">
        <v>75</v>
      </c>
      <c r="E196" s="84">
        <f>VLOOKUP(A196,'2a. SI Pop'!$A$5:$E$198,5,FALSE)</f>
        <v>3</v>
      </c>
      <c r="F196" s="3">
        <f>SUMIFS(Input!$Q$5:$Q$44,Input!$O$5:$O$44,'6a. %FP-Routine'!E196,Input!$P$5:$P$44,"Routine")</f>
        <v>0.56000000000000005</v>
      </c>
      <c r="G196" s="3">
        <f t="shared" si="14"/>
        <v>0.56000000000000005</v>
      </c>
      <c r="H196" s="3">
        <f t="shared" si="14"/>
        <v>0.56000000000000005</v>
      </c>
      <c r="I196" s="3">
        <f t="shared" si="14"/>
        <v>0.56000000000000005</v>
      </c>
      <c r="J196" s="3">
        <f t="shared" si="14"/>
        <v>0.56000000000000005</v>
      </c>
      <c r="K196" s="3">
        <f t="shared" si="14"/>
        <v>0.56000000000000005</v>
      </c>
      <c r="L196" s="3">
        <f t="shared" si="14"/>
        <v>0.56000000000000005</v>
      </c>
      <c r="M196" s="3">
        <f t="shared" si="14"/>
        <v>0.56000000000000005</v>
      </c>
      <c r="N196" s="3">
        <f t="shared" si="14"/>
        <v>0.56000000000000005</v>
      </c>
      <c r="O196" s="3">
        <f t="shared" si="14"/>
        <v>0.56000000000000005</v>
      </c>
      <c r="P196" s="3">
        <f t="shared" si="14"/>
        <v>0.56000000000000005</v>
      </c>
    </row>
    <row r="197" spans="1:16">
      <c r="A197" s="84" t="s">
        <v>467</v>
      </c>
      <c r="B197" s="85" t="s">
        <v>466</v>
      </c>
      <c r="C197" s="85" t="s">
        <v>83</v>
      </c>
      <c r="D197" s="84" t="s">
        <v>84</v>
      </c>
      <c r="E197" s="84">
        <f>VLOOKUP(A197,'2a. SI Pop'!$A$5:$E$198,5,FALSE)</f>
        <v>3</v>
      </c>
      <c r="F197" s="3">
        <f>SUMIFS(Input!$Q$5:$Q$44,Input!$O$5:$O$44,'6a. %FP-Routine'!E197,Input!$P$5:$P$44,"Routine")</f>
        <v>0.56000000000000005</v>
      </c>
      <c r="G197" s="3">
        <f t="shared" si="14"/>
        <v>0.56000000000000005</v>
      </c>
      <c r="H197" s="3">
        <f t="shared" si="14"/>
        <v>0.56000000000000005</v>
      </c>
      <c r="I197" s="3">
        <f t="shared" si="14"/>
        <v>0.56000000000000005</v>
      </c>
      <c r="J197" s="3">
        <f t="shared" si="14"/>
        <v>0.56000000000000005</v>
      </c>
      <c r="K197" s="3">
        <f t="shared" si="14"/>
        <v>0.56000000000000005</v>
      </c>
      <c r="L197" s="3">
        <f t="shared" si="14"/>
        <v>0.56000000000000005</v>
      </c>
      <c r="M197" s="3">
        <f t="shared" si="14"/>
        <v>0.56000000000000005</v>
      </c>
      <c r="N197" s="3">
        <f t="shared" si="14"/>
        <v>0.56000000000000005</v>
      </c>
      <c r="O197" s="3">
        <f t="shared" si="14"/>
        <v>0.56000000000000005</v>
      </c>
      <c r="P197" s="3">
        <f t="shared" si="14"/>
        <v>0.56000000000000005</v>
      </c>
    </row>
    <row r="198" spans="1:16">
      <c r="A198" s="84" t="s">
        <v>469</v>
      </c>
      <c r="B198" s="85" t="s">
        <v>468</v>
      </c>
      <c r="C198" s="85" t="s">
        <v>83</v>
      </c>
      <c r="D198" s="84" t="s">
        <v>84</v>
      </c>
      <c r="E198" s="84">
        <f>VLOOKUP(A198,'2a. SI Pop'!$A$5:$E$198,5,FALSE)</f>
        <v>3</v>
      </c>
      <c r="F198" s="3">
        <f>SUMIFS(Input!$Q$5:$Q$44,Input!$O$5:$O$44,'6a. %FP-Routine'!E198,Input!$P$5:$P$44,"Routine")</f>
        <v>0.56000000000000005</v>
      </c>
      <c r="G198" s="3">
        <f t="shared" ref="G198:P198" si="15">F198</f>
        <v>0.56000000000000005</v>
      </c>
      <c r="H198" s="3">
        <f t="shared" si="15"/>
        <v>0.56000000000000005</v>
      </c>
      <c r="I198" s="3">
        <f t="shared" si="15"/>
        <v>0.56000000000000005</v>
      </c>
      <c r="J198" s="3">
        <f t="shared" si="15"/>
        <v>0.56000000000000005</v>
      </c>
      <c r="K198" s="3">
        <f t="shared" si="15"/>
        <v>0.56000000000000005</v>
      </c>
      <c r="L198" s="3">
        <f t="shared" si="15"/>
        <v>0.56000000000000005</v>
      </c>
      <c r="M198" s="3">
        <f t="shared" si="15"/>
        <v>0.56000000000000005</v>
      </c>
      <c r="N198" s="3">
        <f t="shared" si="15"/>
        <v>0.56000000000000005</v>
      </c>
      <c r="O198" s="3">
        <f t="shared" si="15"/>
        <v>0.56000000000000005</v>
      </c>
      <c r="P198" s="3">
        <f t="shared" si="15"/>
        <v>0.56000000000000005</v>
      </c>
    </row>
  </sheetData>
  <autoFilter ref="A4:P198" xr:uid="{1BE26F4C-1587-7C4D-887A-C69327E2A753}"/>
  <pageMargins left="0.7" right="0.7" top="0.75" bottom="0.75" header="0.3" footer="0.3"/>
  <pageSetup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1A477-FA8F-FA4B-93FF-F64BE9C2AA36}">
  <sheetPr>
    <tabColor theme="7" tint="0.59999389629810485"/>
  </sheetPr>
  <dimension ref="A1:P198"/>
  <sheetViews>
    <sheetView topLeftCell="A2" zoomScale="85" zoomScaleNormal="85" workbookViewId="0">
      <selection activeCell="H35" sqref="H35"/>
    </sheetView>
  </sheetViews>
  <sheetFormatPr defaultColWidth="10.85546875" defaultRowHeight="15"/>
  <cols>
    <col min="6" max="16" width="13.7109375" bestFit="1" customWidth="1"/>
  </cols>
  <sheetData>
    <row r="1" spans="1:16">
      <c r="A1" t="s">
        <v>470</v>
      </c>
      <c r="B1" t="s">
        <v>553</v>
      </c>
    </row>
    <row r="2" spans="1:16">
      <c r="A2" t="s">
        <v>471</v>
      </c>
      <c r="B2" t="s">
        <v>518</v>
      </c>
    </row>
    <row r="4" spans="1:16" s="88" customFormat="1">
      <c r="A4" s="86" t="s">
        <v>473</v>
      </c>
      <c r="B4" s="87" t="s">
        <v>64</v>
      </c>
      <c r="C4" s="86" t="s">
        <v>66</v>
      </c>
      <c r="D4" s="86" t="s">
        <v>67</v>
      </c>
      <c r="E4" s="86" t="s">
        <v>68</v>
      </c>
      <c r="F4" s="88">
        <v>2030</v>
      </c>
      <c r="G4" s="88">
        <f>F4+1</f>
        <v>2031</v>
      </c>
      <c r="H4" s="88">
        <f t="shared" ref="H4:N4" si="0">G4+1</f>
        <v>2032</v>
      </c>
      <c r="I4" s="88">
        <f t="shared" si="0"/>
        <v>2033</v>
      </c>
      <c r="J4" s="88">
        <f t="shared" si="0"/>
        <v>2034</v>
      </c>
      <c r="K4" s="88">
        <f t="shared" si="0"/>
        <v>2035</v>
      </c>
      <c r="L4" s="88">
        <f t="shared" si="0"/>
        <v>2036</v>
      </c>
      <c r="M4" s="88">
        <f t="shared" si="0"/>
        <v>2037</v>
      </c>
      <c r="N4" s="88">
        <f t="shared" si="0"/>
        <v>2038</v>
      </c>
      <c r="O4" s="88">
        <f t="shared" ref="O4:P4" si="1">N4+1</f>
        <v>2039</v>
      </c>
      <c r="P4" s="88">
        <f t="shared" si="1"/>
        <v>2040</v>
      </c>
    </row>
    <row r="5" spans="1:16">
      <c r="A5" s="84" t="s">
        <v>73</v>
      </c>
      <c r="B5" s="85" t="s">
        <v>72</v>
      </c>
      <c r="C5" s="85" t="s">
        <v>74</v>
      </c>
      <c r="D5" s="84" t="s">
        <v>75</v>
      </c>
      <c r="E5" s="84" t="str">
        <f>VLOOKUP(A5,'2a. SI Pop'!$A$5:$E$198,5,FALSE)</f>
        <v>Key</v>
      </c>
      <c r="F5" s="3">
        <f>SUMIFS(Input!$Q$5:$Q$44,Input!$O$5:$O$44,'6b. %FP- SIA'!A5,Input!$P$5:$P$44,"SIA")</f>
        <v>0.62</v>
      </c>
      <c r="G5" s="3">
        <f>F5</f>
        <v>0.62</v>
      </c>
      <c r="H5" s="3">
        <f t="shared" ref="H5:P5" si="2">G5</f>
        <v>0.62</v>
      </c>
      <c r="I5" s="3">
        <f t="shared" si="2"/>
        <v>0.62</v>
      </c>
      <c r="J5" s="3">
        <f t="shared" si="2"/>
        <v>0.62</v>
      </c>
      <c r="K5" s="3">
        <f t="shared" si="2"/>
        <v>0.62</v>
      </c>
      <c r="L5" s="3">
        <f t="shared" si="2"/>
        <v>0.62</v>
      </c>
      <c r="M5" s="3">
        <f t="shared" si="2"/>
        <v>0.62</v>
      </c>
      <c r="N5" s="3">
        <f t="shared" si="2"/>
        <v>0.62</v>
      </c>
      <c r="O5" s="3">
        <f t="shared" si="2"/>
        <v>0.62</v>
      </c>
      <c r="P5" s="3">
        <f t="shared" si="2"/>
        <v>0.62</v>
      </c>
    </row>
    <row r="6" spans="1:16">
      <c r="A6" s="84" t="s">
        <v>78</v>
      </c>
      <c r="B6" s="85" t="s">
        <v>77</v>
      </c>
      <c r="C6" s="85" t="s">
        <v>79</v>
      </c>
      <c r="D6" s="84" t="s">
        <v>80</v>
      </c>
      <c r="E6" s="84">
        <f>VLOOKUP(A6,'2a. SI Pop'!$A$5:$E$198,5,FALSE)</f>
        <v>1</v>
      </c>
      <c r="F6" s="3">
        <f>SUMIFS(Input!$Q$5:$Q$44,Input!$O$5:$O$44,'6b. %FP- SIA'!E6,Input!$P$5:$P$44,"SIA")</f>
        <v>0.52</v>
      </c>
      <c r="G6" s="3">
        <f t="shared" ref="G6:P21" si="3">F6</f>
        <v>0.52</v>
      </c>
      <c r="H6" s="3">
        <f t="shared" si="3"/>
        <v>0.52</v>
      </c>
      <c r="I6" s="3">
        <f t="shared" si="3"/>
        <v>0.52</v>
      </c>
      <c r="J6" s="3">
        <f t="shared" si="3"/>
        <v>0.52</v>
      </c>
      <c r="K6" s="3">
        <f t="shared" si="3"/>
        <v>0.52</v>
      </c>
      <c r="L6" s="3">
        <f t="shared" si="3"/>
        <v>0.52</v>
      </c>
      <c r="M6" s="3">
        <f t="shared" si="3"/>
        <v>0.52</v>
      </c>
      <c r="N6" s="3">
        <f t="shared" si="3"/>
        <v>0.52</v>
      </c>
      <c r="O6" s="3">
        <f t="shared" si="3"/>
        <v>0.52</v>
      </c>
      <c r="P6" s="3">
        <f t="shared" si="3"/>
        <v>0.52</v>
      </c>
    </row>
    <row r="7" spans="1:16">
      <c r="A7" s="84" t="s">
        <v>82</v>
      </c>
      <c r="B7" s="85" t="s">
        <v>81</v>
      </c>
      <c r="C7" s="85" t="s">
        <v>83</v>
      </c>
      <c r="D7" s="84" t="s">
        <v>84</v>
      </c>
      <c r="E7" s="84">
        <f>VLOOKUP(A7,'2a. SI Pop'!$A$5:$E$198,5,FALSE)</f>
        <v>2</v>
      </c>
      <c r="F7" s="3">
        <f>SUMIFS(Input!$Q$5:$Q$44,Input!$O$5:$O$44,'6b. %FP- SIA'!E7,Input!$P$5:$P$44,"SIA")</f>
        <v>0.38</v>
      </c>
      <c r="G7" s="3">
        <f t="shared" si="3"/>
        <v>0.38</v>
      </c>
      <c r="H7" s="3">
        <f t="shared" si="3"/>
        <v>0.38</v>
      </c>
      <c r="I7" s="3">
        <f t="shared" si="3"/>
        <v>0.38</v>
      </c>
      <c r="J7" s="3">
        <f t="shared" si="3"/>
        <v>0.38</v>
      </c>
      <c r="K7" s="3">
        <f t="shared" si="3"/>
        <v>0.38</v>
      </c>
      <c r="L7" s="3">
        <f t="shared" si="3"/>
        <v>0.38</v>
      </c>
      <c r="M7" s="3">
        <f t="shared" si="3"/>
        <v>0.38</v>
      </c>
      <c r="N7" s="3">
        <f t="shared" si="3"/>
        <v>0.38</v>
      </c>
      <c r="O7" s="3">
        <f t="shared" si="3"/>
        <v>0.38</v>
      </c>
      <c r="P7" s="3">
        <f t="shared" si="3"/>
        <v>0.38</v>
      </c>
    </row>
    <row r="8" spans="1:16">
      <c r="A8" s="84" t="s">
        <v>86</v>
      </c>
      <c r="B8" s="85" t="s">
        <v>85</v>
      </c>
      <c r="C8" s="85" t="s">
        <v>79</v>
      </c>
      <c r="D8" s="84" t="s">
        <v>87</v>
      </c>
      <c r="E8" s="84">
        <f>VLOOKUP(A8,'2a. SI Pop'!$A$5:$E$198,5,FALSE)</f>
        <v>1</v>
      </c>
      <c r="F8" s="3">
        <f>SUMIFS(Input!$Q$5:$Q$44,Input!$O$5:$O$44,'6b. %FP- SIA'!E8,Input!$P$5:$P$44,"SIA")</f>
        <v>0.52</v>
      </c>
      <c r="G8" s="3">
        <f t="shared" si="3"/>
        <v>0.52</v>
      </c>
      <c r="H8" s="3">
        <f t="shared" si="3"/>
        <v>0.52</v>
      </c>
      <c r="I8" s="3">
        <f t="shared" si="3"/>
        <v>0.52</v>
      </c>
      <c r="J8" s="3">
        <f t="shared" si="3"/>
        <v>0.52</v>
      </c>
      <c r="K8" s="3">
        <f t="shared" si="3"/>
        <v>0.52</v>
      </c>
      <c r="L8" s="3">
        <f t="shared" si="3"/>
        <v>0.52</v>
      </c>
      <c r="M8" s="3">
        <f t="shared" si="3"/>
        <v>0.52</v>
      </c>
      <c r="N8" s="3">
        <f t="shared" si="3"/>
        <v>0.52</v>
      </c>
      <c r="O8" s="3">
        <f t="shared" si="3"/>
        <v>0.52</v>
      </c>
      <c r="P8" s="3">
        <f t="shared" si="3"/>
        <v>0.52</v>
      </c>
    </row>
    <row r="9" spans="1:16">
      <c r="A9" s="84" t="s">
        <v>89</v>
      </c>
      <c r="B9" s="85" t="s">
        <v>88</v>
      </c>
      <c r="C9" s="85" t="s">
        <v>83</v>
      </c>
      <c r="D9" s="84" t="s">
        <v>84</v>
      </c>
      <c r="E9" s="84">
        <f>VLOOKUP(A9,'2a. SI Pop'!$A$5:$E$198,5,FALSE)</f>
        <v>3</v>
      </c>
      <c r="F9" s="3">
        <f>SUMIFS(Input!$Q$5:$Q$44,Input!$O$5:$O$44,'6b. %FP- SIA'!E9,Input!$P$5:$P$44,"SIA")</f>
        <v>0.34</v>
      </c>
      <c r="G9" s="3">
        <f t="shared" si="3"/>
        <v>0.34</v>
      </c>
      <c r="H9" s="3">
        <f t="shared" si="3"/>
        <v>0.34</v>
      </c>
      <c r="I9" s="3">
        <f t="shared" si="3"/>
        <v>0.34</v>
      </c>
      <c r="J9" s="3">
        <f t="shared" si="3"/>
        <v>0.34</v>
      </c>
      <c r="K9" s="3">
        <f t="shared" si="3"/>
        <v>0.34</v>
      </c>
      <c r="L9" s="3">
        <f t="shared" si="3"/>
        <v>0.34</v>
      </c>
      <c r="M9" s="3">
        <f t="shared" si="3"/>
        <v>0.34</v>
      </c>
      <c r="N9" s="3">
        <f t="shared" si="3"/>
        <v>0.34</v>
      </c>
      <c r="O9" s="3">
        <f t="shared" si="3"/>
        <v>0.34</v>
      </c>
      <c r="P9" s="3">
        <f t="shared" si="3"/>
        <v>0.34</v>
      </c>
    </row>
    <row r="10" spans="1:16">
      <c r="A10" s="84" t="s">
        <v>91</v>
      </c>
      <c r="B10" s="85" t="s">
        <v>90</v>
      </c>
      <c r="C10" s="85" t="s">
        <v>92</v>
      </c>
      <c r="D10" s="84" t="s">
        <v>87</v>
      </c>
      <c r="E10" s="84">
        <f>VLOOKUP(A10,'2a. SI Pop'!$A$5:$E$198,5,FALSE)</f>
        <v>1</v>
      </c>
      <c r="F10" s="3">
        <f>SUMIFS(Input!$Q$5:$Q$44,Input!$O$5:$O$44,'6b. %FP- SIA'!E10,Input!$P$5:$P$44,"SIA")</f>
        <v>0.52</v>
      </c>
      <c r="G10" s="3">
        <f t="shared" si="3"/>
        <v>0.52</v>
      </c>
      <c r="H10" s="3">
        <f t="shared" si="3"/>
        <v>0.52</v>
      </c>
      <c r="I10" s="3">
        <f t="shared" si="3"/>
        <v>0.52</v>
      </c>
      <c r="J10" s="3">
        <f t="shared" si="3"/>
        <v>0.52</v>
      </c>
      <c r="K10" s="3">
        <f t="shared" si="3"/>
        <v>0.52</v>
      </c>
      <c r="L10" s="3">
        <f t="shared" si="3"/>
        <v>0.52</v>
      </c>
      <c r="M10" s="3">
        <f t="shared" si="3"/>
        <v>0.52</v>
      </c>
      <c r="N10" s="3">
        <f t="shared" si="3"/>
        <v>0.52</v>
      </c>
      <c r="O10" s="3">
        <f t="shared" si="3"/>
        <v>0.52</v>
      </c>
      <c r="P10" s="3">
        <f t="shared" si="3"/>
        <v>0.52</v>
      </c>
    </row>
    <row r="11" spans="1:16">
      <c r="A11" s="84" t="s">
        <v>94</v>
      </c>
      <c r="B11" s="85" t="s">
        <v>93</v>
      </c>
      <c r="C11" s="85" t="s">
        <v>92</v>
      </c>
      <c r="D11" s="84" t="s">
        <v>80</v>
      </c>
      <c r="E11" s="84">
        <f>VLOOKUP(A11,'2a. SI Pop'!$A$5:$E$198,5,FALSE)</f>
        <v>1</v>
      </c>
      <c r="F11" s="3">
        <f>SUMIFS(Input!$Q$5:$Q$44,Input!$O$5:$O$44,'6b. %FP- SIA'!E11,Input!$P$5:$P$44,"SIA")</f>
        <v>0.52</v>
      </c>
      <c r="G11" s="3">
        <f t="shared" si="3"/>
        <v>0.52</v>
      </c>
      <c r="H11" s="3">
        <f t="shared" si="3"/>
        <v>0.52</v>
      </c>
      <c r="I11" s="3">
        <f t="shared" si="3"/>
        <v>0.52</v>
      </c>
      <c r="J11" s="3">
        <f t="shared" si="3"/>
        <v>0.52</v>
      </c>
      <c r="K11" s="3">
        <f t="shared" si="3"/>
        <v>0.52</v>
      </c>
      <c r="L11" s="3">
        <f t="shared" si="3"/>
        <v>0.52</v>
      </c>
      <c r="M11" s="3">
        <f t="shared" si="3"/>
        <v>0.52</v>
      </c>
      <c r="N11" s="3">
        <f t="shared" si="3"/>
        <v>0.52</v>
      </c>
      <c r="O11" s="3">
        <f t="shared" si="3"/>
        <v>0.52</v>
      </c>
      <c r="P11" s="3">
        <f t="shared" si="3"/>
        <v>0.52</v>
      </c>
    </row>
    <row r="12" spans="1:16">
      <c r="A12" s="84" t="s">
        <v>96</v>
      </c>
      <c r="B12" s="85" t="s">
        <v>95</v>
      </c>
      <c r="C12" s="85" t="s">
        <v>79</v>
      </c>
      <c r="D12" s="84" t="s">
        <v>80</v>
      </c>
      <c r="E12" s="84">
        <f>VLOOKUP(A12,'2a. SI Pop'!$A$5:$E$198,5,FALSE)</f>
        <v>1</v>
      </c>
      <c r="F12" s="3">
        <f>SUMIFS(Input!$Q$5:$Q$44,Input!$O$5:$O$44,'6b. %FP- SIA'!E12,Input!$P$5:$P$44,"SIA")</f>
        <v>0.52</v>
      </c>
      <c r="G12" s="3">
        <f t="shared" si="3"/>
        <v>0.52</v>
      </c>
      <c r="H12" s="3">
        <f t="shared" si="3"/>
        <v>0.52</v>
      </c>
      <c r="I12" s="3">
        <f t="shared" si="3"/>
        <v>0.52</v>
      </c>
      <c r="J12" s="3">
        <f t="shared" si="3"/>
        <v>0.52</v>
      </c>
      <c r="K12" s="3">
        <f t="shared" si="3"/>
        <v>0.52</v>
      </c>
      <c r="L12" s="3">
        <f t="shared" si="3"/>
        <v>0.52</v>
      </c>
      <c r="M12" s="3">
        <f t="shared" si="3"/>
        <v>0.52</v>
      </c>
      <c r="N12" s="3">
        <f t="shared" si="3"/>
        <v>0.52</v>
      </c>
      <c r="O12" s="3">
        <f t="shared" si="3"/>
        <v>0.52</v>
      </c>
      <c r="P12" s="3">
        <f t="shared" si="3"/>
        <v>0.52</v>
      </c>
    </row>
    <row r="13" spans="1:16">
      <c r="A13" s="84" t="s">
        <v>98</v>
      </c>
      <c r="B13" s="85" t="s">
        <v>97</v>
      </c>
      <c r="C13" s="85" t="s">
        <v>99</v>
      </c>
      <c r="D13" s="84" t="s">
        <v>87</v>
      </c>
      <c r="E13" s="84">
        <f>VLOOKUP(A13,'2a. SI Pop'!$A$5:$E$198,5,FALSE)</f>
        <v>1</v>
      </c>
      <c r="F13" s="3">
        <f>SUMIFS(Input!$Q$5:$Q$44,Input!$O$5:$O$44,'6b. %FP- SIA'!E13,Input!$P$5:$P$44,"SIA")</f>
        <v>0.52</v>
      </c>
      <c r="G13" s="3">
        <f t="shared" si="3"/>
        <v>0.52</v>
      </c>
      <c r="H13" s="3">
        <f t="shared" si="3"/>
        <v>0.52</v>
      </c>
      <c r="I13" s="3">
        <f t="shared" si="3"/>
        <v>0.52</v>
      </c>
      <c r="J13" s="3">
        <f t="shared" si="3"/>
        <v>0.52</v>
      </c>
      <c r="K13" s="3">
        <f t="shared" si="3"/>
        <v>0.52</v>
      </c>
      <c r="L13" s="3">
        <f t="shared" si="3"/>
        <v>0.52</v>
      </c>
      <c r="M13" s="3">
        <f t="shared" si="3"/>
        <v>0.52</v>
      </c>
      <c r="N13" s="3">
        <f t="shared" si="3"/>
        <v>0.52</v>
      </c>
      <c r="O13" s="3">
        <f t="shared" si="3"/>
        <v>0.52</v>
      </c>
      <c r="P13" s="3">
        <f t="shared" si="3"/>
        <v>0.52</v>
      </c>
    </row>
    <row r="14" spans="1:16">
      <c r="A14" s="84" t="s">
        <v>101</v>
      </c>
      <c r="B14" s="85" t="s">
        <v>100</v>
      </c>
      <c r="C14" s="85" t="s">
        <v>79</v>
      </c>
      <c r="D14" s="84" t="s">
        <v>87</v>
      </c>
      <c r="E14" s="84">
        <f>VLOOKUP(A14,'2a. SI Pop'!$A$5:$E$198,5,FALSE)</f>
        <v>1</v>
      </c>
      <c r="F14" s="3">
        <f>SUMIFS(Input!$Q$5:$Q$44,Input!$O$5:$O$44,'6b. %FP- SIA'!E14,Input!$P$5:$P$44,"SIA")</f>
        <v>0.52</v>
      </c>
      <c r="G14" s="3">
        <f t="shared" si="3"/>
        <v>0.52</v>
      </c>
      <c r="H14" s="3">
        <f t="shared" si="3"/>
        <v>0.52</v>
      </c>
      <c r="I14" s="3">
        <f t="shared" si="3"/>
        <v>0.52</v>
      </c>
      <c r="J14" s="3">
        <f t="shared" si="3"/>
        <v>0.52</v>
      </c>
      <c r="K14" s="3">
        <f t="shared" si="3"/>
        <v>0.52</v>
      </c>
      <c r="L14" s="3">
        <f t="shared" si="3"/>
        <v>0.52</v>
      </c>
      <c r="M14" s="3">
        <f t="shared" si="3"/>
        <v>0.52</v>
      </c>
      <c r="N14" s="3">
        <f t="shared" si="3"/>
        <v>0.52</v>
      </c>
      <c r="O14" s="3">
        <f t="shared" si="3"/>
        <v>0.52</v>
      </c>
      <c r="P14" s="3">
        <f t="shared" si="3"/>
        <v>0.52</v>
      </c>
    </row>
    <row r="15" spans="1:16">
      <c r="A15" s="84" t="s">
        <v>103</v>
      </c>
      <c r="B15" s="85" t="s">
        <v>102</v>
      </c>
      <c r="C15" s="85" t="s">
        <v>79</v>
      </c>
      <c r="D15" s="84" t="s">
        <v>80</v>
      </c>
      <c r="E15" s="84">
        <f>VLOOKUP(A15,'2a. SI Pop'!$A$5:$E$198,5,FALSE)</f>
        <v>1</v>
      </c>
      <c r="F15" s="3">
        <f>SUMIFS(Input!$Q$5:$Q$44,Input!$O$5:$O$44,'6b. %FP- SIA'!E15,Input!$P$5:$P$44,"SIA")</f>
        <v>0.52</v>
      </c>
      <c r="G15" s="3">
        <f t="shared" si="3"/>
        <v>0.52</v>
      </c>
      <c r="H15" s="3">
        <f t="shared" si="3"/>
        <v>0.52</v>
      </c>
      <c r="I15" s="3">
        <f t="shared" si="3"/>
        <v>0.52</v>
      </c>
      <c r="J15" s="3">
        <f t="shared" si="3"/>
        <v>0.52</v>
      </c>
      <c r="K15" s="3">
        <f t="shared" si="3"/>
        <v>0.52</v>
      </c>
      <c r="L15" s="3">
        <f t="shared" si="3"/>
        <v>0.52</v>
      </c>
      <c r="M15" s="3">
        <f t="shared" si="3"/>
        <v>0.52</v>
      </c>
      <c r="N15" s="3">
        <f t="shared" si="3"/>
        <v>0.52</v>
      </c>
      <c r="O15" s="3">
        <f t="shared" si="3"/>
        <v>0.52</v>
      </c>
      <c r="P15" s="3">
        <f t="shared" si="3"/>
        <v>0.52</v>
      </c>
    </row>
    <row r="16" spans="1:16">
      <c r="A16" s="84" t="s">
        <v>105</v>
      </c>
      <c r="B16" s="85" t="s">
        <v>104</v>
      </c>
      <c r="C16" s="85" t="s">
        <v>92</v>
      </c>
      <c r="D16" s="84" t="s">
        <v>87</v>
      </c>
      <c r="E16" s="84">
        <f>VLOOKUP(A16,'2a. SI Pop'!$A$5:$E$198,5,FALSE)</f>
        <v>1</v>
      </c>
      <c r="F16" s="3">
        <f>SUMIFS(Input!$Q$5:$Q$44,Input!$O$5:$O$44,'6b. %FP- SIA'!E16,Input!$P$5:$P$44,"SIA")</f>
        <v>0.52</v>
      </c>
      <c r="G16" s="3">
        <f t="shared" si="3"/>
        <v>0.52</v>
      </c>
      <c r="H16" s="3">
        <f t="shared" si="3"/>
        <v>0.52</v>
      </c>
      <c r="I16" s="3">
        <f t="shared" si="3"/>
        <v>0.52</v>
      </c>
      <c r="J16" s="3">
        <f t="shared" si="3"/>
        <v>0.52</v>
      </c>
      <c r="K16" s="3">
        <f t="shared" si="3"/>
        <v>0.52</v>
      </c>
      <c r="L16" s="3">
        <f t="shared" si="3"/>
        <v>0.52</v>
      </c>
      <c r="M16" s="3">
        <f t="shared" si="3"/>
        <v>0.52</v>
      </c>
      <c r="N16" s="3">
        <f t="shared" si="3"/>
        <v>0.52</v>
      </c>
      <c r="O16" s="3">
        <f t="shared" si="3"/>
        <v>0.52</v>
      </c>
      <c r="P16" s="3">
        <f t="shared" si="3"/>
        <v>0.52</v>
      </c>
    </row>
    <row r="17" spans="1:16">
      <c r="A17" s="84" t="s">
        <v>107</v>
      </c>
      <c r="B17" s="85" t="s">
        <v>106</v>
      </c>
      <c r="C17" s="85" t="s">
        <v>74</v>
      </c>
      <c r="D17" s="84" t="s">
        <v>87</v>
      </c>
      <c r="E17" s="84">
        <f>VLOOKUP(A17,'2a. SI Pop'!$A$5:$E$198,5,FALSE)</f>
        <v>1</v>
      </c>
      <c r="F17" s="3">
        <f>SUMIFS(Input!$Q$5:$Q$44,Input!$O$5:$O$44,'6b. %FP- SIA'!E17,Input!$P$5:$P$44,"SIA")</f>
        <v>0.52</v>
      </c>
      <c r="G17" s="3">
        <f t="shared" si="3"/>
        <v>0.52</v>
      </c>
      <c r="H17" s="3">
        <f t="shared" si="3"/>
        <v>0.52</v>
      </c>
      <c r="I17" s="3">
        <f t="shared" si="3"/>
        <v>0.52</v>
      </c>
      <c r="J17" s="3">
        <f t="shared" si="3"/>
        <v>0.52</v>
      </c>
      <c r="K17" s="3">
        <f t="shared" si="3"/>
        <v>0.52</v>
      </c>
      <c r="L17" s="3">
        <f t="shared" si="3"/>
        <v>0.52</v>
      </c>
      <c r="M17" s="3">
        <f t="shared" si="3"/>
        <v>0.52</v>
      </c>
      <c r="N17" s="3">
        <f t="shared" si="3"/>
        <v>0.52</v>
      </c>
      <c r="O17" s="3">
        <f t="shared" si="3"/>
        <v>0.52</v>
      </c>
      <c r="P17" s="3">
        <f t="shared" si="3"/>
        <v>0.52</v>
      </c>
    </row>
    <row r="18" spans="1:16">
      <c r="A18" s="84" t="s">
        <v>109</v>
      </c>
      <c r="B18" s="85" t="s">
        <v>108</v>
      </c>
      <c r="C18" s="85" t="s">
        <v>110</v>
      </c>
      <c r="D18" s="84" t="s">
        <v>84</v>
      </c>
      <c r="E18" s="84" t="str">
        <f>VLOOKUP(A18,'2a. SI Pop'!$A$5:$E$198,5,FALSE)</f>
        <v>Key</v>
      </c>
      <c r="F18" s="3">
        <f>SUMIFS(Input!$Q$5:$Q$44,Input!$O$5:$O$44,'6b. %FP- SIA'!A18,Input!$P$5:$P$44,"SIA")</f>
        <v>0.2</v>
      </c>
      <c r="G18" s="3">
        <f t="shared" si="3"/>
        <v>0.2</v>
      </c>
      <c r="H18" s="3">
        <f t="shared" si="3"/>
        <v>0.2</v>
      </c>
      <c r="I18" s="3">
        <f t="shared" si="3"/>
        <v>0.2</v>
      </c>
      <c r="J18" s="3">
        <f t="shared" si="3"/>
        <v>0.2</v>
      </c>
      <c r="K18" s="3">
        <f t="shared" si="3"/>
        <v>0.2</v>
      </c>
      <c r="L18" s="3">
        <f t="shared" si="3"/>
        <v>0.2</v>
      </c>
      <c r="M18" s="3">
        <f t="shared" si="3"/>
        <v>0.2</v>
      </c>
      <c r="N18" s="3">
        <f t="shared" si="3"/>
        <v>0.2</v>
      </c>
      <c r="O18" s="3">
        <f t="shared" si="3"/>
        <v>0.2</v>
      </c>
      <c r="P18" s="3">
        <f t="shared" si="3"/>
        <v>0.2</v>
      </c>
    </row>
    <row r="19" spans="1:16">
      <c r="A19" s="84" t="s">
        <v>112</v>
      </c>
      <c r="B19" s="85" t="s">
        <v>111</v>
      </c>
      <c r="C19" s="85" t="s">
        <v>92</v>
      </c>
      <c r="D19" s="84" t="s">
        <v>87</v>
      </c>
      <c r="E19" s="84">
        <f>VLOOKUP(A19,'2a. SI Pop'!$A$5:$E$198,5,FALSE)</f>
        <v>1</v>
      </c>
      <c r="F19" s="3">
        <f>SUMIFS(Input!$Q$5:$Q$44,Input!$O$5:$O$44,'6b. %FP- SIA'!E19,Input!$P$5:$P$44,"SIA")</f>
        <v>0.52</v>
      </c>
      <c r="G19" s="3">
        <f t="shared" si="3"/>
        <v>0.52</v>
      </c>
      <c r="H19" s="3">
        <f t="shared" si="3"/>
        <v>0.52</v>
      </c>
      <c r="I19" s="3">
        <f t="shared" si="3"/>
        <v>0.52</v>
      </c>
      <c r="J19" s="3">
        <f t="shared" si="3"/>
        <v>0.52</v>
      </c>
      <c r="K19" s="3">
        <f t="shared" si="3"/>
        <v>0.52</v>
      </c>
      <c r="L19" s="3">
        <f t="shared" si="3"/>
        <v>0.52</v>
      </c>
      <c r="M19" s="3">
        <f t="shared" si="3"/>
        <v>0.52</v>
      </c>
      <c r="N19" s="3">
        <f t="shared" si="3"/>
        <v>0.52</v>
      </c>
      <c r="O19" s="3">
        <f t="shared" si="3"/>
        <v>0.52</v>
      </c>
      <c r="P19" s="3">
        <f t="shared" si="3"/>
        <v>0.52</v>
      </c>
    </row>
    <row r="20" spans="1:16">
      <c r="A20" s="84" t="s">
        <v>114</v>
      </c>
      <c r="B20" s="85" t="s">
        <v>113</v>
      </c>
      <c r="C20" s="85" t="s">
        <v>79</v>
      </c>
      <c r="D20" s="84" t="s">
        <v>80</v>
      </c>
      <c r="E20" s="84">
        <f>VLOOKUP(A20,'2a. SI Pop'!$A$5:$E$198,5,FALSE)</f>
        <v>2</v>
      </c>
      <c r="F20" s="3">
        <f>SUMIFS(Input!$Q$5:$Q$44,Input!$O$5:$O$44,'6b. %FP- SIA'!E20,Input!$P$5:$P$44,"SIA")</f>
        <v>0.38</v>
      </c>
      <c r="G20" s="3">
        <f t="shared" si="3"/>
        <v>0.38</v>
      </c>
      <c r="H20" s="3">
        <f t="shared" si="3"/>
        <v>0.38</v>
      </c>
      <c r="I20" s="3">
        <f t="shared" si="3"/>
        <v>0.38</v>
      </c>
      <c r="J20" s="3">
        <f t="shared" si="3"/>
        <v>0.38</v>
      </c>
      <c r="K20" s="3">
        <f t="shared" si="3"/>
        <v>0.38</v>
      </c>
      <c r="L20" s="3">
        <f t="shared" si="3"/>
        <v>0.38</v>
      </c>
      <c r="M20" s="3">
        <f t="shared" si="3"/>
        <v>0.38</v>
      </c>
      <c r="N20" s="3">
        <f t="shared" si="3"/>
        <v>0.38</v>
      </c>
      <c r="O20" s="3">
        <f t="shared" si="3"/>
        <v>0.38</v>
      </c>
      <c r="P20" s="3">
        <f t="shared" si="3"/>
        <v>0.38</v>
      </c>
    </row>
    <row r="21" spans="1:16">
      <c r="A21" s="84" t="s">
        <v>116</v>
      </c>
      <c r="B21" s="85" t="s">
        <v>115</v>
      </c>
      <c r="C21" s="85" t="s">
        <v>79</v>
      </c>
      <c r="D21" s="84" t="s">
        <v>87</v>
      </c>
      <c r="E21" s="84">
        <f>VLOOKUP(A21,'2a. SI Pop'!$A$5:$E$198,5,FALSE)</f>
        <v>1</v>
      </c>
      <c r="F21" s="3">
        <f>SUMIFS(Input!$Q$5:$Q$44,Input!$O$5:$O$44,'6b. %FP- SIA'!E21,Input!$P$5:$P$44,"SIA")</f>
        <v>0.52</v>
      </c>
      <c r="G21" s="3">
        <f t="shared" si="3"/>
        <v>0.52</v>
      </c>
      <c r="H21" s="3">
        <f t="shared" si="3"/>
        <v>0.52</v>
      </c>
      <c r="I21" s="3">
        <f t="shared" si="3"/>
        <v>0.52</v>
      </c>
      <c r="J21" s="3">
        <f t="shared" si="3"/>
        <v>0.52</v>
      </c>
      <c r="K21" s="3">
        <f t="shared" si="3"/>
        <v>0.52</v>
      </c>
      <c r="L21" s="3">
        <f t="shared" si="3"/>
        <v>0.52</v>
      </c>
      <c r="M21" s="3">
        <f t="shared" si="3"/>
        <v>0.52</v>
      </c>
      <c r="N21" s="3">
        <f t="shared" si="3"/>
        <v>0.52</v>
      </c>
      <c r="O21" s="3">
        <f t="shared" si="3"/>
        <v>0.52</v>
      </c>
      <c r="P21" s="3">
        <f t="shared" si="3"/>
        <v>0.52</v>
      </c>
    </row>
    <row r="22" spans="1:16">
      <c r="A22" s="84" t="s">
        <v>118</v>
      </c>
      <c r="B22" s="85" t="s">
        <v>117</v>
      </c>
      <c r="C22" s="85" t="s">
        <v>92</v>
      </c>
      <c r="D22" s="84" t="s">
        <v>80</v>
      </c>
      <c r="E22" s="84">
        <f>VLOOKUP(A22,'2a. SI Pop'!$A$5:$E$198,5,FALSE)</f>
        <v>1</v>
      </c>
      <c r="F22" s="3">
        <f>SUMIFS(Input!$Q$5:$Q$44,Input!$O$5:$O$44,'6b. %FP- SIA'!E22,Input!$P$5:$P$44,"SIA")</f>
        <v>0.52</v>
      </c>
      <c r="G22" s="3">
        <f t="shared" ref="G22:P37" si="4">F22</f>
        <v>0.52</v>
      </c>
      <c r="H22" s="3">
        <f t="shared" si="4"/>
        <v>0.52</v>
      </c>
      <c r="I22" s="3">
        <f t="shared" si="4"/>
        <v>0.52</v>
      </c>
      <c r="J22" s="3">
        <f t="shared" si="4"/>
        <v>0.52</v>
      </c>
      <c r="K22" s="3">
        <f t="shared" si="4"/>
        <v>0.52</v>
      </c>
      <c r="L22" s="3">
        <f t="shared" si="4"/>
        <v>0.52</v>
      </c>
      <c r="M22" s="3">
        <f t="shared" si="4"/>
        <v>0.52</v>
      </c>
      <c r="N22" s="3">
        <f t="shared" si="4"/>
        <v>0.52</v>
      </c>
      <c r="O22" s="3">
        <f t="shared" si="4"/>
        <v>0.52</v>
      </c>
      <c r="P22" s="3">
        <f t="shared" si="4"/>
        <v>0.52</v>
      </c>
    </row>
    <row r="23" spans="1:16">
      <c r="A23" s="84" t="s">
        <v>120</v>
      </c>
      <c r="B23" s="85" t="s">
        <v>119</v>
      </c>
      <c r="C23" s="85" t="s">
        <v>83</v>
      </c>
      <c r="D23" s="84" t="s">
        <v>84</v>
      </c>
      <c r="E23" s="84">
        <f>VLOOKUP(A23,'2a. SI Pop'!$A$5:$E$198,5,FALSE)</f>
        <v>3</v>
      </c>
      <c r="F23" s="3">
        <f>SUMIFS(Input!$Q$5:$Q$44,Input!$O$5:$O$44,'6b. %FP- SIA'!E23,Input!$P$5:$P$44,"SIA")</f>
        <v>0.34</v>
      </c>
      <c r="G23" s="3">
        <f t="shared" si="4"/>
        <v>0.34</v>
      </c>
      <c r="H23" s="3">
        <f t="shared" si="4"/>
        <v>0.34</v>
      </c>
      <c r="I23" s="3">
        <f t="shared" si="4"/>
        <v>0.34</v>
      </c>
      <c r="J23" s="3">
        <f t="shared" si="4"/>
        <v>0.34</v>
      </c>
      <c r="K23" s="3">
        <f t="shared" si="4"/>
        <v>0.34</v>
      </c>
      <c r="L23" s="3">
        <f t="shared" si="4"/>
        <v>0.34</v>
      </c>
      <c r="M23" s="3">
        <f t="shared" si="4"/>
        <v>0.34</v>
      </c>
      <c r="N23" s="3">
        <f t="shared" si="4"/>
        <v>0.34</v>
      </c>
      <c r="O23" s="3">
        <f t="shared" si="4"/>
        <v>0.34</v>
      </c>
      <c r="P23" s="3">
        <f t="shared" si="4"/>
        <v>0.34</v>
      </c>
    </row>
    <row r="24" spans="1:16">
      <c r="A24" s="84" t="s">
        <v>122</v>
      </c>
      <c r="B24" s="85" t="s">
        <v>121</v>
      </c>
      <c r="C24" s="85" t="s">
        <v>110</v>
      </c>
      <c r="D24" s="84" t="s">
        <v>84</v>
      </c>
      <c r="E24" s="84">
        <f>VLOOKUP(A24,'2a. SI Pop'!$A$5:$E$198,5,FALSE)</f>
        <v>2</v>
      </c>
      <c r="F24" s="3">
        <f>SUMIFS(Input!$Q$5:$Q$44,Input!$O$5:$O$44,'6b. %FP- SIA'!E24,Input!$P$5:$P$44,"SIA")</f>
        <v>0.38</v>
      </c>
      <c r="G24" s="3">
        <f t="shared" si="4"/>
        <v>0.38</v>
      </c>
      <c r="H24" s="3">
        <f t="shared" si="4"/>
        <v>0.38</v>
      </c>
      <c r="I24" s="3">
        <f t="shared" si="4"/>
        <v>0.38</v>
      </c>
      <c r="J24" s="3">
        <f t="shared" si="4"/>
        <v>0.38</v>
      </c>
      <c r="K24" s="3">
        <f t="shared" si="4"/>
        <v>0.38</v>
      </c>
      <c r="L24" s="3">
        <f t="shared" si="4"/>
        <v>0.38</v>
      </c>
      <c r="M24" s="3">
        <f t="shared" si="4"/>
        <v>0.38</v>
      </c>
      <c r="N24" s="3">
        <f t="shared" si="4"/>
        <v>0.38</v>
      </c>
      <c r="O24" s="3">
        <f t="shared" si="4"/>
        <v>0.38</v>
      </c>
      <c r="P24" s="3">
        <f t="shared" si="4"/>
        <v>0.38</v>
      </c>
    </row>
    <row r="25" spans="1:16">
      <c r="A25" s="84" t="s">
        <v>124</v>
      </c>
      <c r="B25" s="85" t="s">
        <v>123</v>
      </c>
      <c r="C25" s="85" t="s">
        <v>92</v>
      </c>
      <c r="D25" s="84" t="s">
        <v>84</v>
      </c>
      <c r="E25" s="84">
        <f>VLOOKUP(A25,'2a. SI Pop'!$A$5:$E$198,5,FALSE)</f>
        <v>2</v>
      </c>
      <c r="F25" s="3">
        <f>SUMIFS(Input!$Q$5:$Q$44,Input!$O$5:$O$44,'6b. %FP- SIA'!E25,Input!$P$5:$P$44,"SIA")</f>
        <v>0.38</v>
      </c>
      <c r="G25" s="3">
        <f t="shared" si="4"/>
        <v>0.38</v>
      </c>
      <c r="H25" s="3">
        <f t="shared" si="4"/>
        <v>0.38</v>
      </c>
      <c r="I25" s="3">
        <f t="shared" si="4"/>
        <v>0.38</v>
      </c>
      <c r="J25" s="3">
        <f t="shared" si="4"/>
        <v>0.38</v>
      </c>
      <c r="K25" s="3">
        <f t="shared" si="4"/>
        <v>0.38</v>
      </c>
      <c r="L25" s="3">
        <f t="shared" si="4"/>
        <v>0.38</v>
      </c>
      <c r="M25" s="3">
        <f t="shared" si="4"/>
        <v>0.38</v>
      </c>
      <c r="N25" s="3">
        <f t="shared" si="4"/>
        <v>0.38</v>
      </c>
      <c r="O25" s="3">
        <f t="shared" si="4"/>
        <v>0.38</v>
      </c>
      <c r="P25" s="3">
        <f t="shared" si="4"/>
        <v>0.38</v>
      </c>
    </row>
    <row r="26" spans="1:16">
      <c r="A26" s="84" t="s">
        <v>126</v>
      </c>
      <c r="B26" s="85" t="s">
        <v>125</v>
      </c>
      <c r="C26" s="85" t="s">
        <v>79</v>
      </c>
      <c r="D26" s="84" t="s">
        <v>80</v>
      </c>
      <c r="E26" s="84">
        <f>VLOOKUP(A26,'2a. SI Pop'!$A$5:$E$198,5,FALSE)</f>
        <v>1</v>
      </c>
      <c r="F26" s="3">
        <f>SUMIFS(Input!$Q$5:$Q$44,Input!$O$5:$O$44,'6b. %FP- SIA'!E26,Input!$P$5:$P$44,"SIA")</f>
        <v>0.52</v>
      </c>
      <c r="G26" s="3">
        <f t="shared" si="4"/>
        <v>0.52</v>
      </c>
      <c r="H26" s="3">
        <f t="shared" si="4"/>
        <v>0.52</v>
      </c>
      <c r="I26" s="3">
        <f t="shared" si="4"/>
        <v>0.52</v>
      </c>
      <c r="J26" s="3">
        <f t="shared" si="4"/>
        <v>0.52</v>
      </c>
      <c r="K26" s="3">
        <f t="shared" si="4"/>
        <v>0.52</v>
      </c>
      <c r="L26" s="3">
        <f t="shared" si="4"/>
        <v>0.52</v>
      </c>
      <c r="M26" s="3">
        <f t="shared" si="4"/>
        <v>0.52</v>
      </c>
      <c r="N26" s="3">
        <f t="shared" si="4"/>
        <v>0.52</v>
      </c>
      <c r="O26" s="3">
        <f t="shared" si="4"/>
        <v>0.52</v>
      </c>
      <c r="P26" s="3">
        <f t="shared" si="4"/>
        <v>0.52</v>
      </c>
    </row>
    <row r="27" spans="1:16">
      <c r="A27" s="84" t="s">
        <v>128</v>
      </c>
      <c r="B27" s="85" t="s">
        <v>127</v>
      </c>
      <c r="C27" s="85" t="s">
        <v>83</v>
      </c>
      <c r="D27" s="84" t="s">
        <v>80</v>
      </c>
      <c r="E27" s="84">
        <f>VLOOKUP(A27,'2a. SI Pop'!$A$5:$E$198,5,FALSE)</f>
        <v>2</v>
      </c>
      <c r="F27" s="3">
        <f>SUMIFS(Input!$Q$5:$Q$44,Input!$O$5:$O$44,'6b. %FP- SIA'!E27,Input!$P$5:$P$44,"SIA")</f>
        <v>0.38</v>
      </c>
      <c r="G27" s="3">
        <f t="shared" si="4"/>
        <v>0.38</v>
      </c>
      <c r="H27" s="3">
        <f t="shared" si="4"/>
        <v>0.38</v>
      </c>
      <c r="I27" s="3">
        <f t="shared" si="4"/>
        <v>0.38</v>
      </c>
      <c r="J27" s="3">
        <f t="shared" si="4"/>
        <v>0.38</v>
      </c>
      <c r="K27" s="3">
        <f t="shared" si="4"/>
        <v>0.38</v>
      </c>
      <c r="L27" s="3">
        <f t="shared" si="4"/>
        <v>0.38</v>
      </c>
      <c r="M27" s="3">
        <f t="shared" si="4"/>
        <v>0.38</v>
      </c>
      <c r="N27" s="3">
        <f t="shared" si="4"/>
        <v>0.38</v>
      </c>
      <c r="O27" s="3">
        <f t="shared" si="4"/>
        <v>0.38</v>
      </c>
      <c r="P27" s="3">
        <f t="shared" si="4"/>
        <v>0.38</v>
      </c>
    </row>
    <row r="28" spans="1:16">
      <c r="A28" s="84" t="s">
        <v>130</v>
      </c>
      <c r="B28" s="85" t="s">
        <v>129</v>
      </c>
      <c r="C28" s="85" t="s">
        <v>92</v>
      </c>
      <c r="D28" s="84" t="s">
        <v>80</v>
      </c>
      <c r="E28" s="84" t="str">
        <f>VLOOKUP(A28,'2a. SI Pop'!$A$5:$E$198,5,FALSE)</f>
        <v>Key</v>
      </c>
      <c r="F28" s="3">
        <f>SUMIFS(Input!$Q$5:$Q$44,Input!$O$5:$O$44,'6b. %FP- SIA'!A28,Input!$P$5:$P$44,"SIA")</f>
        <v>0.38</v>
      </c>
      <c r="G28" s="3">
        <f t="shared" si="4"/>
        <v>0.38</v>
      </c>
      <c r="H28" s="3">
        <f t="shared" si="4"/>
        <v>0.38</v>
      </c>
      <c r="I28" s="3">
        <f t="shared" si="4"/>
        <v>0.38</v>
      </c>
      <c r="J28" s="3">
        <f t="shared" si="4"/>
        <v>0.38</v>
      </c>
      <c r="K28" s="3">
        <f t="shared" si="4"/>
        <v>0.38</v>
      </c>
      <c r="L28" s="3">
        <f t="shared" si="4"/>
        <v>0.38</v>
      </c>
      <c r="M28" s="3">
        <f t="shared" si="4"/>
        <v>0.38</v>
      </c>
      <c r="N28" s="3">
        <f t="shared" si="4"/>
        <v>0.38</v>
      </c>
      <c r="O28" s="3">
        <f t="shared" si="4"/>
        <v>0.38</v>
      </c>
      <c r="P28" s="3">
        <f t="shared" si="4"/>
        <v>0.38</v>
      </c>
    </row>
    <row r="29" spans="1:16">
      <c r="A29" s="84" t="s">
        <v>132</v>
      </c>
      <c r="B29" s="85" t="s">
        <v>131</v>
      </c>
      <c r="C29" s="85" t="s">
        <v>99</v>
      </c>
      <c r="D29" s="84" t="s">
        <v>87</v>
      </c>
      <c r="E29" s="84">
        <f>VLOOKUP(A29,'2a. SI Pop'!$A$5:$E$198,5,FALSE)</f>
        <v>1</v>
      </c>
      <c r="F29" s="3">
        <f>SUMIFS(Input!$Q$5:$Q$44,Input!$O$5:$O$44,'6b. %FP- SIA'!E29,Input!$P$5:$P$44,"SIA")</f>
        <v>0.52</v>
      </c>
      <c r="G29" s="3">
        <f t="shared" si="4"/>
        <v>0.52</v>
      </c>
      <c r="H29" s="3">
        <f t="shared" si="4"/>
        <v>0.52</v>
      </c>
      <c r="I29" s="3">
        <f t="shared" si="4"/>
        <v>0.52</v>
      </c>
      <c r="J29" s="3">
        <f t="shared" si="4"/>
        <v>0.52</v>
      </c>
      <c r="K29" s="3">
        <f t="shared" si="4"/>
        <v>0.52</v>
      </c>
      <c r="L29" s="3">
        <f t="shared" si="4"/>
        <v>0.52</v>
      </c>
      <c r="M29" s="3">
        <f t="shared" si="4"/>
        <v>0.52</v>
      </c>
      <c r="N29" s="3">
        <f t="shared" si="4"/>
        <v>0.52</v>
      </c>
      <c r="O29" s="3">
        <f t="shared" si="4"/>
        <v>0.52</v>
      </c>
      <c r="P29" s="3">
        <f t="shared" si="4"/>
        <v>0.52</v>
      </c>
    </row>
    <row r="30" spans="1:16">
      <c r="A30" s="84" t="s">
        <v>134</v>
      </c>
      <c r="B30" s="85" t="s">
        <v>133</v>
      </c>
      <c r="C30" s="85" t="s">
        <v>79</v>
      </c>
      <c r="D30" s="84" t="s">
        <v>80</v>
      </c>
      <c r="E30" s="84">
        <f>VLOOKUP(A30,'2a. SI Pop'!$A$5:$E$198,5,FALSE)</f>
        <v>1</v>
      </c>
      <c r="F30" s="3">
        <f>SUMIFS(Input!$Q$5:$Q$44,Input!$O$5:$O$44,'6b. %FP- SIA'!E30,Input!$P$5:$P$44,"SIA")</f>
        <v>0.52</v>
      </c>
      <c r="G30" s="3">
        <f t="shared" si="4"/>
        <v>0.52</v>
      </c>
      <c r="H30" s="3">
        <f t="shared" si="4"/>
        <v>0.52</v>
      </c>
      <c r="I30" s="3">
        <f t="shared" si="4"/>
        <v>0.52</v>
      </c>
      <c r="J30" s="3">
        <f t="shared" si="4"/>
        <v>0.52</v>
      </c>
      <c r="K30" s="3">
        <f t="shared" si="4"/>
        <v>0.52</v>
      </c>
      <c r="L30" s="3">
        <f t="shared" si="4"/>
        <v>0.52</v>
      </c>
      <c r="M30" s="3">
        <f t="shared" si="4"/>
        <v>0.52</v>
      </c>
      <c r="N30" s="3">
        <f t="shared" si="4"/>
        <v>0.52</v>
      </c>
      <c r="O30" s="3">
        <f t="shared" si="4"/>
        <v>0.52</v>
      </c>
      <c r="P30" s="3">
        <f t="shared" si="4"/>
        <v>0.52</v>
      </c>
    </row>
    <row r="31" spans="1:16">
      <c r="A31" s="84" t="s">
        <v>136</v>
      </c>
      <c r="B31" s="85" t="s">
        <v>135</v>
      </c>
      <c r="C31" s="85" t="s">
        <v>83</v>
      </c>
      <c r="D31" s="84" t="s">
        <v>75</v>
      </c>
      <c r="E31" s="84">
        <f>VLOOKUP(A31,'2a. SI Pop'!$A$5:$E$198,5,FALSE)</f>
        <v>3</v>
      </c>
      <c r="F31" s="3">
        <f>SUMIFS(Input!$Q$5:$Q$44,Input!$O$5:$O$44,'6b. %FP- SIA'!E31,Input!$P$5:$P$44,"SIA")</f>
        <v>0.34</v>
      </c>
      <c r="G31" s="3">
        <f t="shared" si="4"/>
        <v>0.34</v>
      </c>
      <c r="H31" s="3">
        <f t="shared" si="4"/>
        <v>0.34</v>
      </c>
      <c r="I31" s="3">
        <f t="shared" si="4"/>
        <v>0.34</v>
      </c>
      <c r="J31" s="3">
        <f t="shared" si="4"/>
        <v>0.34</v>
      </c>
      <c r="K31" s="3">
        <f t="shared" si="4"/>
        <v>0.34</v>
      </c>
      <c r="L31" s="3">
        <f t="shared" si="4"/>
        <v>0.34</v>
      </c>
      <c r="M31" s="3">
        <f t="shared" si="4"/>
        <v>0.34</v>
      </c>
      <c r="N31" s="3">
        <f t="shared" si="4"/>
        <v>0.34</v>
      </c>
      <c r="O31" s="3">
        <f t="shared" si="4"/>
        <v>0.34</v>
      </c>
      <c r="P31" s="3">
        <f t="shared" si="4"/>
        <v>0.34</v>
      </c>
    </row>
    <row r="32" spans="1:16">
      <c r="A32" s="84" t="s">
        <v>138</v>
      </c>
      <c r="B32" s="85" t="s">
        <v>137</v>
      </c>
      <c r="C32" s="85" t="s">
        <v>83</v>
      </c>
      <c r="D32" s="84" t="s">
        <v>75</v>
      </c>
      <c r="E32" s="84">
        <f>VLOOKUP(A32,'2a. SI Pop'!$A$5:$E$198,5,FALSE)</f>
        <v>3</v>
      </c>
      <c r="F32" s="3">
        <f>SUMIFS(Input!$Q$5:$Q$44,Input!$O$5:$O$44,'6b. %FP- SIA'!E32,Input!$P$5:$P$44,"SIA")</f>
        <v>0.34</v>
      </c>
      <c r="G32" s="3">
        <f t="shared" si="4"/>
        <v>0.34</v>
      </c>
      <c r="H32" s="3">
        <f t="shared" si="4"/>
        <v>0.34</v>
      </c>
      <c r="I32" s="3">
        <f t="shared" si="4"/>
        <v>0.34</v>
      </c>
      <c r="J32" s="3">
        <f t="shared" si="4"/>
        <v>0.34</v>
      </c>
      <c r="K32" s="3">
        <f t="shared" si="4"/>
        <v>0.34</v>
      </c>
      <c r="L32" s="3">
        <f t="shared" si="4"/>
        <v>0.34</v>
      </c>
      <c r="M32" s="3">
        <f t="shared" si="4"/>
        <v>0.34</v>
      </c>
      <c r="N32" s="3">
        <f t="shared" si="4"/>
        <v>0.34</v>
      </c>
      <c r="O32" s="3">
        <f t="shared" si="4"/>
        <v>0.34</v>
      </c>
      <c r="P32" s="3">
        <f t="shared" si="4"/>
        <v>0.34</v>
      </c>
    </row>
    <row r="33" spans="1:16">
      <c r="A33" s="84" t="s">
        <v>140</v>
      </c>
      <c r="B33" s="85" t="s">
        <v>139</v>
      </c>
      <c r="C33" s="85" t="s">
        <v>99</v>
      </c>
      <c r="D33" s="84" t="s">
        <v>84</v>
      </c>
      <c r="E33" s="84">
        <f>VLOOKUP(A33,'2a. SI Pop'!$A$5:$E$198,5,FALSE)</f>
        <v>4</v>
      </c>
      <c r="F33" s="3">
        <f>SUMIFS(Input!$Q$5:$Q$44,Input!$O$5:$O$44,'6b. %FP- SIA'!E33,Input!$P$5:$P$44,"SIA")</f>
        <v>0.41</v>
      </c>
      <c r="G33" s="3">
        <f t="shared" si="4"/>
        <v>0.41</v>
      </c>
      <c r="H33" s="3">
        <f t="shared" si="4"/>
        <v>0.41</v>
      </c>
      <c r="I33" s="3">
        <f t="shared" si="4"/>
        <v>0.41</v>
      </c>
      <c r="J33" s="3">
        <f t="shared" si="4"/>
        <v>0.41</v>
      </c>
      <c r="K33" s="3">
        <f t="shared" si="4"/>
        <v>0.41</v>
      </c>
      <c r="L33" s="3">
        <f t="shared" si="4"/>
        <v>0.41</v>
      </c>
      <c r="M33" s="3">
        <f t="shared" si="4"/>
        <v>0.41</v>
      </c>
      <c r="N33" s="3">
        <f t="shared" si="4"/>
        <v>0.41</v>
      </c>
      <c r="O33" s="3">
        <f t="shared" si="4"/>
        <v>0.41</v>
      </c>
      <c r="P33" s="3">
        <f t="shared" si="4"/>
        <v>0.41</v>
      </c>
    </row>
    <row r="34" spans="1:16">
      <c r="A34" s="84" t="s">
        <v>142</v>
      </c>
      <c r="B34" s="85" t="s">
        <v>141</v>
      </c>
      <c r="C34" s="85" t="s">
        <v>83</v>
      </c>
      <c r="D34" s="84" t="s">
        <v>84</v>
      </c>
      <c r="E34" s="84">
        <f>VLOOKUP(A34,'2a. SI Pop'!$A$5:$E$198,5,FALSE)</f>
        <v>3</v>
      </c>
      <c r="F34" s="3">
        <f>SUMIFS(Input!$Q$5:$Q$44,Input!$O$5:$O$44,'6b. %FP- SIA'!E34,Input!$P$5:$P$44,"SIA")</f>
        <v>0.34</v>
      </c>
      <c r="G34" s="3">
        <f t="shared" si="4"/>
        <v>0.34</v>
      </c>
      <c r="H34" s="3">
        <f t="shared" si="4"/>
        <v>0.34</v>
      </c>
      <c r="I34" s="3">
        <f t="shared" si="4"/>
        <v>0.34</v>
      </c>
      <c r="J34" s="3">
        <f t="shared" si="4"/>
        <v>0.34</v>
      </c>
      <c r="K34" s="3">
        <f t="shared" si="4"/>
        <v>0.34</v>
      </c>
      <c r="L34" s="3">
        <f t="shared" si="4"/>
        <v>0.34</v>
      </c>
      <c r="M34" s="3">
        <f t="shared" si="4"/>
        <v>0.34</v>
      </c>
      <c r="N34" s="3">
        <f t="shared" si="4"/>
        <v>0.34</v>
      </c>
      <c r="O34" s="3">
        <f t="shared" si="4"/>
        <v>0.34</v>
      </c>
      <c r="P34" s="3">
        <f t="shared" si="4"/>
        <v>0.34</v>
      </c>
    </row>
    <row r="35" spans="1:16">
      <c r="A35" s="84" t="s">
        <v>144</v>
      </c>
      <c r="B35" s="85" t="s">
        <v>143</v>
      </c>
      <c r="C35" s="85" t="s">
        <v>92</v>
      </c>
      <c r="D35" s="84" t="s">
        <v>87</v>
      </c>
      <c r="E35" s="84">
        <f>VLOOKUP(A35,'2a. SI Pop'!$A$5:$E$198,5,FALSE)</f>
        <v>1</v>
      </c>
      <c r="F35" s="3">
        <f>SUMIFS(Input!$Q$5:$Q$44,Input!$O$5:$O$44,'6b. %FP- SIA'!E35,Input!$P$5:$P$44,"SIA")</f>
        <v>0.52</v>
      </c>
      <c r="G35" s="3">
        <f t="shared" si="4"/>
        <v>0.52</v>
      </c>
      <c r="H35" s="3">
        <f t="shared" si="4"/>
        <v>0.52</v>
      </c>
      <c r="I35" s="3">
        <f t="shared" si="4"/>
        <v>0.52</v>
      </c>
      <c r="J35" s="3">
        <f t="shared" si="4"/>
        <v>0.52</v>
      </c>
      <c r="K35" s="3">
        <f t="shared" si="4"/>
        <v>0.52</v>
      </c>
      <c r="L35" s="3">
        <f t="shared" si="4"/>
        <v>0.52</v>
      </c>
      <c r="M35" s="3">
        <f t="shared" si="4"/>
        <v>0.52</v>
      </c>
      <c r="N35" s="3">
        <f t="shared" si="4"/>
        <v>0.52</v>
      </c>
      <c r="O35" s="3">
        <f t="shared" si="4"/>
        <v>0.52</v>
      </c>
      <c r="P35" s="3">
        <f t="shared" si="4"/>
        <v>0.52</v>
      </c>
    </row>
    <row r="36" spans="1:16">
      <c r="A36" s="84" t="s">
        <v>146</v>
      </c>
      <c r="B36" s="85" t="s">
        <v>145</v>
      </c>
      <c r="C36" s="85" t="s">
        <v>83</v>
      </c>
      <c r="D36" s="84" t="s">
        <v>84</v>
      </c>
      <c r="E36" s="84">
        <f>VLOOKUP(A36,'2a. SI Pop'!$A$5:$E$198,5,FALSE)</f>
        <v>2</v>
      </c>
      <c r="F36" s="3">
        <f>SUMIFS(Input!$Q$5:$Q$44,Input!$O$5:$O$44,'6b. %FP- SIA'!E36,Input!$P$5:$P$44,"SIA")</f>
        <v>0.38</v>
      </c>
      <c r="G36" s="3">
        <f t="shared" si="4"/>
        <v>0.38</v>
      </c>
      <c r="H36" s="3">
        <f t="shared" si="4"/>
        <v>0.38</v>
      </c>
      <c r="I36" s="3">
        <f t="shared" si="4"/>
        <v>0.38</v>
      </c>
      <c r="J36" s="3">
        <f t="shared" si="4"/>
        <v>0.38</v>
      </c>
      <c r="K36" s="3">
        <f t="shared" si="4"/>
        <v>0.38</v>
      </c>
      <c r="L36" s="3">
        <f t="shared" si="4"/>
        <v>0.38</v>
      </c>
      <c r="M36" s="3">
        <f t="shared" si="4"/>
        <v>0.38</v>
      </c>
      <c r="N36" s="3">
        <f t="shared" si="4"/>
        <v>0.38</v>
      </c>
      <c r="O36" s="3">
        <f t="shared" si="4"/>
        <v>0.38</v>
      </c>
      <c r="P36" s="3">
        <f t="shared" si="4"/>
        <v>0.38</v>
      </c>
    </row>
    <row r="37" spans="1:16">
      <c r="A37" s="84" t="s">
        <v>148</v>
      </c>
      <c r="B37" s="85" t="s">
        <v>147</v>
      </c>
      <c r="C37" s="85" t="s">
        <v>83</v>
      </c>
      <c r="D37" s="84" t="s">
        <v>75</v>
      </c>
      <c r="E37" s="84">
        <f>VLOOKUP(A37,'2a. SI Pop'!$A$5:$E$198,5,FALSE)</f>
        <v>3</v>
      </c>
      <c r="F37" s="3">
        <f>SUMIFS(Input!$Q$5:$Q$44,Input!$O$5:$O$44,'6b. %FP- SIA'!E37,Input!$P$5:$P$44,"SIA")</f>
        <v>0.34</v>
      </c>
      <c r="G37" s="3">
        <f t="shared" si="4"/>
        <v>0.34</v>
      </c>
      <c r="H37" s="3">
        <f t="shared" si="4"/>
        <v>0.34</v>
      </c>
      <c r="I37" s="3">
        <f t="shared" si="4"/>
        <v>0.34</v>
      </c>
      <c r="J37" s="3">
        <f t="shared" si="4"/>
        <v>0.34</v>
      </c>
      <c r="K37" s="3">
        <f t="shared" si="4"/>
        <v>0.34</v>
      </c>
      <c r="L37" s="3">
        <f t="shared" si="4"/>
        <v>0.34</v>
      </c>
      <c r="M37" s="3">
        <f t="shared" si="4"/>
        <v>0.34</v>
      </c>
      <c r="N37" s="3">
        <f t="shared" si="4"/>
        <v>0.34</v>
      </c>
      <c r="O37" s="3">
        <f t="shared" si="4"/>
        <v>0.34</v>
      </c>
      <c r="P37" s="3">
        <f t="shared" si="4"/>
        <v>0.34</v>
      </c>
    </row>
    <row r="38" spans="1:16">
      <c r="A38" s="84" t="s">
        <v>150</v>
      </c>
      <c r="B38" s="85" t="s">
        <v>149</v>
      </c>
      <c r="C38" s="85" t="s">
        <v>83</v>
      </c>
      <c r="D38" s="84" t="s">
        <v>75</v>
      </c>
      <c r="E38" s="84" t="str">
        <f>VLOOKUP(A38,'2a. SI Pop'!$A$5:$E$198,5,FALSE)</f>
        <v>Key</v>
      </c>
      <c r="F38" s="3">
        <f>SUMIFS(Input!$Q$5:$Q$44,Input!$O$5:$O$44,'6b. %FP- SIA'!A38,Input!$P$5:$P$44,"SIA")</f>
        <v>0.78</v>
      </c>
      <c r="G38" s="3">
        <f t="shared" ref="G38:P53" si="5">F38</f>
        <v>0.78</v>
      </c>
      <c r="H38" s="3">
        <f t="shared" si="5"/>
        <v>0.78</v>
      </c>
      <c r="I38" s="3">
        <f t="shared" si="5"/>
        <v>0.78</v>
      </c>
      <c r="J38" s="3">
        <f t="shared" si="5"/>
        <v>0.78</v>
      </c>
      <c r="K38" s="3">
        <f t="shared" si="5"/>
        <v>0.78</v>
      </c>
      <c r="L38" s="3">
        <f t="shared" si="5"/>
        <v>0.78</v>
      </c>
      <c r="M38" s="3">
        <f t="shared" si="5"/>
        <v>0.78</v>
      </c>
      <c r="N38" s="3">
        <f t="shared" si="5"/>
        <v>0.78</v>
      </c>
      <c r="O38" s="3">
        <f t="shared" si="5"/>
        <v>0.78</v>
      </c>
      <c r="P38" s="3">
        <f t="shared" si="5"/>
        <v>0.78</v>
      </c>
    </row>
    <row r="39" spans="1:16">
      <c r="A39" s="84" t="s">
        <v>152</v>
      </c>
      <c r="B39" s="85" t="s">
        <v>151</v>
      </c>
      <c r="C39" s="85" t="s">
        <v>92</v>
      </c>
      <c r="D39" s="84" t="s">
        <v>87</v>
      </c>
      <c r="E39" s="84">
        <f>VLOOKUP(A39,'2a. SI Pop'!$A$5:$E$198,5,FALSE)</f>
        <v>2</v>
      </c>
      <c r="F39" s="3">
        <f>SUMIFS(Input!$Q$5:$Q$44,Input!$O$5:$O$44,'6b. %FP- SIA'!E39,Input!$P$5:$P$44,"SIA")</f>
        <v>0.38</v>
      </c>
      <c r="G39" s="3">
        <f t="shared" si="5"/>
        <v>0.38</v>
      </c>
      <c r="H39" s="3">
        <f t="shared" si="5"/>
        <v>0.38</v>
      </c>
      <c r="I39" s="3">
        <f t="shared" si="5"/>
        <v>0.38</v>
      </c>
      <c r="J39" s="3">
        <f t="shared" si="5"/>
        <v>0.38</v>
      </c>
      <c r="K39" s="3">
        <f t="shared" si="5"/>
        <v>0.38</v>
      </c>
      <c r="L39" s="3">
        <f t="shared" si="5"/>
        <v>0.38</v>
      </c>
      <c r="M39" s="3">
        <f t="shared" si="5"/>
        <v>0.38</v>
      </c>
      <c r="N39" s="3">
        <f t="shared" si="5"/>
        <v>0.38</v>
      </c>
      <c r="O39" s="3">
        <f t="shared" si="5"/>
        <v>0.38</v>
      </c>
      <c r="P39" s="3">
        <f t="shared" si="5"/>
        <v>0.38</v>
      </c>
    </row>
    <row r="40" spans="1:16">
      <c r="A40" s="84" t="s">
        <v>154</v>
      </c>
      <c r="B40" s="85" t="s">
        <v>153</v>
      </c>
      <c r="C40" s="85" t="s">
        <v>99</v>
      </c>
      <c r="D40" s="84" t="s">
        <v>80</v>
      </c>
      <c r="E40" s="84">
        <f>VLOOKUP(A40,'2a. SI Pop'!$A$5:$E$198,5,FALSE)</f>
        <v>1</v>
      </c>
      <c r="F40" s="3">
        <f>SUMIFS(Input!$Q$5:$Q$44,Input!$O$5:$O$44,'6b. %FP- SIA'!E40,Input!$P$5:$P$44,"SIA")</f>
        <v>0.52</v>
      </c>
      <c r="G40" s="3">
        <f t="shared" si="5"/>
        <v>0.52</v>
      </c>
      <c r="H40" s="3">
        <f t="shared" si="5"/>
        <v>0.52</v>
      </c>
      <c r="I40" s="3">
        <f t="shared" si="5"/>
        <v>0.52</v>
      </c>
      <c r="J40" s="3">
        <f t="shared" si="5"/>
        <v>0.52</v>
      </c>
      <c r="K40" s="3">
        <f t="shared" si="5"/>
        <v>0.52</v>
      </c>
      <c r="L40" s="3">
        <f t="shared" si="5"/>
        <v>0.52</v>
      </c>
      <c r="M40" s="3">
        <f t="shared" si="5"/>
        <v>0.52</v>
      </c>
      <c r="N40" s="3">
        <f t="shared" si="5"/>
        <v>0.52</v>
      </c>
      <c r="O40" s="3">
        <f t="shared" si="5"/>
        <v>0.52</v>
      </c>
      <c r="P40" s="3">
        <f t="shared" si="5"/>
        <v>0.52</v>
      </c>
    </row>
    <row r="41" spans="1:16">
      <c r="A41" s="84" t="s">
        <v>156</v>
      </c>
      <c r="B41" s="85" t="s">
        <v>155</v>
      </c>
      <c r="C41" s="85" t="s">
        <v>92</v>
      </c>
      <c r="D41" s="84" t="s">
        <v>80</v>
      </c>
      <c r="E41" s="84">
        <f>VLOOKUP(A41,'2a. SI Pop'!$A$5:$E$198,5,FALSE)</f>
        <v>2</v>
      </c>
      <c r="F41" s="3">
        <f>SUMIFS(Input!$Q$5:$Q$44,Input!$O$5:$O$44,'6b. %FP- SIA'!E41,Input!$P$5:$P$44,"SIA")</f>
        <v>0.38</v>
      </c>
      <c r="G41" s="3">
        <f t="shared" si="5"/>
        <v>0.38</v>
      </c>
      <c r="H41" s="3">
        <f t="shared" si="5"/>
        <v>0.38</v>
      </c>
      <c r="I41" s="3">
        <f t="shared" si="5"/>
        <v>0.38</v>
      </c>
      <c r="J41" s="3">
        <f t="shared" si="5"/>
        <v>0.38</v>
      </c>
      <c r="K41" s="3">
        <f t="shared" si="5"/>
        <v>0.38</v>
      </c>
      <c r="L41" s="3">
        <f t="shared" si="5"/>
        <v>0.38</v>
      </c>
      <c r="M41" s="3">
        <f t="shared" si="5"/>
        <v>0.38</v>
      </c>
      <c r="N41" s="3">
        <f t="shared" si="5"/>
        <v>0.38</v>
      </c>
      <c r="O41" s="3">
        <f t="shared" si="5"/>
        <v>0.38</v>
      </c>
      <c r="P41" s="3">
        <f t="shared" si="5"/>
        <v>0.38</v>
      </c>
    </row>
    <row r="42" spans="1:16">
      <c r="A42" s="84" t="s">
        <v>158</v>
      </c>
      <c r="B42" s="85" t="s">
        <v>157</v>
      </c>
      <c r="C42" s="85" t="s">
        <v>83</v>
      </c>
      <c r="D42" s="84" t="s">
        <v>84</v>
      </c>
      <c r="E42" s="84">
        <f>VLOOKUP(A42,'2a. SI Pop'!$A$5:$E$198,5,FALSE)</f>
        <v>3</v>
      </c>
      <c r="F42" s="3">
        <f>SUMIFS(Input!$Q$5:$Q$44,Input!$O$5:$O$44,'6b. %FP- SIA'!E42,Input!$P$5:$P$44,"SIA")</f>
        <v>0.34</v>
      </c>
      <c r="G42" s="3">
        <f t="shared" si="5"/>
        <v>0.34</v>
      </c>
      <c r="H42" s="3">
        <f t="shared" si="5"/>
        <v>0.34</v>
      </c>
      <c r="I42" s="3">
        <f t="shared" si="5"/>
        <v>0.34</v>
      </c>
      <c r="J42" s="3">
        <f t="shared" si="5"/>
        <v>0.34</v>
      </c>
      <c r="K42" s="3">
        <f t="shared" si="5"/>
        <v>0.34</v>
      </c>
      <c r="L42" s="3">
        <f t="shared" si="5"/>
        <v>0.34</v>
      </c>
      <c r="M42" s="3">
        <f t="shared" si="5"/>
        <v>0.34</v>
      </c>
      <c r="N42" s="3">
        <f t="shared" si="5"/>
        <v>0.34</v>
      </c>
      <c r="O42" s="3">
        <f t="shared" si="5"/>
        <v>0.34</v>
      </c>
      <c r="P42" s="3">
        <f t="shared" si="5"/>
        <v>0.34</v>
      </c>
    </row>
    <row r="43" spans="1:16">
      <c r="A43" s="84" t="s">
        <v>160</v>
      </c>
      <c r="B43" s="85" t="s">
        <v>159</v>
      </c>
      <c r="C43" s="85" t="s">
        <v>83</v>
      </c>
      <c r="D43" s="84" t="s">
        <v>84</v>
      </c>
      <c r="E43" s="84">
        <f>VLOOKUP(A43,'2a. SI Pop'!$A$5:$E$198,5,FALSE)</f>
        <v>3</v>
      </c>
      <c r="F43" s="3">
        <f>SUMIFS(Input!$Q$5:$Q$44,Input!$O$5:$O$44,'6b. %FP- SIA'!E43,Input!$P$5:$P$44,"SIA")</f>
        <v>0.34</v>
      </c>
      <c r="G43" s="3">
        <f t="shared" si="5"/>
        <v>0.34</v>
      </c>
      <c r="H43" s="3">
        <f t="shared" si="5"/>
        <v>0.34</v>
      </c>
      <c r="I43" s="3">
        <f t="shared" si="5"/>
        <v>0.34</v>
      </c>
      <c r="J43" s="3">
        <f t="shared" si="5"/>
        <v>0.34</v>
      </c>
      <c r="K43" s="3">
        <f t="shared" si="5"/>
        <v>0.34</v>
      </c>
      <c r="L43" s="3">
        <f t="shared" si="5"/>
        <v>0.34</v>
      </c>
      <c r="M43" s="3">
        <f t="shared" si="5"/>
        <v>0.34</v>
      </c>
      <c r="N43" s="3">
        <f t="shared" si="5"/>
        <v>0.34</v>
      </c>
      <c r="O43" s="3">
        <f t="shared" si="5"/>
        <v>0.34</v>
      </c>
      <c r="P43" s="3">
        <f t="shared" si="5"/>
        <v>0.34</v>
      </c>
    </row>
    <row r="44" spans="1:16">
      <c r="A44" s="84" t="s">
        <v>162</v>
      </c>
      <c r="B44" s="85" t="s">
        <v>161</v>
      </c>
      <c r="C44" s="85" t="s">
        <v>99</v>
      </c>
      <c r="D44" s="84" t="e">
        <v>#N/A</v>
      </c>
      <c r="E44" s="84">
        <f>VLOOKUP(A44,'2a. SI Pop'!$A$5:$E$198,5,FALSE)</f>
        <v>1</v>
      </c>
      <c r="F44" s="3">
        <f>SUMIFS(Input!$Q$5:$Q$44,Input!$O$5:$O$44,'6b. %FP- SIA'!#REF!,Input!$P$5:$P$44,"SIA")</f>
        <v>0</v>
      </c>
      <c r="G44" s="3">
        <f t="shared" si="5"/>
        <v>0</v>
      </c>
      <c r="H44" s="3">
        <f t="shared" si="5"/>
        <v>0</v>
      </c>
      <c r="I44" s="3">
        <f t="shared" si="5"/>
        <v>0</v>
      </c>
      <c r="J44" s="3">
        <f t="shared" si="5"/>
        <v>0</v>
      </c>
      <c r="K44" s="3">
        <f t="shared" si="5"/>
        <v>0</v>
      </c>
      <c r="L44" s="3">
        <f t="shared" si="5"/>
        <v>0</v>
      </c>
      <c r="M44" s="3">
        <f t="shared" si="5"/>
        <v>0</v>
      </c>
      <c r="N44" s="3">
        <f t="shared" si="5"/>
        <v>0</v>
      </c>
      <c r="O44" s="3">
        <f t="shared" si="5"/>
        <v>0</v>
      </c>
      <c r="P44" s="3">
        <f t="shared" si="5"/>
        <v>0</v>
      </c>
    </row>
    <row r="45" spans="1:16">
      <c r="A45" s="84" t="s">
        <v>164</v>
      </c>
      <c r="B45" s="85" t="s">
        <v>163</v>
      </c>
      <c r="C45" s="85" t="s">
        <v>92</v>
      </c>
      <c r="D45" s="84" t="s">
        <v>80</v>
      </c>
      <c r="E45" s="84">
        <f>VLOOKUP(A45,'2a. SI Pop'!$A$5:$E$198,5,FALSE)</f>
        <v>2</v>
      </c>
      <c r="F45" s="3">
        <f>SUMIFS(Input!$Q$5:$Q$44,Input!$O$5:$O$44,'6b. %FP- SIA'!E45,Input!$P$5:$P$44,"SIA")</f>
        <v>0.38</v>
      </c>
      <c r="G45" s="3">
        <f t="shared" si="5"/>
        <v>0.38</v>
      </c>
      <c r="H45" s="3">
        <f t="shared" si="5"/>
        <v>0.38</v>
      </c>
      <c r="I45" s="3">
        <f t="shared" si="5"/>
        <v>0.38</v>
      </c>
      <c r="J45" s="3">
        <f t="shared" si="5"/>
        <v>0.38</v>
      </c>
      <c r="K45" s="3">
        <f t="shared" si="5"/>
        <v>0.38</v>
      </c>
      <c r="L45" s="3">
        <f t="shared" si="5"/>
        <v>0.38</v>
      </c>
      <c r="M45" s="3">
        <f t="shared" si="5"/>
        <v>0.38</v>
      </c>
      <c r="N45" s="3">
        <f t="shared" si="5"/>
        <v>0.38</v>
      </c>
      <c r="O45" s="3">
        <f t="shared" si="5"/>
        <v>0.38</v>
      </c>
      <c r="P45" s="3">
        <f t="shared" si="5"/>
        <v>0.38</v>
      </c>
    </row>
    <row r="46" spans="1:16">
      <c r="A46" s="84" t="s">
        <v>166</v>
      </c>
      <c r="B46" s="85" t="s">
        <v>165</v>
      </c>
      <c r="C46" s="85" t="s">
        <v>83</v>
      </c>
      <c r="D46" s="84" t="s">
        <v>84</v>
      </c>
      <c r="E46" s="84">
        <f>VLOOKUP(A46,'2a. SI Pop'!$A$5:$E$198,5,FALSE)</f>
        <v>3</v>
      </c>
      <c r="F46" s="3">
        <f>SUMIFS(Input!$Q$5:$Q$44,Input!$O$5:$O$44,'6b. %FP- SIA'!E46,Input!$P$5:$P$44,"SIA")</f>
        <v>0.34</v>
      </c>
      <c r="G46" s="3">
        <f t="shared" si="5"/>
        <v>0.34</v>
      </c>
      <c r="H46" s="3">
        <f t="shared" si="5"/>
        <v>0.34</v>
      </c>
      <c r="I46" s="3">
        <f t="shared" si="5"/>
        <v>0.34</v>
      </c>
      <c r="J46" s="3">
        <f t="shared" si="5"/>
        <v>0.34</v>
      </c>
      <c r="K46" s="3">
        <f t="shared" si="5"/>
        <v>0.34</v>
      </c>
      <c r="L46" s="3">
        <f t="shared" si="5"/>
        <v>0.34</v>
      </c>
      <c r="M46" s="3">
        <f t="shared" si="5"/>
        <v>0.34</v>
      </c>
      <c r="N46" s="3">
        <f t="shared" si="5"/>
        <v>0.34</v>
      </c>
      <c r="O46" s="3">
        <f t="shared" si="5"/>
        <v>0.34</v>
      </c>
      <c r="P46" s="3">
        <f t="shared" si="5"/>
        <v>0.34</v>
      </c>
    </row>
    <row r="47" spans="1:16">
      <c r="A47" s="84" t="s">
        <v>168</v>
      </c>
      <c r="B47" s="85" t="s">
        <v>167</v>
      </c>
      <c r="C47" s="85" t="s">
        <v>79</v>
      </c>
      <c r="D47" s="84" t="s">
        <v>87</v>
      </c>
      <c r="E47" s="84">
        <f>VLOOKUP(A47,'2a. SI Pop'!$A$5:$E$198,5,FALSE)</f>
        <v>1</v>
      </c>
      <c r="F47" s="3">
        <f>SUMIFS(Input!$Q$5:$Q$44,Input!$O$5:$O$44,'6b. %FP- SIA'!E47,Input!$P$5:$P$44,"SIA")</f>
        <v>0.52</v>
      </c>
      <c r="G47" s="3">
        <f t="shared" si="5"/>
        <v>0.52</v>
      </c>
      <c r="H47" s="3">
        <f t="shared" si="5"/>
        <v>0.52</v>
      </c>
      <c r="I47" s="3">
        <f t="shared" si="5"/>
        <v>0.52</v>
      </c>
      <c r="J47" s="3">
        <f t="shared" si="5"/>
        <v>0.52</v>
      </c>
      <c r="K47" s="3">
        <f t="shared" si="5"/>
        <v>0.52</v>
      </c>
      <c r="L47" s="3">
        <f t="shared" si="5"/>
        <v>0.52</v>
      </c>
      <c r="M47" s="3">
        <f t="shared" si="5"/>
        <v>0.52</v>
      </c>
      <c r="N47" s="3">
        <f t="shared" si="5"/>
        <v>0.52</v>
      </c>
      <c r="O47" s="3">
        <f t="shared" si="5"/>
        <v>0.52</v>
      </c>
      <c r="P47" s="3">
        <f t="shared" si="5"/>
        <v>0.52</v>
      </c>
    </row>
    <row r="48" spans="1:16">
      <c r="A48" s="84" t="s">
        <v>170</v>
      </c>
      <c r="B48" s="85" t="s">
        <v>169</v>
      </c>
      <c r="C48" s="85" t="s">
        <v>92</v>
      </c>
      <c r="D48" s="84" t="s">
        <v>80</v>
      </c>
      <c r="E48" s="84">
        <f>VLOOKUP(A48,'2a. SI Pop'!$A$5:$E$198,5,FALSE)</f>
        <v>1</v>
      </c>
      <c r="F48" s="3">
        <f>SUMIFS(Input!$Q$5:$Q$44,Input!$O$5:$O$44,'6b. %FP- SIA'!E48,Input!$P$5:$P$44,"SIA")</f>
        <v>0.52</v>
      </c>
      <c r="G48" s="3">
        <f t="shared" si="5"/>
        <v>0.52</v>
      </c>
      <c r="H48" s="3">
        <f t="shared" si="5"/>
        <v>0.52</v>
      </c>
      <c r="I48" s="3">
        <f t="shared" si="5"/>
        <v>0.52</v>
      </c>
      <c r="J48" s="3">
        <f t="shared" si="5"/>
        <v>0.52</v>
      </c>
      <c r="K48" s="3">
        <f t="shared" si="5"/>
        <v>0.52</v>
      </c>
      <c r="L48" s="3">
        <f t="shared" si="5"/>
        <v>0.52</v>
      </c>
      <c r="M48" s="3">
        <f t="shared" si="5"/>
        <v>0.52</v>
      </c>
      <c r="N48" s="3">
        <f t="shared" si="5"/>
        <v>0.52</v>
      </c>
      <c r="O48" s="3">
        <f t="shared" si="5"/>
        <v>0.52</v>
      </c>
      <c r="P48" s="3">
        <f t="shared" si="5"/>
        <v>0.52</v>
      </c>
    </row>
    <row r="49" spans="1:16">
      <c r="A49" s="84" t="s">
        <v>172</v>
      </c>
      <c r="B49" s="85" t="s">
        <v>171</v>
      </c>
      <c r="C49" s="85" t="s">
        <v>79</v>
      </c>
      <c r="D49" s="84" t="s">
        <v>87</v>
      </c>
      <c r="E49" s="84">
        <f>VLOOKUP(A49,'2a. SI Pop'!$A$5:$E$198,5,FALSE)</f>
        <v>1</v>
      </c>
      <c r="F49" s="3">
        <f>SUMIFS(Input!$Q$5:$Q$44,Input!$O$5:$O$44,'6b. %FP- SIA'!E49,Input!$P$5:$P$44,"SIA")</f>
        <v>0.52</v>
      </c>
      <c r="G49" s="3">
        <f t="shared" si="5"/>
        <v>0.52</v>
      </c>
      <c r="H49" s="3">
        <f t="shared" si="5"/>
        <v>0.52</v>
      </c>
      <c r="I49" s="3">
        <f t="shared" si="5"/>
        <v>0.52</v>
      </c>
      <c r="J49" s="3">
        <f t="shared" si="5"/>
        <v>0.52</v>
      </c>
      <c r="K49" s="3">
        <f t="shared" si="5"/>
        <v>0.52</v>
      </c>
      <c r="L49" s="3">
        <f t="shared" si="5"/>
        <v>0.52</v>
      </c>
      <c r="M49" s="3">
        <f t="shared" si="5"/>
        <v>0.52</v>
      </c>
      <c r="N49" s="3">
        <f t="shared" si="5"/>
        <v>0.52</v>
      </c>
      <c r="O49" s="3">
        <f t="shared" si="5"/>
        <v>0.52</v>
      </c>
      <c r="P49" s="3">
        <f t="shared" si="5"/>
        <v>0.52</v>
      </c>
    </row>
    <row r="50" spans="1:16">
      <c r="A50" s="84" t="s">
        <v>174</v>
      </c>
      <c r="B50" s="85" t="s">
        <v>173</v>
      </c>
      <c r="C50" s="85" t="s">
        <v>79</v>
      </c>
      <c r="D50" s="84" t="s">
        <v>87</v>
      </c>
      <c r="E50" s="84">
        <f>VLOOKUP(A50,'2a. SI Pop'!$A$5:$E$198,5,FALSE)</f>
        <v>1</v>
      </c>
      <c r="F50" s="3">
        <f>SUMIFS(Input!$Q$5:$Q$44,Input!$O$5:$O$44,'6b. %FP- SIA'!E50,Input!$P$5:$P$44,"SIA")</f>
        <v>0.52</v>
      </c>
      <c r="G50" s="3">
        <f t="shared" si="5"/>
        <v>0.52</v>
      </c>
      <c r="H50" s="3">
        <f t="shared" si="5"/>
        <v>0.52</v>
      </c>
      <c r="I50" s="3">
        <f t="shared" si="5"/>
        <v>0.52</v>
      </c>
      <c r="J50" s="3">
        <f t="shared" si="5"/>
        <v>0.52</v>
      </c>
      <c r="K50" s="3">
        <f t="shared" si="5"/>
        <v>0.52</v>
      </c>
      <c r="L50" s="3">
        <f t="shared" si="5"/>
        <v>0.52</v>
      </c>
      <c r="M50" s="3">
        <f t="shared" si="5"/>
        <v>0.52</v>
      </c>
      <c r="N50" s="3">
        <f t="shared" si="5"/>
        <v>0.52</v>
      </c>
      <c r="O50" s="3">
        <f t="shared" si="5"/>
        <v>0.52</v>
      </c>
      <c r="P50" s="3">
        <f t="shared" si="5"/>
        <v>0.52</v>
      </c>
    </row>
    <row r="51" spans="1:16">
      <c r="A51" s="84" t="s">
        <v>176</v>
      </c>
      <c r="B51" s="85" t="s">
        <v>175</v>
      </c>
      <c r="C51" s="85" t="s">
        <v>110</v>
      </c>
      <c r="D51" s="84" t="s">
        <v>75</v>
      </c>
      <c r="E51" s="84">
        <f>VLOOKUP(A51,'2a. SI Pop'!$A$5:$E$198,5,FALSE)</f>
        <v>4</v>
      </c>
      <c r="F51" s="3">
        <f>SUMIFS(Input!$Q$5:$Q$44,Input!$O$5:$O$44,'6b. %FP- SIA'!E51,Input!$P$5:$P$44,"SIA")</f>
        <v>0.41</v>
      </c>
      <c r="G51" s="3">
        <f t="shared" si="5"/>
        <v>0.41</v>
      </c>
      <c r="H51" s="3">
        <f t="shared" si="5"/>
        <v>0.41</v>
      </c>
      <c r="I51" s="3">
        <f t="shared" si="5"/>
        <v>0.41</v>
      </c>
      <c r="J51" s="3">
        <f t="shared" si="5"/>
        <v>0.41</v>
      </c>
      <c r="K51" s="3">
        <f t="shared" si="5"/>
        <v>0.41</v>
      </c>
      <c r="L51" s="3">
        <f t="shared" si="5"/>
        <v>0.41</v>
      </c>
      <c r="M51" s="3">
        <f t="shared" si="5"/>
        <v>0.41</v>
      </c>
      <c r="N51" s="3">
        <f t="shared" si="5"/>
        <v>0.41</v>
      </c>
      <c r="O51" s="3">
        <f t="shared" si="5"/>
        <v>0.41</v>
      </c>
      <c r="P51" s="3">
        <f t="shared" si="5"/>
        <v>0.41</v>
      </c>
    </row>
    <row r="52" spans="1:16">
      <c r="A52" s="84" t="s">
        <v>178</v>
      </c>
      <c r="B52" s="85" t="s">
        <v>177</v>
      </c>
      <c r="C52" s="85" t="s">
        <v>83</v>
      </c>
      <c r="D52" s="84" t="s">
        <v>75</v>
      </c>
      <c r="E52" s="84" t="str">
        <f>VLOOKUP(A52,'2a. SI Pop'!$A$5:$E$198,5,FALSE)</f>
        <v>Key</v>
      </c>
      <c r="F52" s="3">
        <f>SUMIFS(Input!$Q$5:$Q$44,Input!$O$5:$O$44,'6b. %FP- SIA'!A52,Input!$P$5:$P$44,"SIA")</f>
        <v>0.77</v>
      </c>
      <c r="G52" s="3">
        <f t="shared" si="5"/>
        <v>0.77</v>
      </c>
      <c r="H52" s="3">
        <f t="shared" si="5"/>
        <v>0.77</v>
      </c>
      <c r="I52" s="3">
        <f t="shared" si="5"/>
        <v>0.77</v>
      </c>
      <c r="J52" s="3">
        <f t="shared" si="5"/>
        <v>0.77</v>
      </c>
      <c r="K52" s="3">
        <f t="shared" si="5"/>
        <v>0.77</v>
      </c>
      <c r="L52" s="3">
        <f t="shared" si="5"/>
        <v>0.77</v>
      </c>
      <c r="M52" s="3">
        <f t="shared" si="5"/>
        <v>0.77</v>
      </c>
      <c r="N52" s="3">
        <f t="shared" si="5"/>
        <v>0.77</v>
      </c>
      <c r="O52" s="3">
        <f t="shared" si="5"/>
        <v>0.77</v>
      </c>
      <c r="P52" s="3">
        <f t="shared" si="5"/>
        <v>0.77</v>
      </c>
    </row>
    <row r="53" spans="1:16">
      <c r="A53" s="84" t="s">
        <v>180</v>
      </c>
      <c r="B53" s="85" t="s">
        <v>179</v>
      </c>
      <c r="C53" s="85" t="s">
        <v>79</v>
      </c>
      <c r="D53" s="84" t="s">
        <v>87</v>
      </c>
      <c r="E53" s="84">
        <f>VLOOKUP(A53,'2a. SI Pop'!$A$5:$E$198,5,FALSE)</f>
        <v>1</v>
      </c>
      <c r="F53" s="3">
        <f>SUMIFS(Input!$Q$5:$Q$44,Input!$O$5:$O$44,'6b. %FP- SIA'!E53,Input!$P$5:$P$44,"SIA")</f>
        <v>0.52</v>
      </c>
      <c r="G53" s="3">
        <f t="shared" si="5"/>
        <v>0.52</v>
      </c>
      <c r="H53" s="3">
        <f t="shared" si="5"/>
        <v>0.52</v>
      </c>
      <c r="I53" s="3">
        <f t="shared" si="5"/>
        <v>0.52</v>
      </c>
      <c r="J53" s="3">
        <f t="shared" si="5"/>
        <v>0.52</v>
      </c>
      <c r="K53" s="3">
        <f t="shared" si="5"/>
        <v>0.52</v>
      </c>
      <c r="L53" s="3">
        <f t="shared" si="5"/>
        <v>0.52</v>
      </c>
      <c r="M53" s="3">
        <f t="shared" si="5"/>
        <v>0.52</v>
      </c>
      <c r="N53" s="3">
        <f t="shared" si="5"/>
        <v>0.52</v>
      </c>
      <c r="O53" s="3">
        <f t="shared" si="5"/>
        <v>0.52</v>
      </c>
      <c r="P53" s="3">
        <f t="shared" si="5"/>
        <v>0.52</v>
      </c>
    </row>
    <row r="54" spans="1:16">
      <c r="A54" s="84" t="s">
        <v>182</v>
      </c>
      <c r="B54" s="85" t="s">
        <v>181</v>
      </c>
      <c r="C54" s="85" t="s">
        <v>74</v>
      </c>
      <c r="D54" s="84" t="s">
        <v>84</v>
      </c>
      <c r="E54" s="84">
        <f>VLOOKUP(A54,'2a. SI Pop'!$A$5:$E$198,5,FALSE)</f>
        <v>3</v>
      </c>
      <c r="F54" s="3">
        <f>SUMIFS(Input!$Q$5:$Q$44,Input!$O$5:$O$44,'6b. %FP- SIA'!E54,Input!$P$5:$P$44,"SIA")</f>
        <v>0.34</v>
      </c>
      <c r="G54" s="3">
        <f t="shared" ref="G54:P69" si="6">F54</f>
        <v>0.34</v>
      </c>
      <c r="H54" s="3">
        <f t="shared" si="6"/>
        <v>0.34</v>
      </c>
      <c r="I54" s="3">
        <f t="shared" si="6"/>
        <v>0.34</v>
      </c>
      <c r="J54" s="3">
        <f t="shared" si="6"/>
        <v>0.34</v>
      </c>
      <c r="K54" s="3">
        <f t="shared" si="6"/>
        <v>0.34</v>
      </c>
      <c r="L54" s="3">
        <f t="shared" si="6"/>
        <v>0.34</v>
      </c>
      <c r="M54" s="3">
        <f t="shared" si="6"/>
        <v>0.34</v>
      </c>
      <c r="N54" s="3">
        <f t="shared" si="6"/>
        <v>0.34</v>
      </c>
      <c r="O54" s="3">
        <f t="shared" si="6"/>
        <v>0.34</v>
      </c>
      <c r="P54" s="3">
        <f t="shared" si="6"/>
        <v>0.34</v>
      </c>
    </row>
    <row r="55" spans="1:16">
      <c r="A55" s="84" t="s">
        <v>184</v>
      </c>
      <c r="B55" s="85" t="s">
        <v>183</v>
      </c>
      <c r="C55" s="85" t="s">
        <v>92</v>
      </c>
      <c r="D55" s="84" t="s">
        <v>80</v>
      </c>
      <c r="E55" s="84">
        <f>VLOOKUP(A55,'2a. SI Pop'!$A$5:$E$198,5,FALSE)</f>
        <v>2</v>
      </c>
      <c r="F55" s="3">
        <f>SUMIFS(Input!$Q$5:$Q$44,Input!$O$5:$O$44,'6b. %FP- SIA'!E55,Input!$P$5:$P$44,"SIA")</f>
        <v>0.38</v>
      </c>
      <c r="G55" s="3">
        <f t="shared" si="6"/>
        <v>0.38</v>
      </c>
      <c r="H55" s="3">
        <f t="shared" si="6"/>
        <v>0.38</v>
      </c>
      <c r="I55" s="3">
        <f t="shared" si="6"/>
        <v>0.38</v>
      </c>
      <c r="J55" s="3">
        <f t="shared" si="6"/>
        <v>0.38</v>
      </c>
      <c r="K55" s="3">
        <f t="shared" si="6"/>
        <v>0.38</v>
      </c>
      <c r="L55" s="3">
        <f t="shared" si="6"/>
        <v>0.38</v>
      </c>
      <c r="M55" s="3">
        <f t="shared" si="6"/>
        <v>0.38</v>
      </c>
      <c r="N55" s="3">
        <f t="shared" si="6"/>
        <v>0.38</v>
      </c>
      <c r="O55" s="3">
        <f t="shared" si="6"/>
        <v>0.38</v>
      </c>
      <c r="P55" s="3">
        <f t="shared" si="6"/>
        <v>0.38</v>
      </c>
    </row>
    <row r="56" spans="1:16">
      <c r="A56" s="84" t="s">
        <v>184</v>
      </c>
      <c r="B56" s="85" t="s">
        <v>185</v>
      </c>
      <c r="C56" s="85" t="s">
        <v>92</v>
      </c>
      <c r="D56" s="84" t="s">
        <v>80</v>
      </c>
      <c r="E56" s="84">
        <f>VLOOKUP(A56,'2a. SI Pop'!$A$5:$E$198,5,FALSE)</f>
        <v>2</v>
      </c>
      <c r="F56" s="3">
        <f>SUMIFS(Input!$Q$5:$Q$44,Input!$O$5:$O$44,'6b. %FP- SIA'!E56,Input!$P$5:$P$44,"SIA")</f>
        <v>0.38</v>
      </c>
      <c r="G56" s="3">
        <f t="shared" si="6"/>
        <v>0.38</v>
      </c>
      <c r="H56" s="3">
        <f t="shared" si="6"/>
        <v>0.38</v>
      </c>
      <c r="I56" s="3">
        <f t="shared" si="6"/>
        <v>0.38</v>
      </c>
      <c r="J56" s="3">
        <f t="shared" si="6"/>
        <v>0.38</v>
      </c>
      <c r="K56" s="3">
        <f t="shared" si="6"/>
        <v>0.38</v>
      </c>
      <c r="L56" s="3">
        <f t="shared" si="6"/>
        <v>0.38</v>
      </c>
      <c r="M56" s="3">
        <f t="shared" si="6"/>
        <v>0.38</v>
      </c>
      <c r="N56" s="3">
        <f t="shared" si="6"/>
        <v>0.38</v>
      </c>
      <c r="O56" s="3">
        <f t="shared" si="6"/>
        <v>0.38</v>
      </c>
      <c r="P56" s="3">
        <f t="shared" si="6"/>
        <v>0.38</v>
      </c>
    </row>
    <row r="57" spans="1:16">
      <c r="A57" s="84" t="s">
        <v>187</v>
      </c>
      <c r="B57" s="85" t="s">
        <v>186</v>
      </c>
      <c r="C57" s="85" t="s">
        <v>92</v>
      </c>
      <c r="D57" s="84" t="s">
        <v>80</v>
      </c>
      <c r="E57" s="84">
        <f>VLOOKUP(A57,'2a. SI Pop'!$A$5:$E$198,5,FALSE)</f>
        <v>2</v>
      </c>
      <c r="F57" s="3">
        <f>SUMIFS(Input!$Q$5:$Q$44,Input!$O$5:$O$44,'6b. %FP- SIA'!E57,Input!$P$5:$P$44,"SIA")</f>
        <v>0.38</v>
      </c>
      <c r="G57" s="3">
        <f t="shared" si="6"/>
        <v>0.38</v>
      </c>
      <c r="H57" s="3">
        <f t="shared" si="6"/>
        <v>0.38</v>
      </c>
      <c r="I57" s="3">
        <f t="shared" si="6"/>
        <v>0.38</v>
      </c>
      <c r="J57" s="3">
        <f t="shared" si="6"/>
        <v>0.38</v>
      </c>
      <c r="K57" s="3">
        <f t="shared" si="6"/>
        <v>0.38</v>
      </c>
      <c r="L57" s="3">
        <f t="shared" si="6"/>
        <v>0.38</v>
      </c>
      <c r="M57" s="3">
        <f t="shared" si="6"/>
        <v>0.38</v>
      </c>
      <c r="N57" s="3">
        <f t="shared" si="6"/>
        <v>0.38</v>
      </c>
      <c r="O57" s="3">
        <f t="shared" si="6"/>
        <v>0.38</v>
      </c>
      <c r="P57" s="3">
        <f t="shared" si="6"/>
        <v>0.38</v>
      </c>
    </row>
    <row r="58" spans="1:16">
      <c r="A58" s="84" t="s">
        <v>189</v>
      </c>
      <c r="B58" s="85" t="s">
        <v>188</v>
      </c>
      <c r="C58" s="85" t="s">
        <v>74</v>
      </c>
      <c r="D58" s="84" t="s">
        <v>84</v>
      </c>
      <c r="E58" s="84">
        <f>VLOOKUP(A58,'2a. SI Pop'!$A$5:$E$198,5,FALSE)</f>
        <v>2</v>
      </c>
      <c r="F58" s="3">
        <f>SUMIFS(Input!$Q$5:$Q$44,Input!$O$5:$O$44,'6b. %FP- SIA'!E58,Input!$P$5:$P$44,"SIA")</f>
        <v>0.38</v>
      </c>
      <c r="G58" s="3">
        <f t="shared" si="6"/>
        <v>0.38</v>
      </c>
      <c r="H58" s="3">
        <f t="shared" si="6"/>
        <v>0.38</v>
      </c>
      <c r="I58" s="3">
        <f t="shared" si="6"/>
        <v>0.38</v>
      </c>
      <c r="J58" s="3">
        <f t="shared" si="6"/>
        <v>0.38</v>
      </c>
      <c r="K58" s="3">
        <f t="shared" si="6"/>
        <v>0.38</v>
      </c>
      <c r="L58" s="3">
        <f t="shared" si="6"/>
        <v>0.38</v>
      </c>
      <c r="M58" s="3">
        <f t="shared" si="6"/>
        <v>0.38</v>
      </c>
      <c r="N58" s="3">
        <f t="shared" si="6"/>
        <v>0.38</v>
      </c>
      <c r="O58" s="3">
        <f t="shared" si="6"/>
        <v>0.38</v>
      </c>
      <c r="P58" s="3">
        <f t="shared" si="6"/>
        <v>0.38</v>
      </c>
    </row>
    <row r="59" spans="1:16">
      <c r="A59" s="84" t="s">
        <v>191</v>
      </c>
      <c r="B59" s="85" t="s">
        <v>190</v>
      </c>
      <c r="C59" s="85" t="s">
        <v>92</v>
      </c>
      <c r="D59" s="84" t="s">
        <v>84</v>
      </c>
      <c r="E59" s="84">
        <f>VLOOKUP(A59,'2a. SI Pop'!$A$5:$E$198,5,FALSE)</f>
        <v>1</v>
      </c>
      <c r="F59" s="3">
        <f>SUMIFS(Input!$Q$5:$Q$44,Input!$O$5:$O$44,'6b. %FP- SIA'!E59,Input!$P$5:$P$44,"SIA")</f>
        <v>0.52</v>
      </c>
      <c r="G59" s="3">
        <f t="shared" si="6"/>
        <v>0.52</v>
      </c>
      <c r="H59" s="3">
        <f t="shared" si="6"/>
        <v>0.52</v>
      </c>
      <c r="I59" s="3">
        <f t="shared" si="6"/>
        <v>0.52</v>
      </c>
      <c r="J59" s="3">
        <f t="shared" si="6"/>
        <v>0.52</v>
      </c>
      <c r="K59" s="3">
        <f t="shared" si="6"/>
        <v>0.52</v>
      </c>
      <c r="L59" s="3">
        <f t="shared" si="6"/>
        <v>0.52</v>
      </c>
      <c r="M59" s="3">
        <f t="shared" si="6"/>
        <v>0.52</v>
      </c>
      <c r="N59" s="3">
        <f t="shared" si="6"/>
        <v>0.52</v>
      </c>
      <c r="O59" s="3">
        <f t="shared" si="6"/>
        <v>0.52</v>
      </c>
      <c r="P59" s="3">
        <f t="shared" si="6"/>
        <v>0.52</v>
      </c>
    </row>
    <row r="60" spans="1:16">
      <c r="A60" s="84" t="s">
        <v>193</v>
      </c>
      <c r="B60" s="85" t="s">
        <v>192</v>
      </c>
      <c r="C60" s="85" t="s">
        <v>83</v>
      </c>
      <c r="D60" s="84" t="s">
        <v>80</v>
      </c>
      <c r="E60" s="84">
        <f>VLOOKUP(A60,'2a. SI Pop'!$A$5:$E$198,5,FALSE)</f>
        <v>3</v>
      </c>
      <c r="F60" s="3">
        <f>SUMIFS(Input!$Q$5:$Q$44,Input!$O$5:$O$44,'6b. %FP- SIA'!E60,Input!$P$5:$P$44,"SIA")</f>
        <v>0.34</v>
      </c>
      <c r="G60" s="3">
        <f t="shared" si="6"/>
        <v>0.34</v>
      </c>
      <c r="H60" s="3">
        <f t="shared" si="6"/>
        <v>0.34</v>
      </c>
      <c r="I60" s="3">
        <f t="shared" si="6"/>
        <v>0.34</v>
      </c>
      <c r="J60" s="3">
        <f t="shared" si="6"/>
        <v>0.34</v>
      </c>
      <c r="K60" s="3">
        <f t="shared" si="6"/>
        <v>0.34</v>
      </c>
      <c r="L60" s="3">
        <f t="shared" si="6"/>
        <v>0.34</v>
      </c>
      <c r="M60" s="3">
        <f t="shared" si="6"/>
        <v>0.34</v>
      </c>
      <c r="N60" s="3">
        <f t="shared" si="6"/>
        <v>0.34</v>
      </c>
      <c r="O60" s="3">
        <f t="shared" si="6"/>
        <v>0.34</v>
      </c>
      <c r="P60" s="3">
        <f t="shared" si="6"/>
        <v>0.34</v>
      </c>
    </row>
    <row r="61" spans="1:16">
      <c r="A61" s="84" t="s">
        <v>195</v>
      </c>
      <c r="B61" s="85" t="s">
        <v>194</v>
      </c>
      <c r="C61" s="85" t="s">
        <v>83</v>
      </c>
      <c r="D61" s="84" t="s">
        <v>75</v>
      </c>
      <c r="E61" s="84">
        <f>VLOOKUP(A61,'2a. SI Pop'!$A$5:$E$198,5,FALSE)</f>
        <v>3</v>
      </c>
      <c r="F61" s="3">
        <f>SUMIFS(Input!$Q$5:$Q$44,Input!$O$5:$O$44,'6b. %FP- SIA'!E61,Input!$P$5:$P$44,"SIA")</f>
        <v>0.34</v>
      </c>
      <c r="G61" s="3">
        <f t="shared" si="6"/>
        <v>0.34</v>
      </c>
      <c r="H61" s="3">
        <f t="shared" si="6"/>
        <v>0.34</v>
      </c>
      <c r="I61" s="3">
        <f t="shared" si="6"/>
        <v>0.34</v>
      </c>
      <c r="J61" s="3">
        <f t="shared" si="6"/>
        <v>0.34</v>
      </c>
      <c r="K61" s="3">
        <f t="shared" si="6"/>
        <v>0.34</v>
      </c>
      <c r="L61" s="3">
        <f t="shared" si="6"/>
        <v>0.34</v>
      </c>
      <c r="M61" s="3">
        <f t="shared" si="6"/>
        <v>0.34</v>
      </c>
      <c r="N61" s="3">
        <f t="shared" si="6"/>
        <v>0.34</v>
      </c>
      <c r="O61" s="3">
        <f t="shared" si="6"/>
        <v>0.34</v>
      </c>
      <c r="P61" s="3">
        <f t="shared" si="6"/>
        <v>0.34</v>
      </c>
    </row>
    <row r="62" spans="1:16">
      <c r="A62" s="84" t="s">
        <v>197</v>
      </c>
      <c r="B62" s="85" t="s">
        <v>196</v>
      </c>
      <c r="C62" s="85" t="s">
        <v>79</v>
      </c>
      <c r="D62" s="84" t="s">
        <v>87</v>
      </c>
      <c r="E62" s="84">
        <f>VLOOKUP(A62,'2a. SI Pop'!$A$5:$E$198,5,FALSE)</f>
        <v>1</v>
      </c>
      <c r="F62" s="3">
        <f>SUMIFS(Input!$Q$5:$Q$44,Input!$O$5:$O$44,'6b. %FP- SIA'!E62,Input!$P$5:$P$44,"SIA")</f>
        <v>0.52</v>
      </c>
      <c r="G62" s="3">
        <f t="shared" si="6"/>
        <v>0.52</v>
      </c>
      <c r="H62" s="3">
        <f t="shared" si="6"/>
        <v>0.52</v>
      </c>
      <c r="I62" s="3">
        <f t="shared" si="6"/>
        <v>0.52</v>
      </c>
      <c r="J62" s="3">
        <f t="shared" si="6"/>
        <v>0.52</v>
      </c>
      <c r="K62" s="3">
        <f t="shared" si="6"/>
        <v>0.52</v>
      </c>
      <c r="L62" s="3">
        <f t="shared" si="6"/>
        <v>0.52</v>
      </c>
      <c r="M62" s="3">
        <f t="shared" si="6"/>
        <v>0.52</v>
      </c>
      <c r="N62" s="3">
        <f t="shared" si="6"/>
        <v>0.52</v>
      </c>
      <c r="O62" s="3">
        <f t="shared" si="6"/>
        <v>0.52</v>
      </c>
      <c r="P62" s="3">
        <f t="shared" si="6"/>
        <v>0.52</v>
      </c>
    </row>
    <row r="63" spans="1:16">
      <c r="A63" s="84" t="s">
        <v>199</v>
      </c>
      <c r="B63" s="85" t="s">
        <v>198</v>
      </c>
      <c r="C63" s="85" t="s">
        <v>83</v>
      </c>
      <c r="D63" s="84" t="s">
        <v>75</v>
      </c>
      <c r="E63" s="84" t="str">
        <f>VLOOKUP(A63,'2a. SI Pop'!$A$5:$E$198,5,FALSE)</f>
        <v>Key</v>
      </c>
      <c r="F63" s="3">
        <f>SUMIFS(Input!$Q$5:$Q$44,Input!$O$5:$O$44,'6b. %FP- SIA'!A63,Input!$P$5:$P$44,"SIA")</f>
        <v>0.6</v>
      </c>
      <c r="G63" s="3">
        <f t="shared" si="6"/>
        <v>0.6</v>
      </c>
      <c r="H63" s="3">
        <f t="shared" si="6"/>
        <v>0.6</v>
      </c>
      <c r="I63" s="3">
        <f t="shared" si="6"/>
        <v>0.6</v>
      </c>
      <c r="J63" s="3">
        <f t="shared" si="6"/>
        <v>0.6</v>
      </c>
      <c r="K63" s="3">
        <f t="shared" si="6"/>
        <v>0.6</v>
      </c>
      <c r="L63" s="3">
        <f t="shared" si="6"/>
        <v>0.6</v>
      </c>
      <c r="M63" s="3">
        <f t="shared" si="6"/>
        <v>0.6</v>
      </c>
      <c r="N63" s="3">
        <f t="shared" si="6"/>
        <v>0.6</v>
      </c>
      <c r="O63" s="3">
        <f t="shared" si="6"/>
        <v>0.6</v>
      </c>
      <c r="P63" s="3">
        <f t="shared" si="6"/>
        <v>0.6</v>
      </c>
    </row>
    <row r="64" spans="1:16">
      <c r="A64" s="84" t="s">
        <v>201</v>
      </c>
      <c r="B64" s="85" t="s">
        <v>200</v>
      </c>
      <c r="C64" s="85" t="s">
        <v>99</v>
      </c>
      <c r="D64" s="84" t="s">
        <v>80</v>
      </c>
      <c r="E64" s="84">
        <f>VLOOKUP(A64,'2a. SI Pop'!$A$5:$E$198,5,FALSE)</f>
        <v>4</v>
      </c>
      <c r="F64" s="3">
        <f>SUMIFS(Input!$Q$5:$Q$44,Input!$O$5:$O$44,'6b. %FP- SIA'!E64,Input!$P$5:$P$44,"SIA")</f>
        <v>0.41</v>
      </c>
      <c r="G64" s="3">
        <f t="shared" si="6"/>
        <v>0.41</v>
      </c>
      <c r="H64" s="3">
        <f t="shared" si="6"/>
        <v>0.41</v>
      </c>
      <c r="I64" s="3">
        <f t="shared" si="6"/>
        <v>0.41</v>
      </c>
      <c r="J64" s="3">
        <f t="shared" si="6"/>
        <v>0.41</v>
      </c>
      <c r="K64" s="3">
        <f t="shared" si="6"/>
        <v>0.41</v>
      </c>
      <c r="L64" s="3">
        <f t="shared" si="6"/>
        <v>0.41</v>
      </c>
      <c r="M64" s="3">
        <f t="shared" si="6"/>
        <v>0.41</v>
      </c>
      <c r="N64" s="3">
        <f t="shared" si="6"/>
        <v>0.41</v>
      </c>
      <c r="O64" s="3">
        <f t="shared" si="6"/>
        <v>0.41</v>
      </c>
      <c r="P64" s="3">
        <f t="shared" si="6"/>
        <v>0.41</v>
      </c>
    </row>
    <row r="65" spans="1:16">
      <c r="A65" s="84" t="s">
        <v>203</v>
      </c>
      <c r="B65" s="85" t="s">
        <v>202</v>
      </c>
      <c r="C65" s="85" t="s">
        <v>79</v>
      </c>
      <c r="D65" s="84" t="s">
        <v>87</v>
      </c>
      <c r="E65" s="84">
        <f>VLOOKUP(A65,'2a. SI Pop'!$A$5:$E$198,5,FALSE)</f>
        <v>1</v>
      </c>
      <c r="F65" s="3">
        <f>SUMIFS(Input!$Q$5:$Q$44,Input!$O$5:$O$44,'6b. %FP- SIA'!E65,Input!$P$5:$P$44,"SIA")</f>
        <v>0.52</v>
      </c>
      <c r="G65" s="3">
        <f t="shared" si="6"/>
        <v>0.52</v>
      </c>
      <c r="H65" s="3">
        <f t="shared" si="6"/>
        <v>0.52</v>
      </c>
      <c r="I65" s="3">
        <f t="shared" si="6"/>
        <v>0.52</v>
      </c>
      <c r="J65" s="3">
        <f t="shared" si="6"/>
        <v>0.52</v>
      </c>
      <c r="K65" s="3">
        <f t="shared" si="6"/>
        <v>0.52</v>
      </c>
      <c r="L65" s="3">
        <f t="shared" si="6"/>
        <v>0.52</v>
      </c>
      <c r="M65" s="3">
        <f t="shared" si="6"/>
        <v>0.52</v>
      </c>
      <c r="N65" s="3">
        <f t="shared" si="6"/>
        <v>0.52</v>
      </c>
      <c r="O65" s="3">
        <f t="shared" si="6"/>
        <v>0.52</v>
      </c>
      <c r="P65" s="3">
        <f t="shared" si="6"/>
        <v>0.52</v>
      </c>
    </row>
    <row r="66" spans="1:16">
      <c r="A66" s="84" t="s">
        <v>205</v>
      </c>
      <c r="B66" s="85" t="s">
        <v>204</v>
      </c>
      <c r="C66" s="85" t="s">
        <v>79</v>
      </c>
      <c r="D66" s="84" t="s">
        <v>87</v>
      </c>
      <c r="E66" s="84">
        <f>VLOOKUP(A66,'2a. SI Pop'!$A$5:$E$198,5,FALSE)</f>
        <v>1</v>
      </c>
      <c r="F66" s="3">
        <f>SUMIFS(Input!$Q$5:$Q$44,Input!$O$5:$O$44,'6b. %FP- SIA'!E66,Input!$P$5:$P$44,"SIA")</f>
        <v>0.52</v>
      </c>
      <c r="G66" s="3">
        <f t="shared" si="6"/>
        <v>0.52</v>
      </c>
      <c r="H66" s="3">
        <f t="shared" si="6"/>
        <v>0.52</v>
      </c>
      <c r="I66" s="3">
        <f t="shared" si="6"/>
        <v>0.52</v>
      </c>
      <c r="J66" s="3">
        <f t="shared" si="6"/>
        <v>0.52</v>
      </c>
      <c r="K66" s="3">
        <f t="shared" si="6"/>
        <v>0.52</v>
      </c>
      <c r="L66" s="3">
        <f t="shared" si="6"/>
        <v>0.52</v>
      </c>
      <c r="M66" s="3">
        <f t="shared" si="6"/>
        <v>0.52</v>
      </c>
      <c r="N66" s="3">
        <f t="shared" si="6"/>
        <v>0.52</v>
      </c>
      <c r="O66" s="3">
        <f t="shared" si="6"/>
        <v>0.52</v>
      </c>
      <c r="P66" s="3">
        <f t="shared" si="6"/>
        <v>0.52</v>
      </c>
    </row>
    <row r="67" spans="1:16">
      <c r="A67" s="84" t="s">
        <v>207</v>
      </c>
      <c r="B67" s="85" t="s">
        <v>206</v>
      </c>
      <c r="C67" s="85" t="s">
        <v>83</v>
      </c>
      <c r="D67" s="84" t="s">
        <v>80</v>
      </c>
      <c r="E67" s="84">
        <f>VLOOKUP(A67,'2a. SI Pop'!$A$5:$E$198,5,FALSE)</f>
        <v>3</v>
      </c>
      <c r="F67" s="3">
        <f>SUMIFS(Input!$Q$5:$Q$44,Input!$O$5:$O$44,'6b. %FP- SIA'!E67,Input!$P$5:$P$44,"SIA")</f>
        <v>0.34</v>
      </c>
      <c r="G67" s="3">
        <f t="shared" si="6"/>
        <v>0.34</v>
      </c>
      <c r="H67" s="3">
        <f t="shared" si="6"/>
        <v>0.34</v>
      </c>
      <c r="I67" s="3">
        <f t="shared" si="6"/>
        <v>0.34</v>
      </c>
      <c r="J67" s="3">
        <f t="shared" si="6"/>
        <v>0.34</v>
      </c>
      <c r="K67" s="3">
        <f t="shared" si="6"/>
        <v>0.34</v>
      </c>
      <c r="L67" s="3">
        <f t="shared" si="6"/>
        <v>0.34</v>
      </c>
      <c r="M67" s="3">
        <f t="shared" si="6"/>
        <v>0.34</v>
      </c>
      <c r="N67" s="3">
        <f t="shared" si="6"/>
        <v>0.34</v>
      </c>
      <c r="O67" s="3">
        <f t="shared" si="6"/>
        <v>0.34</v>
      </c>
      <c r="P67" s="3">
        <f t="shared" si="6"/>
        <v>0.34</v>
      </c>
    </row>
    <row r="68" spans="1:16">
      <c r="A68" s="84" t="s">
        <v>209</v>
      </c>
      <c r="B68" s="85" t="s">
        <v>208</v>
      </c>
      <c r="C68" s="85" t="s">
        <v>83</v>
      </c>
      <c r="D68" s="84" t="s">
        <v>75</v>
      </c>
      <c r="E68" s="84">
        <f>VLOOKUP(A68,'2a. SI Pop'!$A$5:$E$198,5,FALSE)</f>
        <v>3</v>
      </c>
      <c r="F68" s="3">
        <f>SUMIFS(Input!$Q$5:$Q$44,Input!$O$5:$O$44,'6b. %FP- SIA'!E68,Input!$P$5:$P$44,"SIA")</f>
        <v>0.34</v>
      </c>
      <c r="G68" s="3">
        <f t="shared" si="6"/>
        <v>0.34</v>
      </c>
      <c r="H68" s="3">
        <f t="shared" si="6"/>
        <v>0.34</v>
      </c>
      <c r="I68" s="3">
        <f t="shared" si="6"/>
        <v>0.34</v>
      </c>
      <c r="J68" s="3">
        <f t="shared" si="6"/>
        <v>0.34</v>
      </c>
      <c r="K68" s="3">
        <f t="shared" si="6"/>
        <v>0.34</v>
      </c>
      <c r="L68" s="3">
        <f t="shared" si="6"/>
        <v>0.34</v>
      </c>
      <c r="M68" s="3">
        <f t="shared" si="6"/>
        <v>0.34</v>
      </c>
      <c r="N68" s="3">
        <f t="shared" si="6"/>
        <v>0.34</v>
      </c>
      <c r="O68" s="3">
        <f t="shared" si="6"/>
        <v>0.34</v>
      </c>
      <c r="P68" s="3">
        <f t="shared" si="6"/>
        <v>0.34</v>
      </c>
    </row>
    <row r="69" spans="1:16">
      <c r="A69" s="84" t="s">
        <v>211</v>
      </c>
      <c r="B69" s="85" t="s">
        <v>210</v>
      </c>
      <c r="C69" s="85" t="s">
        <v>79</v>
      </c>
      <c r="D69" s="84" t="s">
        <v>80</v>
      </c>
      <c r="E69" s="84">
        <f>VLOOKUP(A69,'2a. SI Pop'!$A$5:$E$198,5,FALSE)</f>
        <v>1</v>
      </c>
      <c r="F69" s="3">
        <f>SUMIFS(Input!$Q$5:$Q$44,Input!$O$5:$O$44,'6b. %FP- SIA'!E69,Input!$P$5:$P$44,"SIA")</f>
        <v>0.52</v>
      </c>
      <c r="G69" s="3">
        <f t="shared" si="6"/>
        <v>0.52</v>
      </c>
      <c r="H69" s="3">
        <f t="shared" si="6"/>
        <v>0.52</v>
      </c>
      <c r="I69" s="3">
        <f t="shared" si="6"/>
        <v>0.52</v>
      </c>
      <c r="J69" s="3">
        <f t="shared" si="6"/>
        <v>0.52</v>
      </c>
      <c r="K69" s="3">
        <f t="shared" si="6"/>
        <v>0.52</v>
      </c>
      <c r="L69" s="3">
        <f t="shared" si="6"/>
        <v>0.52</v>
      </c>
      <c r="M69" s="3">
        <f t="shared" si="6"/>
        <v>0.52</v>
      </c>
      <c r="N69" s="3">
        <f t="shared" si="6"/>
        <v>0.52</v>
      </c>
      <c r="O69" s="3">
        <f t="shared" si="6"/>
        <v>0.52</v>
      </c>
      <c r="P69" s="3">
        <f t="shared" si="6"/>
        <v>0.52</v>
      </c>
    </row>
    <row r="70" spans="1:16">
      <c r="A70" s="84" t="s">
        <v>213</v>
      </c>
      <c r="B70" s="85" t="s">
        <v>212</v>
      </c>
      <c r="C70" s="85" t="s">
        <v>79</v>
      </c>
      <c r="D70" s="84" t="s">
        <v>87</v>
      </c>
      <c r="E70" s="84">
        <f>VLOOKUP(A70,'2a. SI Pop'!$A$5:$E$198,5,FALSE)</f>
        <v>1</v>
      </c>
      <c r="F70" s="3">
        <f>SUMIFS(Input!$Q$5:$Q$44,Input!$O$5:$O$44,'6b. %FP- SIA'!E70,Input!$P$5:$P$44,"SIA")</f>
        <v>0.52</v>
      </c>
      <c r="G70" s="3">
        <f t="shared" ref="G70:P85" si="7">F70</f>
        <v>0.52</v>
      </c>
      <c r="H70" s="3">
        <f t="shared" si="7"/>
        <v>0.52</v>
      </c>
      <c r="I70" s="3">
        <f t="shared" si="7"/>
        <v>0.52</v>
      </c>
      <c r="J70" s="3">
        <f t="shared" si="7"/>
        <v>0.52</v>
      </c>
      <c r="K70" s="3">
        <f t="shared" si="7"/>
        <v>0.52</v>
      </c>
      <c r="L70" s="3">
        <f t="shared" si="7"/>
        <v>0.52</v>
      </c>
      <c r="M70" s="3">
        <f t="shared" si="7"/>
        <v>0.52</v>
      </c>
      <c r="N70" s="3">
        <f t="shared" si="7"/>
        <v>0.52</v>
      </c>
      <c r="O70" s="3">
        <f t="shared" si="7"/>
        <v>0.52</v>
      </c>
      <c r="P70" s="3">
        <f t="shared" si="7"/>
        <v>0.52</v>
      </c>
    </row>
    <row r="71" spans="1:16">
      <c r="A71" s="84" t="s">
        <v>215</v>
      </c>
      <c r="B71" s="85" t="s">
        <v>214</v>
      </c>
      <c r="C71" s="85" t="s">
        <v>83</v>
      </c>
      <c r="D71" s="84" t="s">
        <v>84</v>
      </c>
      <c r="E71" s="84">
        <f>VLOOKUP(A71,'2a. SI Pop'!$A$5:$E$198,5,FALSE)</f>
        <v>3</v>
      </c>
      <c r="F71" s="3">
        <f>SUMIFS(Input!$Q$5:$Q$44,Input!$O$5:$O$44,'6b. %FP- SIA'!E71,Input!$P$5:$P$44,"SIA")</f>
        <v>0.34</v>
      </c>
      <c r="G71" s="3">
        <f t="shared" si="7"/>
        <v>0.34</v>
      </c>
      <c r="H71" s="3">
        <f t="shared" si="7"/>
        <v>0.34</v>
      </c>
      <c r="I71" s="3">
        <f t="shared" si="7"/>
        <v>0.34</v>
      </c>
      <c r="J71" s="3">
        <f t="shared" si="7"/>
        <v>0.34</v>
      </c>
      <c r="K71" s="3">
        <f t="shared" si="7"/>
        <v>0.34</v>
      </c>
      <c r="L71" s="3">
        <f t="shared" si="7"/>
        <v>0.34</v>
      </c>
      <c r="M71" s="3">
        <f t="shared" si="7"/>
        <v>0.34</v>
      </c>
      <c r="N71" s="3">
        <f t="shared" si="7"/>
        <v>0.34</v>
      </c>
      <c r="O71" s="3">
        <f t="shared" si="7"/>
        <v>0.34</v>
      </c>
      <c r="P71" s="3">
        <f t="shared" si="7"/>
        <v>0.34</v>
      </c>
    </row>
    <row r="72" spans="1:16">
      <c r="A72" s="84" t="s">
        <v>217</v>
      </c>
      <c r="B72" s="85" t="s">
        <v>216</v>
      </c>
      <c r="C72" s="85" t="s">
        <v>79</v>
      </c>
      <c r="D72" s="84" t="s">
        <v>87</v>
      </c>
      <c r="E72" s="84">
        <f>VLOOKUP(A72,'2a. SI Pop'!$A$5:$E$198,5,FALSE)</f>
        <v>1</v>
      </c>
      <c r="F72" s="3">
        <f>SUMIFS(Input!$Q$5:$Q$44,Input!$O$5:$O$44,'6b. %FP- SIA'!E72,Input!$P$5:$P$44,"SIA")</f>
        <v>0.52</v>
      </c>
      <c r="G72" s="3">
        <f t="shared" si="7"/>
        <v>0.52</v>
      </c>
      <c r="H72" s="3">
        <f t="shared" si="7"/>
        <v>0.52</v>
      </c>
      <c r="I72" s="3">
        <f t="shared" si="7"/>
        <v>0.52</v>
      </c>
      <c r="J72" s="3">
        <f t="shared" si="7"/>
        <v>0.52</v>
      </c>
      <c r="K72" s="3">
        <f t="shared" si="7"/>
        <v>0.52</v>
      </c>
      <c r="L72" s="3">
        <f t="shared" si="7"/>
        <v>0.52</v>
      </c>
      <c r="M72" s="3">
        <f t="shared" si="7"/>
        <v>0.52</v>
      </c>
      <c r="N72" s="3">
        <f t="shared" si="7"/>
        <v>0.52</v>
      </c>
      <c r="O72" s="3">
        <f t="shared" si="7"/>
        <v>0.52</v>
      </c>
      <c r="P72" s="3">
        <f t="shared" si="7"/>
        <v>0.52</v>
      </c>
    </row>
    <row r="73" spans="1:16">
      <c r="A73" s="84" t="s">
        <v>219</v>
      </c>
      <c r="B73" s="85" t="s">
        <v>218</v>
      </c>
      <c r="C73" s="85" t="s">
        <v>92</v>
      </c>
      <c r="D73" s="84" t="s">
        <v>80</v>
      </c>
      <c r="E73" s="84">
        <f>VLOOKUP(A73,'2a. SI Pop'!$A$5:$E$198,5,FALSE)</f>
        <v>1</v>
      </c>
      <c r="F73" s="3">
        <f>SUMIFS(Input!$Q$5:$Q$44,Input!$O$5:$O$44,'6b. %FP- SIA'!E73,Input!$P$5:$P$44,"SIA")</f>
        <v>0.52</v>
      </c>
      <c r="G73" s="3">
        <f t="shared" si="7"/>
        <v>0.52</v>
      </c>
      <c r="H73" s="3">
        <f t="shared" si="7"/>
        <v>0.52</v>
      </c>
      <c r="I73" s="3">
        <f t="shared" si="7"/>
        <v>0.52</v>
      </c>
      <c r="J73" s="3">
        <f t="shared" si="7"/>
        <v>0.52</v>
      </c>
      <c r="K73" s="3">
        <f t="shared" si="7"/>
        <v>0.52</v>
      </c>
      <c r="L73" s="3">
        <f t="shared" si="7"/>
        <v>0.52</v>
      </c>
      <c r="M73" s="3">
        <f t="shared" si="7"/>
        <v>0.52</v>
      </c>
      <c r="N73" s="3">
        <f t="shared" si="7"/>
        <v>0.52</v>
      </c>
      <c r="O73" s="3">
        <f t="shared" si="7"/>
        <v>0.52</v>
      </c>
      <c r="P73" s="3">
        <f t="shared" si="7"/>
        <v>0.52</v>
      </c>
    </row>
    <row r="74" spans="1:16">
      <c r="A74" s="84" t="s">
        <v>221</v>
      </c>
      <c r="B74" s="85" t="s">
        <v>220</v>
      </c>
      <c r="C74" s="85" t="s">
        <v>92</v>
      </c>
      <c r="D74" s="84" t="s">
        <v>80</v>
      </c>
      <c r="E74" s="84">
        <f>VLOOKUP(A74,'2a. SI Pop'!$A$5:$E$198,5,FALSE)</f>
        <v>1</v>
      </c>
      <c r="F74" s="3">
        <f>SUMIFS(Input!$Q$5:$Q$44,Input!$O$5:$O$44,'6b. %FP- SIA'!E74,Input!$P$5:$P$44,"SIA")</f>
        <v>0.52</v>
      </c>
      <c r="G74" s="3">
        <f t="shared" si="7"/>
        <v>0.52</v>
      </c>
      <c r="H74" s="3">
        <f t="shared" si="7"/>
        <v>0.52</v>
      </c>
      <c r="I74" s="3">
        <f t="shared" si="7"/>
        <v>0.52</v>
      </c>
      <c r="J74" s="3">
        <f t="shared" si="7"/>
        <v>0.52</v>
      </c>
      <c r="K74" s="3">
        <f t="shared" si="7"/>
        <v>0.52</v>
      </c>
      <c r="L74" s="3">
        <f t="shared" si="7"/>
        <v>0.52</v>
      </c>
      <c r="M74" s="3">
        <f t="shared" si="7"/>
        <v>0.52</v>
      </c>
      <c r="N74" s="3">
        <f t="shared" si="7"/>
        <v>0.52</v>
      </c>
      <c r="O74" s="3">
        <f t="shared" si="7"/>
        <v>0.52</v>
      </c>
      <c r="P74" s="3">
        <f t="shared" si="7"/>
        <v>0.52</v>
      </c>
    </row>
    <row r="75" spans="1:16">
      <c r="A75" s="84" t="s">
        <v>223</v>
      </c>
      <c r="B75" s="85" t="s">
        <v>222</v>
      </c>
      <c r="C75" s="85" t="s">
        <v>83</v>
      </c>
      <c r="D75" s="84" t="s">
        <v>75</v>
      </c>
      <c r="E75" s="84">
        <f>VLOOKUP(A75,'2a. SI Pop'!$A$5:$E$198,5,FALSE)</f>
        <v>3</v>
      </c>
      <c r="F75" s="3">
        <f>SUMIFS(Input!$Q$5:$Q$44,Input!$O$5:$O$44,'6b. %FP- SIA'!E75,Input!$P$5:$P$44,"SIA")</f>
        <v>0.34</v>
      </c>
      <c r="G75" s="3">
        <f t="shared" si="7"/>
        <v>0.34</v>
      </c>
      <c r="H75" s="3">
        <f t="shared" si="7"/>
        <v>0.34</v>
      </c>
      <c r="I75" s="3">
        <f t="shared" si="7"/>
        <v>0.34</v>
      </c>
      <c r="J75" s="3">
        <f t="shared" si="7"/>
        <v>0.34</v>
      </c>
      <c r="K75" s="3">
        <f t="shared" si="7"/>
        <v>0.34</v>
      </c>
      <c r="L75" s="3">
        <f t="shared" si="7"/>
        <v>0.34</v>
      </c>
      <c r="M75" s="3">
        <f t="shared" si="7"/>
        <v>0.34</v>
      </c>
      <c r="N75" s="3">
        <f t="shared" si="7"/>
        <v>0.34</v>
      </c>
      <c r="O75" s="3">
        <f t="shared" si="7"/>
        <v>0.34</v>
      </c>
      <c r="P75" s="3">
        <f t="shared" si="7"/>
        <v>0.34</v>
      </c>
    </row>
    <row r="76" spans="1:16">
      <c r="A76" s="84" t="s">
        <v>225</v>
      </c>
      <c r="B76" s="85" t="s">
        <v>224</v>
      </c>
      <c r="C76" s="85" t="s">
        <v>83</v>
      </c>
      <c r="D76" s="84" t="s">
        <v>75</v>
      </c>
      <c r="E76" s="84">
        <f>VLOOKUP(A76,'2a. SI Pop'!$A$5:$E$198,5,FALSE)</f>
        <v>3</v>
      </c>
      <c r="F76" s="3">
        <f>SUMIFS(Input!$Q$5:$Q$44,Input!$O$5:$O$44,'6b. %FP- SIA'!E76,Input!$P$5:$P$44,"SIA")</f>
        <v>0.34</v>
      </c>
      <c r="G76" s="3">
        <f t="shared" si="7"/>
        <v>0.34</v>
      </c>
      <c r="H76" s="3">
        <f t="shared" si="7"/>
        <v>0.34</v>
      </c>
      <c r="I76" s="3">
        <f t="shared" si="7"/>
        <v>0.34</v>
      </c>
      <c r="J76" s="3">
        <f t="shared" si="7"/>
        <v>0.34</v>
      </c>
      <c r="K76" s="3">
        <f t="shared" si="7"/>
        <v>0.34</v>
      </c>
      <c r="L76" s="3">
        <f t="shared" si="7"/>
        <v>0.34</v>
      </c>
      <c r="M76" s="3">
        <f t="shared" si="7"/>
        <v>0.34</v>
      </c>
      <c r="N76" s="3">
        <f t="shared" si="7"/>
        <v>0.34</v>
      </c>
      <c r="O76" s="3">
        <f t="shared" si="7"/>
        <v>0.34</v>
      </c>
      <c r="P76" s="3">
        <f t="shared" si="7"/>
        <v>0.34</v>
      </c>
    </row>
    <row r="77" spans="1:16">
      <c r="A77" s="84" t="s">
        <v>227</v>
      </c>
      <c r="B77" s="85" t="s">
        <v>226</v>
      </c>
      <c r="C77" s="85" t="s">
        <v>92</v>
      </c>
      <c r="D77" s="84" t="s">
        <v>80</v>
      </c>
      <c r="E77" s="84">
        <f>VLOOKUP(A77,'2a. SI Pop'!$A$5:$E$198,5,FALSE)</f>
        <v>2</v>
      </c>
      <c r="F77" s="3">
        <f>SUMIFS(Input!$Q$5:$Q$44,Input!$O$5:$O$44,'6b. %FP- SIA'!E77,Input!$P$5:$P$44,"SIA")</f>
        <v>0.38</v>
      </c>
      <c r="G77" s="3">
        <f t="shared" si="7"/>
        <v>0.38</v>
      </c>
      <c r="H77" s="3">
        <f t="shared" si="7"/>
        <v>0.38</v>
      </c>
      <c r="I77" s="3">
        <f t="shared" si="7"/>
        <v>0.38</v>
      </c>
      <c r="J77" s="3">
        <f t="shared" si="7"/>
        <v>0.38</v>
      </c>
      <c r="K77" s="3">
        <f t="shared" si="7"/>
        <v>0.38</v>
      </c>
      <c r="L77" s="3">
        <f t="shared" si="7"/>
        <v>0.38</v>
      </c>
      <c r="M77" s="3">
        <f t="shared" si="7"/>
        <v>0.38</v>
      </c>
      <c r="N77" s="3">
        <f t="shared" si="7"/>
        <v>0.38</v>
      </c>
      <c r="O77" s="3">
        <f t="shared" si="7"/>
        <v>0.38</v>
      </c>
      <c r="P77" s="3">
        <f t="shared" si="7"/>
        <v>0.38</v>
      </c>
    </row>
    <row r="78" spans="1:16">
      <c r="A78" s="84" t="s">
        <v>229</v>
      </c>
      <c r="B78" s="85" t="s">
        <v>228</v>
      </c>
      <c r="C78" s="85" t="s">
        <v>92</v>
      </c>
      <c r="D78" s="84" t="s">
        <v>75</v>
      </c>
      <c r="E78" s="84">
        <f>VLOOKUP(A78,'2a. SI Pop'!$A$5:$E$198,5,FALSE)</f>
        <v>2</v>
      </c>
      <c r="F78" s="3">
        <f>SUMIFS(Input!$Q$5:$Q$44,Input!$O$5:$O$44,'6b. %FP- SIA'!E78,Input!$P$5:$P$44,"SIA")</f>
        <v>0.38</v>
      </c>
      <c r="G78" s="3">
        <f t="shared" si="7"/>
        <v>0.38</v>
      </c>
      <c r="H78" s="3">
        <f t="shared" si="7"/>
        <v>0.38</v>
      </c>
      <c r="I78" s="3">
        <f t="shared" si="7"/>
        <v>0.38</v>
      </c>
      <c r="J78" s="3">
        <f t="shared" si="7"/>
        <v>0.38</v>
      </c>
      <c r="K78" s="3">
        <f t="shared" si="7"/>
        <v>0.38</v>
      </c>
      <c r="L78" s="3">
        <f t="shared" si="7"/>
        <v>0.38</v>
      </c>
      <c r="M78" s="3">
        <f t="shared" si="7"/>
        <v>0.38</v>
      </c>
      <c r="N78" s="3">
        <f t="shared" si="7"/>
        <v>0.38</v>
      </c>
      <c r="O78" s="3">
        <f t="shared" si="7"/>
        <v>0.38</v>
      </c>
      <c r="P78" s="3">
        <f t="shared" si="7"/>
        <v>0.38</v>
      </c>
    </row>
    <row r="79" spans="1:16">
      <c r="A79" s="84" t="s">
        <v>231</v>
      </c>
      <c r="B79" s="85" t="s">
        <v>230</v>
      </c>
      <c r="C79" s="85" t="s">
        <v>92</v>
      </c>
      <c r="D79" s="84" t="s">
        <v>84</v>
      </c>
      <c r="E79" s="84">
        <f>VLOOKUP(A79,'2a. SI Pop'!$A$5:$E$198,5,FALSE)</f>
        <v>1</v>
      </c>
      <c r="F79" s="3">
        <f>SUMIFS(Input!$Q$5:$Q$44,Input!$O$5:$O$44,'6b. %FP- SIA'!E79,Input!$P$5:$P$44,"SIA")</f>
        <v>0.52</v>
      </c>
      <c r="G79" s="3">
        <f t="shared" si="7"/>
        <v>0.52</v>
      </c>
      <c r="H79" s="3">
        <f t="shared" si="7"/>
        <v>0.52</v>
      </c>
      <c r="I79" s="3">
        <f t="shared" si="7"/>
        <v>0.52</v>
      </c>
      <c r="J79" s="3">
        <f t="shared" si="7"/>
        <v>0.52</v>
      </c>
      <c r="K79" s="3">
        <f t="shared" si="7"/>
        <v>0.52</v>
      </c>
      <c r="L79" s="3">
        <f t="shared" si="7"/>
        <v>0.52</v>
      </c>
      <c r="M79" s="3">
        <f t="shared" si="7"/>
        <v>0.52</v>
      </c>
      <c r="N79" s="3">
        <f t="shared" si="7"/>
        <v>0.52</v>
      </c>
      <c r="O79" s="3">
        <f t="shared" si="7"/>
        <v>0.52</v>
      </c>
      <c r="P79" s="3">
        <f t="shared" si="7"/>
        <v>0.52</v>
      </c>
    </row>
    <row r="80" spans="1:16">
      <c r="A80" s="84" t="s">
        <v>233</v>
      </c>
      <c r="B80" s="85" t="s">
        <v>232</v>
      </c>
      <c r="C80" s="85" t="s">
        <v>79</v>
      </c>
      <c r="D80" s="84" t="s">
        <v>87</v>
      </c>
      <c r="E80" s="84">
        <f>VLOOKUP(A80,'2a. SI Pop'!$A$5:$E$198,5,FALSE)</f>
        <v>1</v>
      </c>
      <c r="F80" s="3">
        <f>SUMIFS(Input!$Q$5:$Q$44,Input!$O$5:$O$44,'6b. %FP- SIA'!E80,Input!$P$5:$P$44,"SIA")</f>
        <v>0.52</v>
      </c>
      <c r="G80" s="3">
        <f t="shared" si="7"/>
        <v>0.52</v>
      </c>
      <c r="H80" s="3">
        <f t="shared" si="7"/>
        <v>0.52</v>
      </c>
      <c r="I80" s="3">
        <f t="shared" si="7"/>
        <v>0.52</v>
      </c>
      <c r="J80" s="3">
        <f t="shared" si="7"/>
        <v>0.52</v>
      </c>
      <c r="K80" s="3">
        <f t="shared" si="7"/>
        <v>0.52</v>
      </c>
      <c r="L80" s="3">
        <f t="shared" si="7"/>
        <v>0.52</v>
      </c>
      <c r="M80" s="3">
        <f t="shared" si="7"/>
        <v>0.52</v>
      </c>
      <c r="N80" s="3">
        <f t="shared" si="7"/>
        <v>0.52</v>
      </c>
      <c r="O80" s="3">
        <f t="shared" si="7"/>
        <v>0.52</v>
      </c>
      <c r="P80" s="3">
        <f t="shared" si="7"/>
        <v>0.52</v>
      </c>
    </row>
    <row r="81" spans="1:16">
      <c r="A81" s="84" t="s">
        <v>235</v>
      </c>
      <c r="B81" s="85" t="s">
        <v>234</v>
      </c>
      <c r="C81" s="85" t="s">
        <v>79</v>
      </c>
      <c r="D81" s="84" t="s">
        <v>87</v>
      </c>
      <c r="E81" s="84">
        <f>VLOOKUP(A81,'2a. SI Pop'!$A$5:$E$198,5,FALSE)</f>
        <v>1</v>
      </c>
      <c r="F81" s="3">
        <f>SUMIFS(Input!$Q$5:$Q$44,Input!$O$5:$O$44,'6b. %FP- SIA'!E81,Input!$P$5:$P$44,"SIA")</f>
        <v>0.52</v>
      </c>
      <c r="G81" s="3">
        <f t="shared" si="7"/>
        <v>0.52</v>
      </c>
      <c r="H81" s="3">
        <f t="shared" si="7"/>
        <v>0.52</v>
      </c>
      <c r="I81" s="3">
        <f t="shared" si="7"/>
        <v>0.52</v>
      </c>
      <c r="J81" s="3">
        <f t="shared" si="7"/>
        <v>0.52</v>
      </c>
      <c r="K81" s="3">
        <f t="shared" si="7"/>
        <v>0.52</v>
      </c>
      <c r="L81" s="3">
        <f t="shared" si="7"/>
        <v>0.52</v>
      </c>
      <c r="M81" s="3">
        <f t="shared" si="7"/>
        <v>0.52</v>
      </c>
      <c r="N81" s="3">
        <f t="shared" si="7"/>
        <v>0.52</v>
      </c>
      <c r="O81" s="3">
        <f t="shared" si="7"/>
        <v>0.52</v>
      </c>
      <c r="P81" s="3">
        <f t="shared" si="7"/>
        <v>0.52</v>
      </c>
    </row>
    <row r="82" spans="1:16">
      <c r="A82" s="84" t="s">
        <v>237</v>
      </c>
      <c r="B82" s="85" t="s">
        <v>236</v>
      </c>
      <c r="C82" s="85" t="s">
        <v>110</v>
      </c>
      <c r="D82" s="84" t="s">
        <v>84</v>
      </c>
      <c r="E82" s="84" t="str">
        <f>VLOOKUP(A82,'2a. SI Pop'!$A$5:$E$198,5,FALSE)</f>
        <v>Key</v>
      </c>
      <c r="F82" s="3">
        <f>SUMIFS(Input!$Q$5:$Q$44,Input!$O$5:$O$44,'6b. %FP- SIA'!A82,Input!$P$5:$P$44,"SIA")</f>
        <v>0.41</v>
      </c>
      <c r="G82" s="3">
        <f t="shared" si="7"/>
        <v>0.41</v>
      </c>
      <c r="H82" s="3">
        <f t="shared" si="7"/>
        <v>0.41</v>
      </c>
      <c r="I82" s="3">
        <f t="shared" si="7"/>
        <v>0.41</v>
      </c>
      <c r="J82" s="3">
        <f t="shared" si="7"/>
        <v>0.41</v>
      </c>
      <c r="K82" s="3">
        <f t="shared" si="7"/>
        <v>0.41</v>
      </c>
      <c r="L82" s="3">
        <f t="shared" si="7"/>
        <v>0.41</v>
      </c>
      <c r="M82" s="3">
        <f t="shared" si="7"/>
        <v>0.41</v>
      </c>
      <c r="N82" s="3">
        <f t="shared" si="7"/>
        <v>0.41</v>
      </c>
      <c r="O82" s="3">
        <f t="shared" si="7"/>
        <v>0.41</v>
      </c>
      <c r="P82" s="3">
        <f t="shared" si="7"/>
        <v>0.41</v>
      </c>
    </row>
    <row r="83" spans="1:16">
      <c r="A83" s="84" t="s">
        <v>239</v>
      </c>
      <c r="B83" s="85" t="s">
        <v>238</v>
      </c>
      <c r="C83" s="85" t="s">
        <v>110</v>
      </c>
      <c r="D83" s="84" t="s">
        <v>80</v>
      </c>
      <c r="E83" s="84" t="str">
        <f>VLOOKUP(A83,'2a. SI Pop'!$A$5:$E$198,5,FALSE)</f>
        <v>Key</v>
      </c>
      <c r="F83" s="3">
        <f>SUMIFS(Input!$Q$5:$Q$44,Input!$O$5:$O$44,'6b. %FP- SIA'!A83,Input!$P$5:$P$44,"SIA")</f>
        <v>0.2</v>
      </c>
      <c r="G83" s="3">
        <f t="shared" si="7"/>
        <v>0.2</v>
      </c>
      <c r="H83" s="3">
        <f t="shared" si="7"/>
        <v>0.2</v>
      </c>
      <c r="I83" s="3">
        <f t="shared" si="7"/>
        <v>0.2</v>
      </c>
      <c r="J83" s="3">
        <f t="shared" si="7"/>
        <v>0.2</v>
      </c>
      <c r="K83" s="3">
        <f t="shared" si="7"/>
        <v>0.2</v>
      </c>
      <c r="L83" s="3">
        <f t="shared" si="7"/>
        <v>0.2</v>
      </c>
      <c r="M83" s="3">
        <f t="shared" si="7"/>
        <v>0.2</v>
      </c>
      <c r="N83" s="3">
        <f t="shared" si="7"/>
        <v>0.2</v>
      </c>
      <c r="O83" s="3">
        <f t="shared" si="7"/>
        <v>0.2</v>
      </c>
      <c r="P83" s="3">
        <f t="shared" si="7"/>
        <v>0.2</v>
      </c>
    </row>
    <row r="84" spans="1:16">
      <c r="A84" s="84" t="s">
        <v>241</v>
      </c>
      <c r="B84" s="85" t="s">
        <v>240</v>
      </c>
      <c r="C84" s="85" t="s">
        <v>74</v>
      </c>
      <c r="D84" s="84" t="s">
        <v>80</v>
      </c>
      <c r="E84" s="84">
        <f>VLOOKUP(A84,'2a. SI Pop'!$A$5:$E$198,5,FALSE)</f>
        <v>2</v>
      </c>
      <c r="F84" s="3">
        <f>SUMIFS(Input!$Q$5:$Q$44,Input!$O$5:$O$44,'6b. %FP- SIA'!E84,Input!$P$5:$P$44,"SIA")</f>
        <v>0.38</v>
      </c>
      <c r="G84" s="3">
        <f t="shared" si="7"/>
        <v>0.38</v>
      </c>
      <c r="H84" s="3">
        <f t="shared" si="7"/>
        <v>0.38</v>
      </c>
      <c r="I84" s="3">
        <f t="shared" si="7"/>
        <v>0.38</v>
      </c>
      <c r="J84" s="3">
        <f t="shared" si="7"/>
        <v>0.38</v>
      </c>
      <c r="K84" s="3">
        <f t="shared" si="7"/>
        <v>0.38</v>
      </c>
      <c r="L84" s="3">
        <f t="shared" si="7"/>
        <v>0.38</v>
      </c>
      <c r="M84" s="3">
        <f t="shared" si="7"/>
        <v>0.38</v>
      </c>
      <c r="N84" s="3">
        <f t="shared" si="7"/>
        <v>0.38</v>
      </c>
      <c r="O84" s="3">
        <f t="shared" si="7"/>
        <v>0.38</v>
      </c>
      <c r="P84" s="3">
        <f t="shared" si="7"/>
        <v>0.38</v>
      </c>
    </row>
    <row r="85" spans="1:16">
      <c r="A85" s="84" t="s">
        <v>243</v>
      </c>
      <c r="B85" s="85" t="s">
        <v>242</v>
      </c>
      <c r="C85" s="85" t="s">
        <v>74</v>
      </c>
      <c r="D85" s="84" t="s">
        <v>80</v>
      </c>
      <c r="E85" s="84">
        <f>VLOOKUP(A85,'2a. SI Pop'!$A$5:$E$198,5,FALSE)</f>
        <v>2</v>
      </c>
      <c r="F85" s="3">
        <f>SUMIFS(Input!$Q$5:$Q$44,Input!$O$5:$O$44,'6b. %FP- SIA'!E85,Input!$P$5:$P$44,"SIA")</f>
        <v>0.38</v>
      </c>
      <c r="G85" s="3">
        <f t="shared" si="7"/>
        <v>0.38</v>
      </c>
      <c r="H85" s="3">
        <f t="shared" si="7"/>
        <v>0.38</v>
      </c>
      <c r="I85" s="3">
        <f t="shared" si="7"/>
        <v>0.38</v>
      </c>
      <c r="J85" s="3">
        <f t="shared" si="7"/>
        <v>0.38</v>
      </c>
      <c r="K85" s="3">
        <f t="shared" si="7"/>
        <v>0.38</v>
      </c>
      <c r="L85" s="3">
        <f t="shared" si="7"/>
        <v>0.38</v>
      </c>
      <c r="M85" s="3">
        <f t="shared" si="7"/>
        <v>0.38</v>
      </c>
      <c r="N85" s="3">
        <f t="shared" si="7"/>
        <v>0.38</v>
      </c>
      <c r="O85" s="3">
        <f t="shared" si="7"/>
        <v>0.38</v>
      </c>
      <c r="P85" s="3">
        <f t="shared" si="7"/>
        <v>0.38</v>
      </c>
    </row>
    <row r="86" spans="1:16">
      <c r="A86" s="84" t="s">
        <v>245</v>
      </c>
      <c r="B86" s="85" t="s">
        <v>244</v>
      </c>
      <c r="C86" s="85" t="s">
        <v>79</v>
      </c>
      <c r="D86" s="84" t="s">
        <v>87</v>
      </c>
      <c r="E86" s="84">
        <f>VLOOKUP(A86,'2a. SI Pop'!$A$5:$E$198,5,FALSE)</f>
        <v>1</v>
      </c>
      <c r="F86" s="3">
        <f>SUMIFS(Input!$Q$5:$Q$44,Input!$O$5:$O$44,'6b. %FP- SIA'!E86,Input!$P$5:$P$44,"SIA")</f>
        <v>0.52</v>
      </c>
      <c r="G86" s="3">
        <f t="shared" ref="G86:P101" si="8">F86</f>
        <v>0.52</v>
      </c>
      <c r="H86" s="3">
        <f t="shared" si="8"/>
        <v>0.52</v>
      </c>
      <c r="I86" s="3">
        <f t="shared" si="8"/>
        <v>0.52</v>
      </c>
      <c r="J86" s="3">
        <f t="shared" si="8"/>
        <v>0.52</v>
      </c>
      <c r="K86" s="3">
        <f t="shared" si="8"/>
        <v>0.52</v>
      </c>
      <c r="L86" s="3">
        <f t="shared" si="8"/>
        <v>0.52</v>
      </c>
      <c r="M86" s="3">
        <f t="shared" si="8"/>
        <v>0.52</v>
      </c>
      <c r="N86" s="3">
        <f t="shared" si="8"/>
        <v>0.52</v>
      </c>
      <c r="O86" s="3">
        <f t="shared" si="8"/>
        <v>0.52</v>
      </c>
      <c r="P86" s="3">
        <f t="shared" si="8"/>
        <v>0.52</v>
      </c>
    </row>
    <row r="87" spans="1:16">
      <c r="A87" s="84" t="s">
        <v>247</v>
      </c>
      <c r="B87" s="85" t="s">
        <v>246</v>
      </c>
      <c r="C87" s="85" t="s">
        <v>79</v>
      </c>
      <c r="D87" s="84" t="s">
        <v>87</v>
      </c>
      <c r="E87" s="84">
        <f>VLOOKUP(A87,'2a. SI Pop'!$A$5:$E$198,5,FALSE)</f>
        <v>1</v>
      </c>
      <c r="F87" s="3">
        <f>SUMIFS(Input!$Q$5:$Q$44,Input!$O$5:$O$44,'6b. %FP- SIA'!E87,Input!$P$5:$P$44,"SIA")</f>
        <v>0.52</v>
      </c>
      <c r="G87" s="3">
        <f t="shared" si="8"/>
        <v>0.52</v>
      </c>
      <c r="H87" s="3">
        <f t="shared" si="8"/>
        <v>0.52</v>
      </c>
      <c r="I87" s="3">
        <f t="shared" si="8"/>
        <v>0.52</v>
      </c>
      <c r="J87" s="3">
        <f t="shared" si="8"/>
        <v>0.52</v>
      </c>
      <c r="K87" s="3">
        <f t="shared" si="8"/>
        <v>0.52</v>
      </c>
      <c r="L87" s="3">
        <f t="shared" si="8"/>
        <v>0.52</v>
      </c>
      <c r="M87" s="3">
        <f t="shared" si="8"/>
        <v>0.52</v>
      </c>
      <c r="N87" s="3">
        <f t="shared" si="8"/>
        <v>0.52</v>
      </c>
      <c r="O87" s="3">
        <f t="shared" si="8"/>
        <v>0.52</v>
      </c>
      <c r="P87" s="3">
        <f t="shared" si="8"/>
        <v>0.52</v>
      </c>
    </row>
    <row r="88" spans="1:16">
      <c r="A88" s="84" t="s">
        <v>249</v>
      </c>
      <c r="B88" s="85" t="s">
        <v>248</v>
      </c>
      <c r="C88" s="85" t="s">
        <v>79</v>
      </c>
      <c r="D88" s="84" t="s">
        <v>87</v>
      </c>
      <c r="E88" s="84">
        <f>VLOOKUP(A88,'2a. SI Pop'!$A$5:$E$198,5,FALSE)</f>
        <v>1</v>
      </c>
      <c r="F88" s="3">
        <f>SUMIFS(Input!$Q$5:$Q$44,Input!$O$5:$O$44,'6b. %FP- SIA'!E88,Input!$P$5:$P$44,"SIA")</f>
        <v>0.52</v>
      </c>
      <c r="G88" s="3">
        <f t="shared" si="8"/>
        <v>0.52</v>
      </c>
      <c r="H88" s="3">
        <f t="shared" si="8"/>
        <v>0.52</v>
      </c>
      <c r="I88" s="3">
        <f t="shared" si="8"/>
        <v>0.52</v>
      </c>
      <c r="J88" s="3">
        <f t="shared" si="8"/>
        <v>0.52</v>
      </c>
      <c r="K88" s="3">
        <f t="shared" si="8"/>
        <v>0.52</v>
      </c>
      <c r="L88" s="3">
        <f t="shared" si="8"/>
        <v>0.52</v>
      </c>
      <c r="M88" s="3">
        <f t="shared" si="8"/>
        <v>0.52</v>
      </c>
      <c r="N88" s="3">
        <f t="shared" si="8"/>
        <v>0.52</v>
      </c>
      <c r="O88" s="3">
        <f t="shared" si="8"/>
        <v>0.52</v>
      </c>
      <c r="P88" s="3">
        <f t="shared" si="8"/>
        <v>0.52</v>
      </c>
    </row>
    <row r="89" spans="1:16">
      <c r="A89" s="84" t="s">
        <v>251</v>
      </c>
      <c r="B89" s="85" t="s">
        <v>250</v>
      </c>
      <c r="C89" s="85" t="s">
        <v>92</v>
      </c>
      <c r="D89" s="84" t="s">
        <v>80</v>
      </c>
      <c r="E89" s="84">
        <f>VLOOKUP(A89,'2a. SI Pop'!$A$5:$E$198,5,FALSE)</f>
        <v>1</v>
      </c>
      <c r="F89" s="3">
        <f>SUMIFS(Input!$Q$5:$Q$44,Input!$O$5:$O$44,'6b. %FP- SIA'!E89,Input!$P$5:$P$44,"SIA")</f>
        <v>0.52</v>
      </c>
      <c r="G89" s="3">
        <f t="shared" si="8"/>
        <v>0.52</v>
      </c>
      <c r="H89" s="3">
        <f t="shared" si="8"/>
        <v>0.52</v>
      </c>
      <c r="I89" s="3">
        <f t="shared" si="8"/>
        <v>0.52</v>
      </c>
      <c r="J89" s="3">
        <f t="shared" si="8"/>
        <v>0.52</v>
      </c>
      <c r="K89" s="3">
        <f t="shared" si="8"/>
        <v>0.52</v>
      </c>
      <c r="L89" s="3">
        <f t="shared" si="8"/>
        <v>0.52</v>
      </c>
      <c r="M89" s="3">
        <f t="shared" si="8"/>
        <v>0.52</v>
      </c>
      <c r="N89" s="3">
        <f t="shared" si="8"/>
        <v>0.52</v>
      </c>
      <c r="O89" s="3">
        <f t="shared" si="8"/>
        <v>0.52</v>
      </c>
      <c r="P89" s="3">
        <f t="shared" si="8"/>
        <v>0.52</v>
      </c>
    </row>
    <row r="90" spans="1:16">
      <c r="A90" s="84" t="s">
        <v>253</v>
      </c>
      <c r="B90" s="85" t="s">
        <v>252</v>
      </c>
      <c r="C90" s="85" t="s">
        <v>99</v>
      </c>
      <c r="D90" s="84" t="s">
        <v>87</v>
      </c>
      <c r="E90" s="84">
        <f>VLOOKUP(A90,'2a. SI Pop'!$A$5:$E$198,5,FALSE)</f>
        <v>4</v>
      </c>
      <c r="F90" s="3">
        <f>SUMIFS(Input!$Q$5:$Q$44,Input!$O$5:$O$44,'6b. %FP- SIA'!E90,Input!$P$5:$P$44,"SIA")</f>
        <v>0.41</v>
      </c>
      <c r="G90" s="3">
        <f t="shared" si="8"/>
        <v>0.41</v>
      </c>
      <c r="H90" s="3">
        <f t="shared" si="8"/>
        <v>0.41</v>
      </c>
      <c r="I90" s="3">
        <f t="shared" si="8"/>
        <v>0.41</v>
      </c>
      <c r="J90" s="3">
        <f t="shared" si="8"/>
        <v>0.41</v>
      </c>
      <c r="K90" s="3">
        <f t="shared" si="8"/>
        <v>0.41</v>
      </c>
      <c r="L90" s="3">
        <f t="shared" si="8"/>
        <v>0.41</v>
      </c>
      <c r="M90" s="3">
        <f t="shared" si="8"/>
        <v>0.41</v>
      </c>
      <c r="N90" s="3">
        <f t="shared" si="8"/>
        <v>0.41</v>
      </c>
      <c r="O90" s="3">
        <f t="shared" si="8"/>
        <v>0.41</v>
      </c>
      <c r="P90" s="3">
        <f t="shared" si="8"/>
        <v>0.41</v>
      </c>
    </row>
    <row r="91" spans="1:16">
      <c r="A91" s="84" t="s">
        <v>255</v>
      </c>
      <c r="B91" s="85" t="s">
        <v>254</v>
      </c>
      <c r="C91" s="85" t="s">
        <v>74</v>
      </c>
      <c r="D91" s="84" t="s">
        <v>80</v>
      </c>
      <c r="E91" s="84">
        <f>VLOOKUP(A91,'2a. SI Pop'!$A$5:$E$198,5,FALSE)</f>
        <v>2</v>
      </c>
      <c r="F91" s="3">
        <f>SUMIFS(Input!$Q$5:$Q$44,Input!$O$5:$O$44,'6b. %FP- SIA'!E91,Input!$P$5:$P$44,"SIA")</f>
        <v>0.38</v>
      </c>
      <c r="G91" s="3">
        <f t="shared" si="8"/>
        <v>0.38</v>
      </c>
      <c r="H91" s="3">
        <f t="shared" si="8"/>
        <v>0.38</v>
      </c>
      <c r="I91" s="3">
        <f t="shared" si="8"/>
        <v>0.38</v>
      </c>
      <c r="J91" s="3">
        <f t="shared" si="8"/>
        <v>0.38</v>
      </c>
      <c r="K91" s="3">
        <f t="shared" si="8"/>
        <v>0.38</v>
      </c>
      <c r="L91" s="3">
        <f t="shared" si="8"/>
        <v>0.38</v>
      </c>
      <c r="M91" s="3">
        <f t="shared" si="8"/>
        <v>0.38</v>
      </c>
      <c r="N91" s="3">
        <f t="shared" si="8"/>
        <v>0.38</v>
      </c>
      <c r="O91" s="3">
        <f t="shared" si="8"/>
        <v>0.38</v>
      </c>
      <c r="P91" s="3">
        <f t="shared" si="8"/>
        <v>0.38</v>
      </c>
    </row>
    <row r="92" spans="1:16">
      <c r="A92" s="84" t="s">
        <v>257</v>
      </c>
      <c r="B92" s="85" t="s">
        <v>256</v>
      </c>
      <c r="C92" s="85" t="s">
        <v>79</v>
      </c>
      <c r="D92" s="84" t="s">
        <v>80</v>
      </c>
      <c r="E92" s="84">
        <f>VLOOKUP(A92,'2a. SI Pop'!$A$5:$E$198,5,FALSE)</f>
        <v>2</v>
      </c>
      <c r="F92" s="3">
        <f>SUMIFS(Input!$Q$5:$Q$44,Input!$O$5:$O$44,'6b. %FP- SIA'!E92,Input!$P$5:$P$44,"SIA")</f>
        <v>0.38</v>
      </c>
      <c r="G92" s="3">
        <f t="shared" si="8"/>
        <v>0.38</v>
      </c>
      <c r="H92" s="3">
        <f t="shared" si="8"/>
        <v>0.38</v>
      </c>
      <c r="I92" s="3">
        <f t="shared" si="8"/>
        <v>0.38</v>
      </c>
      <c r="J92" s="3">
        <f t="shared" si="8"/>
        <v>0.38</v>
      </c>
      <c r="K92" s="3">
        <f t="shared" si="8"/>
        <v>0.38</v>
      </c>
      <c r="L92" s="3">
        <f t="shared" si="8"/>
        <v>0.38</v>
      </c>
      <c r="M92" s="3">
        <f t="shared" si="8"/>
        <v>0.38</v>
      </c>
      <c r="N92" s="3">
        <f t="shared" si="8"/>
        <v>0.38</v>
      </c>
      <c r="O92" s="3">
        <f t="shared" si="8"/>
        <v>0.38</v>
      </c>
      <c r="P92" s="3">
        <f t="shared" si="8"/>
        <v>0.38</v>
      </c>
    </row>
    <row r="93" spans="1:16">
      <c r="A93" s="84" t="s">
        <v>259</v>
      </c>
      <c r="B93" s="85" t="s">
        <v>258</v>
      </c>
      <c r="C93" s="85" t="s">
        <v>83</v>
      </c>
      <c r="D93" s="84" t="s">
        <v>84</v>
      </c>
      <c r="E93" s="84">
        <f>VLOOKUP(A93,'2a. SI Pop'!$A$5:$E$198,5,FALSE)</f>
        <v>3</v>
      </c>
      <c r="F93" s="3">
        <f>SUMIFS(Input!$Q$5:$Q$44,Input!$O$5:$O$44,'6b. %FP- SIA'!E93,Input!$P$5:$P$44,"SIA")</f>
        <v>0.34</v>
      </c>
      <c r="G93" s="3">
        <f t="shared" si="8"/>
        <v>0.34</v>
      </c>
      <c r="H93" s="3">
        <f t="shared" si="8"/>
        <v>0.34</v>
      </c>
      <c r="I93" s="3">
        <f t="shared" si="8"/>
        <v>0.34</v>
      </c>
      <c r="J93" s="3">
        <f t="shared" si="8"/>
        <v>0.34</v>
      </c>
      <c r="K93" s="3">
        <f t="shared" si="8"/>
        <v>0.34</v>
      </c>
      <c r="L93" s="3">
        <f t="shared" si="8"/>
        <v>0.34</v>
      </c>
      <c r="M93" s="3">
        <f t="shared" si="8"/>
        <v>0.34</v>
      </c>
      <c r="N93" s="3">
        <f t="shared" si="8"/>
        <v>0.34</v>
      </c>
      <c r="O93" s="3">
        <f t="shared" si="8"/>
        <v>0.34</v>
      </c>
      <c r="P93" s="3">
        <f t="shared" si="8"/>
        <v>0.34</v>
      </c>
    </row>
    <row r="94" spans="1:16">
      <c r="A94" s="84" t="s">
        <v>261</v>
      </c>
      <c r="B94" s="85" t="s">
        <v>260</v>
      </c>
      <c r="C94" s="85" t="s">
        <v>99</v>
      </c>
      <c r="D94" s="84" t="s">
        <v>84</v>
      </c>
      <c r="E94" s="84">
        <f>VLOOKUP(A94,'2a. SI Pop'!$A$5:$E$198,5,FALSE)</f>
        <v>4</v>
      </c>
      <c r="F94" s="3">
        <f>SUMIFS(Input!$Q$5:$Q$44,Input!$O$5:$O$44,'6b. %FP- SIA'!E94,Input!$P$5:$P$44,"SIA")</f>
        <v>0.41</v>
      </c>
      <c r="G94" s="3">
        <f t="shared" si="8"/>
        <v>0.41</v>
      </c>
      <c r="H94" s="3">
        <f t="shared" si="8"/>
        <v>0.41</v>
      </c>
      <c r="I94" s="3">
        <f t="shared" si="8"/>
        <v>0.41</v>
      </c>
      <c r="J94" s="3">
        <f t="shared" si="8"/>
        <v>0.41</v>
      </c>
      <c r="K94" s="3">
        <f t="shared" si="8"/>
        <v>0.41</v>
      </c>
      <c r="L94" s="3">
        <f t="shared" si="8"/>
        <v>0.41</v>
      </c>
      <c r="M94" s="3">
        <f t="shared" si="8"/>
        <v>0.41</v>
      </c>
      <c r="N94" s="3">
        <f t="shared" si="8"/>
        <v>0.41</v>
      </c>
      <c r="O94" s="3">
        <f t="shared" si="8"/>
        <v>0.41</v>
      </c>
      <c r="P94" s="3">
        <f t="shared" si="8"/>
        <v>0.41</v>
      </c>
    </row>
    <row r="95" spans="1:16">
      <c r="A95" s="84" t="s">
        <v>263</v>
      </c>
      <c r="B95" s="85" t="s">
        <v>262</v>
      </c>
      <c r="C95" s="85" t="s">
        <v>99</v>
      </c>
      <c r="D95" s="84" t="s">
        <v>87</v>
      </c>
      <c r="E95" s="84">
        <f>VLOOKUP(A95,'2a. SI Pop'!$A$5:$E$198,5,FALSE)</f>
        <v>1</v>
      </c>
      <c r="F95" s="3">
        <f>SUMIFS(Input!$Q$5:$Q$44,Input!$O$5:$O$44,'6b. %FP- SIA'!E95,Input!$P$5:$P$44,"SIA")</f>
        <v>0.52</v>
      </c>
      <c r="G95" s="3">
        <f t="shared" si="8"/>
        <v>0.52</v>
      </c>
      <c r="H95" s="3">
        <f t="shared" si="8"/>
        <v>0.52</v>
      </c>
      <c r="I95" s="3">
        <f t="shared" si="8"/>
        <v>0.52</v>
      </c>
      <c r="J95" s="3">
        <f t="shared" si="8"/>
        <v>0.52</v>
      </c>
      <c r="K95" s="3">
        <f t="shared" si="8"/>
        <v>0.52</v>
      </c>
      <c r="L95" s="3">
        <f t="shared" si="8"/>
        <v>0.52</v>
      </c>
      <c r="M95" s="3">
        <f t="shared" si="8"/>
        <v>0.52</v>
      </c>
      <c r="N95" s="3">
        <f t="shared" si="8"/>
        <v>0.52</v>
      </c>
      <c r="O95" s="3">
        <f t="shared" si="8"/>
        <v>0.52</v>
      </c>
      <c r="P95" s="3">
        <f t="shared" si="8"/>
        <v>0.52</v>
      </c>
    </row>
    <row r="96" spans="1:16">
      <c r="A96" s="84" t="s">
        <v>265</v>
      </c>
      <c r="B96" s="85" t="s">
        <v>264</v>
      </c>
      <c r="C96" s="85" t="s">
        <v>74</v>
      </c>
      <c r="D96" s="84" t="s">
        <v>87</v>
      </c>
      <c r="E96" s="84">
        <f>VLOOKUP(A96,'2a. SI Pop'!$A$5:$E$198,5,FALSE)</f>
        <v>1</v>
      </c>
      <c r="F96" s="3">
        <f>SUMIFS(Input!$Q$5:$Q$44,Input!$O$5:$O$44,'6b. %FP- SIA'!E96,Input!$P$5:$P$44,"SIA")</f>
        <v>0.52</v>
      </c>
      <c r="G96" s="3">
        <f t="shared" si="8"/>
        <v>0.52</v>
      </c>
      <c r="H96" s="3">
        <f t="shared" si="8"/>
        <v>0.52</v>
      </c>
      <c r="I96" s="3">
        <f t="shared" si="8"/>
        <v>0.52</v>
      </c>
      <c r="J96" s="3">
        <f t="shared" si="8"/>
        <v>0.52</v>
      </c>
      <c r="K96" s="3">
        <f t="shared" si="8"/>
        <v>0.52</v>
      </c>
      <c r="L96" s="3">
        <f t="shared" si="8"/>
        <v>0.52</v>
      </c>
      <c r="M96" s="3">
        <f t="shared" si="8"/>
        <v>0.52</v>
      </c>
      <c r="N96" s="3">
        <f t="shared" si="8"/>
        <v>0.52</v>
      </c>
      <c r="O96" s="3">
        <f t="shared" si="8"/>
        <v>0.52</v>
      </c>
      <c r="P96" s="3">
        <f t="shared" si="8"/>
        <v>0.52</v>
      </c>
    </row>
    <row r="97" spans="1:16">
      <c r="A97" s="84" t="s">
        <v>267</v>
      </c>
      <c r="B97" s="85" t="s">
        <v>266</v>
      </c>
      <c r="C97" s="85" t="s">
        <v>79</v>
      </c>
      <c r="D97" s="84" t="s">
        <v>84</v>
      </c>
      <c r="E97" s="84">
        <f>VLOOKUP(A97,'2a. SI Pop'!$A$5:$E$198,5,FALSE)</f>
        <v>1</v>
      </c>
      <c r="F97" s="3">
        <f>SUMIFS(Input!$Q$5:$Q$44,Input!$O$5:$O$44,'6b. %FP- SIA'!E97,Input!$P$5:$P$44,"SIA")</f>
        <v>0.52</v>
      </c>
      <c r="G97" s="3">
        <f t="shared" si="8"/>
        <v>0.52</v>
      </c>
      <c r="H97" s="3">
        <f t="shared" si="8"/>
        <v>0.52</v>
      </c>
      <c r="I97" s="3">
        <f t="shared" si="8"/>
        <v>0.52</v>
      </c>
      <c r="J97" s="3">
        <f t="shared" si="8"/>
        <v>0.52</v>
      </c>
      <c r="K97" s="3">
        <f t="shared" si="8"/>
        <v>0.52</v>
      </c>
      <c r="L97" s="3">
        <f t="shared" si="8"/>
        <v>0.52</v>
      </c>
      <c r="M97" s="3">
        <f t="shared" si="8"/>
        <v>0.52</v>
      </c>
      <c r="N97" s="3">
        <f t="shared" si="8"/>
        <v>0.52</v>
      </c>
      <c r="O97" s="3">
        <f t="shared" si="8"/>
        <v>0.52</v>
      </c>
      <c r="P97" s="3">
        <f t="shared" si="8"/>
        <v>0.52</v>
      </c>
    </row>
    <row r="98" spans="1:16">
      <c r="A98" s="84" t="s">
        <v>269</v>
      </c>
      <c r="B98" s="85" t="s">
        <v>268</v>
      </c>
      <c r="C98" s="85" t="s">
        <v>99</v>
      </c>
      <c r="D98" s="84" t="s">
        <v>84</v>
      </c>
      <c r="E98" s="84">
        <f>VLOOKUP(A98,'2a. SI Pop'!$A$5:$E$198,5,FALSE)</f>
        <v>4</v>
      </c>
      <c r="F98" s="3">
        <f>SUMIFS(Input!$Q$5:$Q$44,Input!$O$5:$O$44,'6b. %FP- SIA'!E98,Input!$P$5:$P$44,"SIA")</f>
        <v>0.41</v>
      </c>
      <c r="G98" s="3">
        <f t="shared" si="8"/>
        <v>0.41</v>
      </c>
      <c r="H98" s="3">
        <f t="shared" si="8"/>
        <v>0.41</v>
      </c>
      <c r="I98" s="3">
        <f t="shared" si="8"/>
        <v>0.41</v>
      </c>
      <c r="J98" s="3">
        <f t="shared" si="8"/>
        <v>0.41</v>
      </c>
      <c r="K98" s="3">
        <f t="shared" si="8"/>
        <v>0.41</v>
      </c>
      <c r="L98" s="3">
        <f t="shared" si="8"/>
        <v>0.41</v>
      </c>
      <c r="M98" s="3">
        <f t="shared" si="8"/>
        <v>0.41</v>
      </c>
      <c r="N98" s="3">
        <f t="shared" si="8"/>
        <v>0.41</v>
      </c>
      <c r="O98" s="3">
        <f t="shared" si="8"/>
        <v>0.41</v>
      </c>
      <c r="P98" s="3">
        <f t="shared" si="8"/>
        <v>0.41</v>
      </c>
    </row>
    <row r="99" spans="1:16">
      <c r="A99" s="84" t="s">
        <v>271</v>
      </c>
      <c r="B99" s="85" t="s">
        <v>270</v>
      </c>
      <c r="C99" s="85" t="s">
        <v>79</v>
      </c>
      <c r="D99" s="84" t="s">
        <v>87</v>
      </c>
      <c r="E99" s="84">
        <f>VLOOKUP(A99,'2a. SI Pop'!$A$5:$E$198,5,FALSE)</f>
        <v>1</v>
      </c>
      <c r="F99" s="3">
        <f>SUMIFS(Input!$Q$5:$Q$44,Input!$O$5:$O$44,'6b. %FP- SIA'!E99,Input!$P$5:$P$44,"SIA")</f>
        <v>0.52</v>
      </c>
      <c r="G99" s="3">
        <f t="shared" si="8"/>
        <v>0.52</v>
      </c>
      <c r="H99" s="3">
        <f t="shared" si="8"/>
        <v>0.52</v>
      </c>
      <c r="I99" s="3">
        <f t="shared" si="8"/>
        <v>0.52</v>
      </c>
      <c r="J99" s="3">
        <f t="shared" si="8"/>
        <v>0.52</v>
      </c>
      <c r="K99" s="3">
        <f t="shared" si="8"/>
        <v>0.52</v>
      </c>
      <c r="L99" s="3">
        <f t="shared" si="8"/>
        <v>0.52</v>
      </c>
      <c r="M99" s="3">
        <f t="shared" si="8"/>
        <v>0.52</v>
      </c>
      <c r="N99" s="3">
        <f t="shared" si="8"/>
        <v>0.52</v>
      </c>
      <c r="O99" s="3">
        <f t="shared" si="8"/>
        <v>0.52</v>
      </c>
      <c r="P99" s="3">
        <f t="shared" si="8"/>
        <v>0.52</v>
      </c>
    </row>
    <row r="100" spans="1:16">
      <c r="A100" s="84" t="s">
        <v>273</v>
      </c>
      <c r="B100" s="85" t="s">
        <v>272</v>
      </c>
      <c r="C100" s="85" t="s">
        <v>74</v>
      </c>
      <c r="D100" s="84" t="s">
        <v>80</v>
      </c>
      <c r="E100" s="84">
        <f>VLOOKUP(A100,'2a. SI Pop'!$A$5:$E$198,5,FALSE)</f>
        <v>2</v>
      </c>
      <c r="F100" s="3">
        <f>SUMIFS(Input!$Q$5:$Q$44,Input!$O$5:$O$44,'6b. %FP- SIA'!E100,Input!$P$5:$P$44,"SIA")</f>
        <v>0.38</v>
      </c>
      <c r="G100" s="3">
        <f t="shared" si="8"/>
        <v>0.38</v>
      </c>
      <c r="H100" s="3">
        <f t="shared" si="8"/>
        <v>0.38</v>
      </c>
      <c r="I100" s="3">
        <f t="shared" si="8"/>
        <v>0.38</v>
      </c>
      <c r="J100" s="3">
        <f t="shared" si="8"/>
        <v>0.38</v>
      </c>
      <c r="K100" s="3">
        <f t="shared" si="8"/>
        <v>0.38</v>
      </c>
      <c r="L100" s="3">
        <f t="shared" si="8"/>
        <v>0.38</v>
      </c>
      <c r="M100" s="3">
        <f t="shared" si="8"/>
        <v>0.38</v>
      </c>
      <c r="N100" s="3">
        <f t="shared" si="8"/>
        <v>0.38</v>
      </c>
      <c r="O100" s="3">
        <f t="shared" si="8"/>
        <v>0.38</v>
      </c>
      <c r="P100" s="3">
        <f t="shared" si="8"/>
        <v>0.38</v>
      </c>
    </row>
    <row r="101" spans="1:16">
      <c r="A101" s="84" t="s">
        <v>275</v>
      </c>
      <c r="B101" s="85" t="s">
        <v>274</v>
      </c>
      <c r="C101" s="85" t="s">
        <v>83</v>
      </c>
      <c r="D101" s="84" t="s">
        <v>84</v>
      </c>
      <c r="E101" s="84">
        <f>VLOOKUP(A101,'2a. SI Pop'!$A$5:$E$198,5,FALSE)</f>
        <v>3</v>
      </c>
      <c r="F101" s="3">
        <f>SUMIFS(Input!$Q$5:$Q$44,Input!$O$5:$O$44,'6b. %FP- SIA'!E101,Input!$P$5:$P$44,"SIA")</f>
        <v>0.34</v>
      </c>
      <c r="G101" s="3">
        <f t="shared" si="8"/>
        <v>0.34</v>
      </c>
      <c r="H101" s="3">
        <f t="shared" si="8"/>
        <v>0.34</v>
      </c>
      <c r="I101" s="3">
        <f t="shared" si="8"/>
        <v>0.34</v>
      </c>
      <c r="J101" s="3">
        <f t="shared" si="8"/>
        <v>0.34</v>
      </c>
      <c r="K101" s="3">
        <f t="shared" si="8"/>
        <v>0.34</v>
      </c>
      <c r="L101" s="3">
        <f t="shared" si="8"/>
        <v>0.34</v>
      </c>
      <c r="M101" s="3">
        <f t="shared" si="8"/>
        <v>0.34</v>
      </c>
      <c r="N101" s="3">
        <f t="shared" si="8"/>
        <v>0.34</v>
      </c>
      <c r="O101" s="3">
        <f t="shared" si="8"/>
        <v>0.34</v>
      </c>
      <c r="P101" s="3">
        <f t="shared" si="8"/>
        <v>0.34</v>
      </c>
    </row>
    <row r="102" spans="1:16">
      <c r="A102" s="84" t="s">
        <v>277</v>
      </c>
      <c r="B102" s="85" t="s">
        <v>276</v>
      </c>
      <c r="C102" s="85" t="s">
        <v>83</v>
      </c>
      <c r="D102" s="84" t="s">
        <v>75</v>
      </c>
      <c r="E102" s="84">
        <f>VLOOKUP(A102,'2a. SI Pop'!$A$5:$E$198,5,FALSE)</f>
        <v>3</v>
      </c>
      <c r="F102" s="3">
        <f>SUMIFS(Input!$Q$5:$Q$44,Input!$O$5:$O$44,'6b. %FP- SIA'!E102,Input!$P$5:$P$44,"SIA")</f>
        <v>0.34</v>
      </c>
      <c r="G102" s="3">
        <f t="shared" ref="G102:P117" si="9">F102</f>
        <v>0.34</v>
      </c>
      <c r="H102" s="3">
        <f t="shared" si="9"/>
        <v>0.34</v>
      </c>
      <c r="I102" s="3">
        <f t="shared" si="9"/>
        <v>0.34</v>
      </c>
      <c r="J102" s="3">
        <f t="shared" si="9"/>
        <v>0.34</v>
      </c>
      <c r="K102" s="3">
        <f t="shared" si="9"/>
        <v>0.34</v>
      </c>
      <c r="L102" s="3">
        <f t="shared" si="9"/>
        <v>0.34</v>
      </c>
      <c r="M102" s="3">
        <f t="shared" si="9"/>
        <v>0.34</v>
      </c>
      <c r="N102" s="3">
        <f t="shared" si="9"/>
        <v>0.34</v>
      </c>
      <c r="O102" s="3">
        <f t="shared" si="9"/>
        <v>0.34</v>
      </c>
      <c r="P102" s="3">
        <f t="shared" si="9"/>
        <v>0.34</v>
      </c>
    </row>
    <row r="103" spans="1:16">
      <c r="A103" s="84" t="s">
        <v>279</v>
      </c>
      <c r="B103" s="85" t="s">
        <v>278</v>
      </c>
      <c r="C103" s="85" t="s">
        <v>74</v>
      </c>
      <c r="D103" s="84" t="s">
        <v>80</v>
      </c>
      <c r="E103" s="84">
        <f>VLOOKUP(A103,'2a. SI Pop'!$A$5:$E$198,5,FALSE)</f>
        <v>2</v>
      </c>
      <c r="F103" s="3">
        <f>SUMIFS(Input!$Q$5:$Q$44,Input!$O$5:$O$44,'6b. %FP- SIA'!E103,Input!$P$5:$P$44,"SIA")</f>
        <v>0.38</v>
      </c>
      <c r="G103" s="3">
        <f t="shared" si="9"/>
        <v>0.38</v>
      </c>
      <c r="H103" s="3">
        <f t="shared" si="9"/>
        <v>0.38</v>
      </c>
      <c r="I103" s="3">
        <f t="shared" si="9"/>
        <v>0.38</v>
      </c>
      <c r="J103" s="3">
        <f t="shared" si="9"/>
        <v>0.38</v>
      </c>
      <c r="K103" s="3">
        <f t="shared" si="9"/>
        <v>0.38</v>
      </c>
      <c r="L103" s="3">
        <f t="shared" si="9"/>
        <v>0.38</v>
      </c>
      <c r="M103" s="3">
        <f t="shared" si="9"/>
        <v>0.38</v>
      </c>
      <c r="N103" s="3">
        <f t="shared" si="9"/>
        <v>0.38</v>
      </c>
      <c r="O103" s="3">
        <f t="shared" si="9"/>
        <v>0.38</v>
      </c>
      <c r="P103" s="3">
        <f t="shared" si="9"/>
        <v>0.38</v>
      </c>
    </row>
    <row r="104" spans="1:16">
      <c r="A104" s="84" t="s">
        <v>281</v>
      </c>
      <c r="B104" s="85" t="s">
        <v>280</v>
      </c>
      <c r="C104" s="85" t="s">
        <v>79</v>
      </c>
      <c r="D104" s="84" t="s">
        <v>87</v>
      </c>
      <c r="E104" s="84">
        <f>VLOOKUP(A104,'2a. SI Pop'!$A$5:$E$198,5,FALSE)</f>
        <v>1</v>
      </c>
      <c r="F104" s="3">
        <f>SUMIFS(Input!$Q$5:$Q$44,Input!$O$5:$O$44,'6b. %FP- SIA'!E104,Input!$P$5:$P$44,"SIA")</f>
        <v>0.52</v>
      </c>
      <c r="G104" s="3">
        <f t="shared" si="9"/>
        <v>0.52</v>
      </c>
      <c r="H104" s="3">
        <f t="shared" si="9"/>
        <v>0.52</v>
      </c>
      <c r="I104" s="3">
        <f t="shared" si="9"/>
        <v>0.52</v>
      </c>
      <c r="J104" s="3">
        <f t="shared" si="9"/>
        <v>0.52</v>
      </c>
      <c r="K104" s="3">
        <f t="shared" si="9"/>
        <v>0.52</v>
      </c>
      <c r="L104" s="3">
        <f t="shared" si="9"/>
        <v>0.52</v>
      </c>
      <c r="M104" s="3">
        <f t="shared" si="9"/>
        <v>0.52</v>
      </c>
      <c r="N104" s="3">
        <f t="shared" si="9"/>
        <v>0.52</v>
      </c>
      <c r="O104" s="3">
        <f t="shared" si="9"/>
        <v>0.52</v>
      </c>
      <c r="P104" s="3">
        <f t="shared" si="9"/>
        <v>0.52</v>
      </c>
    </row>
    <row r="105" spans="1:16">
      <c r="A105" s="84" t="s">
        <v>283</v>
      </c>
      <c r="B105" s="85" t="s">
        <v>282</v>
      </c>
      <c r="C105" s="85" t="s">
        <v>79</v>
      </c>
      <c r="D105" s="84" t="s">
        <v>87</v>
      </c>
      <c r="E105" s="84">
        <f>VLOOKUP(A105,'2a. SI Pop'!$A$5:$E$198,5,FALSE)</f>
        <v>1</v>
      </c>
      <c r="F105" s="3">
        <f>SUMIFS(Input!$Q$5:$Q$44,Input!$O$5:$O$44,'6b. %FP- SIA'!E105,Input!$P$5:$P$44,"SIA")</f>
        <v>0.52</v>
      </c>
      <c r="G105" s="3">
        <f t="shared" si="9"/>
        <v>0.52</v>
      </c>
      <c r="H105" s="3">
        <f t="shared" si="9"/>
        <v>0.52</v>
      </c>
      <c r="I105" s="3">
        <f t="shared" si="9"/>
        <v>0.52</v>
      </c>
      <c r="J105" s="3">
        <f t="shared" si="9"/>
        <v>0.52</v>
      </c>
      <c r="K105" s="3">
        <f t="shared" si="9"/>
        <v>0.52</v>
      </c>
      <c r="L105" s="3">
        <f t="shared" si="9"/>
        <v>0.52</v>
      </c>
      <c r="M105" s="3">
        <f t="shared" si="9"/>
        <v>0.52</v>
      </c>
      <c r="N105" s="3">
        <f t="shared" si="9"/>
        <v>0.52</v>
      </c>
      <c r="O105" s="3">
        <f t="shared" si="9"/>
        <v>0.52</v>
      </c>
      <c r="P105" s="3">
        <f t="shared" si="9"/>
        <v>0.52</v>
      </c>
    </row>
    <row r="106" spans="1:16">
      <c r="A106" s="84" t="s">
        <v>285</v>
      </c>
      <c r="B106" s="85" t="s">
        <v>284</v>
      </c>
      <c r="C106" s="85" t="s">
        <v>79</v>
      </c>
      <c r="D106" s="84" t="s">
        <v>80</v>
      </c>
      <c r="E106" s="84">
        <f>VLOOKUP(A106,'2a. SI Pop'!$A$5:$E$198,5,FALSE)</f>
        <v>1</v>
      </c>
      <c r="F106" s="3">
        <f>SUMIFS(Input!$Q$5:$Q$44,Input!$O$5:$O$44,'6b. %FP- SIA'!E106,Input!$P$5:$P$44,"SIA")</f>
        <v>0.52</v>
      </c>
      <c r="G106" s="3">
        <f t="shared" si="9"/>
        <v>0.52</v>
      </c>
      <c r="H106" s="3">
        <f t="shared" si="9"/>
        <v>0.52</v>
      </c>
      <c r="I106" s="3">
        <f t="shared" si="9"/>
        <v>0.52</v>
      </c>
      <c r="J106" s="3">
        <f t="shared" si="9"/>
        <v>0.52</v>
      </c>
      <c r="K106" s="3">
        <f t="shared" si="9"/>
        <v>0.52</v>
      </c>
      <c r="L106" s="3">
        <f t="shared" si="9"/>
        <v>0.52</v>
      </c>
      <c r="M106" s="3">
        <f t="shared" si="9"/>
        <v>0.52</v>
      </c>
      <c r="N106" s="3">
        <f t="shared" si="9"/>
        <v>0.52</v>
      </c>
      <c r="O106" s="3">
        <f t="shared" si="9"/>
        <v>0.52</v>
      </c>
      <c r="P106" s="3">
        <f t="shared" si="9"/>
        <v>0.52</v>
      </c>
    </row>
    <row r="107" spans="1:16">
      <c r="A107" s="84" t="s">
        <v>287</v>
      </c>
      <c r="B107" s="85" t="s">
        <v>286</v>
      </c>
      <c r="C107" s="85" t="s">
        <v>83</v>
      </c>
      <c r="D107" s="84" t="s">
        <v>75</v>
      </c>
      <c r="E107" s="84">
        <f>VLOOKUP(A107,'2a. SI Pop'!$A$5:$E$198,5,FALSE)</f>
        <v>3</v>
      </c>
      <c r="F107" s="3">
        <f>SUMIFS(Input!$Q$5:$Q$44,Input!$O$5:$O$44,'6b. %FP- SIA'!E107,Input!$P$5:$P$44,"SIA")</f>
        <v>0.34</v>
      </c>
      <c r="G107" s="3">
        <f t="shared" si="9"/>
        <v>0.34</v>
      </c>
      <c r="H107" s="3">
        <f t="shared" si="9"/>
        <v>0.34</v>
      </c>
      <c r="I107" s="3">
        <f t="shared" si="9"/>
        <v>0.34</v>
      </c>
      <c r="J107" s="3">
        <f t="shared" si="9"/>
        <v>0.34</v>
      </c>
      <c r="K107" s="3">
        <f t="shared" si="9"/>
        <v>0.34</v>
      </c>
      <c r="L107" s="3">
        <f t="shared" si="9"/>
        <v>0.34</v>
      </c>
      <c r="M107" s="3">
        <f t="shared" si="9"/>
        <v>0.34</v>
      </c>
      <c r="N107" s="3">
        <f t="shared" si="9"/>
        <v>0.34</v>
      </c>
      <c r="O107" s="3">
        <f t="shared" si="9"/>
        <v>0.34</v>
      </c>
      <c r="P107" s="3">
        <f t="shared" si="9"/>
        <v>0.34</v>
      </c>
    </row>
    <row r="108" spans="1:16">
      <c r="A108" s="84" t="s">
        <v>289</v>
      </c>
      <c r="B108" s="85" t="s">
        <v>288</v>
      </c>
      <c r="C108" s="85" t="s">
        <v>83</v>
      </c>
      <c r="D108" s="84" t="s">
        <v>75</v>
      </c>
      <c r="E108" s="84">
        <f>VLOOKUP(A108,'2a. SI Pop'!$A$5:$E$198,5,FALSE)</f>
        <v>3</v>
      </c>
      <c r="F108" s="3">
        <f>SUMIFS(Input!$Q$5:$Q$44,Input!$O$5:$O$44,'6b. %FP- SIA'!E108,Input!$P$5:$P$44,"SIA")</f>
        <v>0.34</v>
      </c>
      <c r="G108" s="3">
        <f t="shared" si="9"/>
        <v>0.34</v>
      </c>
      <c r="H108" s="3">
        <f t="shared" si="9"/>
        <v>0.34</v>
      </c>
      <c r="I108" s="3">
        <f t="shared" si="9"/>
        <v>0.34</v>
      </c>
      <c r="J108" s="3">
        <f t="shared" si="9"/>
        <v>0.34</v>
      </c>
      <c r="K108" s="3">
        <f t="shared" si="9"/>
        <v>0.34</v>
      </c>
      <c r="L108" s="3">
        <f t="shared" si="9"/>
        <v>0.34</v>
      </c>
      <c r="M108" s="3">
        <f t="shared" si="9"/>
        <v>0.34</v>
      </c>
      <c r="N108" s="3">
        <f t="shared" si="9"/>
        <v>0.34</v>
      </c>
      <c r="O108" s="3">
        <f t="shared" si="9"/>
        <v>0.34</v>
      </c>
      <c r="P108" s="3">
        <f t="shared" si="9"/>
        <v>0.34</v>
      </c>
    </row>
    <row r="109" spans="1:16">
      <c r="A109" s="84" t="s">
        <v>291</v>
      </c>
      <c r="B109" s="85" t="s">
        <v>290</v>
      </c>
      <c r="C109" s="85" t="s">
        <v>99</v>
      </c>
      <c r="D109" s="84" t="s">
        <v>80</v>
      </c>
      <c r="E109" s="84">
        <f>VLOOKUP(A109,'2a. SI Pop'!$A$5:$E$198,5,FALSE)</f>
        <v>2</v>
      </c>
      <c r="F109" s="3">
        <f>SUMIFS(Input!$Q$5:$Q$44,Input!$O$5:$O$44,'6b. %FP- SIA'!E109,Input!$P$5:$P$44,"SIA")</f>
        <v>0.38</v>
      </c>
      <c r="G109" s="3">
        <f t="shared" si="9"/>
        <v>0.38</v>
      </c>
      <c r="H109" s="3">
        <f t="shared" si="9"/>
        <v>0.38</v>
      </c>
      <c r="I109" s="3">
        <f t="shared" si="9"/>
        <v>0.38</v>
      </c>
      <c r="J109" s="3">
        <f t="shared" si="9"/>
        <v>0.38</v>
      </c>
      <c r="K109" s="3">
        <f t="shared" si="9"/>
        <v>0.38</v>
      </c>
      <c r="L109" s="3">
        <f t="shared" si="9"/>
        <v>0.38</v>
      </c>
      <c r="M109" s="3">
        <f t="shared" si="9"/>
        <v>0.38</v>
      </c>
      <c r="N109" s="3">
        <f t="shared" si="9"/>
        <v>0.38</v>
      </c>
      <c r="O109" s="3">
        <f t="shared" si="9"/>
        <v>0.38</v>
      </c>
      <c r="P109" s="3">
        <f t="shared" si="9"/>
        <v>0.38</v>
      </c>
    </row>
    <row r="110" spans="1:16">
      <c r="A110" s="84" t="s">
        <v>293</v>
      </c>
      <c r="B110" s="85" t="s">
        <v>292</v>
      </c>
      <c r="C110" s="85" t="s">
        <v>110</v>
      </c>
      <c r="D110" s="84" t="s">
        <v>80</v>
      </c>
      <c r="E110" s="84">
        <f>VLOOKUP(A110,'2a. SI Pop'!$A$5:$E$198,5,FALSE)</f>
        <v>2</v>
      </c>
      <c r="F110" s="3">
        <f>SUMIFS(Input!$Q$5:$Q$44,Input!$O$5:$O$44,'6b. %FP- SIA'!E110,Input!$P$5:$P$44,"SIA")</f>
        <v>0.38</v>
      </c>
      <c r="G110" s="3">
        <f t="shared" si="9"/>
        <v>0.38</v>
      </c>
      <c r="H110" s="3">
        <f t="shared" si="9"/>
        <v>0.38</v>
      </c>
      <c r="I110" s="3">
        <f t="shared" si="9"/>
        <v>0.38</v>
      </c>
      <c r="J110" s="3">
        <f t="shared" si="9"/>
        <v>0.38</v>
      </c>
      <c r="K110" s="3">
        <f t="shared" si="9"/>
        <v>0.38</v>
      </c>
      <c r="L110" s="3">
        <f t="shared" si="9"/>
        <v>0.38</v>
      </c>
      <c r="M110" s="3">
        <f t="shared" si="9"/>
        <v>0.38</v>
      </c>
      <c r="N110" s="3">
        <f t="shared" si="9"/>
        <v>0.38</v>
      </c>
      <c r="O110" s="3">
        <f t="shared" si="9"/>
        <v>0.38</v>
      </c>
      <c r="P110" s="3">
        <f t="shared" si="9"/>
        <v>0.38</v>
      </c>
    </row>
    <row r="111" spans="1:16">
      <c r="A111" s="84" t="s">
        <v>295</v>
      </c>
      <c r="B111" s="85" t="s">
        <v>294</v>
      </c>
      <c r="C111" s="85" t="s">
        <v>83</v>
      </c>
      <c r="D111" s="84" t="s">
        <v>75</v>
      </c>
      <c r="E111" s="84">
        <f>VLOOKUP(A111,'2a. SI Pop'!$A$5:$E$198,5,FALSE)</f>
        <v>3</v>
      </c>
      <c r="F111" s="3">
        <f>SUMIFS(Input!$Q$5:$Q$44,Input!$O$5:$O$44,'6b. %FP- SIA'!E111,Input!$P$5:$P$44,"SIA")</f>
        <v>0.34</v>
      </c>
      <c r="G111" s="3">
        <f t="shared" si="9"/>
        <v>0.34</v>
      </c>
      <c r="H111" s="3">
        <f t="shared" si="9"/>
        <v>0.34</v>
      </c>
      <c r="I111" s="3">
        <f t="shared" si="9"/>
        <v>0.34</v>
      </c>
      <c r="J111" s="3">
        <f t="shared" si="9"/>
        <v>0.34</v>
      </c>
      <c r="K111" s="3">
        <f t="shared" si="9"/>
        <v>0.34</v>
      </c>
      <c r="L111" s="3">
        <f t="shared" si="9"/>
        <v>0.34</v>
      </c>
      <c r="M111" s="3">
        <f t="shared" si="9"/>
        <v>0.34</v>
      </c>
      <c r="N111" s="3">
        <f t="shared" si="9"/>
        <v>0.34</v>
      </c>
      <c r="O111" s="3">
        <f t="shared" si="9"/>
        <v>0.34</v>
      </c>
      <c r="P111" s="3">
        <f t="shared" si="9"/>
        <v>0.34</v>
      </c>
    </row>
    <row r="112" spans="1:16">
      <c r="A112" s="84" t="s">
        <v>297</v>
      </c>
      <c r="B112" s="85" t="s">
        <v>296</v>
      </c>
      <c r="C112" s="85" t="s">
        <v>79</v>
      </c>
      <c r="D112" s="84" t="s">
        <v>87</v>
      </c>
      <c r="E112" s="84">
        <f>VLOOKUP(A112,'2a. SI Pop'!$A$5:$E$198,5,FALSE)</f>
        <v>1</v>
      </c>
      <c r="F112" s="3">
        <f>SUMIFS(Input!$Q$5:$Q$44,Input!$O$5:$O$44,'6b. %FP- SIA'!E112,Input!$P$5:$P$44,"SIA")</f>
        <v>0.52</v>
      </c>
      <c r="G112" s="3">
        <f t="shared" si="9"/>
        <v>0.52</v>
      </c>
      <c r="H112" s="3">
        <f t="shared" si="9"/>
        <v>0.52</v>
      </c>
      <c r="I112" s="3">
        <f t="shared" si="9"/>
        <v>0.52</v>
      </c>
      <c r="J112" s="3">
        <f t="shared" si="9"/>
        <v>0.52</v>
      </c>
      <c r="K112" s="3">
        <f t="shared" si="9"/>
        <v>0.52</v>
      </c>
      <c r="L112" s="3">
        <f t="shared" si="9"/>
        <v>0.52</v>
      </c>
      <c r="M112" s="3">
        <f t="shared" si="9"/>
        <v>0.52</v>
      </c>
      <c r="N112" s="3">
        <f t="shared" si="9"/>
        <v>0.52</v>
      </c>
      <c r="O112" s="3">
        <f t="shared" si="9"/>
        <v>0.52</v>
      </c>
      <c r="P112" s="3">
        <f t="shared" si="9"/>
        <v>0.52</v>
      </c>
    </row>
    <row r="113" spans="1:16">
      <c r="A113" s="84" t="s">
        <v>299</v>
      </c>
      <c r="B113" s="85" t="s">
        <v>298</v>
      </c>
      <c r="C113" s="85" t="s">
        <v>99</v>
      </c>
      <c r="D113" s="84" t="s">
        <v>80</v>
      </c>
      <c r="E113" s="84">
        <f>VLOOKUP(A113,'2a. SI Pop'!$A$5:$E$198,5,FALSE)</f>
        <v>1</v>
      </c>
      <c r="F113" s="3">
        <f>SUMIFS(Input!$Q$5:$Q$44,Input!$O$5:$O$44,'6b. %FP- SIA'!E113,Input!$P$5:$P$44,"SIA")</f>
        <v>0.52</v>
      </c>
      <c r="G113" s="3">
        <f t="shared" si="9"/>
        <v>0.52</v>
      </c>
      <c r="H113" s="3">
        <f t="shared" si="9"/>
        <v>0.52</v>
      </c>
      <c r="I113" s="3">
        <f t="shared" si="9"/>
        <v>0.52</v>
      </c>
      <c r="J113" s="3">
        <f t="shared" si="9"/>
        <v>0.52</v>
      </c>
      <c r="K113" s="3">
        <f t="shared" si="9"/>
        <v>0.52</v>
      </c>
      <c r="L113" s="3">
        <f t="shared" si="9"/>
        <v>0.52</v>
      </c>
      <c r="M113" s="3">
        <f t="shared" si="9"/>
        <v>0.52</v>
      </c>
      <c r="N113" s="3">
        <f t="shared" si="9"/>
        <v>0.52</v>
      </c>
      <c r="O113" s="3">
        <f t="shared" si="9"/>
        <v>0.52</v>
      </c>
      <c r="P113" s="3">
        <f t="shared" si="9"/>
        <v>0.52</v>
      </c>
    </row>
    <row r="114" spans="1:16">
      <c r="A114" s="84" t="s">
        <v>301</v>
      </c>
      <c r="B114" s="85" t="s">
        <v>300</v>
      </c>
      <c r="C114" s="85" t="s">
        <v>83</v>
      </c>
      <c r="D114" s="84" t="s">
        <v>84</v>
      </c>
      <c r="E114" s="84">
        <f>VLOOKUP(A114,'2a. SI Pop'!$A$5:$E$198,5,FALSE)</f>
        <v>3</v>
      </c>
      <c r="F114" s="3">
        <f>SUMIFS(Input!$Q$5:$Q$44,Input!$O$5:$O$44,'6b. %FP- SIA'!E114,Input!$P$5:$P$44,"SIA")</f>
        <v>0.34</v>
      </c>
      <c r="G114" s="3">
        <f t="shared" si="9"/>
        <v>0.34</v>
      </c>
      <c r="H114" s="3">
        <f t="shared" si="9"/>
        <v>0.34</v>
      </c>
      <c r="I114" s="3">
        <f t="shared" si="9"/>
        <v>0.34</v>
      </c>
      <c r="J114" s="3">
        <f t="shared" si="9"/>
        <v>0.34</v>
      </c>
      <c r="K114" s="3">
        <f t="shared" si="9"/>
        <v>0.34</v>
      </c>
      <c r="L114" s="3">
        <f t="shared" si="9"/>
        <v>0.34</v>
      </c>
      <c r="M114" s="3">
        <f t="shared" si="9"/>
        <v>0.34</v>
      </c>
      <c r="N114" s="3">
        <f t="shared" si="9"/>
        <v>0.34</v>
      </c>
      <c r="O114" s="3">
        <f t="shared" si="9"/>
        <v>0.34</v>
      </c>
      <c r="P114" s="3">
        <f t="shared" si="9"/>
        <v>0.34</v>
      </c>
    </row>
    <row r="115" spans="1:16">
      <c r="A115" s="84" t="s">
        <v>303</v>
      </c>
      <c r="B115" s="85" t="s">
        <v>302</v>
      </c>
      <c r="C115" s="85" t="s">
        <v>83</v>
      </c>
      <c r="D115" s="84" t="s">
        <v>87</v>
      </c>
      <c r="E115" s="84">
        <f>VLOOKUP(A115,'2a. SI Pop'!$A$5:$E$198,5,FALSE)</f>
        <v>1</v>
      </c>
      <c r="F115" s="3">
        <f>SUMIFS(Input!$Q$5:$Q$44,Input!$O$5:$O$44,'6b. %FP- SIA'!E115,Input!$P$5:$P$44,"SIA")</f>
        <v>0.52</v>
      </c>
      <c r="G115" s="3">
        <f t="shared" si="9"/>
        <v>0.52</v>
      </c>
      <c r="H115" s="3">
        <f t="shared" si="9"/>
        <v>0.52</v>
      </c>
      <c r="I115" s="3">
        <f t="shared" si="9"/>
        <v>0.52</v>
      </c>
      <c r="J115" s="3">
        <f t="shared" si="9"/>
        <v>0.52</v>
      </c>
      <c r="K115" s="3">
        <f t="shared" si="9"/>
        <v>0.52</v>
      </c>
      <c r="L115" s="3">
        <f t="shared" si="9"/>
        <v>0.52</v>
      </c>
      <c r="M115" s="3">
        <f t="shared" si="9"/>
        <v>0.52</v>
      </c>
      <c r="N115" s="3">
        <f t="shared" si="9"/>
        <v>0.52</v>
      </c>
      <c r="O115" s="3">
        <f t="shared" si="9"/>
        <v>0.52</v>
      </c>
      <c r="P115" s="3">
        <f t="shared" si="9"/>
        <v>0.52</v>
      </c>
    </row>
    <row r="116" spans="1:16">
      <c r="A116" s="84" t="s">
        <v>305</v>
      </c>
      <c r="B116" s="85" t="s">
        <v>304</v>
      </c>
      <c r="C116" s="85" t="s">
        <v>92</v>
      </c>
      <c r="D116" s="84" t="s">
        <v>80</v>
      </c>
      <c r="E116" s="84">
        <f>VLOOKUP(A116,'2a. SI Pop'!$A$5:$E$198,5,FALSE)</f>
        <v>2</v>
      </c>
      <c r="F116" s="3">
        <f>SUMIFS(Input!$Q$5:$Q$44,Input!$O$5:$O$44,'6b. %FP- SIA'!E116,Input!$P$5:$P$44,"SIA")</f>
        <v>0.38</v>
      </c>
      <c r="G116" s="3">
        <f t="shared" si="9"/>
        <v>0.38</v>
      </c>
      <c r="H116" s="3">
        <f t="shared" si="9"/>
        <v>0.38</v>
      </c>
      <c r="I116" s="3">
        <f t="shared" si="9"/>
        <v>0.38</v>
      </c>
      <c r="J116" s="3">
        <f t="shared" si="9"/>
        <v>0.38</v>
      </c>
      <c r="K116" s="3">
        <f t="shared" si="9"/>
        <v>0.38</v>
      </c>
      <c r="L116" s="3">
        <f t="shared" si="9"/>
        <v>0.38</v>
      </c>
      <c r="M116" s="3">
        <f t="shared" si="9"/>
        <v>0.38</v>
      </c>
      <c r="N116" s="3">
        <f t="shared" si="9"/>
        <v>0.38</v>
      </c>
      <c r="O116" s="3">
        <f t="shared" si="9"/>
        <v>0.38</v>
      </c>
      <c r="P116" s="3">
        <f t="shared" si="9"/>
        <v>0.38</v>
      </c>
    </row>
    <row r="117" spans="1:16">
      <c r="A117" s="84" t="s">
        <v>307</v>
      </c>
      <c r="B117" s="85" t="s">
        <v>306</v>
      </c>
      <c r="C117" s="85" t="s">
        <v>99</v>
      </c>
      <c r="D117" s="84" t="s">
        <v>84</v>
      </c>
      <c r="E117" s="84">
        <f>VLOOKUP(A117,'2a. SI Pop'!$A$5:$E$198,5,FALSE)</f>
        <v>1</v>
      </c>
      <c r="F117" s="3">
        <f>SUMIFS(Input!$Q$5:$Q$44,Input!$O$5:$O$44,'6b. %FP- SIA'!E117,Input!$P$5:$P$44,"SIA")</f>
        <v>0.52</v>
      </c>
      <c r="G117" s="3">
        <f t="shared" si="9"/>
        <v>0.52</v>
      </c>
      <c r="H117" s="3">
        <f t="shared" si="9"/>
        <v>0.52</v>
      </c>
      <c r="I117" s="3">
        <f t="shared" si="9"/>
        <v>0.52</v>
      </c>
      <c r="J117" s="3">
        <f t="shared" si="9"/>
        <v>0.52</v>
      </c>
      <c r="K117" s="3">
        <f t="shared" si="9"/>
        <v>0.52</v>
      </c>
      <c r="L117" s="3">
        <f t="shared" si="9"/>
        <v>0.52</v>
      </c>
      <c r="M117" s="3">
        <f t="shared" si="9"/>
        <v>0.52</v>
      </c>
      <c r="N117" s="3">
        <f t="shared" si="9"/>
        <v>0.52</v>
      </c>
      <c r="O117" s="3">
        <f t="shared" si="9"/>
        <v>0.52</v>
      </c>
      <c r="P117" s="3">
        <f t="shared" si="9"/>
        <v>0.52</v>
      </c>
    </row>
    <row r="118" spans="1:16">
      <c r="A118" s="84" t="s">
        <v>309</v>
      </c>
      <c r="B118" s="85" t="s">
        <v>308</v>
      </c>
      <c r="C118" s="85" t="s">
        <v>79</v>
      </c>
      <c r="D118" s="84" t="s">
        <v>84</v>
      </c>
      <c r="E118" s="84">
        <f>VLOOKUP(A118,'2a. SI Pop'!$A$5:$E$198,5,FALSE)</f>
        <v>1</v>
      </c>
      <c r="F118" s="3">
        <f>SUMIFS(Input!$Q$5:$Q$44,Input!$O$5:$O$44,'6b. %FP- SIA'!E118,Input!$P$5:$P$44,"SIA")</f>
        <v>0.52</v>
      </c>
      <c r="G118" s="3">
        <f t="shared" ref="G118:P133" si="10">F118</f>
        <v>0.52</v>
      </c>
      <c r="H118" s="3">
        <f t="shared" si="10"/>
        <v>0.52</v>
      </c>
      <c r="I118" s="3">
        <f t="shared" si="10"/>
        <v>0.52</v>
      </c>
      <c r="J118" s="3">
        <f t="shared" si="10"/>
        <v>0.52</v>
      </c>
      <c r="K118" s="3">
        <f t="shared" si="10"/>
        <v>0.52</v>
      </c>
      <c r="L118" s="3">
        <f t="shared" si="10"/>
        <v>0.52</v>
      </c>
      <c r="M118" s="3">
        <f t="shared" si="10"/>
        <v>0.52</v>
      </c>
      <c r="N118" s="3">
        <f t="shared" si="10"/>
        <v>0.52</v>
      </c>
      <c r="O118" s="3">
        <f t="shared" si="10"/>
        <v>0.52</v>
      </c>
      <c r="P118" s="3">
        <f t="shared" si="10"/>
        <v>0.52</v>
      </c>
    </row>
    <row r="119" spans="1:16">
      <c r="A119" s="84" t="s">
        <v>311</v>
      </c>
      <c r="B119" s="85" t="s">
        <v>310</v>
      </c>
      <c r="C119" s="85" t="s">
        <v>79</v>
      </c>
      <c r="D119" s="84" t="s">
        <v>87</v>
      </c>
      <c r="E119" s="84">
        <f>VLOOKUP(A119,'2a. SI Pop'!$A$5:$E$198,5,FALSE)</f>
        <v>1</v>
      </c>
      <c r="F119" s="3">
        <f>SUMIFS(Input!$Q$5:$Q$44,Input!$O$5:$O$44,'6b. %FP- SIA'!E119,Input!$P$5:$P$44,"SIA")</f>
        <v>0.52</v>
      </c>
      <c r="G119" s="3">
        <f t="shared" si="10"/>
        <v>0.52</v>
      </c>
      <c r="H119" s="3">
        <f t="shared" si="10"/>
        <v>0.52</v>
      </c>
      <c r="I119" s="3">
        <f t="shared" si="10"/>
        <v>0.52</v>
      </c>
      <c r="J119" s="3">
        <f t="shared" si="10"/>
        <v>0.52</v>
      </c>
      <c r="K119" s="3">
        <f t="shared" si="10"/>
        <v>0.52</v>
      </c>
      <c r="L119" s="3">
        <f t="shared" si="10"/>
        <v>0.52</v>
      </c>
      <c r="M119" s="3">
        <f t="shared" si="10"/>
        <v>0.52</v>
      </c>
      <c r="N119" s="3">
        <f t="shared" si="10"/>
        <v>0.52</v>
      </c>
      <c r="O119" s="3">
        <f t="shared" si="10"/>
        <v>0.52</v>
      </c>
      <c r="P119" s="3">
        <f t="shared" si="10"/>
        <v>0.52</v>
      </c>
    </row>
    <row r="120" spans="1:16">
      <c r="A120" s="84" t="s">
        <v>313</v>
      </c>
      <c r="B120" s="85" t="s">
        <v>312</v>
      </c>
      <c r="C120" s="85" t="s">
        <v>99</v>
      </c>
      <c r="D120" s="84" t="s">
        <v>84</v>
      </c>
      <c r="E120" s="84">
        <f>VLOOKUP(A120,'2a. SI Pop'!$A$5:$E$198,5,FALSE)</f>
        <v>2</v>
      </c>
      <c r="F120" s="3">
        <f>SUMIFS(Input!$Q$5:$Q$44,Input!$O$5:$O$44,'6b. %FP- SIA'!E120,Input!$P$5:$P$44,"SIA")</f>
        <v>0.38</v>
      </c>
      <c r="G120" s="3">
        <f t="shared" si="10"/>
        <v>0.38</v>
      </c>
      <c r="H120" s="3">
        <f t="shared" si="10"/>
        <v>0.38</v>
      </c>
      <c r="I120" s="3">
        <f t="shared" si="10"/>
        <v>0.38</v>
      </c>
      <c r="J120" s="3">
        <f t="shared" si="10"/>
        <v>0.38</v>
      </c>
      <c r="K120" s="3">
        <f t="shared" si="10"/>
        <v>0.38</v>
      </c>
      <c r="L120" s="3">
        <f t="shared" si="10"/>
        <v>0.38</v>
      </c>
      <c r="M120" s="3">
        <f t="shared" si="10"/>
        <v>0.38</v>
      </c>
      <c r="N120" s="3">
        <f t="shared" si="10"/>
        <v>0.38</v>
      </c>
      <c r="O120" s="3">
        <f t="shared" si="10"/>
        <v>0.38</v>
      </c>
      <c r="P120" s="3">
        <f t="shared" si="10"/>
        <v>0.38</v>
      </c>
    </row>
    <row r="121" spans="1:16">
      <c r="A121" s="84" t="s">
        <v>315</v>
      </c>
      <c r="B121" s="85" t="s">
        <v>314</v>
      </c>
      <c r="C121" s="85" t="s">
        <v>79</v>
      </c>
      <c r="D121" s="84" t="s">
        <v>80</v>
      </c>
      <c r="E121" s="84">
        <f>VLOOKUP(A121,'2a. SI Pop'!$A$5:$E$198,5,FALSE)</f>
        <v>1</v>
      </c>
      <c r="F121" s="3">
        <f>SUMIFS(Input!$Q$5:$Q$44,Input!$O$5:$O$44,'6b. %FP- SIA'!E121,Input!$P$5:$P$44,"SIA")</f>
        <v>0.52</v>
      </c>
      <c r="G121" s="3">
        <f t="shared" si="10"/>
        <v>0.52</v>
      </c>
      <c r="H121" s="3">
        <f t="shared" si="10"/>
        <v>0.52</v>
      </c>
      <c r="I121" s="3">
        <f t="shared" si="10"/>
        <v>0.52</v>
      </c>
      <c r="J121" s="3">
        <f t="shared" si="10"/>
        <v>0.52</v>
      </c>
      <c r="K121" s="3">
        <f t="shared" si="10"/>
        <v>0.52</v>
      </c>
      <c r="L121" s="3">
        <f t="shared" si="10"/>
        <v>0.52</v>
      </c>
      <c r="M121" s="3">
        <f t="shared" si="10"/>
        <v>0.52</v>
      </c>
      <c r="N121" s="3">
        <f t="shared" si="10"/>
        <v>0.52</v>
      </c>
      <c r="O121" s="3">
        <f t="shared" si="10"/>
        <v>0.52</v>
      </c>
      <c r="P121" s="3">
        <f t="shared" si="10"/>
        <v>0.52</v>
      </c>
    </row>
    <row r="122" spans="1:16">
      <c r="A122" s="84" t="s">
        <v>317</v>
      </c>
      <c r="B122" s="85" t="s">
        <v>316</v>
      </c>
      <c r="C122" s="85" t="s">
        <v>74</v>
      </c>
      <c r="D122" s="84" t="s">
        <v>84</v>
      </c>
      <c r="E122" s="84">
        <f>VLOOKUP(A122,'2a. SI Pop'!$A$5:$E$198,5,FALSE)</f>
        <v>3</v>
      </c>
      <c r="F122" s="3">
        <f>SUMIFS(Input!$Q$5:$Q$44,Input!$O$5:$O$44,'6b. %FP- SIA'!E122,Input!$P$5:$P$44,"SIA")</f>
        <v>0.34</v>
      </c>
      <c r="G122" s="3">
        <f t="shared" si="10"/>
        <v>0.34</v>
      </c>
      <c r="H122" s="3">
        <f t="shared" si="10"/>
        <v>0.34</v>
      </c>
      <c r="I122" s="3">
        <f t="shared" si="10"/>
        <v>0.34</v>
      </c>
      <c r="J122" s="3">
        <f t="shared" si="10"/>
        <v>0.34</v>
      </c>
      <c r="K122" s="3">
        <f t="shared" si="10"/>
        <v>0.34</v>
      </c>
      <c r="L122" s="3">
        <f t="shared" si="10"/>
        <v>0.34</v>
      </c>
      <c r="M122" s="3">
        <f t="shared" si="10"/>
        <v>0.34</v>
      </c>
      <c r="N122" s="3">
        <f t="shared" si="10"/>
        <v>0.34</v>
      </c>
      <c r="O122" s="3">
        <f t="shared" si="10"/>
        <v>0.34</v>
      </c>
      <c r="P122" s="3">
        <f t="shared" si="10"/>
        <v>0.34</v>
      </c>
    </row>
    <row r="123" spans="1:16">
      <c r="A123" s="84" t="s">
        <v>319</v>
      </c>
      <c r="B123" s="85" t="s">
        <v>318</v>
      </c>
      <c r="C123" s="85" t="s">
        <v>83</v>
      </c>
      <c r="D123" s="84" t="s">
        <v>75</v>
      </c>
      <c r="E123" s="84" t="str">
        <f>VLOOKUP(A123,'2a. SI Pop'!$A$5:$E$198,5,FALSE)</f>
        <v>Key</v>
      </c>
      <c r="F123" s="3">
        <f>SUMIFS(Input!$Q$5:$Q$44,Input!$O$5:$O$44,'6b. %FP- SIA'!A123,Input!$P$5:$P$44,"SIA")</f>
        <v>0.5</v>
      </c>
      <c r="G123" s="3">
        <f t="shared" si="10"/>
        <v>0.5</v>
      </c>
      <c r="H123" s="3">
        <f t="shared" si="10"/>
        <v>0.5</v>
      </c>
      <c r="I123" s="3">
        <f t="shared" si="10"/>
        <v>0.5</v>
      </c>
      <c r="J123" s="3">
        <f t="shared" si="10"/>
        <v>0.5</v>
      </c>
      <c r="K123" s="3">
        <f t="shared" si="10"/>
        <v>0.5</v>
      </c>
      <c r="L123" s="3">
        <f t="shared" si="10"/>
        <v>0.5</v>
      </c>
      <c r="M123" s="3">
        <f t="shared" si="10"/>
        <v>0.5</v>
      </c>
      <c r="N123" s="3">
        <f t="shared" si="10"/>
        <v>0.5</v>
      </c>
      <c r="O123" s="3">
        <f t="shared" si="10"/>
        <v>0.5</v>
      </c>
      <c r="P123" s="3">
        <f t="shared" si="10"/>
        <v>0.5</v>
      </c>
    </row>
    <row r="124" spans="1:16">
      <c r="A124" s="84" t="s">
        <v>321</v>
      </c>
      <c r="B124" s="85" t="s">
        <v>320</v>
      </c>
      <c r="C124" s="85" t="s">
        <v>110</v>
      </c>
      <c r="D124" s="84" t="s">
        <v>84</v>
      </c>
      <c r="E124" s="84">
        <f>VLOOKUP(A124,'2a. SI Pop'!$A$5:$E$198,5,FALSE)</f>
        <v>4</v>
      </c>
      <c r="F124" s="3">
        <f>SUMIFS(Input!$Q$5:$Q$44,Input!$O$5:$O$44,'6b. %FP- SIA'!E124,Input!$P$5:$P$44,"SIA")</f>
        <v>0.41</v>
      </c>
      <c r="G124" s="3">
        <f t="shared" si="10"/>
        <v>0.41</v>
      </c>
      <c r="H124" s="3">
        <f t="shared" si="10"/>
        <v>0.41</v>
      </c>
      <c r="I124" s="3">
        <f t="shared" si="10"/>
        <v>0.41</v>
      </c>
      <c r="J124" s="3">
        <f t="shared" si="10"/>
        <v>0.41</v>
      </c>
      <c r="K124" s="3">
        <f t="shared" si="10"/>
        <v>0.41</v>
      </c>
      <c r="L124" s="3">
        <f t="shared" si="10"/>
        <v>0.41</v>
      </c>
      <c r="M124" s="3">
        <f t="shared" si="10"/>
        <v>0.41</v>
      </c>
      <c r="N124" s="3">
        <f t="shared" si="10"/>
        <v>0.41</v>
      </c>
      <c r="O124" s="3">
        <f t="shared" si="10"/>
        <v>0.41</v>
      </c>
      <c r="P124" s="3">
        <f t="shared" si="10"/>
        <v>0.41</v>
      </c>
    </row>
    <row r="125" spans="1:16">
      <c r="A125" s="84" t="s">
        <v>323</v>
      </c>
      <c r="B125" s="85" t="s">
        <v>322</v>
      </c>
      <c r="C125" s="85" t="s">
        <v>83</v>
      </c>
      <c r="D125" s="84" t="s">
        <v>80</v>
      </c>
      <c r="E125" s="84">
        <f>VLOOKUP(A125,'2a. SI Pop'!$A$5:$E$198,5,FALSE)</f>
        <v>3</v>
      </c>
      <c r="F125" s="3">
        <f>SUMIFS(Input!$Q$5:$Q$44,Input!$O$5:$O$44,'6b. %FP- SIA'!E125,Input!$P$5:$P$44,"SIA")</f>
        <v>0.34</v>
      </c>
      <c r="G125" s="3">
        <f t="shared" si="10"/>
        <v>0.34</v>
      </c>
      <c r="H125" s="3">
        <f t="shared" si="10"/>
        <v>0.34</v>
      </c>
      <c r="I125" s="3">
        <f t="shared" si="10"/>
        <v>0.34</v>
      </c>
      <c r="J125" s="3">
        <f t="shared" si="10"/>
        <v>0.34</v>
      </c>
      <c r="K125" s="3">
        <f t="shared" si="10"/>
        <v>0.34</v>
      </c>
      <c r="L125" s="3">
        <f t="shared" si="10"/>
        <v>0.34</v>
      </c>
      <c r="M125" s="3">
        <f t="shared" si="10"/>
        <v>0.34</v>
      </c>
      <c r="N125" s="3">
        <f t="shared" si="10"/>
        <v>0.34</v>
      </c>
      <c r="O125" s="3">
        <f t="shared" si="10"/>
        <v>0.34</v>
      </c>
      <c r="P125" s="3">
        <f t="shared" si="10"/>
        <v>0.34</v>
      </c>
    </row>
    <row r="126" spans="1:16">
      <c r="A126" s="84" t="s">
        <v>325</v>
      </c>
      <c r="B126" s="85" t="s">
        <v>324</v>
      </c>
      <c r="C126" s="85" t="s">
        <v>99</v>
      </c>
      <c r="D126" s="84" t="s">
        <v>87</v>
      </c>
      <c r="E126" s="84">
        <f>VLOOKUP(A126,'2a. SI Pop'!$A$5:$E$198,5,FALSE)</f>
        <v>1</v>
      </c>
      <c r="F126" s="3">
        <f>SUMIFS(Input!$Q$5:$Q$44,Input!$O$5:$O$44,'6b. %FP- SIA'!E126,Input!$P$5:$P$44,"SIA")</f>
        <v>0.52</v>
      </c>
      <c r="G126" s="3">
        <f t="shared" si="10"/>
        <v>0.52</v>
      </c>
      <c r="H126" s="3">
        <f t="shared" si="10"/>
        <v>0.52</v>
      </c>
      <c r="I126" s="3">
        <f t="shared" si="10"/>
        <v>0.52</v>
      </c>
      <c r="J126" s="3">
        <f t="shared" si="10"/>
        <v>0.52</v>
      </c>
      <c r="K126" s="3">
        <f t="shared" si="10"/>
        <v>0.52</v>
      </c>
      <c r="L126" s="3">
        <f t="shared" si="10"/>
        <v>0.52</v>
      </c>
      <c r="M126" s="3">
        <f t="shared" si="10"/>
        <v>0.52</v>
      </c>
      <c r="N126" s="3">
        <f t="shared" si="10"/>
        <v>0.52</v>
      </c>
      <c r="O126" s="3">
        <f t="shared" si="10"/>
        <v>0.52</v>
      </c>
      <c r="P126" s="3">
        <f t="shared" si="10"/>
        <v>0.52</v>
      </c>
    </row>
    <row r="127" spans="1:16">
      <c r="A127" s="84" t="s">
        <v>327</v>
      </c>
      <c r="B127" s="85" t="s">
        <v>326</v>
      </c>
      <c r="C127" s="85" t="s">
        <v>110</v>
      </c>
      <c r="D127" s="84" t="s">
        <v>84</v>
      </c>
      <c r="E127" s="84">
        <f>VLOOKUP(A127,'2a. SI Pop'!$A$5:$E$198,5,FALSE)</f>
        <v>4</v>
      </c>
      <c r="F127" s="3">
        <f>SUMIFS(Input!$Q$5:$Q$44,Input!$O$5:$O$44,'6b. %FP- SIA'!E127,Input!$P$5:$P$44,"SIA")</f>
        <v>0.41</v>
      </c>
      <c r="G127" s="3">
        <f t="shared" si="10"/>
        <v>0.41</v>
      </c>
      <c r="H127" s="3">
        <f t="shared" si="10"/>
        <v>0.41</v>
      </c>
      <c r="I127" s="3">
        <f t="shared" si="10"/>
        <v>0.41</v>
      </c>
      <c r="J127" s="3">
        <f t="shared" si="10"/>
        <v>0.41</v>
      </c>
      <c r="K127" s="3">
        <f t="shared" si="10"/>
        <v>0.41</v>
      </c>
      <c r="L127" s="3">
        <f t="shared" si="10"/>
        <v>0.41</v>
      </c>
      <c r="M127" s="3">
        <f t="shared" si="10"/>
        <v>0.41</v>
      </c>
      <c r="N127" s="3">
        <f t="shared" si="10"/>
        <v>0.41</v>
      </c>
      <c r="O127" s="3">
        <f t="shared" si="10"/>
        <v>0.41</v>
      </c>
      <c r="P127" s="3">
        <f t="shared" si="10"/>
        <v>0.41</v>
      </c>
    </row>
    <row r="128" spans="1:16">
      <c r="A128" s="84" t="s">
        <v>329</v>
      </c>
      <c r="B128" s="85" t="s">
        <v>328</v>
      </c>
      <c r="C128" s="85" t="s">
        <v>79</v>
      </c>
      <c r="D128" s="84" t="s">
        <v>87</v>
      </c>
      <c r="E128" s="84">
        <f>VLOOKUP(A128,'2a. SI Pop'!$A$5:$E$198,5,FALSE)</f>
        <v>1</v>
      </c>
      <c r="F128" s="3">
        <f>SUMIFS(Input!$Q$5:$Q$44,Input!$O$5:$O$44,'6b. %FP- SIA'!E128,Input!$P$5:$P$44,"SIA")</f>
        <v>0.52</v>
      </c>
      <c r="G128" s="3">
        <f t="shared" si="10"/>
        <v>0.52</v>
      </c>
      <c r="H128" s="3">
        <f t="shared" si="10"/>
        <v>0.52</v>
      </c>
      <c r="I128" s="3">
        <f t="shared" si="10"/>
        <v>0.52</v>
      </c>
      <c r="J128" s="3">
        <f t="shared" si="10"/>
        <v>0.52</v>
      </c>
      <c r="K128" s="3">
        <f t="shared" si="10"/>
        <v>0.52</v>
      </c>
      <c r="L128" s="3">
        <f t="shared" si="10"/>
        <v>0.52</v>
      </c>
      <c r="M128" s="3">
        <f t="shared" si="10"/>
        <v>0.52</v>
      </c>
      <c r="N128" s="3">
        <f t="shared" si="10"/>
        <v>0.52</v>
      </c>
      <c r="O128" s="3">
        <f t="shared" si="10"/>
        <v>0.52</v>
      </c>
      <c r="P128" s="3">
        <f t="shared" si="10"/>
        <v>0.52</v>
      </c>
    </row>
    <row r="129" spans="1:16">
      <c r="A129" s="84" t="s">
        <v>331</v>
      </c>
      <c r="B129" s="85" t="s">
        <v>330</v>
      </c>
      <c r="C129" s="85" t="s">
        <v>99</v>
      </c>
      <c r="D129" s="84" t="s">
        <v>87</v>
      </c>
      <c r="E129" s="84">
        <f>VLOOKUP(A129,'2a. SI Pop'!$A$5:$E$198,5,FALSE)</f>
        <v>1</v>
      </c>
      <c r="F129" s="3">
        <f>SUMIFS(Input!$Q$5:$Q$44,Input!$O$5:$O$44,'6b. %FP- SIA'!E129,Input!$P$5:$P$44,"SIA")</f>
        <v>0.52</v>
      </c>
      <c r="G129" s="3">
        <f t="shared" si="10"/>
        <v>0.52</v>
      </c>
      <c r="H129" s="3">
        <f t="shared" si="10"/>
        <v>0.52</v>
      </c>
      <c r="I129" s="3">
        <f t="shared" si="10"/>
        <v>0.52</v>
      </c>
      <c r="J129" s="3">
        <f t="shared" si="10"/>
        <v>0.52</v>
      </c>
      <c r="K129" s="3">
        <f t="shared" si="10"/>
        <v>0.52</v>
      </c>
      <c r="L129" s="3">
        <f t="shared" si="10"/>
        <v>0.52</v>
      </c>
      <c r="M129" s="3">
        <f t="shared" si="10"/>
        <v>0.52</v>
      </c>
      <c r="N129" s="3">
        <f t="shared" si="10"/>
        <v>0.52</v>
      </c>
      <c r="O129" s="3">
        <f t="shared" si="10"/>
        <v>0.52</v>
      </c>
      <c r="P129" s="3">
        <f t="shared" si="10"/>
        <v>0.52</v>
      </c>
    </row>
    <row r="130" spans="1:16">
      <c r="A130" s="84" t="s">
        <v>333</v>
      </c>
      <c r="B130" s="85" t="s">
        <v>332</v>
      </c>
      <c r="C130" s="85" t="s">
        <v>92</v>
      </c>
      <c r="D130" s="84" t="s">
        <v>84</v>
      </c>
      <c r="E130" s="84">
        <f>VLOOKUP(A130,'2a. SI Pop'!$A$5:$E$198,5,FALSE)</f>
        <v>2</v>
      </c>
      <c r="F130" s="3">
        <f>SUMIFS(Input!$Q$5:$Q$44,Input!$O$5:$O$44,'6b. %FP- SIA'!E130,Input!$P$5:$P$44,"SIA")</f>
        <v>0.38</v>
      </c>
      <c r="G130" s="3">
        <f t="shared" si="10"/>
        <v>0.38</v>
      </c>
      <c r="H130" s="3">
        <f t="shared" si="10"/>
        <v>0.38</v>
      </c>
      <c r="I130" s="3">
        <f t="shared" si="10"/>
        <v>0.38</v>
      </c>
      <c r="J130" s="3">
        <f t="shared" si="10"/>
        <v>0.38</v>
      </c>
      <c r="K130" s="3">
        <f t="shared" si="10"/>
        <v>0.38</v>
      </c>
      <c r="L130" s="3">
        <f t="shared" si="10"/>
        <v>0.38</v>
      </c>
      <c r="M130" s="3">
        <f t="shared" si="10"/>
        <v>0.38</v>
      </c>
      <c r="N130" s="3">
        <f t="shared" si="10"/>
        <v>0.38</v>
      </c>
      <c r="O130" s="3">
        <f t="shared" si="10"/>
        <v>0.38</v>
      </c>
      <c r="P130" s="3">
        <f t="shared" si="10"/>
        <v>0.38</v>
      </c>
    </row>
    <row r="131" spans="1:16">
      <c r="A131" s="84" t="s">
        <v>335</v>
      </c>
      <c r="B131" s="85" t="s">
        <v>334</v>
      </c>
      <c r="C131" s="85" t="s">
        <v>83</v>
      </c>
      <c r="D131" s="84" t="s">
        <v>75</v>
      </c>
      <c r="E131" s="84">
        <f>VLOOKUP(A131,'2a. SI Pop'!$A$5:$E$198,5,FALSE)</f>
        <v>3</v>
      </c>
      <c r="F131" s="3">
        <f>SUMIFS(Input!$Q$5:$Q$44,Input!$O$5:$O$44,'6b. %FP- SIA'!E131,Input!$P$5:$P$44,"SIA")</f>
        <v>0.34</v>
      </c>
      <c r="G131" s="3">
        <f t="shared" si="10"/>
        <v>0.34</v>
      </c>
      <c r="H131" s="3">
        <f t="shared" si="10"/>
        <v>0.34</v>
      </c>
      <c r="I131" s="3">
        <f t="shared" si="10"/>
        <v>0.34</v>
      </c>
      <c r="J131" s="3">
        <f t="shared" si="10"/>
        <v>0.34</v>
      </c>
      <c r="K131" s="3">
        <f t="shared" si="10"/>
        <v>0.34</v>
      </c>
      <c r="L131" s="3">
        <f t="shared" si="10"/>
        <v>0.34</v>
      </c>
      <c r="M131" s="3">
        <f t="shared" si="10"/>
        <v>0.34</v>
      </c>
      <c r="N131" s="3">
        <f t="shared" si="10"/>
        <v>0.34</v>
      </c>
      <c r="O131" s="3">
        <f t="shared" si="10"/>
        <v>0.34</v>
      </c>
      <c r="P131" s="3">
        <f t="shared" si="10"/>
        <v>0.34</v>
      </c>
    </row>
    <row r="132" spans="1:16">
      <c r="A132" s="84" t="s">
        <v>337</v>
      </c>
      <c r="B132" s="85" t="s">
        <v>336</v>
      </c>
      <c r="C132" s="85" t="s">
        <v>83</v>
      </c>
      <c r="D132" s="84" t="s">
        <v>84</v>
      </c>
      <c r="E132" s="84" t="str">
        <f>VLOOKUP(A132,'2a. SI Pop'!$A$5:$E$198,5,FALSE)</f>
        <v>Key</v>
      </c>
      <c r="F132" s="3">
        <f>SUMIFS(Input!$Q$5:$Q$44,Input!$O$5:$O$44,'6b. %FP- SIA'!A132,Input!$P$5:$P$44,"SIA")</f>
        <v>0.47</v>
      </c>
      <c r="G132" s="3">
        <f t="shared" si="10"/>
        <v>0.47</v>
      </c>
      <c r="H132" s="3">
        <f t="shared" si="10"/>
        <v>0.47</v>
      </c>
      <c r="I132" s="3">
        <f t="shared" si="10"/>
        <v>0.47</v>
      </c>
      <c r="J132" s="3">
        <f t="shared" si="10"/>
        <v>0.47</v>
      </c>
      <c r="K132" s="3">
        <f t="shared" si="10"/>
        <v>0.47</v>
      </c>
      <c r="L132" s="3">
        <f t="shared" si="10"/>
        <v>0.47</v>
      </c>
      <c r="M132" s="3">
        <f t="shared" si="10"/>
        <v>0.47</v>
      </c>
      <c r="N132" s="3">
        <f t="shared" si="10"/>
        <v>0.47</v>
      </c>
      <c r="O132" s="3">
        <f t="shared" si="10"/>
        <v>0.47</v>
      </c>
      <c r="P132" s="3">
        <f t="shared" si="10"/>
        <v>0.47</v>
      </c>
    </row>
    <row r="133" spans="1:16">
      <c r="A133" s="84" t="s">
        <v>339</v>
      </c>
      <c r="B133" s="85" t="s">
        <v>338</v>
      </c>
      <c r="C133" s="85" t="s">
        <v>99</v>
      </c>
      <c r="D133" s="84" t="e">
        <v>#N/A</v>
      </c>
      <c r="E133" s="84">
        <f>VLOOKUP(A133,'2a. SI Pop'!$A$5:$E$198,5,FALSE)</f>
        <v>1</v>
      </c>
      <c r="F133" s="3">
        <f>SUMIFS(Input!$Q$5:$Q$44,Input!$O$5:$O$44,'6b. %FP- SIA'!E133,Input!$P$5:$P$44,"SIA")</f>
        <v>0.52</v>
      </c>
      <c r="G133" s="3">
        <f t="shared" si="10"/>
        <v>0.52</v>
      </c>
      <c r="H133" s="3">
        <f t="shared" si="10"/>
        <v>0.52</v>
      </c>
      <c r="I133" s="3">
        <f t="shared" si="10"/>
        <v>0.52</v>
      </c>
      <c r="J133" s="3">
        <f t="shared" si="10"/>
        <v>0.52</v>
      </c>
      <c r="K133" s="3">
        <f t="shared" si="10"/>
        <v>0.52</v>
      </c>
      <c r="L133" s="3">
        <f t="shared" si="10"/>
        <v>0.52</v>
      </c>
      <c r="M133" s="3">
        <f t="shared" si="10"/>
        <v>0.52</v>
      </c>
      <c r="N133" s="3">
        <f t="shared" si="10"/>
        <v>0.52</v>
      </c>
      <c r="O133" s="3">
        <f t="shared" si="10"/>
        <v>0.52</v>
      </c>
      <c r="P133" s="3">
        <f t="shared" si="10"/>
        <v>0.52</v>
      </c>
    </row>
    <row r="134" spans="1:16">
      <c r="A134" s="84" t="s">
        <v>341</v>
      </c>
      <c r="B134" s="85" t="s">
        <v>340</v>
      </c>
      <c r="C134" s="85" t="s">
        <v>79</v>
      </c>
      <c r="D134" s="84" t="s">
        <v>87</v>
      </c>
      <c r="E134" s="84">
        <f>VLOOKUP(A134,'2a. SI Pop'!$A$5:$E$198,5,FALSE)</f>
        <v>1</v>
      </c>
      <c r="F134" s="3">
        <f>SUMIFS(Input!$Q$5:$Q$44,Input!$O$5:$O$44,'6b. %FP- SIA'!E134,Input!$P$5:$P$44,"SIA")</f>
        <v>0.52</v>
      </c>
      <c r="G134" s="3">
        <f t="shared" ref="G134:P149" si="11">F134</f>
        <v>0.52</v>
      </c>
      <c r="H134" s="3">
        <f t="shared" si="11"/>
        <v>0.52</v>
      </c>
      <c r="I134" s="3">
        <f t="shared" si="11"/>
        <v>0.52</v>
      </c>
      <c r="J134" s="3">
        <f t="shared" si="11"/>
        <v>0.52</v>
      </c>
      <c r="K134" s="3">
        <f t="shared" si="11"/>
        <v>0.52</v>
      </c>
      <c r="L134" s="3">
        <f t="shared" si="11"/>
        <v>0.52</v>
      </c>
      <c r="M134" s="3">
        <f t="shared" si="11"/>
        <v>0.52</v>
      </c>
      <c r="N134" s="3">
        <f t="shared" si="11"/>
        <v>0.52</v>
      </c>
      <c r="O134" s="3">
        <f t="shared" si="11"/>
        <v>0.52</v>
      </c>
      <c r="P134" s="3">
        <f t="shared" si="11"/>
        <v>0.52</v>
      </c>
    </row>
    <row r="135" spans="1:16">
      <c r="A135" s="84" t="s">
        <v>343</v>
      </c>
      <c r="B135" s="85" t="s">
        <v>342</v>
      </c>
      <c r="C135" s="85" t="s">
        <v>74</v>
      </c>
      <c r="D135" s="84" t="s">
        <v>87</v>
      </c>
      <c r="E135" s="84">
        <f>VLOOKUP(A135,'2a. SI Pop'!$A$5:$E$198,5,FALSE)</f>
        <v>1</v>
      </c>
      <c r="F135" s="3">
        <f>SUMIFS(Input!$Q$5:$Q$44,Input!$O$5:$O$44,'6b. %FP- SIA'!E135,Input!$P$5:$P$44,"SIA")</f>
        <v>0.52</v>
      </c>
      <c r="G135" s="3">
        <f t="shared" si="11"/>
        <v>0.52</v>
      </c>
      <c r="H135" s="3">
        <f t="shared" si="11"/>
        <v>0.52</v>
      </c>
      <c r="I135" s="3">
        <f t="shared" si="11"/>
        <v>0.52</v>
      </c>
      <c r="J135" s="3">
        <f t="shared" si="11"/>
        <v>0.52</v>
      </c>
      <c r="K135" s="3">
        <f t="shared" si="11"/>
        <v>0.52</v>
      </c>
      <c r="L135" s="3">
        <f t="shared" si="11"/>
        <v>0.52</v>
      </c>
      <c r="M135" s="3">
        <f t="shared" si="11"/>
        <v>0.52</v>
      </c>
      <c r="N135" s="3">
        <f t="shared" si="11"/>
        <v>0.52</v>
      </c>
      <c r="O135" s="3">
        <f t="shared" si="11"/>
        <v>0.52</v>
      </c>
      <c r="P135" s="3">
        <f t="shared" si="11"/>
        <v>0.52</v>
      </c>
    </row>
    <row r="136" spans="1:16">
      <c r="A136" s="84" t="s">
        <v>345</v>
      </c>
      <c r="B136" s="85" t="s">
        <v>344</v>
      </c>
      <c r="C136" s="85" t="s">
        <v>74</v>
      </c>
      <c r="D136" s="84" t="s">
        <v>84</v>
      </c>
      <c r="E136" s="84" t="str">
        <f>VLOOKUP(A136,'2a. SI Pop'!$A$5:$E$198,5,FALSE)</f>
        <v>Key</v>
      </c>
      <c r="F136" s="3">
        <f>SUMIFS(Input!$Q$5:$Q$44,Input!$O$5:$O$44,'6b. %FP- SIA'!A136,Input!$P$5:$P$44,"SIA")</f>
        <v>0.3</v>
      </c>
      <c r="G136" s="3">
        <f t="shared" si="11"/>
        <v>0.3</v>
      </c>
      <c r="H136" s="3">
        <f t="shared" si="11"/>
        <v>0.3</v>
      </c>
      <c r="I136" s="3">
        <f t="shared" si="11"/>
        <v>0.3</v>
      </c>
      <c r="J136" s="3">
        <f t="shared" si="11"/>
        <v>0.3</v>
      </c>
      <c r="K136" s="3">
        <f t="shared" si="11"/>
        <v>0.3</v>
      </c>
      <c r="L136" s="3">
        <f t="shared" si="11"/>
        <v>0.3</v>
      </c>
      <c r="M136" s="3">
        <f t="shared" si="11"/>
        <v>0.3</v>
      </c>
      <c r="N136" s="3">
        <f t="shared" si="11"/>
        <v>0.3</v>
      </c>
      <c r="O136" s="3">
        <f t="shared" si="11"/>
        <v>0.3</v>
      </c>
      <c r="P136" s="3">
        <f t="shared" si="11"/>
        <v>0.3</v>
      </c>
    </row>
    <row r="137" spans="1:16">
      <c r="A137" s="84" t="s">
        <v>347</v>
      </c>
      <c r="B137" s="85" t="s">
        <v>346</v>
      </c>
      <c r="C137" s="85" t="s">
        <v>99</v>
      </c>
      <c r="D137" s="84" t="s">
        <v>87</v>
      </c>
      <c r="E137" s="84">
        <f>VLOOKUP(A137,'2a. SI Pop'!$A$5:$E$198,5,FALSE)</f>
        <v>1</v>
      </c>
      <c r="F137" s="3">
        <f>SUMIFS(Input!$Q$5:$Q$44,Input!$O$5:$O$44,'6b. %FP- SIA'!E137,Input!$P$5:$P$44,"SIA")</f>
        <v>0.52</v>
      </c>
      <c r="G137" s="3">
        <f t="shared" si="11"/>
        <v>0.52</v>
      </c>
      <c r="H137" s="3">
        <f t="shared" si="11"/>
        <v>0.52</v>
      </c>
      <c r="I137" s="3">
        <f t="shared" si="11"/>
        <v>0.52</v>
      </c>
      <c r="J137" s="3">
        <f t="shared" si="11"/>
        <v>0.52</v>
      </c>
      <c r="K137" s="3">
        <f t="shared" si="11"/>
        <v>0.52</v>
      </c>
      <c r="L137" s="3">
        <f t="shared" si="11"/>
        <v>0.52</v>
      </c>
      <c r="M137" s="3">
        <f t="shared" si="11"/>
        <v>0.52</v>
      </c>
      <c r="N137" s="3">
        <f t="shared" si="11"/>
        <v>0.52</v>
      </c>
      <c r="O137" s="3">
        <f t="shared" si="11"/>
        <v>0.52</v>
      </c>
      <c r="P137" s="3">
        <f t="shared" si="11"/>
        <v>0.52</v>
      </c>
    </row>
    <row r="138" spans="1:16">
      <c r="A138" s="84" t="s">
        <v>349</v>
      </c>
      <c r="B138" s="85" t="s">
        <v>348</v>
      </c>
      <c r="C138" s="85" t="s">
        <v>92</v>
      </c>
      <c r="D138" s="84" t="s">
        <v>87</v>
      </c>
      <c r="E138" s="84">
        <f>VLOOKUP(A138,'2a. SI Pop'!$A$5:$E$198,5,FALSE)</f>
        <v>1</v>
      </c>
      <c r="F138" s="3">
        <f>SUMIFS(Input!$Q$5:$Q$44,Input!$O$5:$O$44,'6b. %FP- SIA'!E138,Input!$P$5:$P$44,"SIA")</f>
        <v>0.52</v>
      </c>
      <c r="G138" s="3">
        <f t="shared" si="11"/>
        <v>0.52</v>
      </c>
      <c r="H138" s="3">
        <f t="shared" si="11"/>
        <v>0.52</v>
      </c>
      <c r="I138" s="3">
        <f t="shared" si="11"/>
        <v>0.52</v>
      </c>
      <c r="J138" s="3">
        <f t="shared" si="11"/>
        <v>0.52</v>
      </c>
      <c r="K138" s="3">
        <f t="shared" si="11"/>
        <v>0.52</v>
      </c>
      <c r="L138" s="3">
        <f t="shared" si="11"/>
        <v>0.52</v>
      </c>
      <c r="M138" s="3">
        <f t="shared" si="11"/>
        <v>0.52</v>
      </c>
      <c r="N138" s="3">
        <f t="shared" si="11"/>
        <v>0.52</v>
      </c>
      <c r="O138" s="3">
        <f t="shared" si="11"/>
        <v>0.52</v>
      </c>
      <c r="P138" s="3">
        <f t="shared" si="11"/>
        <v>0.52</v>
      </c>
    </row>
    <row r="139" spans="1:16">
      <c r="A139" s="84" t="s">
        <v>351</v>
      </c>
      <c r="B139" s="85" t="s">
        <v>350</v>
      </c>
      <c r="C139" s="85" t="s">
        <v>99</v>
      </c>
      <c r="D139" s="84" t="s">
        <v>84</v>
      </c>
      <c r="E139" s="84">
        <f>VLOOKUP(A139,'2a. SI Pop'!$A$5:$E$198,5,FALSE)</f>
        <v>4</v>
      </c>
      <c r="F139" s="3">
        <f>SUMIFS(Input!$Q$5:$Q$44,Input!$O$5:$O$44,'6b. %FP- SIA'!E139,Input!$P$5:$P$44,"SIA")</f>
        <v>0.41</v>
      </c>
      <c r="G139" s="3">
        <f t="shared" si="11"/>
        <v>0.41</v>
      </c>
      <c r="H139" s="3">
        <f t="shared" si="11"/>
        <v>0.41</v>
      </c>
      <c r="I139" s="3">
        <f t="shared" si="11"/>
        <v>0.41</v>
      </c>
      <c r="J139" s="3">
        <f t="shared" si="11"/>
        <v>0.41</v>
      </c>
      <c r="K139" s="3">
        <f t="shared" si="11"/>
        <v>0.41</v>
      </c>
      <c r="L139" s="3">
        <f t="shared" si="11"/>
        <v>0.41</v>
      </c>
      <c r="M139" s="3">
        <f t="shared" si="11"/>
        <v>0.41</v>
      </c>
      <c r="N139" s="3">
        <f t="shared" si="11"/>
        <v>0.41</v>
      </c>
      <c r="O139" s="3">
        <f t="shared" si="11"/>
        <v>0.41</v>
      </c>
      <c r="P139" s="3">
        <f t="shared" si="11"/>
        <v>0.41</v>
      </c>
    </row>
    <row r="140" spans="1:16">
      <c r="A140" s="84" t="s">
        <v>353</v>
      </c>
      <c r="B140" s="85" t="s">
        <v>352</v>
      </c>
      <c r="C140" s="85" t="s">
        <v>92</v>
      </c>
      <c r="D140" s="84" t="s">
        <v>80</v>
      </c>
      <c r="E140" s="84">
        <f>VLOOKUP(A140,'2a. SI Pop'!$A$5:$E$198,5,FALSE)</f>
        <v>1</v>
      </c>
      <c r="F140" s="3">
        <f>SUMIFS(Input!$Q$5:$Q$44,Input!$O$5:$O$44,'6b. %FP- SIA'!E140,Input!$P$5:$P$44,"SIA")</f>
        <v>0.52</v>
      </c>
      <c r="G140" s="3">
        <f t="shared" si="11"/>
        <v>0.52</v>
      </c>
      <c r="H140" s="3">
        <f t="shared" si="11"/>
        <v>0.52</v>
      </c>
      <c r="I140" s="3">
        <f t="shared" si="11"/>
        <v>0.52</v>
      </c>
      <c r="J140" s="3">
        <f t="shared" si="11"/>
        <v>0.52</v>
      </c>
      <c r="K140" s="3">
        <f t="shared" si="11"/>
        <v>0.52</v>
      </c>
      <c r="L140" s="3">
        <f t="shared" si="11"/>
        <v>0.52</v>
      </c>
      <c r="M140" s="3">
        <f t="shared" si="11"/>
        <v>0.52</v>
      </c>
      <c r="N140" s="3">
        <f t="shared" si="11"/>
        <v>0.52</v>
      </c>
      <c r="O140" s="3">
        <f t="shared" si="11"/>
        <v>0.52</v>
      </c>
      <c r="P140" s="3">
        <f t="shared" si="11"/>
        <v>0.52</v>
      </c>
    </row>
    <row r="141" spans="1:16">
      <c r="A141" s="84" t="s">
        <v>355</v>
      </c>
      <c r="B141" s="85" t="s">
        <v>354</v>
      </c>
      <c r="C141" s="85" t="s">
        <v>92</v>
      </c>
      <c r="D141" s="84" t="s">
        <v>80</v>
      </c>
      <c r="E141" s="84">
        <f>VLOOKUP(A141,'2a. SI Pop'!$A$5:$E$198,5,FALSE)</f>
        <v>2</v>
      </c>
      <c r="F141" s="3">
        <f>SUMIFS(Input!$Q$5:$Q$44,Input!$O$5:$O$44,'6b. %FP- SIA'!E141,Input!$P$5:$P$44,"SIA")</f>
        <v>0.38</v>
      </c>
      <c r="G141" s="3">
        <f t="shared" si="11"/>
        <v>0.38</v>
      </c>
      <c r="H141" s="3">
        <f t="shared" si="11"/>
        <v>0.38</v>
      </c>
      <c r="I141" s="3">
        <f t="shared" si="11"/>
        <v>0.38</v>
      </c>
      <c r="J141" s="3">
        <f t="shared" si="11"/>
        <v>0.38</v>
      </c>
      <c r="K141" s="3">
        <f t="shared" si="11"/>
        <v>0.38</v>
      </c>
      <c r="L141" s="3">
        <f t="shared" si="11"/>
        <v>0.38</v>
      </c>
      <c r="M141" s="3">
        <f t="shared" si="11"/>
        <v>0.38</v>
      </c>
      <c r="N141" s="3">
        <f t="shared" si="11"/>
        <v>0.38</v>
      </c>
      <c r="O141" s="3">
        <f t="shared" si="11"/>
        <v>0.38</v>
      </c>
      <c r="P141" s="3">
        <f t="shared" si="11"/>
        <v>0.38</v>
      </c>
    </row>
    <row r="142" spans="1:16">
      <c r="A142" s="84" t="s">
        <v>357</v>
      </c>
      <c r="B142" s="85" t="s">
        <v>356</v>
      </c>
      <c r="C142" s="85" t="s">
        <v>99</v>
      </c>
      <c r="D142" s="84" t="s">
        <v>84</v>
      </c>
      <c r="E142" s="84" t="str">
        <f>VLOOKUP(A142,'2a. SI Pop'!$A$5:$E$198,5,FALSE)</f>
        <v>Key</v>
      </c>
      <c r="F142" s="3">
        <f>SUMIFS(Input!$Q$5:$Q$44,Input!$O$5:$O$44,'6b. %FP- SIA'!A142,Input!$P$5:$P$44,"SIA")</f>
        <v>0.41</v>
      </c>
      <c r="G142" s="3">
        <f t="shared" si="11"/>
        <v>0.41</v>
      </c>
      <c r="H142" s="3">
        <f t="shared" si="11"/>
        <v>0.41</v>
      </c>
      <c r="I142" s="3">
        <f t="shared" si="11"/>
        <v>0.41</v>
      </c>
      <c r="J142" s="3">
        <f t="shared" si="11"/>
        <v>0.41</v>
      </c>
      <c r="K142" s="3">
        <f t="shared" si="11"/>
        <v>0.41</v>
      </c>
      <c r="L142" s="3">
        <f t="shared" si="11"/>
        <v>0.41</v>
      </c>
      <c r="M142" s="3">
        <f t="shared" si="11"/>
        <v>0.41</v>
      </c>
      <c r="N142" s="3">
        <f t="shared" si="11"/>
        <v>0.41</v>
      </c>
      <c r="O142" s="3">
        <f t="shared" si="11"/>
        <v>0.41</v>
      </c>
      <c r="P142" s="3">
        <f t="shared" si="11"/>
        <v>0.41</v>
      </c>
    </row>
    <row r="143" spans="1:16">
      <c r="A143" s="84" t="s">
        <v>359</v>
      </c>
      <c r="B143" s="85" t="s">
        <v>358</v>
      </c>
      <c r="C143" s="85" t="s">
        <v>79</v>
      </c>
      <c r="D143" s="84" t="s">
        <v>87</v>
      </c>
      <c r="E143" s="84">
        <f>VLOOKUP(A143,'2a. SI Pop'!$A$5:$E$198,5,FALSE)</f>
        <v>1</v>
      </c>
      <c r="F143" s="3">
        <f>SUMIFS(Input!$Q$5:$Q$44,Input!$O$5:$O$44,'6b. %FP- SIA'!E143,Input!$P$5:$P$44,"SIA")</f>
        <v>0.52</v>
      </c>
      <c r="G143" s="3">
        <f t="shared" si="11"/>
        <v>0.52</v>
      </c>
      <c r="H143" s="3">
        <f t="shared" si="11"/>
        <v>0.52</v>
      </c>
      <c r="I143" s="3">
        <f t="shared" si="11"/>
        <v>0.52</v>
      </c>
      <c r="J143" s="3">
        <f t="shared" si="11"/>
        <v>0.52</v>
      </c>
      <c r="K143" s="3">
        <f t="shared" si="11"/>
        <v>0.52</v>
      </c>
      <c r="L143" s="3">
        <f t="shared" si="11"/>
        <v>0.52</v>
      </c>
      <c r="M143" s="3">
        <f t="shared" si="11"/>
        <v>0.52</v>
      </c>
      <c r="N143" s="3">
        <f t="shared" si="11"/>
        <v>0.52</v>
      </c>
      <c r="O143" s="3">
        <f t="shared" si="11"/>
        <v>0.52</v>
      </c>
      <c r="P143" s="3">
        <f t="shared" si="11"/>
        <v>0.52</v>
      </c>
    </row>
    <row r="144" spans="1:16">
      <c r="A144" s="84" t="s">
        <v>361</v>
      </c>
      <c r="B144" s="85" t="s">
        <v>360</v>
      </c>
      <c r="C144" s="85" t="s">
        <v>79</v>
      </c>
      <c r="D144" s="84" t="s">
        <v>87</v>
      </c>
      <c r="E144" s="84">
        <f>VLOOKUP(A144,'2a. SI Pop'!$A$5:$E$198,5,FALSE)</f>
        <v>1</v>
      </c>
      <c r="F144" s="3">
        <f>SUMIFS(Input!$Q$5:$Q$44,Input!$O$5:$O$44,'6b. %FP- SIA'!E144,Input!$P$5:$P$44,"SIA")</f>
        <v>0.52</v>
      </c>
      <c r="G144" s="3">
        <f t="shared" si="11"/>
        <v>0.52</v>
      </c>
      <c r="H144" s="3">
        <f t="shared" si="11"/>
        <v>0.52</v>
      </c>
      <c r="I144" s="3">
        <f t="shared" si="11"/>
        <v>0.52</v>
      </c>
      <c r="J144" s="3">
        <f t="shared" si="11"/>
        <v>0.52</v>
      </c>
      <c r="K144" s="3">
        <f t="shared" si="11"/>
        <v>0.52</v>
      </c>
      <c r="L144" s="3">
        <f t="shared" si="11"/>
        <v>0.52</v>
      </c>
      <c r="M144" s="3">
        <f t="shared" si="11"/>
        <v>0.52</v>
      </c>
      <c r="N144" s="3">
        <f t="shared" si="11"/>
        <v>0.52</v>
      </c>
      <c r="O144" s="3">
        <f t="shared" si="11"/>
        <v>0.52</v>
      </c>
      <c r="P144" s="3">
        <f t="shared" si="11"/>
        <v>0.52</v>
      </c>
    </row>
    <row r="145" spans="1:16">
      <c r="A145" s="84" t="s">
        <v>363</v>
      </c>
      <c r="B145" s="85" t="s">
        <v>362</v>
      </c>
      <c r="C145" s="85" t="s">
        <v>74</v>
      </c>
      <c r="D145" s="84" t="s">
        <v>87</v>
      </c>
      <c r="E145" s="84">
        <f>VLOOKUP(A145,'2a. SI Pop'!$A$5:$E$198,5,FALSE)</f>
        <v>1</v>
      </c>
      <c r="F145" s="3">
        <f>SUMIFS(Input!$Q$5:$Q$44,Input!$O$5:$O$44,'6b. %FP- SIA'!E145,Input!$P$5:$P$44,"SIA")</f>
        <v>0.52</v>
      </c>
      <c r="G145" s="3">
        <f t="shared" si="11"/>
        <v>0.52</v>
      </c>
      <c r="H145" s="3">
        <f t="shared" si="11"/>
        <v>0.52</v>
      </c>
      <c r="I145" s="3">
        <f t="shared" si="11"/>
        <v>0.52</v>
      </c>
      <c r="J145" s="3">
        <f t="shared" si="11"/>
        <v>0.52</v>
      </c>
      <c r="K145" s="3">
        <f t="shared" si="11"/>
        <v>0.52</v>
      </c>
      <c r="L145" s="3">
        <f t="shared" si="11"/>
        <v>0.52</v>
      </c>
      <c r="M145" s="3">
        <f t="shared" si="11"/>
        <v>0.52</v>
      </c>
      <c r="N145" s="3">
        <f t="shared" si="11"/>
        <v>0.52</v>
      </c>
      <c r="O145" s="3">
        <f t="shared" si="11"/>
        <v>0.52</v>
      </c>
      <c r="P145" s="3">
        <f t="shared" si="11"/>
        <v>0.52</v>
      </c>
    </row>
    <row r="146" spans="1:16">
      <c r="A146" s="84" t="s">
        <v>365</v>
      </c>
      <c r="B146" s="85" t="s">
        <v>364</v>
      </c>
      <c r="C146" s="85" t="s">
        <v>79</v>
      </c>
      <c r="D146" s="84" t="s">
        <v>87</v>
      </c>
      <c r="E146" s="84">
        <f>VLOOKUP(A146,'2a. SI Pop'!$A$5:$E$198,5,FALSE)</f>
        <v>2</v>
      </c>
      <c r="F146" s="3">
        <f>SUMIFS(Input!$Q$5:$Q$44,Input!$O$5:$O$44,'6b. %FP- SIA'!E146,Input!$P$5:$P$44,"SIA")</f>
        <v>0.38</v>
      </c>
      <c r="G146" s="3">
        <f t="shared" si="11"/>
        <v>0.38</v>
      </c>
      <c r="H146" s="3">
        <f t="shared" si="11"/>
        <v>0.38</v>
      </c>
      <c r="I146" s="3">
        <f t="shared" si="11"/>
        <v>0.38</v>
      </c>
      <c r="J146" s="3">
        <f t="shared" si="11"/>
        <v>0.38</v>
      </c>
      <c r="K146" s="3">
        <f t="shared" si="11"/>
        <v>0.38</v>
      </c>
      <c r="L146" s="3">
        <f t="shared" si="11"/>
        <v>0.38</v>
      </c>
      <c r="M146" s="3">
        <f t="shared" si="11"/>
        <v>0.38</v>
      </c>
      <c r="N146" s="3">
        <f t="shared" si="11"/>
        <v>0.38</v>
      </c>
      <c r="O146" s="3">
        <f t="shared" si="11"/>
        <v>0.38</v>
      </c>
      <c r="P146" s="3">
        <f t="shared" si="11"/>
        <v>0.38</v>
      </c>
    </row>
    <row r="147" spans="1:16">
      <c r="A147" s="84" t="s">
        <v>367</v>
      </c>
      <c r="B147" s="85" t="s">
        <v>366</v>
      </c>
      <c r="C147" s="85" t="s">
        <v>79</v>
      </c>
      <c r="D147" s="84" t="s">
        <v>80</v>
      </c>
      <c r="E147" s="84">
        <f>VLOOKUP(A147,'2a. SI Pop'!$A$5:$E$198,5,FALSE)</f>
        <v>2</v>
      </c>
      <c r="F147" s="3">
        <f>SUMIFS(Input!$Q$5:$Q$44,Input!$O$5:$O$44,'6b. %FP- SIA'!E147,Input!$P$5:$P$44,"SIA")</f>
        <v>0.38</v>
      </c>
      <c r="G147" s="3">
        <f t="shared" si="11"/>
        <v>0.38</v>
      </c>
      <c r="H147" s="3">
        <f t="shared" si="11"/>
        <v>0.38</v>
      </c>
      <c r="I147" s="3">
        <f t="shared" si="11"/>
        <v>0.38</v>
      </c>
      <c r="J147" s="3">
        <f t="shared" si="11"/>
        <v>0.38</v>
      </c>
      <c r="K147" s="3">
        <f t="shared" si="11"/>
        <v>0.38</v>
      </c>
      <c r="L147" s="3">
        <f t="shared" si="11"/>
        <v>0.38</v>
      </c>
      <c r="M147" s="3">
        <f t="shared" si="11"/>
        <v>0.38</v>
      </c>
      <c r="N147" s="3">
        <f t="shared" si="11"/>
        <v>0.38</v>
      </c>
      <c r="O147" s="3">
        <f t="shared" si="11"/>
        <v>0.38</v>
      </c>
      <c r="P147" s="3">
        <f t="shared" si="11"/>
        <v>0.38</v>
      </c>
    </row>
    <row r="148" spans="1:16">
      <c r="A148" s="84" t="s">
        <v>369</v>
      </c>
      <c r="B148" s="85" t="s">
        <v>368</v>
      </c>
      <c r="C148" s="85" t="s">
        <v>83</v>
      </c>
      <c r="D148" s="84" t="s">
        <v>75</v>
      </c>
      <c r="E148" s="84">
        <f>VLOOKUP(A148,'2a. SI Pop'!$A$5:$E$198,5,FALSE)</f>
        <v>3</v>
      </c>
      <c r="F148" s="3">
        <f>SUMIFS(Input!$Q$5:$Q$44,Input!$O$5:$O$44,'6b. %FP- SIA'!E148,Input!$P$5:$P$44,"SIA")</f>
        <v>0.34</v>
      </c>
      <c r="G148" s="3">
        <f t="shared" si="11"/>
        <v>0.34</v>
      </c>
      <c r="H148" s="3">
        <f t="shared" si="11"/>
        <v>0.34</v>
      </c>
      <c r="I148" s="3">
        <f t="shared" si="11"/>
        <v>0.34</v>
      </c>
      <c r="J148" s="3">
        <f t="shared" si="11"/>
        <v>0.34</v>
      </c>
      <c r="K148" s="3">
        <f t="shared" si="11"/>
        <v>0.34</v>
      </c>
      <c r="L148" s="3">
        <f t="shared" si="11"/>
        <v>0.34</v>
      </c>
      <c r="M148" s="3">
        <f t="shared" si="11"/>
        <v>0.34</v>
      </c>
      <c r="N148" s="3">
        <f t="shared" si="11"/>
        <v>0.34</v>
      </c>
      <c r="O148" s="3">
        <f t="shared" si="11"/>
        <v>0.34</v>
      </c>
      <c r="P148" s="3">
        <f t="shared" si="11"/>
        <v>0.34</v>
      </c>
    </row>
    <row r="149" spans="1:16">
      <c r="A149" s="84" t="s">
        <v>371</v>
      </c>
      <c r="B149" s="85" t="s">
        <v>370</v>
      </c>
      <c r="C149" s="85" t="s">
        <v>92</v>
      </c>
      <c r="D149" s="84" t="s">
        <v>87</v>
      </c>
      <c r="E149" s="84">
        <f>VLOOKUP(A149,'2a. SI Pop'!$A$5:$E$198,5,FALSE)</f>
        <v>1</v>
      </c>
      <c r="F149" s="3">
        <f>SUMIFS(Input!$Q$5:$Q$44,Input!$O$5:$O$44,'6b. %FP- SIA'!E149,Input!$P$5:$P$44,"SIA")</f>
        <v>0.52</v>
      </c>
      <c r="G149" s="3">
        <f t="shared" si="11"/>
        <v>0.52</v>
      </c>
      <c r="H149" s="3">
        <f t="shared" si="11"/>
        <v>0.52</v>
      </c>
      <c r="I149" s="3">
        <f t="shared" si="11"/>
        <v>0.52</v>
      </c>
      <c r="J149" s="3">
        <f t="shared" si="11"/>
        <v>0.52</v>
      </c>
      <c r="K149" s="3">
        <f t="shared" si="11"/>
        <v>0.52</v>
      </c>
      <c r="L149" s="3">
        <f t="shared" si="11"/>
        <v>0.52</v>
      </c>
      <c r="M149" s="3">
        <f t="shared" si="11"/>
        <v>0.52</v>
      </c>
      <c r="N149" s="3">
        <f t="shared" si="11"/>
        <v>0.52</v>
      </c>
      <c r="O149" s="3">
        <f t="shared" si="11"/>
        <v>0.52</v>
      </c>
      <c r="P149" s="3">
        <f t="shared" si="11"/>
        <v>0.52</v>
      </c>
    </row>
    <row r="150" spans="1:16">
      <c r="A150" s="84" t="s">
        <v>373</v>
      </c>
      <c r="B150" s="85" t="s">
        <v>372</v>
      </c>
      <c r="C150" s="85" t="s">
        <v>92</v>
      </c>
      <c r="D150" s="84" t="s">
        <v>80</v>
      </c>
      <c r="E150" s="84">
        <f>VLOOKUP(A150,'2a. SI Pop'!$A$5:$E$198,5,FALSE)</f>
        <v>1</v>
      </c>
      <c r="F150" s="3">
        <f>SUMIFS(Input!$Q$5:$Q$44,Input!$O$5:$O$44,'6b. %FP- SIA'!E150,Input!$P$5:$P$44,"SIA")</f>
        <v>0.52</v>
      </c>
      <c r="G150" s="3">
        <f t="shared" ref="G150:P165" si="12">F150</f>
        <v>0.52</v>
      </c>
      <c r="H150" s="3">
        <f t="shared" si="12"/>
        <v>0.52</v>
      </c>
      <c r="I150" s="3">
        <f t="shared" si="12"/>
        <v>0.52</v>
      </c>
      <c r="J150" s="3">
        <f t="shared" si="12"/>
        <v>0.52</v>
      </c>
      <c r="K150" s="3">
        <f t="shared" si="12"/>
        <v>0.52</v>
      </c>
      <c r="L150" s="3">
        <f t="shared" si="12"/>
        <v>0.52</v>
      </c>
      <c r="M150" s="3">
        <f t="shared" si="12"/>
        <v>0.52</v>
      </c>
      <c r="N150" s="3">
        <f t="shared" si="12"/>
        <v>0.52</v>
      </c>
      <c r="O150" s="3">
        <f t="shared" si="12"/>
        <v>0.52</v>
      </c>
      <c r="P150" s="3">
        <f t="shared" si="12"/>
        <v>0.52</v>
      </c>
    </row>
    <row r="151" spans="1:16">
      <c r="A151" s="84" t="s">
        <v>375</v>
      </c>
      <c r="B151" s="85" t="s">
        <v>374</v>
      </c>
      <c r="C151" s="85" t="s">
        <v>92</v>
      </c>
      <c r="D151" s="84" t="s">
        <v>80</v>
      </c>
      <c r="E151" s="84">
        <f>VLOOKUP(A151,'2a. SI Pop'!$A$5:$E$198,5,FALSE)</f>
        <v>1</v>
      </c>
      <c r="F151" s="3">
        <f>SUMIFS(Input!$Q$5:$Q$44,Input!$O$5:$O$44,'6b. %FP- SIA'!E151,Input!$P$5:$P$44,"SIA")</f>
        <v>0.52</v>
      </c>
      <c r="G151" s="3">
        <f t="shared" si="12"/>
        <v>0.52</v>
      </c>
      <c r="H151" s="3">
        <f t="shared" si="12"/>
        <v>0.52</v>
      </c>
      <c r="I151" s="3">
        <f t="shared" si="12"/>
        <v>0.52</v>
      </c>
      <c r="J151" s="3">
        <f t="shared" si="12"/>
        <v>0.52</v>
      </c>
      <c r="K151" s="3">
        <f t="shared" si="12"/>
        <v>0.52</v>
      </c>
      <c r="L151" s="3">
        <f t="shared" si="12"/>
        <v>0.52</v>
      </c>
      <c r="M151" s="3">
        <f t="shared" si="12"/>
        <v>0.52</v>
      </c>
      <c r="N151" s="3">
        <f t="shared" si="12"/>
        <v>0.52</v>
      </c>
      <c r="O151" s="3">
        <f t="shared" si="12"/>
        <v>0.52</v>
      </c>
      <c r="P151" s="3">
        <f t="shared" si="12"/>
        <v>0.52</v>
      </c>
    </row>
    <row r="152" spans="1:16">
      <c r="A152" s="84" t="s">
        <v>377</v>
      </c>
      <c r="B152" s="85" t="s">
        <v>376</v>
      </c>
      <c r="C152" s="85" t="s">
        <v>99</v>
      </c>
      <c r="D152" s="84" t="s">
        <v>80</v>
      </c>
      <c r="E152" s="84">
        <f>VLOOKUP(A152,'2a. SI Pop'!$A$5:$E$198,5,FALSE)</f>
        <v>2</v>
      </c>
      <c r="F152" s="3">
        <f>SUMIFS(Input!$Q$5:$Q$44,Input!$O$5:$O$44,'6b. %FP- SIA'!E152,Input!$P$5:$P$44,"SIA")</f>
        <v>0.38</v>
      </c>
      <c r="G152" s="3">
        <f t="shared" si="12"/>
        <v>0.38</v>
      </c>
      <c r="H152" s="3">
        <f t="shared" si="12"/>
        <v>0.38</v>
      </c>
      <c r="I152" s="3">
        <f t="shared" si="12"/>
        <v>0.38</v>
      </c>
      <c r="J152" s="3">
        <f t="shared" si="12"/>
        <v>0.38</v>
      </c>
      <c r="K152" s="3">
        <f t="shared" si="12"/>
        <v>0.38</v>
      </c>
      <c r="L152" s="3">
        <f t="shared" si="12"/>
        <v>0.38</v>
      </c>
      <c r="M152" s="3">
        <f t="shared" si="12"/>
        <v>0.38</v>
      </c>
      <c r="N152" s="3">
        <f t="shared" si="12"/>
        <v>0.38</v>
      </c>
      <c r="O152" s="3">
        <f t="shared" si="12"/>
        <v>0.38</v>
      </c>
      <c r="P152" s="3">
        <f t="shared" si="12"/>
        <v>0.38</v>
      </c>
    </row>
    <row r="153" spans="1:16">
      <c r="A153" s="84" t="s">
        <v>379</v>
      </c>
      <c r="B153" s="85" t="s">
        <v>378</v>
      </c>
      <c r="C153" s="85" t="s">
        <v>79</v>
      </c>
      <c r="D153" s="84" t="s">
        <v>87</v>
      </c>
      <c r="E153" s="84">
        <f>VLOOKUP(A153,'2a. SI Pop'!$A$5:$E$198,5,FALSE)</f>
        <v>1</v>
      </c>
      <c r="F153" s="3">
        <f>SUMIFS(Input!$Q$5:$Q$44,Input!$O$5:$O$44,'6b. %FP- SIA'!E153,Input!$P$5:$P$44,"SIA")</f>
        <v>0.52</v>
      </c>
      <c r="G153" s="3">
        <f t="shared" si="12"/>
        <v>0.52</v>
      </c>
      <c r="H153" s="3">
        <f t="shared" si="12"/>
        <v>0.52</v>
      </c>
      <c r="I153" s="3">
        <f t="shared" si="12"/>
        <v>0.52</v>
      </c>
      <c r="J153" s="3">
        <f t="shared" si="12"/>
        <v>0.52</v>
      </c>
      <c r="K153" s="3">
        <f t="shared" si="12"/>
        <v>0.52</v>
      </c>
      <c r="L153" s="3">
        <f t="shared" si="12"/>
        <v>0.52</v>
      </c>
      <c r="M153" s="3">
        <f t="shared" si="12"/>
        <v>0.52</v>
      </c>
      <c r="N153" s="3">
        <f t="shared" si="12"/>
        <v>0.52</v>
      </c>
      <c r="O153" s="3">
        <f t="shared" si="12"/>
        <v>0.52</v>
      </c>
      <c r="P153" s="3">
        <f t="shared" si="12"/>
        <v>0.52</v>
      </c>
    </row>
    <row r="154" spans="1:16">
      <c r="A154" s="84" t="s">
        <v>381</v>
      </c>
      <c r="B154" s="85" t="s">
        <v>380</v>
      </c>
      <c r="C154" s="85" t="s">
        <v>83</v>
      </c>
      <c r="D154" s="84" t="s">
        <v>84</v>
      </c>
      <c r="E154" s="84">
        <f>VLOOKUP(A154,'2a. SI Pop'!$A$5:$E$198,5,FALSE)</f>
        <v>3</v>
      </c>
      <c r="F154" s="3">
        <f>SUMIFS(Input!$Q$5:$Q$44,Input!$O$5:$O$44,'6b. %FP- SIA'!E154,Input!$P$5:$P$44,"SIA")</f>
        <v>0.34</v>
      </c>
      <c r="G154" s="3">
        <f t="shared" si="12"/>
        <v>0.34</v>
      </c>
      <c r="H154" s="3">
        <f t="shared" si="12"/>
        <v>0.34</v>
      </c>
      <c r="I154" s="3">
        <f t="shared" si="12"/>
        <v>0.34</v>
      </c>
      <c r="J154" s="3">
        <f t="shared" si="12"/>
        <v>0.34</v>
      </c>
      <c r="K154" s="3">
        <f t="shared" si="12"/>
        <v>0.34</v>
      </c>
      <c r="L154" s="3">
        <f t="shared" si="12"/>
        <v>0.34</v>
      </c>
      <c r="M154" s="3">
        <f t="shared" si="12"/>
        <v>0.34</v>
      </c>
      <c r="N154" s="3">
        <f t="shared" si="12"/>
        <v>0.34</v>
      </c>
      <c r="O154" s="3">
        <f t="shared" si="12"/>
        <v>0.34</v>
      </c>
      <c r="P154" s="3">
        <f t="shared" si="12"/>
        <v>0.34</v>
      </c>
    </row>
    <row r="155" spans="1:16">
      <c r="A155" s="84" t="s">
        <v>383</v>
      </c>
      <c r="B155" s="85" t="s">
        <v>382</v>
      </c>
      <c r="C155" s="85" t="s">
        <v>74</v>
      </c>
      <c r="D155" s="84" t="s">
        <v>87</v>
      </c>
      <c r="E155" s="84">
        <f>VLOOKUP(A155,'2a. SI Pop'!$A$5:$E$198,5,FALSE)</f>
        <v>1</v>
      </c>
      <c r="F155" s="3">
        <f>SUMIFS(Input!$Q$5:$Q$44,Input!$O$5:$O$44,'6b. %FP- SIA'!E155,Input!$P$5:$P$44,"SIA")</f>
        <v>0.52</v>
      </c>
      <c r="G155" s="3">
        <f t="shared" si="12"/>
        <v>0.52</v>
      </c>
      <c r="H155" s="3">
        <f t="shared" si="12"/>
        <v>0.52</v>
      </c>
      <c r="I155" s="3">
        <f t="shared" si="12"/>
        <v>0.52</v>
      </c>
      <c r="J155" s="3">
        <f t="shared" si="12"/>
        <v>0.52</v>
      </c>
      <c r="K155" s="3">
        <f t="shared" si="12"/>
        <v>0.52</v>
      </c>
      <c r="L155" s="3">
        <f t="shared" si="12"/>
        <v>0.52</v>
      </c>
      <c r="M155" s="3">
        <f t="shared" si="12"/>
        <v>0.52</v>
      </c>
      <c r="N155" s="3">
        <f t="shared" si="12"/>
        <v>0.52</v>
      </c>
      <c r="O155" s="3">
        <f t="shared" si="12"/>
        <v>0.52</v>
      </c>
      <c r="P155" s="3">
        <f t="shared" si="12"/>
        <v>0.52</v>
      </c>
    </row>
    <row r="156" spans="1:16">
      <c r="A156" s="84" t="s">
        <v>385</v>
      </c>
      <c r="B156" s="85" t="s">
        <v>384</v>
      </c>
      <c r="C156" s="85" t="s">
        <v>83</v>
      </c>
      <c r="D156" s="84" t="s">
        <v>84</v>
      </c>
      <c r="E156" s="84">
        <f>VLOOKUP(A156,'2a. SI Pop'!$A$5:$E$198,5,FALSE)</f>
        <v>3</v>
      </c>
      <c r="F156" s="3">
        <f>SUMIFS(Input!$Q$5:$Q$44,Input!$O$5:$O$44,'6b. %FP- SIA'!E156,Input!$P$5:$P$44,"SIA")</f>
        <v>0.34</v>
      </c>
      <c r="G156" s="3">
        <f t="shared" si="12"/>
        <v>0.34</v>
      </c>
      <c r="H156" s="3">
        <f t="shared" si="12"/>
        <v>0.34</v>
      </c>
      <c r="I156" s="3">
        <f t="shared" si="12"/>
        <v>0.34</v>
      </c>
      <c r="J156" s="3">
        <f t="shared" si="12"/>
        <v>0.34</v>
      </c>
      <c r="K156" s="3">
        <f t="shared" si="12"/>
        <v>0.34</v>
      </c>
      <c r="L156" s="3">
        <f t="shared" si="12"/>
        <v>0.34</v>
      </c>
      <c r="M156" s="3">
        <f t="shared" si="12"/>
        <v>0.34</v>
      </c>
      <c r="N156" s="3">
        <f t="shared" si="12"/>
        <v>0.34</v>
      </c>
      <c r="O156" s="3">
        <f t="shared" si="12"/>
        <v>0.34</v>
      </c>
      <c r="P156" s="3">
        <f t="shared" si="12"/>
        <v>0.34</v>
      </c>
    </row>
    <row r="157" spans="1:16">
      <c r="A157" s="84" t="s">
        <v>387</v>
      </c>
      <c r="B157" s="85" t="s">
        <v>386</v>
      </c>
      <c r="C157" s="85" t="s">
        <v>79</v>
      </c>
      <c r="D157" s="84" t="s">
        <v>80</v>
      </c>
      <c r="E157" s="84">
        <f>VLOOKUP(A157,'2a. SI Pop'!$A$5:$E$198,5,FALSE)</f>
        <v>1</v>
      </c>
      <c r="F157" s="3">
        <f>SUMIFS(Input!$Q$5:$Q$44,Input!$O$5:$O$44,'6b. %FP- SIA'!E157,Input!$P$5:$P$44,"SIA")</f>
        <v>0.52</v>
      </c>
      <c r="G157" s="3">
        <f t="shared" si="12"/>
        <v>0.52</v>
      </c>
      <c r="H157" s="3">
        <f t="shared" si="12"/>
        <v>0.52</v>
      </c>
      <c r="I157" s="3">
        <f t="shared" si="12"/>
        <v>0.52</v>
      </c>
      <c r="J157" s="3">
        <f t="shared" si="12"/>
        <v>0.52</v>
      </c>
      <c r="K157" s="3">
        <f t="shared" si="12"/>
        <v>0.52</v>
      </c>
      <c r="L157" s="3">
        <f t="shared" si="12"/>
        <v>0.52</v>
      </c>
      <c r="M157" s="3">
        <f t="shared" si="12"/>
        <v>0.52</v>
      </c>
      <c r="N157" s="3">
        <f t="shared" si="12"/>
        <v>0.52</v>
      </c>
      <c r="O157" s="3">
        <f t="shared" si="12"/>
        <v>0.52</v>
      </c>
      <c r="P157" s="3">
        <f t="shared" si="12"/>
        <v>0.52</v>
      </c>
    </row>
    <row r="158" spans="1:16">
      <c r="A158" s="84" t="s">
        <v>389</v>
      </c>
      <c r="B158" s="85" t="s">
        <v>388</v>
      </c>
      <c r="C158" s="85" t="s">
        <v>83</v>
      </c>
      <c r="D158" s="84" t="s">
        <v>87</v>
      </c>
      <c r="E158" s="84">
        <f>VLOOKUP(A158,'2a. SI Pop'!$A$5:$E$198,5,FALSE)</f>
        <v>1</v>
      </c>
      <c r="F158" s="3">
        <f>SUMIFS(Input!$Q$5:$Q$44,Input!$O$5:$O$44,'6b. %FP- SIA'!E158,Input!$P$5:$P$44,"SIA")</f>
        <v>0.52</v>
      </c>
      <c r="G158" s="3">
        <f t="shared" si="12"/>
        <v>0.52</v>
      </c>
      <c r="H158" s="3">
        <f t="shared" si="12"/>
        <v>0.52</v>
      </c>
      <c r="I158" s="3">
        <f t="shared" si="12"/>
        <v>0.52</v>
      </c>
      <c r="J158" s="3">
        <f t="shared" si="12"/>
        <v>0.52</v>
      </c>
      <c r="K158" s="3">
        <f t="shared" si="12"/>
        <v>0.52</v>
      </c>
      <c r="L158" s="3">
        <f t="shared" si="12"/>
        <v>0.52</v>
      </c>
      <c r="M158" s="3">
        <f t="shared" si="12"/>
        <v>0.52</v>
      </c>
      <c r="N158" s="3">
        <f t="shared" si="12"/>
        <v>0.52</v>
      </c>
      <c r="O158" s="3">
        <f t="shared" si="12"/>
        <v>0.52</v>
      </c>
      <c r="P158" s="3">
        <f t="shared" si="12"/>
        <v>0.52</v>
      </c>
    </row>
    <row r="159" spans="1:16">
      <c r="A159" s="84" t="s">
        <v>391</v>
      </c>
      <c r="B159" s="85" t="s">
        <v>390</v>
      </c>
      <c r="C159" s="85" t="s">
        <v>83</v>
      </c>
      <c r="D159" s="84" t="s">
        <v>75</v>
      </c>
      <c r="E159" s="84">
        <f>VLOOKUP(A159,'2a. SI Pop'!$A$5:$E$198,5,FALSE)</f>
        <v>3</v>
      </c>
      <c r="F159" s="3">
        <f>SUMIFS(Input!$Q$5:$Q$44,Input!$O$5:$O$44,'6b. %FP- SIA'!E159,Input!$P$5:$P$44,"SIA")</f>
        <v>0.34</v>
      </c>
      <c r="G159" s="3">
        <f t="shared" si="12"/>
        <v>0.34</v>
      </c>
      <c r="H159" s="3">
        <f t="shared" si="12"/>
        <v>0.34</v>
      </c>
      <c r="I159" s="3">
        <f t="shared" si="12"/>
        <v>0.34</v>
      </c>
      <c r="J159" s="3">
        <f t="shared" si="12"/>
        <v>0.34</v>
      </c>
      <c r="K159" s="3">
        <f t="shared" si="12"/>
        <v>0.34</v>
      </c>
      <c r="L159" s="3">
        <f t="shared" si="12"/>
        <v>0.34</v>
      </c>
      <c r="M159" s="3">
        <f t="shared" si="12"/>
        <v>0.34</v>
      </c>
      <c r="N159" s="3">
        <f t="shared" si="12"/>
        <v>0.34</v>
      </c>
      <c r="O159" s="3">
        <f t="shared" si="12"/>
        <v>0.34</v>
      </c>
      <c r="P159" s="3">
        <f t="shared" si="12"/>
        <v>0.34</v>
      </c>
    </row>
    <row r="160" spans="1:16">
      <c r="A160" s="84" t="s">
        <v>393</v>
      </c>
      <c r="B160" s="85" t="s">
        <v>392</v>
      </c>
      <c r="C160" s="85" t="s">
        <v>99</v>
      </c>
      <c r="D160" s="84" t="s">
        <v>87</v>
      </c>
      <c r="E160" s="84">
        <f>VLOOKUP(A160,'2a. SI Pop'!$A$5:$E$198,5,FALSE)</f>
        <v>1</v>
      </c>
      <c r="F160" s="3">
        <f>SUMIFS(Input!$Q$5:$Q$44,Input!$O$5:$O$44,'6b. %FP- SIA'!E160,Input!$P$5:$P$44,"SIA")</f>
        <v>0.52</v>
      </c>
      <c r="G160" s="3">
        <f t="shared" si="12"/>
        <v>0.52</v>
      </c>
      <c r="H160" s="3">
        <f t="shared" si="12"/>
        <v>0.52</v>
      </c>
      <c r="I160" s="3">
        <f t="shared" si="12"/>
        <v>0.52</v>
      </c>
      <c r="J160" s="3">
        <f t="shared" si="12"/>
        <v>0.52</v>
      </c>
      <c r="K160" s="3">
        <f t="shared" si="12"/>
        <v>0.52</v>
      </c>
      <c r="L160" s="3">
        <f t="shared" si="12"/>
        <v>0.52</v>
      </c>
      <c r="M160" s="3">
        <f t="shared" si="12"/>
        <v>0.52</v>
      </c>
      <c r="N160" s="3">
        <f t="shared" si="12"/>
        <v>0.52</v>
      </c>
      <c r="O160" s="3">
        <f t="shared" si="12"/>
        <v>0.52</v>
      </c>
      <c r="P160" s="3">
        <f t="shared" si="12"/>
        <v>0.52</v>
      </c>
    </row>
    <row r="161" spans="1:16">
      <c r="A161" s="84" t="s">
        <v>395</v>
      </c>
      <c r="B161" s="85" t="s">
        <v>394</v>
      </c>
      <c r="C161" s="85" t="s">
        <v>79</v>
      </c>
      <c r="D161" s="84" t="s">
        <v>87</v>
      </c>
      <c r="E161" s="84">
        <f>VLOOKUP(A161,'2a. SI Pop'!$A$5:$E$198,5,FALSE)</f>
        <v>1</v>
      </c>
      <c r="F161" s="3">
        <f>SUMIFS(Input!$Q$5:$Q$44,Input!$O$5:$O$44,'6b. %FP- SIA'!E161,Input!$P$5:$P$44,"SIA")</f>
        <v>0.52</v>
      </c>
      <c r="G161" s="3">
        <f t="shared" si="12"/>
        <v>0.52</v>
      </c>
      <c r="H161" s="3">
        <f t="shared" si="12"/>
        <v>0.52</v>
      </c>
      <c r="I161" s="3">
        <f t="shared" si="12"/>
        <v>0.52</v>
      </c>
      <c r="J161" s="3">
        <f t="shared" si="12"/>
        <v>0.52</v>
      </c>
      <c r="K161" s="3">
        <f t="shared" si="12"/>
        <v>0.52</v>
      </c>
      <c r="L161" s="3">
        <f t="shared" si="12"/>
        <v>0.52</v>
      </c>
      <c r="M161" s="3">
        <f t="shared" si="12"/>
        <v>0.52</v>
      </c>
      <c r="N161" s="3">
        <f t="shared" si="12"/>
        <v>0.52</v>
      </c>
      <c r="O161" s="3">
        <f t="shared" si="12"/>
        <v>0.52</v>
      </c>
      <c r="P161" s="3">
        <f t="shared" si="12"/>
        <v>0.52</v>
      </c>
    </row>
    <row r="162" spans="1:16">
      <c r="A162" s="84" t="s">
        <v>397</v>
      </c>
      <c r="B162" s="85" t="s">
        <v>396</v>
      </c>
      <c r="C162" s="85" t="s">
        <v>79</v>
      </c>
      <c r="D162" s="84" t="s">
        <v>87</v>
      </c>
      <c r="E162" s="84">
        <f>VLOOKUP(A162,'2a. SI Pop'!$A$5:$E$198,5,FALSE)</f>
        <v>1</v>
      </c>
      <c r="F162" s="3">
        <f>SUMIFS(Input!$Q$5:$Q$44,Input!$O$5:$O$44,'6b. %FP- SIA'!E162,Input!$P$5:$P$44,"SIA")</f>
        <v>0.52</v>
      </c>
      <c r="G162" s="3">
        <f t="shared" si="12"/>
        <v>0.52</v>
      </c>
      <c r="H162" s="3">
        <f t="shared" si="12"/>
        <v>0.52</v>
      </c>
      <c r="I162" s="3">
        <f t="shared" si="12"/>
        <v>0.52</v>
      </c>
      <c r="J162" s="3">
        <f t="shared" si="12"/>
        <v>0.52</v>
      </c>
      <c r="K162" s="3">
        <f t="shared" si="12"/>
        <v>0.52</v>
      </c>
      <c r="L162" s="3">
        <f t="shared" si="12"/>
        <v>0.52</v>
      </c>
      <c r="M162" s="3">
        <f t="shared" si="12"/>
        <v>0.52</v>
      </c>
      <c r="N162" s="3">
        <f t="shared" si="12"/>
        <v>0.52</v>
      </c>
      <c r="O162" s="3">
        <f t="shared" si="12"/>
        <v>0.52</v>
      </c>
      <c r="P162" s="3">
        <f t="shared" si="12"/>
        <v>0.52</v>
      </c>
    </row>
    <row r="163" spans="1:16">
      <c r="A163" s="84" t="s">
        <v>399</v>
      </c>
      <c r="B163" s="85" t="s">
        <v>398</v>
      </c>
      <c r="C163" s="85" t="s">
        <v>74</v>
      </c>
      <c r="D163" s="84" t="s">
        <v>75</v>
      </c>
      <c r="E163" s="84">
        <f>VLOOKUP(A163,'2a. SI Pop'!$A$5:$E$198,5,FALSE)</f>
        <v>3</v>
      </c>
      <c r="F163" s="3">
        <f>SUMIFS(Input!$Q$5:$Q$44,Input!$O$5:$O$44,'6b. %FP- SIA'!E163,Input!$P$5:$P$44,"SIA")</f>
        <v>0.34</v>
      </c>
      <c r="G163" s="3">
        <f t="shared" si="12"/>
        <v>0.34</v>
      </c>
      <c r="H163" s="3">
        <f t="shared" si="12"/>
        <v>0.34</v>
      </c>
      <c r="I163" s="3">
        <f t="shared" si="12"/>
        <v>0.34</v>
      </c>
      <c r="J163" s="3">
        <f t="shared" si="12"/>
        <v>0.34</v>
      </c>
      <c r="K163" s="3">
        <f t="shared" si="12"/>
        <v>0.34</v>
      </c>
      <c r="L163" s="3">
        <f t="shared" si="12"/>
        <v>0.34</v>
      </c>
      <c r="M163" s="3">
        <f t="shared" si="12"/>
        <v>0.34</v>
      </c>
      <c r="N163" s="3">
        <f t="shared" si="12"/>
        <v>0.34</v>
      </c>
      <c r="O163" s="3">
        <f t="shared" si="12"/>
        <v>0.34</v>
      </c>
      <c r="P163" s="3">
        <f t="shared" si="12"/>
        <v>0.34</v>
      </c>
    </row>
    <row r="164" spans="1:16">
      <c r="A164" s="84" t="s">
        <v>401</v>
      </c>
      <c r="B164" s="85" t="s">
        <v>400</v>
      </c>
      <c r="C164" s="85" t="s">
        <v>99</v>
      </c>
      <c r="D164" s="84" t="s">
        <v>84</v>
      </c>
      <c r="E164" s="84">
        <f>VLOOKUP(A164,'2a. SI Pop'!$A$5:$E$198,5,FALSE)</f>
        <v>4</v>
      </c>
      <c r="F164" s="3">
        <f>SUMIFS(Input!$Q$5:$Q$44,Input!$O$5:$O$44,'6b. %FP- SIA'!E164,Input!$P$5:$P$44,"SIA")</f>
        <v>0.41</v>
      </c>
      <c r="G164" s="3">
        <f t="shared" si="12"/>
        <v>0.41</v>
      </c>
      <c r="H164" s="3">
        <f t="shared" si="12"/>
        <v>0.41</v>
      </c>
      <c r="I164" s="3">
        <f t="shared" si="12"/>
        <v>0.41</v>
      </c>
      <c r="J164" s="3">
        <f t="shared" si="12"/>
        <v>0.41</v>
      </c>
      <c r="K164" s="3">
        <f t="shared" si="12"/>
        <v>0.41</v>
      </c>
      <c r="L164" s="3">
        <f t="shared" si="12"/>
        <v>0.41</v>
      </c>
      <c r="M164" s="3">
        <f t="shared" si="12"/>
        <v>0.41</v>
      </c>
      <c r="N164" s="3">
        <f t="shared" si="12"/>
        <v>0.41</v>
      </c>
      <c r="O164" s="3">
        <f t="shared" si="12"/>
        <v>0.41</v>
      </c>
      <c r="P164" s="3">
        <f t="shared" si="12"/>
        <v>0.41</v>
      </c>
    </row>
    <row r="165" spans="1:16">
      <c r="A165" s="84" t="s">
        <v>403</v>
      </c>
      <c r="B165" s="85" t="s">
        <v>402</v>
      </c>
      <c r="C165" s="85" t="s">
        <v>83</v>
      </c>
      <c r="D165" s="84" t="s">
        <v>80</v>
      </c>
      <c r="E165" s="84" t="str">
        <f>VLOOKUP(A165,'2a. SI Pop'!$A$5:$E$198,5,FALSE)</f>
        <v>Key</v>
      </c>
      <c r="F165" s="3">
        <f>SUMIFS(Input!$Q$5:$Q$44,Input!$O$5:$O$44,'6b. %FP- SIA'!A165,Input!$P$5:$P$44,"SIA")</f>
        <v>0.34</v>
      </c>
      <c r="G165" s="3">
        <f t="shared" si="12"/>
        <v>0.34</v>
      </c>
      <c r="H165" s="3">
        <f t="shared" si="12"/>
        <v>0.34</v>
      </c>
      <c r="I165" s="3">
        <f t="shared" si="12"/>
        <v>0.34</v>
      </c>
      <c r="J165" s="3">
        <f t="shared" si="12"/>
        <v>0.34</v>
      </c>
      <c r="K165" s="3">
        <f t="shared" si="12"/>
        <v>0.34</v>
      </c>
      <c r="L165" s="3">
        <f t="shared" si="12"/>
        <v>0.34</v>
      </c>
      <c r="M165" s="3">
        <f t="shared" si="12"/>
        <v>0.34</v>
      </c>
      <c r="N165" s="3">
        <f t="shared" si="12"/>
        <v>0.34</v>
      </c>
      <c r="O165" s="3">
        <f t="shared" si="12"/>
        <v>0.34</v>
      </c>
      <c r="P165" s="3">
        <f t="shared" si="12"/>
        <v>0.34</v>
      </c>
    </row>
    <row r="166" spans="1:16">
      <c r="A166" s="84" t="s">
        <v>405</v>
      </c>
      <c r="B166" s="85" t="s">
        <v>404</v>
      </c>
      <c r="C166" s="85" t="s">
        <v>79</v>
      </c>
      <c r="D166" s="84" t="s">
        <v>87</v>
      </c>
      <c r="E166" s="84">
        <f>VLOOKUP(A166,'2a. SI Pop'!$A$5:$E$198,5,FALSE)</f>
        <v>1</v>
      </c>
      <c r="F166" s="3">
        <f>SUMIFS(Input!$Q$5:$Q$44,Input!$O$5:$O$44,'6b. %FP- SIA'!E166,Input!$P$5:$P$44,"SIA")</f>
        <v>0.52</v>
      </c>
      <c r="G166" s="3">
        <f t="shared" ref="G166:P181" si="13">F166</f>
        <v>0.52</v>
      </c>
      <c r="H166" s="3">
        <f t="shared" si="13"/>
        <v>0.52</v>
      </c>
      <c r="I166" s="3">
        <f t="shared" si="13"/>
        <v>0.52</v>
      </c>
      <c r="J166" s="3">
        <f t="shared" si="13"/>
        <v>0.52</v>
      </c>
      <c r="K166" s="3">
        <f t="shared" si="13"/>
        <v>0.52</v>
      </c>
      <c r="L166" s="3">
        <f t="shared" si="13"/>
        <v>0.52</v>
      </c>
      <c r="M166" s="3">
        <f t="shared" si="13"/>
        <v>0.52</v>
      </c>
      <c r="N166" s="3">
        <f t="shared" si="13"/>
        <v>0.52</v>
      </c>
      <c r="O166" s="3">
        <f t="shared" si="13"/>
        <v>0.52</v>
      </c>
      <c r="P166" s="3">
        <f t="shared" si="13"/>
        <v>0.52</v>
      </c>
    </row>
    <row r="167" spans="1:16">
      <c r="A167" s="84" t="s">
        <v>407</v>
      </c>
      <c r="B167" s="85" t="s">
        <v>406</v>
      </c>
      <c r="C167" s="85" t="s">
        <v>110</v>
      </c>
      <c r="D167" s="84" t="s">
        <v>84</v>
      </c>
      <c r="E167" s="84">
        <f>VLOOKUP(A167,'2a. SI Pop'!$A$5:$E$198,5,FALSE)</f>
        <v>2</v>
      </c>
      <c r="F167" s="3">
        <f>SUMIFS(Input!$Q$5:$Q$44,Input!$O$5:$O$44,'6b. %FP- SIA'!E167,Input!$P$5:$P$44,"SIA")</f>
        <v>0.38</v>
      </c>
      <c r="G167" s="3">
        <f t="shared" si="13"/>
        <v>0.38</v>
      </c>
      <c r="H167" s="3">
        <f t="shared" si="13"/>
        <v>0.38</v>
      </c>
      <c r="I167" s="3">
        <f t="shared" si="13"/>
        <v>0.38</v>
      </c>
      <c r="J167" s="3">
        <f t="shared" si="13"/>
        <v>0.38</v>
      </c>
      <c r="K167" s="3">
        <f t="shared" si="13"/>
        <v>0.38</v>
      </c>
      <c r="L167" s="3">
        <f t="shared" si="13"/>
        <v>0.38</v>
      </c>
      <c r="M167" s="3">
        <f t="shared" si="13"/>
        <v>0.38</v>
      </c>
      <c r="N167" s="3">
        <f t="shared" si="13"/>
        <v>0.38</v>
      </c>
      <c r="O167" s="3">
        <f t="shared" si="13"/>
        <v>0.38</v>
      </c>
      <c r="P167" s="3">
        <f t="shared" si="13"/>
        <v>0.38</v>
      </c>
    </row>
    <row r="168" spans="1:16">
      <c r="A168" s="84" t="s">
        <v>409</v>
      </c>
      <c r="B168" s="85" t="s">
        <v>408</v>
      </c>
      <c r="C168" s="85" t="s">
        <v>74</v>
      </c>
      <c r="D168" s="84" t="s">
        <v>75</v>
      </c>
      <c r="E168" s="84">
        <f>VLOOKUP(A168,'2a. SI Pop'!$A$5:$E$198,5,FALSE)</f>
        <v>3</v>
      </c>
      <c r="F168" s="3">
        <f>SUMIFS(Input!$Q$5:$Q$44,Input!$O$5:$O$44,'6b. %FP- SIA'!E168,Input!$P$5:$P$44,"SIA")</f>
        <v>0.34</v>
      </c>
      <c r="G168" s="3">
        <f t="shared" si="13"/>
        <v>0.34</v>
      </c>
      <c r="H168" s="3">
        <f t="shared" si="13"/>
        <v>0.34</v>
      </c>
      <c r="I168" s="3">
        <f t="shared" si="13"/>
        <v>0.34</v>
      </c>
      <c r="J168" s="3">
        <f t="shared" si="13"/>
        <v>0.34</v>
      </c>
      <c r="K168" s="3">
        <f t="shared" si="13"/>
        <v>0.34</v>
      </c>
      <c r="L168" s="3">
        <f t="shared" si="13"/>
        <v>0.34</v>
      </c>
      <c r="M168" s="3">
        <f t="shared" si="13"/>
        <v>0.34</v>
      </c>
      <c r="N168" s="3">
        <f t="shared" si="13"/>
        <v>0.34</v>
      </c>
      <c r="O168" s="3">
        <f t="shared" si="13"/>
        <v>0.34</v>
      </c>
      <c r="P168" s="3">
        <f t="shared" si="13"/>
        <v>0.34</v>
      </c>
    </row>
    <row r="169" spans="1:16">
      <c r="A169" s="84" t="s">
        <v>411</v>
      </c>
      <c r="B169" s="85" t="s">
        <v>410</v>
      </c>
      <c r="C169" s="85" t="s">
        <v>74</v>
      </c>
      <c r="D169" s="84" t="s">
        <v>75</v>
      </c>
      <c r="E169" s="84">
        <f>VLOOKUP(A169,'2a. SI Pop'!$A$5:$E$198,5,FALSE)</f>
        <v>3</v>
      </c>
      <c r="F169" s="3">
        <f>SUMIFS(Input!$Q$5:$Q$44,Input!$O$5:$O$44,'6b. %FP- SIA'!E169,Input!$P$5:$P$44,"SIA")</f>
        <v>0.34</v>
      </c>
      <c r="G169" s="3">
        <f t="shared" si="13"/>
        <v>0.34</v>
      </c>
      <c r="H169" s="3">
        <f t="shared" si="13"/>
        <v>0.34</v>
      </c>
      <c r="I169" s="3">
        <f t="shared" si="13"/>
        <v>0.34</v>
      </c>
      <c r="J169" s="3">
        <f t="shared" si="13"/>
        <v>0.34</v>
      </c>
      <c r="K169" s="3">
        <f t="shared" si="13"/>
        <v>0.34</v>
      </c>
      <c r="L169" s="3">
        <f t="shared" si="13"/>
        <v>0.34</v>
      </c>
      <c r="M169" s="3">
        <f t="shared" si="13"/>
        <v>0.34</v>
      </c>
      <c r="N169" s="3">
        <f t="shared" si="13"/>
        <v>0.34</v>
      </c>
      <c r="O169" s="3">
        <f t="shared" si="13"/>
        <v>0.34</v>
      </c>
      <c r="P169" s="3">
        <f t="shared" si="13"/>
        <v>0.34</v>
      </c>
    </row>
    <row r="170" spans="1:16">
      <c r="A170" s="84" t="s">
        <v>413</v>
      </c>
      <c r="B170" s="85" t="s">
        <v>412</v>
      </c>
      <c r="C170" s="85" t="s">
        <v>92</v>
      </c>
      <c r="D170" s="84" t="s">
        <v>80</v>
      </c>
      <c r="E170" s="84">
        <f>VLOOKUP(A170,'2a. SI Pop'!$A$5:$E$198,5,FALSE)</f>
        <v>1</v>
      </c>
      <c r="F170" s="3">
        <f>SUMIFS(Input!$Q$5:$Q$44,Input!$O$5:$O$44,'6b. %FP- SIA'!E170,Input!$P$5:$P$44,"SIA")</f>
        <v>0.52</v>
      </c>
      <c r="G170" s="3">
        <f t="shared" si="13"/>
        <v>0.52</v>
      </c>
      <c r="H170" s="3">
        <f t="shared" si="13"/>
        <v>0.52</v>
      </c>
      <c r="I170" s="3">
        <f t="shared" si="13"/>
        <v>0.52</v>
      </c>
      <c r="J170" s="3">
        <f t="shared" si="13"/>
        <v>0.52</v>
      </c>
      <c r="K170" s="3">
        <f t="shared" si="13"/>
        <v>0.52</v>
      </c>
      <c r="L170" s="3">
        <f t="shared" si="13"/>
        <v>0.52</v>
      </c>
      <c r="M170" s="3">
        <f t="shared" si="13"/>
        <v>0.52</v>
      </c>
      <c r="N170" s="3">
        <f t="shared" si="13"/>
        <v>0.52</v>
      </c>
      <c r="O170" s="3">
        <f t="shared" si="13"/>
        <v>0.52</v>
      </c>
      <c r="P170" s="3">
        <f t="shared" si="13"/>
        <v>0.52</v>
      </c>
    </row>
    <row r="171" spans="1:16">
      <c r="A171" s="84" t="s">
        <v>415</v>
      </c>
      <c r="B171" s="85" t="s">
        <v>414</v>
      </c>
      <c r="C171" s="85" t="s">
        <v>83</v>
      </c>
      <c r="D171" s="84" t="s">
        <v>84</v>
      </c>
      <c r="E171" s="84">
        <f>VLOOKUP(A171,'2a. SI Pop'!$A$5:$E$198,5,FALSE)</f>
        <v>3</v>
      </c>
      <c r="F171" s="3">
        <f>SUMIFS(Input!$Q$5:$Q$44,Input!$O$5:$O$44,'6b. %FP- SIA'!E171,Input!$P$5:$P$44,"SIA")</f>
        <v>0.34</v>
      </c>
      <c r="G171" s="3">
        <f t="shared" si="13"/>
        <v>0.34</v>
      </c>
      <c r="H171" s="3">
        <f t="shared" si="13"/>
        <v>0.34</v>
      </c>
      <c r="I171" s="3">
        <f t="shared" si="13"/>
        <v>0.34</v>
      </c>
      <c r="J171" s="3">
        <f t="shared" si="13"/>
        <v>0.34</v>
      </c>
      <c r="K171" s="3">
        <f t="shared" si="13"/>
        <v>0.34</v>
      </c>
      <c r="L171" s="3">
        <f t="shared" si="13"/>
        <v>0.34</v>
      </c>
      <c r="M171" s="3">
        <f t="shared" si="13"/>
        <v>0.34</v>
      </c>
      <c r="N171" s="3">
        <f t="shared" si="13"/>
        <v>0.34</v>
      </c>
      <c r="O171" s="3">
        <f t="shared" si="13"/>
        <v>0.34</v>
      </c>
      <c r="P171" s="3">
        <f t="shared" si="13"/>
        <v>0.34</v>
      </c>
    </row>
    <row r="172" spans="1:16">
      <c r="A172" s="84" t="s">
        <v>417</v>
      </c>
      <c r="B172" s="85" t="s">
        <v>416</v>
      </c>
      <c r="C172" s="85" t="s">
        <v>79</v>
      </c>
      <c r="D172" s="84" t="s">
        <v>87</v>
      </c>
      <c r="E172" s="84">
        <f>VLOOKUP(A172,'2a. SI Pop'!$A$5:$E$198,5,FALSE)</f>
        <v>1</v>
      </c>
      <c r="F172" s="3">
        <f>SUMIFS(Input!$Q$5:$Q$44,Input!$O$5:$O$44,'6b. %FP- SIA'!E172,Input!$P$5:$P$44,"SIA")</f>
        <v>0.52</v>
      </c>
      <c r="G172" s="3">
        <f t="shared" si="13"/>
        <v>0.52</v>
      </c>
      <c r="H172" s="3">
        <f t="shared" si="13"/>
        <v>0.52</v>
      </c>
      <c r="I172" s="3">
        <f t="shared" si="13"/>
        <v>0.52</v>
      </c>
      <c r="J172" s="3">
        <f t="shared" si="13"/>
        <v>0.52</v>
      </c>
      <c r="K172" s="3">
        <f t="shared" si="13"/>
        <v>0.52</v>
      </c>
      <c r="L172" s="3">
        <f t="shared" si="13"/>
        <v>0.52</v>
      </c>
      <c r="M172" s="3">
        <f t="shared" si="13"/>
        <v>0.52</v>
      </c>
      <c r="N172" s="3">
        <f t="shared" si="13"/>
        <v>0.52</v>
      </c>
      <c r="O172" s="3">
        <f t="shared" si="13"/>
        <v>0.52</v>
      </c>
      <c r="P172" s="3">
        <f t="shared" si="13"/>
        <v>0.52</v>
      </c>
    </row>
    <row r="173" spans="1:16">
      <c r="A173" s="84" t="s">
        <v>419</v>
      </c>
      <c r="B173" s="85" t="s">
        <v>418</v>
      </c>
      <c r="C173" s="85" t="s">
        <v>79</v>
      </c>
      <c r="D173" s="84" t="s">
        <v>87</v>
      </c>
      <c r="E173" s="84">
        <f>VLOOKUP(A173,'2a. SI Pop'!$A$5:$E$198,5,FALSE)</f>
        <v>1</v>
      </c>
      <c r="F173" s="3">
        <f>SUMIFS(Input!$Q$5:$Q$44,Input!$O$5:$O$44,'6b. %FP- SIA'!E173,Input!$P$5:$P$44,"SIA")</f>
        <v>0.52</v>
      </c>
      <c r="G173" s="3">
        <f t="shared" si="13"/>
        <v>0.52</v>
      </c>
      <c r="H173" s="3">
        <f t="shared" si="13"/>
        <v>0.52</v>
      </c>
      <c r="I173" s="3">
        <f t="shared" si="13"/>
        <v>0.52</v>
      </c>
      <c r="J173" s="3">
        <f t="shared" si="13"/>
        <v>0.52</v>
      </c>
      <c r="K173" s="3">
        <f t="shared" si="13"/>
        <v>0.52</v>
      </c>
      <c r="L173" s="3">
        <f t="shared" si="13"/>
        <v>0.52</v>
      </c>
      <c r="M173" s="3">
        <f t="shared" si="13"/>
        <v>0.52</v>
      </c>
      <c r="N173" s="3">
        <f t="shared" si="13"/>
        <v>0.52</v>
      </c>
      <c r="O173" s="3">
        <f t="shared" si="13"/>
        <v>0.52</v>
      </c>
      <c r="P173" s="3">
        <f t="shared" si="13"/>
        <v>0.52</v>
      </c>
    </row>
    <row r="174" spans="1:16">
      <c r="A174" s="84" t="s">
        <v>421</v>
      </c>
      <c r="B174" s="85" t="s">
        <v>420</v>
      </c>
      <c r="C174" s="85" t="s">
        <v>74</v>
      </c>
      <c r="D174" s="84" t="s">
        <v>75</v>
      </c>
      <c r="E174" s="84">
        <f>VLOOKUP(A174,'2a. SI Pop'!$A$5:$E$198,5,FALSE)</f>
        <v>2</v>
      </c>
      <c r="F174" s="3">
        <f>SUMIFS(Input!$Q$5:$Q$44,Input!$O$5:$O$44,'6b. %FP- SIA'!E174,Input!$P$5:$P$44,"SIA")</f>
        <v>0.38</v>
      </c>
      <c r="G174" s="3">
        <f t="shared" si="13"/>
        <v>0.38</v>
      </c>
      <c r="H174" s="3">
        <f t="shared" si="13"/>
        <v>0.38</v>
      </c>
      <c r="I174" s="3">
        <f t="shared" si="13"/>
        <v>0.38</v>
      </c>
      <c r="J174" s="3">
        <f t="shared" si="13"/>
        <v>0.38</v>
      </c>
      <c r="K174" s="3">
        <f t="shared" si="13"/>
        <v>0.38</v>
      </c>
      <c r="L174" s="3">
        <f t="shared" si="13"/>
        <v>0.38</v>
      </c>
      <c r="M174" s="3">
        <f t="shared" si="13"/>
        <v>0.38</v>
      </c>
      <c r="N174" s="3">
        <f t="shared" si="13"/>
        <v>0.38</v>
      </c>
      <c r="O174" s="3">
        <f t="shared" si="13"/>
        <v>0.38</v>
      </c>
      <c r="P174" s="3">
        <f t="shared" si="13"/>
        <v>0.38</v>
      </c>
    </row>
    <row r="175" spans="1:16">
      <c r="A175" s="84" t="s">
        <v>423</v>
      </c>
      <c r="B175" s="85" t="s">
        <v>422</v>
      </c>
      <c r="C175" s="85" t="s">
        <v>83</v>
      </c>
      <c r="D175" s="84" t="s">
        <v>84</v>
      </c>
      <c r="E175" s="84" t="str">
        <f>VLOOKUP(A175,'2a. SI Pop'!$A$5:$E$198,5,FALSE)</f>
        <v>Key</v>
      </c>
      <c r="F175" s="3">
        <f>SUMIFS(Input!$Q$5:$Q$44,Input!$O$5:$O$44,'6b. %FP- SIA'!A175,Input!$P$5:$P$44,"SIA")</f>
        <v>0.85</v>
      </c>
      <c r="G175" s="3">
        <f t="shared" si="13"/>
        <v>0.85</v>
      </c>
      <c r="H175" s="3">
        <f t="shared" si="13"/>
        <v>0.85</v>
      </c>
      <c r="I175" s="3">
        <f t="shared" si="13"/>
        <v>0.85</v>
      </c>
      <c r="J175" s="3">
        <f t="shared" si="13"/>
        <v>0.85</v>
      </c>
      <c r="K175" s="3">
        <f t="shared" si="13"/>
        <v>0.85</v>
      </c>
      <c r="L175" s="3">
        <f t="shared" si="13"/>
        <v>0.85</v>
      </c>
      <c r="M175" s="3">
        <f t="shared" si="13"/>
        <v>0.85</v>
      </c>
      <c r="N175" s="3">
        <f t="shared" si="13"/>
        <v>0.85</v>
      </c>
      <c r="O175" s="3">
        <f t="shared" si="13"/>
        <v>0.85</v>
      </c>
      <c r="P175" s="3">
        <f t="shared" si="13"/>
        <v>0.85</v>
      </c>
    </row>
    <row r="176" spans="1:16">
      <c r="A176" s="84" t="s">
        <v>425</v>
      </c>
      <c r="B176" s="85" t="s">
        <v>424</v>
      </c>
      <c r="C176" s="85" t="s">
        <v>79</v>
      </c>
      <c r="D176" s="84" t="s">
        <v>75</v>
      </c>
      <c r="E176" s="84">
        <f>VLOOKUP(A176,'2a. SI Pop'!$A$5:$E$198,5,FALSE)</f>
        <v>2</v>
      </c>
      <c r="F176" s="3">
        <f>SUMIFS(Input!$Q$5:$Q$44,Input!$O$5:$O$44,'6b. %FP- SIA'!E176,Input!$P$5:$P$44,"SIA")</f>
        <v>0.38</v>
      </c>
      <c r="G176" s="3">
        <f t="shared" si="13"/>
        <v>0.38</v>
      </c>
      <c r="H176" s="3">
        <f t="shared" si="13"/>
        <v>0.38</v>
      </c>
      <c r="I176" s="3">
        <f t="shared" si="13"/>
        <v>0.38</v>
      </c>
      <c r="J176" s="3">
        <f t="shared" si="13"/>
        <v>0.38</v>
      </c>
      <c r="K176" s="3">
        <f t="shared" si="13"/>
        <v>0.38</v>
      </c>
      <c r="L176" s="3">
        <f t="shared" si="13"/>
        <v>0.38</v>
      </c>
      <c r="M176" s="3">
        <f t="shared" si="13"/>
        <v>0.38</v>
      </c>
      <c r="N176" s="3">
        <f t="shared" si="13"/>
        <v>0.38</v>
      </c>
      <c r="O176" s="3">
        <f t="shared" si="13"/>
        <v>0.38</v>
      </c>
      <c r="P176" s="3">
        <f t="shared" si="13"/>
        <v>0.38</v>
      </c>
    </row>
    <row r="177" spans="1:16">
      <c r="A177" s="84" t="s">
        <v>427</v>
      </c>
      <c r="B177" s="85" t="s">
        <v>426</v>
      </c>
      <c r="C177" s="85" t="s">
        <v>110</v>
      </c>
      <c r="D177" s="84" t="s">
        <v>80</v>
      </c>
      <c r="E177" s="84">
        <f>VLOOKUP(A177,'2a. SI Pop'!$A$5:$E$198,5,FALSE)</f>
        <v>1</v>
      </c>
      <c r="F177" s="3">
        <f>SUMIFS(Input!$Q$5:$Q$44,Input!$O$5:$O$44,'6b. %FP- SIA'!E177,Input!$P$5:$P$44,"SIA")</f>
        <v>0.52</v>
      </c>
      <c r="G177" s="3">
        <f t="shared" si="13"/>
        <v>0.52</v>
      </c>
      <c r="H177" s="3">
        <f t="shared" si="13"/>
        <v>0.52</v>
      </c>
      <c r="I177" s="3">
        <f t="shared" si="13"/>
        <v>0.52</v>
      </c>
      <c r="J177" s="3">
        <f t="shared" si="13"/>
        <v>0.52</v>
      </c>
      <c r="K177" s="3">
        <f t="shared" si="13"/>
        <v>0.52</v>
      </c>
      <c r="L177" s="3">
        <f t="shared" si="13"/>
        <v>0.52</v>
      </c>
      <c r="M177" s="3">
        <f t="shared" si="13"/>
        <v>0.52</v>
      </c>
      <c r="N177" s="3">
        <f t="shared" si="13"/>
        <v>0.52</v>
      </c>
      <c r="O177" s="3">
        <f t="shared" si="13"/>
        <v>0.52</v>
      </c>
      <c r="P177" s="3">
        <f t="shared" si="13"/>
        <v>0.52</v>
      </c>
    </row>
    <row r="178" spans="1:16">
      <c r="A178" s="84" t="s">
        <v>429</v>
      </c>
      <c r="B178" s="85" t="s">
        <v>428</v>
      </c>
      <c r="C178" s="85" t="s">
        <v>110</v>
      </c>
      <c r="D178" s="84" t="s">
        <v>84</v>
      </c>
      <c r="E178" s="84">
        <f>VLOOKUP(A178,'2a. SI Pop'!$A$5:$E$198,5,FALSE)</f>
        <v>4</v>
      </c>
      <c r="F178" s="3">
        <f>SUMIFS(Input!$Q$5:$Q$44,Input!$O$5:$O$44,'6b. %FP- SIA'!E178,Input!$P$5:$P$44,"SIA")</f>
        <v>0.41</v>
      </c>
      <c r="G178" s="3">
        <f t="shared" si="13"/>
        <v>0.41</v>
      </c>
      <c r="H178" s="3">
        <f t="shared" si="13"/>
        <v>0.41</v>
      </c>
      <c r="I178" s="3">
        <f t="shared" si="13"/>
        <v>0.41</v>
      </c>
      <c r="J178" s="3">
        <f t="shared" si="13"/>
        <v>0.41</v>
      </c>
      <c r="K178" s="3">
        <f t="shared" si="13"/>
        <v>0.41</v>
      </c>
      <c r="L178" s="3">
        <f t="shared" si="13"/>
        <v>0.41</v>
      </c>
      <c r="M178" s="3">
        <f t="shared" si="13"/>
        <v>0.41</v>
      </c>
      <c r="N178" s="3">
        <f t="shared" si="13"/>
        <v>0.41</v>
      </c>
      <c r="O178" s="3">
        <f t="shared" si="13"/>
        <v>0.41</v>
      </c>
      <c r="P178" s="3">
        <f t="shared" si="13"/>
        <v>0.41</v>
      </c>
    </row>
    <row r="179" spans="1:16">
      <c r="A179" s="84" t="s">
        <v>431</v>
      </c>
      <c r="B179" s="85" t="s">
        <v>430</v>
      </c>
      <c r="C179" s="85" t="s">
        <v>83</v>
      </c>
      <c r="D179" s="84" t="s">
        <v>75</v>
      </c>
      <c r="E179" s="84">
        <f>VLOOKUP(A179,'2a. SI Pop'!$A$5:$E$198,5,FALSE)</f>
        <v>3</v>
      </c>
      <c r="F179" s="3">
        <f>SUMIFS(Input!$Q$5:$Q$44,Input!$O$5:$O$44,'6b. %FP- SIA'!E179,Input!$P$5:$P$44,"SIA")</f>
        <v>0.34</v>
      </c>
      <c r="G179" s="3">
        <f t="shared" si="13"/>
        <v>0.34</v>
      </c>
      <c r="H179" s="3">
        <f t="shared" si="13"/>
        <v>0.34</v>
      </c>
      <c r="I179" s="3">
        <f t="shared" si="13"/>
        <v>0.34</v>
      </c>
      <c r="J179" s="3">
        <f t="shared" si="13"/>
        <v>0.34</v>
      </c>
      <c r="K179" s="3">
        <f t="shared" si="13"/>
        <v>0.34</v>
      </c>
      <c r="L179" s="3">
        <f t="shared" si="13"/>
        <v>0.34</v>
      </c>
      <c r="M179" s="3">
        <f t="shared" si="13"/>
        <v>0.34</v>
      </c>
      <c r="N179" s="3">
        <f t="shared" si="13"/>
        <v>0.34</v>
      </c>
      <c r="O179" s="3">
        <f t="shared" si="13"/>
        <v>0.34</v>
      </c>
      <c r="P179" s="3">
        <f t="shared" si="13"/>
        <v>0.34</v>
      </c>
    </row>
    <row r="180" spans="1:16">
      <c r="A180" s="84" t="s">
        <v>433</v>
      </c>
      <c r="B180" s="85" t="s">
        <v>432</v>
      </c>
      <c r="C180" s="85" t="s">
        <v>99</v>
      </c>
      <c r="D180" s="84" t="s">
        <v>80</v>
      </c>
      <c r="E180" s="84">
        <f>VLOOKUP(A180,'2a. SI Pop'!$A$5:$E$198,5,FALSE)</f>
        <v>1</v>
      </c>
      <c r="F180" s="3">
        <f>SUMIFS(Input!$Q$5:$Q$44,Input!$O$5:$O$44,'6b. %FP- SIA'!E180,Input!$P$5:$P$44,"SIA")</f>
        <v>0.52</v>
      </c>
      <c r="G180" s="3">
        <f t="shared" si="13"/>
        <v>0.52</v>
      </c>
      <c r="H180" s="3">
        <f t="shared" si="13"/>
        <v>0.52</v>
      </c>
      <c r="I180" s="3">
        <f t="shared" si="13"/>
        <v>0.52</v>
      </c>
      <c r="J180" s="3">
        <f t="shared" si="13"/>
        <v>0.52</v>
      </c>
      <c r="K180" s="3">
        <f t="shared" si="13"/>
        <v>0.52</v>
      </c>
      <c r="L180" s="3">
        <f t="shared" si="13"/>
        <v>0.52</v>
      </c>
      <c r="M180" s="3">
        <f t="shared" si="13"/>
        <v>0.52</v>
      </c>
      <c r="N180" s="3">
        <f t="shared" si="13"/>
        <v>0.52</v>
      </c>
      <c r="O180" s="3">
        <f t="shared" si="13"/>
        <v>0.52</v>
      </c>
      <c r="P180" s="3">
        <f t="shared" si="13"/>
        <v>0.52</v>
      </c>
    </row>
    <row r="181" spans="1:16">
      <c r="A181" s="84" t="s">
        <v>435</v>
      </c>
      <c r="B181" s="85" t="s">
        <v>434</v>
      </c>
      <c r="C181" s="85" t="s">
        <v>92</v>
      </c>
      <c r="D181" s="84" t="s">
        <v>87</v>
      </c>
      <c r="E181" s="84">
        <f>VLOOKUP(A181,'2a. SI Pop'!$A$5:$E$198,5,FALSE)</f>
        <v>1</v>
      </c>
      <c r="F181" s="3">
        <f>SUMIFS(Input!$Q$5:$Q$44,Input!$O$5:$O$44,'6b. %FP- SIA'!E181,Input!$P$5:$P$44,"SIA")</f>
        <v>0.52</v>
      </c>
      <c r="G181" s="3">
        <f t="shared" si="13"/>
        <v>0.52</v>
      </c>
      <c r="H181" s="3">
        <f t="shared" si="13"/>
        <v>0.52</v>
      </c>
      <c r="I181" s="3">
        <f t="shared" si="13"/>
        <v>0.52</v>
      </c>
      <c r="J181" s="3">
        <f t="shared" si="13"/>
        <v>0.52</v>
      </c>
      <c r="K181" s="3">
        <f t="shared" si="13"/>
        <v>0.52</v>
      </c>
      <c r="L181" s="3">
        <f t="shared" si="13"/>
        <v>0.52</v>
      </c>
      <c r="M181" s="3">
        <f t="shared" si="13"/>
        <v>0.52</v>
      </c>
      <c r="N181" s="3">
        <f t="shared" si="13"/>
        <v>0.52</v>
      </c>
      <c r="O181" s="3">
        <f t="shared" si="13"/>
        <v>0.52</v>
      </c>
      <c r="P181" s="3">
        <f t="shared" si="13"/>
        <v>0.52</v>
      </c>
    </row>
    <row r="182" spans="1:16">
      <c r="A182" s="84" t="s">
        <v>437</v>
      </c>
      <c r="B182" s="85" t="s">
        <v>436</v>
      </c>
      <c r="C182" s="85" t="s">
        <v>74</v>
      </c>
      <c r="D182" s="84" t="s">
        <v>84</v>
      </c>
      <c r="E182" s="84">
        <f>VLOOKUP(A182,'2a. SI Pop'!$A$5:$E$198,5,FALSE)</f>
        <v>3</v>
      </c>
      <c r="F182" s="3">
        <f>SUMIFS(Input!$Q$5:$Q$44,Input!$O$5:$O$44,'6b. %FP- SIA'!E182,Input!$P$5:$P$44,"SIA")</f>
        <v>0.34</v>
      </c>
      <c r="G182" s="3">
        <f t="shared" ref="G182:P197" si="14">F182</f>
        <v>0.34</v>
      </c>
      <c r="H182" s="3">
        <f t="shared" si="14"/>
        <v>0.34</v>
      </c>
      <c r="I182" s="3">
        <f t="shared" si="14"/>
        <v>0.34</v>
      </c>
      <c r="J182" s="3">
        <f t="shared" si="14"/>
        <v>0.34</v>
      </c>
      <c r="K182" s="3">
        <f t="shared" si="14"/>
        <v>0.34</v>
      </c>
      <c r="L182" s="3">
        <f t="shared" si="14"/>
        <v>0.34</v>
      </c>
      <c r="M182" s="3">
        <f t="shared" si="14"/>
        <v>0.34</v>
      </c>
      <c r="N182" s="3">
        <f t="shared" si="14"/>
        <v>0.34</v>
      </c>
      <c r="O182" s="3">
        <f t="shared" si="14"/>
        <v>0.34</v>
      </c>
      <c r="P182" s="3">
        <f t="shared" si="14"/>
        <v>0.34</v>
      </c>
    </row>
    <row r="183" spans="1:16">
      <c r="A183" s="84" t="s">
        <v>439</v>
      </c>
      <c r="B183" s="85" t="s">
        <v>438</v>
      </c>
      <c r="C183" s="85" t="s">
        <v>79</v>
      </c>
      <c r="D183" s="84" t="s">
        <v>80</v>
      </c>
      <c r="E183" s="84">
        <f>VLOOKUP(A183,'2a. SI Pop'!$A$5:$E$198,5,FALSE)</f>
        <v>1</v>
      </c>
      <c r="F183" s="3">
        <f>SUMIFS(Input!$Q$5:$Q$44,Input!$O$5:$O$44,'6b. %FP- SIA'!E183,Input!$P$5:$P$44,"SIA")</f>
        <v>0.52</v>
      </c>
      <c r="G183" s="3">
        <f t="shared" si="14"/>
        <v>0.52</v>
      </c>
      <c r="H183" s="3">
        <f t="shared" si="14"/>
        <v>0.52</v>
      </c>
      <c r="I183" s="3">
        <f t="shared" si="14"/>
        <v>0.52</v>
      </c>
      <c r="J183" s="3">
        <f t="shared" si="14"/>
        <v>0.52</v>
      </c>
      <c r="K183" s="3">
        <f t="shared" si="14"/>
        <v>0.52</v>
      </c>
      <c r="L183" s="3">
        <f t="shared" si="14"/>
        <v>0.52</v>
      </c>
      <c r="M183" s="3">
        <f t="shared" si="14"/>
        <v>0.52</v>
      </c>
      <c r="N183" s="3">
        <f t="shared" si="14"/>
        <v>0.52</v>
      </c>
      <c r="O183" s="3">
        <f t="shared" si="14"/>
        <v>0.52</v>
      </c>
      <c r="P183" s="3">
        <f t="shared" si="14"/>
        <v>0.52</v>
      </c>
    </row>
    <row r="184" spans="1:16">
      <c r="A184" s="84" t="s">
        <v>441</v>
      </c>
      <c r="B184" s="85" t="s">
        <v>440</v>
      </c>
      <c r="C184" s="85" t="s">
        <v>79</v>
      </c>
      <c r="D184" s="84" t="s">
        <v>80</v>
      </c>
      <c r="E184" s="84">
        <f>VLOOKUP(A184,'2a. SI Pop'!$A$5:$E$198,5,FALSE)</f>
        <v>1</v>
      </c>
      <c r="F184" s="3">
        <f>SUMIFS(Input!$Q$5:$Q$44,Input!$O$5:$O$44,'6b. %FP- SIA'!E184,Input!$P$5:$P$44,"SIA")</f>
        <v>0.52</v>
      </c>
      <c r="G184" s="3">
        <f t="shared" si="14"/>
        <v>0.52</v>
      </c>
      <c r="H184" s="3">
        <f t="shared" si="14"/>
        <v>0.52</v>
      </c>
      <c r="I184" s="3">
        <f t="shared" si="14"/>
        <v>0.52</v>
      </c>
      <c r="J184" s="3">
        <f t="shared" si="14"/>
        <v>0.52</v>
      </c>
      <c r="K184" s="3">
        <f t="shared" si="14"/>
        <v>0.52</v>
      </c>
      <c r="L184" s="3">
        <f t="shared" si="14"/>
        <v>0.52</v>
      </c>
      <c r="M184" s="3">
        <f t="shared" si="14"/>
        <v>0.52</v>
      </c>
      <c r="N184" s="3">
        <f t="shared" si="14"/>
        <v>0.52</v>
      </c>
      <c r="O184" s="3">
        <f t="shared" si="14"/>
        <v>0.52</v>
      </c>
      <c r="P184" s="3">
        <f t="shared" si="14"/>
        <v>0.52</v>
      </c>
    </row>
    <row r="185" spans="1:16">
      <c r="A185" s="84" t="s">
        <v>443</v>
      </c>
      <c r="B185" s="85" t="s">
        <v>442</v>
      </c>
      <c r="C185" s="85" t="s">
        <v>99</v>
      </c>
      <c r="D185" s="84" t="s">
        <v>80</v>
      </c>
      <c r="E185" s="84">
        <f>VLOOKUP(A185,'2a. SI Pop'!$A$5:$E$198,5,FALSE)</f>
        <v>4</v>
      </c>
      <c r="F185" s="3">
        <f>SUMIFS(Input!$Q$5:$Q$44,Input!$O$5:$O$44,'6b. %FP- SIA'!E185,Input!$P$5:$P$44,"SIA")</f>
        <v>0.41</v>
      </c>
      <c r="G185" s="3">
        <f t="shared" si="14"/>
        <v>0.41</v>
      </c>
      <c r="H185" s="3">
        <f t="shared" si="14"/>
        <v>0.41</v>
      </c>
      <c r="I185" s="3">
        <f t="shared" si="14"/>
        <v>0.41</v>
      </c>
      <c r="J185" s="3">
        <f t="shared" si="14"/>
        <v>0.41</v>
      </c>
      <c r="K185" s="3">
        <f t="shared" si="14"/>
        <v>0.41</v>
      </c>
      <c r="L185" s="3">
        <f t="shared" si="14"/>
        <v>0.41</v>
      </c>
      <c r="M185" s="3">
        <f t="shared" si="14"/>
        <v>0.41</v>
      </c>
      <c r="N185" s="3">
        <f t="shared" si="14"/>
        <v>0.41</v>
      </c>
      <c r="O185" s="3">
        <f t="shared" si="14"/>
        <v>0.41</v>
      </c>
      <c r="P185" s="3">
        <f t="shared" si="14"/>
        <v>0.41</v>
      </c>
    </row>
    <row r="186" spans="1:16">
      <c r="A186" s="84" t="s">
        <v>445</v>
      </c>
      <c r="B186" s="85" t="s">
        <v>444</v>
      </c>
      <c r="C186" s="85" t="s">
        <v>83</v>
      </c>
      <c r="D186" s="84" t="s">
        <v>75</v>
      </c>
      <c r="E186" s="84" t="str">
        <f>VLOOKUP(A186,'2a. SI Pop'!$A$5:$E$198,5,FALSE)</f>
        <v>Key</v>
      </c>
      <c r="F186" s="3">
        <f>SUMIFS(Input!$Q$5:$Q$44,Input!$O$5:$O$44,'6b. %FP- SIA'!A186,Input!$P$5:$P$44,"SIA")</f>
        <v>0.83</v>
      </c>
      <c r="G186" s="3">
        <f t="shared" si="14"/>
        <v>0.83</v>
      </c>
      <c r="H186" s="3">
        <f t="shared" si="14"/>
        <v>0.83</v>
      </c>
      <c r="I186" s="3">
        <f t="shared" si="14"/>
        <v>0.83</v>
      </c>
      <c r="J186" s="3">
        <f t="shared" si="14"/>
        <v>0.83</v>
      </c>
      <c r="K186" s="3">
        <f t="shared" si="14"/>
        <v>0.83</v>
      </c>
      <c r="L186" s="3">
        <f t="shared" si="14"/>
        <v>0.83</v>
      </c>
      <c r="M186" s="3">
        <f t="shared" si="14"/>
        <v>0.83</v>
      </c>
      <c r="N186" s="3">
        <f t="shared" si="14"/>
        <v>0.83</v>
      </c>
      <c r="O186" s="3">
        <f t="shared" si="14"/>
        <v>0.83</v>
      </c>
      <c r="P186" s="3">
        <f t="shared" si="14"/>
        <v>0.83</v>
      </c>
    </row>
    <row r="187" spans="1:16">
      <c r="A187" s="84" t="s">
        <v>447</v>
      </c>
      <c r="B187" s="85" t="s">
        <v>446</v>
      </c>
      <c r="C187" s="85" t="s">
        <v>79</v>
      </c>
      <c r="D187" s="84" t="s">
        <v>84</v>
      </c>
      <c r="E187" s="84">
        <f>VLOOKUP(A187,'2a. SI Pop'!$A$5:$E$198,5,FALSE)</f>
        <v>1</v>
      </c>
      <c r="F187" s="3">
        <f>SUMIFS(Input!$Q$5:$Q$44,Input!$O$5:$O$44,'6b. %FP- SIA'!E187,Input!$P$5:$P$44,"SIA")</f>
        <v>0.52</v>
      </c>
      <c r="G187" s="3">
        <f t="shared" si="14"/>
        <v>0.52</v>
      </c>
      <c r="H187" s="3">
        <f t="shared" si="14"/>
        <v>0.52</v>
      </c>
      <c r="I187" s="3">
        <f t="shared" si="14"/>
        <v>0.52</v>
      </c>
      <c r="J187" s="3">
        <f t="shared" si="14"/>
        <v>0.52</v>
      </c>
      <c r="K187" s="3">
        <f t="shared" si="14"/>
        <v>0.52</v>
      </c>
      <c r="L187" s="3">
        <f t="shared" si="14"/>
        <v>0.52</v>
      </c>
      <c r="M187" s="3">
        <f t="shared" si="14"/>
        <v>0.52</v>
      </c>
      <c r="N187" s="3">
        <f t="shared" si="14"/>
        <v>0.52</v>
      </c>
      <c r="O187" s="3">
        <f t="shared" si="14"/>
        <v>0.52</v>
      </c>
      <c r="P187" s="3">
        <f t="shared" si="14"/>
        <v>0.52</v>
      </c>
    </row>
    <row r="188" spans="1:16">
      <c r="A188" s="84" t="s">
        <v>449</v>
      </c>
      <c r="B188" s="85" t="s">
        <v>448</v>
      </c>
      <c r="C188" s="85" t="s">
        <v>74</v>
      </c>
      <c r="D188" s="84" t="s">
        <v>87</v>
      </c>
      <c r="E188" s="84">
        <f>VLOOKUP(A188,'2a. SI Pop'!$A$5:$E$198,5,FALSE)</f>
        <v>1</v>
      </c>
      <c r="F188" s="3">
        <f>SUMIFS(Input!$Q$5:$Q$44,Input!$O$5:$O$44,'6b. %FP- SIA'!E188,Input!$P$5:$P$44,"SIA")</f>
        <v>0.52</v>
      </c>
      <c r="G188" s="3">
        <f t="shared" si="14"/>
        <v>0.52</v>
      </c>
      <c r="H188" s="3">
        <f t="shared" si="14"/>
        <v>0.52</v>
      </c>
      <c r="I188" s="3">
        <f t="shared" si="14"/>
        <v>0.52</v>
      </c>
      <c r="J188" s="3">
        <f t="shared" si="14"/>
        <v>0.52</v>
      </c>
      <c r="K188" s="3">
        <f t="shared" si="14"/>
        <v>0.52</v>
      </c>
      <c r="L188" s="3">
        <f t="shared" si="14"/>
        <v>0.52</v>
      </c>
      <c r="M188" s="3">
        <f t="shared" si="14"/>
        <v>0.52</v>
      </c>
      <c r="N188" s="3">
        <f t="shared" si="14"/>
        <v>0.52</v>
      </c>
      <c r="O188" s="3">
        <f t="shared" si="14"/>
        <v>0.52</v>
      </c>
      <c r="P188" s="3">
        <f t="shared" si="14"/>
        <v>0.52</v>
      </c>
    </row>
    <row r="189" spans="1:16">
      <c r="A189" s="84" t="s">
        <v>451</v>
      </c>
      <c r="B189" s="85" t="s">
        <v>450</v>
      </c>
      <c r="C189" s="85" t="s">
        <v>79</v>
      </c>
      <c r="D189" s="84" t="s">
        <v>87</v>
      </c>
      <c r="E189" s="84">
        <f>VLOOKUP(A189,'2a. SI Pop'!$A$5:$E$198,5,FALSE)</f>
        <v>1</v>
      </c>
      <c r="F189" s="3">
        <f>SUMIFS(Input!$Q$5:$Q$44,Input!$O$5:$O$44,'6b. %FP- SIA'!E189,Input!$P$5:$P$44,"SIA")</f>
        <v>0.52</v>
      </c>
      <c r="G189" s="3">
        <f t="shared" si="14"/>
        <v>0.52</v>
      </c>
      <c r="H189" s="3">
        <f t="shared" si="14"/>
        <v>0.52</v>
      </c>
      <c r="I189" s="3">
        <f t="shared" si="14"/>
        <v>0.52</v>
      </c>
      <c r="J189" s="3">
        <f t="shared" si="14"/>
        <v>0.52</v>
      </c>
      <c r="K189" s="3">
        <f t="shared" si="14"/>
        <v>0.52</v>
      </c>
      <c r="L189" s="3">
        <f t="shared" si="14"/>
        <v>0.52</v>
      </c>
      <c r="M189" s="3">
        <f t="shared" si="14"/>
        <v>0.52</v>
      </c>
      <c r="N189" s="3">
        <f t="shared" si="14"/>
        <v>0.52</v>
      </c>
      <c r="O189" s="3">
        <f t="shared" si="14"/>
        <v>0.52</v>
      </c>
      <c r="P189" s="3">
        <f t="shared" si="14"/>
        <v>0.52</v>
      </c>
    </row>
    <row r="190" spans="1:16">
      <c r="A190" s="84" t="s">
        <v>453</v>
      </c>
      <c r="B190" s="85" t="s">
        <v>452</v>
      </c>
      <c r="C190" s="85" t="s">
        <v>92</v>
      </c>
      <c r="D190" s="84" t="s">
        <v>87</v>
      </c>
      <c r="E190" s="84" t="str">
        <f>VLOOKUP(A190,'2a. SI Pop'!$A$5:$E$198,5,FALSE)</f>
        <v>Key</v>
      </c>
      <c r="F190" s="3">
        <f>SUMIFS(Input!$Q$5:$Q$44,Input!$O$5:$O$44,'6b. %FP- SIA'!A190,Input!$P$5:$P$44,"SIA")</f>
        <v>0.52</v>
      </c>
      <c r="G190" s="3">
        <f t="shared" si="14"/>
        <v>0.52</v>
      </c>
      <c r="H190" s="3">
        <f t="shared" si="14"/>
        <v>0.52</v>
      </c>
      <c r="I190" s="3">
        <f t="shared" si="14"/>
        <v>0.52</v>
      </c>
      <c r="J190" s="3">
        <f t="shared" si="14"/>
        <v>0.52</v>
      </c>
      <c r="K190" s="3">
        <f t="shared" si="14"/>
        <v>0.52</v>
      </c>
      <c r="L190" s="3">
        <f t="shared" si="14"/>
        <v>0.52</v>
      </c>
      <c r="M190" s="3">
        <f t="shared" si="14"/>
        <v>0.52</v>
      </c>
      <c r="N190" s="3">
        <f t="shared" si="14"/>
        <v>0.52</v>
      </c>
      <c r="O190" s="3">
        <f t="shared" si="14"/>
        <v>0.52</v>
      </c>
      <c r="P190" s="3">
        <f t="shared" si="14"/>
        <v>0.52</v>
      </c>
    </row>
    <row r="191" spans="1:16">
      <c r="A191" s="84" t="s">
        <v>455</v>
      </c>
      <c r="B191" s="85" t="s">
        <v>454</v>
      </c>
      <c r="C191" s="85" t="s">
        <v>92</v>
      </c>
      <c r="D191" s="84" t="s">
        <v>87</v>
      </c>
      <c r="E191" s="84">
        <f>VLOOKUP(A191,'2a. SI Pop'!$A$5:$E$198,5,FALSE)</f>
        <v>1</v>
      </c>
      <c r="F191" s="3">
        <f>SUMIFS(Input!$Q$5:$Q$44,Input!$O$5:$O$44,'6b. %FP- SIA'!E191,Input!$P$5:$P$44,"SIA")</f>
        <v>0.52</v>
      </c>
      <c r="G191" s="3">
        <f t="shared" si="14"/>
        <v>0.52</v>
      </c>
      <c r="H191" s="3">
        <f t="shared" si="14"/>
        <v>0.52</v>
      </c>
      <c r="I191" s="3">
        <f t="shared" si="14"/>
        <v>0.52</v>
      </c>
      <c r="J191" s="3">
        <f t="shared" si="14"/>
        <v>0.52</v>
      </c>
      <c r="K191" s="3">
        <f t="shared" si="14"/>
        <v>0.52</v>
      </c>
      <c r="L191" s="3">
        <f t="shared" si="14"/>
        <v>0.52</v>
      </c>
      <c r="M191" s="3">
        <f t="shared" si="14"/>
        <v>0.52</v>
      </c>
      <c r="N191" s="3">
        <f t="shared" si="14"/>
        <v>0.52</v>
      </c>
      <c r="O191" s="3">
        <f t="shared" si="14"/>
        <v>0.52</v>
      </c>
      <c r="P191" s="3">
        <f t="shared" si="14"/>
        <v>0.52</v>
      </c>
    </row>
    <row r="192" spans="1:16">
      <c r="A192" s="84" t="s">
        <v>457</v>
      </c>
      <c r="B192" s="85" t="s">
        <v>456</v>
      </c>
      <c r="C192" s="85" t="s">
        <v>79</v>
      </c>
      <c r="D192" s="84" t="s">
        <v>84</v>
      </c>
      <c r="E192" s="84">
        <f>VLOOKUP(A192,'2a. SI Pop'!$A$5:$E$198,5,FALSE)</f>
        <v>2</v>
      </c>
      <c r="F192" s="3">
        <f>SUMIFS(Input!$Q$5:$Q$44,Input!$O$5:$O$44,'6b. %FP- SIA'!E192,Input!$P$5:$P$44,"SIA")</f>
        <v>0.38</v>
      </c>
      <c r="G192" s="3">
        <f t="shared" si="14"/>
        <v>0.38</v>
      </c>
      <c r="H192" s="3">
        <f t="shared" si="14"/>
        <v>0.38</v>
      </c>
      <c r="I192" s="3">
        <f t="shared" si="14"/>
        <v>0.38</v>
      </c>
      <c r="J192" s="3">
        <f t="shared" si="14"/>
        <v>0.38</v>
      </c>
      <c r="K192" s="3">
        <f t="shared" si="14"/>
        <v>0.38</v>
      </c>
      <c r="L192" s="3">
        <f t="shared" si="14"/>
        <v>0.38</v>
      </c>
      <c r="M192" s="3">
        <f t="shared" si="14"/>
        <v>0.38</v>
      </c>
      <c r="N192" s="3">
        <f t="shared" si="14"/>
        <v>0.38</v>
      </c>
      <c r="O192" s="3">
        <f t="shared" si="14"/>
        <v>0.38</v>
      </c>
      <c r="P192" s="3">
        <f t="shared" si="14"/>
        <v>0.38</v>
      </c>
    </row>
    <row r="193" spans="1:16">
      <c r="A193" s="84" t="s">
        <v>459</v>
      </c>
      <c r="B193" s="85" t="s">
        <v>458</v>
      </c>
      <c r="C193" s="85" t="s">
        <v>99</v>
      </c>
      <c r="D193" s="84" t="s">
        <v>84</v>
      </c>
      <c r="E193" s="84">
        <f>VLOOKUP(A193,'2a. SI Pop'!$A$5:$E$198,5,FALSE)</f>
        <v>4</v>
      </c>
      <c r="F193" s="3">
        <f>SUMIFS(Input!$Q$5:$Q$44,Input!$O$5:$O$44,'6b. %FP- SIA'!E193,Input!$P$5:$P$44,"SIA")</f>
        <v>0.41</v>
      </c>
      <c r="G193" s="3">
        <f t="shared" si="14"/>
        <v>0.41</v>
      </c>
      <c r="H193" s="3">
        <f t="shared" si="14"/>
        <v>0.41</v>
      </c>
      <c r="I193" s="3">
        <f t="shared" si="14"/>
        <v>0.41</v>
      </c>
      <c r="J193" s="3">
        <f t="shared" si="14"/>
        <v>0.41</v>
      </c>
      <c r="K193" s="3">
        <f t="shared" si="14"/>
        <v>0.41</v>
      </c>
      <c r="L193" s="3">
        <f t="shared" si="14"/>
        <v>0.41</v>
      </c>
      <c r="M193" s="3">
        <f t="shared" si="14"/>
        <v>0.41</v>
      </c>
      <c r="N193" s="3">
        <f t="shared" si="14"/>
        <v>0.41</v>
      </c>
      <c r="O193" s="3">
        <f t="shared" si="14"/>
        <v>0.41</v>
      </c>
      <c r="P193" s="3">
        <f t="shared" si="14"/>
        <v>0.41</v>
      </c>
    </row>
    <row r="194" spans="1:16">
      <c r="A194" s="84" t="s">
        <v>461</v>
      </c>
      <c r="B194" s="85" t="s">
        <v>460</v>
      </c>
      <c r="C194" s="85" t="s">
        <v>92</v>
      </c>
      <c r="D194" s="84" t="s">
        <v>80</v>
      </c>
      <c r="E194" s="84">
        <f>VLOOKUP(A194,'2a. SI Pop'!$A$5:$E$198,5,FALSE)</f>
        <v>1</v>
      </c>
      <c r="F194" s="3">
        <f>SUMIFS(Input!$Q$5:$Q$44,Input!$O$5:$O$44,'6b. %FP- SIA'!E194,Input!$P$5:$P$44,"SIA")</f>
        <v>0.52</v>
      </c>
      <c r="G194" s="3">
        <f t="shared" si="14"/>
        <v>0.52</v>
      </c>
      <c r="H194" s="3">
        <f t="shared" si="14"/>
        <v>0.52</v>
      </c>
      <c r="I194" s="3">
        <f t="shared" si="14"/>
        <v>0.52</v>
      </c>
      <c r="J194" s="3">
        <f t="shared" si="14"/>
        <v>0.52</v>
      </c>
      <c r="K194" s="3">
        <f t="shared" si="14"/>
        <v>0.52</v>
      </c>
      <c r="L194" s="3">
        <f t="shared" si="14"/>
        <v>0.52</v>
      </c>
      <c r="M194" s="3">
        <f t="shared" si="14"/>
        <v>0.52</v>
      </c>
      <c r="N194" s="3">
        <f t="shared" si="14"/>
        <v>0.52</v>
      </c>
      <c r="O194" s="3">
        <f t="shared" si="14"/>
        <v>0.52</v>
      </c>
      <c r="P194" s="3">
        <f t="shared" si="14"/>
        <v>0.52</v>
      </c>
    </row>
    <row r="195" spans="1:16">
      <c r="A195" s="84" t="s">
        <v>463</v>
      </c>
      <c r="B195" s="85" t="s">
        <v>462</v>
      </c>
      <c r="C195" s="85" t="s">
        <v>99</v>
      </c>
      <c r="D195" s="84" t="s">
        <v>84</v>
      </c>
      <c r="E195" s="84">
        <f>VLOOKUP(A195,'2a. SI Pop'!$A$5:$E$198,5,FALSE)</f>
        <v>4</v>
      </c>
      <c r="F195" s="3">
        <f>SUMIFS(Input!$Q$5:$Q$44,Input!$O$5:$O$44,'6b. %FP- SIA'!E195,Input!$P$5:$P$44,"SIA")</f>
        <v>0.41</v>
      </c>
      <c r="G195" s="3">
        <f t="shared" si="14"/>
        <v>0.41</v>
      </c>
      <c r="H195" s="3">
        <f t="shared" si="14"/>
        <v>0.41</v>
      </c>
      <c r="I195" s="3">
        <f t="shared" si="14"/>
        <v>0.41</v>
      </c>
      <c r="J195" s="3">
        <f t="shared" si="14"/>
        <v>0.41</v>
      </c>
      <c r="K195" s="3">
        <f t="shared" si="14"/>
        <v>0.41</v>
      </c>
      <c r="L195" s="3">
        <f t="shared" si="14"/>
        <v>0.41</v>
      </c>
      <c r="M195" s="3">
        <f t="shared" si="14"/>
        <v>0.41</v>
      </c>
      <c r="N195" s="3">
        <f t="shared" si="14"/>
        <v>0.41</v>
      </c>
      <c r="O195" s="3">
        <f t="shared" si="14"/>
        <v>0.41</v>
      </c>
      <c r="P195" s="3">
        <f t="shared" si="14"/>
        <v>0.41</v>
      </c>
    </row>
    <row r="196" spans="1:16">
      <c r="A196" s="84" t="s">
        <v>465</v>
      </c>
      <c r="B196" s="85" t="s">
        <v>464</v>
      </c>
      <c r="C196" s="85" t="s">
        <v>74</v>
      </c>
      <c r="D196" s="84" t="s">
        <v>75</v>
      </c>
      <c r="E196" s="84">
        <f>VLOOKUP(A196,'2a. SI Pop'!$A$5:$E$198,5,FALSE)</f>
        <v>3</v>
      </c>
      <c r="F196" s="3">
        <f>SUMIFS(Input!$Q$5:$Q$44,Input!$O$5:$O$44,'6b. %FP- SIA'!E196,Input!$P$5:$P$44,"SIA")</f>
        <v>0.34</v>
      </c>
      <c r="G196" s="3">
        <f t="shared" si="14"/>
        <v>0.34</v>
      </c>
      <c r="H196" s="3">
        <f t="shared" si="14"/>
        <v>0.34</v>
      </c>
      <c r="I196" s="3">
        <f t="shared" si="14"/>
        <v>0.34</v>
      </c>
      <c r="J196" s="3">
        <f t="shared" si="14"/>
        <v>0.34</v>
      </c>
      <c r="K196" s="3">
        <f t="shared" si="14"/>
        <v>0.34</v>
      </c>
      <c r="L196" s="3">
        <f t="shared" si="14"/>
        <v>0.34</v>
      </c>
      <c r="M196" s="3">
        <f t="shared" si="14"/>
        <v>0.34</v>
      </c>
      <c r="N196" s="3">
        <f t="shared" si="14"/>
        <v>0.34</v>
      </c>
      <c r="O196" s="3">
        <f t="shared" si="14"/>
        <v>0.34</v>
      </c>
      <c r="P196" s="3">
        <f t="shared" si="14"/>
        <v>0.34</v>
      </c>
    </row>
    <row r="197" spans="1:16">
      <c r="A197" s="84" t="s">
        <v>467</v>
      </c>
      <c r="B197" s="85" t="s">
        <v>466</v>
      </c>
      <c r="C197" s="85" t="s">
        <v>83</v>
      </c>
      <c r="D197" s="84" t="s">
        <v>84</v>
      </c>
      <c r="E197" s="84">
        <f>VLOOKUP(A197,'2a. SI Pop'!$A$5:$E$198,5,FALSE)</f>
        <v>3</v>
      </c>
      <c r="F197" s="3">
        <f>SUMIFS(Input!$Q$5:$Q$44,Input!$O$5:$O$44,'6b. %FP- SIA'!E197,Input!$P$5:$P$44,"SIA")</f>
        <v>0.34</v>
      </c>
      <c r="G197" s="3">
        <f t="shared" si="14"/>
        <v>0.34</v>
      </c>
      <c r="H197" s="3">
        <f t="shared" si="14"/>
        <v>0.34</v>
      </c>
      <c r="I197" s="3">
        <f t="shared" si="14"/>
        <v>0.34</v>
      </c>
      <c r="J197" s="3">
        <f t="shared" si="14"/>
        <v>0.34</v>
      </c>
      <c r="K197" s="3">
        <f t="shared" si="14"/>
        <v>0.34</v>
      </c>
      <c r="L197" s="3">
        <f t="shared" si="14"/>
        <v>0.34</v>
      </c>
      <c r="M197" s="3">
        <f t="shared" si="14"/>
        <v>0.34</v>
      </c>
      <c r="N197" s="3">
        <f t="shared" si="14"/>
        <v>0.34</v>
      </c>
      <c r="O197" s="3">
        <f t="shared" si="14"/>
        <v>0.34</v>
      </c>
      <c r="P197" s="3">
        <f t="shared" si="14"/>
        <v>0.34</v>
      </c>
    </row>
    <row r="198" spans="1:16">
      <c r="A198" s="84" t="s">
        <v>469</v>
      </c>
      <c r="B198" s="85" t="s">
        <v>468</v>
      </c>
      <c r="C198" s="85" t="s">
        <v>83</v>
      </c>
      <c r="D198" s="84" t="s">
        <v>84</v>
      </c>
      <c r="E198" s="84">
        <f>VLOOKUP(A198,'2a. SI Pop'!$A$5:$E$198,5,FALSE)</f>
        <v>3</v>
      </c>
      <c r="F198" s="3">
        <f>SUMIFS(Input!$Q$5:$Q$44,Input!$O$5:$O$44,'6b. %FP- SIA'!E198,Input!$P$5:$P$44,"SIA")</f>
        <v>0.34</v>
      </c>
      <c r="G198" s="3">
        <f t="shared" ref="G198:P198" si="15">F198</f>
        <v>0.34</v>
      </c>
      <c r="H198" s="3">
        <f t="shared" si="15"/>
        <v>0.34</v>
      </c>
      <c r="I198" s="3">
        <f t="shared" si="15"/>
        <v>0.34</v>
      </c>
      <c r="J198" s="3">
        <f t="shared" si="15"/>
        <v>0.34</v>
      </c>
      <c r="K198" s="3">
        <f t="shared" si="15"/>
        <v>0.34</v>
      </c>
      <c r="L198" s="3">
        <f t="shared" si="15"/>
        <v>0.34</v>
      </c>
      <c r="M198" s="3">
        <f t="shared" si="15"/>
        <v>0.34</v>
      </c>
      <c r="N198" s="3">
        <f t="shared" si="15"/>
        <v>0.34</v>
      </c>
      <c r="O198" s="3">
        <f t="shared" si="15"/>
        <v>0.34</v>
      </c>
      <c r="P198" s="3">
        <f t="shared" si="15"/>
        <v>0.34</v>
      </c>
    </row>
  </sheetData>
  <autoFilter ref="A4:P198" xr:uid="{1BE26F4C-1587-7C4D-887A-C69327E2A753}"/>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7E87-A333-AE4F-BD6F-02FCD2D2A70F}">
  <sheetPr>
    <tabColor theme="7" tint="0.59999389629810485"/>
  </sheetPr>
  <dimension ref="A1:P198"/>
  <sheetViews>
    <sheetView zoomScale="85" zoomScaleNormal="85" workbookViewId="0">
      <selection activeCell="H35" sqref="H35"/>
    </sheetView>
  </sheetViews>
  <sheetFormatPr defaultColWidth="10.85546875" defaultRowHeight="15"/>
  <cols>
    <col min="6" max="16" width="13.7109375" bestFit="1" customWidth="1"/>
  </cols>
  <sheetData>
    <row r="1" spans="1:16">
      <c r="A1" t="s">
        <v>470</v>
      </c>
      <c r="B1" t="s">
        <v>554</v>
      </c>
    </row>
    <row r="2" spans="1:16">
      <c r="A2" t="s">
        <v>471</v>
      </c>
      <c r="B2" t="s">
        <v>519</v>
      </c>
    </row>
    <row r="4" spans="1:16" s="88" customFormat="1">
      <c r="A4" s="86" t="s">
        <v>473</v>
      </c>
      <c r="B4" s="87" t="s">
        <v>64</v>
      </c>
      <c r="C4" s="86" t="s">
        <v>66</v>
      </c>
      <c r="D4" s="86" t="s">
        <v>67</v>
      </c>
      <c r="E4" s="86" t="s">
        <v>68</v>
      </c>
      <c r="F4" s="88">
        <v>2030</v>
      </c>
      <c r="G4" s="88">
        <f>F4+1</f>
        <v>2031</v>
      </c>
      <c r="H4" s="88">
        <f t="shared" ref="H4:N4" si="0">G4+1</f>
        <v>2032</v>
      </c>
      <c r="I4" s="88">
        <f t="shared" si="0"/>
        <v>2033</v>
      </c>
      <c r="J4" s="88">
        <f t="shared" si="0"/>
        <v>2034</v>
      </c>
      <c r="K4" s="88">
        <f t="shared" si="0"/>
        <v>2035</v>
      </c>
      <c r="L4" s="88">
        <f t="shared" si="0"/>
        <v>2036</v>
      </c>
      <c r="M4" s="88">
        <f t="shared" si="0"/>
        <v>2037</v>
      </c>
      <c r="N4" s="88">
        <f t="shared" si="0"/>
        <v>2038</v>
      </c>
      <c r="O4" s="88">
        <f t="shared" ref="O4:P4" si="1">N4+1</f>
        <v>2039</v>
      </c>
      <c r="P4" s="88">
        <f t="shared" si="1"/>
        <v>2040</v>
      </c>
    </row>
    <row r="5" spans="1:16">
      <c r="A5" s="84" t="s">
        <v>73</v>
      </c>
      <c r="B5" s="85" t="s">
        <v>72</v>
      </c>
      <c r="C5" s="85" t="s">
        <v>74</v>
      </c>
      <c r="D5" s="84" t="s">
        <v>75</v>
      </c>
      <c r="E5" s="84" t="str">
        <f>VLOOKUP(A5,'2a. SI Pop'!$A$5:$E$198,5,FALSE)</f>
        <v>Key</v>
      </c>
      <c r="F5" s="76">
        <f>VLOOKUP(A5,Input!$T$5:$U$24,2,FALSE)</f>
        <v>0.53375196199999997</v>
      </c>
      <c r="G5" s="76">
        <f>F5</f>
        <v>0.53375196199999997</v>
      </c>
      <c r="H5" s="76">
        <f t="shared" ref="H5:P5" si="2">G5</f>
        <v>0.53375196199999997</v>
      </c>
      <c r="I5" s="76">
        <f t="shared" si="2"/>
        <v>0.53375196199999997</v>
      </c>
      <c r="J5" s="76">
        <f t="shared" si="2"/>
        <v>0.53375196199999997</v>
      </c>
      <c r="K5" s="76">
        <f t="shared" si="2"/>
        <v>0.53375196199999997</v>
      </c>
      <c r="L5" s="76">
        <f t="shared" si="2"/>
        <v>0.53375196199999997</v>
      </c>
      <c r="M5" s="76">
        <f t="shared" si="2"/>
        <v>0.53375196199999997</v>
      </c>
      <c r="N5" s="76">
        <f t="shared" si="2"/>
        <v>0.53375196199999997</v>
      </c>
      <c r="O5" s="76">
        <f t="shared" si="2"/>
        <v>0.53375196199999997</v>
      </c>
      <c r="P5" s="76">
        <f t="shared" si="2"/>
        <v>0.53375196199999997</v>
      </c>
    </row>
    <row r="6" spans="1:16">
      <c r="A6" s="84" t="s">
        <v>78</v>
      </c>
      <c r="B6" s="85" t="s">
        <v>77</v>
      </c>
      <c r="C6" s="85" t="s">
        <v>79</v>
      </c>
      <c r="D6" s="84" t="s">
        <v>80</v>
      </c>
      <c r="E6" s="84">
        <f>VLOOKUP(A6,'2a. SI Pop'!$A$5:$E$198,5,FALSE)</f>
        <v>1</v>
      </c>
      <c r="F6" s="76">
        <f>VLOOKUP(E6,Input!$T$5:$U$24,2,FALSE)</f>
        <v>2.3190152964693054</v>
      </c>
      <c r="G6" s="76">
        <f t="shared" ref="G6:P21" si="3">F6</f>
        <v>2.3190152964693054</v>
      </c>
      <c r="H6" s="76">
        <f t="shared" si="3"/>
        <v>2.3190152964693054</v>
      </c>
      <c r="I6" s="76">
        <f t="shared" si="3"/>
        <v>2.3190152964693054</v>
      </c>
      <c r="J6" s="76">
        <f t="shared" si="3"/>
        <v>2.3190152964693054</v>
      </c>
      <c r="K6" s="76">
        <f t="shared" si="3"/>
        <v>2.3190152964693054</v>
      </c>
      <c r="L6" s="76">
        <f t="shared" si="3"/>
        <v>2.3190152964693054</v>
      </c>
      <c r="M6" s="76">
        <f t="shared" si="3"/>
        <v>2.3190152964693054</v>
      </c>
      <c r="N6" s="76">
        <f t="shared" si="3"/>
        <v>2.3190152964693054</v>
      </c>
      <c r="O6" s="76">
        <f t="shared" si="3"/>
        <v>2.3190152964693054</v>
      </c>
      <c r="P6" s="76">
        <f t="shared" si="3"/>
        <v>2.3190152964693054</v>
      </c>
    </row>
    <row r="7" spans="1:16">
      <c r="A7" s="84" t="s">
        <v>82</v>
      </c>
      <c r="B7" s="85" t="s">
        <v>81</v>
      </c>
      <c r="C7" s="85" t="s">
        <v>83</v>
      </c>
      <c r="D7" s="84" t="s">
        <v>84</v>
      </c>
      <c r="E7" s="84">
        <f>VLOOKUP(A7,'2a. SI Pop'!$A$5:$E$198,5,FALSE)</f>
        <v>2</v>
      </c>
      <c r="F7" s="76">
        <f>VLOOKUP(E7,Input!$T$5:$U$24,2,FALSE)</f>
        <v>1.153734747079966E-2</v>
      </c>
      <c r="G7" s="76">
        <f t="shared" si="3"/>
        <v>1.153734747079966E-2</v>
      </c>
      <c r="H7" s="76">
        <f t="shared" si="3"/>
        <v>1.153734747079966E-2</v>
      </c>
      <c r="I7" s="76">
        <f t="shared" si="3"/>
        <v>1.153734747079966E-2</v>
      </c>
      <c r="J7" s="76">
        <f t="shared" si="3"/>
        <v>1.153734747079966E-2</v>
      </c>
      <c r="K7" s="76">
        <f t="shared" si="3"/>
        <v>1.153734747079966E-2</v>
      </c>
      <c r="L7" s="76">
        <f t="shared" si="3"/>
        <v>1.153734747079966E-2</v>
      </c>
      <c r="M7" s="76">
        <f t="shared" si="3"/>
        <v>1.153734747079966E-2</v>
      </c>
      <c r="N7" s="76">
        <f t="shared" si="3"/>
        <v>1.153734747079966E-2</v>
      </c>
      <c r="O7" s="76">
        <f t="shared" si="3"/>
        <v>1.153734747079966E-2</v>
      </c>
      <c r="P7" s="76">
        <f t="shared" si="3"/>
        <v>1.153734747079966E-2</v>
      </c>
    </row>
    <row r="8" spans="1:16">
      <c r="A8" s="84" t="s">
        <v>86</v>
      </c>
      <c r="B8" s="85" t="s">
        <v>85</v>
      </c>
      <c r="C8" s="85" t="s">
        <v>79</v>
      </c>
      <c r="D8" s="84" t="s">
        <v>87</v>
      </c>
      <c r="E8" s="84">
        <f>VLOOKUP(A8,'2a. SI Pop'!$A$5:$E$198,5,FALSE)</f>
        <v>1</v>
      </c>
      <c r="F8" s="76">
        <f>VLOOKUP(E8,Input!$T$5:$U$24,2,FALSE)</f>
        <v>2.3190152964693054</v>
      </c>
      <c r="G8" s="76">
        <f t="shared" si="3"/>
        <v>2.3190152964693054</v>
      </c>
      <c r="H8" s="76">
        <f t="shared" si="3"/>
        <v>2.3190152964693054</v>
      </c>
      <c r="I8" s="76">
        <f t="shared" si="3"/>
        <v>2.3190152964693054</v>
      </c>
      <c r="J8" s="76">
        <f t="shared" si="3"/>
        <v>2.3190152964693054</v>
      </c>
      <c r="K8" s="76">
        <f t="shared" si="3"/>
        <v>2.3190152964693054</v>
      </c>
      <c r="L8" s="76">
        <f t="shared" si="3"/>
        <v>2.3190152964693054</v>
      </c>
      <c r="M8" s="76">
        <f t="shared" si="3"/>
        <v>2.3190152964693054</v>
      </c>
      <c r="N8" s="76">
        <f t="shared" si="3"/>
        <v>2.3190152964693054</v>
      </c>
      <c r="O8" s="76">
        <f t="shared" si="3"/>
        <v>2.3190152964693054</v>
      </c>
      <c r="P8" s="76">
        <f t="shared" si="3"/>
        <v>2.3190152964693054</v>
      </c>
    </row>
    <row r="9" spans="1:16">
      <c r="A9" s="84" t="s">
        <v>89</v>
      </c>
      <c r="B9" s="85" t="s">
        <v>88</v>
      </c>
      <c r="C9" s="85" t="s">
        <v>83</v>
      </c>
      <c r="D9" s="84" t="s">
        <v>84</v>
      </c>
      <c r="E9" s="84">
        <f>VLOOKUP(A9,'2a. SI Pop'!$A$5:$E$198,5,FALSE)</f>
        <v>3</v>
      </c>
      <c r="F9" s="76">
        <f>VLOOKUP(E9,Input!$T$5:$U$24,2,FALSE)</f>
        <v>0.53368993694944578</v>
      </c>
      <c r="G9" s="76">
        <f t="shared" si="3"/>
        <v>0.53368993694944578</v>
      </c>
      <c r="H9" s="76">
        <f t="shared" si="3"/>
        <v>0.53368993694944578</v>
      </c>
      <c r="I9" s="76">
        <f t="shared" si="3"/>
        <v>0.53368993694944578</v>
      </c>
      <c r="J9" s="76">
        <f t="shared" si="3"/>
        <v>0.53368993694944578</v>
      </c>
      <c r="K9" s="76">
        <f t="shared" si="3"/>
        <v>0.53368993694944578</v>
      </c>
      <c r="L9" s="76">
        <f t="shared" si="3"/>
        <v>0.53368993694944578</v>
      </c>
      <c r="M9" s="76">
        <f t="shared" si="3"/>
        <v>0.53368993694944578</v>
      </c>
      <c r="N9" s="76">
        <f t="shared" si="3"/>
        <v>0.53368993694944578</v>
      </c>
      <c r="O9" s="76">
        <f t="shared" si="3"/>
        <v>0.53368993694944578</v>
      </c>
      <c r="P9" s="76">
        <f t="shared" si="3"/>
        <v>0.53368993694944578</v>
      </c>
    </row>
    <row r="10" spans="1:16">
      <c r="A10" s="84" t="s">
        <v>91</v>
      </c>
      <c r="B10" s="85" t="s">
        <v>90</v>
      </c>
      <c r="C10" s="85" t="s">
        <v>92</v>
      </c>
      <c r="D10" s="84" t="s">
        <v>87</v>
      </c>
      <c r="E10" s="84">
        <f>VLOOKUP(A10,'2a. SI Pop'!$A$5:$E$198,5,FALSE)</f>
        <v>1</v>
      </c>
      <c r="F10" s="76">
        <f>VLOOKUP(E10,Input!$T$5:$U$24,2,FALSE)</f>
        <v>2.3190152964693054</v>
      </c>
      <c r="G10" s="76">
        <f t="shared" si="3"/>
        <v>2.3190152964693054</v>
      </c>
      <c r="H10" s="76">
        <f t="shared" si="3"/>
        <v>2.3190152964693054</v>
      </c>
      <c r="I10" s="76">
        <f t="shared" si="3"/>
        <v>2.3190152964693054</v>
      </c>
      <c r="J10" s="76">
        <f t="shared" si="3"/>
        <v>2.3190152964693054</v>
      </c>
      <c r="K10" s="76">
        <f t="shared" si="3"/>
        <v>2.3190152964693054</v>
      </c>
      <c r="L10" s="76">
        <f t="shared" si="3"/>
        <v>2.3190152964693054</v>
      </c>
      <c r="M10" s="76">
        <f t="shared" si="3"/>
        <v>2.3190152964693054</v>
      </c>
      <c r="N10" s="76">
        <f t="shared" si="3"/>
        <v>2.3190152964693054</v>
      </c>
      <c r="O10" s="76">
        <f t="shared" si="3"/>
        <v>2.3190152964693054</v>
      </c>
      <c r="P10" s="76">
        <f t="shared" si="3"/>
        <v>2.3190152964693054</v>
      </c>
    </row>
    <row r="11" spans="1:16">
      <c r="A11" s="84" t="s">
        <v>94</v>
      </c>
      <c r="B11" s="85" t="s">
        <v>93</v>
      </c>
      <c r="C11" s="85" t="s">
        <v>92</v>
      </c>
      <c r="D11" s="84" t="s">
        <v>80</v>
      </c>
      <c r="E11" s="84">
        <f>VLOOKUP(A11,'2a. SI Pop'!$A$5:$E$198,5,FALSE)</f>
        <v>1</v>
      </c>
      <c r="F11" s="76">
        <f>VLOOKUP(E11,Input!$T$5:$U$24,2,FALSE)</f>
        <v>2.3190152964693054</v>
      </c>
      <c r="G11" s="76">
        <f t="shared" si="3"/>
        <v>2.3190152964693054</v>
      </c>
      <c r="H11" s="76">
        <f t="shared" si="3"/>
        <v>2.3190152964693054</v>
      </c>
      <c r="I11" s="76">
        <f t="shared" si="3"/>
        <v>2.3190152964693054</v>
      </c>
      <c r="J11" s="76">
        <f t="shared" si="3"/>
        <v>2.3190152964693054</v>
      </c>
      <c r="K11" s="76">
        <f t="shared" si="3"/>
        <v>2.3190152964693054</v>
      </c>
      <c r="L11" s="76">
        <f t="shared" si="3"/>
        <v>2.3190152964693054</v>
      </c>
      <c r="M11" s="76">
        <f t="shared" si="3"/>
        <v>2.3190152964693054</v>
      </c>
      <c r="N11" s="76">
        <f t="shared" si="3"/>
        <v>2.3190152964693054</v>
      </c>
      <c r="O11" s="76">
        <f t="shared" si="3"/>
        <v>2.3190152964693054</v>
      </c>
      <c r="P11" s="76">
        <f t="shared" si="3"/>
        <v>2.3190152964693054</v>
      </c>
    </row>
    <row r="12" spans="1:16">
      <c r="A12" s="84" t="s">
        <v>96</v>
      </c>
      <c r="B12" s="85" t="s">
        <v>95</v>
      </c>
      <c r="C12" s="85" t="s">
        <v>79</v>
      </c>
      <c r="D12" s="84" t="s">
        <v>80</v>
      </c>
      <c r="E12" s="84">
        <f>VLOOKUP(A12,'2a. SI Pop'!$A$5:$E$198,5,FALSE)</f>
        <v>1</v>
      </c>
      <c r="F12" s="76">
        <f>VLOOKUP(E12,Input!$T$5:$U$24,2,FALSE)</f>
        <v>2.3190152964693054</v>
      </c>
      <c r="G12" s="76">
        <f t="shared" si="3"/>
        <v>2.3190152964693054</v>
      </c>
      <c r="H12" s="76">
        <f t="shared" si="3"/>
        <v>2.3190152964693054</v>
      </c>
      <c r="I12" s="76">
        <f t="shared" si="3"/>
        <v>2.3190152964693054</v>
      </c>
      <c r="J12" s="76">
        <f t="shared" si="3"/>
        <v>2.3190152964693054</v>
      </c>
      <c r="K12" s="76">
        <f t="shared" si="3"/>
        <v>2.3190152964693054</v>
      </c>
      <c r="L12" s="76">
        <f t="shared" si="3"/>
        <v>2.3190152964693054</v>
      </c>
      <c r="M12" s="76">
        <f t="shared" si="3"/>
        <v>2.3190152964693054</v>
      </c>
      <c r="N12" s="76">
        <f t="shared" si="3"/>
        <v>2.3190152964693054</v>
      </c>
      <c r="O12" s="76">
        <f t="shared" si="3"/>
        <v>2.3190152964693054</v>
      </c>
      <c r="P12" s="76">
        <f t="shared" si="3"/>
        <v>2.3190152964693054</v>
      </c>
    </row>
    <row r="13" spans="1:16">
      <c r="A13" s="84" t="s">
        <v>98</v>
      </c>
      <c r="B13" s="85" t="s">
        <v>97</v>
      </c>
      <c r="C13" s="85" t="s">
        <v>99</v>
      </c>
      <c r="D13" s="84" t="s">
        <v>87</v>
      </c>
      <c r="E13" s="84">
        <f>VLOOKUP(A13,'2a. SI Pop'!$A$5:$E$198,5,FALSE)</f>
        <v>1</v>
      </c>
      <c r="F13" s="76">
        <f>VLOOKUP(E13,Input!$T$5:$U$24,2,FALSE)</f>
        <v>2.3190152964693054</v>
      </c>
      <c r="G13" s="76">
        <f t="shared" si="3"/>
        <v>2.3190152964693054</v>
      </c>
      <c r="H13" s="76">
        <f t="shared" si="3"/>
        <v>2.3190152964693054</v>
      </c>
      <c r="I13" s="76">
        <f t="shared" si="3"/>
        <v>2.3190152964693054</v>
      </c>
      <c r="J13" s="76">
        <f t="shared" si="3"/>
        <v>2.3190152964693054</v>
      </c>
      <c r="K13" s="76">
        <f t="shared" si="3"/>
        <v>2.3190152964693054</v>
      </c>
      <c r="L13" s="76">
        <f t="shared" si="3"/>
        <v>2.3190152964693054</v>
      </c>
      <c r="M13" s="76">
        <f t="shared" si="3"/>
        <v>2.3190152964693054</v>
      </c>
      <c r="N13" s="76">
        <f t="shared" si="3"/>
        <v>2.3190152964693054</v>
      </c>
      <c r="O13" s="76">
        <f t="shared" si="3"/>
        <v>2.3190152964693054</v>
      </c>
      <c r="P13" s="76">
        <f t="shared" si="3"/>
        <v>2.3190152964693054</v>
      </c>
    </row>
    <row r="14" spans="1:16">
      <c r="A14" s="84" t="s">
        <v>101</v>
      </c>
      <c r="B14" s="85" t="s">
        <v>100</v>
      </c>
      <c r="C14" s="85" t="s">
        <v>79</v>
      </c>
      <c r="D14" s="84" t="s">
        <v>87</v>
      </c>
      <c r="E14" s="84">
        <f>VLOOKUP(A14,'2a. SI Pop'!$A$5:$E$198,5,FALSE)</f>
        <v>1</v>
      </c>
      <c r="F14" s="76">
        <f>VLOOKUP(E14,Input!$T$5:$U$24,2,FALSE)</f>
        <v>2.3190152964693054</v>
      </c>
      <c r="G14" s="76">
        <f t="shared" si="3"/>
        <v>2.3190152964693054</v>
      </c>
      <c r="H14" s="76">
        <f t="shared" si="3"/>
        <v>2.3190152964693054</v>
      </c>
      <c r="I14" s="76">
        <f t="shared" si="3"/>
        <v>2.3190152964693054</v>
      </c>
      <c r="J14" s="76">
        <f t="shared" si="3"/>
        <v>2.3190152964693054</v>
      </c>
      <c r="K14" s="76">
        <f t="shared" si="3"/>
        <v>2.3190152964693054</v>
      </c>
      <c r="L14" s="76">
        <f t="shared" si="3"/>
        <v>2.3190152964693054</v>
      </c>
      <c r="M14" s="76">
        <f t="shared" si="3"/>
        <v>2.3190152964693054</v>
      </c>
      <c r="N14" s="76">
        <f t="shared" si="3"/>
        <v>2.3190152964693054</v>
      </c>
      <c r="O14" s="76">
        <f t="shared" si="3"/>
        <v>2.3190152964693054</v>
      </c>
      <c r="P14" s="76">
        <f t="shared" si="3"/>
        <v>2.3190152964693054</v>
      </c>
    </row>
    <row r="15" spans="1:16">
      <c r="A15" s="84" t="s">
        <v>103</v>
      </c>
      <c r="B15" s="85" t="s">
        <v>102</v>
      </c>
      <c r="C15" s="85" t="s">
        <v>79</v>
      </c>
      <c r="D15" s="84" t="s">
        <v>80</v>
      </c>
      <c r="E15" s="84">
        <f>VLOOKUP(A15,'2a. SI Pop'!$A$5:$E$198,5,FALSE)</f>
        <v>1</v>
      </c>
      <c r="F15" s="76">
        <f>VLOOKUP(E15,Input!$T$5:$U$24,2,FALSE)</f>
        <v>2.3190152964693054</v>
      </c>
      <c r="G15" s="76">
        <f t="shared" si="3"/>
        <v>2.3190152964693054</v>
      </c>
      <c r="H15" s="76">
        <f t="shared" si="3"/>
        <v>2.3190152964693054</v>
      </c>
      <c r="I15" s="76">
        <f t="shared" si="3"/>
        <v>2.3190152964693054</v>
      </c>
      <c r="J15" s="76">
        <f t="shared" si="3"/>
        <v>2.3190152964693054</v>
      </c>
      <c r="K15" s="76">
        <f t="shared" si="3"/>
        <v>2.3190152964693054</v>
      </c>
      <c r="L15" s="76">
        <f t="shared" si="3"/>
        <v>2.3190152964693054</v>
      </c>
      <c r="M15" s="76">
        <f t="shared" si="3"/>
        <v>2.3190152964693054</v>
      </c>
      <c r="N15" s="76">
        <f t="shared" si="3"/>
        <v>2.3190152964693054</v>
      </c>
      <c r="O15" s="76">
        <f t="shared" si="3"/>
        <v>2.3190152964693054</v>
      </c>
      <c r="P15" s="76">
        <f t="shared" si="3"/>
        <v>2.3190152964693054</v>
      </c>
    </row>
    <row r="16" spans="1:16">
      <c r="A16" s="84" t="s">
        <v>105</v>
      </c>
      <c r="B16" s="85" t="s">
        <v>104</v>
      </c>
      <c r="C16" s="85" t="s">
        <v>92</v>
      </c>
      <c r="D16" s="84" t="s">
        <v>87</v>
      </c>
      <c r="E16" s="84">
        <f>VLOOKUP(A16,'2a. SI Pop'!$A$5:$E$198,5,FALSE)</f>
        <v>1</v>
      </c>
      <c r="F16" s="76">
        <f>VLOOKUP(E16,Input!$T$5:$U$24,2,FALSE)</f>
        <v>2.3190152964693054</v>
      </c>
      <c r="G16" s="76">
        <f t="shared" si="3"/>
        <v>2.3190152964693054</v>
      </c>
      <c r="H16" s="76">
        <f t="shared" si="3"/>
        <v>2.3190152964693054</v>
      </c>
      <c r="I16" s="76">
        <f t="shared" si="3"/>
        <v>2.3190152964693054</v>
      </c>
      <c r="J16" s="76">
        <f t="shared" si="3"/>
        <v>2.3190152964693054</v>
      </c>
      <c r="K16" s="76">
        <f t="shared" si="3"/>
        <v>2.3190152964693054</v>
      </c>
      <c r="L16" s="76">
        <f t="shared" si="3"/>
        <v>2.3190152964693054</v>
      </c>
      <c r="M16" s="76">
        <f t="shared" si="3"/>
        <v>2.3190152964693054</v>
      </c>
      <c r="N16" s="76">
        <f t="shared" si="3"/>
        <v>2.3190152964693054</v>
      </c>
      <c r="O16" s="76">
        <f t="shared" si="3"/>
        <v>2.3190152964693054</v>
      </c>
      <c r="P16" s="76">
        <f t="shared" si="3"/>
        <v>2.3190152964693054</v>
      </c>
    </row>
    <row r="17" spans="1:16">
      <c r="A17" s="84" t="s">
        <v>107</v>
      </c>
      <c r="B17" s="85" t="s">
        <v>106</v>
      </c>
      <c r="C17" s="85" t="s">
        <v>74</v>
      </c>
      <c r="D17" s="84" t="s">
        <v>87</v>
      </c>
      <c r="E17" s="84">
        <f>VLOOKUP(A17,'2a. SI Pop'!$A$5:$E$198,5,FALSE)</f>
        <v>1</v>
      </c>
      <c r="F17" s="76">
        <f>VLOOKUP(E17,Input!$T$5:$U$24,2,FALSE)</f>
        <v>2.3190152964693054</v>
      </c>
      <c r="G17" s="76">
        <f t="shared" si="3"/>
        <v>2.3190152964693054</v>
      </c>
      <c r="H17" s="76">
        <f t="shared" si="3"/>
        <v>2.3190152964693054</v>
      </c>
      <c r="I17" s="76">
        <f t="shared" si="3"/>
        <v>2.3190152964693054</v>
      </c>
      <c r="J17" s="76">
        <f t="shared" si="3"/>
        <v>2.3190152964693054</v>
      </c>
      <c r="K17" s="76">
        <f t="shared" si="3"/>
        <v>2.3190152964693054</v>
      </c>
      <c r="L17" s="76">
        <f t="shared" si="3"/>
        <v>2.3190152964693054</v>
      </c>
      <c r="M17" s="76">
        <f t="shared" si="3"/>
        <v>2.3190152964693054</v>
      </c>
      <c r="N17" s="76">
        <f t="shared" si="3"/>
        <v>2.3190152964693054</v>
      </c>
      <c r="O17" s="76">
        <f t="shared" si="3"/>
        <v>2.3190152964693054</v>
      </c>
      <c r="P17" s="76">
        <f t="shared" si="3"/>
        <v>2.3190152964693054</v>
      </c>
    </row>
    <row r="18" spans="1:16">
      <c r="A18" s="84" t="s">
        <v>109</v>
      </c>
      <c r="B18" s="85" t="s">
        <v>108</v>
      </c>
      <c r="C18" s="85" t="s">
        <v>110</v>
      </c>
      <c r="D18" s="84" t="s">
        <v>84</v>
      </c>
      <c r="E18" s="84" t="str">
        <f>VLOOKUP(A18,'2a. SI Pop'!$A$5:$E$198,5,FALSE)</f>
        <v>Key</v>
      </c>
      <c r="F18" s="76">
        <f>VLOOKUP(A18,Input!$T$5:$U$24,2,FALSE)</f>
        <v>1.2069065583284968</v>
      </c>
      <c r="G18" s="76">
        <f t="shared" si="3"/>
        <v>1.2069065583284968</v>
      </c>
      <c r="H18" s="76">
        <f t="shared" si="3"/>
        <v>1.2069065583284968</v>
      </c>
      <c r="I18" s="76">
        <f t="shared" si="3"/>
        <v>1.2069065583284968</v>
      </c>
      <c r="J18" s="76">
        <f t="shared" si="3"/>
        <v>1.2069065583284968</v>
      </c>
      <c r="K18" s="76">
        <f t="shared" si="3"/>
        <v>1.2069065583284968</v>
      </c>
      <c r="L18" s="76">
        <f t="shared" si="3"/>
        <v>1.2069065583284968</v>
      </c>
      <c r="M18" s="76">
        <f t="shared" si="3"/>
        <v>1.2069065583284968</v>
      </c>
      <c r="N18" s="76">
        <f t="shared" si="3"/>
        <v>1.2069065583284968</v>
      </c>
      <c r="O18" s="76">
        <f t="shared" si="3"/>
        <v>1.2069065583284968</v>
      </c>
      <c r="P18" s="76">
        <f t="shared" si="3"/>
        <v>1.2069065583284968</v>
      </c>
    </row>
    <row r="19" spans="1:16">
      <c r="A19" s="84" t="s">
        <v>112</v>
      </c>
      <c r="B19" s="85" t="s">
        <v>111</v>
      </c>
      <c r="C19" s="85" t="s">
        <v>92</v>
      </c>
      <c r="D19" s="84" t="s">
        <v>87</v>
      </c>
      <c r="E19" s="84">
        <f>VLOOKUP(A19,'2a. SI Pop'!$A$5:$E$198,5,FALSE)</f>
        <v>1</v>
      </c>
      <c r="F19" s="76">
        <f>VLOOKUP(E19,Input!$T$5:$U$24,2,FALSE)</f>
        <v>2.3190152964693054</v>
      </c>
      <c r="G19" s="76">
        <f t="shared" si="3"/>
        <v>2.3190152964693054</v>
      </c>
      <c r="H19" s="76">
        <f t="shared" si="3"/>
        <v>2.3190152964693054</v>
      </c>
      <c r="I19" s="76">
        <f t="shared" si="3"/>
        <v>2.3190152964693054</v>
      </c>
      <c r="J19" s="76">
        <f t="shared" si="3"/>
        <v>2.3190152964693054</v>
      </c>
      <c r="K19" s="76">
        <f t="shared" si="3"/>
        <v>2.3190152964693054</v>
      </c>
      <c r="L19" s="76">
        <f t="shared" si="3"/>
        <v>2.3190152964693054</v>
      </c>
      <c r="M19" s="76">
        <f t="shared" si="3"/>
        <v>2.3190152964693054</v>
      </c>
      <c r="N19" s="76">
        <f t="shared" si="3"/>
        <v>2.3190152964693054</v>
      </c>
      <c r="O19" s="76">
        <f t="shared" si="3"/>
        <v>2.3190152964693054</v>
      </c>
      <c r="P19" s="76">
        <f t="shared" si="3"/>
        <v>2.3190152964693054</v>
      </c>
    </row>
    <row r="20" spans="1:16">
      <c r="A20" s="84" t="s">
        <v>114</v>
      </c>
      <c r="B20" s="85" t="s">
        <v>113</v>
      </c>
      <c r="C20" s="85" t="s">
        <v>79</v>
      </c>
      <c r="D20" s="84" t="s">
        <v>80</v>
      </c>
      <c r="E20" s="84">
        <f>VLOOKUP(A20,'2a. SI Pop'!$A$5:$E$198,5,FALSE)</f>
        <v>2</v>
      </c>
      <c r="F20" s="76">
        <f>VLOOKUP(E20,Input!$T$5:$U$24,2,FALSE)</f>
        <v>1.153734747079966E-2</v>
      </c>
      <c r="G20" s="76">
        <f t="shared" si="3"/>
        <v>1.153734747079966E-2</v>
      </c>
      <c r="H20" s="76">
        <f t="shared" si="3"/>
        <v>1.153734747079966E-2</v>
      </c>
      <c r="I20" s="76">
        <f t="shared" si="3"/>
        <v>1.153734747079966E-2</v>
      </c>
      <c r="J20" s="76">
        <f t="shared" si="3"/>
        <v>1.153734747079966E-2</v>
      </c>
      <c r="K20" s="76">
        <f t="shared" si="3"/>
        <v>1.153734747079966E-2</v>
      </c>
      <c r="L20" s="76">
        <f t="shared" si="3"/>
        <v>1.153734747079966E-2</v>
      </c>
      <c r="M20" s="76">
        <f t="shared" si="3"/>
        <v>1.153734747079966E-2</v>
      </c>
      <c r="N20" s="76">
        <f t="shared" si="3"/>
        <v>1.153734747079966E-2</v>
      </c>
      <c r="O20" s="76">
        <f t="shared" si="3"/>
        <v>1.153734747079966E-2</v>
      </c>
      <c r="P20" s="76">
        <f t="shared" si="3"/>
        <v>1.153734747079966E-2</v>
      </c>
    </row>
    <row r="21" spans="1:16">
      <c r="A21" s="84" t="s">
        <v>116</v>
      </c>
      <c r="B21" s="85" t="s">
        <v>115</v>
      </c>
      <c r="C21" s="85" t="s">
        <v>79</v>
      </c>
      <c r="D21" s="84" t="s">
        <v>87</v>
      </c>
      <c r="E21" s="84">
        <f>VLOOKUP(A21,'2a. SI Pop'!$A$5:$E$198,5,FALSE)</f>
        <v>1</v>
      </c>
      <c r="F21" s="76">
        <f>VLOOKUP(E21,Input!$T$5:$U$24,2,FALSE)</f>
        <v>2.3190152964693054</v>
      </c>
      <c r="G21" s="76">
        <f t="shared" si="3"/>
        <v>2.3190152964693054</v>
      </c>
      <c r="H21" s="76">
        <f t="shared" si="3"/>
        <v>2.3190152964693054</v>
      </c>
      <c r="I21" s="76">
        <f t="shared" si="3"/>
        <v>2.3190152964693054</v>
      </c>
      <c r="J21" s="76">
        <f t="shared" si="3"/>
        <v>2.3190152964693054</v>
      </c>
      <c r="K21" s="76">
        <f t="shared" si="3"/>
        <v>2.3190152964693054</v>
      </c>
      <c r="L21" s="76">
        <f t="shared" si="3"/>
        <v>2.3190152964693054</v>
      </c>
      <c r="M21" s="76">
        <f t="shared" si="3"/>
        <v>2.3190152964693054</v>
      </c>
      <c r="N21" s="76">
        <f t="shared" si="3"/>
        <v>2.3190152964693054</v>
      </c>
      <c r="O21" s="76">
        <f t="shared" si="3"/>
        <v>2.3190152964693054</v>
      </c>
      <c r="P21" s="76">
        <f t="shared" si="3"/>
        <v>2.3190152964693054</v>
      </c>
    </row>
    <row r="22" spans="1:16">
      <c r="A22" s="84" t="s">
        <v>118</v>
      </c>
      <c r="B22" s="85" t="s">
        <v>117</v>
      </c>
      <c r="C22" s="85" t="s">
        <v>92</v>
      </c>
      <c r="D22" s="84" t="s">
        <v>80</v>
      </c>
      <c r="E22" s="84">
        <f>VLOOKUP(A22,'2a. SI Pop'!$A$5:$E$198,5,FALSE)</f>
        <v>1</v>
      </c>
      <c r="F22" s="76">
        <f>VLOOKUP(E22,Input!$T$5:$U$24,2,FALSE)</f>
        <v>2.3190152964693054</v>
      </c>
      <c r="G22" s="76">
        <f t="shared" ref="G22:P37" si="4">F22</f>
        <v>2.3190152964693054</v>
      </c>
      <c r="H22" s="76">
        <f t="shared" si="4"/>
        <v>2.3190152964693054</v>
      </c>
      <c r="I22" s="76">
        <f t="shared" si="4"/>
        <v>2.3190152964693054</v>
      </c>
      <c r="J22" s="76">
        <f t="shared" si="4"/>
        <v>2.3190152964693054</v>
      </c>
      <c r="K22" s="76">
        <f t="shared" si="4"/>
        <v>2.3190152964693054</v>
      </c>
      <c r="L22" s="76">
        <f t="shared" si="4"/>
        <v>2.3190152964693054</v>
      </c>
      <c r="M22" s="76">
        <f t="shared" si="4"/>
        <v>2.3190152964693054</v>
      </c>
      <c r="N22" s="76">
        <f t="shared" si="4"/>
        <v>2.3190152964693054</v>
      </c>
      <c r="O22" s="76">
        <f t="shared" si="4"/>
        <v>2.3190152964693054</v>
      </c>
      <c r="P22" s="76">
        <f t="shared" si="4"/>
        <v>2.3190152964693054</v>
      </c>
    </row>
    <row r="23" spans="1:16">
      <c r="A23" s="84" t="s">
        <v>120</v>
      </c>
      <c r="B23" s="85" t="s">
        <v>119</v>
      </c>
      <c r="C23" s="85" t="s">
        <v>83</v>
      </c>
      <c r="D23" s="84" t="s">
        <v>84</v>
      </c>
      <c r="E23" s="84">
        <f>VLOOKUP(A23,'2a. SI Pop'!$A$5:$E$198,5,FALSE)</f>
        <v>3</v>
      </c>
      <c r="F23" s="76">
        <f>VLOOKUP(E23,Input!$T$5:$U$24,2,FALSE)</f>
        <v>0.53368993694944578</v>
      </c>
      <c r="G23" s="76">
        <f t="shared" si="4"/>
        <v>0.53368993694944578</v>
      </c>
      <c r="H23" s="76">
        <f t="shared" si="4"/>
        <v>0.53368993694944578</v>
      </c>
      <c r="I23" s="76">
        <f t="shared" si="4"/>
        <v>0.53368993694944578</v>
      </c>
      <c r="J23" s="76">
        <f t="shared" si="4"/>
        <v>0.53368993694944578</v>
      </c>
      <c r="K23" s="76">
        <f t="shared" si="4"/>
        <v>0.53368993694944578</v>
      </c>
      <c r="L23" s="76">
        <f t="shared" si="4"/>
        <v>0.53368993694944578</v>
      </c>
      <c r="M23" s="76">
        <f t="shared" si="4"/>
        <v>0.53368993694944578</v>
      </c>
      <c r="N23" s="76">
        <f t="shared" si="4"/>
        <v>0.53368993694944578</v>
      </c>
      <c r="O23" s="76">
        <f t="shared" si="4"/>
        <v>0.53368993694944578</v>
      </c>
      <c r="P23" s="76">
        <f t="shared" si="4"/>
        <v>0.53368993694944578</v>
      </c>
    </row>
    <row r="24" spans="1:16">
      <c r="A24" s="84" t="s">
        <v>122</v>
      </c>
      <c r="B24" s="85" t="s">
        <v>121</v>
      </c>
      <c r="C24" s="85" t="s">
        <v>110</v>
      </c>
      <c r="D24" s="84" t="s">
        <v>84</v>
      </c>
      <c r="E24" s="84">
        <f>VLOOKUP(A24,'2a. SI Pop'!$A$5:$E$198,5,FALSE)</f>
        <v>2</v>
      </c>
      <c r="F24" s="76">
        <f>VLOOKUP(E24,Input!$T$5:$U$24,2,FALSE)</f>
        <v>1.153734747079966E-2</v>
      </c>
      <c r="G24" s="76">
        <f t="shared" si="4"/>
        <v>1.153734747079966E-2</v>
      </c>
      <c r="H24" s="76">
        <f t="shared" si="4"/>
        <v>1.153734747079966E-2</v>
      </c>
      <c r="I24" s="76">
        <f t="shared" si="4"/>
        <v>1.153734747079966E-2</v>
      </c>
      <c r="J24" s="76">
        <f t="shared" si="4"/>
        <v>1.153734747079966E-2</v>
      </c>
      <c r="K24" s="76">
        <f t="shared" si="4"/>
        <v>1.153734747079966E-2</v>
      </c>
      <c r="L24" s="76">
        <f t="shared" si="4"/>
        <v>1.153734747079966E-2</v>
      </c>
      <c r="M24" s="76">
        <f t="shared" si="4"/>
        <v>1.153734747079966E-2</v>
      </c>
      <c r="N24" s="76">
        <f t="shared" si="4"/>
        <v>1.153734747079966E-2</v>
      </c>
      <c r="O24" s="76">
        <f t="shared" si="4"/>
        <v>1.153734747079966E-2</v>
      </c>
      <c r="P24" s="76">
        <f t="shared" si="4"/>
        <v>1.153734747079966E-2</v>
      </c>
    </row>
    <row r="25" spans="1:16">
      <c r="A25" s="84" t="s">
        <v>124</v>
      </c>
      <c r="B25" s="85" t="s">
        <v>123</v>
      </c>
      <c r="C25" s="85" t="s">
        <v>92</v>
      </c>
      <c r="D25" s="84" t="s">
        <v>84</v>
      </c>
      <c r="E25" s="84">
        <f>VLOOKUP(A25,'2a. SI Pop'!$A$5:$E$198,5,FALSE)</f>
        <v>2</v>
      </c>
      <c r="F25" s="76">
        <f>VLOOKUP(E25,Input!$T$5:$U$24,2,FALSE)</f>
        <v>1.153734747079966E-2</v>
      </c>
      <c r="G25" s="76">
        <f t="shared" si="4"/>
        <v>1.153734747079966E-2</v>
      </c>
      <c r="H25" s="76">
        <f t="shared" si="4"/>
        <v>1.153734747079966E-2</v>
      </c>
      <c r="I25" s="76">
        <f t="shared" si="4"/>
        <v>1.153734747079966E-2</v>
      </c>
      <c r="J25" s="76">
        <f t="shared" si="4"/>
        <v>1.153734747079966E-2</v>
      </c>
      <c r="K25" s="76">
        <f t="shared" si="4"/>
        <v>1.153734747079966E-2</v>
      </c>
      <c r="L25" s="76">
        <f t="shared" si="4"/>
        <v>1.153734747079966E-2</v>
      </c>
      <c r="M25" s="76">
        <f t="shared" si="4"/>
        <v>1.153734747079966E-2</v>
      </c>
      <c r="N25" s="76">
        <f t="shared" si="4"/>
        <v>1.153734747079966E-2</v>
      </c>
      <c r="O25" s="76">
        <f t="shared" si="4"/>
        <v>1.153734747079966E-2</v>
      </c>
      <c r="P25" s="76">
        <f t="shared" si="4"/>
        <v>1.153734747079966E-2</v>
      </c>
    </row>
    <row r="26" spans="1:16">
      <c r="A26" s="84" t="s">
        <v>126</v>
      </c>
      <c r="B26" s="85" t="s">
        <v>125</v>
      </c>
      <c r="C26" s="85" t="s">
        <v>79</v>
      </c>
      <c r="D26" s="84" t="s">
        <v>80</v>
      </c>
      <c r="E26" s="84">
        <f>VLOOKUP(A26,'2a. SI Pop'!$A$5:$E$198,5,FALSE)</f>
        <v>1</v>
      </c>
      <c r="F26" s="76">
        <f>VLOOKUP(E26,Input!$T$5:$U$24,2,FALSE)</f>
        <v>2.3190152964693054</v>
      </c>
      <c r="G26" s="76">
        <f t="shared" si="4"/>
        <v>2.3190152964693054</v>
      </c>
      <c r="H26" s="76">
        <f t="shared" si="4"/>
        <v>2.3190152964693054</v>
      </c>
      <c r="I26" s="76">
        <f t="shared" si="4"/>
        <v>2.3190152964693054</v>
      </c>
      <c r="J26" s="76">
        <f t="shared" si="4"/>
        <v>2.3190152964693054</v>
      </c>
      <c r="K26" s="76">
        <f t="shared" si="4"/>
        <v>2.3190152964693054</v>
      </c>
      <c r="L26" s="76">
        <f t="shared" si="4"/>
        <v>2.3190152964693054</v>
      </c>
      <c r="M26" s="76">
        <f t="shared" si="4"/>
        <v>2.3190152964693054</v>
      </c>
      <c r="N26" s="76">
        <f t="shared" si="4"/>
        <v>2.3190152964693054</v>
      </c>
      <c r="O26" s="76">
        <f t="shared" si="4"/>
        <v>2.3190152964693054</v>
      </c>
      <c r="P26" s="76">
        <f t="shared" si="4"/>
        <v>2.3190152964693054</v>
      </c>
    </row>
    <row r="27" spans="1:16">
      <c r="A27" s="84" t="s">
        <v>128</v>
      </c>
      <c r="B27" s="85" t="s">
        <v>127</v>
      </c>
      <c r="C27" s="85" t="s">
        <v>83</v>
      </c>
      <c r="D27" s="84" t="s">
        <v>80</v>
      </c>
      <c r="E27" s="84">
        <f>VLOOKUP(A27,'2a. SI Pop'!$A$5:$E$198,5,FALSE)</f>
        <v>2</v>
      </c>
      <c r="F27" s="76">
        <f>VLOOKUP(E27,Input!$T$5:$U$24,2,FALSE)</f>
        <v>1.153734747079966E-2</v>
      </c>
      <c r="G27" s="76">
        <f t="shared" si="4"/>
        <v>1.153734747079966E-2</v>
      </c>
      <c r="H27" s="76">
        <f t="shared" si="4"/>
        <v>1.153734747079966E-2</v>
      </c>
      <c r="I27" s="76">
        <f t="shared" si="4"/>
        <v>1.153734747079966E-2</v>
      </c>
      <c r="J27" s="76">
        <f t="shared" si="4"/>
        <v>1.153734747079966E-2</v>
      </c>
      <c r="K27" s="76">
        <f t="shared" si="4"/>
        <v>1.153734747079966E-2</v>
      </c>
      <c r="L27" s="76">
        <f t="shared" si="4"/>
        <v>1.153734747079966E-2</v>
      </c>
      <c r="M27" s="76">
        <f t="shared" si="4"/>
        <v>1.153734747079966E-2</v>
      </c>
      <c r="N27" s="76">
        <f t="shared" si="4"/>
        <v>1.153734747079966E-2</v>
      </c>
      <c r="O27" s="76">
        <f t="shared" si="4"/>
        <v>1.153734747079966E-2</v>
      </c>
      <c r="P27" s="76">
        <f t="shared" si="4"/>
        <v>1.153734747079966E-2</v>
      </c>
    </row>
    <row r="28" spans="1:16">
      <c r="A28" s="84" t="s">
        <v>130</v>
      </c>
      <c r="B28" s="85" t="s">
        <v>129</v>
      </c>
      <c r="C28" s="85" t="s">
        <v>92</v>
      </c>
      <c r="D28" s="84" t="s">
        <v>80</v>
      </c>
      <c r="E28" s="84" t="str">
        <f>VLOOKUP(A28,'2a. SI Pop'!$A$5:$E$198,5,FALSE)</f>
        <v>Key</v>
      </c>
      <c r="F28" s="76">
        <f>VLOOKUP(A28,Input!$T$5:$U$24,2,FALSE)</f>
        <v>0.20597559900000001</v>
      </c>
      <c r="G28" s="76">
        <f t="shared" si="4"/>
        <v>0.20597559900000001</v>
      </c>
      <c r="H28" s="76">
        <f t="shared" si="4"/>
        <v>0.20597559900000001</v>
      </c>
      <c r="I28" s="76">
        <f t="shared" si="4"/>
        <v>0.20597559900000001</v>
      </c>
      <c r="J28" s="76">
        <f t="shared" si="4"/>
        <v>0.20597559900000001</v>
      </c>
      <c r="K28" s="76">
        <f t="shared" si="4"/>
        <v>0.20597559900000001</v>
      </c>
      <c r="L28" s="76">
        <f t="shared" si="4"/>
        <v>0.20597559900000001</v>
      </c>
      <c r="M28" s="76">
        <f t="shared" si="4"/>
        <v>0.20597559900000001</v>
      </c>
      <c r="N28" s="76">
        <f t="shared" si="4"/>
        <v>0.20597559900000001</v>
      </c>
      <c r="O28" s="76">
        <f t="shared" si="4"/>
        <v>0.20597559900000001</v>
      </c>
      <c r="P28" s="76">
        <f t="shared" si="4"/>
        <v>0.20597559900000001</v>
      </c>
    </row>
    <row r="29" spans="1:16">
      <c r="A29" s="84" t="s">
        <v>132</v>
      </c>
      <c r="B29" s="85" t="s">
        <v>131</v>
      </c>
      <c r="C29" s="85" t="s">
        <v>99</v>
      </c>
      <c r="D29" s="84" t="s">
        <v>87</v>
      </c>
      <c r="E29" s="84">
        <f>VLOOKUP(A29,'2a. SI Pop'!$A$5:$E$198,5,FALSE)</f>
        <v>1</v>
      </c>
      <c r="F29" s="76">
        <f>VLOOKUP(E29,Input!$T$5:$U$24,2,FALSE)</f>
        <v>2.3190152964693054</v>
      </c>
      <c r="G29" s="76">
        <f t="shared" si="4"/>
        <v>2.3190152964693054</v>
      </c>
      <c r="H29" s="76">
        <f t="shared" si="4"/>
        <v>2.3190152964693054</v>
      </c>
      <c r="I29" s="76">
        <f t="shared" si="4"/>
        <v>2.3190152964693054</v>
      </c>
      <c r="J29" s="76">
        <f t="shared" si="4"/>
        <v>2.3190152964693054</v>
      </c>
      <c r="K29" s="76">
        <f t="shared" si="4"/>
        <v>2.3190152964693054</v>
      </c>
      <c r="L29" s="76">
        <f t="shared" si="4"/>
        <v>2.3190152964693054</v>
      </c>
      <c r="M29" s="76">
        <f t="shared" si="4"/>
        <v>2.3190152964693054</v>
      </c>
      <c r="N29" s="76">
        <f t="shared" si="4"/>
        <v>2.3190152964693054</v>
      </c>
      <c r="O29" s="76">
        <f t="shared" si="4"/>
        <v>2.3190152964693054</v>
      </c>
      <c r="P29" s="76">
        <f t="shared" si="4"/>
        <v>2.3190152964693054</v>
      </c>
    </row>
    <row r="30" spans="1:16">
      <c r="A30" s="84" t="s">
        <v>134</v>
      </c>
      <c r="B30" s="85" t="s">
        <v>133</v>
      </c>
      <c r="C30" s="85" t="s">
        <v>79</v>
      </c>
      <c r="D30" s="84" t="s">
        <v>80</v>
      </c>
      <c r="E30" s="84">
        <f>VLOOKUP(A30,'2a. SI Pop'!$A$5:$E$198,5,FALSE)</f>
        <v>1</v>
      </c>
      <c r="F30" s="76">
        <f>VLOOKUP(E30,Input!$T$5:$U$24,2,FALSE)</f>
        <v>2.3190152964693054</v>
      </c>
      <c r="G30" s="76">
        <f t="shared" si="4"/>
        <v>2.3190152964693054</v>
      </c>
      <c r="H30" s="76">
        <f t="shared" si="4"/>
        <v>2.3190152964693054</v>
      </c>
      <c r="I30" s="76">
        <f t="shared" si="4"/>
        <v>2.3190152964693054</v>
      </c>
      <c r="J30" s="76">
        <f t="shared" si="4"/>
        <v>2.3190152964693054</v>
      </c>
      <c r="K30" s="76">
        <f t="shared" si="4"/>
        <v>2.3190152964693054</v>
      </c>
      <c r="L30" s="76">
        <f t="shared" si="4"/>
        <v>2.3190152964693054</v>
      </c>
      <c r="M30" s="76">
        <f t="shared" si="4"/>
        <v>2.3190152964693054</v>
      </c>
      <c r="N30" s="76">
        <f t="shared" si="4"/>
        <v>2.3190152964693054</v>
      </c>
      <c r="O30" s="76">
        <f t="shared" si="4"/>
        <v>2.3190152964693054</v>
      </c>
      <c r="P30" s="76">
        <f t="shared" si="4"/>
        <v>2.3190152964693054</v>
      </c>
    </row>
    <row r="31" spans="1:16">
      <c r="A31" s="84" t="s">
        <v>136</v>
      </c>
      <c r="B31" s="85" t="s">
        <v>135</v>
      </c>
      <c r="C31" s="85" t="s">
        <v>83</v>
      </c>
      <c r="D31" s="84" t="s">
        <v>75</v>
      </c>
      <c r="E31" s="84">
        <f>VLOOKUP(A31,'2a. SI Pop'!$A$5:$E$198,5,FALSE)</f>
        <v>3</v>
      </c>
      <c r="F31" s="76">
        <f>VLOOKUP(E31,Input!$T$5:$U$24,2,FALSE)</f>
        <v>0.53368993694944578</v>
      </c>
      <c r="G31" s="76">
        <f t="shared" si="4"/>
        <v>0.53368993694944578</v>
      </c>
      <c r="H31" s="76">
        <f t="shared" si="4"/>
        <v>0.53368993694944578</v>
      </c>
      <c r="I31" s="76">
        <f t="shared" si="4"/>
        <v>0.53368993694944578</v>
      </c>
      <c r="J31" s="76">
        <f t="shared" si="4"/>
        <v>0.53368993694944578</v>
      </c>
      <c r="K31" s="76">
        <f t="shared" si="4"/>
        <v>0.53368993694944578</v>
      </c>
      <c r="L31" s="76">
        <f t="shared" si="4"/>
        <v>0.53368993694944578</v>
      </c>
      <c r="M31" s="76">
        <f t="shared" si="4"/>
        <v>0.53368993694944578</v>
      </c>
      <c r="N31" s="76">
        <f t="shared" si="4"/>
        <v>0.53368993694944578</v>
      </c>
      <c r="O31" s="76">
        <f t="shared" si="4"/>
        <v>0.53368993694944578</v>
      </c>
      <c r="P31" s="76">
        <f t="shared" si="4"/>
        <v>0.53368993694944578</v>
      </c>
    </row>
    <row r="32" spans="1:16">
      <c r="A32" s="84" t="s">
        <v>138</v>
      </c>
      <c r="B32" s="85" t="s">
        <v>137</v>
      </c>
      <c r="C32" s="85" t="s">
        <v>83</v>
      </c>
      <c r="D32" s="84" t="s">
        <v>75</v>
      </c>
      <c r="E32" s="84">
        <f>VLOOKUP(A32,'2a. SI Pop'!$A$5:$E$198,5,FALSE)</f>
        <v>3</v>
      </c>
      <c r="F32" s="76">
        <f>VLOOKUP(E32,Input!$T$5:$U$24,2,FALSE)</f>
        <v>0.53368993694944578</v>
      </c>
      <c r="G32" s="76">
        <f t="shared" si="4"/>
        <v>0.53368993694944578</v>
      </c>
      <c r="H32" s="76">
        <f t="shared" si="4"/>
        <v>0.53368993694944578</v>
      </c>
      <c r="I32" s="76">
        <f t="shared" si="4"/>
        <v>0.53368993694944578</v>
      </c>
      <c r="J32" s="76">
        <f t="shared" si="4"/>
        <v>0.53368993694944578</v>
      </c>
      <c r="K32" s="76">
        <f t="shared" si="4"/>
        <v>0.53368993694944578</v>
      </c>
      <c r="L32" s="76">
        <f t="shared" si="4"/>
        <v>0.53368993694944578</v>
      </c>
      <c r="M32" s="76">
        <f t="shared" si="4"/>
        <v>0.53368993694944578</v>
      </c>
      <c r="N32" s="76">
        <f t="shared" si="4"/>
        <v>0.53368993694944578</v>
      </c>
      <c r="O32" s="76">
        <f t="shared" si="4"/>
        <v>0.53368993694944578</v>
      </c>
      <c r="P32" s="76">
        <f t="shared" si="4"/>
        <v>0.53368993694944578</v>
      </c>
    </row>
    <row r="33" spans="1:16">
      <c r="A33" s="84" t="s">
        <v>140</v>
      </c>
      <c r="B33" s="85" t="s">
        <v>139</v>
      </c>
      <c r="C33" s="85" t="s">
        <v>99</v>
      </c>
      <c r="D33" s="84" t="s">
        <v>84</v>
      </c>
      <c r="E33" s="84">
        <f>VLOOKUP(A33,'2a. SI Pop'!$A$5:$E$198,5,FALSE)</f>
        <v>4</v>
      </c>
      <c r="F33" s="76">
        <f>VLOOKUP(E33,Input!$T$5:$U$24,2,FALSE)</f>
        <v>1.7360756259580992</v>
      </c>
      <c r="G33" s="76">
        <f t="shared" si="4"/>
        <v>1.7360756259580992</v>
      </c>
      <c r="H33" s="76">
        <f t="shared" si="4"/>
        <v>1.7360756259580992</v>
      </c>
      <c r="I33" s="76">
        <f t="shared" si="4"/>
        <v>1.7360756259580992</v>
      </c>
      <c r="J33" s="76">
        <f t="shared" si="4"/>
        <v>1.7360756259580992</v>
      </c>
      <c r="K33" s="76">
        <f t="shared" si="4"/>
        <v>1.7360756259580992</v>
      </c>
      <c r="L33" s="76">
        <f t="shared" si="4"/>
        <v>1.7360756259580992</v>
      </c>
      <c r="M33" s="76">
        <f t="shared" si="4"/>
        <v>1.7360756259580992</v>
      </c>
      <c r="N33" s="76">
        <f t="shared" si="4"/>
        <v>1.7360756259580992</v>
      </c>
      <c r="O33" s="76">
        <f t="shared" si="4"/>
        <v>1.7360756259580992</v>
      </c>
      <c r="P33" s="76">
        <f t="shared" si="4"/>
        <v>1.7360756259580992</v>
      </c>
    </row>
    <row r="34" spans="1:16">
      <c r="A34" s="84" t="s">
        <v>142</v>
      </c>
      <c r="B34" s="85" t="s">
        <v>141</v>
      </c>
      <c r="C34" s="85" t="s">
        <v>83</v>
      </c>
      <c r="D34" s="84" t="s">
        <v>84</v>
      </c>
      <c r="E34" s="84">
        <f>VLOOKUP(A34,'2a. SI Pop'!$A$5:$E$198,5,FALSE)</f>
        <v>3</v>
      </c>
      <c r="F34" s="76">
        <f>VLOOKUP(E34,Input!$T$5:$U$24,2,FALSE)</f>
        <v>0.53368993694944578</v>
      </c>
      <c r="G34" s="76">
        <f t="shared" si="4"/>
        <v>0.53368993694944578</v>
      </c>
      <c r="H34" s="76">
        <f t="shared" si="4"/>
        <v>0.53368993694944578</v>
      </c>
      <c r="I34" s="76">
        <f t="shared" si="4"/>
        <v>0.53368993694944578</v>
      </c>
      <c r="J34" s="76">
        <f t="shared" si="4"/>
        <v>0.53368993694944578</v>
      </c>
      <c r="K34" s="76">
        <f t="shared" si="4"/>
        <v>0.53368993694944578</v>
      </c>
      <c r="L34" s="76">
        <f t="shared" si="4"/>
        <v>0.53368993694944578</v>
      </c>
      <c r="M34" s="76">
        <f t="shared" si="4"/>
        <v>0.53368993694944578</v>
      </c>
      <c r="N34" s="76">
        <f t="shared" si="4"/>
        <v>0.53368993694944578</v>
      </c>
      <c r="O34" s="76">
        <f t="shared" si="4"/>
        <v>0.53368993694944578</v>
      </c>
      <c r="P34" s="76">
        <f t="shared" si="4"/>
        <v>0.53368993694944578</v>
      </c>
    </row>
    <row r="35" spans="1:16">
      <c r="A35" s="84" t="s">
        <v>144</v>
      </c>
      <c r="B35" s="85" t="s">
        <v>143</v>
      </c>
      <c r="C35" s="85" t="s">
        <v>92</v>
      </c>
      <c r="D35" s="84" t="s">
        <v>87</v>
      </c>
      <c r="E35" s="84">
        <f>VLOOKUP(A35,'2a. SI Pop'!$A$5:$E$198,5,FALSE)</f>
        <v>1</v>
      </c>
      <c r="F35" s="76">
        <f>VLOOKUP(E35,Input!$T$5:$U$24,2,FALSE)</f>
        <v>2.3190152964693054</v>
      </c>
      <c r="G35" s="76">
        <f t="shared" si="4"/>
        <v>2.3190152964693054</v>
      </c>
      <c r="H35" s="76">
        <f t="shared" si="4"/>
        <v>2.3190152964693054</v>
      </c>
      <c r="I35" s="76">
        <f t="shared" si="4"/>
        <v>2.3190152964693054</v>
      </c>
      <c r="J35" s="76">
        <f t="shared" si="4"/>
        <v>2.3190152964693054</v>
      </c>
      <c r="K35" s="76">
        <f t="shared" si="4"/>
        <v>2.3190152964693054</v>
      </c>
      <c r="L35" s="76">
        <f t="shared" si="4"/>
        <v>2.3190152964693054</v>
      </c>
      <c r="M35" s="76">
        <f t="shared" si="4"/>
        <v>2.3190152964693054</v>
      </c>
      <c r="N35" s="76">
        <f t="shared" si="4"/>
        <v>2.3190152964693054</v>
      </c>
      <c r="O35" s="76">
        <f t="shared" si="4"/>
        <v>2.3190152964693054</v>
      </c>
      <c r="P35" s="76">
        <f t="shared" si="4"/>
        <v>2.3190152964693054</v>
      </c>
    </row>
    <row r="36" spans="1:16">
      <c r="A36" s="84" t="s">
        <v>146</v>
      </c>
      <c r="B36" s="85" t="s">
        <v>145</v>
      </c>
      <c r="C36" s="85" t="s">
        <v>83</v>
      </c>
      <c r="D36" s="84" t="s">
        <v>84</v>
      </c>
      <c r="E36" s="84">
        <f>VLOOKUP(A36,'2a. SI Pop'!$A$5:$E$198,5,FALSE)</f>
        <v>2</v>
      </c>
      <c r="F36" s="76">
        <f>VLOOKUP(E36,Input!$T$5:$U$24,2,FALSE)</f>
        <v>1.153734747079966E-2</v>
      </c>
      <c r="G36" s="76">
        <f t="shared" si="4"/>
        <v>1.153734747079966E-2</v>
      </c>
      <c r="H36" s="76">
        <f t="shared" si="4"/>
        <v>1.153734747079966E-2</v>
      </c>
      <c r="I36" s="76">
        <f t="shared" si="4"/>
        <v>1.153734747079966E-2</v>
      </c>
      <c r="J36" s="76">
        <f t="shared" si="4"/>
        <v>1.153734747079966E-2</v>
      </c>
      <c r="K36" s="76">
        <f t="shared" si="4"/>
        <v>1.153734747079966E-2</v>
      </c>
      <c r="L36" s="76">
        <f t="shared" si="4"/>
        <v>1.153734747079966E-2</v>
      </c>
      <c r="M36" s="76">
        <f t="shared" si="4"/>
        <v>1.153734747079966E-2</v>
      </c>
      <c r="N36" s="76">
        <f t="shared" si="4"/>
        <v>1.153734747079966E-2</v>
      </c>
      <c r="O36" s="76">
        <f t="shared" si="4"/>
        <v>1.153734747079966E-2</v>
      </c>
      <c r="P36" s="76">
        <f t="shared" si="4"/>
        <v>1.153734747079966E-2</v>
      </c>
    </row>
    <row r="37" spans="1:16">
      <c r="A37" s="84" t="s">
        <v>148</v>
      </c>
      <c r="B37" s="85" t="s">
        <v>147</v>
      </c>
      <c r="C37" s="85" t="s">
        <v>83</v>
      </c>
      <c r="D37" s="84" t="s">
        <v>75</v>
      </c>
      <c r="E37" s="84">
        <f>VLOOKUP(A37,'2a. SI Pop'!$A$5:$E$198,5,FALSE)</f>
        <v>3</v>
      </c>
      <c r="F37" s="76">
        <f>VLOOKUP(E37,Input!$T$5:$U$24,2,FALSE)</f>
        <v>0.53368993694944578</v>
      </c>
      <c r="G37" s="76">
        <f t="shared" si="4"/>
        <v>0.53368993694944578</v>
      </c>
      <c r="H37" s="76">
        <f t="shared" si="4"/>
        <v>0.53368993694944578</v>
      </c>
      <c r="I37" s="76">
        <f t="shared" si="4"/>
        <v>0.53368993694944578</v>
      </c>
      <c r="J37" s="76">
        <f t="shared" si="4"/>
        <v>0.53368993694944578</v>
      </c>
      <c r="K37" s="76">
        <f t="shared" si="4"/>
        <v>0.53368993694944578</v>
      </c>
      <c r="L37" s="76">
        <f t="shared" si="4"/>
        <v>0.53368993694944578</v>
      </c>
      <c r="M37" s="76">
        <f t="shared" si="4"/>
        <v>0.53368993694944578</v>
      </c>
      <c r="N37" s="76">
        <f t="shared" si="4"/>
        <v>0.53368993694944578</v>
      </c>
      <c r="O37" s="76">
        <f t="shared" si="4"/>
        <v>0.53368993694944578</v>
      </c>
      <c r="P37" s="76">
        <f t="shared" si="4"/>
        <v>0.53368993694944578</v>
      </c>
    </row>
    <row r="38" spans="1:16">
      <c r="A38" s="84" t="s">
        <v>150</v>
      </c>
      <c r="B38" s="85" t="s">
        <v>149</v>
      </c>
      <c r="C38" s="85" t="s">
        <v>83</v>
      </c>
      <c r="D38" s="84" t="s">
        <v>75</v>
      </c>
      <c r="E38" s="84" t="str">
        <f>VLOOKUP(A38,'2a. SI Pop'!$A$5:$E$198,5,FALSE)</f>
        <v>Key</v>
      </c>
      <c r="F38" s="76">
        <f>VLOOKUP(A38,Input!$T$5:$U$24,2,FALSE)</f>
        <v>0.53368993694944578</v>
      </c>
      <c r="G38" s="76">
        <f t="shared" ref="G38:P53" si="5">F38</f>
        <v>0.53368993694944578</v>
      </c>
      <c r="H38" s="76">
        <f t="shared" si="5"/>
        <v>0.53368993694944578</v>
      </c>
      <c r="I38" s="76">
        <f t="shared" si="5"/>
        <v>0.53368993694944578</v>
      </c>
      <c r="J38" s="76">
        <f t="shared" si="5"/>
        <v>0.53368993694944578</v>
      </c>
      <c r="K38" s="76">
        <f t="shared" si="5"/>
        <v>0.53368993694944578</v>
      </c>
      <c r="L38" s="76">
        <f t="shared" si="5"/>
        <v>0.53368993694944578</v>
      </c>
      <c r="M38" s="76">
        <f t="shared" si="5"/>
        <v>0.53368993694944578</v>
      </c>
      <c r="N38" s="76">
        <f t="shared" si="5"/>
        <v>0.53368993694944578</v>
      </c>
      <c r="O38" s="76">
        <f t="shared" si="5"/>
        <v>0.53368993694944578</v>
      </c>
      <c r="P38" s="76">
        <f t="shared" si="5"/>
        <v>0.53368993694944578</v>
      </c>
    </row>
    <row r="39" spans="1:16">
      <c r="A39" s="84" t="s">
        <v>152</v>
      </c>
      <c r="B39" s="85" t="s">
        <v>151</v>
      </c>
      <c r="C39" s="85" t="s">
        <v>92</v>
      </c>
      <c r="D39" s="84" t="s">
        <v>87</v>
      </c>
      <c r="E39" s="84">
        <f>VLOOKUP(A39,'2a. SI Pop'!$A$5:$E$198,5,FALSE)</f>
        <v>2</v>
      </c>
      <c r="F39" s="76">
        <f>VLOOKUP(E39,Input!$T$5:$U$24,2,FALSE)</f>
        <v>1.153734747079966E-2</v>
      </c>
      <c r="G39" s="76">
        <f t="shared" si="5"/>
        <v>1.153734747079966E-2</v>
      </c>
      <c r="H39" s="76">
        <f t="shared" si="5"/>
        <v>1.153734747079966E-2</v>
      </c>
      <c r="I39" s="76">
        <f t="shared" si="5"/>
        <v>1.153734747079966E-2</v>
      </c>
      <c r="J39" s="76">
        <f t="shared" si="5"/>
        <v>1.153734747079966E-2</v>
      </c>
      <c r="K39" s="76">
        <f t="shared" si="5"/>
        <v>1.153734747079966E-2</v>
      </c>
      <c r="L39" s="76">
        <f t="shared" si="5"/>
        <v>1.153734747079966E-2</v>
      </c>
      <c r="M39" s="76">
        <f t="shared" si="5"/>
        <v>1.153734747079966E-2</v>
      </c>
      <c r="N39" s="76">
        <f t="shared" si="5"/>
        <v>1.153734747079966E-2</v>
      </c>
      <c r="O39" s="76">
        <f t="shared" si="5"/>
        <v>1.153734747079966E-2</v>
      </c>
      <c r="P39" s="76">
        <f t="shared" si="5"/>
        <v>1.153734747079966E-2</v>
      </c>
    </row>
    <row r="40" spans="1:16">
      <c r="A40" s="84" t="s">
        <v>154</v>
      </c>
      <c r="B40" s="85" t="s">
        <v>153</v>
      </c>
      <c r="C40" s="85" t="s">
        <v>99</v>
      </c>
      <c r="D40" s="84" t="s">
        <v>80</v>
      </c>
      <c r="E40" s="84">
        <f>VLOOKUP(A40,'2a. SI Pop'!$A$5:$E$198,5,FALSE)</f>
        <v>1</v>
      </c>
      <c r="F40" s="76">
        <f>VLOOKUP(E40,Input!$T$5:$U$24,2,FALSE)</f>
        <v>2.3190152964693054</v>
      </c>
      <c r="G40" s="76">
        <f t="shared" si="5"/>
        <v>2.3190152964693054</v>
      </c>
      <c r="H40" s="76">
        <f t="shared" si="5"/>
        <v>2.3190152964693054</v>
      </c>
      <c r="I40" s="76">
        <f t="shared" si="5"/>
        <v>2.3190152964693054</v>
      </c>
      <c r="J40" s="76">
        <f t="shared" si="5"/>
        <v>2.3190152964693054</v>
      </c>
      <c r="K40" s="76">
        <f t="shared" si="5"/>
        <v>2.3190152964693054</v>
      </c>
      <c r="L40" s="76">
        <f t="shared" si="5"/>
        <v>2.3190152964693054</v>
      </c>
      <c r="M40" s="76">
        <f t="shared" si="5"/>
        <v>2.3190152964693054</v>
      </c>
      <c r="N40" s="76">
        <f t="shared" si="5"/>
        <v>2.3190152964693054</v>
      </c>
      <c r="O40" s="76">
        <f t="shared" si="5"/>
        <v>2.3190152964693054</v>
      </c>
      <c r="P40" s="76">
        <f t="shared" si="5"/>
        <v>2.3190152964693054</v>
      </c>
    </row>
    <row r="41" spans="1:16">
      <c r="A41" s="84" t="s">
        <v>156</v>
      </c>
      <c r="B41" s="85" t="s">
        <v>155</v>
      </c>
      <c r="C41" s="85" t="s">
        <v>92</v>
      </c>
      <c r="D41" s="84" t="s">
        <v>80</v>
      </c>
      <c r="E41" s="84">
        <f>VLOOKUP(A41,'2a. SI Pop'!$A$5:$E$198,5,FALSE)</f>
        <v>2</v>
      </c>
      <c r="F41" s="76">
        <f>VLOOKUP(E41,Input!$T$5:$U$24,2,FALSE)</f>
        <v>1.153734747079966E-2</v>
      </c>
      <c r="G41" s="76">
        <f t="shared" si="5"/>
        <v>1.153734747079966E-2</v>
      </c>
      <c r="H41" s="76">
        <f t="shared" si="5"/>
        <v>1.153734747079966E-2</v>
      </c>
      <c r="I41" s="76">
        <f t="shared" si="5"/>
        <v>1.153734747079966E-2</v>
      </c>
      <c r="J41" s="76">
        <f t="shared" si="5"/>
        <v>1.153734747079966E-2</v>
      </c>
      <c r="K41" s="76">
        <f t="shared" si="5"/>
        <v>1.153734747079966E-2</v>
      </c>
      <c r="L41" s="76">
        <f t="shared" si="5"/>
        <v>1.153734747079966E-2</v>
      </c>
      <c r="M41" s="76">
        <f t="shared" si="5"/>
        <v>1.153734747079966E-2</v>
      </c>
      <c r="N41" s="76">
        <f t="shared" si="5"/>
        <v>1.153734747079966E-2</v>
      </c>
      <c r="O41" s="76">
        <f t="shared" si="5"/>
        <v>1.153734747079966E-2</v>
      </c>
      <c r="P41" s="76">
        <f t="shared" si="5"/>
        <v>1.153734747079966E-2</v>
      </c>
    </row>
    <row r="42" spans="1:16">
      <c r="A42" s="84" t="s">
        <v>158</v>
      </c>
      <c r="B42" s="85" t="s">
        <v>157</v>
      </c>
      <c r="C42" s="85" t="s">
        <v>83</v>
      </c>
      <c r="D42" s="84" t="s">
        <v>84</v>
      </c>
      <c r="E42" s="84">
        <f>VLOOKUP(A42,'2a. SI Pop'!$A$5:$E$198,5,FALSE)</f>
        <v>3</v>
      </c>
      <c r="F42" s="76">
        <f>VLOOKUP(E42,Input!$T$5:$U$24,2,FALSE)</f>
        <v>0.53368993694944578</v>
      </c>
      <c r="G42" s="76">
        <f t="shared" si="5"/>
        <v>0.53368993694944578</v>
      </c>
      <c r="H42" s="76">
        <f t="shared" si="5"/>
        <v>0.53368993694944578</v>
      </c>
      <c r="I42" s="76">
        <f t="shared" si="5"/>
        <v>0.53368993694944578</v>
      </c>
      <c r="J42" s="76">
        <f t="shared" si="5"/>
        <v>0.53368993694944578</v>
      </c>
      <c r="K42" s="76">
        <f t="shared" si="5"/>
        <v>0.53368993694944578</v>
      </c>
      <c r="L42" s="76">
        <f t="shared" si="5"/>
        <v>0.53368993694944578</v>
      </c>
      <c r="M42" s="76">
        <f t="shared" si="5"/>
        <v>0.53368993694944578</v>
      </c>
      <c r="N42" s="76">
        <f t="shared" si="5"/>
        <v>0.53368993694944578</v>
      </c>
      <c r="O42" s="76">
        <f t="shared" si="5"/>
        <v>0.53368993694944578</v>
      </c>
      <c r="P42" s="76">
        <f t="shared" si="5"/>
        <v>0.53368993694944578</v>
      </c>
    </row>
    <row r="43" spans="1:16">
      <c r="A43" s="84" t="s">
        <v>160</v>
      </c>
      <c r="B43" s="85" t="s">
        <v>159</v>
      </c>
      <c r="C43" s="85" t="s">
        <v>83</v>
      </c>
      <c r="D43" s="84" t="s">
        <v>84</v>
      </c>
      <c r="E43" s="84">
        <f>VLOOKUP(A43,'2a. SI Pop'!$A$5:$E$198,5,FALSE)</f>
        <v>3</v>
      </c>
      <c r="F43" s="76">
        <f>VLOOKUP(E43,Input!$T$5:$U$24,2,FALSE)</f>
        <v>0.53368993694944578</v>
      </c>
      <c r="G43" s="76">
        <f t="shared" si="5"/>
        <v>0.53368993694944578</v>
      </c>
      <c r="H43" s="76">
        <f t="shared" si="5"/>
        <v>0.53368993694944578</v>
      </c>
      <c r="I43" s="76">
        <f t="shared" si="5"/>
        <v>0.53368993694944578</v>
      </c>
      <c r="J43" s="76">
        <f t="shared" si="5"/>
        <v>0.53368993694944578</v>
      </c>
      <c r="K43" s="76">
        <f t="shared" si="5"/>
        <v>0.53368993694944578</v>
      </c>
      <c r="L43" s="76">
        <f t="shared" si="5"/>
        <v>0.53368993694944578</v>
      </c>
      <c r="M43" s="76">
        <f t="shared" si="5"/>
        <v>0.53368993694944578</v>
      </c>
      <c r="N43" s="76">
        <f t="shared" si="5"/>
        <v>0.53368993694944578</v>
      </c>
      <c r="O43" s="76">
        <f t="shared" si="5"/>
        <v>0.53368993694944578</v>
      </c>
      <c r="P43" s="76">
        <f t="shared" si="5"/>
        <v>0.53368993694944578</v>
      </c>
    </row>
    <row r="44" spans="1:16">
      <c r="A44" s="84" t="s">
        <v>162</v>
      </c>
      <c r="B44" s="85" t="s">
        <v>161</v>
      </c>
      <c r="C44" s="85" t="s">
        <v>99</v>
      </c>
      <c r="D44" s="84" t="e">
        <v>#N/A</v>
      </c>
      <c r="E44" s="84">
        <f>VLOOKUP(A44,'2a. SI Pop'!$A$5:$E$198,5,FALSE)</f>
        <v>1</v>
      </c>
      <c r="F44" s="76">
        <f>VLOOKUP(E44,Input!$T$5:$U$24,2,FALSE)</f>
        <v>2.3190152964693054</v>
      </c>
      <c r="G44" s="76">
        <f t="shared" ref="G44" si="6">F44</f>
        <v>2.3190152964693054</v>
      </c>
      <c r="H44" s="76">
        <f t="shared" ref="H44" si="7">G44</f>
        <v>2.3190152964693054</v>
      </c>
      <c r="I44" s="76">
        <f t="shared" ref="I44" si="8">H44</f>
        <v>2.3190152964693054</v>
      </c>
      <c r="J44" s="76">
        <f t="shared" ref="J44" si="9">I44</f>
        <v>2.3190152964693054</v>
      </c>
      <c r="K44" s="76">
        <f t="shared" ref="K44" si="10">J44</f>
        <v>2.3190152964693054</v>
      </c>
      <c r="L44" s="76">
        <f t="shared" ref="L44" si="11">K44</f>
        <v>2.3190152964693054</v>
      </c>
      <c r="M44" s="76">
        <f t="shared" ref="M44" si="12">L44</f>
        <v>2.3190152964693054</v>
      </c>
      <c r="N44" s="76">
        <f t="shared" ref="N44" si="13">M44</f>
        <v>2.3190152964693054</v>
      </c>
      <c r="O44" s="76">
        <f t="shared" ref="O44" si="14">N44</f>
        <v>2.3190152964693054</v>
      </c>
      <c r="P44" s="76">
        <f t="shared" ref="P44" si="15">O44</f>
        <v>2.3190152964693054</v>
      </c>
    </row>
    <row r="45" spans="1:16">
      <c r="A45" s="84" t="s">
        <v>164</v>
      </c>
      <c r="B45" s="85" t="s">
        <v>163</v>
      </c>
      <c r="C45" s="85" t="s">
        <v>92</v>
      </c>
      <c r="D45" s="84" t="s">
        <v>80</v>
      </c>
      <c r="E45" s="84">
        <f>VLOOKUP(A45,'2a. SI Pop'!$A$5:$E$198,5,FALSE)</f>
        <v>2</v>
      </c>
      <c r="F45" s="76">
        <f>VLOOKUP(E45,Input!$T$5:$U$24,2,FALSE)</f>
        <v>1.153734747079966E-2</v>
      </c>
      <c r="G45" s="76">
        <f t="shared" si="5"/>
        <v>1.153734747079966E-2</v>
      </c>
      <c r="H45" s="76">
        <f t="shared" si="5"/>
        <v>1.153734747079966E-2</v>
      </c>
      <c r="I45" s="76">
        <f t="shared" si="5"/>
        <v>1.153734747079966E-2</v>
      </c>
      <c r="J45" s="76">
        <f t="shared" si="5"/>
        <v>1.153734747079966E-2</v>
      </c>
      <c r="K45" s="76">
        <f t="shared" si="5"/>
        <v>1.153734747079966E-2</v>
      </c>
      <c r="L45" s="76">
        <f t="shared" si="5"/>
        <v>1.153734747079966E-2</v>
      </c>
      <c r="M45" s="76">
        <f t="shared" si="5"/>
        <v>1.153734747079966E-2</v>
      </c>
      <c r="N45" s="76">
        <f t="shared" si="5"/>
        <v>1.153734747079966E-2</v>
      </c>
      <c r="O45" s="76">
        <f t="shared" si="5"/>
        <v>1.153734747079966E-2</v>
      </c>
      <c r="P45" s="76">
        <f t="shared" si="5"/>
        <v>1.153734747079966E-2</v>
      </c>
    </row>
    <row r="46" spans="1:16">
      <c r="A46" s="84" t="s">
        <v>166</v>
      </c>
      <c r="B46" s="85" t="s">
        <v>165</v>
      </c>
      <c r="C46" s="85" t="s">
        <v>83</v>
      </c>
      <c r="D46" s="84" t="s">
        <v>84</v>
      </c>
      <c r="E46" s="84">
        <f>VLOOKUP(A46,'2a. SI Pop'!$A$5:$E$198,5,FALSE)</f>
        <v>3</v>
      </c>
      <c r="F46" s="76">
        <f>VLOOKUP(E46,Input!$T$5:$U$24,2,FALSE)</f>
        <v>0.53368993694944578</v>
      </c>
      <c r="G46" s="76">
        <f t="shared" si="5"/>
        <v>0.53368993694944578</v>
      </c>
      <c r="H46" s="76">
        <f t="shared" si="5"/>
        <v>0.53368993694944578</v>
      </c>
      <c r="I46" s="76">
        <f t="shared" si="5"/>
        <v>0.53368993694944578</v>
      </c>
      <c r="J46" s="76">
        <f t="shared" si="5"/>
        <v>0.53368993694944578</v>
      </c>
      <c r="K46" s="76">
        <f t="shared" si="5"/>
        <v>0.53368993694944578</v>
      </c>
      <c r="L46" s="76">
        <f t="shared" si="5"/>
        <v>0.53368993694944578</v>
      </c>
      <c r="M46" s="76">
        <f t="shared" si="5"/>
        <v>0.53368993694944578</v>
      </c>
      <c r="N46" s="76">
        <f t="shared" si="5"/>
        <v>0.53368993694944578</v>
      </c>
      <c r="O46" s="76">
        <f t="shared" si="5"/>
        <v>0.53368993694944578</v>
      </c>
      <c r="P46" s="76">
        <f t="shared" si="5"/>
        <v>0.53368993694944578</v>
      </c>
    </row>
    <row r="47" spans="1:16">
      <c r="A47" s="84" t="s">
        <v>168</v>
      </c>
      <c r="B47" s="85" t="s">
        <v>167</v>
      </c>
      <c r="C47" s="85" t="s">
        <v>79</v>
      </c>
      <c r="D47" s="84" t="s">
        <v>87</v>
      </c>
      <c r="E47" s="84">
        <f>VLOOKUP(A47,'2a. SI Pop'!$A$5:$E$198,5,FALSE)</f>
        <v>1</v>
      </c>
      <c r="F47" s="76">
        <f>VLOOKUP(E47,Input!$T$5:$U$24,2,FALSE)</f>
        <v>2.3190152964693054</v>
      </c>
      <c r="G47" s="76">
        <f t="shared" si="5"/>
        <v>2.3190152964693054</v>
      </c>
      <c r="H47" s="76">
        <f t="shared" si="5"/>
        <v>2.3190152964693054</v>
      </c>
      <c r="I47" s="76">
        <f t="shared" si="5"/>
        <v>2.3190152964693054</v>
      </c>
      <c r="J47" s="76">
        <f t="shared" si="5"/>
        <v>2.3190152964693054</v>
      </c>
      <c r="K47" s="76">
        <f t="shared" si="5"/>
        <v>2.3190152964693054</v>
      </c>
      <c r="L47" s="76">
        <f t="shared" si="5"/>
        <v>2.3190152964693054</v>
      </c>
      <c r="M47" s="76">
        <f t="shared" si="5"/>
        <v>2.3190152964693054</v>
      </c>
      <c r="N47" s="76">
        <f t="shared" si="5"/>
        <v>2.3190152964693054</v>
      </c>
      <c r="O47" s="76">
        <f t="shared" si="5"/>
        <v>2.3190152964693054</v>
      </c>
      <c r="P47" s="76">
        <f t="shared" si="5"/>
        <v>2.3190152964693054</v>
      </c>
    </row>
    <row r="48" spans="1:16">
      <c r="A48" s="84" t="s">
        <v>170</v>
      </c>
      <c r="B48" s="85" t="s">
        <v>169</v>
      </c>
      <c r="C48" s="85" t="s">
        <v>92</v>
      </c>
      <c r="D48" s="84" t="s">
        <v>80</v>
      </c>
      <c r="E48" s="84">
        <f>VLOOKUP(A48,'2a. SI Pop'!$A$5:$E$198,5,FALSE)</f>
        <v>1</v>
      </c>
      <c r="F48" s="76">
        <f>VLOOKUP(E48,Input!$T$5:$U$24,2,FALSE)</f>
        <v>2.3190152964693054</v>
      </c>
      <c r="G48" s="76">
        <f t="shared" si="5"/>
        <v>2.3190152964693054</v>
      </c>
      <c r="H48" s="76">
        <f t="shared" si="5"/>
        <v>2.3190152964693054</v>
      </c>
      <c r="I48" s="76">
        <f t="shared" si="5"/>
        <v>2.3190152964693054</v>
      </c>
      <c r="J48" s="76">
        <f t="shared" si="5"/>
        <v>2.3190152964693054</v>
      </c>
      <c r="K48" s="76">
        <f t="shared" si="5"/>
        <v>2.3190152964693054</v>
      </c>
      <c r="L48" s="76">
        <f t="shared" si="5"/>
        <v>2.3190152964693054</v>
      </c>
      <c r="M48" s="76">
        <f t="shared" si="5"/>
        <v>2.3190152964693054</v>
      </c>
      <c r="N48" s="76">
        <f t="shared" si="5"/>
        <v>2.3190152964693054</v>
      </c>
      <c r="O48" s="76">
        <f t="shared" si="5"/>
        <v>2.3190152964693054</v>
      </c>
      <c r="P48" s="76">
        <f t="shared" si="5"/>
        <v>2.3190152964693054</v>
      </c>
    </row>
    <row r="49" spans="1:16">
      <c r="A49" s="84" t="s">
        <v>172</v>
      </c>
      <c r="B49" s="85" t="s">
        <v>171</v>
      </c>
      <c r="C49" s="85" t="s">
        <v>79</v>
      </c>
      <c r="D49" s="84" t="s">
        <v>87</v>
      </c>
      <c r="E49" s="84">
        <f>VLOOKUP(A49,'2a. SI Pop'!$A$5:$E$198,5,FALSE)</f>
        <v>1</v>
      </c>
      <c r="F49" s="76">
        <f>VLOOKUP(E49,Input!$T$5:$U$24,2,FALSE)</f>
        <v>2.3190152964693054</v>
      </c>
      <c r="G49" s="76">
        <f t="shared" si="5"/>
        <v>2.3190152964693054</v>
      </c>
      <c r="H49" s="76">
        <f t="shared" si="5"/>
        <v>2.3190152964693054</v>
      </c>
      <c r="I49" s="76">
        <f t="shared" si="5"/>
        <v>2.3190152964693054</v>
      </c>
      <c r="J49" s="76">
        <f t="shared" si="5"/>
        <v>2.3190152964693054</v>
      </c>
      <c r="K49" s="76">
        <f t="shared" si="5"/>
        <v>2.3190152964693054</v>
      </c>
      <c r="L49" s="76">
        <f t="shared" si="5"/>
        <v>2.3190152964693054</v>
      </c>
      <c r="M49" s="76">
        <f t="shared" si="5"/>
        <v>2.3190152964693054</v>
      </c>
      <c r="N49" s="76">
        <f t="shared" si="5"/>
        <v>2.3190152964693054</v>
      </c>
      <c r="O49" s="76">
        <f t="shared" si="5"/>
        <v>2.3190152964693054</v>
      </c>
      <c r="P49" s="76">
        <f t="shared" si="5"/>
        <v>2.3190152964693054</v>
      </c>
    </row>
    <row r="50" spans="1:16">
      <c r="A50" s="84" t="s">
        <v>174</v>
      </c>
      <c r="B50" s="85" t="s">
        <v>173</v>
      </c>
      <c r="C50" s="85" t="s">
        <v>79</v>
      </c>
      <c r="D50" s="84" t="s">
        <v>87</v>
      </c>
      <c r="E50" s="84">
        <f>VLOOKUP(A50,'2a. SI Pop'!$A$5:$E$198,5,FALSE)</f>
        <v>1</v>
      </c>
      <c r="F50" s="76">
        <f>VLOOKUP(E50,Input!$T$5:$U$24,2,FALSE)</f>
        <v>2.3190152964693054</v>
      </c>
      <c r="G50" s="76">
        <f t="shared" si="5"/>
        <v>2.3190152964693054</v>
      </c>
      <c r="H50" s="76">
        <f t="shared" si="5"/>
        <v>2.3190152964693054</v>
      </c>
      <c r="I50" s="76">
        <f t="shared" si="5"/>
        <v>2.3190152964693054</v>
      </c>
      <c r="J50" s="76">
        <f t="shared" si="5"/>
        <v>2.3190152964693054</v>
      </c>
      <c r="K50" s="76">
        <f t="shared" si="5"/>
        <v>2.3190152964693054</v>
      </c>
      <c r="L50" s="76">
        <f t="shared" si="5"/>
        <v>2.3190152964693054</v>
      </c>
      <c r="M50" s="76">
        <f t="shared" si="5"/>
        <v>2.3190152964693054</v>
      </c>
      <c r="N50" s="76">
        <f t="shared" si="5"/>
        <v>2.3190152964693054</v>
      </c>
      <c r="O50" s="76">
        <f t="shared" si="5"/>
        <v>2.3190152964693054</v>
      </c>
      <c r="P50" s="76">
        <f t="shared" si="5"/>
        <v>2.3190152964693054</v>
      </c>
    </row>
    <row r="51" spans="1:16">
      <c r="A51" s="84" t="s">
        <v>176</v>
      </c>
      <c r="B51" s="85" t="s">
        <v>175</v>
      </c>
      <c r="C51" s="85" t="s">
        <v>110</v>
      </c>
      <c r="D51" s="84" t="s">
        <v>75</v>
      </c>
      <c r="E51" s="84">
        <f>VLOOKUP(A51,'2a. SI Pop'!$A$5:$E$198,5,FALSE)</f>
        <v>4</v>
      </c>
      <c r="F51" s="76">
        <f>VLOOKUP(E51,Input!$T$5:$U$24,2,FALSE)</f>
        <v>1.7360756259580992</v>
      </c>
      <c r="G51" s="76">
        <f t="shared" si="5"/>
        <v>1.7360756259580992</v>
      </c>
      <c r="H51" s="76">
        <f t="shared" si="5"/>
        <v>1.7360756259580992</v>
      </c>
      <c r="I51" s="76">
        <f t="shared" si="5"/>
        <v>1.7360756259580992</v>
      </c>
      <c r="J51" s="76">
        <f t="shared" si="5"/>
        <v>1.7360756259580992</v>
      </c>
      <c r="K51" s="76">
        <f t="shared" si="5"/>
        <v>1.7360756259580992</v>
      </c>
      <c r="L51" s="76">
        <f t="shared" si="5"/>
        <v>1.7360756259580992</v>
      </c>
      <c r="M51" s="76">
        <f t="shared" si="5"/>
        <v>1.7360756259580992</v>
      </c>
      <c r="N51" s="76">
        <f t="shared" si="5"/>
        <v>1.7360756259580992</v>
      </c>
      <c r="O51" s="76">
        <f t="shared" si="5"/>
        <v>1.7360756259580992</v>
      </c>
      <c r="P51" s="76">
        <f t="shared" si="5"/>
        <v>1.7360756259580992</v>
      </c>
    </row>
    <row r="52" spans="1:16">
      <c r="A52" s="84" t="s">
        <v>178</v>
      </c>
      <c r="B52" s="85" t="s">
        <v>177</v>
      </c>
      <c r="C52" s="85" t="s">
        <v>83</v>
      </c>
      <c r="D52" s="84" t="s">
        <v>75</v>
      </c>
      <c r="E52" s="84" t="str">
        <f>VLOOKUP(A52,'2a. SI Pop'!$A$5:$E$198,5,FALSE)</f>
        <v>Key</v>
      </c>
      <c r="F52" s="76">
        <f>VLOOKUP(A52,Input!$T$5:$U$24,2,FALSE)</f>
        <v>0.53368993694944578</v>
      </c>
      <c r="G52" s="76">
        <f t="shared" si="5"/>
        <v>0.53368993694944578</v>
      </c>
      <c r="H52" s="76">
        <f t="shared" si="5"/>
        <v>0.53368993694944578</v>
      </c>
      <c r="I52" s="76">
        <f t="shared" si="5"/>
        <v>0.53368993694944578</v>
      </c>
      <c r="J52" s="76">
        <f t="shared" si="5"/>
        <v>0.53368993694944578</v>
      </c>
      <c r="K52" s="76">
        <f t="shared" si="5"/>
        <v>0.53368993694944578</v>
      </c>
      <c r="L52" s="76">
        <f t="shared" si="5"/>
        <v>0.53368993694944578</v>
      </c>
      <c r="M52" s="76">
        <f t="shared" si="5"/>
        <v>0.53368993694944578</v>
      </c>
      <c r="N52" s="76">
        <f t="shared" si="5"/>
        <v>0.53368993694944578</v>
      </c>
      <c r="O52" s="76">
        <f t="shared" si="5"/>
        <v>0.53368993694944578</v>
      </c>
      <c r="P52" s="76">
        <f t="shared" si="5"/>
        <v>0.53368993694944578</v>
      </c>
    </row>
    <row r="53" spans="1:16">
      <c r="A53" s="84" t="s">
        <v>180</v>
      </c>
      <c r="B53" s="85" t="s">
        <v>179</v>
      </c>
      <c r="C53" s="85" t="s">
        <v>79</v>
      </c>
      <c r="D53" s="84" t="s">
        <v>87</v>
      </c>
      <c r="E53" s="84">
        <f>VLOOKUP(A53,'2a. SI Pop'!$A$5:$E$198,5,FALSE)</f>
        <v>1</v>
      </c>
      <c r="F53" s="76">
        <f>VLOOKUP(E53,Input!$T$5:$U$24,2,FALSE)</f>
        <v>2.3190152964693054</v>
      </c>
      <c r="G53" s="76">
        <f t="shared" si="5"/>
        <v>2.3190152964693054</v>
      </c>
      <c r="H53" s="76">
        <f t="shared" si="5"/>
        <v>2.3190152964693054</v>
      </c>
      <c r="I53" s="76">
        <f t="shared" si="5"/>
        <v>2.3190152964693054</v>
      </c>
      <c r="J53" s="76">
        <f t="shared" si="5"/>
        <v>2.3190152964693054</v>
      </c>
      <c r="K53" s="76">
        <f t="shared" si="5"/>
        <v>2.3190152964693054</v>
      </c>
      <c r="L53" s="76">
        <f t="shared" si="5"/>
        <v>2.3190152964693054</v>
      </c>
      <c r="M53" s="76">
        <f t="shared" si="5"/>
        <v>2.3190152964693054</v>
      </c>
      <c r="N53" s="76">
        <f t="shared" si="5"/>
        <v>2.3190152964693054</v>
      </c>
      <c r="O53" s="76">
        <f t="shared" si="5"/>
        <v>2.3190152964693054</v>
      </c>
      <c r="P53" s="76">
        <f t="shared" si="5"/>
        <v>2.3190152964693054</v>
      </c>
    </row>
    <row r="54" spans="1:16">
      <c r="A54" s="84" t="s">
        <v>182</v>
      </c>
      <c r="B54" s="85" t="s">
        <v>181</v>
      </c>
      <c r="C54" s="85" t="s">
        <v>74</v>
      </c>
      <c r="D54" s="84" t="s">
        <v>84</v>
      </c>
      <c r="E54" s="84">
        <f>VLOOKUP(A54,'2a. SI Pop'!$A$5:$E$198,5,FALSE)</f>
        <v>3</v>
      </c>
      <c r="F54" s="76">
        <f>VLOOKUP(E54,Input!$T$5:$U$24,2,FALSE)</f>
        <v>0.53368993694944578</v>
      </c>
      <c r="G54" s="76">
        <f t="shared" ref="G54:P69" si="16">F54</f>
        <v>0.53368993694944578</v>
      </c>
      <c r="H54" s="76">
        <f t="shared" si="16"/>
        <v>0.53368993694944578</v>
      </c>
      <c r="I54" s="76">
        <f t="shared" si="16"/>
        <v>0.53368993694944578</v>
      </c>
      <c r="J54" s="76">
        <f t="shared" si="16"/>
        <v>0.53368993694944578</v>
      </c>
      <c r="K54" s="76">
        <f t="shared" si="16"/>
        <v>0.53368993694944578</v>
      </c>
      <c r="L54" s="76">
        <f t="shared" si="16"/>
        <v>0.53368993694944578</v>
      </c>
      <c r="M54" s="76">
        <f t="shared" si="16"/>
        <v>0.53368993694944578</v>
      </c>
      <c r="N54" s="76">
        <f t="shared" si="16"/>
        <v>0.53368993694944578</v>
      </c>
      <c r="O54" s="76">
        <f t="shared" si="16"/>
        <v>0.53368993694944578</v>
      </c>
      <c r="P54" s="76">
        <f t="shared" si="16"/>
        <v>0.53368993694944578</v>
      </c>
    </row>
    <row r="55" spans="1:16">
      <c r="A55" s="84" t="s">
        <v>184</v>
      </c>
      <c r="B55" s="85" t="s">
        <v>183</v>
      </c>
      <c r="C55" s="85" t="s">
        <v>92</v>
      </c>
      <c r="D55" s="84" t="s">
        <v>80</v>
      </c>
      <c r="E55" s="84">
        <f>VLOOKUP(A55,'2a. SI Pop'!$A$5:$E$198,5,FALSE)</f>
        <v>2</v>
      </c>
      <c r="F55" s="76">
        <f>VLOOKUP(E55,Input!$T$5:$U$24,2,FALSE)</f>
        <v>1.153734747079966E-2</v>
      </c>
      <c r="G55" s="76">
        <f t="shared" si="16"/>
        <v>1.153734747079966E-2</v>
      </c>
      <c r="H55" s="76">
        <f t="shared" si="16"/>
        <v>1.153734747079966E-2</v>
      </c>
      <c r="I55" s="76">
        <f t="shared" si="16"/>
        <v>1.153734747079966E-2</v>
      </c>
      <c r="J55" s="76">
        <f t="shared" si="16"/>
        <v>1.153734747079966E-2</v>
      </c>
      <c r="K55" s="76">
        <f t="shared" si="16"/>
        <v>1.153734747079966E-2</v>
      </c>
      <c r="L55" s="76">
        <f t="shared" si="16"/>
        <v>1.153734747079966E-2</v>
      </c>
      <c r="M55" s="76">
        <f t="shared" si="16"/>
        <v>1.153734747079966E-2</v>
      </c>
      <c r="N55" s="76">
        <f t="shared" si="16"/>
        <v>1.153734747079966E-2</v>
      </c>
      <c r="O55" s="76">
        <f t="shared" si="16"/>
        <v>1.153734747079966E-2</v>
      </c>
      <c r="P55" s="76">
        <f t="shared" si="16"/>
        <v>1.153734747079966E-2</v>
      </c>
    </row>
    <row r="56" spans="1:16">
      <c r="A56" s="84" t="s">
        <v>184</v>
      </c>
      <c r="B56" s="85" t="s">
        <v>185</v>
      </c>
      <c r="C56" s="85" t="s">
        <v>92</v>
      </c>
      <c r="D56" s="84" t="s">
        <v>80</v>
      </c>
      <c r="E56" s="84">
        <f>VLOOKUP(A56,'2a. SI Pop'!$A$5:$E$198,5,FALSE)</f>
        <v>2</v>
      </c>
      <c r="F56" s="76">
        <f>VLOOKUP(E56,Input!$T$5:$U$24,2,FALSE)</f>
        <v>1.153734747079966E-2</v>
      </c>
      <c r="G56" s="76">
        <f t="shared" si="16"/>
        <v>1.153734747079966E-2</v>
      </c>
      <c r="H56" s="76">
        <f t="shared" si="16"/>
        <v>1.153734747079966E-2</v>
      </c>
      <c r="I56" s="76">
        <f t="shared" si="16"/>
        <v>1.153734747079966E-2</v>
      </c>
      <c r="J56" s="76">
        <f t="shared" si="16"/>
        <v>1.153734747079966E-2</v>
      </c>
      <c r="K56" s="76">
        <f t="shared" si="16"/>
        <v>1.153734747079966E-2</v>
      </c>
      <c r="L56" s="76">
        <f t="shared" si="16"/>
        <v>1.153734747079966E-2</v>
      </c>
      <c r="M56" s="76">
        <f t="shared" si="16"/>
        <v>1.153734747079966E-2</v>
      </c>
      <c r="N56" s="76">
        <f t="shared" si="16"/>
        <v>1.153734747079966E-2</v>
      </c>
      <c r="O56" s="76">
        <f t="shared" si="16"/>
        <v>1.153734747079966E-2</v>
      </c>
      <c r="P56" s="76">
        <f t="shared" si="16"/>
        <v>1.153734747079966E-2</v>
      </c>
    </row>
    <row r="57" spans="1:16">
      <c r="A57" s="84" t="s">
        <v>187</v>
      </c>
      <c r="B57" s="85" t="s">
        <v>186</v>
      </c>
      <c r="C57" s="85" t="s">
        <v>92</v>
      </c>
      <c r="D57" s="84" t="s">
        <v>80</v>
      </c>
      <c r="E57" s="84">
        <f>VLOOKUP(A57,'2a. SI Pop'!$A$5:$E$198,5,FALSE)</f>
        <v>2</v>
      </c>
      <c r="F57" s="76">
        <f>VLOOKUP(E57,Input!$T$5:$U$24,2,FALSE)</f>
        <v>1.153734747079966E-2</v>
      </c>
      <c r="G57" s="76">
        <f t="shared" si="16"/>
        <v>1.153734747079966E-2</v>
      </c>
      <c r="H57" s="76">
        <f t="shared" si="16"/>
        <v>1.153734747079966E-2</v>
      </c>
      <c r="I57" s="76">
        <f t="shared" si="16"/>
        <v>1.153734747079966E-2</v>
      </c>
      <c r="J57" s="76">
        <f t="shared" si="16"/>
        <v>1.153734747079966E-2</v>
      </c>
      <c r="K57" s="76">
        <f t="shared" si="16"/>
        <v>1.153734747079966E-2</v>
      </c>
      <c r="L57" s="76">
        <f t="shared" si="16"/>
        <v>1.153734747079966E-2</v>
      </c>
      <c r="M57" s="76">
        <f t="shared" si="16"/>
        <v>1.153734747079966E-2</v>
      </c>
      <c r="N57" s="76">
        <f t="shared" si="16"/>
        <v>1.153734747079966E-2</v>
      </c>
      <c r="O57" s="76">
        <f t="shared" si="16"/>
        <v>1.153734747079966E-2</v>
      </c>
      <c r="P57" s="76">
        <f t="shared" si="16"/>
        <v>1.153734747079966E-2</v>
      </c>
    </row>
    <row r="58" spans="1:16">
      <c r="A58" s="84" t="s">
        <v>189</v>
      </c>
      <c r="B58" s="85" t="s">
        <v>188</v>
      </c>
      <c r="C58" s="85" t="s">
        <v>74</v>
      </c>
      <c r="D58" s="84" t="s">
        <v>84</v>
      </c>
      <c r="E58" s="84">
        <f>VLOOKUP(A58,'2a. SI Pop'!$A$5:$E$198,5,FALSE)</f>
        <v>2</v>
      </c>
      <c r="F58" s="76">
        <f>VLOOKUP(E58,Input!$T$5:$U$24,2,FALSE)</f>
        <v>1.153734747079966E-2</v>
      </c>
      <c r="G58" s="76">
        <f t="shared" si="16"/>
        <v>1.153734747079966E-2</v>
      </c>
      <c r="H58" s="76">
        <f t="shared" si="16"/>
        <v>1.153734747079966E-2</v>
      </c>
      <c r="I58" s="76">
        <f t="shared" si="16"/>
        <v>1.153734747079966E-2</v>
      </c>
      <c r="J58" s="76">
        <f t="shared" si="16"/>
        <v>1.153734747079966E-2</v>
      </c>
      <c r="K58" s="76">
        <f t="shared" si="16"/>
        <v>1.153734747079966E-2</v>
      </c>
      <c r="L58" s="76">
        <f t="shared" si="16"/>
        <v>1.153734747079966E-2</v>
      </c>
      <c r="M58" s="76">
        <f t="shared" si="16"/>
        <v>1.153734747079966E-2</v>
      </c>
      <c r="N58" s="76">
        <f t="shared" si="16"/>
        <v>1.153734747079966E-2</v>
      </c>
      <c r="O58" s="76">
        <f t="shared" si="16"/>
        <v>1.153734747079966E-2</v>
      </c>
      <c r="P58" s="76">
        <f t="shared" si="16"/>
        <v>1.153734747079966E-2</v>
      </c>
    </row>
    <row r="59" spans="1:16">
      <c r="A59" s="84" t="s">
        <v>191</v>
      </c>
      <c r="B59" s="85" t="s">
        <v>190</v>
      </c>
      <c r="C59" s="85" t="s">
        <v>92</v>
      </c>
      <c r="D59" s="84" t="s">
        <v>84</v>
      </c>
      <c r="E59" s="84">
        <f>VLOOKUP(A59,'2a. SI Pop'!$A$5:$E$198,5,FALSE)</f>
        <v>1</v>
      </c>
      <c r="F59" s="76">
        <f>VLOOKUP(E59,Input!$T$5:$U$24,2,FALSE)</f>
        <v>2.3190152964693054</v>
      </c>
      <c r="G59" s="76">
        <f t="shared" si="16"/>
        <v>2.3190152964693054</v>
      </c>
      <c r="H59" s="76">
        <f t="shared" si="16"/>
        <v>2.3190152964693054</v>
      </c>
      <c r="I59" s="76">
        <f t="shared" si="16"/>
        <v>2.3190152964693054</v>
      </c>
      <c r="J59" s="76">
        <f t="shared" si="16"/>
        <v>2.3190152964693054</v>
      </c>
      <c r="K59" s="76">
        <f t="shared" si="16"/>
        <v>2.3190152964693054</v>
      </c>
      <c r="L59" s="76">
        <f t="shared" si="16"/>
        <v>2.3190152964693054</v>
      </c>
      <c r="M59" s="76">
        <f t="shared" si="16"/>
        <v>2.3190152964693054</v>
      </c>
      <c r="N59" s="76">
        <f t="shared" si="16"/>
        <v>2.3190152964693054</v>
      </c>
      <c r="O59" s="76">
        <f t="shared" si="16"/>
        <v>2.3190152964693054</v>
      </c>
      <c r="P59" s="76">
        <f t="shared" si="16"/>
        <v>2.3190152964693054</v>
      </c>
    </row>
    <row r="60" spans="1:16">
      <c r="A60" s="84" t="s">
        <v>193</v>
      </c>
      <c r="B60" s="85" t="s">
        <v>192</v>
      </c>
      <c r="C60" s="85" t="s">
        <v>83</v>
      </c>
      <c r="D60" s="84" t="s">
        <v>80</v>
      </c>
      <c r="E60" s="84">
        <f>VLOOKUP(A60,'2a. SI Pop'!$A$5:$E$198,5,FALSE)</f>
        <v>3</v>
      </c>
      <c r="F60" s="76">
        <f>VLOOKUP(E60,Input!$T$5:$U$24,2,FALSE)</f>
        <v>0.53368993694944578</v>
      </c>
      <c r="G60" s="76">
        <f t="shared" si="16"/>
        <v>0.53368993694944578</v>
      </c>
      <c r="H60" s="76">
        <f t="shared" si="16"/>
        <v>0.53368993694944578</v>
      </c>
      <c r="I60" s="76">
        <f t="shared" si="16"/>
        <v>0.53368993694944578</v>
      </c>
      <c r="J60" s="76">
        <f t="shared" si="16"/>
        <v>0.53368993694944578</v>
      </c>
      <c r="K60" s="76">
        <f t="shared" si="16"/>
        <v>0.53368993694944578</v>
      </c>
      <c r="L60" s="76">
        <f t="shared" si="16"/>
        <v>0.53368993694944578</v>
      </c>
      <c r="M60" s="76">
        <f t="shared" si="16"/>
        <v>0.53368993694944578</v>
      </c>
      <c r="N60" s="76">
        <f t="shared" si="16"/>
        <v>0.53368993694944578</v>
      </c>
      <c r="O60" s="76">
        <f t="shared" si="16"/>
        <v>0.53368993694944578</v>
      </c>
      <c r="P60" s="76">
        <f t="shared" si="16"/>
        <v>0.53368993694944578</v>
      </c>
    </row>
    <row r="61" spans="1:16">
      <c r="A61" s="84" t="s">
        <v>195</v>
      </c>
      <c r="B61" s="85" t="s">
        <v>194</v>
      </c>
      <c r="C61" s="85" t="s">
        <v>83</v>
      </c>
      <c r="D61" s="84" t="s">
        <v>75</v>
      </c>
      <c r="E61" s="84">
        <f>VLOOKUP(A61,'2a. SI Pop'!$A$5:$E$198,5,FALSE)</f>
        <v>3</v>
      </c>
      <c r="F61" s="76">
        <f>VLOOKUP(E61,Input!$T$5:$U$24,2,FALSE)</f>
        <v>0.53368993694944578</v>
      </c>
      <c r="G61" s="76">
        <f t="shared" si="16"/>
        <v>0.53368993694944578</v>
      </c>
      <c r="H61" s="76">
        <f t="shared" si="16"/>
        <v>0.53368993694944578</v>
      </c>
      <c r="I61" s="76">
        <f t="shared" si="16"/>
        <v>0.53368993694944578</v>
      </c>
      <c r="J61" s="76">
        <f t="shared" si="16"/>
        <v>0.53368993694944578</v>
      </c>
      <c r="K61" s="76">
        <f t="shared" si="16"/>
        <v>0.53368993694944578</v>
      </c>
      <c r="L61" s="76">
        <f t="shared" si="16"/>
        <v>0.53368993694944578</v>
      </c>
      <c r="M61" s="76">
        <f t="shared" si="16"/>
        <v>0.53368993694944578</v>
      </c>
      <c r="N61" s="76">
        <f t="shared" si="16"/>
        <v>0.53368993694944578</v>
      </c>
      <c r="O61" s="76">
        <f t="shared" si="16"/>
        <v>0.53368993694944578</v>
      </c>
      <c r="P61" s="76">
        <f t="shared" si="16"/>
        <v>0.53368993694944578</v>
      </c>
    </row>
    <row r="62" spans="1:16">
      <c r="A62" s="84" t="s">
        <v>197</v>
      </c>
      <c r="B62" s="85" t="s">
        <v>196</v>
      </c>
      <c r="C62" s="85" t="s">
        <v>79</v>
      </c>
      <c r="D62" s="84" t="s">
        <v>87</v>
      </c>
      <c r="E62" s="84">
        <f>VLOOKUP(A62,'2a. SI Pop'!$A$5:$E$198,5,FALSE)</f>
        <v>1</v>
      </c>
      <c r="F62" s="76">
        <f>VLOOKUP(E62,Input!$T$5:$U$24,2,FALSE)</f>
        <v>2.3190152964693054</v>
      </c>
      <c r="G62" s="76">
        <f t="shared" si="16"/>
        <v>2.3190152964693054</v>
      </c>
      <c r="H62" s="76">
        <f t="shared" si="16"/>
        <v>2.3190152964693054</v>
      </c>
      <c r="I62" s="76">
        <f t="shared" si="16"/>
        <v>2.3190152964693054</v>
      </c>
      <c r="J62" s="76">
        <f t="shared" si="16"/>
        <v>2.3190152964693054</v>
      </c>
      <c r="K62" s="76">
        <f t="shared" si="16"/>
        <v>2.3190152964693054</v>
      </c>
      <c r="L62" s="76">
        <f t="shared" si="16"/>
        <v>2.3190152964693054</v>
      </c>
      <c r="M62" s="76">
        <f t="shared" si="16"/>
        <v>2.3190152964693054</v>
      </c>
      <c r="N62" s="76">
        <f t="shared" si="16"/>
        <v>2.3190152964693054</v>
      </c>
      <c r="O62" s="76">
        <f t="shared" si="16"/>
        <v>2.3190152964693054</v>
      </c>
      <c r="P62" s="76">
        <f t="shared" si="16"/>
        <v>2.3190152964693054</v>
      </c>
    </row>
    <row r="63" spans="1:16">
      <c r="A63" s="84" t="s">
        <v>199</v>
      </c>
      <c r="B63" s="85" t="s">
        <v>198</v>
      </c>
      <c r="C63" s="85" t="s">
        <v>83</v>
      </c>
      <c r="D63" s="84" t="s">
        <v>75</v>
      </c>
      <c r="E63" s="84" t="str">
        <f>VLOOKUP(A63,'2a. SI Pop'!$A$5:$E$198,5,FALSE)</f>
        <v>Key</v>
      </c>
      <c r="F63" s="76">
        <f>VLOOKUP(A63,Input!$T$5:$U$24,2,FALSE)</f>
        <v>2</v>
      </c>
      <c r="G63" s="76">
        <f t="shared" si="16"/>
        <v>2</v>
      </c>
      <c r="H63" s="76">
        <f t="shared" si="16"/>
        <v>2</v>
      </c>
      <c r="I63" s="76">
        <f t="shared" si="16"/>
        <v>2</v>
      </c>
      <c r="J63" s="76">
        <f t="shared" si="16"/>
        <v>2</v>
      </c>
      <c r="K63" s="76">
        <f t="shared" si="16"/>
        <v>2</v>
      </c>
      <c r="L63" s="76">
        <f t="shared" si="16"/>
        <v>2</v>
      </c>
      <c r="M63" s="76">
        <f t="shared" si="16"/>
        <v>2</v>
      </c>
      <c r="N63" s="76">
        <f t="shared" si="16"/>
        <v>2</v>
      </c>
      <c r="O63" s="76">
        <f t="shared" si="16"/>
        <v>2</v>
      </c>
      <c r="P63" s="76">
        <f t="shared" si="16"/>
        <v>2</v>
      </c>
    </row>
    <row r="64" spans="1:16">
      <c r="A64" s="84" t="s">
        <v>201</v>
      </c>
      <c r="B64" s="85" t="s">
        <v>200</v>
      </c>
      <c r="C64" s="85" t="s">
        <v>99</v>
      </c>
      <c r="D64" s="84" t="s">
        <v>80</v>
      </c>
      <c r="E64" s="84">
        <f>VLOOKUP(A64,'2a. SI Pop'!$A$5:$E$198,5,FALSE)</f>
        <v>4</v>
      </c>
      <c r="F64" s="76">
        <f>VLOOKUP(E64,Input!$T$5:$U$24,2,FALSE)</f>
        <v>1.7360756259580992</v>
      </c>
      <c r="G64" s="76">
        <f t="shared" si="16"/>
        <v>1.7360756259580992</v>
      </c>
      <c r="H64" s="76">
        <f t="shared" si="16"/>
        <v>1.7360756259580992</v>
      </c>
      <c r="I64" s="76">
        <f t="shared" si="16"/>
        <v>1.7360756259580992</v>
      </c>
      <c r="J64" s="76">
        <f t="shared" si="16"/>
        <v>1.7360756259580992</v>
      </c>
      <c r="K64" s="76">
        <f t="shared" si="16"/>
        <v>1.7360756259580992</v>
      </c>
      <c r="L64" s="76">
        <f t="shared" si="16"/>
        <v>1.7360756259580992</v>
      </c>
      <c r="M64" s="76">
        <f t="shared" si="16"/>
        <v>1.7360756259580992</v>
      </c>
      <c r="N64" s="76">
        <f t="shared" si="16"/>
        <v>1.7360756259580992</v>
      </c>
      <c r="O64" s="76">
        <f t="shared" si="16"/>
        <v>1.7360756259580992</v>
      </c>
      <c r="P64" s="76">
        <f t="shared" si="16"/>
        <v>1.7360756259580992</v>
      </c>
    </row>
    <row r="65" spans="1:16">
      <c r="A65" s="84" t="s">
        <v>203</v>
      </c>
      <c r="B65" s="85" t="s">
        <v>202</v>
      </c>
      <c r="C65" s="85" t="s">
        <v>79</v>
      </c>
      <c r="D65" s="84" t="s">
        <v>87</v>
      </c>
      <c r="E65" s="84">
        <f>VLOOKUP(A65,'2a. SI Pop'!$A$5:$E$198,5,FALSE)</f>
        <v>1</v>
      </c>
      <c r="F65" s="76">
        <f>VLOOKUP(E65,Input!$T$5:$U$24,2,FALSE)</f>
        <v>2.3190152964693054</v>
      </c>
      <c r="G65" s="76">
        <f t="shared" si="16"/>
        <v>2.3190152964693054</v>
      </c>
      <c r="H65" s="76">
        <f t="shared" si="16"/>
        <v>2.3190152964693054</v>
      </c>
      <c r="I65" s="76">
        <f t="shared" si="16"/>
        <v>2.3190152964693054</v>
      </c>
      <c r="J65" s="76">
        <f t="shared" si="16"/>
        <v>2.3190152964693054</v>
      </c>
      <c r="K65" s="76">
        <f t="shared" si="16"/>
        <v>2.3190152964693054</v>
      </c>
      <c r="L65" s="76">
        <f t="shared" si="16"/>
        <v>2.3190152964693054</v>
      </c>
      <c r="M65" s="76">
        <f t="shared" si="16"/>
        <v>2.3190152964693054</v>
      </c>
      <c r="N65" s="76">
        <f t="shared" si="16"/>
        <v>2.3190152964693054</v>
      </c>
      <c r="O65" s="76">
        <f t="shared" si="16"/>
        <v>2.3190152964693054</v>
      </c>
      <c r="P65" s="76">
        <f t="shared" si="16"/>
        <v>2.3190152964693054</v>
      </c>
    </row>
    <row r="66" spans="1:16">
      <c r="A66" s="84" t="s">
        <v>205</v>
      </c>
      <c r="B66" s="85" t="s">
        <v>204</v>
      </c>
      <c r="C66" s="85" t="s">
        <v>79</v>
      </c>
      <c r="D66" s="84" t="s">
        <v>87</v>
      </c>
      <c r="E66" s="84">
        <f>VLOOKUP(A66,'2a. SI Pop'!$A$5:$E$198,5,FALSE)</f>
        <v>1</v>
      </c>
      <c r="F66" s="76">
        <f>VLOOKUP(E66,Input!$T$5:$U$24,2,FALSE)</f>
        <v>2.3190152964693054</v>
      </c>
      <c r="G66" s="76">
        <f t="shared" si="16"/>
        <v>2.3190152964693054</v>
      </c>
      <c r="H66" s="76">
        <f t="shared" si="16"/>
        <v>2.3190152964693054</v>
      </c>
      <c r="I66" s="76">
        <f t="shared" si="16"/>
        <v>2.3190152964693054</v>
      </c>
      <c r="J66" s="76">
        <f t="shared" si="16"/>
        <v>2.3190152964693054</v>
      </c>
      <c r="K66" s="76">
        <f t="shared" si="16"/>
        <v>2.3190152964693054</v>
      </c>
      <c r="L66" s="76">
        <f t="shared" si="16"/>
        <v>2.3190152964693054</v>
      </c>
      <c r="M66" s="76">
        <f t="shared" si="16"/>
        <v>2.3190152964693054</v>
      </c>
      <c r="N66" s="76">
        <f t="shared" si="16"/>
        <v>2.3190152964693054</v>
      </c>
      <c r="O66" s="76">
        <f t="shared" si="16"/>
        <v>2.3190152964693054</v>
      </c>
      <c r="P66" s="76">
        <f t="shared" si="16"/>
        <v>2.3190152964693054</v>
      </c>
    </row>
    <row r="67" spans="1:16">
      <c r="A67" s="84" t="s">
        <v>207</v>
      </c>
      <c r="B67" s="85" t="s">
        <v>206</v>
      </c>
      <c r="C67" s="85" t="s">
        <v>83</v>
      </c>
      <c r="D67" s="84" t="s">
        <v>80</v>
      </c>
      <c r="E67" s="84">
        <f>VLOOKUP(A67,'2a. SI Pop'!$A$5:$E$198,5,FALSE)</f>
        <v>3</v>
      </c>
      <c r="F67" s="76">
        <f>VLOOKUP(E67,Input!$T$5:$U$24,2,FALSE)</f>
        <v>0.53368993694944578</v>
      </c>
      <c r="G67" s="76">
        <f t="shared" si="16"/>
        <v>0.53368993694944578</v>
      </c>
      <c r="H67" s="76">
        <f t="shared" si="16"/>
        <v>0.53368993694944578</v>
      </c>
      <c r="I67" s="76">
        <f t="shared" si="16"/>
        <v>0.53368993694944578</v>
      </c>
      <c r="J67" s="76">
        <f t="shared" si="16"/>
        <v>0.53368993694944578</v>
      </c>
      <c r="K67" s="76">
        <f t="shared" si="16"/>
        <v>0.53368993694944578</v>
      </c>
      <c r="L67" s="76">
        <f t="shared" si="16"/>
        <v>0.53368993694944578</v>
      </c>
      <c r="M67" s="76">
        <f t="shared" si="16"/>
        <v>0.53368993694944578</v>
      </c>
      <c r="N67" s="76">
        <f t="shared" si="16"/>
        <v>0.53368993694944578</v>
      </c>
      <c r="O67" s="76">
        <f t="shared" si="16"/>
        <v>0.53368993694944578</v>
      </c>
      <c r="P67" s="76">
        <f t="shared" si="16"/>
        <v>0.53368993694944578</v>
      </c>
    </row>
    <row r="68" spans="1:16">
      <c r="A68" s="84" t="s">
        <v>209</v>
      </c>
      <c r="B68" s="85" t="s">
        <v>208</v>
      </c>
      <c r="C68" s="85" t="s">
        <v>83</v>
      </c>
      <c r="D68" s="84" t="s">
        <v>75</v>
      </c>
      <c r="E68" s="84">
        <f>VLOOKUP(A68,'2a. SI Pop'!$A$5:$E$198,5,FALSE)</f>
        <v>3</v>
      </c>
      <c r="F68" s="76">
        <f>VLOOKUP(E68,Input!$T$5:$U$24,2,FALSE)</f>
        <v>0.53368993694944578</v>
      </c>
      <c r="G68" s="76">
        <f t="shared" si="16"/>
        <v>0.53368993694944578</v>
      </c>
      <c r="H68" s="76">
        <f t="shared" si="16"/>
        <v>0.53368993694944578</v>
      </c>
      <c r="I68" s="76">
        <f t="shared" si="16"/>
        <v>0.53368993694944578</v>
      </c>
      <c r="J68" s="76">
        <f t="shared" si="16"/>
        <v>0.53368993694944578</v>
      </c>
      <c r="K68" s="76">
        <f t="shared" si="16"/>
        <v>0.53368993694944578</v>
      </c>
      <c r="L68" s="76">
        <f t="shared" si="16"/>
        <v>0.53368993694944578</v>
      </c>
      <c r="M68" s="76">
        <f t="shared" si="16"/>
        <v>0.53368993694944578</v>
      </c>
      <c r="N68" s="76">
        <f t="shared" si="16"/>
        <v>0.53368993694944578</v>
      </c>
      <c r="O68" s="76">
        <f t="shared" si="16"/>
        <v>0.53368993694944578</v>
      </c>
      <c r="P68" s="76">
        <f t="shared" si="16"/>
        <v>0.53368993694944578</v>
      </c>
    </row>
    <row r="69" spans="1:16">
      <c r="A69" s="84" t="s">
        <v>211</v>
      </c>
      <c r="B69" s="85" t="s">
        <v>210</v>
      </c>
      <c r="C69" s="85" t="s">
        <v>79</v>
      </c>
      <c r="D69" s="84" t="s">
        <v>80</v>
      </c>
      <c r="E69" s="84">
        <f>VLOOKUP(A69,'2a. SI Pop'!$A$5:$E$198,5,FALSE)</f>
        <v>1</v>
      </c>
      <c r="F69" s="76">
        <f>VLOOKUP(E69,Input!$T$5:$U$24,2,FALSE)</f>
        <v>2.3190152964693054</v>
      </c>
      <c r="G69" s="76">
        <f t="shared" si="16"/>
        <v>2.3190152964693054</v>
      </c>
      <c r="H69" s="76">
        <f t="shared" si="16"/>
        <v>2.3190152964693054</v>
      </c>
      <c r="I69" s="76">
        <f t="shared" si="16"/>
        <v>2.3190152964693054</v>
      </c>
      <c r="J69" s="76">
        <f t="shared" si="16"/>
        <v>2.3190152964693054</v>
      </c>
      <c r="K69" s="76">
        <f t="shared" si="16"/>
        <v>2.3190152964693054</v>
      </c>
      <c r="L69" s="76">
        <f t="shared" si="16"/>
        <v>2.3190152964693054</v>
      </c>
      <c r="M69" s="76">
        <f t="shared" si="16"/>
        <v>2.3190152964693054</v>
      </c>
      <c r="N69" s="76">
        <f t="shared" si="16"/>
        <v>2.3190152964693054</v>
      </c>
      <c r="O69" s="76">
        <f t="shared" si="16"/>
        <v>2.3190152964693054</v>
      </c>
      <c r="P69" s="76">
        <f t="shared" si="16"/>
        <v>2.3190152964693054</v>
      </c>
    </row>
    <row r="70" spans="1:16">
      <c r="A70" s="84" t="s">
        <v>213</v>
      </c>
      <c r="B70" s="85" t="s">
        <v>212</v>
      </c>
      <c r="C70" s="85" t="s">
        <v>79</v>
      </c>
      <c r="D70" s="84" t="s">
        <v>87</v>
      </c>
      <c r="E70" s="84">
        <f>VLOOKUP(A70,'2a. SI Pop'!$A$5:$E$198,5,FALSE)</f>
        <v>1</v>
      </c>
      <c r="F70" s="76">
        <f>VLOOKUP(E70,Input!$T$5:$U$24,2,FALSE)</f>
        <v>2.3190152964693054</v>
      </c>
      <c r="G70" s="76">
        <f t="shared" ref="G70:P85" si="17">F70</f>
        <v>2.3190152964693054</v>
      </c>
      <c r="H70" s="76">
        <f t="shared" si="17"/>
        <v>2.3190152964693054</v>
      </c>
      <c r="I70" s="76">
        <f t="shared" si="17"/>
        <v>2.3190152964693054</v>
      </c>
      <c r="J70" s="76">
        <f t="shared" si="17"/>
        <v>2.3190152964693054</v>
      </c>
      <c r="K70" s="76">
        <f t="shared" si="17"/>
        <v>2.3190152964693054</v>
      </c>
      <c r="L70" s="76">
        <f t="shared" si="17"/>
        <v>2.3190152964693054</v>
      </c>
      <c r="M70" s="76">
        <f t="shared" si="17"/>
        <v>2.3190152964693054</v>
      </c>
      <c r="N70" s="76">
        <f t="shared" si="17"/>
        <v>2.3190152964693054</v>
      </c>
      <c r="O70" s="76">
        <f t="shared" si="17"/>
        <v>2.3190152964693054</v>
      </c>
      <c r="P70" s="76">
        <f t="shared" si="17"/>
        <v>2.3190152964693054</v>
      </c>
    </row>
    <row r="71" spans="1:16">
      <c r="A71" s="84" t="s">
        <v>215</v>
      </c>
      <c r="B71" s="85" t="s">
        <v>214</v>
      </c>
      <c r="C71" s="85" t="s">
        <v>83</v>
      </c>
      <c r="D71" s="84" t="s">
        <v>84</v>
      </c>
      <c r="E71" s="84">
        <f>VLOOKUP(A71,'2a. SI Pop'!$A$5:$E$198,5,FALSE)</f>
        <v>3</v>
      </c>
      <c r="F71" s="76">
        <f>VLOOKUP(E71,Input!$T$5:$U$24,2,FALSE)</f>
        <v>0.53368993694944578</v>
      </c>
      <c r="G71" s="76">
        <f t="shared" si="17"/>
        <v>0.53368993694944578</v>
      </c>
      <c r="H71" s="76">
        <f t="shared" si="17"/>
        <v>0.53368993694944578</v>
      </c>
      <c r="I71" s="76">
        <f t="shared" si="17"/>
        <v>0.53368993694944578</v>
      </c>
      <c r="J71" s="76">
        <f t="shared" si="17"/>
        <v>0.53368993694944578</v>
      </c>
      <c r="K71" s="76">
        <f t="shared" si="17"/>
        <v>0.53368993694944578</v>
      </c>
      <c r="L71" s="76">
        <f t="shared" si="17"/>
        <v>0.53368993694944578</v>
      </c>
      <c r="M71" s="76">
        <f t="shared" si="17"/>
        <v>0.53368993694944578</v>
      </c>
      <c r="N71" s="76">
        <f t="shared" si="17"/>
        <v>0.53368993694944578</v>
      </c>
      <c r="O71" s="76">
        <f t="shared" si="17"/>
        <v>0.53368993694944578</v>
      </c>
      <c r="P71" s="76">
        <f t="shared" si="17"/>
        <v>0.53368993694944578</v>
      </c>
    </row>
    <row r="72" spans="1:16">
      <c r="A72" s="84" t="s">
        <v>217</v>
      </c>
      <c r="B72" s="85" t="s">
        <v>216</v>
      </c>
      <c r="C72" s="85" t="s">
        <v>79</v>
      </c>
      <c r="D72" s="84" t="s">
        <v>87</v>
      </c>
      <c r="E72" s="84">
        <f>VLOOKUP(A72,'2a. SI Pop'!$A$5:$E$198,5,FALSE)</f>
        <v>1</v>
      </c>
      <c r="F72" s="76">
        <f>VLOOKUP(E72,Input!$T$5:$U$24,2,FALSE)</f>
        <v>2.3190152964693054</v>
      </c>
      <c r="G72" s="76">
        <f t="shared" si="17"/>
        <v>2.3190152964693054</v>
      </c>
      <c r="H72" s="76">
        <f t="shared" si="17"/>
        <v>2.3190152964693054</v>
      </c>
      <c r="I72" s="76">
        <f t="shared" si="17"/>
        <v>2.3190152964693054</v>
      </c>
      <c r="J72" s="76">
        <f t="shared" si="17"/>
        <v>2.3190152964693054</v>
      </c>
      <c r="K72" s="76">
        <f t="shared" si="17"/>
        <v>2.3190152964693054</v>
      </c>
      <c r="L72" s="76">
        <f t="shared" si="17"/>
        <v>2.3190152964693054</v>
      </c>
      <c r="M72" s="76">
        <f t="shared" si="17"/>
        <v>2.3190152964693054</v>
      </c>
      <c r="N72" s="76">
        <f t="shared" si="17"/>
        <v>2.3190152964693054</v>
      </c>
      <c r="O72" s="76">
        <f t="shared" si="17"/>
        <v>2.3190152964693054</v>
      </c>
      <c r="P72" s="76">
        <f t="shared" si="17"/>
        <v>2.3190152964693054</v>
      </c>
    </row>
    <row r="73" spans="1:16">
      <c r="A73" s="84" t="s">
        <v>219</v>
      </c>
      <c r="B73" s="85" t="s">
        <v>218</v>
      </c>
      <c r="C73" s="85" t="s">
        <v>92</v>
      </c>
      <c r="D73" s="84" t="s">
        <v>80</v>
      </c>
      <c r="E73" s="84">
        <f>VLOOKUP(A73,'2a. SI Pop'!$A$5:$E$198,5,FALSE)</f>
        <v>1</v>
      </c>
      <c r="F73" s="76">
        <f>VLOOKUP(E73,Input!$T$5:$U$24,2,FALSE)</f>
        <v>2.3190152964693054</v>
      </c>
      <c r="G73" s="76">
        <f t="shared" si="17"/>
        <v>2.3190152964693054</v>
      </c>
      <c r="H73" s="76">
        <f t="shared" si="17"/>
        <v>2.3190152964693054</v>
      </c>
      <c r="I73" s="76">
        <f t="shared" si="17"/>
        <v>2.3190152964693054</v>
      </c>
      <c r="J73" s="76">
        <f t="shared" si="17"/>
        <v>2.3190152964693054</v>
      </c>
      <c r="K73" s="76">
        <f t="shared" si="17"/>
        <v>2.3190152964693054</v>
      </c>
      <c r="L73" s="76">
        <f t="shared" si="17"/>
        <v>2.3190152964693054</v>
      </c>
      <c r="M73" s="76">
        <f t="shared" si="17"/>
        <v>2.3190152964693054</v>
      </c>
      <c r="N73" s="76">
        <f t="shared" si="17"/>
        <v>2.3190152964693054</v>
      </c>
      <c r="O73" s="76">
        <f t="shared" si="17"/>
        <v>2.3190152964693054</v>
      </c>
      <c r="P73" s="76">
        <f t="shared" si="17"/>
        <v>2.3190152964693054</v>
      </c>
    </row>
    <row r="74" spans="1:16">
      <c r="A74" s="84" t="s">
        <v>221</v>
      </c>
      <c r="B74" s="85" t="s">
        <v>220</v>
      </c>
      <c r="C74" s="85" t="s">
        <v>92</v>
      </c>
      <c r="D74" s="84" t="s">
        <v>80</v>
      </c>
      <c r="E74" s="84">
        <f>VLOOKUP(A74,'2a. SI Pop'!$A$5:$E$198,5,FALSE)</f>
        <v>1</v>
      </c>
      <c r="F74" s="76">
        <f>VLOOKUP(E74,Input!$T$5:$U$24,2,FALSE)</f>
        <v>2.3190152964693054</v>
      </c>
      <c r="G74" s="76">
        <f t="shared" si="17"/>
        <v>2.3190152964693054</v>
      </c>
      <c r="H74" s="76">
        <f t="shared" si="17"/>
        <v>2.3190152964693054</v>
      </c>
      <c r="I74" s="76">
        <f t="shared" si="17"/>
        <v>2.3190152964693054</v>
      </c>
      <c r="J74" s="76">
        <f t="shared" si="17"/>
        <v>2.3190152964693054</v>
      </c>
      <c r="K74" s="76">
        <f t="shared" si="17"/>
        <v>2.3190152964693054</v>
      </c>
      <c r="L74" s="76">
        <f t="shared" si="17"/>
        <v>2.3190152964693054</v>
      </c>
      <c r="M74" s="76">
        <f t="shared" si="17"/>
        <v>2.3190152964693054</v>
      </c>
      <c r="N74" s="76">
        <f t="shared" si="17"/>
        <v>2.3190152964693054</v>
      </c>
      <c r="O74" s="76">
        <f t="shared" si="17"/>
        <v>2.3190152964693054</v>
      </c>
      <c r="P74" s="76">
        <f t="shared" si="17"/>
        <v>2.3190152964693054</v>
      </c>
    </row>
    <row r="75" spans="1:16">
      <c r="A75" s="84" t="s">
        <v>223</v>
      </c>
      <c r="B75" s="85" t="s">
        <v>222</v>
      </c>
      <c r="C75" s="85" t="s">
        <v>83</v>
      </c>
      <c r="D75" s="84" t="s">
        <v>75</v>
      </c>
      <c r="E75" s="84">
        <f>VLOOKUP(A75,'2a. SI Pop'!$A$5:$E$198,5,FALSE)</f>
        <v>3</v>
      </c>
      <c r="F75" s="76">
        <f>VLOOKUP(E75,Input!$T$5:$U$24,2,FALSE)</f>
        <v>0.53368993694944578</v>
      </c>
      <c r="G75" s="76">
        <f t="shared" si="17"/>
        <v>0.53368993694944578</v>
      </c>
      <c r="H75" s="76">
        <f t="shared" si="17"/>
        <v>0.53368993694944578</v>
      </c>
      <c r="I75" s="76">
        <f t="shared" si="17"/>
        <v>0.53368993694944578</v>
      </c>
      <c r="J75" s="76">
        <f t="shared" si="17"/>
        <v>0.53368993694944578</v>
      </c>
      <c r="K75" s="76">
        <f t="shared" si="17"/>
        <v>0.53368993694944578</v>
      </c>
      <c r="L75" s="76">
        <f t="shared" si="17"/>
        <v>0.53368993694944578</v>
      </c>
      <c r="M75" s="76">
        <f t="shared" si="17"/>
        <v>0.53368993694944578</v>
      </c>
      <c r="N75" s="76">
        <f t="shared" si="17"/>
        <v>0.53368993694944578</v>
      </c>
      <c r="O75" s="76">
        <f t="shared" si="17"/>
        <v>0.53368993694944578</v>
      </c>
      <c r="P75" s="76">
        <f t="shared" si="17"/>
        <v>0.53368993694944578</v>
      </c>
    </row>
    <row r="76" spans="1:16">
      <c r="A76" s="84" t="s">
        <v>225</v>
      </c>
      <c r="B76" s="85" t="s">
        <v>224</v>
      </c>
      <c r="C76" s="85" t="s">
        <v>83</v>
      </c>
      <c r="D76" s="84" t="s">
        <v>75</v>
      </c>
      <c r="E76" s="84">
        <f>VLOOKUP(A76,'2a. SI Pop'!$A$5:$E$198,5,FALSE)</f>
        <v>3</v>
      </c>
      <c r="F76" s="76">
        <f>VLOOKUP(E76,Input!$T$5:$U$24,2,FALSE)</f>
        <v>0.53368993694944578</v>
      </c>
      <c r="G76" s="76">
        <f t="shared" si="17"/>
        <v>0.53368993694944578</v>
      </c>
      <c r="H76" s="76">
        <f t="shared" si="17"/>
        <v>0.53368993694944578</v>
      </c>
      <c r="I76" s="76">
        <f t="shared" si="17"/>
        <v>0.53368993694944578</v>
      </c>
      <c r="J76" s="76">
        <f t="shared" si="17"/>
        <v>0.53368993694944578</v>
      </c>
      <c r="K76" s="76">
        <f t="shared" si="17"/>
        <v>0.53368993694944578</v>
      </c>
      <c r="L76" s="76">
        <f t="shared" si="17"/>
        <v>0.53368993694944578</v>
      </c>
      <c r="M76" s="76">
        <f t="shared" si="17"/>
        <v>0.53368993694944578</v>
      </c>
      <c r="N76" s="76">
        <f t="shared" si="17"/>
        <v>0.53368993694944578</v>
      </c>
      <c r="O76" s="76">
        <f t="shared" si="17"/>
        <v>0.53368993694944578</v>
      </c>
      <c r="P76" s="76">
        <f t="shared" si="17"/>
        <v>0.53368993694944578</v>
      </c>
    </row>
    <row r="77" spans="1:16">
      <c r="A77" s="84" t="s">
        <v>227</v>
      </c>
      <c r="B77" s="85" t="s">
        <v>226</v>
      </c>
      <c r="C77" s="85" t="s">
        <v>92</v>
      </c>
      <c r="D77" s="84" t="s">
        <v>80</v>
      </c>
      <c r="E77" s="84">
        <f>VLOOKUP(A77,'2a. SI Pop'!$A$5:$E$198,5,FALSE)</f>
        <v>2</v>
      </c>
      <c r="F77" s="76">
        <f>VLOOKUP(E77,Input!$T$5:$U$24,2,FALSE)</f>
        <v>1.153734747079966E-2</v>
      </c>
      <c r="G77" s="76">
        <f t="shared" si="17"/>
        <v>1.153734747079966E-2</v>
      </c>
      <c r="H77" s="76">
        <f t="shared" si="17"/>
        <v>1.153734747079966E-2</v>
      </c>
      <c r="I77" s="76">
        <f t="shared" si="17"/>
        <v>1.153734747079966E-2</v>
      </c>
      <c r="J77" s="76">
        <f t="shared" si="17"/>
        <v>1.153734747079966E-2</v>
      </c>
      <c r="K77" s="76">
        <f t="shared" si="17"/>
        <v>1.153734747079966E-2</v>
      </c>
      <c r="L77" s="76">
        <f t="shared" si="17"/>
        <v>1.153734747079966E-2</v>
      </c>
      <c r="M77" s="76">
        <f t="shared" si="17"/>
        <v>1.153734747079966E-2</v>
      </c>
      <c r="N77" s="76">
        <f t="shared" si="17"/>
        <v>1.153734747079966E-2</v>
      </c>
      <c r="O77" s="76">
        <f t="shared" si="17"/>
        <v>1.153734747079966E-2</v>
      </c>
      <c r="P77" s="76">
        <f t="shared" si="17"/>
        <v>1.153734747079966E-2</v>
      </c>
    </row>
    <row r="78" spans="1:16">
      <c r="A78" s="84" t="s">
        <v>229</v>
      </c>
      <c r="B78" s="85" t="s">
        <v>228</v>
      </c>
      <c r="C78" s="85" t="s">
        <v>92</v>
      </c>
      <c r="D78" s="84" t="s">
        <v>75</v>
      </c>
      <c r="E78" s="84">
        <f>VLOOKUP(A78,'2a. SI Pop'!$A$5:$E$198,5,FALSE)</f>
        <v>2</v>
      </c>
      <c r="F78" s="76">
        <f>VLOOKUP(E78,Input!$T$5:$U$24,2,FALSE)</f>
        <v>1.153734747079966E-2</v>
      </c>
      <c r="G78" s="76">
        <f t="shared" si="17"/>
        <v>1.153734747079966E-2</v>
      </c>
      <c r="H78" s="76">
        <f t="shared" si="17"/>
        <v>1.153734747079966E-2</v>
      </c>
      <c r="I78" s="76">
        <f t="shared" si="17"/>
        <v>1.153734747079966E-2</v>
      </c>
      <c r="J78" s="76">
        <f t="shared" si="17"/>
        <v>1.153734747079966E-2</v>
      </c>
      <c r="K78" s="76">
        <f t="shared" si="17"/>
        <v>1.153734747079966E-2</v>
      </c>
      <c r="L78" s="76">
        <f t="shared" si="17"/>
        <v>1.153734747079966E-2</v>
      </c>
      <c r="M78" s="76">
        <f t="shared" si="17"/>
        <v>1.153734747079966E-2</v>
      </c>
      <c r="N78" s="76">
        <f t="shared" si="17"/>
        <v>1.153734747079966E-2</v>
      </c>
      <c r="O78" s="76">
        <f t="shared" si="17"/>
        <v>1.153734747079966E-2</v>
      </c>
      <c r="P78" s="76">
        <f t="shared" si="17"/>
        <v>1.153734747079966E-2</v>
      </c>
    </row>
    <row r="79" spans="1:16">
      <c r="A79" s="84" t="s">
        <v>231</v>
      </c>
      <c r="B79" s="85" t="s">
        <v>230</v>
      </c>
      <c r="C79" s="85" t="s">
        <v>92</v>
      </c>
      <c r="D79" s="84" t="s">
        <v>84</v>
      </c>
      <c r="E79" s="84">
        <f>VLOOKUP(A79,'2a. SI Pop'!$A$5:$E$198,5,FALSE)</f>
        <v>1</v>
      </c>
      <c r="F79" s="76">
        <f>VLOOKUP(E79,Input!$T$5:$U$24,2,FALSE)</f>
        <v>2.3190152964693054</v>
      </c>
      <c r="G79" s="76">
        <f t="shared" si="17"/>
        <v>2.3190152964693054</v>
      </c>
      <c r="H79" s="76">
        <f t="shared" si="17"/>
        <v>2.3190152964693054</v>
      </c>
      <c r="I79" s="76">
        <f t="shared" si="17"/>
        <v>2.3190152964693054</v>
      </c>
      <c r="J79" s="76">
        <f t="shared" si="17"/>
        <v>2.3190152964693054</v>
      </c>
      <c r="K79" s="76">
        <f t="shared" si="17"/>
        <v>2.3190152964693054</v>
      </c>
      <c r="L79" s="76">
        <f t="shared" si="17"/>
        <v>2.3190152964693054</v>
      </c>
      <c r="M79" s="76">
        <f t="shared" si="17"/>
        <v>2.3190152964693054</v>
      </c>
      <c r="N79" s="76">
        <f t="shared" si="17"/>
        <v>2.3190152964693054</v>
      </c>
      <c r="O79" s="76">
        <f t="shared" si="17"/>
        <v>2.3190152964693054</v>
      </c>
      <c r="P79" s="76">
        <f t="shared" si="17"/>
        <v>2.3190152964693054</v>
      </c>
    </row>
    <row r="80" spans="1:16">
      <c r="A80" s="84" t="s">
        <v>233</v>
      </c>
      <c r="B80" s="85" t="s">
        <v>232</v>
      </c>
      <c r="C80" s="85" t="s">
        <v>79</v>
      </c>
      <c r="D80" s="84" t="s">
        <v>87</v>
      </c>
      <c r="E80" s="84">
        <f>VLOOKUP(A80,'2a. SI Pop'!$A$5:$E$198,5,FALSE)</f>
        <v>1</v>
      </c>
      <c r="F80" s="76">
        <f>VLOOKUP(E80,Input!$T$5:$U$24,2,FALSE)</f>
        <v>2.3190152964693054</v>
      </c>
      <c r="G80" s="76">
        <f t="shared" si="17"/>
        <v>2.3190152964693054</v>
      </c>
      <c r="H80" s="76">
        <f t="shared" si="17"/>
        <v>2.3190152964693054</v>
      </c>
      <c r="I80" s="76">
        <f t="shared" si="17"/>
        <v>2.3190152964693054</v>
      </c>
      <c r="J80" s="76">
        <f t="shared" si="17"/>
        <v>2.3190152964693054</v>
      </c>
      <c r="K80" s="76">
        <f t="shared" si="17"/>
        <v>2.3190152964693054</v>
      </c>
      <c r="L80" s="76">
        <f t="shared" si="17"/>
        <v>2.3190152964693054</v>
      </c>
      <c r="M80" s="76">
        <f t="shared" si="17"/>
        <v>2.3190152964693054</v>
      </c>
      <c r="N80" s="76">
        <f t="shared" si="17"/>
        <v>2.3190152964693054</v>
      </c>
      <c r="O80" s="76">
        <f t="shared" si="17"/>
        <v>2.3190152964693054</v>
      </c>
      <c r="P80" s="76">
        <f t="shared" si="17"/>
        <v>2.3190152964693054</v>
      </c>
    </row>
    <row r="81" spans="1:16">
      <c r="A81" s="84" t="s">
        <v>235</v>
      </c>
      <c r="B81" s="85" t="s">
        <v>234</v>
      </c>
      <c r="C81" s="85" t="s">
        <v>79</v>
      </c>
      <c r="D81" s="84" t="s">
        <v>87</v>
      </c>
      <c r="E81" s="84">
        <f>VLOOKUP(A81,'2a. SI Pop'!$A$5:$E$198,5,FALSE)</f>
        <v>1</v>
      </c>
      <c r="F81" s="76">
        <f>VLOOKUP(E81,Input!$T$5:$U$24,2,FALSE)</f>
        <v>2.3190152964693054</v>
      </c>
      <c r="G81" s="76">
        <f t="shared" si="17"/>
        <v>2.3190152964693054</v>
      </c>
      <c r="H81" s="76">
        <f t="shared" si="17"/>
        <v>2.3190152964693054</v>
      </c>
      <c r="I81" s="76">
        <f t="shared" si="17"/>
        <v>2.3190152964693054</v>
      </c>
      <c r="J81" s="76">
        <f t="shared" si="17"/>
        <v>2.3190152964693054</v>
      </c>
      <c r="K81" s="76">
        <f t="shared" si="17"/>
        <v>2.3190152964693054</v>
      </c>
      <c r="L81" s="76">
        <f t="shared" si="17"/>
        <v>2.3190152964693054</v>
      </c>
      <c r="M81" s="76">
        <f t="shared" si="17"/>
        <v>2.3190152964693054</v>
      </c>
      <c r="N81" s="76">
        <f t="shared" si="17"/>
        <v>2.3190152964693054</v>
      </c>
      <c r="O81" s="76">
        <f t="shared" si="17"/>
        <v>2.3190152964693054</v>
      </c>
      <c r="P81" s="76">
        <f t="shared" si="17"/>
        <v>2.3190152964693054</v>
      </c>
    </row>
    <row r="82" spans="1:16">
      <c r="A82" s="84" t="s">
        <v>237</v>
      </c>
      <c r="B82" s="85" t="s">
        <v>236</v>
      </c>
      <c r="C82" s="85" t="s">
        <v>110</v>
      </c>
      <c r="D82" s="84" t="s">
        <v>84</v>
      </c>
      <c r="E82" s="84" t="str">
        <f>VLOOKUP(A82,'2a. SI Pop'!$A$5:$E$198,5,FALSE)</f>
        <v>Key</v>
      </c>
      <c r="F82" s="76">
        <f>VLOOKUP(A82,Input!$T$5:$U$24,2,FALSE)</f>
        <v>1.284134433</v>
      </c>
      <c r="G82" s="76">
        <f t="shared" si="17"/>
        <v>1.284134433</v>
      </c>
      <c r="H82" s="76">
        <f t="shared" si="17"/>
        <v>1.284134433</v>
      </c>
      <c r="I82" s="76">
        <f t="shared" si="17"/>
        <v>1.284134433</v>
      </c>
      <c r="J82" s="76">
        <f t="shared" si="17"/>
        <v>1.284134433</v>
      </c>
      <c r="K82" s="76">
        <f t="shared" si="17"/>
        <v>1.284134433</v>
      </c>
      <c r="L82" s="76">
        <f t="shared" si="17"/>
        <v>1.284134433</v>
      </c>
      <c r="M82" s="76">
        <f t="shared" si="17"/>
        <v>1.284134433</v>
      </c>
      <c r="N82" s="76">
        <f t="shared" si="17"/>
        <v>1.284134433</v>
      </c>
      <c r="O82" s="76">
        <f t="shared" si="17"/>
        <v>1.284134433</v>
      </c>
      <c r="P82" s="76">
        <f t="shared" si="17"/>
        <v>1.284134433</v>
      </c>
    </row>
    <row r="83" spans="1:16">
      <c r="A83" s="84" t="s">
        <v>239</v>
      </c>
      <c r="B83" s="85" t="s">
        <v>238</v>
      </c>
      <c r="C83" s="85" t="s">
        <v>110</v>
      </c>
      <c r="D83" s="84" t="s">
        <v>80</v>
      </c>
      <c r="E83" s="84" t="str">
        <f>VLOOKUP(A83,'2a. SI Pop'!$A$5:$E$198,5,FALSE)</f>
        <v>Key</v>
      </c>
      <c r="F83" s="76">
        <f>VLOOKUP(A83,Input!$T$5:$U$24,2,FALSE)</f>
        <v>1.7360756259580992</v>
      </c>
      <c r="G83" s="76">
        <f t="shared" si="17"/>
        <v>1.7360756259580992</v>
      </c>
      <c r="H83" s="76">
        <f t="shared" si="17"/>
        <v>1.7360756259580992</v>
      </c>
      <c r="I83" s="76">
        <f t="shared" si="17"/>
        <v>1.7360756259580992</v>
      </c>
      <c r="J83" s="76">
        <f t="shared" si="17"/>
        <v>1.7360756259580992</v>
      </c>
      <c r="K83" s="76">
        <f t="shared" si="17"/>
        <v>1.7360756259580992</v>
      </c>
      <c r="L83" s="76">
        <f t="shared" si="17"/>
        <v>1.7360756259580992</v>
      </c>
      <c r="M83" s="76">
        <f t="shared" si="17"/>
        <v>1.7360756259580992</v>
      </c>
      <c r="N83" s="76">
        <f t="shared" si="17"/>
        <v>1.7360756259580992</v>
      </c>
      <c r="O83" s="76">
        <f t="shared" si="17"/>
        <v>1.7360756259580992</v>
      </c>
      <c r="P83" s="76">
        <f t="shared" si="17"/>
        <v>1.7360756259580992</v>
      </c>
    </row>
    <row r="84" spans="1:16">
      <c r="A84" s="84" t="s">
        <v>241</v>
      </c>
      <c r="B84" s="85" t="s">
        <v>240</v>
      </c>
      <c r="C84" s="85" t="s">
        <v>74</v>
      </c>
      <c r="D84" s="84" t="s">
        <v>80</v>
      </c>
      <c r="E84" s="84">
        <f>VLOOKUP(A84,'2a. SI Pop'!$A$5:$E$198,5,FALSE)</f>
        <v>2</v>
      </c>
      <c r="F84" s="76">
        <f>VLOOKUP(E84,Input!$T$5:$U$24,2,FALSE)</f>
        <v>1.153734747079966E-2</v>
      </c>
      <c r="G84" s="76">
        <f t="shared" si="17"/>
        <v>1.153734747079966E-2</v>
      </c>
      <c r="H84" s="76">
        <f t="shared" si="17"/>
        <v>1.153734747079966E-2</v>
      </c>
      <c r="I84" s="76">
        <f t="shared" si="17"/>
        <v>1.153734747079966E-2</v>
      </c>
      <c r="J84" s="76">
        <f t="shared" si="17"/>
        <v>1.153734747079966E-2</v>
      </c>
      <c r="K84" s="76">
        <f t="shared" si="17"/>
        <v>1.153734747079966E-2</v>
      </c>
      <c r="L84" s="76">
        <f t="shared" si="17"/>
        <v>1.153734747079966E-2</v>
      </c>
      <c r="M84" s="76">
        <f t="shared" si="17"/>
        <v>1.153734747079966E-2</v>
      </c>
      <c r="N84" s="76">
        <f t="shared" si="17"/>
        <v>1.153734747079966E-2</v>
      </c>
      <c r="O84" s="76">
        <f t="shared" si="17"/>
        <v>1.153734747079966E-2</v>
      </c>
      <c r="P84" s="76">
        <f t="shared" si="17"/>
        <v>1.153734747079966E-2</v>
      </c>
    </row>
    <row r="85" spans="1:16">
      <c r="A85" s="84" t="s">
        <v>243</v>
      </c>
      <c r="B85" s="85" t="s">
        <v>242</v>
      </c>
      <c r="C85" s="85" t="s">
        <v>74</v>
      </c>
      <c r="D85" s="84" t="s">
        <v>80</v>
      </c>
      <c r="E85" s="84">
        <f>VLOOKUP(A85,'2a. SI Pop'!$A$5:$E$198,5,FALSE)</f>
        <v>2</v>
      </c>
      <c r="F85" s="76">
        <f>VLOOKUP(E85,Input!$T$5:$U$24,2,FALSE)</f>
        <v>1.153734747079966E-2</v>
      </c>
      <c r="G85" s="76">
        <f t="shared" si="17"/>
        <v>1.153734747079966E-2</v>
      </c>
      <c r="H85" s="76">
        <f t="shared" si="17"/>
        <v>1.153734747079966E-2</v>
      </c>
      <c r="I85" s="76">
        <f t="shared" si="17"/>
        <v>1.153734747079966E-2</v>
      </c>
      <c r="J85" s="76">
        <f t="shared" si="17"/>
        <v>1.153734747079966E-2</v>
      </c>
      <c r="K85" s="76">
        <f t="shared" si="17"/>
        <v>1.153734747079966E-2</v>
      </c>
      <c r="L85" s="76">
        <f t="shared" si="17"/>
        <v>1.153734747079966E-2</v>
      </c>
      <c r="M85" s="76">
        <f t="shared" si="17"/>
        <v>1.153734747079966E-2</v>
      </c>
      <c r="N85" s="76">
        <f t="shared" si="17"/>
        <v>1.153734747079966E-2</v>
      </c>
      <c r="O85" s="76">
        <f t="shared" si="17"/>
        <v>1.153734747079966E-2</v>
      </c>
      <c r="P85" s="76">
        <f t="shared" si="17"/>
        <v>1.153734747079966E-2</v>
      </c>
    </row>
    <row r="86" spans="1:16">
      <c r="A86" s="84" t="s">
        <v>245</v>
      </c>
      <c r="B86" s="85" t="s">
        <v>244</v>
      </c>
      <c r="C86" s="85" t="s">
        <v>79</v>
      </c>
      <c r="D86" s="84" t="s">
        <v>87</v>
      </c>
      <c r="E86" s="84">
        <f>VLOOKUP(A86,'2a. SI Pop'!$A$5:$E$198,5,FALSE)</f>
        <v>1</v>
      </c>
      <c r="F86" s="76">
        <f>VLOOKUP(E86,Input!$T$5:$U$24,2,FALSE)</f>
        <v>2.3190152964693054</v>
      </c>
      <c r="G86" s="76">
        <f t="shared" ref="G86:P101" si="18">F86</f>
        <v>2.3190152964693054</v>
      </c>
      <c r="H86" s="76">
        <f t="shared" si="18"/>
        <v>2.3190152964693054</v>
      </c>
      <c r="I86" s="76">
        <f t="shared" si="18"/>
        <v>2.3190152964693054</v>
      </c>
      <c r="J86" s="76">
        <f t="shared" si="18"/>
        <v>2.3190152964693054</v>
      </c>
      <c r="K86" s="76">
        <f t="shared" si="18"/>
        <v>2.3190152964693054</v>
      </c>
      <c r="L86" s="76">
        <f t="shared" si="18"/>
        <v>2.3190152964693054</v>
      </c>
      <c r="M86" s="76">
        <f t="shared" si="18"/>
        <v>2.3190152964693054</v>
      </c>
      <c r="N86" s="76">
        <f t="shared" si="18"/>
        <v>2.3190152964693054</v>
      </c>
      <c r="O86" s="76">
        <f t="shared" si="18"/>
        <v>2.3190152964693054</v>
      </c>
      <c r="P86" s="76">
        <f t="shared" si="18"/>
        <v>2.3190152964693054</v>
      </c>
    </row>
    <row r="87" spans="1:16">
      <c r="A87" s="84" t="s">
        <v>247</v>
      </c>
      <c r="B87" s="85" t="s">
        <v>246</v>
      </c>
      <c r="C87" s="85" t="s">
        <v>79</v>
      </c>
      <c r="D87" s="84" t="s">
        <v>87</v>
      </c>
      <c r="E87" s="84">
        <f>VLOOKUP(A87,'2a. SI Pop'!$A$5:$E$198,5,FALSE)</f>
        <v>1</v>
      </c>
      <c r="F87" s="76">
        <f>VLOOKUP(E87,Input!$T$5:$U$24,2,FALSE)</f>
        <v>2.3190152964693054</v>
      </c>
      <c r="G87" s="76">
        <f t="shared" si="18"/>
        <v>2.3190152964693054</v>
      </c>
      <c r="H87" s="76">
        <f t="shared" si="18"/>
        <v>2.3190152964693054</v>
      </c>
      <c r="I87" s="76">
        <f t="shared" si="18"/>
        <v>2.3190152964693054</v>
      </c>
      <c r="J87" s="76">
        <f t="shared" si="18"/>
        <v>2.3190152964693054</v>
      </c>
      <c r="K87" s="76">
        <f t="shared" si="18"/>
        <v>2.3190152964693054</v>
      </c>
      <c r="L87" s="76">
        <f t="shared" si="18"/>
        <v>2.3190152964693054</v>
      </c>
      <c r="M87" s="76">
        <f t="shared" si="18"/>
        <v>2.3190152964693054</v>
      </c>
      <c r="N87" s="76">
        <f t="shared" si="18"/>
        <v>2.3190152964693054</v>
      </c>
      <c r="O87" s="76">
        <f t="shared" si="18"/>
        <v>2.3190152964693054</v>
      </c>
      <c r="P87" s="76">
        <f t="shared" si="18"/>
        <v>2.3190152964693054</v>
      </c>
    </row>
    <row r="88" spans="1:16">
      <c r="A88" s="84" t="s">
        <v>249</v>
      </c>
      <c r="B88" s="85" t="s">
        <v>248</v>
      </c>
      <c r="C88" s="85" t="s">
        <v>79</v>
      </c>
      <c r="D88" s="84" t="s">
        <v>87</v>
      </c>
      <c r="E88" s="84">
        <f>VLOOKUP(A88,'2a. SI Pop'!$A$5:$E$198,5,FALSE)</f>
        <v>1</v>
      </c>
      <c r="F88" s="76">
        <f>VLOOKUP(E88,Input!$T$5:$U$24,2,FALSE)</f>
        <v>2.3190152964693054</v>
      </c>
      <c r="G88" s="76">
        <f t="shared" si="18"/>
        <v>2.3190152964693054</v>
      </c>
      <c r="H88" s="76">
        <f t="shared" si="18"/>
        <v>2.3190152964693054</v>
      </c>
      <c r="I88" s="76">
        <f t="shared" si="18"/>
        <v>2.3190152964693054</v>
      </c>
      <c r="J88" s="76">
        <f t="shared" si="18"/>
        <v>2.3190152964693054</v>
      </c>
      <c r="K88" s="76">
        <f t="shared" si="18"/>
        <v>2.3190152964693054</v>
      </c>
      <c r="L88" s="76">
        <f t="shared" si="18"/>
        <v>2.3190152964693054</v>
      </c>
      <c r="M88" s="76">
        <f t="shared" si="18"/>
        <v>2.3190152964693054</v>
      </c>
      <c r="N88" s="76">
        <f t="shared" si="18"/>
        <v>2.3190152964693054</v>
      </c>
      <c r="O88" s="76">
        <f t="shared" si="18"/>
        <v>2.3190152964693054</v>
      </c>
      <c r="P88" s="76">
        <f t="shared" si="18"/>
        <v>2.3190152964693054</v>
      </c>
    </row>
    <row r="89" spans="1:16">
      <c r="A89" s="84" t="s">
        <v>251</v>
      </c>
      <c r="B89" s="85" t="s">
        <v>250</v>
      </c>
      <c r="C89" s="85" t="s">
        <v>92</v>
      </c>
      <c r="D89" s="84" t="s">
        <v>80</v>
      </c>
      <c r="E89" s="84">
        <f>VLOOKUP(A89,'2a. SI Pop'!$A$5:$E$198,5,FALSE)</f>
        <v>1</v>
      </c>
      <c r="F89" s="76">
        <f>VLOOKUP(E89,Input!$T$5:$U$24,2,FALSE)</f>
        <v>2.3190152964693054</v>
      </c>
      <c r="G89" s="76">
        <f t="shared" si="18"/>
        <v>2.3190152964693054</v>
      </c>
      <c r="H89" s="76">
        <f t="shared" si="18"/>
        <v>2.3190152964693054</v>
      </c>
      <c r="I89" s="76">
        <f t="shared" si="18"/>
        <v>2.3190152964693054</v>
      </c>
      <c r="J89" s="76">
        <f t="shared" si="18"/>
        <v>2.3190152964693054</v>
      </c>
      <c r="K89" s="76">
        <f t="shared" si="18"/>
        <v>2.3190152964693054</v>
      </c>
      <c r="L89" s="76">
        <f t="shared" si="18"/>
        <v>2.3190152964693054</v>
      </c>
      <c r="M89" s="76">
        <f t="shared" si="18"/>
        <v>2.3190152964693054</v>
      </c>
      <c r="N89" s="76">
        <f t="shared" si="18"/>
        <v>2.3190152964693054</v>
      </c>
      <c r="O89" s="76">
        <f t="shared" si="18"/>
        <v>2.3190152964693054</v>
      </c>
      <c r="P89" s="76">
        <f t="shared" si="18"/>
        <v>2.3190152964693054</v>
      </c>
    </row>
    <row r="90" spans="1:16">
      <c r="A90" s="84" t="s">
        <v>253</v>
      </c>
      <c r="B90" s="85" t="s">
        <v>252</v>
      </c>
      <c r="C90" s="85" t="s">
        <v>99</v>
      </c>
      <c r="D90" s="84" t="s">
        <v>87</v>
      </c>
      <c r="E90" s="84">
        <f>VLOOKUP(A90,'2a. SI Pop'!$A$5:$E$198,5,FALSE)</f>
        <v>4</v>
      </c>
      <c r="F90" s="76">
        <f>VLOOKUP(E90,Input!$T$5:$U$24,2,FALSE)</f>
        <v>1.7360756259580992</v>
      </c>
      <c r="G90" s="76">
        <f t="shared" si="18"/>
        <v>1.7360756259580992</v>
      </c>
      <c r="H90" s="76">
        <f t="shared" si="18"/>
        <v>1.7360756259580992</v>
      </c>
      <c r="I90" s="76">
        <f t="shared" si="18"/>
        <v>1.7360756259580992</v>
      </c>
      <c r="J90" s="76">
        <f t="shared" si="18"/>
        <v>1.7360756259580992</v>
      </c>
      <c r="K90" s="76">
        <f t="shared" si="18"/>
        <v>1.7360756259580992</v>
      </c>
      <c r="L90" s="76">
        <f t="shared" si="18"/>
        <v>1.7360756259580992</v>
      </c>
      <c r="M90" s="76">
        <f t="shared" si="18"/>
        <v>1.7360756259580992</v>
      </c>
      <c r="N90" s="76">
        <f t="shared" si="18"/>
        <v>1.7360756259580992</v>
      </c>
      <c r="O90" s="76">
        <f t="shared" si="18"/>
        <v>1.7360756259580992</v>
      </c>
      <c r="P90" s="76">
        <f t="shared" si="18"/>
        <v>1.7360756259580992</v>
      </c>
    </row>
    <row r="91" spans="1:16">
      <c r="A91" s="84" t="s">
        <v>255</v>
      </c>
      <c r="B91" s="85" t="s">
        <v>254</v>
      </c>
      <c r="C91" s="85" t="s">
        <v>74</v>
      </c>
      <c r="D91" s="84" t="s">
        <v>80</v>
      </c>
      <c r="E91" s="84">
        <f>VLOOKUP(A91,'2a. SI Pop'!$A$5:$E$198,5,FALSE)</f>
        <v>2</v>
      </c>
      <c r="F91" s="76">
        <f>VLOOKUP(E91,Input!$T$5:$U$24,2,FALSE)</f>
        <v>1.153734747079966E-2</v>
      </c>
      <c r="G91" s="76">
        <f t="shared" si="18"/>
        <v>1.153734747079966E-2</v>
      </c>
      <c r="H91" s="76">
        <f t="shared" si="18"/>
        <v>1.153734747079966E-2</v>
      </c>
      <c r="I91" s="76">
        <f t="shared" si="18"/>
        <v>1.153734747079966E-2</v>
      </c>
      <c r="J91" s="76">
        <f t="shared" si="18"/>
        <v>1.153734747079966E-2</v>
      </c>
      <c r="K91" s="76">
        <f t="shared" si="18"/>
        <v>1.153734747079966E-2</v>
      </c>
      <c r="L91" s="76">
        <f t="shared" si="18"/>
        <v>1.153734747079966E-2</v>
      </c>
      <c r="M91" s="76">
        <f t="shared" si="18"/>
        <v>1.153734747079966E-2</v>
      </c>
      <c r="N91" s="76">
        <f t="shared" si="18"/>
        <v>1.153734747079966E-2</v>
      </c>
      <c r="O91" s="76">
        <f t="shared" si="18"/>
        <v>1.153734747079966E-2</v>
      </c>
      <c r="P91" s="76">
        <f t="shared" si="18"/>
        <v>1.153734747079966E-2</v>
      </c>
    </row>
    <row r="92" spans="1:16">
      <c r="A92" s="84" t="s">
        <v>257</v>
      </c>
      <c r="B92" s="85" t="s">
        <v>256</v>
      </c>
      <c r="C92" s="85" t="s">
        <v>79</v>
      </c>
      <c r="D92" s="84" t="s">
        <v>80</v>
      </c>
      <c r="E92" s="84">
        <f>VLOOKUP(A92,'2a. SI Pop'!$A$5:$E$198,5,FALSE)</f>
        <v>2</v>
      </c>
      <c r="F92" s="76">
        <f>VLOOKUP(E92,Input!$T$5:$U$24,2,FALSE)</f>
        <v>1.153734747079966E-2</v>
      </c>
      <c r="G92" s="76">
        <f t="shared" si="18"/>
        <v>1.153734747079966E-2</v>
      </c>
      <c r="H92" s="76">
        <f t="shared" si="18"/>
        <v>1.153734747079966E-2</v>
      </c>
      <c r="I92" s="76">
        <f t="shared" si="18"/>
        <v>1.153734747079966E-2</v>
      </c>
      <c r="J92" s="76">
        <f t="shared" si="18"/>
        <v>1.153734747079966E-2</v>
      </c>
      <c r="K92" s="76">
        <f t="shared" si="18"/>
        <v>1.153734747079966E-2</v>
      </c>
      <c r="L92" s="76">
        <f t="shared" si="18"/>
        <v>1.153734747079966E-2</v>
      </c>
      <c r="M92" s="76">
        <f t="shared" si="18"/>
        <v>1.153734747079966E-2</v>
      </c>
      <c r="N92" s="76">
        <f t="shared" si="18"/>
        <v>1.153734747079966E-2</v>
      </c>
      <c r="O92" s="76">
        <f t="shared" si="18"/>
        <v>1.153734747079966E-2</v>
      </c>
      <c r="P92" s="76">
        <f t="shared" si="18"/>
        <v>1.153734747079966E-2</v>
      </c>
    </row>
    <row r="93" spans="1:16">
      <c r="A93" s="84" t="s">
        <v>259</v>
      </c>
      <c r="B93" s="85" t="s">
        <v>258</v>
      </c>
      <c r="C93" s="85" t="s">
        <v>83</v>
      </c>
      <c r="D93" s="84" t="s">
        <v>84</v>
      </c>
      <c r="E93" s="84">
        <f>VLOOKUP(A93,'2a. SI Pop'!$A$5:$E$198,5,FALSE)</f>
        <v>3</v>
      </c>
      <c r="F93" s="76">
        <f>VLOOKUP(E93,Input!$T$5:$U$24,2,FALSE)</f>
        <v>0.53368993694944578</v>
      </c>
      <c r="G93" s="76">
        <f t="shared" si="18"/>
        <v>0.53368993694944578</v>
      </c>
      <c r="H93" s="76">
        <f t="shared" si="18"/>
        <v>0.53368993694944578</v>
      </c>
      <c r="I93" s="76">
        <f t="shared" si="18"/>
        <v>0.53368993694944578</v>
      </c>
      <c r="J93" s="76">
        <f t="shared" si="18"/>
        <v>0.53368993694944578</v>
      </c>
      <c r="K93" s="76">
        <f t="shared" si="18"/>
        <v>0.53368993694944578</v>
      </c>
      <c r="L93" s="76">
        <f t="shared" si="18"/>
        <v>0.53368993694944578</v>
      </c>
      <c r="M93" s="76">
        <f t="shared" si="18"/>
        <v>0.53368993694944578</v>
      </c>
      <c r="N93" s="76">
        <f t="shared" si="18"/>
        <v>0.53368993694944578</v>
      </c>
      <c r="O93" s="76">
        <f t="shared" si="18"/>
        <v>0.53368993694944578</v>
      </c>
      <c r="P93" s="76">
        <f t="shared" si="18"/>
        <v>0.53368993694944578</v>
      </c>
    </row>
    <row r="94" spans="1:16">
      <c r="A94" s="84" t="s">
        <v>261</v>
      </c>
      <c r="B94" s="85" t="s">
        <v>260</v>
      </c>
      <c r="C94" s="85" t="s">
        <v>99</v>
      </c>
      <c r="D94" s="84" t="s">
        <v>84</v>
      </c>
      <c r="E94" s="84">
        <f>VLOOKUP(A94,'2a. SI Pop'!$A$5:$E$198,5,FALSE)</f>
        <v>4</v>
      </c>
      <c r="F94" s="76">
        <f>VLOOKUP(E94,Input!$T$5:$U$24,2,FALSE)</f>
        <v>1.7360756259580992</v>
      </c>
      <c r="G94" s="76">
        <f t="shared" si="18"/>
        <v>1.7360756259580992</v>
      </c>
      <c r="H94" s="76">
        <f t="shared" si="18"/>
        <v>1.7360756259580992</v>
      </c>
      <c r="I94" s="76">
        <f t="shared" si="18"/>
        <v>1.7360756259580992</v>
      </c>
      <c r="J94" s="76">
        <f t="shared" si="18"/>
        <v>1.7360756259580992</v>
      </c>
      <c r="K94" s="76">
        <f t="shared" si="18"/>
        <v>1.7360756259580992</v>
      </c>
      <c r="L94" s="76">
        <f t="shared" si="18"/>
        <v>1.7360756259580992</v>
      </c>
      <c r="M94" s="76">
        <f t="shared" si="18"/>
        <v>1.7360756259580992</v>
      </c>
      <c r="N94" s="76">
        <f t="shared" si="18"/>
        <v>1.7360756259580992</v>
      </c>
      <c r="O94" s="76">
        <f t="shared" si="18"/>
        <v>1.7360756259580992</v>
      </c>
      <c r="P94" s="76">
        <f t="shared" si="18"/>
        <v>1.7360756259580992</v>
      </c>
    </row>
    <row r="95" spans="1:16">
      <c r="A95" s="84" t="s">
        <v>263</v>
      </c>
      <c r="B95" s="85" t="s">
        <v>262</v>
      </c>
      <c r="C95" s="85" t="s">
        <v>99</v>
      </c>
      <c r="D95" s="84" t="s">
        <v>87</v>
      </c>
      <c r="E95" s="84">
        <f>VLOOKUP(A95,'2a. SI Pop'!$A$5:$E$198,5,FALSE)</f>
        <v>1</v>
      </c>
      <c r="F95" s="76">
        <f>VLOOKUP(E95,Input!$T$5:$U$24,2,FALSE)</f>
        <v>2.3190152964693054</v>
      </c>
      <c r="G95" s="76">
        <f t="shared" si="18"/>
        <v>2.3190152964693054</v>
      </c>
      <c r="H95" s="76">
        <f t="shared" si="18"/>
        <v>2.3190152964693054</v>
      </c>
      <c r="I95" s="76">
        <f t="shared" si="18"/>
        <v>2.3190152964693054</v>
      </c>
      <c r="J95" s="76">
        <f t="shared" si="18"/>
        <v>2.3190152964693054</v>
      </c>
      <c r="K95" s="76">
        <f t="shared" si="18"/>
        <v>2.3190152964693054</v>
      </c>
      <c r="L95" s="76">
        <f t="shared" si="18"/>
        <v>2.3190152964693054</v>
      </c>
      <c r="M95" s="76">
        <f t="shared" si="18"/>
        <v>2.3190152964693054</v>
      </c>
      <c r="N95" s="76">
        <f t="shared" si="18"/>
        <v>2.3190152964693054</v>
      </c>
      <c r="O95" s="76">
        <f t="shared" si="18"/>
        <v>2.3190152964693054</v>
      </c>
      <c r="P95" s="76">
        <f t="shared" si="18"/>
        <v>2.3190152964693054</v>
      </c>
    </row>
    <row r="96" spans="1:16">
      <c r="A96" s="84" t="s">
        <v>265</v>
      </c>
      <c r="B96" s="85" t="s">
        <v>264</v>
      </c>
      <c r="C96" s="85" t="s">
        <v>74</v>
      </c>
      <c r="D96" s="84" t="s">
        <v>87</v>
      </c>
      <c r="E96" s="84">
        <f>VLOOKUP(A96,'2a. SI Pop'!$A$5:$E$198,5,FALSE)</f>
        <v>1</v>
      </c>
      <c r="F96" s="76">
        <f>VLOOKUP(E96,Input!$T$5:$U$24,2,FALSE)</f>
        <v>2.3190152964693054</v>
      </c>
      <c r="G96" s="76">
        <f t="shared" si="18"/>
        <v>2.3190152964693054</v>
      </c>
      <c r="H96" s="76">
        <f t="shared" si="18"/>
        <v>2.3190152964693054</v>
      </c>
      <c r="I96" s="76">
        <f t="shared" si="18"/>
        <v>2.3190152964693054</v>
      </c>
      <c r="J96" s="76">
        <f t="shared" si="18"/>
        <v>2.3190152964693054</v>
      </c>
      <c r="K96" s="76">
        <f t="shared" si="18"/>
        <v>2.3190152964693054</v>
      </c>
      <c r="L96" s="76">
        <f t="shared" si="18"/>
        <v>2.3190152964693054</v>
      </c>
      <c r="M96" s="76">
        <f t="shared" si="18"/>
        <v>2.3190152964693054</v>
      </c>
      <c r="N96" s="76">
        <f t="shared" si="18"/>
        <v>2.3190152964693054</v>
      </c>
      <c r="O96" s="76">
        <f t="shared" si="18"/>
        <v>2.3190152964693054</v>
      </c>
      <c r="P96" s="76">
        <f t="shared" si="18"/>
        <v>2.3190152964693054</v>
      </c>
    </row>
    <row r="97" spans="1:16">
      <c r="A97" s="84" t="s">
        <v>267</v>
      </c>
      <c r="B97" s="85" t="s">
        <v>266</v>
      </c>
      <c r="C97" s="85" t="s">
        <v>79</v>
      </c>
      <c r="D97" s="84" t="s">
        <v>84</v>
      </c>
      <c r="E97" s="84">
        <f>VLOOKUP(A97,'2a. SI Pop'!$A$5:$E$198,5,FALSE)</f>
        <v>1</v>
      </c>
      <c r="F97" s="76">
        <f>VLOOKUP(E97,Input!$T$5:$U$24,2,FALSE)</f>
        <v>2.3190152964693054</v>
      </c>
      <c r="G97" s="76">
        <f t="shared" si="18"/>
        <v>2.3190152964693054</v>
      </c>
      <c r="H97" s="76">
        <f t="shared" si="18"/>
        <v>2.3190152964693054</v>
      </c>
      <c r="I97" s="76">
        <f t="shared" si="18"/>
        <v>2.3190152964693054</v>
      </c>
      <c r="J97" s="76">
        <f t="shared" si="18"/>
        <v>2.3190152964693054</v>
      </c>
      <c r="K97" s="76">
        <f t="shared" si="18"/>
        <v>2.3190152964693054</v>
      </c>
      <c r="L97" s="76">
        <f t="shared" si="18"/>
        <v>2.3190152964693054</v>
      </c>
      <c r="M97" s="76">
        <f t="shared" si="18"/>
        <v>2.3190152964693054</v>
      </c>
      <c r="N97" s="76">
        <f t="shared" si="18"/>
        <v>2.3190152964693054</v>
      </c>
      <c r="O97" s="76">
        <f t="shared" si="18"/>
        <v>2.3190152964693054</v>
      </c>
      <c r="P97" s="76">
        <f t="shared" si="18"/>
        <v>2.3190152964693054</v>
      </c>
    </row>
    <row r="98" spans="1:16">
      <c r="A98" s="84" t="s">
        <v>269</v>
      </c>
      <c r="B98" s="85" t="s">
        <v>268</v>
      </c>
      <c r="C98" s="85" t="s">
        <v>99</v>
      </c>
      <c r="D98" s="84" t="s">
        <v>84</v>
      </c>
      <c r="E98" s="84">
        <f>VLOOKUP(A98,'2a. SI Pop'!$A$5:$E$198,5,FALSE)</f>
        <v>4</v>
      </c>
      <c r="F98" s="76">
        <f>VLOOKUP(E98,Input!$T$5:$U$24,2,FALSE)</f>
        <v>1.7360756259580992</v>
      </c>
      <c r="G98" s="76">
        <f t="shared" si="18"/>
        <v>1.7360756259580992</v>
      </c>
      <c r="H98" s="76">
        <f t="shared" si="18"/>
        <v>1.7360756259580992</v>
      </c>
      <c r="I98" s="76">
        <f t="shared" si="18"/>
        <v>1.7360756259580992</v>
      </c>
      <c r="J98" s="76">
        <f t="shared" si="18"/>
        <v>1.7360756259580992</v>
      </c>
      <c r="K98" s="76">
        <f t="shared" si="18"/>
        <v>1.7360756259580992</v>
      </c>
      <c r="L98" s="76">
        <f t="shared" si="18"/>
        <v>1.7360756259580992</v>
      </c>
      <c r="M98" s="76">
        <f t="shared" si="18"/>
        <v>1.7360756259580992</v>
      </c>
      <c r="N98" s="76">
        <f t="shared" si="18"/>
        <v>1.7360756259580992</v>
      </c>
      <c r="O98" s="76">
        <f t="shared" si="18"/>
        <v>1.7360756259580992</v>
      </c>
      <c r="P98" s="76">
        <f t="shared" si="18"/>
        <v>1.7360756259580992</v>
      </c>
    </row>
    <row r="99" spans="1:16">
      <c r="A99" s="84" t="s">
        <v>271</v>
      </c>
      <c r="B99" s="85" t="s">
        <v>270</v>
      </c>
      <c r="C99" s="85" t="s">
        <v>79</v>
      </c>
      <c r="D99" s="84" t="s">
        <v>87</v>
      </c>
      <c r="E99" s="84">
        <f>VLOOKUP(A99,'2a. SI Pop'!$A$5:$E$198,5,FALSE)</f>
        <v>1</v>
      </c>
      <c r="F99" s="76">
        <f>VLOOKUP(E99,Input!$T$5:$U$24,2,FALSE)</f>
        <v>2.3190152964693054</v>
      </c>
      <c r="G99" s="76">
        <f t="shared" si="18"/>
        <v>2.3190152964693054</v>
      </c>
      <c r="H99" s="76">
        <f t="shared" si="18"/>
        <v>2.3190152964693054</v>
      </c>
      <c r="I99" s="76">
        <f t="shared" si="18"/>
        <v>2.3190152964693054</v>
      </c>
      <c r="J99" s="76">
        <f t="shared" si="18"/>
        <v>2.3190152964693054</v>
      </c>
      <c r="K99" s="76">
        <f t="shared" si="18"/>
        <v>2.3190152964693054</v>
      </c>
      <c r="L99" s="76">
        <f t="shared" si="18"/>
        <v>2.3190152964693054</v>
      </c>
      <c r="M99" s="76">
        <f t="shared" si="18"/>
        <v>2.3190152964693054</v>
      </c>
      <c r="N99" s="76">
        <f t="shared" si="18"/>
        <v>2.3190152964693054</v>
      </c>
      <c r="O99" s="76">
        <f t="shared" si="18"/>
        <v>2.3190152964693054</v>
      </c>
      <c r="P99" s="76">
        <f t="shared" si="18"/>
        <v>2.3190152964693054</v>
      </c>
    </row>
    <row r="100" spans="1:16">
      <c r="A100" s="84" t="s">
        <v>273</v>
      </c>
      <c r="B100" s="85" t="s">
        <v>272</v>
      </c>
      <c r="C100" s="85" t="s">
        <v>74</v>
      </c>
      <c r="D100" s="84" t="s">
        <v>80</v>
      </c>
      <c r="E100" s="84">
        <f>VLOOKUP(A100,'2a. SI Pop'!$A$5:$E$198,5,FALSE)</f>
        <v>2</v>
      </c>
      <c r="F100" s="76">
        <f>VLOOKUP(E100,Input!$T$5:$U$24,2,FALSE)</f>
        <v>1.153734747079966E-2</v>
      </c>
      <c r="G100" s="76">
        <f t="shared" si="18"/>
        <v>1.153734747079966E-2</v>
      </c>
      <c r="H100" s="76">
        <f t="shared" si="18"/>
        <v>1.153734747079966E-2</v>
      </c>
      <c r="I100" s="76">
        <f t="shared" si="18"/>
        <v>1.153734747079966E-2</v>
      </c>
      <c r="J100" s="76">
        <f t="shared" si="18"/>
        <v>1.153734747079966E-2</v>
      </c>
      <c r="K100" s="76">
        <f t="shared" si="18"/>
        <v>1.153734747079966E-2</v>
      </c>
      <c r="L100" s="76">
        <f t="shared" si="18"/>
        <v>1.153734747079966E-2</v>
      </c>
      <c r="M100" s="76">
        <f t="shared" si="18"/>
        <v>1.153734747079966E-2</v>
      </c>
      <c r="N100" s="76">
        <f t="shared" si="18"/>
        <v>1.153734747079966E-2</v>
      </c>
      <c r="O100" s="76">
        <f t="shared" si="18"/>
        <v>1.153734747079966E-2</v>
      </c>
      <c r="P100" s="76">
        <f t="shared" si="18"/>
        <v>1.153734747079966E-2</v>
      </c>
    </row>
    <row r="101" spans="1:16">
      <c r="A101" s="84" t="s">
        <v>275</v>
      </c>
      <c r="B101" s="85" t="s">
        <v>274</v>
      </c>
      <c r="C101" s="85" t="s">
        <v>83</v>
      </c>
      <c r="D101" s="84" t="s">
        <v>84</v>
      </c>
      <c r="E101" s="84">
        <f>VLOOKUP(A101,'2a. SI Pop'!$A$5:$E$198,5,FALSE)</f>
        <v>3</v>
      </c>
      <c r="F101" s="76">
        <f>VLOOKUP(E101,Input!$T$5:$U$24,2,FALSE)</f>
        <v>0.53368993694944578</v>
      </c>
      <c r="G101" s="76">
        <f t="shared" si="18"/>
        <v>0.53368993694944578</v>
      </c>
      <c r="H101" s="76">
        <f t="shared" si="18"/>
        <v>0.53368993694944578</v>
      </c>
      <c r="I101" s="76">
        <f t="shared" si="18"/>
        <v>0.53368993694944578</v>
      </c>
      <c r="J101" s="76">
        <f t="shared" si="18"/>
        <v>0.53368993694944578</v>
      </c>
      <c r="K101" s="76">
        <f t="shared" si="18"/>
        <v>0.53368993694944578</v>
      </c>
      <c r="L101" s="76">
        <f t="shared" si="18"/>
        <v>0.53368993694944578</v>
      </c>
      <c r="M101" s="76">
        <f t="shared" si="18"/>
        <v>0.53368993694944578</v>
      </c>
      <c r="N101" s="76">
        <f t="shared" si="18"/>
        <v>0.53368993694944578</v>
      </c>
      <c r="O101" s="76">
        <f t="shared" si="18"/>
        <v>0.53368993694944578</v>
      </c>
      <c r="P101" s="76">
        <f t="shared" si="18"/>
        <v>0.53368993694944578</v>
      </c>
    </row>
    <row r="102" spans="1:16">
      <c r="A102" s="84" t="s">
        <v>277</v>
      </c>
      <c r="B102" s="85" t="s">
        <v>276</v>
      </c>
      <c r="C102" s="85" t="s">
        <v>83</v>
      </c>
      <c r="D102" s="84" t="s">
        <v>75</v>
      </c>
      <c r="E102" s="84">
        <f>VLOOKUP(A102,'2a. SI Pop'!$A$5:$E$198,5,FALSE)</f>
        <v>3</v>
      </c>
      <c r="F102" s="76">
        <f>VLOOKUP(E102,Input!$T$5:$U$24,2,FALSE)</f>
        <v>0.53368993694944578</v>
      </c>
      <c r="G102" s="76">
        <f t="shared" ref="G102:P117" si="19">F102</f>
        <v>0.53368993694944578</v>
      </c>
      <c r="H102" s="76">
        <f t="shared" si="19"/>
        <v>0.53368993694944578</v>
      </c>
      <c r="I102" s="76">
        <f t="shared" si="19"/>
        <v>0.53368993694944578</v>
      </c>
      <c r="J102" s="76">
        <f t="shared" si="19"/>
        <v>0.53368993694944578</v>
      </c>
      <c r="K102" s="76">
        <f t="shared" si="19"/>
        <v>0.53368993694944578</v>
      </c>
      <c r="L102" s="76">
        <f t="shared" si="19"/>
        <v>0.53368993694944578</v>
      </c>
      <c r="M102" s="76">
        <f t="shared" si="19"/>
        <v>0.53368993694944578</v>
      </c>
      <c r="N102" s="76">
        <f t="shared" si="19"/>
        <v>0.53368993694944578</v>
      </c>
      <c r="O102" s="76">
        <f t="shared" si="19"/>
        <v>0.53368993694944578</v>
      </c>
      <c r="P102" s="76">
        <f t="shared" si="19"/>
        <v>0.53368993694944578</v>
      </c>
    </row>
    <row r="103" spans="1:16">
      <c r="A103" s="84" t="s">
        <v>279</v>
      </c>
      <c r="B103" s="85" t="s">
        <v>278</v>
      </c>
      <c r="C103" s="85" t="s">
        <v>74</v>
      </c>
      <c r="D103" s="84" t="s">
        <v>80</v>
      </c>
      <c r="E103" s="84">
        <f>VLOOKUP(A103,'2a. SI Pop'!$A$5:$E$198,5,FALSE)</f>
        <v>2</v>
      </c>
      <c r="F103" s="76">
        <f>VLOOKUP(E103,Input!$T$5:$U$24,2,FALSE)</f>
        <v>1.153734747079966E-2</v>
      </c>
      <c r="G103" s="76">
        <f t="shared" si="19"/>
        <v>1.153734747079966E-2</v>
      </c>
      <c r="H103" s="76">
        <f t="shared" si="19"/>
        <v>1.153734747079966E-2</v>
      </c>
      <c r="I103" s="76">
        <f t="shared" si="19"/>
        <v>1.153734747079966E-2</v>
      </c>
      <c r="J103" s="76">
        <f t="shared" si="19"/>
        <v>1.153734747079966E-2</v>
      </c>
      <c r="K103" s="76">
        <f t="shared" si="19"/>
        <v>1.153734747079966E-2</v>
      </c>
      <c r="L103" s="76">
        <f t="shared" si="19"/>
        <v>1.153734747079966E-2</v>
      </c>
      <c r="M103" s="76">
        <f t="shared" si="19"/>
        <v>1.153734747079966E-2</v>
      </c>
      <c r="N103" s="76">
        <f t="shared" si="19"/>
        <v>1.153734747079966E-2</v>
      </c>
      <c r="O103" s="76">
        <f t="shared" si="19"/>
        <v>1.153734747079966E-2</v>
      </c>
      <c r="P103" s="76">
        <f t="shared" si="19"/>
        <v>1.153734747079966E-2</v>
      </c>
    </row>
    <row r="104" spans="1:16">
      <c r="A104" s="84" t="s">
        <v>281</v>
      </c>
      <c r="B104" s="85" t="s">
        <v>280</v>
      </c>
      <c r="C104" s="85" t="s">
        <v>79</v>
      </c>
      <c r="D104" s="84" t="s">
        <v>87</v>
      </c>
      <c r="E104" s="84">
        <f>VLOOKUP(A104,'2a. SI Pop'!$A$5:$E$198,5,FALSE)</f>
        <v>1</v>
      </c>
      <c r="F104" s="76">
        <f>VLOOKUP(E104,Input!$T$5:$U$24,2,FALSE)</f>
        <v>2.3190152964693054</v>
      </c>
      <c r="G104" s="76">
        <f t="shared" si="19"/>
        <v>2.3190152964693054</v>
      </c>
      <c r="H104" s="76">
        <f t="shared" si="19"/>
        <v>2.3190152964693054</v>
      </c>
      <c r="I104" s="76">
        <f t="shared" si="19"/>
        <v>2.3190152964693054</v>
      </c>
      <c r="J104" s="76">
        <f t="shared" si="19"/>
        <v>2.3190152964693054</v>
      </c>
      <c r="K104" s="76">
        <f t="shared" si="19"/>
        <v>2.3190152964693054</v>
      </c>
      <c r="L104" s="76">
        <f t="shared" si="19"/>
        <v>2.3190152964693054</v>
      </c>
      <c r="M104" s="76">
        <f t="shared" si="19"/>
        <v>2.3190152964693054</v>
      </c>
      <c r="N104" s="76">
        <f t="shared" si="19"/>
        <v>2.3190152964693054</v>
      </c>
      <c r="O104" s="76">
        <f t="shared" si="19"/>
        <v>2.3190152964693054</v>
      </c>
      <c r="P104" s="76">
        <f t="shared" si="19"/>
        <v>2.3190152964693054</v>
      </c>
    </row>
    <row r="105" spans="1:16">
      <c r="A105" s="84" t="s">
        <v>283</v>
      </c>
      <c r="B105" s="85" t="s">
        <v>282</v>
      </c>
      <c r="C105" s="85" t="s">
        <v>79</v>
      </c>
      <c r="D105" s="84" t="s">
        <v>87</v>
      </c>
      <c r="E105" s="84">
        <f>VLOOKUP(A105,'2a. SI Pop'!$A$5:$E$198,5,FALSE)</f>
        <v>1</v>
      </c>
      <c r="F105" s="76">
        <f>VLOOKUP(E105,Input!$T$5:$U$24,2,FALSE)</f>
        <v>2.3190152964693054</v>
      </c>
      <c r="G105" s="76">
        <f t="shared" si="19"/>
        <v>2.3190152964693054</v>
      </c>
      <c r="H105" s="76">
        <f t="shared" si="19"/>
        <v>2.3190152964693054</v>
      </c>
      <c r="I105" s="76">
        <f t="shared" si="19"/>
        <v>2.3190152964693054</v>
      </c>
      <c r="J105" s="76">
        <f t="shared" si="19"/>
        <v>2.3190152964693054</v>
      </c>
      <c r="K105" s="76">
        <f t="shared" si="19"/>
        <v>2.3190152964693054</v>
      </c>
      <c r="L105" s="76">
        <f t="shared" si="19"/>
        <v>2.3190152964693054</v>
      </c>
      <c r="M105" s="76">
        <f t="shared" si="19"/>
        <v>2.3190152964693054</v>
      </c>
      <c r="N105" s="76">
        <f t="shared" si="19"/>
        <v>2.3190152964693054</v>
      </c>
      <c r="O105" s="76">
        <f t="shared" si="19"/>
        <v>2.3190152964693054</v>
      </c>
      <c r="P105" s="76">
        <f t="shared" si="19"/>
        <v>2.3190152964693054</v>
      </c>
    </row>
    <row r="106" spans="1:16">
      <c r="A106" s="84" t="s">
        <v>285</v>
      </c>
      <c r="B106" s="85" t="s">
        <v>284</v>
      </c>
      <c r="C106" s="85" t="s">
        <v>79</v>
      </c>
      <c r="D106" s="84" t="s">
        <v>80</v>
      </c>
      <c r="E106" s="84">
        <f>VLOOKUP(A106,'2a. SI Pop'!$A$5:$E$198,5,FALSE)</f>
        <v>1</v>
      </c>
      <c r="F106" s="76">
        <f>VLOOKUP(E106,Input!$T$5:$U$24,2,FALSE)</f>
        <v>2.3190152964693054</v>
      </c>
      <c r="G106" s="76">
        <f t="shared" si="19"/>
        <v>2.3190152964693054</v>
      </c>
      <c r="H106" s="76">
        <f t="shared" si="19"/>
        <v>2.3190152964693054</v>
      </c>
      <c r="I106" s="76">
        <f t="shared" si="19"/>
        <v>2.3190152964693054</v>
      </c>
      <c r="J106" s="76">
        <f t="shared" si="19"/>
        <v>2.3190152964693054</v>
      </c>
      <c r="K106" s="76">
        <f t="shared" si="19"/>
        <v>2.3190152964693054</v>
      </c>
      <c r="L106" s="76">
        <f t="shared" si="19"/>
        <v>2.3190152964693054</v>
      </c>
      <c r="M106" s="76">
        <f t="shared" si="19"/>
        <v>2.3190152964693054</v>
      </c>
      <c r="N106" s="76">
        <f t="shared" si="19"/>
        <v>2.3190152964693054</v>
      </c>
      <c r="O106" s="76">
        <f t="shared" si="19"/>
        <v>2.3190152964693054</v>
      </c>
      <c r="P106" s="76">
        <f t="shared" si="19"/>
        <v>2.3190152964693054</v>
      </c>
    </row>
    <row r="107" spans="1:16">
      <c r="A107" s="84" t="s">
        <v>287</v>
      </c>
      <c r="B107" s="85" t="s">
        <v>286</v>
      </c>
      <c r="C107" s="85" t="s">
        <v>83</v>
      </c>
      <c r="D107" s="84" t="s">
        <v>75</v>
      </c>
      <c r="E107" s="84">
        <f>VLOOKUP(A107,'2a. SI Pop'!$A$5:$E$198,5,FALSE)</f>
        <v>3</v>
      </c>
      <c r="F107" s="76">
        <f>VLOOKUP(E107,Input!$T$5:$U$24,2,FALSE)</f>
        <v>0.53368993694944578</v>
      </c>
      <c r="G107" s="76">
        <f t="shared" si="19"/>
        <v>0.53368993694944578</v>
      </c>
      <c r="H107" s="76">
        <f t="shared" si="19"/>
        <v>0.53368993694944578</v>
      </c>
      <c r="I107" s="76">
        <f t="shared" si="19"/>
        <v>0.53368993694944578</v>
      </c>
      <c r="J107" s="76">
        <f t="shared" si="19"/>
        <v>0.53368993694944578</v>
      </c>
      <c r="K107" s="76">
        <f t="shared" si="19"/>
        <v>0.53368993694944578</v>
      </c>
      <c r="L107" s="76">
        <f t="shared" si="19"/>
        <v>0.53368993694944578</v>
      </c>
      <c r="M107" s="76">
        <f t="shared" si="19"/>
        <v>0.53368993694944578</v>
      </c>
      <c r="N107" s="76">
        <f t="shared" si="19"/>
        <v>0.53368993694944578</v>
      </c>
      <c r="O107" s="76">
        <f t="shared" si="19"/>
        <v>0.53368993694944578</v>
      </c>
      <c r="P107" s="76">
        <f t="shared" si="19"/>
        <v>0.53368993694944578</v>
      </c>
    </row>
    <row r="108" spans="1:16">
      <c r="A108" s="84" t="s">
        <v>289</v>
      </c>
      <c r="B108" s="85" t="s">
        <v>288</v>
      </c>
      <c r="C108" s="85" t="s">
        <v>83</v>
      </c>
      <c r="D108" s="84" t="s">
        <v>75</v>
      </c>
      <c r="E108" s="84">
        <f>VLOOKUP(A108,'2a. SI Pop'!$A$5:$E$198,5,FALSE)</f>
        <v>3</v>
      </c>
      <c r="F108" s="76">
        <f>VLOOKUP(E108,Input!$T$5:$U$24,2,FALSE)</f>
        <v>0.53368993694944578</v>
      </c>
      <c r="G108" s="76">
        <f t="shared" si="19"/>
        <v>0.53368993694944578</v>
      </c>
      <c r="H108" s="76">
        <f t="shared" si="19"/>
        <v>0.53368993694944578</v>
      </c>
      <c r="I108" s="76">
        <f t="shared" si="19"/>
        <v>0.53368993694944578</v>
      </c>
      <c r="J108" s="76">
        <f t="shared" si="19"/>
        <v>0.53368993694944578</v>
      </c>
      <c r="K108" s="76">
        <f t="shared" si="19"/>
        <v>0.53368993694944578</v>
      </c>
      <c r="L108" s="76">
        <f t="shared" si="19"/>
        <v>0.53368993694944578</v>
      </c>
      <c r="M108" s="76">
        <f t="shared" si="19"/>
        <v>0.53368993694944578</v>
      </c>
      <c r="N108" s="76">
        <f t="shared" si="19"/>
        <v>0.53368993694944578</v>
      </c>
      <c r="O108" s="76">
        <f t="shared" si="19"/>
        <v>0.53368993694944578</v>
      </c>
      <c r="P108" s="76">
        <f t="shared" si="19"/>
        <v>0.53368993694944578</v>
      </c>
    </row>
    <row r="109" spans="1:16">
      <c r="A109" s="84" t="s">
        <v>291</v>
      </c>
      <c r="B109" s="85" t="s">
        <v>290</v>
      </c>
      <c r="C109" s="85" t="s">
        <v>99</v>
      </c>
      <c r="D109" s="84" t="s">
        <v>80</v>
      </c>
      <c r="E109" s="84">
        <f>VLOOKUP(A109,'2a. SI Pop'!$A$5:$E$198,5,FALSE)</f>
        <v>2</v>
      </c>
      <c r="F109" s="76">
        <f>VLOOKUP(E109,Input!$T$5:$U$24,2,FALSE)</f>
        <v>1.153734747079966E-2</v>
      </c>
      <c r="G109" s="76">
        <f t="shared" si="19"/>
        <v>1.153734747079966E-2</v>
      </c>
      <c r="H109" s="76">
        <f t="shared" si="19"/>
        <v>1.153734747079966E-2</v>
      </c>
      <c r="I109" s="76">
        <f t="shared" si="19"/>
        <v>1.153734747079966E-2</v>
      </c>
      <c r="J109" s="76">
        <f t="shared" si="19"/>
        <v>1.153734747079966E-2</v>
      </c>
      <c r="K109" s="76">
        <f t="shared" si="19"/>
        <v>1.153734747079966E-2</v>
      </c>
      <c r="L109" s="76">
        <f t="shared" si="19"/>
        <v>1.153734747079966E-2</v>
      </c>
      <c r="M109" s="76">
        <f t="shared" si="19"/>
        <v>1.153734747079966E-2</v>
      </c>
      <c r="N109" s="76">
        <f t="shared" si="19"/>
        <v>1.153734747079966E-2</v>
      </c>
      <c r="O109" s="76">
        <f t="shared" si="19"/>
        <v>1.153734747079966E-2</v>
      </c>
      <c r="P109" s="76">
        <f t="shared" si="19"/>
        <v>1.153734747079966E-2</v>
      </c>
    </row>
    <row r="110" spans="1:16">
      <c r="A110" s="84" t="s">
        <v>293</v>
      </c>
      <c r="B110" s="85" t="s">
        <v>292</v>
      </c>
      <c r="C110" s="85" t="s">
        <v>110</v>
      </c>
      <c r="D110" s="84" t="s">
        <v>80</v>
      </c>
      <c r="E110" s="84">
        <f>VLOOKUP(A110,'2a. SI Pop'!$A$5:$E$198,5,FALSE)</f>
        <v>2</v>
      </c>
      <c r="F110" s="76">
        <f>VLOOKUP(E110,Input!$T$5:$U$24,2,FALSE)</f>
        <v>1.153734747079966E-2</v>
      </c>
      <c r="G110" s="76">
        <f t="shared" si="19"/>
        <v>1.153734747079966E-2</v>
      </c>
      <c r="H110" s="76">
        <f t="shared" si="19"/>
        <v>1.153734747079966E-2</v>
      </c>
      <c r="I110" s="76">
        <f t="shared" si="19"/>
        <v>1.153734747079966E-2</v>
      </c>
      <c r="J110" s="76">
        <f t="shared" si="19"/>
        <v>1.153734747079966E-2</v>
      </c>
      <c r="K110" s="76">
        <f t="shared" si="19"/>
        <v>1.153734747079966E-2</v>
      </c>
      <c r="L110" s="76">
        <f t="shared" si="19"/>
        <v>1.153734747079966E-2</v>
      </c>
      <c r="M110" s="76">
        <f t="shared" si="19"/>
        <v>1.153734747079966E-2</v>
      </c>
      <c r="N110" s="76">
        <f t="shared" si="19"/>
        <v>1.153734747079966E-2</v>
      </c>
      <c r="O110" s="76">
        <f t="shared" si="19"/>
        <v>1.153734747079966E-2</v>
      </c>
      <c r="P110" s="76">
        <f t="shared" si="19"/>
        <v>1.153734747079966E-2</v>
      </c>
    </row>
    <row r="111" spans="1:16">
      <c r="A111" s="84" t="s">
        <v>295</v>
      </c>
      <c r="B111" s="85" t="s">
        <v>294</v>
      </c>
      <c r="C111" s="85" t="s">
        <v>83</v>
      </c>
      <c r="D111" s="84" t="s">
        <v>75</v>
      </c>
      <c r="E111" s="84">
        <f>VLOOKUP(A111,'2a. SI Pop'!$A$5:$E$198,5,FALSE)</f>
        <v>3</v>
      </c>
      <c r="F111" s="76">
        <f>VLOOKUP(E111,Input!$T$5:$U$24,2,FALSE)</f>
        <v>0.53368993694944578</v>
      </c>
      <c r="G111" s="76">
        <f t="shared" si="19"/>
        <v>0.53368993694944578</v>
      </c>
      <c r="H111" s="76">
        <f t="shared" si="19"/>
        <v>0.53368993694944578</v>
      </c>
      <c r="I111" s="76">
        <f t="shared" si="19"/>
        <v>0.53368993694944578</v>
      </c>
      <c r="J111" s="76">
        <f t="shared" si="19"/>
        <v>0.53368993694944578</v>
      </c>
      <c r="K111" s="76">
        <f t="shared" si="19"/>
        <v>0.53368993694944578</v>
      </c>
      <c r="L111" s="76">
        <f t="shared" si="19"/>
        <v>0.53368993694944578</v>
      </c>
      <c r="M111" s="76">
        <f t="shared" si="19"/>
        <v>0.53368993694944578</v>
      </c>
      <c r="N111" s="76">
        <f t="shared" si="19"/>
        <v>0.53368993694944578</v>
      </c>
      <c r="O111" s="76">
        <f t="shared" si="19"/>
        <v>0.53368993694944578</v>
      </c>
      <c r="P111" s="76">
        <f t="shared" si="19"/>
        <v>0.53368993694944578</v>
      </c>
    </row>
    <row r="112" spans="1:16">
      <c r="A112" s="84" t="s">
        <v>297</v>
      </c>
      <c r="B112" s="85" t="s">
        <v>296</v>
      </c>
      <c r="C112" s="85" t="s">
        <v>79</v>
      </c>
      <c r="D112" s="84" t="s">
        <v>87</v>
      </c>
      <c r="E112" s="84">
        <f>VLOOKUP(A112,'2a. SI Pop'!$A$5:$E$198,5,FALSE)</f>
        <v>1</v>
      </c>
      <c r="F112" s="76">
        <f>VLOOKUP(E112,Input!$T$5:$U$24,2,FALSE)</f>
        <v>2.3190152964693054</v>
      </c>
      <c r="G112" s="76">
        <f t="shared" si="19"/>
        <v>2.3190152964693054</v>
      </c>
      <c r="H112" s="76">
        <f t="shared" si="19"/>
        <v>2.3190152964693054</v>
      </c>
      <c r="I112" s="76">
        <f t="shared" si="19"/>
        <v>2.3190152964693054</v>
      </c>
      <c r="J112" s="76">
        <f t="shared" si="19"/>
        <v>2.3190152964693054</v>
      </c>
      <c r="K112" s="76">
        <f t="shared" si="19"/>
        <v>2.3190152964693054</v>
      </c>
      <c r="L112" s="76">
        <f t="shared" si="19"/>
        <v>2.3190152964693054</v>
      </c>
      <c r="M112" s="76">
        <f t="shared" si="19"/>
        <v>2.3190152964693054</v>
      </c>
      <c r="N112" s="76">
        <f t="shared" si="19"/>
        <v>2.3190152964693054</v>
      </c>
      <c r="O112" s="76">
        <f t="shared" si="19"/>
        <v>2.3190152964693054</v>
      </c>
      <c r="P112" s="76">
        <f t="shared" si="19"/>
        <v>2.3190152964693054</v>
      </c>
    </row>
    <row r="113" spans="1:16">
      <c r="A113" s="84" t="s">
        <v>299</v>
      </c>
      <c r="B113" s="85" t="s">
        <v>298</v>
      </c>
      <c r="C113" s="85" t="s">
        <v>99</v>
      </c>
      <c r="D113" s="84" t="s">
        <v>80</v>
      </c>
      <c r="E113" s="84">
        <f>VLOOKUP(A113,'2a. SI Pop'!$A$5:$E$198,5,FALSE)</f>
        <v>1</v>
      </c>
      <c r="F113" s="76">
        <f>VLOOKUP(E113,Input!$T$5:$U$24,2,FALSE)</f>
        <v>2.3190152964693054</v>
      </c>
      <c r="G113" s="76">
        <f t="shared" si="19"/>
        <v>2.3190152964693054</v>
      </c>
      <c r="H113" s="76">
        <f t="shared" si="19"/>
        <v>2.3190152964693054</v>
      </c>
      <c r="I113" s="76">
        <f t="shared" si="19"/>
        <v>2.3190152964693054</v>
      </c>
      <c r="J113" s="76">
        <f t="shared" si="19"/>
        <v>2.3190152964693054</v>
      </c>
      <c r="K113" s="76">
        <f t="shared" si="19"/>
        <v>2.3190152964693054</v>
      </c>
      <c r="L113" s="76">
        <f t="shared" si="19"/>
        <v>2.3190152964693054</v>
      </c>
      <c r="M113" s="76">
        <f t="shared" si="19"/>
        <v>2.3190152964693054</v>
      </c>
      <c r="N113" s="76">
        <f t="shared" si="19"/>
        <v>2.3190152964693054</v>
      </c>
      <c r="O113" s="76">
        <f t="shared" si="19"/>
        <v>2.3190152964693054</v>
      </c>
      <c r="P113" s="76">
        <f t="shared" si="19"/>
        <v>2.3190152964693054</v>
      </c>
    </row>
    <row r="114" spans="1:16">
      <c r="A114" s="84" t="s">
        <v>301</v>
      </c>
      <c r="B114" s="85" t="s">
        <v>300</v>
      </c>
      <c r="C114" s="85" t="s">
        <v>83</v>
      </c>
      <c r="D114" s="84" t="s">
        <v>84</v>
      </c>
      <c r="E114" s="84">
        <f>VLOOKUP(A114,'2a. SI Pop'!$A$5:$E$198,5,FALSE)</f>
        <v>3</v>
      </c>
      <c r="F114" s="76">
        <f>VLOOKUP(E114,Input!$T$5:$U$24,2,FALSE)</f>
        <v>0.53368993694944578</v>
      </c>
      <c r="G114" s="76">
        <f t="shared" si="19"/>
        <v>0.53368993694944578</v>
      </c>
      <c r="H114" s="76">
        <f t="shared" si="19"/>
        <v>0.53368993694944578</v>
      </c>
      <c r="I114" s="76">
        <f t="shared" si="19"/>
        <v>0.53368993694944578</v>
      </c>
      <c r="J114" s="76">
        <f t="shared" si="19"/>
        <v>0.53368993694944578</v>
      </c>
      <c r="K114" s="76">
        <f t="shared" si="19"/>
        <v>0.53368993694944578</v>
      </c>
      <c r="L114" s="76">
        <f t="shared" si="19"/>
        <v>0.53368993694944578</v>
      </c>
      <c r="M114" s="76">
        <f t="shared" si="19"/>
        <v>0.53368993694944578</v>
      </c>
      <c r="N114" s="76">
        <f t="shared" si="19"/>
        <v>0.53368993694944578</v>
      </c>
      <c r="O114" s="76">
        <f t="shared" si="19"/>
        <v>0.53368993694944578</v>
      </c>
      <c r="P114" s="76">
        <f t="shared" si="19"/>
        <v>0.53368993694944578</v>
      </c>
    </row>
    <row r="115" spans="1:16">
      <c r="A115" s="84" t="s">
        <v>303</v>
      </c>
      <c r="B115" s="85" t="s">
        <v>302</v>
      </c>
      <c r="C115" s="85" t="s">
        <v>83</v>
      </c>
      <c r="D115" s="84" t="s">
        <v>87</v>
      </c>
      <c r="E115" s="84">
        <f>VLOOKUP(A115,'2a. SI Pop'!$A$5:$E$198,5,FALSE)</f>
        <v>1</v>
      </c>
      <c r="F115" s="76">
        <f>VLOOKUP(E115,Input!$T$5:$U$24,2,FALSE)</f>
        <v>2.3190152964693054</v>
      </c>
      <c r="G115" s="76">
        <f t="shared" si="19"/>
        <v>2.3190152964693054</v>
      </c>
      <c r="H115" s="76">
        <f t="shared" si="19"/>
        <v>2.3190152964693054</v>
      </c>
      <c r="I115" s="76">
        <f t="shared" si="19"/>
        <v>2.3190152964693054</v>
      </c>
      <c r="J115" s="76">
        <f t="shared" si="19"/>
        <v>2.3190152964693054</v>
      </c>
      <c r="K115" s="76">
        <f t="shared" si="19"/>
        <v>2.3190152964693054</v>
      </c>
      <c r="L115" s="76">
        <f t="shared" si="19"/>
        <v>2.3190152964693054</v>
      </c>
      <c r="M115" s="76">
        <f t="shared" si="19"/>
        <v>2.3190152964693054</v>
      </c>
      <c r="N115" s="76">
        <f t="shared" si="19"/>
        <v>2.3190152964693054</v>
      </c>
      <c r="O115" s="76">
        <f t="shared" si="19"/>
        <v>2.3190152964693054</v>
      </c>
      <c r="P115" s="76">
        <f t="shared" si="19"/>
        <v>2.3190152964693054</v>
      </c>
    </row>
    <row r="116" spans="1:16">
      <c r="A116" s="84" t="s">
        <v>305</v>
      </c>
      <c r="B116" s="85" t="s">
        <v>304</v>
      </c>
      <c r="C116" s="85" t="s">
        <v>92</v>
      </c>
      <c r="D116" s="84" t="s">
        <v>80</v>
      </c>
      <c r="E116" s="84">
        <f>VLOOKUP(A116,'2a. SI Pop'!$A$5:$E$198,5,FALSE)</f>
        <v>2</v>
      </c>
      <c r="F116" s="76">
        <f>VLOOKUP(E116,Input!$T$5:$U$24,2,FALSE)</f>
        <v>1.153734747079966E-2</v>
      </c>
      <c r="G116" s="76">
        <f t="shared" si="19"/>
        <v>1.153734747079966E-2</v>
      </c>
      <c r="H116" s="76">
        <f t="shared" si="19"/>
        <v>1.153734747079966E-2</v>
      </c>
      <c r="I116" s="76">
        <f t="shared" si="19"/>
        <v>1.153734747079966E-2</v>
      </c>
      <c r="J116" s="76">
        <f t="shared" si="19"/>
        <v>1.153734747079966E-2</v>
      </c>
      <c r="K116" s="76">
        <f t="shared" si="19"/>
        <v>1.153734747079966E-2</v>
      </c>
      <c r="L116" s="76">
        <f t="shared" si="19"/>
        <v>1.153734747079966E-2</v>
      </c>
      <c r="M116" s="76">
        <f t="shared" si="19"/>
        <v>1.153734747079966E-2</v>
      </c>
      <c r="N116" s="76">
        <f t="shared" si="19"/>
        <v>1.153734747079966E-2</v>
      </c>
      <c r="O116" s="76">
        <f t="shared" si="19"/>
        <v>1.153734747079966E-2</v>
      </c>
      <c r="P116" s="76">
        <f t="shared" si="19"/>
        <v>1.153734747079966E-2</v>
      </c>
    </row>
    <row r="117" spans="1:16">
      <c r="A117" s="84" t="s">
        <v>307</v>
      </c>
      <c r="B117" s="85" t="s">
        <v>306</v>
      </c>
      <c r="C117" s="85" t="s">
        <v>99</v>
      </c>
      <c r="D117" s="84" t="s">
        <v>84</v>
      </c>
      <c r="E117" s="84">
        <f>VLOOKUP(A117,'2a. SI Pop'!$A$5:$E$198,5,FALSE)</f>
        <v>1</v>
      </c>
      <c r="F117" s="76">
        <f>VLOOKUP(E117,Input!$T$5:$U$24,2,FALSE)</f>
        <v>2.3190152964693054</v>
      </c>
      <c r="G117" s="76">
        <f t="shared" si="19"/>
        <v>2.3190152964693054</v>
      </c>
      <c r="H117" s="76">
        <f t="shared" si="19"/>
        <v>2.3190152964693054</v>
      </c>
      <c r="I117" s="76">
        <f t="shared" si="19"/>
        <v>2.3190152964693054</v>
      </c>
      <c r="J117" s="76">
        <f t="shared" si="19"/>
        <v>2.3190152964693054</v>
      </c>
      <c r="K117" s="76">
        <f t="shared" si="19"/>
        <v>2.3190152964693054</v>
      </c>
      <c r="L117" s="76">
        <f t="shared" si="19"/>
        <v>2.3190152964693054</v>
      </c>
      <c r="M117" s="76">
        <f t="shared" si="19"/>
        <v>2.3190152964693054</v>
      </c>
      <c r="N117" s="76">
        <f t="shared" si="19"/>
        <v>2.3190152964693054</v>
      </c>
      <c r="O117" s="76">
        <f t="shared" si="19"/>
        <v>2.3190152964693054</v>
      </c>
      <c r="P117" s="76">
        <f t="shared" si="19"/>
        <v>2.3190152964693054</v>
      </c>
    </row>
    <row r="118" spans="1:16">
      <c r="A118" s="84" t="s">
        <v>309</v>
      </c>
      <c r="B118" s="85" t="s">
        <v>308</v>
      </c>
      <c r="C118" s="85" t="s">
        <v>79</v>
      </c>
      <c r="D118" s="84" t="s">
        <v>84</v>
      </c>
      <c r="E118" s="84">
        <f>VLOOKUP(A118,'2a. SI Pop'!$A$5:$E$198,5,FALSE)</f>
        <v>1</v>
      </c>
      <c r="F118" s="76">
        <f>VLOOKUP(E118,Input!$T$5:$U$24,2,FALSE)</f>
        <v>2.3190152964693054</v>
      </c>
      <c r="G118" s="76">
        <f t="shared" ref="G118:P133" si="20">F118</f>
        <v>2.3190152964693054</v>
      </c>
      <c r="H118" s="76">
        <f t="shared" si="20"/>
        <v>2.3190152964693054</v>
      </c>
      <c r="I118" s="76">
        <f t="shared" si="20"/>
        <v>2.3190152964693054</v>
      </c>
      <c r="J118" s="76">
        <f t="shared" si="20"/>
        <v>2.3190152964693054</v>
      </c>
      <c r="K118" s="76">
        <f t="shared" si="20"/>
        <v>2.3190152964693054</v>
      </c>
      <c r="L118" s="76">
        <f t="shared" si="20"/>
        <v>2.3190152964693054</v>
      </c>
      <c r="M118" s="76">
        <f t="shared" si="20"/>
        <v>2.3190152964693054</v>
      </c>
      <c r="N118" s="76">
        <f t="shared" si="20"/>
        <v>2.3190152964693054</v>
      </c>
      <c r="O118" s="76">
        <f t="shared" si="20"/>
        <v>2.3190152964693054</v>
      </c>
      <c r="P118" s="76">
        <f t="shared" si="20"/>
        <v>2.3190152964693054</v>
      </c>
    </row>
    <row r="119" spans="1:16">
      <c r="A119" s="84" t="s">
        <v>311</v>
      </c>
      <c r="B119" s="85" t="s">
        <v>310</v>
      </c>
      <c r="C119" s="85" t="s">
        <v>79</v>
      </c>
      <c r="D119" s="84" t="s">
        <v>87</v>
      </c>
      <c r="E119" s="84">
        <f>VLOOKUP(A119,'2a. SI Pop'!$A$5:$E$198,5,FALSE)</f>
        <v>1</v>
      </c>
      <c r="F119" s="76">
        <f>VLOOKUP(E119,Input!$T$5:$U$24,2,FALSE)</f>
        <v>2.3190152964693054</v>
      </c>
      <c r="G119" s="76">
        <f t="shared" si="20"/>
        <v>2.3190152964693054</v>
      </c>
      <c r="H119" s="76">
        <f t="shared" si="20"/>
        <v>2.3190152964693054</v>
      </c>
      <c r="I119" s="76">
        <f t="shared" si="20"/>
        <v>2.3190152964693054</v>
      </c>
      <c r="J119" s="76">
        <f t="shared" si="20"/>
        <v>2.3190152964693054</v>
      </c>
      <c r="K119" s="76">
        <f t="shared" si="20"/>
        <v>2.3190152964693054</v>
      </c>
      <c r="L119" s="76">
        <f t="shared" si="20"/>
        <v>2.3190152964693054</v>
      </c>
      <c r="M119" s="76">
        <f t="shared" si="20"/>
        <v>2.3190152964693054</v>
      </c>
      <c r="N119" s="76">
        <f t="shared" si="20"/>
        <v>2.3190152964693054</v>
      </c>
      <c r="O119" s="76">
        <f t="shared" si="20"/>
        <v>2.3190152964693054</v>
      </c>
      <c r="P119" s="76">
        <f t="shared" si="20"/>
        <v>2.3190152964693054</v>
      </c>
    </row>
    <row r="120" spans="1:16">
      <c r="A120" s="84" t="s">
        <v>313</v>
      </c>
      <c r="B120" s="85" t="s">
        <v>312</v>
      </c>
      <c r="C120" s="85" t="s">
        <v>99</v>
      </c>
      <c r="D120" s="84" t="s">
        <v>84</v>
      </c>
      <c r="E120" s="84">
        <f>VLOOKUP(A120,'2a. SI Pop'!$A$5:$E$198,5,FALSE)</f>
        <v>2</v>
      </c>
      <c r="F120" s="76">
        <f>VLOOKUP(E120,Input!$T$5:$U$24,2,FALSE)</f>
        <v>1.153734747079966E-2</v>
      </c>
      <c r="G120" s="76">
        <f t="shared" si="20"/>
        <v>1.153734747079966E-2</v>
      </c>
      <c r="H120" s="76">
        <f t="shared" si="20"/>
        <v>1.153734747079966E-2</v>
      </c>
      <c r="I120" s="76">
        <f t="shared" si="20"/>
        <v>1.153734747079966E-2</v>
      </c>
      <c r="J120" s="76">
        <f t="shared" si="20"/>
        <v>1.153734747079966E-2</v>
      </c>
      <c r="K120" s="76">
        <f t="shared" si="20"/>
        <v>1.153734747079966E-2</v>
      </c>
      <c r="L120" s="76">
        <f t="shared" si="20"/>
        <v>1.153734747079966E-2</v>
      </c>
      <c r="M120" s="76">
        <f t="shared" si="20"/>
        <v>1.153734747079966E-2</v>
      </c>
      <c r="N120" s="76">
        <f t="shared" si="20"/>
        <v>1.153734747079966E-2</v>
      </c>
      <c r="O120" s="76">
        <f t="shared" si="20"/>
        <v>1.153734747079966E-2</v>
      </c>
      <c r="P120" s="76">
        <f t="shared" si="20"/>
        <v>1.153734747079966E-2</v>
      </c>
    </row>
    <row r="121" spans="1:16">
      <c r="A121" s="84" t="s">
        <v>315</v>
      </c>
      <c r="B121" s="85" t="s">
        <v>314</v>
      </c>
      <c r="C121" s="85" t="s">
        <v>79</v>
      </c>
      <c r="D121" s="84" t="s">
        <v>80</v>
      </c>
      <c r="E121" s="84">
        <f>VLOOKUP(A121,'2a. SI Pop'!$A$5:$E$198,5,FALSE)</f>
        <v>1</v>
      </c>
      <c r="F121" s="76">
        <f>VLOOKUP(E121,Input!$T$5:$U$24,2,FALSE)</f>
        <v>2.3190152964693054</v>
      </c>
      <c r="G121" s="76">
        <f t="shared" si="20"/>
        <v>2.3190152964693054</v>
      </c>
      <c r="H121" s="76">
        <f t="shared" si="20"/>
        <v>2.3190152964693054</v>
      </c>
      <c r="I121" s="76">
        <f t="shared" si="20"/>
        <v>2.3190152964693054</v>
      </c>
      <c r="J121" s="76">
        <f t="shared" si="20"/>
        <v>2.3190152964693054</v>
      </c>
      <c r="K121" s="76">
        <f t="shared" si="20"/>
        <v>2.3190152964693054</v>
      </c>
      <c r="L121" s="76">
        <f t="shared" si="20"/>
        <v>2.3190152964693054</v>
      </c>
      <c r="M121" s="76">
        <f t="shared" si="20"/>
        <v>2.3190152964693054</v>
      </c>
      <c r="N121" s="76">
        <f t="shared" si="20"/>
        <v>2.3190152964693054</v>
      </c>
      <c r="O121" s="76">
        <f t="shared" si="20"/>
        <v>2.3190152964693054</v>
      </c>
      <c r="P121" s="76">
        <f t="shared" si="20"/>
        <v>2.3190152964693054</v>
      </c>
    </row>
    <row r="122" spans="1:16">
      <c r="A122" s="84" t="s">
        <v>317</v>
      </c>
      <c r="B122" s="85" t="s">
        <v>316</v>
      </c>
      <c r="C122" s="85" t="s">
        <v>74</v>
      </c>
      <c r="D122" s="84" t="s">
        <v>84</v>
      </c>
      <c r="E122" s="84">
        <f>VLOOKUP(A122,'2a. SI Pop'!$A$5:$E$198,5,FALSE)</f>
        <v>3</v>
      </c>
      <c r="F122" s="76">
        <f>VLOOKUP(E122,Input!$T$5:$U$24,2,FALSE)</f>
        <v>0.53368993694944578</v>
      </c>
      <c r="G122" s="76">
        <f t="shared" si="20"/>
        <v>0.53368993694944578</v>
      </c>
      <c r="H122" s="76">
        <f t="shared" si="20"/>
        <v>0.53368993694944578</v>
      </c>
      <c r="I122" s="76">
        <f t="shared" si="20"/>
        <v>0.53368993694944578</v>
      </c>
      <c r="J122" s="76">
        <f t="shared" si="20"/>
        <v>0.53368993694944578</v>
      </c>
      <c r="K122" s="76">
        <f t="shared" si="20"/>
        <v>0.53368993694944578</v>
      </c>
      <c r="L122" s="76">
        <f t="shared" si="20"/>
        <v>0.53368993694944578</v>
      </c>
      <c r="M122" s="76">
        <f t="shared" si="20"/>
        <v>0.53368993694944578</v>
      </c>
      <c r="N122" s="76">
        <f t="shared" si="20"/>
        <v>0.53368993694944578</v>
      </c>
      <c r="O122" s="76">
        <f t="shared" si="20"/>
        <v>0.53368993694944578</v>
      </c>
      <c r="P122" s="76">
        <f t="shared" si="20"/>
        <v>0.53368993694944578</v>
      </c>
    </row>
    <row r="123" spans="1:16">
      <c r="A123" s="84" t="s">
        <v>319</v>
      </c>
      <c r="B123" s="85" t="s">
        <v>318</v>
      </c>
      <c r="C123" s="85" t="s">
        <v>83</v>
      </c>
      <c r="D123" s="84" t="s">
        <v>75</v>
      </c>
      <c r="E123" s="84" t="str">
        <f>VLOOKUP(A123,'2a. SI Pop'!$A$5:$E$198,5,FALSE)</f>
        <v>Key</v>
      </c>
      <c r="F123" s="76">
        <f>VLOOKUP(A123,Input!$T$5:$U$24,2,FALSE)</f>
        <v>0.23703887100767518</v>
      </c>
      <c r="G123" s="76">
        <f t="shared" si="20"/>
        <v>0.23703887100767518</v>
      </c>
      <c r="H123" s="76">
        <f t="shared" si="20"/>
        <v>0.23703887100767518</v>
      </c>
      <c r="I123" s="76">
        <f t="shared" si="20"/>
        <v>0.23703887100767518</v>
      </c>
      <c r="J123" s="76">
        <f t="shared" si="20"/>
        <v>0.23703887100767518</v>
      </c>
      <c r="K123" s="76">
        <f t="shared" si="20"/>
        <v>0.23703887100767518</v>
      </c>
      <c r="L123" s="76">
        <f t="shared" si="20"/>
        <v>0.23703887100767518</v>
      </c>
      <c r="M123" s="76">
        <f t="shared" si="20"/>
        <v>0.23703887100767518</v>
      </c>
      <c r="N123" s="76">
        <f t="shared" si="20"/>
        <v>0.23703887100767518</v>
      </c>
      <c r="O123" s="76">
        <f t="shared" si="20"/>
        <v>0.23703887100767518</v>
      </c>
      <c r="P123" s="76">
        <f t="shared" si="20"/>
        <v>0.23703887100767518</v>
      </c>
    </row>
    <row r="124" spans="1:16">
      <c r="A124" s="84" t="s">
        <v>321</v>
      </c>
      <c r="B124" s="85" t="s">
        <v>320</v>
      </c>
      <c r="C124" s="85" t="s">
        <v>110</v>
      </c>
      <c r="D124" s="84" t="s">
        <v>84</v>
      </c>
      <c r="E124" s="84">
        <f>VLOOKUP(A124,'2a. SI Pop'!$A$5:$E$198,5,FALSE)</f>
        <v>4</v>
      </c>
      <c r="F124" s="76">
        <f>VLOOKUP(E124,Input!$T$5:$U$24,2,FALSE)</f>
        <v>1.7360756259580992</v>
      </c>
      <c r="G124" s="76">
        <f t="shared" si="20"/>
        <v>1.7360756259580992</v>
      </c>
      <c r="H124" s="76">
        <f t="shared" si="20"/>
        <v>1.7360756259580992</v>
      </c>
      <c r="I124" s="76">
        <f t="shared" si="20"/>
        <v>1.7360756259580992</v>
      </c>
      <c r="J124" s="76">
        <f t="shared" si="20"/>
        <v>1.7360756259580992</v>
      </c>
      <c r="K124" s="76">
        <f t="shared" si="20"/>
        <v>1.7360756259580992</v>
      </c>
      <c r="L124" s="76">
        <f t="shared" si="20"/>
        <v>1.7360756259580992</v>
      </c>
      <c r="M124" s="76">
        <f t="shared" si="20"/>
        <v>1.7360756259580992</v>
      </c>
      <c r="N124" s="76">
        <f t="shared" si="20"/>
        <v>1.7360756259580992</v>
      </c>
      <c r="O124" s="76">
        <f t="shared" si="20"/>
        <v>1.7360756259580992</v>
      </c>
      <c r="P124" s="76">
        <f t="shared" si="20"/>
        <v>1.7360756259580992</v>
      </c>
    </row>
    <row r="125" spans="1:16">
      <c r="A125" s="84" t="s">
        <v>323</v>
      </c>
      <c r="B125" s="85" t="s">
        <v>322</v>
      </c>
      <c r="C125" s="85" t="s">
        <v>83</v>
      </c>
      <c r="D125" s="84" t="s">
        <v>80</v>
      </c>
      <c r="E125" s="84">
        <f>VLOOKUP(A125,'2a. SI Pop'!$A$5:$E$198,5,FALSE)</f>
        <v>3</v>
      </c>
      <c r="F125" s="76">
        <f>VLOOKUP(E125,Input!$T$5:$U$24,2,FALSE)</f>
        <v>0.53368993694944578</v>
      </c>
      <c r="G125" s="76">
        <f t="shared" si="20"/>
        <v>0.53368993694944578</v>
      </c>
      <c r="H125" s="76">
        <f t="shared" si="20"/>
        <v>0.53368993694944578</v>
      </c>
      <c r="I125" s="76">
        <f t="shared" si="20"/>
        <v>0.53368993694944578</v>
      </c>
      <c r="J125" s="76">
        <f t="shared" si="20"/>
        <v>0.53368993694944578</v>
      </c>
      <c r="K125" s="76">
        <f t="shared" si="20"/>
        <v>0.53368993694944578</v>
      </c>
      <c r="L125" s="76">
        <f t="shared" si="20"/>
        <v>0.53368993694944578</v>
      </c>
      <c r="M125" s="76">
        <f t="shared" si="20"/>
        <v>0.53368993694944578</v>
      </c>
      <c r="N125" s="76">
        <f t="shared" si="20"/>
        <v>0.53368993694944578</v>
      </c>
      <c r="O125" s="76">
        <f t="shared" si="20"/>
        <v>0.53368993694944578</v>
      </c>
      <c r="P125" s="76">
        <f t="shared" si="20"/>
        <v>0.53368993694944578</v>
      </c>
    </row>
    <row r="126" spans="1:16">
      <c r="A126" s="84" t="s">
        <v>325</v>
      </c>
      <c r="B126" s="85" t="s">
        <v>324</v>
      </c>
      <c r="C126" s="85" t="s">
        <v>99</v>
      </c>
      <c r="D126" s="84" t="s">
        <v>87</v>
      </c>
      <c r="E126" s="84">
        <f>VLOOKUP(A126,'2a. SI Pop'!$A$5:$E$198,5,FALSE)</f>
        <v>1</v>
      </c>
      <c r="F126" s="76">
        <f>VLOOKUP(E126,Input!$T$5:$U$24,2,FALSE)</f>
        <v>2.3190152964693054</v>
      </c>
      <c r="G126" s="76">
        <f t="shared" si="20"/>
        <v>2.3190152964693054</v>
      </c>
      <c r="H126" s="76">
        <f t="shared" si="20"/>
        <v>2.3190152964693054</v>
      </c>
      <c r="I126" s="76">
        <f t="shared" si="20"/>
        <v>2.3190152964693054</v>
      </c>
      <c r="J126" s="76">
        <f t="shared" si="20"/>
        <v>2.3190152964693054</v>
      </c>
      <c r="K126" s="76">
        <f t="shared" si="20"/>
        <v>2.3190152964693054</v>
      </c>
      <c r="L126" s="76">
        <f t="shared" si="20"/>
        <v>2.3190152964693054</v>
      </c>
      <c r="M126" s="76">
        <f t="shared" si="20"/>
        <v>2.3190152964693054</v>
      </c>
      <c r="N126" s="76">
        <f t="shared" si="20"/>
        <v>2.3190152964693054</v>
      </c>
      <c r="O126" s="76">
        <f t="shared" si="20"/>
        <v>2.3190152964693054</v>
      </c>
      <c r="P126" s="76">
        <f t="shared" si="20"/>
        <v>2.3190152964693054</v>
      </c>
    </row>
    <row r="127" spans="1:16">
      <c r="A127" s="84" t="s">
        <v>327</v>
      </c>
      <c r="B127" s="85" t="s">
        <v>326</v>
      </c>
      <c r="C127" s="85" t="s">
        <v>110</v>
      </c>
      <c r="D127" s="84" t="s">
        <v>84</v>
      </c>
      <c r="E127" s="84">
        <f>VLOOKUP(A127,'2a. SI Pop'!$A$5:$E$198,5,FALSE)</f>
        <v>4</v>
      </c>
      <c r="F127" s="76">
        <f>VLOOKUP(E127,Input!$T$5:$U$24,2,FALSE)</f>
        <v>1.7360756259580992</v>
      </c>
      <c r="G127" s="76">
        <f t="shared" si="20"/>
        <v>1.7360756259580992</v>
      </c>
      <c r="H127" s="76">
        <f t="shared" si="20"/>
        <v>1.7360756259580992</v>
      </c>
      <c r="I127" s="76">
        <f t="shared" si="20"/>
        <v>1.7360756259580992</v>
      </c>
      <c r="J127" s="76">
        <f t="shared" si="20"/>
        <v>1.7360756259580992</v>
      </c>
      <c r="K127" s="76">
        <f t="shared" si="20"/>
        <v>1.7360756259580992</v>
      </c>
      <c r="L127" s="76">
        <f t="shared" si="20"/>
        <v>1.7360756259580992</v>
      </c>
      <c r="M127" s="76">
        <f t="shared" si="20"/>
        <v>1.7360756259580992</v>
      </c>
      <c r="N127" s="76">
        <f t="shared" si="20"/>
        <v>1.7360756259580992</v>
      </c>
      <c r="O127" s="76">
        <f t="shared" si="20"/>
        <v>1.7360756259580992</v>
      </c>
      <c r="P127" s="76">
        <f t="shared" si="20"/>
        <v>1.7360756259580992</v>
      </c>
    </row>
    <row r="128" spans="1:16">
      <c r="A128" s="84" t="s">
        <v>329</v>
      </c>
      <c r="B128" s="85" t="s">
        <v>328</v>
      </c>
      <c r="C128" s="85" t="s">
        <v>79</v>
      </c>
      <c r="D128" s="84" t="s">
        <v>87</v>
      </c>
      <c r="E128" s="84">
        <f>VLOOKUP(A128,'2a. SI Pop'!$A$5:$E$198,5,FALSE)</f>
        <v>1</v>
      </c>
      <c r="F128" s="76">
        <f>VLOOKUP(E128,Input!$T$5:$U$24,2,FALSE)</f>
        <v>2.3190152964693054</v>
      </c>
      <c r="G128" s="76">
        <f t="shared" si="20"/>
        <v>2.3190152964693054</v>
      </c>
      <c r="H128" s="76">
        <f t="shared" si="20"/>
        <v>2.3190152964693054</v>
      </c>
      <c r="I128" s="76">
        <f t="shared" si="20"/>
        <v>2.3190152964693054</v>
      </c>
      <c r="J128" s="76">
        <f t="shared" si="20"/>
        <v>2.3190152964693054</v>
      </c>
      <c r="K128" s="76">
        <f t="shared" si="20"/>
        <v>2.3190152964693054</v>
      </c>
      <c r="L128" s="76">
        <f t="shared" si="20"/>
        <v>2.3190152964693054</v>
      </c>
      <c r="M128" s="76">
        <f t="shared" si="20"/>
        <v>2.3190152964693054</v>
      </c>
      <c r="N128" s="76">
        <f t="shared" si="20"/>
        <v>2.3190152964693054</v>
      </c>
      <c r="O128" s="76">
        <f t="shared" si="20"/>
        <v>2.3190152964693054</v>
      </c>
      <c r="P128" s="76">
        <f t="shared" si="20"/>
        <v>2.3190152964693054</v>
      </c>
    </row>
    <row r="129" spans="1:16">
      <c r="A129" s="84" t="s">
        <v>331</v>
      </c>
      <c r="B129" s="85" t="s">
        <v>330</v>
      </c>
      <c r="C129" s="85" t="s">
        <v>99</v>
      </c>
      <c r="D129" s="84" t="s">
        <v>87</v>
      </c>
      <c r="E129" s="84">
        <f>VLOOKUP(A129,'2a. SI Pop'!$A$5:$E$198,5,FALSE)</f>
        <v>1</v>
      </c>
      <c r="F129" s="76">
        <f>VLOOKUP(E129,Input!$T$5:$U$24,2,FALSE)</f>
        <v>2.3190152964693054</v>
      </c>
      <c r="G129" s="76">
        <f t="shared" si="20"/>
        <v>2.3190152964693054</v>
      </c>
      <c r="H129" s="76">
        <f t="shared" si="20"/>
        <v>2.3190152964693054</v>
      </c>
      <c r="I129" s="76">
        <f t="shared" si="20"/>
        <v>2.3190152964693054</v>
      </c>
      <c r="J129" s="76">
        <f t="shared" si="20"/>
        <v>2.3190152964693054</v>
      </c>
      <c r="K129" s="76">
        <f t="shared" si="20"/>
        <v>2.3190152964693054</v>
      </c>
      <c r="L129" s="76">
        <f t="shared" si="20"/>
        <v>2.3190152964693054</v>
      </c>
      <c r="M129" s="76">
        <f t="shared" si="20"/>
        <v>2.3190152964693054</v>
      </c>
      <c r="N129" s="76">
        <f t="shared" si="20"/>
        <v>2.3190152964693054</v>
      </c>
      <c r="O129" s="76">
        <f t="shared" si="20"/>
        <v>2.3190152964693054</v>
      </c>
      <c r="P129" s="76">
        <f t="shared" si="20"/>
        <v>2.3190152964693054</v>
      </c>
    </row>
    <row r="130" spans="1:16">
      <c r="A130" s="84" t="s">
        <v>333</v>
      </c>
      <c r="B130" s="85" t="s">
        <v>332</v>
      </c>
      <c r="C130" s="85" t="s">
        <v>92</v>
      </c>
      <c r="D130" s="84" t="s">
        <v>84</v>
      </c>
      <c r="E130" s="84">
        <f>VLOOKUP(A130,'2a. SI Pop'!$A$5:$E$198,5,FALSE)</f>
        <v>2</v>
      </c>
      <c r="F130" s="76">
        <f>VLOOKUP(E130,Input!$T$5:$U$24,2,FALSE)</f>
        <v>1.153734747079966E-2</v>
      </c>
      <c r="G130" s="76">
        <f t="shared" si="20"/>
        <v>1.153734747079966E-2</v>
      </c>
      <c r="H130" s="76">
        <f t="shared" si="20"/>
        <v>1.153734747079966E-2</v>
      </c>
      <c r="I130" s="76">
        <f t="shared" si="20"/>
        <v>1.153734747079966E-2</v>
      </c>
      <c r="J130" s="76">
        <f t="shared" si="20"/>
        <v>1.153734747079966E-2</v>
      </c>
      <c r="K130" s="76">
        <f t="shared" si="20"/>
        <v>1.153734747079966E-2</v>
      </c>
      <c r="L130" s="76">
        <f t="shared" si="20"/>
        <v>1.153734747079966E-2</v>
      </c>
      <c r="M130" s="76">
        <f t="shared" si="20"/>
        <v>1.153734747079966E-2</v>
      </c>
      <c r="N130" s="76">
        <f t="shared" si="20"/>
        <v>1.153734747079966E-2</v>
      </c>
      <c r="O130" s="76">
        <f t="shared" si="20"/>
        <v>1.153734747079966E-2</v>
      </c>
      <c r="P130" s="76">
        <f t="shared" si="20"/>
        <v>1.153734747079966E-2</v>
      </c>
    </row>
    <row r="131" spans="1:16">
      <c r="A131" s="84" t="s">
        <v>335</v>
      </c>
      <c r="B131" s="85" t="s">
        <v>334</v>
      </c>
      <c r="C131" s="85" t="s">
        <v>83</v>
      </c>
      <c r="D131" s="84" t="s">
        <v>75</v>
      </c>
      <c r="E131" s="84">
        <f>VLOOKUP(A131,'2a. SI Pop'!$A$5:$E$198,5,FALSE)</f>
        <v>3</v>
      </c>
      <c r="F131" s="76">
        <f>VLOOKUP(E131,Input!$T$5:$U$24,2,FALSE)</f>
        <v>0.53368993694944578</v>
      </c>
      <c r="G131" s="76">
        <f t="shared" si="20"/>
        <v>0.53368993694944578</v>
      </c>
      <c r="H131" s="76">
        <f t="shared" si="20"/>
        <v>0.53368993694944578</v>
      </c>
      <c r="I131" s="76">
        <f t="shared" si="20"/>
        <v>0.53368993694944578</v>
      </c>
      <c r="J131" s="76">
        <f t="shared" si="20"/>
        <v>0.53368993694944578</v>
      </c>
      <c r="K131" s="76">
        <f t="shared" si="20"/>
        <v>0.53368993694944578</v>
      </c>
      <c r="L131" s="76">
        <f t="shared" si="20"/>
        <v>0.53368993694944578</v>
      </c>
      <c r="M131" s="76">
        <f t="shared" si="20"/>
        <v>0.53368993694944578</v>
      </c>
      <c r="N131" s="76">
        <f t="shared" si="20"/>
        <v>0.53368993694944578</v>
      </c>
      <c r="O131" s="76">
        <f t="shared" si="20"/>
        <v>0.53368993694944578</v>
      </c>
      <c r="P131" s="76">
        <f t="shared" si="20"/>
        <v>0.53368993694944578</v>
      </c>
    </row>
    <row r="132" spans="1:16">
      <c r="A132" s="84" t="s">
        <v>337</v>
      </c>
      <c r="B132" s="85" t="s">
        <v>336</v>
      </c>
      <c r="C132" s="85" t="s">
        <v>83</v>
      </c>
      <c r="D132" s="84" t="s">
        <v>84</v>
      </c>
      <c r="E132" s="84" t="str">
        <f>VLOOKUP(A132,'2a. SI Pop'!$A$5:$E$198,5,FALSE)</f>
        <v>Key</v>
      </c>
      <c r="F132" s="76">
        <f>VLOOKUP(A132,Input!$T$5:$U$24,2,FALSE)</f>
        <v>0.50418443554497239</v>
      </c>
      <c r="G132" s="76">
        <f t="shared" si="20"/>
        <v>0.50418443554497239</v>
      </c>
      <c r="H132" s="76">
        <f t="shared" si="20"/>
        <v>0.50418443554497239</v>
      </c>
      <c r="I132" s="76">
        <f t="shared" si="20"/>
        <v>0.50418443554497239</v>
      </c>
      <c r="J132" s="76">
        <f t="shared" si="20"/>
        <v>0.50418443554497239</v>
      </c>
      <c r="K132" s="76">
        <f t="shared" si="20"/>
        <v>0.50418443554497239</v>
      </c>
      <c r="L132" s="76">
        <f t="shared" si="20"/>
        <v>0.50418443554497239</v>
      </c>
      <c r="M132" s="76">
        <f t="shared" si="20"/>
        <v>0.50418443554497239</v>
      </c>
      <c r="N132" s="76">
        <f t="shared" si="20"/>
        <v>0.50418443554497239</v>
      </c>
      <c r="O132" s="76">
        <f t="shared" si="20"/>
        <v>0.50418443554497239</v>
      </c>
      <c r="P132" s="76">
        <f t="shared" si="20"/>
        <v>0.50418443554497239</v>
      </c>
    </row>
    <row r="133" spans="1:16">
      <c r="A133" s="84" t="s">
        <v>339</v>
      </c>
      <c r="B133" s="85" t="s">
        <v>338</v>
      </c>
      <c r="C133" s="85" t="s">
        <v>99</v>
      </c>
      <c r="D133" s="84" t="e">
        <v>#N/A</v>
      </c>
      <c r="E133" s="84">
        <f>VLOOKUP(A133,'2a. SI Pop'!$A$5:$E$198,5,FALSE)</f>
        <v>1</v>
      </c>
      <c r="F133" s="76">
        <f>VLOOKUP(E133,Input!$T$5:$U$24,2,FALSE)</f>
        <v>2.3190152964693054</v>
      </c>
      <c r="G133" s="76">
        <f t="shared" si="20"/>
        <v>2.3190152964693054</v>
      </c>
      <c r="H133" s="76">
        <f t="shared" si="20"/>
        <v>2.3190152964693054</v>
      </c>
      <c r="I133" s="76">
        <f t="shared" si="20"/>
        <v>2.3190152964693054</v>
      </c>
      <c r="J133" s="76">
        <f t="shared" si="20"/>
        <v>2.3190152964693054</v>
      </c>
      <c r="K133" s="76">
        <f t="shared" si="20"/>
        <v>2.3190152964693054</v>
      </c>
      <c r="L133" s="76">
        <f t="shared" si="20"/>
        <v>2.3190152964693054</v>
      </c>
      <c r="M133" s="76">
        <f t="shared" si="20"/>
        <v>2.3190152964693054</v>
      </c>
      <c r="N133" s="76">
        <f t="shared" si="20"/>
        <v>2.3190152964693054</v>
      </c>
      <c r="O133" s="76">
        <f t="shared" si="20"/>
        <v>2.3190152964693054</v>
      </c>
      <c r="P133" s="76">
        <f t="shared" si="20"/>
        <v>2.3190152964693054</v>
      </c>
    </row>
    <row r="134" spans="1:16">
      <c r="A134" s="84" t="s">
        <v>341</v>
      </c>
      <c r="B134" s="85" t="s">
        <v>340</v>
      </c>
      <c r="C134" s="85" t="s">
        <v>79</v>
      </c>
      <c r="D134" s="84" t="s">
        <v>87</v>
      </c>
      <c r="E134" s="84">
        <f>VLOOKUP(A134,'2a. SI Pop'!$A$5:$E$198,5,FALSE)</f>
        <v>1</v>
      </c>
      <c r="F134" s="76">
        <f>VLOOKUP(E134,Input!$T$5:$U$24,2,FALSE)</f>
        <v>2.3190152964693054</v>
      </c>
      <c r="G134" s="76">
        <f t="shared" ref="G134:P149" si="21">F134</f>
        <v>2.3190152964693054</v>
      </c>
      <c r="H134" s="76">
        <f t="shared" si="21"/>
        <v>2.3190152964693054</v>
      </c>
      <c r="I134" s="76">
        <f t="shared" si="21"/>
        <v>2.3190152964693054</v>
      </c>
      <c r="J134" s="76">
        <f t="shared" si="21"/>
        <v>2.3190152964693054</v>
      </c>
      <c r="K134" s="76">
        <f t="shared" si="21"/>
        <v>2.3190152964693054</v>
      </c>
      <c r="L134" s="76">
        <f t="shared" si="21"/>
        <v>2.3190152964693054</v>
      </c>
      <c r="M134" s="76">
        <f t="shared" si="21"/>
        <v>2.3190152964693054</v>
      </c>
      <c r="N134" s="76">
        <f t="shared" si="21"/>
        <v>2.3190152964693054</v>
      </c>
      <c r="O134" s="76">
        <f t="shared" si="21"/>
        <v>2.3190152964693054</v>
      </c>
      <c r="P134" s="76">
        <f t="shared" si="21"/>
        <v>2.3190152964693054</v>
      </c>
    </row>
    <row r="135" spans="1:16">
      <c r="A135" s="84" t="s">
        <v>343</v>
      </c>
      <c r="B135" s="85" t="s">
        <v>342</v>
      </c>
      <c r="C135" s="85" t="s">
        <v>74</v>
      </c>
      <c r="D135" s="84" t="s">
        <v>87</v>
      </c>
      <c r="E135" s="84">
        <f>VLOOKUP(A135,'2a. SI Pop'!$A$5:$E$198,5,FALSE)</f>
        <v>1</v>
      </c>
      <c r="F135" s="76">
        <f>VLOOKUP(E135,Input!$T$5:$U$24,2,FALSE)</f>
        <v>2.3190152964693054</v>
      </c>
      <c r="G135" s="76">
        <f t="shared" si="21"/>
        <v>2.3190152964693054</v>
      </c>
      <c r="H135" s="76">
        <f t="shared" si="21"/>
        <v>2.3190152964693054</v>
      </c>
      <c r="I135" s="76">
        <f t="shared" si="21"/>
        <v>2.3190152964693054</v>
      </c>
      <c r="J135" s="76">
        <f t="shared" si="21"/>
        <v>2.3190152964693054</v>
      </c>
      <c r="K135" s="76">
        <f t="shared" si="21"/>
        <v>2.3190152964693054</v>
      </c>
      <c r="L135" s="76">
        <f t="shared" si="21"/>
        <v>2.3190152964693054</v>
      </c>
      <c r="M135" s="76">
        <f t="shared" si="21"/>
        <v>2.3190152964693054</v>
      </c>
      <c r="N135" s="76">
        <f t="shared" si="21"/>
        <v>2.3190152964693054</v>
      </c>
      <c r="O135" s="76">
        <f t="shared" si="21"/>
        <v>2.3190152964693054</v>
      </c>
      <c r="P135" s="76">
        <f t="shared" si="21"/>
        <v>2.3190152964693054</v>
      </c>
    </row>
    <row r="136" spans="1:16">
      <c r="A136" s="84" t="s">
        <v>345</v>
      </c>
      <c r="B136" s="85" t="s">
        <v>344</v>
      </c>
      <c r="C136" s="85" t="s">
        <v>74</v>
      </c>
      <c r="D136" s="84" t="s">
        <v>84</v>
      </c>
      <c r="E136" s="84" t="str">
        <f>VLOOKUP(A136,'2a. SI Pop'!$A$5:$E$198,5,FALSE)</f>
        <v>Key</v>
      </c>
      <c r="F136" s="76">
        <f>VLOOKUP(A136,Input!$T$5:$U$24,2,FALSE)</f>
        <v>0.50418443554497239</v>
      </c>
      <c r="G136" s="76">
        <f t="shared" si="21"/>
        <v>0.50418443554497239</v>
      </c>
      <c r="H136" s="76">
        <f t="shared" si="21"/>
        <v>0.50418443554497239</v>
      </c>
      <c r="I136" s="76">
        <f t="shared" si="21"/>
        <v>0.50418443554497239</v>
      </c>
      <c r="J136" s="76">
        <f t="shared" si="21"/>
        <v>0.50418443554497239</v>
      </c>
      <c r="K136" s="76">
        <f t="shared" si="21"/>
        <v>0.50418443554497239</v>
      </c>
      <c r="L136" s="76">
        <f t="shared" si="21"/>
        <v>0.50418443554497239</v>
      </c>
      <c r="M136" s="76">
        <f t="shared" si="21"/>
        <v>0.50418443554497239</v>
      </c>
      <c r="N136" s="76">
        <f t="shared" si="21"/>
        <v>0.50418443554497239</v>
      </c>
      <c r="O136" s="76">
        <f t="shared" si="21"/>
        <v>0.50418443554497239</v>
      </c>
      <c r="P136" s="76">
        <f t="shared" si="21"/>
        <v>0.50418443554497239</v>
      </c>
    </row>
    <row r="137" spans="1:16">
      <c r="A137" s="84" t="s">
        <v>347</v>
      </c>
      <c r="B137" s="85" t="s">
        <v>346</v>
      </c>
      <c r="C137" s="85" t="s">
        <v>99</v>
      </c>
      <c r="D137" s="84" t="s">
        <v>87</v>
      </c>
      <c r="E137" s="84">
        <f>VLOOKUP(A137,'2a. SI Pop'!$A$5:$E$198,5,FALSE)</f>
        <v>1</v>
      </c>
      <c r="F137" s="76">
        <f>VLOOKUP(E137,Input!$T$5:$U$24,2,FALSE)</f>
        <v>2.3190152964693054</v>
      </c>
      <c r="G137" s="76">
        <f t="shared" si="21"/>
        <v>2.3190152964693054</v>
      </c>
      <c r="H137" s="76">
        <f t="shared" si="21"/>
        <v>2.3190152964693054</v>
      </c>
      <c r="I137" s="76">
        <f t="shared" si="21"/>
        <v>2.3190152964693054</v>
      </c>
      <c r="J137" s="76">
        <f t="shared" si="21"/>
        <v>2.3190152964693054</v>
      </c>
      <c r="K137" s="76">
        <f t="shared" si="21"/>
        <v>2.3190152964693054</v>
      </c>
      <c r="L137" s="76">
        <f t="shared" si="21"/>
        <v>2.3190152964693054</v>
      </c>
      <c r="M137" s="76">
        <f t="shared" si="21"/>
        <v>2.3190152964693054</v>
      </c>
      <c r="N137" s="76">
        <f t="shared" si="21"/>
        <v>2.3190152964693054</v>
      </c>
      <c r="O137" s="76">
        <f t="shared" si="21"/>
        <v>2.3190152964693054</v>
      </c>
      <c r="P137" s="76">
        <f t="shared" si="21"/>
        <v>2.3190152964693054</v>
      </c>
    </row>
    <row r="138" spans="1:16">
      <c r="A138" s="84" t="s">
        <v>349</v>
      </c>
      <c r="B138" s="85" t="s">
        <v>348</v>
      </c>
      <c r="C138" s="85" t="s">
        <v>92</v>
      </c>
      <c r="D138" s="84" t="s">
        <v>87</v>
      </c>
      <c r="E138" s="84">
        <f>VLOOKUP(A138,'2a. SI Pop'!$A$5:$E$198,5,FALSE)</f>
        <v>1</v>
      </c>
      <c r="F138" s="76">
        <f>VLOOKUP(E138,Input!$T$5:$U$24,2,FALSE)</f>
        <v>2.3190152964693054</v>
      </c>
      <c r="G138" s="76">
        <f t="shared" si="21"/>
        <v>2.3190152964693054</v>
      </c>
      <c r="H138" s="76">
        <f t="shared" si="21"/>
        <v>2.3190152964693054</v>
      </c>
      <c r="I138" s="76">
        <f t="shared" si="21"/>
        <v>2.3190152964693054</v>
      </c>
      <c r="J138" s="76">
        <f t="shared" si="21"/>
        <v>2.3190152964693054</v>
      </c>
      <c r="K138" s="76">
        <f t="shared" si="21"/>
        <v>2.3190152964693054</v>
      </c>
      <c r="L138" s="76">
        <f t="shared" si="21"/>
        <v>2.3190152964693054</v>
      </c>
      <c r="M138" s="76">
        <f t="shared" si="21"/>
        <v>2.3190152964693054</v>
      </c>
      <c r="N138" s="76">
        <f t="shared" si="21"/>
        <v>2.3190152964693054</v>
      </c>
      <c r="O138" s="76">
        <f t="shared" si="21"/>
        <v>2.3190152964693054</v>
      </c>
      <c r="P138" s="76">
        <f t="shared" si="21"/>
        <v>2.3190152964693054</v>
      </c>
    </row>
    <row r="139" spans="1:16">
      <c r="A139" s="84" t="s">
        <v>351</v>
      </c>
      <c r="B139" s="85" t="s">
        <v>350</v>
      </c>
      <c r="C139" s="85" t="s">
        <v>99</v>
      </c>
      <c r="D139" s="84" t="s">
        <v>84</v>
      </c>
      <c r="E139" s="84">
        <f>VLOOKUP(A139,'2a. SI Pop'!$A$5:$E$198,5,FALSE)</f>
        <v>4</v>
      </c>
      <c r="F139" s="76">
        <f>VLOOKUP(E139,Input!$T$5:$U$24,2,FALSE)</f>
        <v>1.7360756259580992</v>
      </c>
      <c r="G139" s="76">
        <f t="shared" si="21"/>
        <v>1.7360756259580992</v>
      </c>
      <c r="H139" s="76">
        <f t="shared" si="21"/>
        <v>1.7360756259580992</v>
      </c>
      <c r="I139" s="76">
        <f t="shared" si="21"/>
        <v>1.7360756259580992</v>
      </c>
      <c r="J139" s="76">
        <f t="shared" si="21"/>
        <v>1.7360756259580992</v>
      </c>
      <c r="K139" s="76">
        <f t="shared" si="21"/>
        <v>1.7360756259580992</v>
      </c>
      <c r="L139" s="76">
        <f t="shared" si="21"/>
        <v>1.7360756259580992</v>
      </c>
      <c r="M139" s="76">
        <f t="shared" si="21"/>
        <v>1.7360756259580992</v>
      </c>
      <c r="N139" s="76">
        <f t="shared" si="21"/>
        <v>1.7360756259580992</v>
      </c>
      <c r="O139" s="76">
        <f t="shared" si="21"/>
        <v>1.7360756259580992</v>
      </c>
      <c r="P139" s="76">
        <f t="shared" si="21"/>
        <v>1.7360756259580992</v>
      </c>
    </row>
    <row r="140" spans="1:16">
      <c r="A140" s="84" t="s">
        <v>353</v>
      </c>
      <c r="B140" s="85" t="s">
        <v>352</v>
      </c>
      <c r="C140" s="85" t="s">
        <v>92</v>
      </c>
      <c r="D140" s="84" t="s">
        <v>80</v>
      </c>
      <c r="E140" s="84">
        <f>VLOOKUP(A140,'2a. SI Pop'!$A$5:$E$198,5,FALSE)</f>
        <v>1</v>
      </c>
      <c r="F140" s="76">
        <f>VLOOKUP(E140,Input!$T$5:$U$24,2,FALSE)</f>
        <v>2.3190152964693054</v>
      </c>
      <c r="G140" s="76">
        <f t="shared" si="21"/>
        <v>2.3190152964693054</v>
      </c>
      <c r="H140" s="76">
        <f t="shared" si="21"/>
        <v>2.3190152964693054</v>
      </c>
      <c r="I140" s="76">
        <f t="shared" si="21"/>
        <v>2.3190152964693054</v>
      </c>
      <c r="J140" s="76">
        <f t="shared" si="21"/>
        <v>2.3190152964693054</v>
      </c>
      <c r="K140" s="76">
        <f t="shared" si="21"/>
        <v>2.3190152964693054</v>
      </c>
      <c r="L140" s="76">
        <f t="shared" si="21"/>
        <v>2.3190152964693054</v>
      </c>
      <c r="M140" s="76">
        <f t="shared" si="21"/>
        <v>2.3190152964693054</v>
      </c>
      <c r="N140" s="76">
        <f t="shared" si="21"/>
        <v>2.3190152964693054</v>
      </c>
      <c r="O140" s="76">
        <f t="shared" si="21"/>
        <v>2.3190152964693054</v>
      </c>
      <c r="P140" s="76">
        <f t="shared" si="21"/>
        <v>2.3190152964693054</v>
      </c>
    </row>
    <row r="141" spans="1:16">
      <c r="A141" s="84" t="s">
        <v>355</v>
      </c>
      <c r="B141" s="85" t="s">
        <v>354</v>
      </c>
      <c r="C141" s="85" t="s">
        <v>92</v>
      </c>
      <c r="D141" s="84" t="s">
        <v>80</v>
      </c>
      <c r="E141" s="84">
        <f>VLOOKUP(A141,'2a. SI Pop'!$A$5:$E$198,5,FALSE)</f>
        <v>2</v>
      </c>
      <c r="F141" s="76">
        <f>VLOOKUP(E141,Input!$T$5:$U$24,2,FALSE)</f>
        <v>1.153734747079966E-2</v>
      </c>
      <c r="G141" s="76">
        <f t="shared" si="21"/>
        <v>1.153734747079966E-2</v>
      </c>
      <c r="H141" s="76">
        <f t="shared" si="21"/>
        <v>1.153734747079966E-2</v>
      </c>
      <c r="I141" s="76">
        <f t="shared" si="21"/>
        <v>1.153734747079966E-2</v>
      </c>
      <c r="J141" s="76">
        <f t="shared" si="21"/>
        <v>1.153734747079966E-2</v>
      </c>
      <c r="K141" s="76">
        <f t="shared" si="21"/>
        <v>1.153734747079966E-2</v>
      </c>
      <c r="L141" s="76">
        <f t="shared" si="21"/>
        <v>1.153734747079966E-2</v>
      </c>
      <c r="M141" s="76">
        <f t="shared" si="21"/>
        <v>1.153734747079966E-2</v>
      </c>
      <c r="N141" s="76">
        <f t="shared" si="21"/>
        <v>1.153734747079966E-2</v>
      </c>
      <c r="O141" s="76">
        <f t="shared" si="21"/>
        <v>1.153734747079966E-2</v>
      </c>
      <c r="P141" s="76">
        <f t="shared" si="21"/>
        <v>1.153734747079966E-2</v>
      </c>
    </row>
    <row r="142" spans="1:16">
      <c r="A142" s="84" t="s">
        <v>357</v>
      </c>
      <c r="B142" s="85" t="s">
        <v>356</v>
      </c>
      <c r="C142" s="85" t="s">
        <v>99</v>
      </c>
      <c r="D142" s="84" t="s">
        <v>84</v>
      </c>
      <c r="E142" s="84" t="str">
        <f>VLOOKUP(A142,'2a. SI Pop'!$A$5:$E$198,5,FALSE)</f>
        <v>Key</v>
      </c>
      <c r="F142" s="76">
        <f>VLOOKUP(A142,Input!$T$5:$U$24,2,FALSE)</f>
        <v>1.7360756259580992</v>
      </c>
      <c r="G142" s="76">
        <f t="shared" si="21"/>
        <v>1.7360756259580992</v>
      </c>
      <c r="H142" s="76">
        <f t="shared" si="21"/>
        <v>1.7360756259580992</v>
      </c>
      <c r="I142" s="76">
        <f t="shared" si="21"/>
        <v>1.7360756259580992</v>
      </c>
      <c r="J142" s="76">
        <f t="shared" si="21"/>
        <v>1.7360756259580992</v>
      </c>
      <c r="K142" s="76">
        <f t="shared" si="21"/>
        <v>1.7360756259580992</v>
      </c>
      <c r="L142" s="76">
        <f t="shared" si="21"/>
        <v>1.7360756259580992</v>
      </c>
      <c r="M142" s="76">
        <f t="shared" si="21"/>
        <v>1.7360756259580992</v>
      </c>
      <c r="N142" s="76">
        <f t="shared" si="21"/>
        <v>1.7360756259580992</v>
      </c>
      <c r="O142" s="76">
        <f t="shared" si="21"/>
        <v>1.7360756259580992</v>
      </c>
      <c r="P142" s="76">
        <f t="shared" si="21"/>
        <v>1.7360756259580992</v>
      </c>
    </row>
    <row r="143" spans="1:16">
      <c r="A143" s="84" t="s">
        <v>359</v>
      </c>
      <c r="B143" s="85" t="s">
        <v>358</v>
      </c>
      <c r="C143" s="85" t="s">
        <v>79</v>
      </c>
      <c r="D143" s="84" t="s">
        <v>87</v>
      </c>
      <c r="E143" s="84">
        <f>VLOOKUP(A143,'2a. SI Pop'!$A$5:$E$198,5,FALSE)</f>
        <v>1</v>
      </c>
      <c r="F143" s="76">
        <f>VLOOKUP(E143,Input!$T$5:$U$24,2,FALSE)</f>
        <v>2.3190152964693054</v>
      </c>
      <c r="G143" s="76">
        <f t="shared" si="21"/>
        <v>2.3190152964693054</v>
      </c>
      <c r="H143" s="76">
        <f t="shared" si="21"/>
        <v>2.3190152964693054</v>
      </c>
      <c r="I143" s="76">
        <f t="shared" si="21"/>
        <v>2.3190152964693054</v>
      </c>
      <c r="J143" s="76">
        <f t="shared" si="21"/>
        <v>2.3190152964693054</v>
      </c>
      <c r="K143" s="76">
        <f t="shared" si="21"/>
        <v>2.3190152964693054</v>
      </c>
      <c r="L143" s="76">
        <f t="shared" si="21"/>
        <v>2.3190152964693054</v>
      </c>
      <c r="M143" s="76">
        <f t="shared" si="21"/>
        <v>2.3190152964693054</v>
      </c>
      <c r="N143" s="76">
        <f t="shared" si="21"/>
        <v>2.3190152964693054</v>
      </c>
      <c r="O143" s="76">
        <f t="shared" si="21"/>
        <v>2.3190152964693054</v>
      </c>
      <c r="P143" s="76">
        <f t="shared" si="21"/>
        <v>2.3190152964693054</v>
      </c>
    </row>
    <row r="144" spans="1:16">
      <c r="A144" s="84" t="s">
        <v>361</v>
      </c>
      <c r="B144" s="85" t="s">
        <v>360</v>
      </c>
      <c r="C144" s="85" t="s">
        <v>79</v>
      </c>
      <c r="D144" s="84" t="s">
        <v>87</v>
      </c>
      <c r="E144" s="84">
        <f>VLOOKUP(A144,'2a. SI Pop'!$A$5:$E$198,5,FALSE)</f>
        <v>1</v>
      </c>
      <c r="F144" s="76">
        <f>VLOOKUP(E144,Input!$T$5:$U$24,2,FALSE)</f>
        <v>2.3190152964693054</v>
      </c>
      <c r="G144" s="76">
        <f t="shared" si="21"/>
        <v>2.3190152964693054</v>
      </c>
      <c r="H144" s="76">
        <f t="shared" si="21"/>
        <v>2.3190152964693054</v>
      </c>
      <c r="I144" s="76">
        <f t="shared" si="21"/>
        <v>2.3190152964693054</v>
      </c>
      <c r="J144" s="76">
        <f t="shared" si="21"/>
        <v>2.3190152964693054</v>
      </c>
      <c r="K144" s="76">
        <f t="shared" si="21"/>
        <v>2.3190152964693054</v>
      </c>
      <c r="L144" s="76">
        <f t="shared" si="21"/>
        <v>2.3190152964693054</v>
      </c>
      <c r="M144" s="76">
        <f t="shared" si="21"/>
        <v>2.3190152964693054</v>
      </c>
      <c r="N144" s="76">
        <f t="shared" si="21"/>
        <v>2.3190152964693054</v>
      </c>
      <c r="O144" s="76">
        <f t="shared" si="21"/>
        <v>2.3190152964693054</v>
      </c>
      <c r="P144" s="76">
        <f t="shared" si="21"/>
        <v>2.3190152964693054</v>
      </c>
    </row>
    <row r="145" spans="1:16">
      <c r="A145" s="84" t="s">
        <v>363</v>
      </c>
      <c r="B145" s="85" t="s">
        <v>362</v>
      </c>
      <c r="C145" s="85" t="s">
        <v>74</v>
      </c>
      <c r="D145" s="84" t="s">
        <v>87</v>
      </c>
      <c r="E145" s="84">
        <f>VLOOKUP(A145,'2a. SI Pop'!$A$5:$E$198,5,FALSE)</f>
        <v>1</v>
      </c>
      <c r="F145" s="76">
        <f>VLOOKUP(E145,Input!$T$5:$U$24,2,FALSE)</f>
        <v>2.3190152964693054</v>
      </c>
      <c r="G145" s="76">
        <f t="shared" si="21"/>
        <v>2.3190152964693054</v>
      </c>
      <c r="H145" s="76">
        <f t="shared" si="21"/>
        <v>2.3190152964693054</v>
      </c>
      <c r="I145" s="76">
        <f t="shared" si="21"/>
        <v>2.3190152964693054</v>
      </c>
      <c r="J145" s="76">
        <f t="shared" si="21"/>
        <v>2.3190152964693054</v>
      </c>
      <c r="K145" s="76">
        <f t="shared" si="21"/>
        <v>2.3190152964693054</v>
      </c>
      <c r="L145" s="76">
        <f t="shared" si="21"/>
        <v>2.3190152964693054</v>
      </c>
      <c r="M145" s="76">
        <f t="shared" si="21"/>
        <v>2.3190152964693054</v>
      </c>
      <c r="N145" s="76">
        <f t="shared" si="21"/>
        <v>2.3190152964693054</v>
      </c>
      <c r="O145" s="76">
        <f t="shared" si="21"/>
        <v>2.3190152964693054</v>
      </c>
      <c r="P145" s="76">
        <f t="shared" si="21"/>
        <v>2.3190152964693054</v>
      </c>
    </row>
    <row r="146" spans="1:16">
      <c r="A146" s="84" t="s">
        <v>365</v>
      </c>
      <c r="B146" s="85" t="s">
        <v>364</v>
      </c>
      <c r="C146" s="85" t="s">
        <v>79</v>
      </c>
      <c r="D146" s="84" t="s">
        <v>87</v>
      </c>
      <c r="E146" s="84">
        <f>VLOOKUP(A146,'2a. SI Pop'!$A$5:$E$198,5,FALSE)</f>
        <v>2</v>
      </c>
      <c r="F146" s="76">
        <f>VLOOKUP(E146,Input!$T$5:$U$24,2,FALSE)</f>
        <v>1.153734747079966E-2</v>
      </c>
      <c r="G146" s="76">
        <f t="shared" si="21"/>
        <v>1.153734747079966E-2</v>
      </c>
      <c r="H146" s="76">
        <f t="shared" si="21"/>
        <v>1.153734747079966E-2</v>
      </c>
      <c r="I146" s="76">
        <f t="shared" si="21"/>
        <v>1.153734747079966E-2</v>
      </c>
      <c r="J146" s="76">
        <f t="shared" si="21"/>
        <v>1.153734747079966E-2</v>
      </c>
      <c r="K146" s="76">
        <f t="shared" si="21"/>
        <v>1.153734747079966E-2</v>
      </c>
      <c r="L146" s="76">
        <f t="shared" si="21"/>
        <v>1.153734747079966E-2</v>
      </c>
      <c r="M146" s="76">
        <f t="shared" si="21"/>
        <v>1.153734747079966E-2</v>
      </c>
      <c r="N146" s="76">
        <f t="shared" si="21"/>
        <v>1.153734747079966E-2</v>
      </c>
      <c r="O146" s="76">
        <f t="shared" si="21"/>
        <v>1.153734747079966E-2</v>
      </c>
      <c r="P146" s="76">
        <f t="shared" si="21"/>
        <v>1.153734747079966E-2</v>
      </c>
    </row>
    <row r="147" spans="1:16">
      <c r="A147" s="84" t="s">
        <v>367</v>
      </c>
      <c r="B147" s="85" t="s">
        <v>366</v>
      </c>
      <c r="C147" s="85" t="s">
        <v>79</v>
      </c>
      <c r="D147" s="84" t="s">
        <v>80</v>
      </c>
      <c r="E147" s="84">
        <f>VLOOKUP(A147,'2a. SI Pop'!$A$5:$E$198,5,FALSE)</f>
        <v>2</v>
      </c>
      <c r="F147" s="76">
        <f>VLOOKUP(E147,Input!$T$5:$U$24,2,FALSE)</f>
        <v>1.153734747079966E-2</v>
      </c>
      <c r="G147" s="76">
        <f t="shared" si="21"/>
        <v>1.153734747079966E-2</v>
      </c>
      <c r="H147" s="76">
        <f t="shared" si="21"/>
        <v>1.153734747079966E-2</v>
      </c>
      <c r="I147" s="76">
        <f t="shared" si="21"/>
        <v>1.153734747079966E-2</v>
      </c>
      <c r="J147" s="76">
        <f t="shared" si="21"/>
        <v>1.153734747079966E-2</v>
      </c>
      <c r="K147" s="76">
        <f t="shared" si="21"/>
        <v>1.153734747079966E-2</v>
      </c>
      <c r="L147" s="76">
        <f t="shared" si="21"/>
        <v>1.153734747079966E-2</v>
      </c>
      <c r="M147" s="76">
        <f t="shared" si="21"/>
        <v>1.153734747079966E-2</v>
      </c>
      <c r="N147" s="76">
        <f t="shared" si="21"/>
        <v>1.153734747079966E-2</v>
      </c>
      <c r="O147" s="76">
        <f t="shared" si="21"/>
        <v>1.153734747079966E-2</v>
      </c>
      <c r="P147" s="76">
        <f t="shared" si="21"/>
        <v>1.153734747079966E-2</v>
      </c>
    </row>
    <row r="148" spans="1:16">
      <c r="A148" s="84" t="s">
        <v>369</v>
      </c>
      <c r="B148" s="85" t="s">
        <v>368</v>
      </c>
      <c r="C148" s="85" t="s">
        <v>83</v>
      </c>
      <c r="D148" s="84" t="s">
        <v>75</v>
      </c>
      <c r="E148" s="84">
        <f>VLOOKUP(A148,'2a. SI Pop'!$A$5:$E$198,5,FALSE)</f>
        <v>3</v>
      </c>
      <c r="F148" s="76">
        <f>VLOOKUP(E148,Input!$T$5:$U$24,2,FALSE)</f>
        <v>0.53368993694944578</v>
      </c>
      <c r="G148" s="76">
        <f t="shared" si="21"/>
        <v>0.53368993694944578</v>
      </c>
      <c r="H148" s="76">
        <f t="shared" si="21"/>
        <v>0.53368993694944578</v>
      </c>
      <c r="I148" s="76">
        <f t="shared" si="21"/>
        <v>0.53368993694944578</v>
      </c>
      <c r="J148" s="76">
        <f t="shared" si="21"/>
        <v>0.53368993694944578</v>
      </c>
      <c r="K148" s="76">
        <f t="shared" si="21"/>
        <v>0.53368993694944578</v>
      </c>
      <c r="L148" s="76">
        <f t="shared" si="21"/>
        <v>0.53368993694944578</v>
      </c>
      <c r="M148" s="76">
        <f t="shared" si="21"/>
        <v>0.53368993694944578</v>
      </c>
      <c r="N148" s="76">
        <f t="shared" si="21"/>
        <v>0.53368993694944578</v>
      </c>
      <c r="O148" s="76">
        <f t="shared" si="21"/>
        <v>0.53368993694944578</v>
      </c>
      <c r="P148" s="76">
        <f t="shared" si="21"/>
        <v>0.53368993694944578</v>
      </c>
    </row>
    <row r="149" spans="1:16">
      <c r="A149" s="84" t="s">
        <v>371</v>
      </c>
      <c r="B149" s="85" t="s">
        <v>370</v>
      </c>
      <c r="C149" s="85" t="s">
        <v>92</v>
      </c>
      <c r="D149" s="84" t="s">
        <v>87</v>
      </c>
      <c r="E149" s="84">
        <f>VLOOKUP(A149,'2a. SI Pop'!$A$5:$E$198,5,FALSE)</f>
        <v>1</v>
      </c>
      <c r="F149" s="76">
        <f>VLOOKUP(E149,Input!$T$5:$U$24,2,FALSE)</f>
        <v>2.3190152964693054</v>
      </c>
      <c r="G149" s="76">
        <f t="shared" si="21"/>
        <v>2.3190152964693054</v>
      </c>
      <c r="H149" s="76">
        <f t="shared" si="21"/>
        <v>2.3190152964693054</v>
      </c>
      <c r="I149" s="76">
        <f t="shared" si="21"/>
        <v>2.3190152964693054</v>
      </c>
      <c r="J149" s="76">
        <f t="shared" si="21"/>
        <v>2.3190152964693054</v>
      </c>
      <c r="K149" s="76">
        <f t="shared" si="21"/>
        <v>2.3190152964693054</v>
      </c>
      <c r="L149" s="76">
        <f t="shared" si="21"/>
        <v>2.3190152964693054</v>
      </c>
      <c r="M149" s="76">
        <f t="shared" si="21"/>
        <v>2.3190152964693054</v>
      </c>
      <c r="N149" s="76">
        <f t="shared" si="21"/>
        <v>2.3190152964693054</v>
      </c>
      <c r="O149" s="76">
        <f t="shared" si="21"/>
        <v>2.3190152964693054</v>
      </c>
      <c r="P149" s="76">
        <f t="shared" si="21"/>
        <v>2.3190152964693054</v>
      </c>
    </row>
    <row r="150" spans="1:16">
      <c r="A150" s="84" t="s">
        <v>373</v>
      </c>
      <c r="B150" s="85" t="s">
        <v>372</v>
      </c>
      <c r="C150" s="85" t="s">
        <v>92</v>
      </c>
      <c r="D150" s="84" t="s">
        <v>80</v>
      </c>
      <c r="E150" s="84">
        <f>VLOOKUP(A150,'2a. SI Pop'!$A$5:$E$198,5,FALSE)</f>
        <v>1</v>
      </c>
      <c r="F150" s="76">
        <f>VLOOKUP(E150,Input!$T$5:$U$24,2,FALSE)</f>
        <v>2.3190152964693054</v>
      </c>
      <c r="G150" s="76">
        <f t="shared" ref="G150:P165" si="22">F150</f>
        <v>2.3190152964693054</v>
      </c>
      <c r="H150" s="76">
        <f t="shared" si="22"/>
        <v>2.3190152964693054</v>
      </c>
      <c r="I150" s="76">
        <f t="shared" si="22"/>
        <v>2.3190152964693054</v>
      </c>
      <c r="J150" s="76">
        <f t="shared" si="22"/>
        <v>2.3190152964693054</v>
      </c>
      <c r="K150" s="76">
        <f t="shared" si="22"/>
        <v>2.3190152964693054</v>
      </c>
      <c r="L150" s="76">
        <f t="shared" si="22"/>
        <v>2.3190152964693054</v>
      </c>
      <c r="M150" s="76">
        <f t="shared" si="22"/>
        <v>2.3190152964693054</v>
      </c>
      <c r="N150" s="76">
        <f t="shared" si="22"/>
        <v>2.3190152964693054</v>
      </c>
      <c r="O150" s="76">
        <f t="shared" si="22"/>
        <v>2.3190152964693054</v>
      </c>
      <c r="P150" s="76">
        <f t="shared" si="22"/>
        <v>2.3190152964693054</v>
      </c>
    </row>
    <row r="151" spans="1:16">
      <c r="A151" s="84" t="s">
        <v>375</v>
      </c>
      <c r="B151" s="85" t="s">
        <v>374</v>
      </c>
      <c r="C151" s="85" t="s">
        <v>92</v>
      </c>
      <c r="D151" s="84" t="s">
        <v>80</v>
      </c>
      <c r="E151" s="84">
        <f>VLOOKUP(A151,'2a. SI Pop'!$A$5:$E$198,5,FALSE)</f>
        <v>1</v>
      </c>
      <c r="F151" s="76">
        <f>VLOOKUP(E151,Input!$T$5:$U$24,2,FALSE)</f>
        <v>2.3190152964693054</v>
      </c>
      <c r="G151" s="76">
        <f t="shared" si="22"/>
        <v>2.3190152964693054</v>
      </c>
      <c r="H151" s="76">
        <f t="shared" si="22"/>
        <v>2.3190152964693054</v>
      </c>
      <c r="I151" s="76">
        <f t="shared" si="22"/>
        <v>2.3190152964693054</v>
      </c>
      <c r="J151" s="76">
        <f t="shared" si="22"/>
        <v>2.3190152964693054</v>
      </c>
      <c r="K151" s="76">
        <f t="shared" si="22"/>
        <v>2.3190152964693054</v>
      </c>
      <c r="L151" s="76">
        <f t="shared" si="22"/>
        <v>2.3190152964693054</v>
      </c>
      <c r="M151" s="76">
        <f t="shared" si="22"/>
        <v>2.3190152964693054</v>
      </c>
      <c r="N151" s="76">
        <f t="shared" si="22"/>
        <v>2.3190152964693054</v>
      </c>
      <c r="O151" s="76">
        <f t="shared" si="22"/>
        <v>2.3190152964693054</v>
      </c>
      <c r="P151" s="76">
        <f t="shared" si="22"/>
        <v>2.3190152964693054</v>
      </c>
    </row>
    <row r="152" spans="1:16">
      <c r="A152" s="84" t="s">
        <v>377</v>
      </c>
      <c r="B152" s="85" t="s">
        <v>376</v>
      </c>
      <c r="C152" s="85" t="s">
        <v>99</v>
      </c>
      <c r="D152" s="84" t="s">
        <v>80</v>
      </c>
      <c r="E152" s="84">
        <f>VLOOKUP(A152,'2a. SI Pop'!$A$5:$E$198,5,FALSE)</f>
        <v>2</v>
      </c>
      <c r="F152" s="76">
        <f>VLOOKUP(E152,Input!$T$5:$U$24,2,FALSE)</f>
        <v>1.153734747079966E-2</v>
      </c>
      <c r="G152" s="76">
        <f t="shared" si="22"/>
        <v>1.153734747079966E-2</v>
      </c>
      <c r="H152" s="76">
        <f t="shared" si="22"/>
        <v>1.153734747079966E-2</v>
      </c>
      <c r="I152" s="76">
        <f t="shared" si="22"/>
        <v>1.153734747079966E-2</v>
      </c>
      <c r="J152" s="76">
        <f t="shared" si="22"/>
        <v>1.153734747079966E-2</v>
      </c>
      <c r="K152" s="76">
        <f t="shared" si="22"/>
        <v>1.153734747079966E-2</v>
      </c>
      <c r="L152" s="76">
        <f t="shared" si="22"/>
        <v>1.153734747079966E-2</v>
      </c>
      <c r="M152" s="76">
        <f t="shared" si="22"/>
        <v>1.153734747079966E-2</v>
      </c>
      <c r="N152" s="76">
        <f t="shared" si="22"/>
        <v>1.153734747079966E-2</v>
      </c>
      <c r="O152" s="76">
        <f t="shared" si="22"/>
        <v>1.153734747079966E-2</v>
      </c>
      <c r="P152" s="76">
        <f t="shared" si="22"/>
        <v>1.153734747079966E-2</v>
      </c>
    </row>
    <row r="153" spans="1:16">
      <c r="A153" s="84" t="s">
        <v>379</v>
      </c>
      <c r="B153" s="85" t="s">
        <v>378</v>
      </c>
      <c r="C153" s="85" t="s">
        <v>79</v>
      </c>
      <c r="D153" s="84" t="s">
        <v>87</v>
      </c>
      <c r="E153" s="84">
        <f>VLOOKUP(A153,'2a. SI Pop'!$A$5:$E$198,5,FALSE)</f>
        <v>1</v>
      </c>
      <c r="F153" s="76">
        <f>VLOOKUP(E153,Input!$T$5:$U$24,2,FALSE)</f>
        <v>2.3190152964693054</v>
      </c>
      <c r="G153" s="76">
        <f t="shared" si="22"/>
        <v>2.3190152964693054</v>
      </c>
      <c r="H153" s="76">
        <f t="shared" si="22"/>
        <v>2.3190152964693054</v>
      </c>
      <c r="I153" s="76">
        <f t="shared" si="22"/>
        <v>2.3190152964693054</v>
      </c>
      <c r="J153" s="76">
        <f t="shared" si="22"/>
        <v>2.3190152964693054</v>
      </c>
      <c r="K153" s="76">
        <f t="shared" si="22"/>
        <v>2.3190152964693054</v>
      </c>
      <c r="L153" s="76">
        <f t="shared" si="22"/>
        <v>2.3190152964693054</v>
      </c>
      <c r="M153" s="76">
        <f t="shared" si="22"/>
        <v>2.3190152964693054</v>
      </c>
      <c r="N153" s="76">
        <f t="shared" si="22"/>
        <v>2.3190152964693054</v>
      </c>
      <c r="O153" s="76">
        <f t="shared" si="22"/>
        <v>2.3190152964693054</v>
      </c>
      <c r="P153" s="76">
        <f t="shared" si="22"/>
        <v>2.3190152964693054</v>
      </c>
    </row>
    <row r="154" spans="1:16">
      <c r="A154" s="84" t="s">
        <v>381</v>
      </c>
      <c r="B154" s="85" t="s">
        <v>380</v>
      </c>
      <c r="C154" s="85" t="s">
        <v>83</v>
      </c>
      <c r="D154" s="84" t="s">
        <v>84</v>
      </c>
      <c r="E154" s="84">
        <f>VLOOKUP(A154,'2a. SI Pop'!$A$5:$E$198,5,FALSE)</f>
        <v>3</v>
      </c>
      <c r="F154" s="76">
        <f>VLOOKUP(E154,Input!$T$5:$U$24,2,FALSE)</f>
        <v>0.53368993694944578</v>
      </c>
      <c r="G154" s="76">
        <f t="shared" si="22"/>
        <v>0.53368993694944578</v>
      </c>
      <c r="H154" s="76">
        <f t="shared" si="22"/>
        <v>0.53368993694944578</v>
      </c>
      <c r="I154" s="76">
        <f t="shared" si="22"/>
        <v>0.53368993694944578</v>
      </c>
      <c r="J154" s="76">
        <f t="shared" si="22"/>
        <v>0.53368993694944578</v>
      </c>
      <c r="K154" s="76">
        <f t="shared" si="22"/>
        <v>0.53368993694944578</v>
      </c>
      <c r="L154" s="76">
        <f t="shared" si="22"/>
        <v>0.53368993694944578</v>
      </c>
      <c r="M154" s="76">
        <f t="shared" si="22"/>
        <v>0.53368993694944578</v>
      </c>
      <c r="N154" s="76">
        <f t="shared" si="22"/>
        <v>0.53368993694944578</v>
      </c>
      <c r="O154" s="76">
        <f t="shared" si="22"/>
        <v>0.53368993694944578</v>
      </c>
      <c r="P154" s="76">
        <f t="shared" si="22"/>
        <v>0.53368993694944578</v>
      </c>
    </row>
    <row r="155" spans="1:16">
      <c r="A155" s="84" t="s">
        <v>383</v>
      </c>
      <c r="B155" s="85" t="s">
        <v>382</v>
      </c>
      <c r="C155" s="85" t="s">
        <v>74</v>
      </c>
      <c r="D155" s="84" t="s">
        <v>87</v>
      </c>
      <c r="E155" s="84">
        <f>VLOOKUP(A155,'2a. SI Pop'!$A$5:$E$198,5,FALSE)</f>
        <v>1</v>
      </c>
      <c r="F155" s="76">
        <f>VLOOKUP(E155,Input!$T$5:$U$24,2,FALSE)</f>
        <v>2.3190152964693054</v>
      </c>
      <c r="G155" s="76">
        <f t="shared" si="22"/>
        <v>2.3190152964693054</v>
      </c>
      <c r="H155" s="76">
        <f t="shared" si="22"/>
        <v>2.3190152964693054</v>
      </c>
      <c r="I155" s="76">
        <f t="shared" si="22"/>
        <v>2.3190152964693054</v>
      </c>
      <c r="J155" s="76">
        <f t="shared" si="22"/>
        <v>2.3190152964693054</v>
      </c>
      <c r="K155" s="76">
        <f t="shared" si="22"/>
        <v>2.3190152964693054</v>
      </c>
      <c r="L155" s="76">
        <f t="shared" si="22"/>
        <v>2.3190152964693054</v>
      </c>
      <c r="M155" s="76">
        <f t="shared" si="22"/>
        <v>2.3190152964693054</v>
      </c>
      <c r="N155" s="76">
        <f t="shared" si="22"/>
        <v>2.3190152964693054</v>
      </c>
      <c r="O155" s="76">
        <f t="shared" si="22"/>
        <v>2.3190152964693054</v>
      </c>
      <c r="P155" s="76">
        <f t="shared" si="22"/>
        <v>2.3190152964693054</v>
      </c>
    </row>
    <row r="156" spans="1:16">
      <c r="A156" s="84" t="s">
        <v>385</v>
      </c>
      <c r="B156" s="85" t="s">
        <v>384</v>
      </c>
      <c r="C156" s="85" t="s">
        <v>83</v>
      </c>
      <c r="D156" s="84" t="s">
        <v>84</v>
      </c>
      <c r="E156" s="84">
        <f>VLOOKUP(A156,'2a. SI Pop'!$A$5:$E$198,5,FALSE)</f>
        <v>3</v>
      </c>
      <c r="F156" s="76">
        <f>VLOOKUP(E156,Input!$T$5:$U$24,2,FALSE)</f>
        <v>0.53368993694944578</v>
      </c>
      <c r="G156" s="76">
        <f t="shared" si="22"/>
        <v>0.53368993694944578</v>
      </c>
      <c r="H156" s="76">
        <f t="shared" si="22"/>
        <v>0.53368993694944578</v>
      </c>
      <c r="I156" s="76">
        <f t="shared" si="22"/>
        <v>0.53368993694944578</v>
      </c>
      <c r="J156" s="76">
        <f t="shared" si="22"/>
        <v>0.53368993694944578</v>
      </c>
      <c r="K156" s="76">
        <f t="shared" si="22"/>
        <v>0.53368993694944578</v>
      </c>
      <c r="L156" s="76">
        <f t="shared" si="22"/>
        <v>0.53368993694944578</v>
      </c>
      <c r="M156" s="76">
        <f t="shared" si="22"/>
        <v>0.53368993694944578</v>
      </c>
      <c r="N156" s="76">
        <f t="shared" si="22"/>
        <v>0.53368993694944578</v>
      </c>
      <c r="O156" s="76">
        <f t="shared" si="22"/>
        <v>0.53368993694944578</v>
      </c>
      <c r="P156" s="76">
        <f t="shared" si="22"/>
        <v>0.53368993694944578</v>
      </c>
    </row>
    <row r="157" spans="1:16">
      <c r="A157" s="84" t="s">
        <v>387</v>
      </c>
      <c r="B157" s="85" t="s">
        <v>386</v>
      </c>
      <c r="C157" s="85" t="s">
        <v>79</v>
      </c>
      <c r="D157" s="84" t="s">
        <v>80</v>
      </c>
      <c r="E157" s="84">
        <f>VLOOKUP(A157,'2a. SI Pop'!$A$5:$E$198,5,FALSE)</f>
        <v>1</v>
      </c>
      <c r="F157" s="76">
        <f>VLOOKUP(E157,Input!$T$5:$U$24,2,FALSE)</f>
        <v>2.3190152964693054</v>
      </c>
      <c r="G157" s="76">
        <f t="shared" si="22"/>
        <v>2.3190152964693054</v>
      </c>
      <c r="H157" s="76">
        <f t="shared" si="22"/>
        <v>2.3190152964693054</v>
      </c>
      <c r="I157" s="76">
        <f t="shared" si="22"/>
        <v>2.3190152964693054</v>
      </c>
      <c r="J157" s="76">
        <f t="shared" si="22"/>
        <v>2.3190152964693054</v>
      </c>
      <c r="K157" s="76">
        <f t="shared" si="22"/>
        <v>2.3190152964693054</v>
      </c>
      <c r="L157" s="76">
        <f t="shared" si="22"/>
        <v>2.3190152964693054</v>
      </c>
      <c r="M157" s="76">
        <f t="shared" si="22"/>
        <v>2.3190152964693054</v>
      </c>
      <c r="N157" s="76">
        <f t="shared" si="22"/>
        <v>2.3190152964693054</v>
      </c>
      <c r="O157" s="76">
        <f t="shared" si="22"/>
        <v>2.3190152964693054</v>
      </c>
      <c r="P157" s="76">
        <f t="shared" si="22"/>
        <v>2.3190152964693054</v>
      </c>
    </row>
    <row r="158" spans="1:16">
      <c r="A158" s="84" t="s">
        <v>389</v>
      </c>
      <c r="B158" s="85" t="s">
        <v>388</v>
      </c>
      <c r="C158" s="85" t="s">
        <v>83</v>
      </c>
      <c r="D158" s="84" t="s">
        <v>87</v>
      </c>
      <c r="E158" s="84">
        <f>VLOOKUP(A158,'2a. SI Pop'!$A$5:$E$198,5,FALSE)</f>
        <v>1</v>
      </c>
      <c r="F158" s="76">
        <f>VLOOKUP(E158,Input!$T$5:$U$24,2,FALSE)</f>
        <v>2.3190152964693054</v>
      </c>
      <c r="G158" s="76">
        <f t="shared" si="22"/>
        <v>2.3190152964693054</v>
      </c>
      <c r="H158" s="76">
        <f t="shared" si="22"/>
        <v>2.3190152964693054</v>
      </c>
      <c r="I158" s="76">
        <f t="shared" si="22"/>
        <v>2.3190152964693054</v>
      </c>
      <c r="J158" s="76">
        <f t="shared" si="22"/>
        <v>2.3190152964693054</v>
      </c>
      <c r="K158" s="76">
        <f t="shared" si="22"/>
        <v>2.3190152964693054</v>
      </c>
      <c r="L158" s="76">
        <f t="shared" si="22"/>
        <v>2.3190152964693054</v>
      </c>
      <c r="M158" s="76">
        <f t="shared" si="22"/>
        <v>2.3190152964693054</v>
      </c>
      <c r="N158" s="76">
        <f t="shared" si="22"/>
        <v>2.3190152964693054</v>
      </c>
      <c r="O158" s="76">
        <f t="shared" si="22"/>
        <v>2.3190152964693054</v>
      </c>
      <c r="P158" s="76">
        <f t="shared" si="22"/>
        <v>2.3190152964693054</v>
      </c>
    </row>
    <row r="159" spans="1:16">
      <c r="A159" s="84" t="s">
        <v>391</v>
      </c>
      <c r="B159" s="85" t="s">
        <v>390</v>
      </c>
      <c r="C159" s="85" t="s">
        <v>83</v>
      </c>
      <c r="D159" s="84" t="s">
        <v>75</v>
      </c>
      <c r="E159" s="84">
        <f>VLOOKUP(A159,'2a. SI Pop'!$A$5:$E$198,5,FALSE)</f>
        <v>3</v>
      </c>
      <c r="F159" s="76">
        <f>VLOOKUP(E159,Input!$T$5:$U$24,2,FALSE)</f>
        <v>0.53368993694944578</v>
      </c>
      <c r="G159" s="76">
        <f t="shared" si="22"/>
        <v>0.53368993694944578</v>
      </c>
      <c r="H159" s="76">
        <f t="shared" si="22"/>
        <v>0.53368993694944578</v>
      </c>
      <c r="I159" s="76">
        <f t="shared" si="22"/>
        <v>0.53368993694944578</v>
      </c>
      <c r="J159" s="76">
        <f t="shared" si="22"/>
        <v>0.53368993694944578</v>
      </c>
      <c r="K159" s="76">
        <f t="shared" si="22"/>
        <v>0.53368993694944578</v>
      </c>
      <c r="L159" s="76">
        <f t="shared" si="22"/>
        <v>0.53368993694944578</v>
      </c>
      <c r="M159" s="76">
        <f t="shared" si="22"/>
        <v>0.53368993694944578</v>
      </c>
      <c r="N159" s="76">
        <f t="shared" si="22"/>
        <v>0.53368993694944578</v>
      </c>
      <c r="O159" s="76">
        <f t="shared" si="22"/>
        <v>0.53368993694944578</v>
      </c>
      <c r="P159" s="76">
        <f t="shared" si="22"/>
        <v>0.53368993694944578</v>
      </c>
    </row>
    <row r="160" spans="1:16">
      <c r="A160" s="84" t="s">
        <v>393</v>
      </c>
      <c r="B160" s="85" t="s">
        <v>392</v>
      </c>
      <c r="C160" s="85" t="s">
        <v>99</v>
      </c>
      <c r="D160" s="84" t="s">
        <v>87</v>
      </c>
      <c r="E160" s="84">
        <f>VLOOKUP(A160,'2a. SI Pop'!$A$5:$E$198,5,FALSE)</f>
        <v>1</v>
      </c>
      <c r="F160" s="76">
        <f>VLOOKUP(E160,Input!$T$5:$U$24,2,FALSE)</f>
        <v>2.3190152964693054</v>
      </c>
      <c r="G160" s="76">
        <f t="shared" si="22"/>
        <v>2.3190152964693054</v>
      </c>
      <c r="H160" s="76">
        <f t="shared" si="22"/>
        <v>2.3190152964693054</v>
      </c>
      <c r="I160" s="76">
        <f t="shared" si="22"/>
        <v>2.3190152964693054</v>
      </c>
      <c r="J160" s="76">
        <f t="shared" si="22"/>
        <v>2.3190152964693054</v>
      </c>
      <c r="K160" s="76">
        <f t="shared" si="22"/>
        <v>2.3190152964693054</v>
      </c>
      <c r="L160" s="76">
        <f t="shared" si="22"/>
        <v>2.3190152964693054</v>
      </c>
      <c r="M160" s="76">
        <f t="shared" si="22"/>
        <v>2.3190152964693054</v>
      </c>
      <c r="N160" s="76">
        <f t="shared" si="22"/>
        <v>2.3190152964693054</v>
      </c>
      <c r="O160" s="76">
        <f t="shared" si="22"/>
        <v>2.3190152964693054</v>
      </c>
      <c r="P160" s="76">
        <f t="shared" si="22"/>
        <v>2.3190152964693054</v>
      </c>
    </row>
    <row r="161" spans="1:16">
      <c r="A161" s="84" t="s">
        <v>395</v>
      </c>
      <c r="B161" s="85" t="s">
        <v>394</v>
      </c>
      <c r="C161" s="85" t="s">
        <v>79</v>
      </c>
      <c r="D161" s="84" t="s">
        <v>87</v>
      </c>
      <c r="E161" s="84">
        <f>VLOOKUP(A161,'2a. SI Pop'!$A$5:$E$198,5,FALSE)</f>
        <v>1</v>
      </c>
      <c r="F161" s="76">
        <f>VLOOKUP(E161,Input!$T$5:$U$24,2,FALSE)</f>
        <v>2.3190152964693054</v>
      </c>
      <c r="G161" s="76">
        <f t="shared" si="22"/>
        <v>2.3190152964693054</v>
      </c>
      <c r="H161" s="76">
        <f t="shared" si="22"/>
        <v>2.3190152964693054</v>
      </c>
      <c r="I161" s="76">
        <f t="shared" si="22"/>
        <v>2.3190152964693054</v>
      </c>
      <c r="J161" s="76">
        <f t="shared" si="22"/>
        <v>2.3190152964693054</v>
      </c>
      <c r="K161" s="76">
        <f t="shared" si="22"/>
        <v>2.3190152964693054</v>
      </c>
      <c r="L161" s="76">
        <f t="shared" si="22"/>
        <v>2.3190152964693054</v>
      </c>
      <c r="M161" s="76">
        <f t="shared" si="22"/>
        <v>2.3190152964693054</v>
      </c>
      <c r="N161" s="76">
        <f t="shared" si="22"/>
        <v>2.3190152964693054</v>
      </c>
      <c r="O161" s="76">
        <f t="shared" si="22"/>
        <v>2.3190152964693054</v>
      </c>
      <c r="P161" s="76">
        <f t="shared" si="22"/>
        <v>2.3190152964693054</v>
      </c>
    </row>
    <row r="162" spans="1:16">
      <c r="A162" s="84" t="s">
        <v>397</v>
      </c>
      <c r="B162" s="85" t="s">
        <v>396</v>
      </c>
      <c r="C162" s="85" t="s">
        <v>79</v>
      </c>
      <c r="D162" s="84" t="s">
        <v>87</v>
      </c>
      <c r="E162" s="84">
        <f>VLOOKUP(A162,'2a. SI Pop'!$A$5:$E$198,5,FALSE)</f>
        <v>1</v>
      </c>
      <c r="F162" s="76">
        <f>VLOOKUP(E162,Input!$T$5:$U$24,2,FALSE)</f>
        <v>2.3190152964693054</v>
      </c>
      <c r="G162" s="76">
        <f t="shared" si="22"/>
        <v>2.3190152964693054</v>
      </c>
      <c r="H162" s="76">
        <f t="shared" si="22"/>
        <v>2.3190152964693054</v>
      </c>
      <c r="I162" s="76">
        <f t="shared" si="22"/>
        <v>2.3190152964693054</v>
      </c>
      <c r="J162" s="76">
        <f t="shared" si="22"/>
        <v>2.3190152964693054</v>
      </c>
      <c r="K162" s="76">
        <f t="shared" si="22"/>
        <v>2.3190152964693054</v>
      </c>
      <c r="L162" s="76">
        <f t="shared" si="22"/>
        <v>2.3190152964693054</v>
      </c>
      <c r="M162" s="76">
        <f t="shared" si="22"/>
        <v>2.3190152964693054</v>
      </c>
      <c r="N162" s="76">
        <f t="shared" si="22"/>
        <v>2.3190152964693054</v>
      </c>
      <c r="O162" s="76">
        <f t="shared" si="22"/>
        <v>2.3190152964693054</v>
      </c>
      <c r="P162" s="76">
        <f t="shared" si="22"/>
        <v>2.3190152964693054</v>
      </c>
    </row>
    <row r="163" spans="1:16">
      <c r="A163" s="84" t="s">
        <v>399</v>
      </c>
      <c r="B163" s="85" t="s">
        <v>398</v>
      </c>
      <c r="C163" s="85" t="s">
        <v>74</v>
      </c>
      <c r="D163" s="84" t="s">
        <v>75</v>
      </c>
      <c r="E163" s="84">
        <f>VLOOKUP(A163,'2a. SI Pop'!$A$5:$E$198,5,FALSE)</f>
        <v>3</v>
      </c>
      <c r="F163" s="76">
        <f>VLOOKUP(E163,Input!$T$5:$U$24,2,FALSE)</f>
        <v>0.53368993694944578</v>
      </c>
      <c r="G163" s="76">
        <f t="shared" si="22"/>
        <v>0.53368993694944578</v>
      </c>
      <c r="H163" s="76">
        <f t="shared" si="22"/>
        <v>0.53368993694944578</v>
      </c>
      <c r="I163" s="76">
        <f t="shared" si="22"/>
        <v>0.53368993694944578</v>
      </c>
      <c r="J163" s="76">
        <f t="shared" si="22"/>
        <v>0.53368993694944578</v>
      </c>
      <c r="K163" s="76">
        <f t="shared" si="22"/>
        <v>0.53368993694944578</v>
      </c>
      <c r="L163" s="76">
        <f t="shared" si="22"/>
        <v>0.53368993694944578</v>
      </c>
      <c r="M163" s="76">
        <f t="shared" si="22"/>
        <v>0.53368993694944578</v>
      </c>
      <c r="N163" s="76">
        <f t="shared" si="22"/>
        <v>0.53368993694944578</v>
      </c>
      <c r="O163" s="76">
        <f t="shared" si="22"/>
        <v>0.53368993694944578</v>
      </c>
      <c r="P163" s="76">
        <f t="shared" si="22"/>
        <v>0.53368993694944578</v>
      </c>
    </row>
    <row r="164" spans="1:16">
      <c r="A164" s="84" t="s">
        <v>401</v>
      </c>
      <c r="B164" s="85" t="s">
        <v>400</v>
      </c>
      <c r="C164" s="85" t="s">
        <v>99</v>
      </c>
      <c r="D164" s="84" t="s">
        <v>84</v>
      </c>
      <c r="E164" s="84">
        <f>VLOOKUP(A164,'2a. SI Pop'!$A$5:$E$198,5,FALSE)</f>
        <v>4</v>
      </c>
      <c r="F164" s="76">
        <f>VLOOKUP(E164,Input!$T$5:$U$24,2,FALSE)</f>
        <v>1.7360756259580992</v>
      </c>
      <c r="G164" s="76">
        <f t="shared" si="22"/>
        <v>1.7360756259580992</v>
      </c>
      <c r="H164" s="76">
        <f t="shared" si="22"/>
        <v>1.7360756259580992</v>
      </c>
      <c r="I164" s="76">
        <f t="shared" si="22"/>
        <v>1.7360756259580992</v>
      </c>
      <c r="J164" s="76">
        <f t="shared" si="22"/>
        <v>1.7360756259580992</v>
      </c>
      <c r="K164" s="76">
        <f t="shared" si="22"/>
        <v>1.7360756259580992</v>
      </c>
      <c r="L164" s="76">
        <f t="shared" si="22"/>
        <v>1.7360756259580992</v>
      </c>
      <c r="M164" s="76">
        <f t="shared" si="22"/>
        <v>1.7360756259580992</v>
      </c>
      <c r="N164" s="76">
        <f t="shared" si="22"/>
        <v>1.7360756259580992</v>
      </c>
      <c r="O164" s="76">
        <f t="shared" si="22"/>
        <v>1.7360756259580992</v>
      </c>
      <c r="P164" s="76">
        <f t="shared" si="22"/>
        <v>1.7360756259580992</v>
      </c>
    </row>
    <row r="165" spans="1:16">
      <c r="A165" s="84" t="s">
        <v>403</v>
      </c>
      <c r="B165" s="85" t="s">
        <v>402</v>
      </c>
      <c r="C165" s="85" t="s">
        <v>83</v>
      </c>
      <c r="D165" s="84" t="s">
        <v>80</v>
      </c>
      <c r="E165" s="84" t="str">
        <f>VLOOKUP(A165,'2a. SI Pop'!$A$5:$E$198,5,FALSE)</f>
        <v>Key</v>
      </c>
      <c r="F165" s="76">
        <f>VLOOKUP(A165,Input!$T$5:$U$24,2,FALSE)</f>
        <v>0.53368993694944578</v>
      </c>
      <c r="G165" s="76">
        <f t="shared" si="22"/>
        <v>0.53368993694944578</v>
      </c>
      <c r="H165" s="76">
        <f t="shared" si="22"/>
        <v>0.53368993694944578</v>
      </c>
      <c r="I165" s="76">
        <f t="shared" si="22"/>
        <v>0.53368993694944578</v>
      </c>
      <c r="J165" s="76">
        <f t="shared" si="22"/>
        <v>0.53368993694944578</v>
      </c>
      <c r="K165" s="76">
        <f t="shared" si="22"/>
        <v>0.53368993694944578</v>
      </c>
      <c r="L165" s="76">
        <f t="shared" si="22"/>
        <v>0.53368993694944578</v>
      </c>
      <c r="M165" s="76">
        <f t="shared" si="22"/>
        <v>0.53368993694944578</v>
      </c>
      <c r="N165" s="76">
        <f t="shared" si="22"/>
        <v>0.53368993694944578</v>
      </c>
      <c r="O165" s="76">
        <f t="shared" si="22"/>
        <v>0.53368993694944578</v>
      </c>
      <c r="P165" s="76">
        <f t="shared" si="22"/>
        <v>0.53368993694944578</v>
      </c>
    </row>
    <row r="166" spans="1:16">
      <c r="A166" s="84" t="s">
        <v>405</v>
      </c>
      <c r="B166" s="85" t="s">
        <v>404</v>
      </c>
      <c r="C166" s="85" t="s">
        <v>79</v>
      </c>
      <c r="D166" s="84" t="s">
        <v>87</v>
      </c>
      <c r="E166" s="84">
        <f>VLOOKUP(A166,'2a. SI Pop'!$A$5:$E$198,5,FALSE)</f>
        <v>1</v>
      </c>
      <c r="F166" s="76">
        <f>VLOOKUP(E166,Input!$T$5:$U$24,2,FALSE)</f>
        <v>2.3190152964693054</v>
      </c>
      <c r="G166" s="76">
        <f t="shared" ref="G166:P181" si="23">F166</f>
        <v>2.3190152964693054</v>
      </c>
      <c r="H166" s="76">
        <f t="shared" si="23"/>
        <v>2.3190152964693054</v>
      </c>
      <c r="I166" s="76">
        <f t="shared" si="23"/>
        <v>2.3190152964693054</v>
      </c>
      <c r="J166" s="76">
        <f t="shared" si="23"/>
        <v>2.3190152964693054</v>
      </c>
      <c r="K166" s="76">
        <f t="shared" si="23"/>
        <v>2.3190152964693054</v>
      </c>
      <c r="L166" s="76">
        <f t="shared" si="23"/>
        <v>2.3190152964693054</v>
      </c>
      <c r="M166" s="76">
        <f t="shared" si="23"/>
        <v>2.3190152964693054</v>
      </c>
      <c r="N166" s="76">
        <f t="shared" si="23"/>
        <v>2.3190152964693054</v>
      </c>
      <c r="O166" s="76">
        <f t="shared" si="23"/>
        <v>2.3190152964693054</v>
      </c>
      <c r="P166" s="76">
        <f t="shared" si="23"/>
        <v>2.3190152964693054</v>
      </c>
    </row>
    <row r="167" spans="1:16">
      <c r="A167" s="84" t="s">
        <v>407</v>
      </c>
      <c r="B167" s="85" t="s">
        <v>406</v>
      </c>
      <c r="C167" s="85" t="s">
        <v>110</v>
      </c>
      <c r="D167" s="84" t="s">
        <v>84</v>
      </c>
      <c r="E167" s="84">
        <f>VLOOKUP(A167,'2a. SI Pop'!$A$5:$E$198,5,FALSE)</f>
        <v>2</v>
      </c>
      <c r="F167" s="76">
        <f>VLOOKUP(E167,Input!$T$5:$U$24,2,FALSE)</f>
        <v>1.153734747079966E-2</v>
      </c>
      <c r="G167" s="76">
        <f t="shared" si="23"/>
        <v>1.153734747079966E-2</v>
      </c>
      <c r="H167" s="76">
        <f t="shared" si="23"/>
        <v>1.153734747079966E-2</v>
      </c>
      <c r="I167" s="76">
        <f t="shared" si="23"/>
        <v>1.153734747079966E-2</v>
      </c>
      <c r="J167" s="76">
        <f t="shared" si="23"/>
        <v>1.153734747079966E-2</v>
      </c>
      <c r="K167" s="76">
        <f t="shared" si="23"/>
        <v>1.153734747079966E-2</v>
      </c>
      <c r="L167" s="76">
        <f t="shared" si="23"/>
        <v>1.153734747079966E-2</v>
      </c>
      <c r="M167" s="76">
        <f t="shared" si="23"/>
        <v>1.153734747079966E-2</v>
      </c>
      <c r="N167" s="76">
        <f t="shared" si="23"/>
        <v>1.153734747079966E-2</v>
      </c>
      <c r="O167" s="76">
        <f t="shared" si="23"/>
        <v>1.153734747079966E-2</v>
      </c>
      <c r="P167" s="76">
        <f t="shared" si="23"/>
        <v>1.153734747079966E-2</v>
      </c>
    </row>
    <row r="168" spans="1:16">
      <c r="A168" s="84" t="s">
        <v>409</v>
      </c>
      <c r="B168" s="85" t="s">
        <v>408</v>
      </c>
      <c r="C168" s="85" t="s">
        <v>74</v>
      </c>
      <c r="D168" s="84" t="s">
        <v>75</v>
      </c>
      <c r="E168" s="84">
        <f>VLOOKUP(A168,'2a. SI Pop'!$A$5:$E$198,5,FALSE)</f>
        <v>3</v>
      </c>
      <c r="F168" s="76">
        <f>VLOOKUP(E168,Input!$T$5:$U$24,2,FALSE)</f>
        <v>0.53368993694944578</v>
      </c>
      <c r="G168" s="76">
        <f t="shared" si="23"/>
        <v>0.53368993694944578</v>
      </c>
      <c r="H168" s="76">
        <f t="shared" si="23"/>
        <v>0.53368993694944578</v>
      </c>
      <c r="I168" s="76">
        <f t="shared" si="23"/>
        <v>0.53368993694944578</v>
      </c>
      <c r="J168" s="76">
        <f t="shared" si="23"/>
        <v>0.53368993694944578</v>
      </c>
      <c r="K168" s="76">
        <f t="shared" si="23"/>
        <v>0.53368993694944578</v>
      </c>
      <c r="L168" s="76">
        <f t="shared" si="23"/>
        <v>0.53368993694944578</v>
      </c>
      <c r="M168" s="76">
        <f t="shared" si="23"/>
        <v>0.53368993694944578</v>
      </c>
      <c r="N168" s="76">
        <f t="shared" si="23"/>
        <v>0.53368993694944578</v>
      </c>
      <c r="O168" s="76">
        <f t="shared" si="23"/>
        <v>0.53368993694944578</v>
      </c>
      <c r="P168" s="76">
        <f t="shared" si="23"/>
        <v>0.53368993694944578</v>
      </c>
    </row>
    <row r="169" spans="1:16">
      <c r="A169" s="84" t="s">
        <v>411</v>
      </c>
      <c r="B169" s="85" t="s">
        <v>410</v>
      </c>
      <c r="C169" s="85" t="s">
        <v>74</v>
      </c>
      <c r="D169" s="84" t="s">
        <v>75</v>
      </c>
      <c r="E169" s="84">
        <f>VLOOKUP(A169,'2a. SI Pop'!$A$5:$E$198,5,FALSE)</f>
        <v>3</v>
      </c>
      <c r="F169" s="76">
        <f>VLOOKUP(E169,Input!$T$5:$U$24,2,FALSE)</f>
        <v>0.53368993694944578</v>
      </c>
      <c r="G169" s="76">
        <f t="shared" si="23"/>
        <v>0.53368993694944578</v>
      </c>
      <c r="H169" s="76">
        <f t="shared" si="23"/>
        <v>0.53368993694944578</v>
      </c>
      <c r="I169" s="76">
        <f t="shared" si="23"/>
        <v>0.53368993694944578</v>
      </c>
      <c r="J169" s="76">
        <f t="shared" si="23"/>
        <v>0.53368993694944578</v>
      </c>
      <c r="K169" s="76">
        <f t="shared" si="23"/>
        <v>0.53368993694944578</v>
      </c>
      <c r="L169" s="76">
        <f t="shared" si="23"/>
        <v>0.53368993694944578</v>
      </c>
      <c r="M169" s="76">
        <f t="shared" si="23"/>
        <v>0.53368993694944578</v>
      </c>
      <c r="N169" s="76">
        <f t="shared" si="23"/>
        <v>0.53368993694944578</v>
      </c>
      <c r="O169" s="76">
        <f t="shared" si="23"/>
        <v>0.53368993694944578</v>
      </c>
      <c r="P169" s="76">
        <f t="shared" si="23"/>
        <v>0.53368993694944578</v>
      </c>
    </row>
    <row r="170" spans="1:16">
      <c r="A170" s="84" t="s">
        <v>413</v>
      </c>
      <c r="B170" s="85" t="s">
        <v>412</v>
      </c>
      <c r="C170" s="85" t="s">
        <v>92</v>
      </c>
      <c r="D170" s="84" t="s">
        <v>80</v>
      </c>
      <c r="E170" s="84">
        <f>VLOOKUP(A170,'2a. SI Pop'!$A$5:$E$198,5,FALSE)</f>
        <v>1</v>
      </c>
      <c r="F170" s="76">
        <f>VLOOKUP(E170,Input!$T$5:$U$24,2,FALSE)</f>
        <v>2.3190152964693054</v>
      </c>
      <c r="G170" s="76">
        <f t="shared" si="23"/>
        <v>2.3190152964693054</v>
      </c>
      <c r="H170" s="76">
        <f t="shared" si="23"/>
        <v>2.3190152964693054</v>
      </c>
      <c r="I170" s="76">
        <f t="shared" si="23"/>
        <v>2.3190152964693054</v>
      </c>
      <c r="J170" s="76">
        <f t="shared" si="23"/>
        <v>2.3190152964693054</v>
      </c>
      <c r="K170" s="76">
        <f t="shared" si="23"/>
        <v>2.3190152964693054</v>
      </c>
      <c r="L170" s="76">
        <f t="shared" si="23"/>
        <v>2.3190152964693054</v>
      </c>
      <c r="M170" s="76">
        <f t="shared" si="23"/>
        <v>2.3190152964693054</v>
      </c>
      <c r="N170" s="76">
        <f t="shared" si="23"/>
        <v>2.3190152964693054</v>
      </c>
      <c r="O170" s="76">
        <f t="shared" si="23"/>
        <v>2.3190152964693054</v>
      </c>
      <c r="P170" s="76">
        <f t="shared" si="23"/>
        <v>2.3190152964693054</v>
      </c>
    </row>
    <row r="171" spans="1:16">
      <c r="A171" s="84" t="s">
        <v>415</v>
      </c>
      <c r="B171" s="85" t="s">
        <v>414</v>
      </c>
      <c r="C171" s="85" t="s">
        <v>83</v>
      </c>
      <c r="D171" s="84" t="s">
        <v>84</v>
      </c>
      <c r="E171" s="84">
        <f>VLOOKUP(A171,'2a. SI Pop'!$A$5:$E$198,5,FALSE)</f>
        <v>3</v>
      </c>
      <c r="F171" s="76">
        <f>VLOOKUP(E171,Input!$T$5:$U$24,2,FALSE)</f>
        <v>0.53368993694944578</v>
      </c>
      <c r="G171" s="76">
        <f t="shared" si="23"/>
        <v>0.53368993694944578</v>
      </c>
      <c r="H171" s="76">
        <f t="shared" si="23"/>
        <v>0.53368993694944578</v>
      </c>
      <c r="I171" s="76">
        <f t="shared" si="23"/>
        <v>0.53368993694944578</v>
      </c>
      <c r="J171" s="76">
        <f t="shared" si="23"/>
        <v>0.53368993694944578</v>
      </c>
      <c r="K171" s="76">
        <f t="shared" si="23"/>
        <v>0.53368993694944578</v>
      </c>
      <c r="L171" s="76">
        <f t="shared" si="23"/>
        <v>0.53368993694944578</v>
      </c>
      <c r="M171" s="76">
        <f t="shared" si="23"/>
        <v>0.53368993694944578</v>
      </c>
      <c r="N171" s="76">
        <f t="shared" si="23"/>
        <v>0.53368993694944578</v>
      </c>
      <c r="O171" s="76">
        <f t="shared" si="23"/>
        <v>0.53368993694944578</v>
      </c>
      <c r="P171" s="76">
        <f t="shared" si="23"/>
        <v>0.53368993694944578</v>
      </c>
    </row>
    <row r="172" spans="1:16">
      <c r="A172" s="84" t="s">
        <v>417</v>
      </c>
      <c r="B172" s="85" t="s">
        <v>416</v>
      </c>
      <c r="C172" s="85" t="s">
        <v>79</v>
      </c>
      <c r="D172" s="84" t="s">
        <v>87</v>
      </c>
      <c r="E172" s="84">
        <f>VLOOKUP(A172,'2a. SI Pop'!$A$5:$E$198,5,FALSE)</f>
        <v>1</v>
      </c>
      <c r="F172" s="76">
        <f>VLOOKUP(E172,Input!$T$5:$U$24,2,FALSE)</f>
        <v>2.3190152964693054</v>
      </c>
      <c r="G172" s="76">
        <f t="shared" si="23"/>
        <v>2.3190152964693054</v>
      </c>
      <c r="H172" s="76">
        <f t="shared" si="23"/>
        <v>2.3190152964693054</v>
      </c>
      <c r="I172" s="76">
        <f t="shared" si="23"/>
        <v>2.3190152964693054</v>
      </c>
      <c r="J172" s="76">
        <f t="shared" si="23"/>
        <v>2.3190152964693054</v>
      </c>
      <c r="K172" s="76">
        <f t="shared" si="23"/>
        <v>2.3190152964693054</v>
      </c>
      <c r="L172" s="76">
        <f t="shared" si="23"/>
        <v>2.3190152964693054</v>
      </c>
      <c r="M172" s="76">
        <f t="shared" si="23"/>
        <v>2.3190152964693054</v>
      </c>
      <c r="N172" s="76">
        <f t="shared" si="23"/>
        <v>2.3190152964693054</v>
      </c>
      <c r="O172" s="76">
        <f t="shared" si="23"/>
        <v>2.3190152964693054</v>
      </c>
      <c r="P172" s="76">
        <f t="shared" si="23"/>
        <v>2.3190152964693054</v>
      </c>
    </row>
    <row r="173" spans="1:16">
      <c r="A173" s="84" t="s">
        <v>419</v>
      </c>
      <c r="B173" s="85" t="s">
        <v>418</v>
      </c>
      <c r="C173" s="85" t="s">
        <v>79</v>
      </c>
      <c r="D173" s="84" t="s">
        <v>87</v>
      </c>
      <c r="E173" s="84">
        <f>VLOOKUP(A173,'2a. SI Pop'!$A$5:$E$198,5,FALSE)</f>
        <v>1</v>
      </c>
      <c r="F173" s="76">
        <f>VLOOKUP(E173,Input!$T$5:$U$24,2,FALSE)</f>
        <v>2.3190152964693054</v>
      </c>
      <c r="G173" s="76">
        <f t="shared" si="23"/>
        <v>2.3190152964693054</v>
      </c>
      <c r="H173" s="76">
        <f t="shared" si="23"/>
        <v>2.3190152964693054</v>
      </c>
      <c r="I173" s="76">
        <f t="shared" si="23"/>
        <v>2.3190152964693054</v>
      </c>
      <c r="J173" s="76">
        <f t="shared" si="23"/>
        <v>2.3190152964693054</v>
      </c>
      <c r="K173" s="76">
        <f t="shared" si="23"/>
        <v>2.3190152964693054</v>
      </c>
      <c r="L173" s="76">
        <f t="shared" si="23"/>
        <v>2.3190152964693054</v>
      </c>
      <c r="M173" s="76">
        <f t="shared" si="23"/>
        <v>2.3190152964693054</v>
      </c>
      <c r="N173" s="76">
        <f t="shared" si="23"/>
        <v>2.3190152964693054</v>
      </c>
      <c r="O173" s="76">
        <f t="shared" si="23"/>
        <v>2.3190152964693054</v>
      </c>
      <c r="P173" s="76">
        <f t="shared" si="23"/>
        <v>2.3190152964693054</v>
      </c>
    </row>
    <row r="174" spans="1:16">
      <c r="A174" s="84" t="s">
        <v>421</v>
      </c>
      <c r="B174" s="85" t="s">
        <v>420</v>
      </c>
      <c r="C174" s="85" t="s">
        <v>74</v>
      </c>
      <c r="D174" s="84" t="s">
        <v>75</v>
      </c>
      <c r="E174" s="84">
        <f>VLOOKUP(A174,'2a. SI Pop'!$A$5:$E$198,5,FALSE)</f>
        <v>2</v>
      </c>
      <c r="F174" s="76">
        <f>VLOOKUP(E174,Input!$T$5:$U$24,2,FALSE)</f>
        <v>1.153734747079966E-2</v>
      </c>
      <c r="G174" s="76">
        <f t="shared" si="23"/>
        <v>1.153734747079966E-2</v>
      </c>
      <c r="H174" s="76">
        <f t="shared" si="23"/>
        <v>1.153734747079966E-2</v>
      </c>
      <c r="I174" s="76">
        <f t="shared" si="23"/>
        <v>1.153734747079966E-2</v>
      </c>
      <c r="J174" s="76">
        <f t="shared" si="23"/>
        <v>1.153734747079966E-2</v>
      </c>
      <c r="K174" s="76">
        <f t="shared" si="23"/>
        <v>1.153734747079966E-2</v>
      </c>
      <c r="L174" s="76">
        <f t="shared" si="23"/>
        <v>1.153734747079966E-2</v>
      </c>
      <c r="M174" s="76">
        <f t="shared" si="23"/>
        <v>1.153734747079966E-2</v>
      </c>
      <c r="N174" s="76">
        <f t="shared" si="23"/>
        <v>1.153734747079966E-2</v>
      </c>
      <c r="O174" s="76">
        <f t="shared" si="23"/>
        <v>1.153734747079966E-2</v>
      </c>
      <c r="P174" s="76">
        <f t="shared" si="23"/>
        <v>1.153734747079966E-2</v>
      </c>
    </row>
    <row r="175" spans="1:16">
      <c r="A175" s="84" t="s">
        <v>423</v>
      </c>
      <c r="B175" s="85" t="s">
        <v>422</v>
      </c>
      <c r="C175" s="85" t="s">
        <v>83</v>
      </c>
      <c r="D175" s="84" t="s">
        <v>84</v>
      </c>
      <c r="E175" s="84" t="str">
        <f>VLOOKUP(A175,'2a. SI Pop'!$A$5:$E$198,5,FALSE)</f>
        <v>Key</v>
      </c>
      <c r="F175" s="76">
        <f>VLOOKUP(A175,Input!$T$5:$U$24,2,FALSE)</f>
        <v>0.46963055729492797</v>
      </c>
      <c r="G175" s="76">
        <f t="shared" si="23"/>
        <v>0.46963055729492797</v>
      </c>
      <c r="H175" s="76">
        <f t="shared" si="23"/>
        <v>0.46963055729492797</v>
      </c>
      <c r="I175" s="76">
        <f t="shared" si="23"/>
        <v>0.46963055729492797</v>
      </c>
      <c r="J175" s="76">
        <f t="shared" si="23"/>
        <v>0.46963055729492797</v>
      </c>
      <c r="K175" s="76">
        <f t="shared" si="23"/>
        <v>0.46963055729492797</v>
      </c>
      <c r="L175" s="76">
        <f t="shared" si="23"/>
        <v>0.46963055729492797</v>
      </c>
      <c r="M175" s="76">
        <f t="shared" si="23"/>
        <v>0.46963055729492797</v>
      </c>
      <c r="N175" s="76">
        <f t="shared" si="23"/>
        <v>0.46963055729492797</v>
      </c>
      <c r="O175" s="76">
        <f t="shared" si="23"/>
        <v>0.46963055729492797</v>
      </c>
      <c r="P175" s="76">
        <f t="shared" si="23"/>
        <v>0.46963055729492797</v>
      </c>
    </row>
    <row r="176" spans="1:16">
      <c r="A176" s="84" t="s">
        <v>425</v>
      </c>
      <c r="B176" s="85" t="s">
        <v>424</v>
      </c>
      <c r="C176" s="85" t="s">
        <v>79</v>
      </c>
      <c r="D176" s="84" t="s">
        <v>75</v>
      </c>
      <c r="E176" s="84">
        <f>VLOOKUP(A176,'2a. SI Pop'!$A$5:$E$198,5,FALSE)</f>
        <v>2</v>
      </c>
      <c r="F176" s="76">
        <f>VLOOKUP(E176,Input!$T$5:$U$24,2,FALSE)</f>
        <v>1.153734747079966E-2</v>
      </c>
      <c r="G176" s="76">
        <f t="shared" si="23"/>
        <v>1.153734747079966E-2</v>
      </c>
      <c r="H176" s="76">
        <f t="shared" si="23"/>
        <v>1.153734747079966E-2</v>
      </c>
      <c r="I176" s="76">
        <f t="shared" si="23"/>
        <v>1.153734747079966E-2</v>
      </c>
      <c r="J176" s="76">
        <f t="shared" si="23"/>
        <v>1.153734747079966E-2</v>
      </c>
      <c r="K176" s="76">
        <f t="shared" si="23"/>
        <v>1.153734747079966E-2</v>
      </c>
      <c r="L176" s="76">
        <f t="shared" si="23"/>
        <v>1.153734747079966E-2</v>
      </c>
      <c r="M176" s="76">
        <f t="shared" si="23"/>
        <v>1.153734747079966E-2</v>
      </c>
      <c r="N176" s="76">
        <f t="shared" si="23"/>
        <v>1.153734747079966E-2</v>
      </c>
      <c r="O176" s="76">
        <f t="shared" si="23"/>
        <v>1.153734747079966E-2</v>
      </c>
      <c r="P176" s="76">
        <f t="shared" si="23"/>
        <v>1.153734747079966E-2</v>
      </c>
    </row>
    <row r="177" spans="1:16">
      <c r="A177" s="84" t="s">
        <v>427</v>
      </c>
      <c r="B177" s="85" t="s">
        <v>426</v>
      </c>
      <c r="C177" s="85" t="s">
        <v>110</v>
      </c>
      <c r="D177" s="84" t="s">
        <v>80</v>
      </c>
      <c r="E177" s="84">
        <f>VLOOKUP(A177,'2a. SI Pop'!$A$5:$E$198,5,FALSE)</f>
        <v>1</v>
      </c>
      <c r="F177" s="76">
        <f>VLOOKUP(E177,Input!$T$5:$U$24,2,FALSE)</f>
        <v>2.3190152964693054</v>
      </c>
      <c r="G177" s="76">
        <f t="shared" si="23"/>
        <v>2.3190152964693054</v>
      </c>
      <c r="H177" s="76">
        <f t="shared" si="23"/>
        <v>2.3190152964693054</v>
      </c>
      <c r="I177" s="76">
        <f t="shared" si="23"/>
        <v>2.3190152964693054</v>
      </c>
      <c r="J177" s="76">
        <f t="shared" si="23"/>
        <v>2.3190152964693054</v>
      </c>
      <c r="K177" s="76">
        <f t="shared" si="23"/>
        <v>2.3190152964693054</v>
      </c>
      <c r="L177" s="76">
        <f t="shared" si="23"/>
        <v>2.3190152964693054</v>
      </c>
      <c r="M177" s="76">
        <f t="shared" si="23"/>
        <v>2.3190152964693054</v>
      </c>
      <c r="N177" s="76">
        <f t="shared" si="23"/>
        <v>2.3190152964693054</v>
      </c>
      <c r="O177" s="76">
        <f t="shared" si="23"/>
        <v>2.3190152964693054</v>
      </c>
      <c r="P177" s="76">
        <f t="shared" si="23"/>
        <v>2.3190152964693054</v>
      </c>
    </row>
    <row r="178" spans="1:16">
      <c r="A178" s="84" t="s">
        <v>429</v>
      </c>
      <c r="B178" s="85" t="s">
        <v>428</v>
      </c>
      <c r="C178" s="85" t="s">
        <v>110</v>
      </c>
      <c r="D178" s="84" t="s">
        <v>84</v>
      </c>
      <c r="E178" s="84">
        <f>VLOOKUP(A178,'2a. SI Pop'!$A$5:$E$198,5,FALSE)</f>
        <v>4</v>
      </c>
      <c r="F178" s="76">
        <f>VLOOKUP(E178,Input!$T$5:$U$24,2,FALSE)</f>
        <v>1.7360756259580992</v>
      </c>
      <c r="G178" s="76">
        <f t="shared" si="23"/>
        <v>1.7360756259580992</v>
      </c>
      <c r="H178" s="76">
        <f t="shared" si="23"/>
        <v>1.7360756259580992</v>
      </c>
      <c r="I178" s="76">
        <f t="shared" si="23"/>
        <v>1.7360756259580992</v>
      </c>
      <c r="J178" s="76">
        <f t="shared" si="23"/>
        <v>1.7360756259580992</v>
      </c>
      <c r="K178" s="76">
        <f t="shared" si="23"/>
        <v>1.7360756259580992</v>
      </c>
      <c r="L178" s="76">
        <f t="shared" si="23"/>
        <v>1.7360756259580992</v>
      </c>
      <c r="M178" s="76">
        <f t="shared" si="23"/>
        <v>1.7360756259580992</v>
      </c>
      <c r="N178" s="76">
        <f t="shared" si="23"/>
        <v>1.7360756259580992</v>
      </c>
      <c r="O178" s="76">
        <f t="shared" si="23"/>
        <v>1.7360756259580992</v>
      </c>
      <c r="P178" s="76">
        <f t="shared" si="23"/>
        <v>1.7360756259580992</v>
      </c>
    </row>
    <row r="179" spans="1:16">
      <c r="A179" s="84" t="s">
        <v>431</v>
      </c>
      <c r="B179" s="85" t="s">
        <v>430</v>
      </c>
      <c r="C179" s="85" t="s">
        <v>83</v>
      </c>
      <c r="D179" s="84" t="s">
        <v>75</v>
      </c>
      <c r="E179" s="84">
        <f>VLOOKUP(A179,'2a. SI Pop'!$A$5:$E$198,5,FALSE)</f>
        <v>3</v>
      </c>
      <c r="F179" s="76">
        <f>VLOOKUP(E179,Input!$T$5:$U$24,2,FALSE)</f>
        <v>0.53368993694944578</v>
      </c>
      <c r="G179" s="76">
        <f t="shared" si="23"/>
        <v>0.53368993694944578</v>
      </c>
      <c r="H179" s="76">
        <f t="shared" si="23"/>
        <v>0.53368993694944578</v>
      </c>
      <c r="I179" s="76">
        <f t="shared" si="23"/>
        <v>0.53368993694944578</v>
      </c>
      <c r="J179" s="76">
        <f t="shared" si="23"/>
        <v>0.53368993694944578</v>
      </c>
      <c r="K179" s="76">
        <f t="shared" si="23"/>
        <v>0.53368993694944578</v>
      </c>
      <c r="L179" s="76">
        <f t="shared" si="23"/>
        <v>0.53368993694944578</v>
      </c>
      <c r="M179" s="76">
        <f t="shared" si="23"/>
        <v>0.53368993694944578</v>
      </c>
      <c r="N179" s="76">
        <f t="shared" si="23"/>
        <v>0.53368993694944578</v>
      </c>
      <c r="O179" s="76">
        <f t="shared" si="23"/>
        <v>0.53368993694944578</v>
      </c>
      <c r="P179" s="76">
        <f t="shared" si="23"/>
        <v>0.53368993694944578</v>
      </c>
    </row>
    <row r="180" spans="1:16">
      <c r="A180" s="84" t="s">
        <v>433</v>
      </c>
      <c r="B180" s="85" t="s">
        <v>432</v>
      </c>
      <c r="C180" s="85" t="s">
        <v>99</v>
      </c>
      <c r="D180" s="84" t="s">
        <v>80</v>
      </c>
      <c r="E180" s="84">
        <f>VLOOKUP(A180,'2a. SI Pop'!$A$5:$E$198,5,FALSE)</f>
        <v>1</v>
      </c>
      <c r="F180" s="76">
        <f>VLOOKUP(E180,Input!$T$5:$U$24,2,FALSE)</f>
        <v>2.3190152964693054</v>
      </c>
      <c r="G180" s="76">
        <f t="shared" si="23"/>
        <v>2.3190152964693054</v>
      </c>
      <c r="H180" s="76">
        <f t="shared" si="23"/>
        <v>2.3190152964693054</v>
      </c>
      <c r="I180" s="76">
        <f t="shared" si="23"/>
        <v>2.3190152964693054</v>
      </c>
      <c r="J180" s="76">
        <f t="shared" si="23"/>
        <v>2.3190152964693054</v>
      </c>
      <c r="K180" s="76">
        <f t="shared" si="23"/>
        <v>2.3190152964693054</v>
      </c>
      <c r="L180" s="76">
        <f t="shared" si="23"/>
        <v>2.3190152964693054</v>
      </c>
      <c r="M180" s="76">
        <f t="shared" si="23"/>
        <v>2.3190152964693054</v>
      </c>
      <c r="N180" s="76">
        <f t="shared" si="23"/>
        <v>2.3190152964693054</v>
      </c>
      <c r="O180" s="76">
        <f t="shared" si="23"/>
        <v>2.3190152964693054</v>
      </c>
      <c r="P180" s="76">
        <f t="shared" si="23"/>
        <v>2.3190152964693054</v>
      </c>
    </row>
    <row r="181" spans="1:16">
      <c r="A181" s="84" t="s">
        <v>435</v>
      </c>
      <c r="B181" s="85" t="s">
        <v>434</v>
      </c>
      <c r="C181" s="85" t="s">
        <v>92</v>
      </c>
      <c r="D181" s="84" t="s">
        <v>87</v>
      </c>
      <c r="E181" s="84">
        <f>VLOOKUP(A181,'2a. SI Pop'!$A$5:$E$198,5,FALSE)</f>
        <v>1</v>
      </c>
      <c r="F181" s="76">
        <f>VLOOKUP(E181,Input!$T$5:$U$24,2,FALSE)</f>
        <v>2.3190152964693054</v>
      </c>
      <c r="G181" s="76">
        <f t="shared" si="23"/>
        <v>2.3190152964693054</v>
      </c>
      <c r="H181" s="76">
        <f t="shared" si="23"/>
        <v>2.3190152964693054</v>
      </c>
      <c r="I181" s="76">
        <f t="shared" si="23"/>
        <v>2.3190152964693054</v>
      </c>
      <c r="J181" s="76">
        <f t="shared" si="23"/>
        <v>2.3190152964693054</v>
      </c>
      <c r="K181" s="76">
        <f t="shared" si="23"/>
        <v>2.3190152964693054</v>
      </c>
      <c r="L181" s="76">
        <f t="shared" si="23"/>
        <v>2.3190152964693054</v>
      </c>
      <c r="M181" s="76">
        <f t="shared" si="23"/>
        <v>2.3190152964693054</v>
      </c>
      <c r="N181" s="76">
        <f t="shared" si="23"/>
        <v>2.3190152964693054</v>
      </c>
      <c r="O181" s="76">
        <f t="shared" si="23"/>
        <v>2.3190152964693054</v>
      </c>
      <c r="P181" s="76">
        <f t="shared" si="23"/>
        <v>2.3190152964693054</v>
      </c>
    </row>
    <row r="182" spans="1:16">
      <c r="A182" s="84" t="s">
        <v>437</v>
      </c>
      <c r="B182" s="85" t="s">
        <v>436</v>
      </c>
      <c r="C182" s="85" t="s">
        <v>74</v>
      </c>
      <c r="D182" s="84" t="s">
        <v>84</v>
      </c>
      <c r="E182" s="84">
        <f>VLOOKUP(A182,'2a. SI Pop'!$A$5:$E$198,5,FALSE)</f>
        <v>3</v>
      </c>
      <c r="F182" s="76">
        <f>VLOOKUP(E182,Input!$T$5:$U$24,2,FALSE)</f>
        <v>0.53368993694944578</v>
      </c>
      <c r="G182" s="76">
        <f t="shared" ref="G182:P197" si="24">F182</f>
        <v>0.53368993694944578</v>
      </c>
      <c r="H182" s="76">
        <f t="shared" si="24"/>
        <v>0.53368993694944578</v>
      </c>
      <c r="I182" s="76">
        <f t="shared" si="24"/>
        <v>0.53368993694944578</v>
      </c>
      <c r="J182" s="76">
        <f t="shared" si="24"/>
        <v>0.53368993694944578</v>
      </c>
      <c r="K182" s="76">
        <f t="shared" si="24"/>
        <v>0.53368993694944578</v>
      </c>
      <c r="L182" s="76">
        <f t="shared" si="24"/>
        <v>0.53368993694944578</v>
      </c>
      <c r="M182" s="76">
        <f t="shared" si="24"/>
        <v>0.53368993694944578</v>
      </c>
      <c r="N182" s="76">
        <f t="shared" si="24"/>
        <v>0.53368993694944578</v>
      </c>
      <c r="O182" s="76">
        <f t="shared" si="24"/>
        <v>0.53368993694944578</v>
      </c>
      <c r="P182" s="76">
        <f t="shared" si="24"/>
        <v>0.53368993694944578</v>
      </c>
    </row>
    <row r="183" spans="1:16">
      <c r="A183" s="84" t="s">
        <v>439</v>
      </c>
      <c r="B183" s="85" t="s">
        <v>438</v>
      </c>
      <c r="C183" s="85" t="s">
        <v>79</v>
      </c>
      <c r="D183" s="84" t="s">
        <v>80</v>
      </c>
      <c r="E183" s="84">
        <f>VLOOKUP(A183,'2a. SI Pop'!$A$5:$E$198,5,FALSE)</f>
        <v>1</v>
      </c>
      <c r="F183" s="76">
        <f>VLOOKUP(E183,Input!$T$5:$U$24,2,FALSE)</f>
        <v>2.3190152964693054</v>
      </c>
      <c r="G183" s="76">
        <f t="shared" si="24"/>
        <v>2.3190152964693054</v>
      </c>
      <c r="H183" s="76">
        <f t="shared" si="24"/>
        <v>2.3190152964693054</v>
      </c>
      <c r="I183" s="76">
        <f t="shared" si="24"/>
        <v>2.3190152964693054</v>
      </c>
      <c r="J183" s="76">
        <f t="shared" si="24"/>
        <v>2.3190152964693054</v>
      </c>
      <c r="K183" s="76">
        <f t="shared" si="24"/>
        <v>2.3190152964693054</v>
      </c>
      <c r="L183" s="76">
        <f t="shared" si="24"/>
        <v>2.3190152964693054</v>
      </c>
      <c r="M183" s="76">
        <f t="shared" si="24"/>
        <v>2.3190152964693054</v>
      </c>
      <c r="N183" s="76">
        <f t="shared" si="24"/>
        <v>2.3190152964693054</v>
      </c>
      <c r="O183" s="76">
        <f t="shared" si="24"/>
        <v>2.3190152964693054</v>
      </c>
      <c r="P183" s="76">
        <f t="shared" si="24"/>
        <v>2.3190152964693054</v>
      </c>
    </row>
    <row r="184" spans="1:16">
      <c r="A184" s="84" t="s">
        <v>441</v>
      </c>
      <c r="B184" s="85" t="s">
        <v>440</v>
      </c>
      <c r="C184" s="85" t="s">
        <v>79</v>
      </c>
      <c r="D184" s="84" t="s">
        <v>80</v>
      </c>
      <c r="E184" s="84">
        <f>VLOOKUP(A184,'2a. SI Pop'!$A$5:$E$198,5,FALSE)</f>
        <v>1</v>
      </c>
      <c r="F184" s="76">
        <f>VLOOKUP(E184,Input!$T$5:$U$24,2,FALSE)</f>
        <v>2.3190152964693054</v>
      </c>
      <c r="G184" s="76">
        <f t="shared" si="24"/>
        <v>2.3190152964693054</v>
      </c>
      <c r="H184" s="76">
        <f t="shared" si="24"/>
        <v>2.3190152964693054</v>
      </c>
      <c r="I184" s="76">
        <f t="shared" si="24"/>
        <v>2.3190152964693054</v>
      </c>
      <c r="J184" s="76">
        <f t="shared" si="24"/>
        <v>2.3190152964693054</v>
      </c>
      <c r="K184" s="76">
        <f t="shared" si="24"/>
        <v>2.3190152964693054</v>
      </c>
      <c r="L184" s="76">
        <f t="shared" si="24"/>
        <v>2.3190152964693054</v>
      </c>
      <c r="M184" s="76">
        <f t="shared" si="24"/>
        <v>2.3190152964693054</v>
      </c>
      <c r="N184" s="76">
        <f t="shared" si="24"/>
        <v>2.3190152964693054</v>
      </c>
      <c r="O184" s="76">
        <f t="shared" si="24"/>
        <v>2.3190152964693054</v>
      </c>
      <c r="P184" s="76">
        <f t="shared" si="24"/>
        <v>2.3190152964693054</v>
      </c>
    </row>
    <row r="185" spans="1:16">
      <c r="A185" s="84" t="s">
        <v>443</v>
      </c>
      <c r="B185" s="85" t="s">
        <v>442</v>
      </c>
      <c r="C185" s="85" t="s">
        <v>99</v>
      </c>
      <c r="D185" s="84" t="s">
        <v>80</v>
      </c>
      <c r="E185" s="84">
        <f>VLOOKUP(A185,'2a. SI Pop'!$A$5:$E$198,5,FALSE)</f>
        <v>4</v>
      </c>
      <c r="F185" s="76">
        <f>VLOOKUP(E185,Input!$T$5:$U$24,2,FALSE)</f>
        <v>1.7360756259580992</v>
      </c>
      <c r="G185" s="76">
        <f t="shared" si="24"/>
        <v>1.7360756259580992</v>
      </c>
      <c r="H185" s="76">
        <f t="shared" si="24"/>
        <v>1.7360756259580992</v>
      </c>
      <c r="I185" s="76">
        <f t="shared" si="24"/>
        <v>1.7360756259580992</v>
      </c>
      <c r="J185" s="76">
        <f t="shared" si="24"/>
        <v>1.7360756259580992</v>
      </c>
      <c r="K185" s="76">
        <f t="shared" si="24"/>
        <v>1.7360756259580992</v>
      </c>
      <c r="L185" s="76">
        <f t="shared" si="24"/>
        <v>1.7360756259580992</v>
      </c>
      <c r="M185" s="76">
        <f t="shared" si="24"/>
        <v>1.7360756259580992</v>
      </c>
      <c r="N185" s="76">
        <f t="shared" si="24"/>
        <v>1.7360756259580992</v>
      </c>
      <c r="O185" s="76">
        <f t="shared" si="24"/>
        <v>1.7360756259580992</v>
      </c>
      <c r="P185" s="76">
        <f t="shared" si="24"/>
        <v>1.7360756259580992</v>
      </c>
    </row>
    <row r="186" spans="1:16">
      <c r="A186" s="84" t="s">
        <v>445</v>
      </c>
      <c r="B186" s="85" t="s">
        <v>444</v>
      </c>
      <c r="C186" s="85" t="s">
        <v>83</v>
      </c>
      <c r="D186" s="84" t="s">
        <v>75</v>
      </c>
      <c r="E186" s="84" t="str">
        <f>VLOOKUP(A186,'2a. SI Pop'!$A$5:$E$198,5,FALSE)</f>
        <v>Key</v>
      </c>
      <c r="F186" s="76">
        <f>VLOOKUP(A186,Input!$T$5:$U$24,2,FALSE)</f>
        <v>0.53368993694944578</v>
      </c>
      <c r="G186" s="76">
        <f t="shared" si="24"/>
        <v>0.53368993694944578</v>
      </c>
      <c r="H186" s="76">
        <f t="shared" si="24"/>
        <v>0.53368993694944578</v>
      </c>
      <c r="I186" s="76">
        <f t="shared" si="24"/>
        <v>0.53368993694944578</v>
      </c>
      <c r="J186" s="76">
        <f t="shared" si="24"/>
        <v>0.53368993694944578</v>
      </c>
      <c r="K186" s="76">
        <f t="shared" si="24"/>
        <v>0.53368993694944578</v>
      </c>
      <c r="L186" s="76">
        <f t="shared" si="24"/>
        <v>0.53368993694944578</v>
      </c>
      <c r="M186" s="76">
        <f t="shared" si="24"/>
        <v>0.53368993694944578</v>
      </c>
      <c r="N186" s="76">
        <f t="shared" si="24"/>
        <v>0.53368993694944578</v>
      </c>
      <c r="O186" s="76">
        <f t="shared" si="24"/>
        <v>0.53368993694944578</v>
      </c>
      <c r="P186" s="76">
        <f t="shared" si="24"/>
        <v>0.53368993694944578</v>
      </c>
    </row>
    <row r="187" spans="1:16">
      <c r="A187" s="84" t="s">
        <v>447</v>
      </c>
      <c r="B187" s="85" t="s">
        <v>446</v>
      </c>
      <c r="C187" s="85" t="s">
        <v>79</v>
      </c>
      <c r="D187" s="84" t="s">
        <v>84</v>
      </c>
      <c r="E187" s="84">
        <f>VLOOKUP(A187,'2a. SI Pop'!$A$5:$E$198,5,FALSE)</f>
        <v>1</v>
      </c>
      <c r="F187" s="76">
        <f>VLOOKUP(E187,Input!$T$5:$U$24,2,FALSE)</f>
        <v>2.3190152964693054</v>
      </c>
      <c r="G187" s="76">
        <f t="shared" si="24"/>
        <v>2.3190152964693054</v>
      </c>
      <c r="H187" s="76">
        <f t="shared" si="24"/>
        <v>2.3190152964693054</v>
      </c>
      <c r="I187" s="76">
        <f t="shared" si="24"/>
        <v>2.3190152964693054</v>
      </c>
      <c r="J187" s="76">
        <f t="shared" si="24"/>
        <v>2.3190152964693054</v>
      </c>
      <c r="K187" s="76">
        <f t="shared" si="24"/>
        <v>2.3190152964693054</v>
      </c>
      <c r="L187" s="76">
        <f t="shared" si="24"/>
        <v>2.3190152964693054</v>
      </c>
      <c r="M187" s="76">
        <f t="shared" si="24"/>
        <v>2.3190152964693054</v>
      </c>
      <c r="N187" s="76">
        <f t="shared" si="24"/>
        <v>2.3190152964693054</v>
      </c>
      <c r="O187" s="76">
        <f t="shared" si="24"/>
        <v>2.3190152964693054</v>
      </c>
      <c r="P187" s="76">
        <f t="shared" si="24"/>
        <v>2.3190152964693054</v>
      </c>
    </row>
    <row r="188" spans="1:16">
      <c r="A188" s="84" t="s">
        <v>449</v>
      </c>
      <c r="B188" s="85" t="s">
        <v>448</v>
      </c>
      <c r="C188" s="85" t="s">
        <v>74</v>
      </c>
      <c r="D188" s="84" t="s">
        <v>87</v>
      </c>
      <c r="E188" s="84">
        <f>VLOOKUP(A188,'2a. SI Pop'!$A$5:$E$198,5,FALSE)</f>
        <v>1</v>
      </c>
      <c r="F188" s="76">
        <f>VLOOKUP(E188,Input!$T$5:$U$24,2,FALSE)</f>
        <v>2.3190152964693054</v>
      </c>
      <c r="G188" s="76">
        <f t="shared" si="24"/>
        <v>2.3190152964693054</v>
      </c>
      <c r="H188" s="76">
        <f t="shared" si="24"/>
        <v>2.3190152964693054</v>
      </c>
      <c r="I188" s="76">
        <f t="shared" si="24"/>
        <v>2.3190152964693054</v>
      </c>
      <c r="J188" s="76">
        <f t="shared" si="24"/>
        <v>2.3190152964693054</v>
      </c>
      <c r="K188" s="76">
        <f t="shared" si="24"/>
        <v>2.3190152964693054</v>
      </c>
      <c r="L188" s="76">
        <f t="shared" si="24"/>
        <v>2.3190152964693054</v>
      </c>
      <c r="M188" s="76">
        <f t="shared" si="24"/>
        <v>2.3190152964693054</v>
      </c>
      <c r="N188" s="76">
        <f t="shared" si="24"/>
        <v>2.3190152964693054</v>
      </c>
      <c r="O188" s="76">
        <f t="shared" si="24"/>
        <v>2.3190152964693054</v>
      </c>
      <c r="P188" s="76">
        <f t="shared" si="24"/>
        <v>2.3190152964693054</v>
      </c>
    </row>
    <row r="189" spans="1:16">
      <c r="A189" s="84" t="s">
        <v>451</v>
      </c>
      <c r="B189" s="85" t="s">
        <v>450</v>
      </c>
      <c r="C189" s="85" t="s">
        <v>79</v>
      </c>
      <c r="D189" s="84" t="s">
        <v>87</v>
      </c>
      <c r="E189" s="84">
        <f>VLOOKUP(A189,'2a. SI Pop'!$A$5:$E$198,5,FALSE)</f>
        <v>1</v>
      </c>
      <c r="F189" s="76">
        <f>VLOOKUP(E189,Input!$T$5:$U$24,2,FALSE)</f>
        <v>2.3190152964693054</v>
      </c>
      <c r="G189" s="76">
        <f t="shared" si="24"/>
        <v>2.3190152964693054</v>
      </c>
      <c r="H189" s="76">
        <f t="shared" si="24"/>
        <v>2.3190152964693054</v>
      </c>
      <c r="I189" s="76">
        <f t="shared" si="24"/>
        <v>2.3190152964693054</v>
      </c>
      <c r="J189" s="76">
        <f t="shared" si="24"/>
        <v>2.3190152964693054</v>
      </c>
      <c r="K189" s="76">
        <f t="shared" si="24"/>
        <v>2.3190152964693054</v>
      </c>
      <c r="L189" s="76">
        <f t="shared" si="24"/>
        <v>2.3190152964693054</v>
      </c>
      <c r="M189" s="76">
        <f t="shared" si="24"/>
        <v>2.3190152964693054</v>
      </c>
      <c r="N189" s="76">
        <f t="shared" si="24"/>
        <v>2.3190152964693054</v>
      </c>
      <c r="O189" s="76">
        <f t="shared" si="24"/>
        <v>2.3190152964693054</v>
      </c>
      <c r="P189" s="76">
        <f t="shared" si="24"/>
        <v>2.3190152964693054</v>
      </c>
    </row>
    <row r="190" spans="1:16">
      <c r="A190" s="84" t="s">
        <v>453</v>
      </c>
      <c r="B190" s="85" t="s">
        <v>452</v>
      </c>
      <c r="C190" s="85" t="s">
        <v>92</v>
      </c>
      <c r="D190" s="84" t="s">
        <v>87</v>
      </c>
      <c r="E190" s="84" t="str">
        <f>VLOOKUP(A190,'2a. SI Pop'!$A$5:$E$198,5,FALSE)</f>
        <v>Key</v>
      </c>
      <c r="F190" s="76">
        <f>VLOOKUP(A190,Input!$T$5:$U$24,2,FALSE)</f>
        <v>2.3190152964693054</v>
      </c>
      <c r="G190" s="76">
        <f t="shared" si="24"/>
        <v>2.3190152964693054</v>
      </c>
      <c r="H190" s="76">
        <f t="shared" si="24"/>
        <v>2.3190152964693054</v>
      </c>
      <c r="I190" s="76">
        <f t="shared" si="24"/>
        <v>2.3190152964693054</v>
      </c>
      <c r="J190" s="76">
        <f t="shared" si="24"/>
        <v>2.3190152964693054</v>
      </c>
      <c r="K190" s="76">
        <f t="shared" si="24"/>
        <v>2.3190152964693054</v>
      </c>
      <c r="L190" s="76">
        <f t="shared" si="24"/>
        <v>2.3190152964693054</v>
      </c>
      <c r="M190" s="76">
        <f t="shared" si="24"/>
        <v>2.3190152964693054</v>
      </c>
      <c r="N190" s="76">
        <f t="shared" si="24"/>
        <v>2.3190152964693054</v>
      </c>
      <c r="O190" s="76">
        <f t="shared" si="24"/>
        <v>2.3190152964693054</v>
      </c>
      <c r="P190" s="76">
        <f t="shared" si="24"/>
        <v>2.3190152964693054</v>
      </c>
    </row>
    <row r="191" spans="1:16">
      <c r="A191" s="84" t="s">
        <v>455</v>
      </c>
      <c r="B191" s="85" t="s">
        <v>454</v>
      </c>
      <c r="C191" s="85" t="s">
        <v>92</v>
      </c>
      <c r="D191" s="84" t="s">
        <v>87</v>
      </c>
      <c r="E191" s="84">
        <f>VLOOKUP(A191,'2a. SI Pop'!$A$5:$E$198,5,FALSE)</f>
        <v>1</v>
      </c>
      <c r="F191" s="76">
        <f>VLOOKUP(E191,Input!$T$5:$U$24,2,FALSE)</f>
        <v>2.3190152964693054</v>
      </c>
      <c r="G191" s="76">
        <f t="shared" si="24"/>
        <v>2.3190152964693054</v>
      </c>
      <c r="H191" s="76">
        <f t="shared" si="24"/>
        <v>2.3190152964693054</v>
      </c>
      <c r="I191" s="76">
        <f t="shared" si="24"/>
        <v>2.3190152964693054</v>
      </c>
      <c r="J191" s="76">
        <f t="shared" si="24"/>
        <v>2.3190152964693054</v>
      </c>
      <c r="K191" s="76">
        <f t="shared" si="24"/>
        <v>2.3190152964693054</v>
      </c>
      <c r="L191" s="76">
        <f t="shared" si="24"/>
        <v>2.3190152964693054</v>
      </c>
      <c r="M191" s="76">
        <f t="shared" si="24"/>
        <v>2.3190152964693054</v>
      </c>
      <c r="N191" s="76">
        <f t="shared" si="24"/>
        <v>2.3190152964693054</v>
      </c>
      <c r="O191" s="76">
        <f t="shared" si="24"/>
        <v>2.3190152964693054</v>
      </c>
      <c r="P191" s="76">
        <f t="shared" si="24"/>
        <v>2.3190152964693054</v>
      </c>
    </row>
    <row r="192" spans="1:16">
      <c r="A192" s="84" t="s">
        <v>457</v>
      </c>
      <c r="B192" s="85" t="s">
        <v>456</v>
      </c>
      <c r="C192" s="85" t="s">
        <v>79</v>
      </c>
      <c r="D192" s="84" t="s">
        <v>84</v>
      </c>
      <c r="E192" s="84">
        <f>VLOOKUP(A192,'2a. SI Pop'!$A$5:$E$198,5,FALSE)</f>
        <v>2</v>
      </c>
      <c r="F192" s="76">
        <f>VLOOKUP(E192,Input!$T$5:$U$24,2,FALSE)</f>
        <v>1.153734747079966E-2</v>
      </c>
      <c r="G192" s="76">
        <f t="shared" si="24"/>
        <v>1.153734747079966E-2</v>
      </c>
      <c r="H192" s="76">
        <f t="shared" si="24"/>
        <v>1.153734747079966E-2</v>
      </c>
      <c r="I192" s="76">
        <f t="shared" si="24"/>
        <v>1.153734747079966E-2</v>
      </c>
      <c r="J192" s="76">
        <f t="shared" si="24"/>
        <v>1.153734747079966E-2</v>
      </c>
      <c r="K192" s="76">
        <f t="shared" si="24"/>
        <v>1.153734747079966E-2</v>
      </c>
      <c r="L192" s="76">
        <f t="shared" si="24"/>
        <v>1.153734747079966E-2</v>
      </c>
      <c r="M192" s="76">
        <f t="shared" si="24"/>
        <v>1.153734747079966E-2</v>
      </c>
      <c r="N192" s="76">
        <f t="shared" si="24"/>
        <v>1.153734747079966E-2</v>
      </c>
      <c r="O192" s="76">
        <f t="shared" si="24"/>
        <v>1.153734747079966E-2</v>
      </c>
      <c r="P192" s="76">
        <f t="shared" si="24"/>
        <v>1.153734747079966E-2</v>
      </c>
    </row>
    <row r="193" spans="1:16">
      <c r="A193" s="84" t="s">
        <v>459</v>
      </c>
      <c r="B193" s="85" t="s">
        <v>458</v>
      </c>
      <c r="C193" s="85" t="s">
        <v>99</v>
      </c>
      <c r="D193" s="84" t="s">
        <v>84</v>
      </c>
      <c r="E193" s="84">
        <f>VLOOKUP(A193,'2a. SI Pop'!$A$5:$E$198,5,FALSE)</f>
        <v>4</v>
      </c>
      <c r="F193" s="76">
        <f>VLOOKUP(E193,Input!$T$5:$U$24,2,FALSE)</f>
        <v>1.7360756259580992</v>
      </c>
      <c r="G193" s="76">
        <f t="shared" si="24"/>
        <v>1.7360756259580992</v>
      </c>
      <c r="H193" s="76">
        <f t="shared" si="24"/>
        <v>1.7360756259580992</v>
      </c>
      <c r="I193" s="76">
        <f t="shared" si="24"/>
        <v>1.7360756259580992</v>
      </c>
      <c r="J193" s="76">
        <f t="shared" si="24"/>
        <v>1.7360756259580992</v>
      </c>
      <c r="K193" s="76">
        <f t="shared" si="24"/>
        <v>1.7360756259580992</v>
      </c>
      <c r="L193" s="76">
        <f t="shared" si="24"/>
        <v>1.7360756259580992</v>
      </c>
      <c r="M193" s="76">
        <f t="shared" si="24"/>
        <v>1.7360756259580992</v>
      </c>
      <c r="N193" s="76">
        <f t="shared" si="24"/>
        <v>1.7360756259580992</v>
      </c>
      <c r="O193" s="76">
        <f t="shared" si="24"/>
        <v>1.7360756259580992</v>
      </c>
      <c r="P193" s="76">
        <f t="shared" si="24"/>
        <v>1.7360756259580992</v>
      </c>
    </row>
    <row r="194" spans="1:16">
      <c r="A194" s="84" t="s">
        <v>461</v>
      </c>
      <c r="B194" s="85" t="s">
        <v>460</v>
      </c>
      <c r="C194" s="85" t="s">
        <v>92</v>
      </c>
      <c r="D194" s="84" t="s">
        <v>80</v>
      </c>
      <c r="E194" s="84">
        <f>VLOOKUP(A194,'2a. SI Pop'!$A$5:$E$198,5,FALSE)</f>
        <v>1</v>
      </c>
      <c r="F194" s="76">
        <f>VLOOKUP(E194,Input!$T$5:$U$24,2,FALSE)</f>
        <v>2.3190152964693054</v>
      </c>
      <c r="G194" s="76">
        <f t="shared" si="24"/>
        <v>2.3190152964693054</v>
      </c>
      <c r="H194" s="76">
        <f t="shared" si="24"/>
        <v>2.3190152964693054</v>
      </c>
      <c r="I194" s="76">
        <f t="shared" si="24"/>
        <v>2.3190152964693054</v>
      </c>
      <c r="J194" s="76">
        <f t="shared" si="24"/>
        <v>2.3190152964693054</v>
      </c>
      <c r="K194" s="76">
        <f t="shared" si="24"/>
        <v>2.3190152964693054</v>
      </c>
      <c r="L194" s="76">
        <f t="shared" si="24"/>
        <v>2.3190152964693054</v>
      </c>
      <c r="M194" s="76">
        <f t="shared" si="24"/>
        <v>2.3190152964693054</v>
      </c>
      <c r="N194" s="76">
        <f t="shared" si="24"/>
        <v>2.3190152964693054</v>
      </c>
      <c r="O194" s="76">
        <f t="shared" si="24"/>
        <v>2.3190152964693054</v>
      </c>
      <c r="P194" s="76">
        <f t="shared" si="24"/>
        <v>2.3190152964693054</v>
      </c>
    </row>
    <row r="195" spans="1:16">
      <c r="A195" s="84" t="s">
        <v>463</v>
      </c>
      <c r="B195" s="85" t="s">
        <v>462</v>
      </c>
      <c r="C195" s="85" t="s">
        <v>99</v>
      </c>
      <c r="D195" s="84" t="s">
        <v>84</v>
      </c>
      <c r="E195" s="84">
        <f>VLOOKUP(A195,'2a. SI Pop'!$A$5:$E$198,5,FALSE)</f>
        <v>4</v>
      </c>
      <c r="F195" s="76">
        <f>VLOOKUP(E195,Input!$T$5:$U$24,2,FALSE)</f>
        <v>1.7360756259580992</v>
      </c>
      <c r="G195" s="76">
        <f t="shared" si="24"/>
        <v>1.7360756259580992</v>
      </c>
      <c r="H195" s="76">
        <f t="shared" si="24"/>
        <v>1.7360756259580992</v>
      </c>
      <c r="I195" s="76">
        <f t="shared" si="24"/>
        <v>1.7360756259580992</v>
      </c>
      <c r="J195" s="76">
        <f t="shared" si="24"/>
        <v>1.7360756259580992</v>
      </c>
      <c r="K195" s="76">
        <f t="shared" si="24"/>
        <v>1.7360756259580992</v>
      </c>
      <c r="L195" s="76">
        <f t="shared" si="24"/>
        <v>1.7360756259580992</v>
      </c>
      <c r="M195" s="76">
        <f t="shared" si="24"/>
        <v>1.7360756259580992</v>
      </c>
      <c r="N195" s="76">
        <f t="shared" si="24"/>
        <v>1.7360756259580992</v>
      </c>
      <c r="O195" s="76">
        <f t="shared" si="24"/>
        <v>1.7360756259580992</v>
      </c>
      <c r="P195" s="76">
        <f t="shared" si="24"/>
        <v>1.7360756259580992</v>
      </c>
    </row>
    <row r="196" spans="1:16">
      <c r="A196" s="84" t="s">
        <v>465</v>
      </c>
      <c r="B196" s="85" t="s">
        <v>464</v>
      </c>
      <c r="C196" s="85" t="s">
        <v>74</v>
      </c>
      <c r="D196" s="84" t="s">
        <v>75</v>
      </c>
      <c r="E196" s="84">
        <f>VLOOKUP(A196,'2a. SI Pop'!$A$5:$E$198,5,FALSE)</f>
        <v>3</v>
      </c>
      <c r="F196" s="76">
        <f>VLOOKUP(E196,Input!$T$5:$U$24,2,FALSE)</f>
        <v>0.53368993694944578</v>
      </c>
      <c r="G196" s="76">
        <f t="shared" si="24"/>
        <v>0.53368993694944578</v>
      </c>
      <c r="H196" s="76">
        <f t="shared" si="24"/>
        <v>0.53368993694944578</v>
      </c>
      <c r="I196" s="76">
        <f t="shared" si="24"/>
        <v>0.53368993694944578</v>
      </c>
      <c r="J196" s="76">
        <f t="shared" si="24"/>
        <v>0.53368993694944578</v>
      </c>
      <c r="K196" s="76">
        <f t="shared" si="24"/>
        <v>0.53368993694944578</v>
      </c>
      <c r="L196" s="76">
        <f t="shared" si="24"/>
        <v>0.53368993694944578</v>
      </c>
      <c r="M196" s="76">
        <f t="shared" si="24"/>
        <v>0.53368993694944578</v>
      </c>
      <c r="N196" s="76">
        <f t="shared" si="24"/>
        <v>0.53368993694944578</v>
      </c>
      <c r="O196" s="76">
        <f t="shared" si="24"/>
        <v>0.53368993694944578</v>
      </c>
      <c r="P196" s="76">
        <f t="shared" si="24"/>
        <v>0.53368993694944578</v>
      </c>
    </row>
    <row r="197" spans="1:16">
      <c r="A197" s="84" t="s">
        <v>467</v>
      </c>
      <c r="B197" s="85" t="s">
        <v>466</v>
      </c>
      <c r="C197" s="85" t="s">
        <v>83</v>
      </c>
      <c r="D197" s="84" t="s">
        <v>84</v>
      </c>
      <c r="E197" s="84">
        <f>VLOOKUP(A197,'2a. SI Pop'!$A$5:$E$198,5,FALSE)</f>
        <v>3</v>
      </c>
      <c r="F197" s="76">
        <f>VLOOKUP(E197,Input!$T$5:$U$24,2,FALSE)</f>
        <v>0.53368993694944578</v>
      </c>
      <c r="G197" s="76">
        <f t="shared" si="24"/>
        <v>0.53368993694944578</v>
      </c>
      <c r="H197" s="76">
        <f t="shared" si="24"/>
        <v>0.53368993694944578</v>
      </c>
      <c r="I197" s="76">
        <f t="shared" si="24"/>
        <v>0.53368993694944578</v>
      </c>
      <c r="J197" s="76">
        <f t="shared" si="24"/>
        <v>0.53368993694944578</v>
      </c>
      <c r="K197" s="76">
        <f t="shared" si="24"/>
        <v>0.53368993694944578</v>
      </c>
      <c r="L197" s="76">
        <f t="shared" si="24"/>
        <v>0.53368993694944578</v>
      </c>
      <c r="M197" s="76">
        <f t="shared" si="24"/>
        <v>0.53368993694944578</v>
      </c>
      <c r="N197" s="76">
        <f t="shared" si="24"/>
        <v>0.53368993694944578</v>
      </c>
      <c r="O197" s="76">
        <f t="shared" si="24"/>
        <v>0.53368993694944578</v>
      </c>
      <c r="P197" s="76">
        <f t="shared" si="24"/>
        <v>0.53368993694944578</v>
      </c>
    </row>
    <row r="198" spans="1:16">
      <c r="A198" s="84" t="s">
        <v>469</v>
      </c>
      <c r="B198" s="85" t="s">
        <v>468</v>
      </c>
      <c r="C198" s="85" t="s">
        <v>83</v>
      </c>
      <c r="D198" s="84" t="s">
        <v>84</v>
      </c>
      <c r="E198" s="84">
        <f>VLOOKUP(A198,'2a. SI Pop'!$A$5:$E$198,5,FALSE)</f>
        <v>3</v>
      </c>
      <c r="F198" s="76">
        <f>VLOOKUP(E198,Input!$T$5:$U$24,2,FALSE)</f>
        <v>0.53368993694944578</v>
      </c>
      <c r="G198" s="76">
        <f t="shared" ref="G198:P198" si="25">F198</f>
        <v>0.53368993694944578</v>
      </c>
      <c r="H198" s="76">
        <f t="shared" si="25"/>
        <v>0.53368993694944578</v>
      </c>
      <c r="I198" s="76">
        <f t="shared" si="25"/>
        <v>0.53368993694944578</v>
      </c>
      <c r="J198" s="76">
        <f t="shared" si="25"/>
        <v>0.53368993694944578</v>
      </c>
      <c r="K198" s="76">
        <f t="shared" si="25"/>
        <v>0.53368993694944578</v>
      </c>
      <c r="L198" s="76">
        <f t="shared" si="25"/>
        <v>0.53368993694944578</v>
      </c>
      <c r="M198" s="76">
        <f t="shared" si="25"/>
        <v>0.53368993694944578</v>
      </c>
      <c r="N198" s="76">
        <f t="shared" si="25"/>
        <v>0.53368993694944578</v>
      </c>
      <c r="O198" s="76">
        <f t="shared" si="25"/>
        <v>0.53368993694944578</v>
      </c>
      <c r="P198" s="76">
        <f t="shared" si="25"/>
        <v>0.53368993694944578</v>
      </c>
    </row>
  </sheetData>
  <autoFilter ref="A4:P198" xr:uid="{1BE26F4C-1587-7C4D-887A-C69327E2A753}"/>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9B27B-11C5-9C4C-A0ED-5C7EC9252C6B}">
  <sheetPr>
    <tabColor theme="3" tint="0.59999389629810485"/>
  </sheetPr>
  <dimension ref="A1:Q198"/>
  <sheetViews>
    <sheetView zoomScale="85" zoomScaleNormal="85" workbookViewId="0">
      <selection activeCell="E12" sqref="E12"/>
    </sheetView>
  </sheetViews>
  <sheetFormatPr defaultColWidth="10.85546875" defaultRowHeight="15"/>
  <cols>
    <col min="7" max="17" width="13.7109375" bestFit="1" customWidth="1"/>
  </cols>
  <sheetData>
    <row r="1" spans="1:17">
      <c r="A1" t="s">
        <v>470</v>
      </c>
      <c r="B1" t="s">
        <v>555</v>
      </c>
    </row>
    <row r="2" spans="1:17">
      <c r="A2" t="s">
        <v>471</v>
      </c>
      <c r="B2" t="s">
        <v>494</v>
      </c>
    </row>
    <row r="4" spans="1:17" s="88" customFormat="1">
      <c r="A4" s="86" t="s">
        <v>473</v>
      </c>
      <c r="B4" s="87" t="s">
        <v>64</v>
      </c>
      <c r="C4" s="86" t="s">
        <v>66</v>
      </c>
      <c r="D4" s="86" t="s">
        <v>67</v>
      </c>
      <c r="E4" s="86" t="s">
        <v>68</v>
      </c>
      <c r="F4" s="86" t="s">
        <v>556</v>
      </c>
      <c r="G4" s="88">
        <v>2030</v>
      </c>
      <c r="H4" s="88">
        <f>G4+1</f>
        <v>2031</v>
      </c>
      <c r="I4" s="88">
        <f t="shared" ref="I4:O4" si="0">H4+1</f>
        <v>2032</v>
      </c>
      <c r="J4" s="88">
        <f t="shared" si="0"/>
        <v>2033</v>
      </c>
      <c r="K4" s="88">
        <f t="shared" si="0"/>
        <v>2034</v>
      </c>
      <c r="L4" s="88">
        <f t="shared" si="0"/>
        <v>2035</v>
      </c>
      <c r="M4" s="88">
        <f t="shared" si="0"/>
        <v>2036</v>
      </c>
      <c r="N4" s="88">
        <f t="shared" si="0"/>
        <v>2037</v>
      </c>
      <c r="O4" s="88">
        <f t="shared" si="0"/>
        <v>2038</v>
      </c>
      <c r="P4" s="88">
        <f t="shared" ref="P4:Q4" si="1">O4+1</f>
        <v>2039</v>
      </c>
      <c r="Q4" s="88">
        <f t="shared" si="1"/>
        <v>2040</v>
      </c>
    </row>
    <row r="5" spans="1:17">
      <c r="A5" s="84" t="s">
        <v>73</v>
      </c>
      <c r="B5" s="85" t="s">
        <v>72</v>
      </c>
      <c r="C5" s="85" t="s">
        <v>74</v>
      </c>
      <c r="D5" s="84" t="s">
        <v>75</v>
      </c>
      <c r="E5" s="84" t="str">
        <f>VLOOKUP(A5,'2a. SI Pop'!$A$5:$E$198,5,FALSE)</f>
        <v>Key</v>
      </c>
      <c r="F5" s="84">
        <v>2033</v>
      </c>
      <c r="G5" s="3">
        <f t="shared" ref="G5:Q5" si="2">IF($F5&lt;=G$4,80%,0)</f>
        <v>0</v>
      </c>
      <c r="H5" s="3">
        <f t="shared" si="2"/>
        <v>0</v>
      </c>
      <c r="I5" s="3">
        <f t="shared" si="2"/>
        <v>0</v>
      </c>
      <c r="J5" s="3">
        <f t="shared" si="2"/>
        <v>0.8</v>
      </c>
      <c r="K5" s="3">
        <f t="shared" si="2"/>
        <v>0.8</v>
      </c>
      <c r="L5" s="3">
        <f t="shared" si="2"/>
        <v>0.8</v>
      </c>
      <c r="M5" s="3">
        <f t="shared" si="2"/>
        <v>0.8</v>
      </c>
      <c r="N5" s="3">
        <f t="shared" si="2"/>
        <v>0.8</v>
      </c>
      <c r="O5" s="3">
        <f t="shared" si="2"/>
        <v>0.8</v>
      </c>
      <c r="P5" s="3">
        <f t="shared" si="2"/>
        <v>0.8</v>
      </c>
      <c r="Q5" s="3">
        <f t="shared" si="2"/>
        <v>0.8</v>
      </c>
    </row>
    <row r="6" spans="1:17">
      <c r="A6" s="84" t="s">
        <v>78</v>
      </c>
      <c r="B6" s="85" t="s">
        <v>77</v>
      </c>
      <c r="C6" s="85" t="s">
        <v>79</v>
      </c>
      <c r="D6" s="84" t="s">
        <v>80</v>
      </c>
      <c r="E6" s="84">
        <f>VLOOKUP(A6,'2a. SI Pop'!$A$5:$E$198,5,FALSE)</f>
        <v>1</v>
      </c>
      <c r="F6" s="84">
        <v>2036</v>
      </c>
      <c r="G6" s="3">
        <f>IF($F6&lt;=G$4,5%,0)</f>
        <v>0</v>
      </c>
      <c r="H6" s="3">
        <f t="shared" ref="H6:Q6" si="3">IF($F6&lt;=H$4,5%,0)</f>
        <v>0</v>
      </c>
      <c r="I6" s="3">
        <f t="shared" si="3"/>
        <v>0</v>
      </c>
      <c r="J6" s="3">
        <f t="shared" si="3"/>
        <v>0</v>
      </c>
      <c r="K6" s="3">
        <f t="shared" si="3"/>
        <v>0</v>
      </c>
      <c r="L6" s="3">
        <f t="shared" si="3"/>
        <v>0</v>
      </c>
      <c r="M6" s="3">
        <f t="shared" si="3"/>
        <v>0.05</v>
      </c>
      <c r="N6" s="3">
        <f t="shared" si="3"/>
        <v>0.05</v>
      </c>
      <c r="O6" s="3">
        <f t="shared" si="3"/>
        <v>0.05</v>
      </c>
      <c r="P6" s="3">
        <f t="shared" si="3"/>
        <v>0.05</v>
      </c>
      <c r="Q6" s="3">
        <f t="shared" si="3"/>
        <v>0.05</v>
      </c>
    </row>
    <row r="7" spans="1:17">
      <c r="A7" s="84" t="s">
        <v>82</v>
      </c>
      <c r="B7" s="85" t="s">
        <v>81</v>
      </c>
      <c r="C7" s="85" t="s">
        <v>83</v>
      </c>
      <c r="D7" s="84" t="s">
        <v>84</v>
      </c>
      <c r="E7" s="84">
        <f>VLOOKUP(A7,'2a. SI Pop'!$A$5:$E$198,5,FALSE)</f>
        <v>2</v>
      </c>
      <c r="F7" s="84">
        <v>2032</v>
      </c>
      <c r="G7" s="3">
        <f>IF($F7&lt;=G$4,30%,0)</f>
        <v>0</v>
      </c>
      <c r="H7" s="3">
        <f t="shared" ref="H7:Q7" si="4">IF($F7&lt;=H$4,30%,0)</f>
        <v>0</v>
      </c>
      <c r="I7" s="3">
        <f t="shared" si="4"/>
        <v>0.3</v>
      </c>
      <c r="J7" s="3">
        <f t="shared" si="4"/>
        <v>0.3</v>
      </c>
      <c r="K7" s="3">
        <f t="shared" si="4"/>
        <v>0.3</v>
      </c>
      <c r="L7" s="3">
        <f t="shared" si="4"/>
        <v>0.3</v>
      </c>
      <c r="M7" s="3">
        <f t="shared" si="4"/>
        <v>0.3</v>
      </c>
      <c r="N7" s="3">
        <f t="shared" si="4"/>
        <v>0.3</v>
      </c>
      <c r="O7" s="3">
        <f t="shared" si="4"/>
        <v>0.3</v>
      </c>
      <c r="P7" s="3">
        <f t="shared" si="4"/>
        <v>0.3</v>
      </c>
      <c r="Q7" s="3">
        <f t="shared" si="4"/>
        <v>0.3</v>
      </c>
    </row>
    <row r="8" spans="1:17">
      <c r="A8" s="84" t="s">
        <v>86</v>
      </c>
      <c r="B8" s="85" t="s">
        <v>85</v>
      </c>
      <c r="C8" s="85" t="s">
        <v>79</v>
      </c>
      <c r="D8" s="84" t="s">
        <v>87</v>
      </c>
      <c r="E8" s="84">
        <f>VLOOKUP(A8,'2a. SI Pop'!$A$5:$E$198,5,FALSE)</f>
        <v>1</v>
      </c>
      <c r="F8" s="84">
        <v>2039</v>
      </c>
      <c r="G8" s="3">
        <f t="shared" ref="G8:Q8" si="5">IF($F8&lt;=G$4,5%,0)</f>
        <v>0</v>
      </c>
      <c r="H8" s="3">
        <f t="shared" si="5"/>
        <v>0</v>
      </c>
      <c r="I8" s="3">
        <f t="shared" si="5"/>
        <v>0</v>
      </c>
      <c r="J8" s="3">
        <f t="shared" si="5"/>
        <v>0</v>
      </c>
      <c r="K8" s="3">
        <f t="shared" si="5"/>
        <v>0</v>
      </c>
      <c r="L8" s="3">
        <f t="shared" si="5"/>
        <v>0</v>
      </c>
      <c r="M8" s="3">
        <f t="shared" si="5"/>
        <v>0</v>
      </c>
      <c r="N8" s="3">
        <f t="shared" si="5"/>
        <v>0</v>
      </c>
      <c r="O8" s="3">
        <f t="shared" si="5"/>
        <v>0</v>
      </c>
      <c r="P8" s="3">
        <f t="shared" si="5"/>
        <v>0.05</v>
      </c>
      <c r="Q8" s="3">
        <f t="shared" si="5"/>
        <v>0.05</v>
      </c>
    </row>
    <row r="9" spans="1:17">
      <c r="A9" s="84" t="s">
        <v>89</v>
      </c>
      <c r="B9" s="85" t="s">
        <v>88</v>
      </c>
      <c r="C9" s="85" t="s">
        <v>83</v>
      </c>
      <c r="D9" s="84" t="s">
        <v>84</v>
      </c>
      <c r="E9" s="84">
        <f>VLOOKUP(A9,'2a. SI Pop'!$A$5:$E$198,5,FALSE)</f>
        <v>3</v>
      </c>
      <c r="F9" s="84">
        <v>2033</v>
      </c>
      <c r="G9" s="3">
        <f t="shared" ref="G9:Q9" si="6">IF($F9&lt;=G$4,80%,0)</f>
        <v>0</v>
      </c>
      <c r="H9" s="3">
        <f t="shared" si="6"/>
        <v>0</v>
      </c>
      <c r="I9" s="3">
        <f t="shared" si="6"/>
        <v>0</v>
      </c>
      <c r="J9" s="3">
        <f t="shared" si="6"/>
        <v>0.8</v>
      </c>
      <c r="K9" s="3">
        <f t="shared" si="6"/>
        <v>0.8</v>
      </c>
      <c r="L9" s="3">
        <f t="shared" si="6"/>
        <v>0.8</v>
      </c>
      <c r="M9" s="3">
        <f t="shared" si="6"/>
        <v>0.8</v>
      </c>
      <c r="N9" s="3">
        <f t="shared" si="6"/>
        <v>0.8</v>
      </c>
      <c r="O9" s="3">
        <f t="shared" si="6"/>
        <v>0.8</v>
      </c>
      <c r="P9" s="3">
        <f t="shared" si="6"/>
        <v>0.8</v>
      </c>
      <c r="Q9" s="3">
        <f t="shared" si="6"/>
        <v>0.8</v>
      </c>
    </row>
    <row r="10" spans="1:17">
      <c r="A10" s="84" t="s">
        <v>91</v>
      </c>
      <c r="B10" s="85" t="s">
        <v>90</v>
      </c>
      <c r="C10" s="85" t="s">
        <v>92</v>
      </c>
      <c r="D10" s="84" t="s">
        <v>87</v>
      </c>
      <c r="E10" s="84">
        <f>VLOOKUP(A10,'2a. SI Pop'!$A$5:$E$198,5,FALSE)</f>
        <v>1</v>
      </c>
      <c r="F10" s="84">
        <v>2040</v>
      </c>
      <c r="G10" s="3">
        <f t="shared" ref="G10:Q17" si="7">IF($F10&lt;=G$4,5%,0)</f>
        <v>0</v>
      </c>
      <c r="H10" s="3">
        <f t="shared" si="7"/>
        <v>0</v>
      </c>
      <c r="I10" s="3">
        <f t="shared" si="7"/>
        <v>0</v>
      </c>
      <c r="J10" s="3">
        <f t="shared" si="7"/>
        <v>0</v>
      </c>
      <c r="K10" s="3">
        <f t="shared" si="7"/>
        <v>0</v>
      </c>
      <c r="L10" s="3">
        <f t="shared" si="7"/>
        <v>0</v>
      </c>
      <c r="M10" s="3">
        <f t="shared" si="7"/>
        <v>0</v>
      </c>
      <c r="N10" s="3">
        <f t="shared" si="7"/>
        <v>0</v>
      </c>
      <c r="O10" s="3">
        <f t="shared" si="7"/>
        <v>0</v>
      </c>
      <c r="P10" s="3">
        <f t="shared" si="7"/>
        <v>0</v>
      </c>
      <c r="Q10" s="3">
        <f t="shared" si="7"/>
        <v>0.05</v>
      </c>
    </row>
    <row r="11" spans="1:17">
      <c r="A11" s="84" t="s">
        <v>94</v>
      </c>
      <c r="B11" s="85" t="s">
        <v>93</v>
      </c>
      <c r="C11" s="85" t="s">
        <v>92</v>
      </c>
      <c r="D11" s="84" t="s">
        <v>80</v>
      </c>
      <c r="E11" s="84">
        <f>VLOOKUP(A11,'2a. SI Pop'!$A$5:$E$198,5,FALSE)</f>
        <v>1</v>
      </c>
      <c r="F11" s="84">
        <v>2037</v>
      </c>
      <c r="G11" s="3">
        <f t="shared" si="7"/>
        <v>0</v>
      </c>
      <c r="H11" s="3">
        <f t="shared" si="7"/>
        <v>0</v>
      </c>
      <c r="I11" s="3">
        <f t="shared" si="7"/>
        <v>0</v>
      </c>
      <c r="J11" s="3">
        <f t="shared" si="7"/>
        <v>0</v>
      </c>
      <c r="K11" s="3">
        <f t="shared" si="7"/>
        <v>0</v>
      </c>
      <c r="L11" s="3">
        <f t="shared" si="7"/>
        <v>0</v>
      </c>
      <c r="M11" s="3">
        <f t="shared" si="7"/>
        <v>0</v>
      </c>
      <c r="N11" s="3">
        <f t="shared" si="7"/>
        <v>0.05</v>
      </c>
      <c r="O11" s="3">
        <f t="shared" si="7"/>
        <v>0.05</v>
      </c>
      <c r="P11" s="3">
        <f t="shared" si="7"/>
        <v>0.05</v>
      </c>
      <c r="Q11" s="3">
        <f t="shared" si="7"/>
        <v>0.05</v>
      </c>
    </row>
    <row r="12" spans="1:17">
      <c r="A12" s="84" t="s">
        <v>96</v>
      </c>
      <c r="B12" s="85" t="s">
        <v>95</v>
      </c>
      <c r="C12" s="85" t="s">
        <v>79</v>
      </c>
      <c r="D12" s="84" t="s">
        <v>80</v>
      </c>
      <c r="E12" s="84">
        <f>VLOOKUP(A12,'2a. SI Pop'!$A$5:$E$198,5,FALSE)</f>
        <v>1</v>
      </c>
      <c r="F12" s="84">
        <v>2040</v>
      </c>
      <c r="G12" s="3">
        <f t="shared" si="7"/>
        <v>0</v>
      </c>
      <c r="H12" s="3">
        <f t="shared" si="7"/>
        <v>0</v>
      </c>
      <c r="I12" s="3">
        <f t="shared" si="7"/>
        <v>0</v>
      </c>
      <c r="J12" s="3">
        <f t="shared" si="7"/>
        <v>0</v>
      </c>
      <c r="K12" s="3">
        <f t="shared" si="7"/>
        <v>0</v>
      </c>
      <c r="L12" s="3">
        <f t="shared" si="7"/>
        <v>0</v>
      </c>
      <c r="M12" s="3">
        <f t="shared" si="7"/>
        <v>0</v>
      </c>
      <c r="N12" s="3">
        <f t="shared" si="7"/>
        <v>0</v>
      </c>
      <c r="O12" s="3">
        <f t="shared" si="7"/>
        <v>0</v>
      </c>
      <c r="P12" s="3">
        <f t="shared" si="7"/>
        <v>0</v>
      </c>
      <c r="Q12" s="3">
        <f t="shared" si="7"/>
        <v>0.05</v>
      </c>
    </row>
    <row r="13" spans="1:17">
      <c r="A13" s="84" t="s">
        <v>98</v>
      </c>
      <c r="B13" s="85" t="s">
        <v>97</v>
      </c>
      <c r="C13" s="85" t="s">
        <v>99</v>
      </c>
      <c r="D13" s="84" t="s">
        <v>87</v>
      </c>
      <c r="E13" s="84">
        <f>VLOOKUP(A13,'2a. SI Pop'!$A$5:$E$198,5,FALSE)</f>
        <v>1</v>
      </c>
      <c r="F13" s="84">
        <v>2031</v>
      </c>
      <c r="G13" s="3">
        <f t="shared" si="7"/>
        <v>0</v>
      </c>
      <c r="H13" s="3">
        <f t="shared" si="7"/>
        <v>0.05</v>
      </c>
      <c r="I13" s="3">
        <f t="shared" si="7"/>
        <v>0.05</v>
      </c>
      <c r="J13" s="3">
        <f t="shared" si="7"/>
        <v>0.05</v>
      </c>
      <c r="K13" s="3">
        <f t="shared" si="7"/>
        <v>0.05</v>
      </c>
      <c r="L13" s="3">
        <f t="shared" si="7"/>
        <v>0.05</v>
      </c>
      <c r="M13" s="3">
        <f t="shared" si="7"/>
        <v>0.05</v>
      </c>
      <c r="N13" s="3">
        <f t="shared" si="7"/>
        <v>0.05</v>
      </c>
      <c r="O13" s="3">
        <f t="shared" si="7"/>
        <v>0.05</v>
      </c>
      <c r="P13" s="3">
        <f t="shared" si="7"/>
        <v>0.05</v>
      </c>
      <c r="Q13" s="3">
        <f t="shared" si="7"/>
        <v>0.05</v>
      </c>
    </row>
    <row r="14" spans="1:17">
      <c r="A14" s="84" t="s">
        <v>101</v>
      </c>
      <c r="B14" s="85" t="s">
        <v>100</v>
      </c>
      <c r="C14" s="85" t="s">
        <v>79</v>
      </c>
      <c r="D14" s="84" t="s">
        <v>87</v>
      </c>
      <c r="E14" s="84">
        <f>VLOOKUP(A14,'2a. SI Pop'!$A$5:$E$198,5,FALSE)</f>
        <v>1</v>
      </c>
      <c r="F14" s="84">
        <v>2030</v>
      </c>
      <c r="G14" s="3">
        <f t="shared" si="7"/>
        <v>0.05</v>
      </c>
      <c r="H14" s="3">
        <f t="shared" si="7"/>
        <v>0.05</v>
      </c>
      <c r="I14" s="3">
        <f t="shared" si="7"/>
        <v>0.05</v>
      </c>
      <c r="J14" s="3">
        <f t="shared" si="7"/>
        <v>0.05</v>
      </c>
      <c r="K14" s="3">
        <f t="shared" si="7"/>
        <v>0.05</v>
      </c>
      <c r="L14" s="3">
        <f t="shared" si="7"/>
        <v>0.05</v>
      </c>
      <c r="M14" s="3">
        <f t="shared" si="7"/>
        <v>0.05</v>
      </c>
      <c r="N14" s="3">
        <f t="shared" si="7"/>
        <v>0.05</v>
      </c>
      <c r="O14" s="3">
        <f t="shared" si="7"/>
        <v>0.05</v>
      </c>
      <c r="P14" s="3">
        <f t="shared" si="7"/>
        <v>0.05</v>
      </c>
      <c r="Q14" s="3">
        <f t="shared" si="7"/>
        <v>0.05</v>
      </c>
    </row>
    <row r="15" spans="1:17">
      <c r="A15" s="84" t="s">
        <v>103</v>
      </c>
      <c r="B15" s="85" t="s">
        <v>102</v>
      </c>
      <c r="C15" s="85" t="s">
        <v>79</v>
      </c>
      <c r="D15" s="84" t="s">
        <v>80</v>
      </c>
      <c r="E15" s="84">
        <f>VLOOKUP(A15,'2a. SI Pop'!$A$5:$E$198,5,FALSE)</f>
        <v>1</v>
      </c>
      <c r="F15" s="84">
        <v>2038</v>
      </c>
      <c r="G15" s="3">
        <f t="shared" si="7"/>
        <v>0</v>
      </c>
      <c r="H15" s="3">
        <f t="shared" si="7"/>
        <v>0</v>
      </c>
      <c r="I15" s="3">
        <f t="shared" si="7"/>
        <v>0</v>
      </c>
      <c r="J15" s="3">
        <f t="shared" si="7"/>
        <v>0</v>
      </c>
      <c r="K15" s="3">
        <f t="shared" si="7"/>
        <v>0</v>
      </c>
      <c r="L15" s="3">
        <f t="shared" si="7"/>
        <v>0</v>
      </c>
      <c r="M15" s="3">
        <f t="shared" si="7"/>
        <v>0</v>
      </c>
      <c r="N15" s="3">
        <f t="shared" si="7"/>
        <v>0</v>
      </c>
      <c r="O15" s="3">
        <f t="shared" si="7"/>
        <v>0.05</v>
      </c>
      <c r="P15" s="3">
        <f t="shared" si="7"/>
        <v>0.05</v>
      </c>
      <c r="Q15" s="3">
        <f t="shared" si="7"/>
        <v>0.05</v>
      </c>
    </row>
    <row r="16" spans="1:17">
      <c r="A16" s="84" t="s">
        <v>105</v>
      </c>
      <c r="B16" s="85" t="s">
        <v>104</v>
      </c>
      <c r="C16" s="85" t="s">
        <v>92</v>
      </c>
      <c r="D16" s="84" t="s">
        <v>87</v>
      </c>
      <c r="E16" s="84">
        <f>VLOOKUP(A16,'2a. SI Pop'!$A$5:$E$198,5,FALSE)</f>
        <v>1</v>
      </c>
      <c r="F16" s="84">
        <v>2037</v>
      </c>
      <c r="G16" s="3">
        <f t="shared" si="7"/>
        <v>0</v>
      </c>
      <c r="H16" s="3">
        <f t="shared" si="7"/>
        <v>0</v>
      </c>
      <c r="I16" s="3">
        <f t="shared" si="7"/>
        <v>0</v>
      </c>
      <c r="J16" s="3">
        <f t="shared" si="7"/>
        <v>0</v>
      </c>
      <c r="K16" s="3">
        <f t="shared" si="7"/>
        <v>0</v>
      </c>
      <c r="L16" s="3">
        <f t="shared" si="7"/>
        <v>0</v>
      </c>
      <c r="M16" s="3">
        <f t="shared" si="7"/>
        <v>0</v>
      </c>
      <c r="N16" s="3">
        <f t="shared" si="7"/>
        <v>0.05</v>
      </c>
      <c r="O16" s="3">
        <f t="shared" si="7"/>
        <v>0.05</v>
      </c>
      <c r="P16" s="3">
        <f t="shared" si="7"/>
        <v>0.05</v>
      </c>
      <c r="Q16" s="3">
        <f t="shared" si="7"/>
        <v>0.05</v>
      </c>
    </row>
    <row r="17" spans="1:17">
      <c r="A17" s="84" t="s">
        <v>107</v>
      </c>
      <c r="B17" s="85" t="s">
        <v>106</v>
      </c>
      <c r="C17" s="85" t="s">
        <v>74</v>
      </c>
      <c r="D17" s="84" t="s">
        <v>87</v>
      </c>
      <c r="E17" s="84">
        <f>VLOOKUP(A17,'2a. SI Pop'!$A$5:$E$198,5,FALSE)</f>
        <v>1</v>
      </c>
      <c r="F17" s="84">
        <v>2034</v>
      </c>
      <c r="G17" s="3">
        <f t="shared" si="7"/>
        <v>0</v>
      </c>
      <c r="H17" s="3">
        <f t="shared" si="7"/>
        <v>0</v>
      </c>
      <c r="I17" s="3">
        <f t="shared" si="7"/>
        <v>0</v>
      </c>
      <c r="J17" s="3">
        <f t="shared" si="7"/>
        <v>0</v>
      </c>
      <c r="K17" s="3">
        <f t="shared" si="7"/>
        <v>0.05</v>
      </c>
      <c r="L17" s="3">
        <f t="shared" si="7"/>
        <v>0.05</v>
      </c>
      <c r="M17" s="3">
        <f t="shared" si="7"/>
        <v>0.05</v>
      </c>
      <c r="N17" s="3">
        <f t="shared" si="7"/>
        <v>0.05</v>
      </c>
      <c r="O17" s="3">
        <f t="shared" si="7"/>
        <v>0.05</v>
      </c>
      <c r="P17" s="3">
        <f t="shared" si="7"/>
        <v>0.05</v>
      </c>
      <c r="Q17" s="3">
        <f t="shared" si="7"/>
        <v>0.05</v>
      </c>
    </row>
    <row r="18" spans="1:17">
      <c r="A18" s="84" t="s">
        <v>109</v>
      </c>
      <c r="B18" s="85" t="s">
        <v>108</v>
      </c>
      <c r="C18" s="85" t="s">
        <v>110</v>
      </c>
      <c r="D18" s="84" t="s">
        <v>84</v>
      </c>
      <c r="E18" s="84" t="str">
        <f>VLOOKUP(A18,'2a. SI Pop'!$A$5:$E$198,5,FALSE)</f>
        <v>Key</v>
      </c>
      <c r="F18" s="84">
        <v>2034</v>
      </c>
      <c r="G18" s="3">
        <f t="shared" ref="G18:Q18" si="8">IF($F18&lt;=G$4,80%,0)</f>
        <v>0</v>
      </c>
      <c r="H18" s="3">
        <f t="shared" si="8"/>
        <v>0</v>
      </c>
      <c r="I18" s="3">
        <f t="shared" si="8"/>
        <v>0</v>
      </c>
      <c r="J18" s="3">
        <f t="shared" si="8"/>
        <v>0</v>
      </c>
      <c r="K18" s="3">
        <f t="shared" si="8"/>
        <v>0.8</v>
      </c>
      <c r="L18" s="3">
        <f t="shared" si="8"/>
        <v>0.8</v>
      </c>
      <c r="M18" s="3">
        <f t="shared" si="8"/>
        <v>0.8</v>
      </c>
      <c r="N18" s="3">
        <f t="shared" si="8"/>
        <v>0.8</v>
      </c>
      <c r="O18" s="3">
        <f t="shared" si="8"/>
        <v>0.8</v>
      </c>
      <c r="P18" s="3">
        <f t="shared" si="8"/>
        <v>0.8</v>
      </c>
      <c r="Q18" s="3">
        <f t="shared" si="8"/>
        <v>0.8</v>
      </c>
    </row>
    <row r="19" spans="1:17">
      <c r="A19" s="84" t="s">
        <v>112</v>
      </c>
      <c r="B19" s="85" t="s">
        <v>111</v>
      </c>
      <c r="C19" s="85" t="s">
        <v>92</v>
      </c>
      <c r="D19" s="84" t="s">
        <v>87</v>
      </c>
      <c r="E19" s="84">
        <f>VLOOKUP(A19,'2a. SI Pop'!$A$5:$E$198,5,FALSE)</f>
        <v>1</v>
      </c>
      <c r="F19" s="84">
        <v>2039</v>
      </c>
      <c r="G19" s="3">
        <f t="shared" ref="G19:Q19" si="9">IF($F19&lt;=G$4,5%,0)</f>
        <v>0</v>
      </c>
      <c r="H19" s="3">
        <f t="shared" si="9"/>
        <v>0</v>
      </c>
      <c r="I19" s="3">
        <f t="shared" si="9"/>
        <v>0</v>
      </c>
      <c r="J19" s="3">
        <f t="shared" si="9"/>
        <v>0</v>
      </c>
      <c r="K19" s="3">
        <f t="shared" si="9"/>
        <v>0</v>
      </c>
      <c r="L19" s="3">
        <f t="shared" si="9"/>
        <v>0</v>
      </c>
      <c r="M19" s="3">
        <f t="shared" si="9"/>
        <v>0</v>
      </c>
      <c r="N19" s="3">
        <f t="shared" si="9"/>
        <v>0</v>
      </c>
      <c r="O19" s="3">
        <f t="shared" si="9"/>
        <v>0</v>
      </c>
      <c r="P19" s="3">
        <f t="shared" si="9"/>
        <v>0.05</v>
      </c>
      <c r="Q19" s="3">
        <f t="shared" si="9"/>
        <v>0.05</v>
      </c>
    </row>
    <row r="20" spans="1:17">
      <c r="A20" s="84" t="s">
        <v>114</v>
      </c>
      <c r="B20" s="85" t="s">
        <v>113</v>
      </c>
      <c r="C20" s="85" t="s">
        <v>79</v>
      </c>
      <c r="D20" s="84" t="s">
        <v>80</v>
      </c>
      <c r="E20" s="84">
        <f>VLOOKUP(A20,'2a. SI Pop'!$A$5:$E$198,5,FALSE)</f>
        <v>2</v>
      </c>
      <c r="F20" s="84">
        <v>2039</v>
      </c>
      <c r="G20" s="3">
        <f t="shared" ref="G20:Q20" si="10">IF($F20&lt;=G$4,30%,0)</f>
        <v>0</v>
      </c>
      <c r="H20" s="3">
        <f t="shared" si="10"/>
        <v>0</v>
      </c>
      <c r="I20" s="3">
        <f t="shared" si="10"/>
        <v>0</v>
      </c>
      <c r="J20" s="3">
        <f t="shared" si="10"/>
        <v>0</v>
      </c>
      <c r="K20" s="3">
        <f t="shared" si="10"/>
        <v>0</v>
      </c>
      <c r="L20" s="3">
        <f t="shared" si="10"/>
        <v>0</v>
      </c>
      <c r="M20" s="3">
        <f t="shared" si="10"/>
        <v>0</v>
      </c>
      <c r="N20" s="3">
        <f t="shared" si="10"/>
        <v>0</v>
      </c>
      <c r="O20" s="3">
        <f t="shared" si="10"/>
        <v>0</v>
      </c>
      <c r="P20" s="3">
        <f t="shared" si="10"/>
        <v>0.3</v>
      </c>
      <c r="Q20" s="3">
        <f t="shared" si="10"/>
        <v>0.3</v>
      </c>
    </row>
    <row r="21" spans="1:17">
      <c r="A21" s="84" t="s">
        <v>116</v>
      </c>
      <c r="B21" s="85" t="s">
        <v>115</v>
      </c>
      <c r="C21" s="85" t="s">
        <v>79</v>
      </c>
      <c r="D21" s="84" t="s">
        <v>87</v>
      </c>
      <c r="E21" s="84">
        <f>VLOOKUP(A21,'2a. SI Pop'!$A$5:$E$198,5,FALSE)</f>
        <v>1</v>
      </c>
      <c r="F21" s="84">
        <v>2030</v>
      </c>
      <c r="G21" s="3">
        <f t="shared" ref="G21:Q22" si="11">IF($F21&lt;=G$4,5%,0)</f>
        <v>0.05</v>
      </c>
      <c r="H21" s="3">
        <f t="shared" si="11"/>
        <v>0.05</v>
      </c>
      <c r="I21" s="3">
        <f t="shared" si="11"/>
        <v>0.05</v>
      </c>
      <c r="J21" s="3">
        <f t="shared" si="11"/>
        <v>0.05</v>
      </c>
      <c r="K21" s="3">
        <f t="shared" si="11"/>
        <v>0.05</v>
      </c>
      <c r="L21" s="3">
        <f t="shared" si="11"/>
        <v>0.05</v>
      </c>
      <c r="M21" s="3">
        <f t="shared" si="11"/>
        <v>0.05</v>
      </c>
      <c r="N21" s="3">
        <f t="shared" si="11"/>
        <v>0.05</v>
      </c>
      <c r="O21" s="3">
        <f t="shared" si="11"/>
        <v>0.05</v>
      </c>
      <c r="P21" s="3">
        <f t="shared" si="11"/>
        <v>0.05</v>
      </c>
      <c r="Q21" s="3">
        <f t="shared" si="11"/>
        <v>0.05</v>
      </c>
    </row>
    <row r="22" spans="1:17">
      <c r="A22" s="84" t="s">
        <v>118</v>
      </c>
      <c r="B22" s="85" t="s">
        <v>117</v>
      </c>
      <c r="C22" s="85" t="s">
        <v>92</v>
      </c>
      <c r="D22" s="84" t="s">
        <v>80</v>
      </c>
      <c r="E22" s="84">
        <f>VLOOKUP(A22,'2a. SI Pop'!$A$5:$E$198,5,FALSE)</f>
        <v>1</v>
      </c>
      <c r="F22" s="84">
        <v>2040</v>
      </c>
      <c r="G22" s="3">
        <f t="shared" si="11"/>
        <v>0</v>
      </c>
      <c r="H22" s="3">
        <f t="shared" si="11"/>
        <v>0</v>
      </c>
      <c r="I22" s="3">
        <f t="shared" si="11"/>
        <v>0</v>
      </c>
      <c r="J22" s="3">
        <f t="shared" si="11"/>
        <v>0</v>
      </c>
      <c r="K22" s="3">
        <f t="shared" si="11"/>
        <v>0</v>
      </c>
      <c r="L22" s="3">
        <f t="shared" si="11"/>
        <v>0</v>
      </c>
      <c r="M22" s="3">
        <f t="shared" si="11"/>
        <v>0</v>
      </c>
      <c r="N22" s="3">
        <f t="shared" si="11"/>
        <v>0</v>
      </c>
      <c r="O22" s="3">
        <f t="shared" si="11"/>
        <v>0</v>
      </c>
      <c r="P22" s="3">
        <f t="shared" si="11"/>
        <v>0</v>
      </c>
      <c r="Q22" s="3">
        <f t="shared" si="11"/>
        <v>0.05</v>
      </c>
    </row>
    <row r="23" spans="1:17">
      <c r="A23" s="84" t="s">
        <v>120</v>
      </c>
      <c r="B23" s="85" t="s">
        <v>119</v>
      </c>
      <c r="C23" s="85" t="s">
        <v>83</v>
      </c>
      <c r="D23" s="84" t="s">
        <v>84</v>
      </c>
      <c r="E23" s="84">
        <f>VLOOKUP(A23,'2a. SI Pop'!$A$5:$E$198,5,FALSE)</f>
        <v>3</v>
      </c>
      <c r="F23" s="84">
        <v>2031</v>
      </c>
      <c r="G23" s="3">
        <f t="shared" ref="G23:Q23" si="12">IF($F23&lt;=G$4,80%,0)</f>
        <v>0</v>
      </c>
      <c r="H23" s="3">
        <f t="shared" si="12"/>
        <v>0.8</v>
      </c>
      <c r="I23" s="3">
        <f t="shared" si="12"/>
        <v>0.8</v>
      </c>
      <c r="J23" s="3">
        <f t="shared" si="12"/>
        <v>0.8</v>
      </c>
      <c r="K23" s="3">
        <f t="shared" si="12"/>
        <v>0.8</v>
      </c>
      <c r="L23" s="3">
        <f t="shared" si="12"/>
        <v>0.8</v>
      </c>
      <c r="M23" s="3">
        <f t="shared" si="12"/>
        <v>0.8</v>
      </c>
      <c r="N23" s="3">
        <f t="shared" si="12"/>
        <v>0.8</v>
      </c>
      <c r="O23" s="3">
        <f t="shared" si="12"/>
        <v>0.8</v>
      </c>
      <c r="P23" s="3">
        <f t="shared" si="12"/>
        <v>0.8</v>
      </c>
      <c r="Q23" s="3">
        <f t="shared" si="12"/>
        <v>0.8</v>
      </c>
    </row>
    <row r="24" spans="1:17">
      <c r="A24" s="84" t="s">
        <v>122</v>
      </c>
      <c r="B24" s="85" t="s">
        <v>121</v>
      </c>
      <c r="C24" s="85" t="s">
        <v>110</v>
      </c>
      <c r="D24" s="84" t="s">
        <v>84</v>
      </c>
      <c r="E24" s="84">
        <f>VLOOKUP(A24,'2a. SI Pop'!$A$5:$E$198,5,FALSE)</f>
        <v>2</v>
      </c>
      <c r="F24" s="84">
        <v>2041</v>
      </c>
      <c r="G24" s="3">
        <f t="shared" ref="G24:Q25" si="13">IF($F24&lt;=G$4,30%,0)</f>
        <v>0</v>
      </c>
      <c r="H24" s="3">
        <f t="shared" si="13"/>
        <v>0</v>
      </c>
      <c r="I24" s="3">
        <f t="shared" si="13"/>
        <v>0</v>
      </c>
      <c r="J24" s="3">
        <f t="shared" si="13"/>
        <v>0</v>
      </c>
      <c r="K24" s="3">
        <f t="shared" si="13"/>
        <v>0</v>
      </c>
      <c r="L24" s="3">
        <f t="shared" si="13"/>
        <v>0</v>
      </c>
      <c r="M24" s="3">
        <f t="shared" si="13"/>
        <v>0</v>
      </c>
      <c r="N24" s="3">
        <f t="shared" si="13"/>
        <v>0</v>
      </c>
      <c r="O24" s="3">
        <f t="shared" si="13"/>
        <v>0</v>
      </c>
      <c r="P24" s="3">
        <f t="shared" si="13"/>
        <v>0</v>
      </c>
      <c r="Q24" s="3">
        <f t="shared" si="13"/>
        <v>0</v>
      </c>
    </row>
    <row r="25" spans="1:17">
      <c r="A25" s="84" t="s">
        <v>124</v>
      </c>
      <c r="B25" s="85" t="s">
        <v>123</v>
      </c>
      <c r="C25" s="85" t="s">
        <v>92</v>
      </c>
      <c r="D25" s="84" t="s">
        <v>84</v>
      </c>
      <c r="E25" s="84">
        <f>VLOOKUP(A25,'2a. SI Pop'!$A$5:$E$198,5,FALSE)</f>
        <v>2</v>
      </c>
      <c r="F25" s="84">
        <v>2042</v>
      </c>
      <c r="G25" s="3">
        <f t="shared" si="13"/>
        <v>0</v>
      </c>
      <c r="H25" s="3">
        <f t="shared" si="13"/>
        <v>0</v>
      </c>
      <c r="I25" s="3">
        <f t="shared" si="13"/>
        <v>0</v>
      </c>
      <c r="J25" s="3">
        <f t="shared" si="13"/>
        <v>0</v>
      </c>
      <c r="K25" s="3">
        <f t="shared" si="13"/>
        <v>0</v>
      </c>
      <c r="L25" s="3">
        <f t="shared" si="13"/>
        <v>0</v>
      </c>
      <c r="M25" s="3">
        <f t="shared" si="13"/>
        <v>0</v>
      </c>
      <c r="N25" s="3">
        <f t="shared" si="13"/>
        <v>0</v>
      </c>
      <c r="O25" s="3">
        <f t="shared" si="13"/>
        <v>0</v>
      </c>
      <c r="P25" s="3">
        <f t="shared" si="13"/>
        <v>0</v>
      </c>
      <c r="Q25" s="3">
        <f t="shared" si="13"/>
        <v>0</v>
      </c>
    </row>
    <row r="26" spans="1:17">
      <c r="A26" s="84" t="s">
        <v>126</v>
      </c>
      <c r="B26" s="85" t="s">
        <v>125</v>
      </c>
      <c r="C26" s="85" t="s">
        <v>79</v>
      </c>
      <c r="D26" s="84" t="s">
        <v>80</v>
      </c>
      <c r="E26" s="84">
        <f>VLOOKUP(A26,'2a. SI Pop'!$A$5:$E$198,5,FALSE)</f>
        <v>1</v>
      </c>
      <c r="F26" s="84">
        <v>2032</v>
      </c>
      <c r="G26" s="3">
        <f t="shared" ref="G26:Q26" si="14">IF($F26&lt;=G$4,5%,0)</f>
        <v>0</v>
      </c>
      <c r="H26" s="3">
        <f t="shared" si="14"/>
        <v>0</v>
      </c>
      <c r="I26" s="3">
        <f t="shared" si="14"/>
        <v>0.05</v>
      </c>
      <c r="J26" s="3">
        <f t="shared" si="14"/>
        <v>0.05</v>
      </c>
      <c r="K26" s="3">
        <f t="shared" si="14"/>
        <v>0.05</v>
      </c>
      <c r="L26" s="3">
        <f t="shared" si="14"/>
        <v>0.05</v>
      </c>
      <c r="M26" s="3">
        <f t="shared" si="14"/>
        <v>0.05</v>
      </c>
      <c r="N26" s="3">
        <f t="shared" si="14"/>
        <v>0.05</v>
      </c>
      <c r="O26" s="3">
        <f t="shared" si="14"/>
        <v>0.05</v>
      </c>
      <c r="P26" s="3">
        <f t="shared" si="14"/>
        <v>0.05</v>
      </c>
      <c r="Q26" s="3">
        <f t="shared" si="14"/>
        <v>0.05</v>
      </c>
    </row>
    <row r="27" spans="1:17">
      <c r="A27" s="84" t="s">
        <v>128</v>
      </c>
      <c r="B27" s="85" t="s">
        <v>127</v>
      </c>
      <c r="C27" s="85" t="s">
        <v>83</v>
      </c>
      <c r="D27" s="84" t="s">
        <v>80</v>
      </c>
      <c r="E27" s="84">
        <f>VLOOKUP(A27,'2a. SI Pop'!$A$5:$E$198,5,FALSE)</f>
        <v>2</v>
      </c>
      <c r="F27" s="84">
        <v>2035</v>
      </c>
      <c r="G27" s="3">
        <f t="shared" ref="G27:Q28" si="15">IF($F27&lt;=G$4,30%,0)</f>
        <v>0</v>
      </c>
      <c r="H27" s="3">
        <f t="shared" si="15"/>
        <v>0</v>
      </c>
      <c r="I27" s="3">
        <f t="shared" si="15"/>
        <v>0</v>
      </c>
      <c r="J27" s="3">
        <f t="shared" si="15"/>
        <v>0</v>
      </c>
      <c r="K27" s="3">
        <f t="shared" si="15"/>
        <v>0</v>
      </c>
      <c r="L27" s="3">
        <f t="shared" si="15"/>
        <v>0.3</v>
      </c>
      <c r="M27" s="3">
        <f t="shared" si="15"/>
        <v>0.3</v>
      </c>
      <c r="N27" s="3">
        <f t="shared" si="15"/>
        <v>0.3</v>
      </c>
      <c r="O27" s="3">
        <f t="shared" si="15"/>
        <v>0.3</v>
      </c>
      <c r="P27" s="3">
        <f t="shared" si="15"/>
        <v>0.3</v>
      </c>
      <c r="Q27" s="3">
        <f t="shared" si="15"/>
        <v>0.3</v>
      </c>
    </row>
    <row r="28" spans="1:17">
      <c r="A28" s="84" t="s">
        <v>130</v>
      </c>
      <c r="B28" s="85" t="s">
        <v>129</v>
      </c>
      <c r="C28" s="85" t="s">
        <v>92</v>
      </c>
      <c r="D28" s="84" t="s">
        <v>80</v>
      </c>
      <c r="E28" s="84" t="str">
        <f>VLOOKUP(A28,'2a. SI Pop'!$A$5:$E$198,5,FALSE)</f>
        <v>Key</v>
      </c>
      <c r="F28" s="84">
        <v>2036</v>
      </c>
      <c r="G28" s="3">
        <f t="shared" si="15"/>
        <v>0</v>
      </c>
      <c r="H28" s="3">
        <f t="shared" si="15"/>
        <v>0</v>
      </c>
      <c r="I28" s="3">
        <f t="shared" si="15"/>
        <v>0</v>
      </c>
      <c r="J28" s="3">
        <f t="shared" si="15"/>
        <v>0</v>
      </c>
      <c r="K28" s="3">
        <f t="shared" si="15"/>
        <v>0</v>
      </c>
      <c r="L28" s="3">
        <f t="shared" si="15"/>
        <v>0</v>
      </c>
      <c r="M28" s="3">
        <f t="shared" si="15"/>
        <v>0.3</v>
      </c>
      <c r="N28" s="3">
        <f t="shared" si="15"/>
        <v>0.3</v>
      </c>
      <c r="O28" s="3">
        <f t="shared" si="15"/>
        <v>0.3</v>
      </c>
      <c r="P28" s="3">
        <f t="shared" si="15"/>
        <v>0.3</v>
      </c>
      <c r="Q28" s="3">
        <f t="shared" si="15"/>
        <v>0.3</v>
      </c>
    </row>
    <row r="29" spans="1:17">
      <c r="A29" s="84" t="s">
        <v>132</v>
      </c>
      <c r="B29" s="85" t="s">
        <v>131</v>
      </c>
      <c r="C29" s="85" t="s">
        <v>99</v>
      </c>
      <c r="D29" s="84" t="s">
        <v>87</v>
      </c>
      <c r="E29" s="84">
        <f>VLOOKUP(A29,'2a. SI Pop'!$A$5:$E$198,5,FALSE)</f>
        <v>1</v>
      </c>
      <c r="F29" s="84">
        <v>2038</v>
      </c>
      <c r="G29" s="3">
        <f t="shared" ref="G29:Q30" si="16">IF($F29&lt;=G$4,5%,0)</f>
        <v>0</v>
      </c>
      <c r="H29" s="3">
        <f t="shared" si="16"/>
        <v>0</v>
      </c>
      <c r="I29" s="3">
        <f t="shared" si="16"/>
        <v>0</v>
      </c>
      <c r="J29" s="3">
        <f t="shared" si="16"/>
        <v>0</v>
      </c>
      <c r="K29" s="3">
        <f t="shared" si="16"/>
        <v>0</v>
      </c>
      <c r="L29" s="3">
        <f t="shared" si="16"/>
        <v>0</v>
      </c>
      <c r="M29" s="3">
        <f t="shared" si="16"/>
        <v>0</v>
      </c>
      <c r="N29" s="3">
        <f t="shared" si="16"/>
        <v>0</v>
      </c>
      <c r="O29" s="3">
        <f t="shared" si="16"/>
        <v>0.05</v>
      </c>
      <c r="P29" s="3">
        <f t="shared" si="16"/>
        <v>0.05</v>
      </c>
      <c r="Q29" s="3">
        <f t="shared" si="16"/>
        <v>0.05</v>
      </c>
    </row>
    <row r="30" spans="1:17">
      <c r="A30" s="84" t="s">
        <v>134</v>
      </c>
      <c r="B30" s="85" t="s">
        <v>133</v>
      </c>
      <c r="C30" s="85" t="s">
        <v>79</v>
      </c>
      <c r="D30" s="84" t="s">
        <v>80</v>
      </c>
      <c r="E30" s="84">
        <f>VLOOKUP(A30,'2a. SI Pop'!$A$5:$E$198,5,FALSE)</f>
        <v>1</v>
      </c>
      <c r="F30" s="84">
        <v>2034</v>
      </c>
      <c r="G30" s="3">
        <f t="shared" si="16"/>
        <v>0</v>
      </c>
      <c r="H30" s="3">
        <f t="shared" si="16"/>
        <v>0</v>
      </c>
      <c r="I30" s="3">
        <f t="shared" si="16"/>
        <v>0</v>
      </c>
      <c r="J30" s="3">
        <f t="shared" si="16"/>
        <v>0</v>
      </c>
      <c r="K30" s="3">
        <f t="shared" si="16"/>
        <v>0.05</v>
      </c>
      <c r="L30" s="3">
        <f t="shared" si="16"/>
        <v>0.05</v>
      </c>
      <c r="M30" s="3">
        <f t="shared" si="16"/>
        <v>0.05</v>
      </c>
      <c r="N30" s="3">
        <f t="shared" si="16"/>
        <v>0.05</v>
      </c>
      <c r="O30" s="3">
        <f t="shared" si="16"/>
        <v>0.05</v>
      </c>
      <c r="P30" s="3">
        <f t="shared" si="16"/>
        <v>0.05</v>
      </c>
      <c r="Q30" s="3">
        <f t="shared" si="16"/>
        <v>0.05</v>
      </c>
    </row>
    <row r="31" spans="1:17">
      <c r="A31" s="84" t="s">
        <v>136</v>
      </c>
      <c r="B31" s="85" t="s">
        <v>135</v>
      </c>
      <c r="C31" s="85" t="s">
        <v>83</v>
      </c>
      <c r="D31" s="84" t="s">
        <v>75</v>
      </c>
      <c r="E31" s="84">
        <f>VLOOKUP(A31,'2a. SI Pop'!$A$5:$E$198,5,FALSE)</f>
        <v>3</v>
      </c>
      <c r="F31" s="84">
        <v>2033</v>
      </c>
      <c r="G31" s="3">
        <f t="shared" ref="G31:Q34" si="17">IF($F31&lt;=G$4,80%,0)</f>
        <v>0</v>
      </c>
      <c r="H31" s="3">
        <f t="shared" si="17"/>
        <v>0</v>
      </c>
      <c r="I31" s="3">
        <f t="shared" si="17"/>
        <v>0</v>
      </c>
      <c r="J31" s="3">
        <f t="shared" si="17"/>
        <v>0.8</v>
      </c>
      <c r="K31" s="3">
        <f t="shared" si="17"/>
        <v>0.8</v>
      </c>
      <c r="L31" s="3">
        <f t="shared" si="17"/>
        <v>0.8</v>
      </c>
      <c r="M31" s="3">
        <f t="shared" si="17"/>
        <v>0.8</v>
      </c>
      <c r="N31" s="3">
        <f t="shared" si="17"/>
        <v>0.8</v>
      </c>
      <c r="O31" s="3">
        <f t="shared" si="17"/>
        <v>0.8</v>
      </c>
      <c r="P31" s="3">
        <f t="shared" si="17"/>
        <v>0.8</v>
      </c>
      <c r="Q31" s="3">
        <f t="shared" si="17"/>
        <v>0.8</v>
      </c>
    </row>
    <row r="32" spans="1:17">
      <c r="A32" s="84" t="s">
        <v>138</v>
      </c>
      <c r="B32" s="85" t="s">
        <v>137</v>
      </c>
      <c r="C32" s="85" t="s">
        <v>83</v>
      </c>
      <c r="D32" s="84" t="s">
        <v>75</v>
      </c>
      <c r="E32" s="84">
        <f>VLOOKUP(A32,'2a. SI Pop'!$A$5:$E$198,5,FALSE)</f>
        <v>3</v>
      </c>
      <c r="F32" s="84">
        <v>2033</v>
      </c>
      <c r="G32" s="3">
        <f t="shared" si="17"/>
        <v>0</v>
      </c>
      <c r="H32" s="3">
        <f t="shared" si="17"/>
        <v>0</v>
      </c>
      <c r="I32" s="3">
        <f t="shared" si="17"/>
        <v>0</v>
      </c>
      <c r="J32" s="3">
        <f t="shared" si="17"/>
        <v>0.8</v>
      </c>
      <c r="K32" s="3">
        <f t="shared" si="17"/>
        <v>0.8</v>
      </c>
      <c r="L32" s="3">
        <f t="shared" si="17"/>
        <v>0.8</v>
      </c>
      <c r="M32" s="3">
        <f t="shared" si="17"/>
        <v>0.8</v>
      </c>
      <c r="N32" s="3">
        <f t="shared" si="17"/>
        <v>0.8</v>
      </c>
      <c r="O32" s="3">
        <f t="shared" si="17"/>
        <v>0.8</v>
      </c>
      <c r="P32" s="3">
        <f t="shared" si="17"/>
        <v>0.8</v>
      </c>
      <c r="Q32" s="3">
        <f t="shared" si="17"/>
        <v>0.8</v>
      </c>
    </row>
    <row r="33" spans="1:17">
      <c r="A33" s="84" t="s">
        <v>140</v>
      </c>
      <c r="B33" s="85" t="s">
        <v>139</v>
      </c>
      <c r="C33" s="85" t="s">
        <v>99</v>
      </c>
      <c r="D33" s="84" t="s">
        <v>84</v>
      </c>
      <c r="E33" s="84">
        <f>VLOOKUP(A33,'2a. SI Pop'!$A$5:$E$198,5,FALSE)</f>
        <v>4</v>
      </c>
      <c r="F33" s="84">
        <v>2037</v>
      </c>
      <c r="G33" s="3">
        <f t="shared" si="17"/>
        <v>0</v>
      </c>
      <c r="H33" s="3">
        <f t="shared" si="17"/>
        <v>0</v>
      </c>
      <c r="I33" s="3">
        <f t="shared" si="17"/>
        <v>0</v>
      </c>
      <c r="J33" s="3">
        <f t="shared" si="17"/>
        <v>0</v>
      </c>
      <c r="K33" s="3">
        <f t="shared" si="17"/>
        <v>0</v>
      </c>
      <c r="L33" s="3">
        <f t="shared" si="17"/>
        <v>0</v>
      </c>
      <c r="M33" s="3">
        <f t="shared" si="17"/>
        <v>0</v>
      </c>
      <c r="N33" s="3">
        <f t="shared" si="17"/>
        <v>0.8</v>
      </c>
      <c r="O33" s="3">
        <f t="shared" si="17"/>
        <v>0.8</v>
      </c>
      <c r="P33" s="3">
        <f t="shared" si="17"/>
        <v>0.8</v>
      </c>
      <c r="Q33" s="3">
        <f t="shared" si="17"/>
        <v>0.8</v>
      </c>
    </row>
    <row r="34" spans="1:17">
      <c r="A34" s="84" t="s">
        <v>142</v>
      </c>
      <c r="B34" s="85" t="s">
        <v>141</v>
      </c>
      <c r="C34" s="85" t="s">
        <v>83</v>
      </c>
      <c r="D34" s="84" t="s">
        <v>84</v>
      </c>
      <c r="E34" s="84">
        <f>VLOOKUP(A34,'2a. SI Pop'!$A$5:$E$198,5,FALSE)</f>
        <v>3</v>
      </c>
      <c r="F34" s="84">
        <v>2031</v>
      </c>
      <c r="G34" s="3">
        <f t="shared" si="17"/>
        <v>0</v>
      </c>
      <c r="H34" s="3">
        <f t="shared" si="17"/>
        <v>0.8</v>
      </c>
      <c r="I34" s="3">
        <f t="shared" si="17"/>
        <v>0.8</v>
      </c>
      <c r="J34" s="3">
        <f t="shared" si="17"/>
        <v>0.8</v>
      </c>
      <c r="K34" s="3">
        <f t="shared" si="17"/>
        <v>0.8</v>
      </c>
      <c r="L34" s="3">
        <f t="shared" si="17"/>
        <v>0.8</v>
      </c>
      <c r="M34" s="3">
        <f t="shared" si="17"/>
        <v>0.8</v>
      </c>
      <c r="N34" s="3">
        <f t="shared" si="17"/>
        <v>0.8</v>
      </c>
      <c r="O34" s="3">
        <f t="shared" si="17"/>
        <v>0.8</v>
      </c>
      <c r="P34" s="3">
        <f t="shared" si="17"/>
        <v>0.8</v>
      </c>
      <c r="Q34" s="3">
        <f t="shared" si="17"/>
        <v>0.8</v>
      </c>
    </row>
    <row r="35" spans="1:17">
      <c r="A35" s="84" t="s">
        <v>144</v>
      </c>
      <c r="B35" s="85" t="s">
        <v>143</v>
      </c>
      <c r="C35" s="85" t="s">
        <v>92</v>
      </c>
      <c r="D35" s="84" t="s">
        <v>87</v>
      </c>
      <c r="E35" s="84">
        <f>VLOOKUP(A35,'2a. SI Pop'!$A$5:$E$198,5,FALSE)</f>
        <v>1</v>
      </c>
      <c r="F35" s="84">
        <v>2033</v>
      </c>
      <c r="G35" s="3">
        <f t="shared" ref="G35:Q35" si="18">IF($F35&lt;=G$4,5%,0)</f>
        <v>0</v>
      </c>
      <c r="H35" s="3">
        <f t="shared" si="18"/>
        <v>0</v>
      </c>
      <c r="I35" s="3">
        <f t="shared" si="18"/>
        <v>0</v>
      </c>
      <c r="J35" s="3">
        <f t="shared" si="18"/>
        <v>0.05</v>
      </c>
      <c r="K35" s="3">
        <f t="shared" si="18"/>
        <v>0.05</v>
      </c>
      <c r="L35" s="3">
        <f t="shared" si="18"/>
        <v>0.05</v>
      </c>
      <c r="M35" s="3">
        <f t="shared" si="18"/>
        <v>0.05</v>
      </c>
      <c r="N35" s="3">
        <f t="shared" si="18"/>
        <v>0.05</v>
      </c>
      <c r="O35" s="3">
        <f t="shared" si="18"/>
        <v>0.05</v>
      </c>
      <c r="P35" s="3">
        <f t="shared" si="18"/>
        <v>0.05</v>
      </c>
      <c r="Q35" s="3">
        <f t="shared" si="18"/>
        <v>0.05</v>
      </c>
    </row>
    <row r="36" spans="1:17">
      <c r="A36" s="84" t="s">
        <v>146</v>
      </c>
      <c r="B36" s="85" t="s">
        <v>145</v>
      </c>
      <c r="C36" s="85" t="s">
        <v>83</v>
      </c>
      <c r="D36" s="84" t="s">
        <v>84</v>
      </c>
      <c r="E36" s="84">
        <f>VLOOKUP(A36,'2a. SI Pop'!$A$5:$E$198,5,FALSE)</f>
        <v>2</v>
      </c>
      <c r="F36" s="84">
        <v>2037</v>
      </c>
      <c r="G36" s="3">
        <f t="shared" ref="G36:Q36" si="19">IF($F36&lt;=G$4,30%,0)</f>
        <v>0</v>
      </c>
      <c r="H36" s="3">
        <f t="shared" si="19"/>
        <v>0</v>
      </c>
      <c r="I36" s="3">
        <f t="shared" si="19"/>
        <v>0</v>
      </c>
      <c r="J36" s="3">
        <f t="shared" si="19"/>
        <v>0</v>
      </c>
      <c r="K36" s="3">
        <f t="shared" si="19"/>
        <v>0</v>
      </c>
      <c r="L36" s="3">
        <f t="shared" si="19"/>
        <v>0</v>
      </c>
      <c r="M36" s="3">
        <f t="shared" si="19"/>
        <v>0</v>
      </c>
      <c r="N36" s="3">
        <f t="shared" si="19"/>
        <v>0.3</v>
      </c>
      <c r="O36" s="3">
        <f t="shared" si="19"/>
        <v>0.3</v>
      </c>
      <c r="P36" s="3">
        <f t="shared" si="19"/>
        <v>0.3</v>
      </c>
      <c r="Q36" s="3">
        <f t="shared" si="19"/>
        <v>0.3</v>
      </c>
    </row>
    <row r="37" spans="1:17">
      <c r="A37" s="84" t="s">
        <v>148</v>
      </c>
      <c r="B37" s="85" t="s">
        <v>147</v>
      </c>
      <c r="C37" s="85" t="s">
        <v>83</v>
      </c>
      <c r="D37" s="84" t="s">
        <v>75</v>
      </c>
      <c r="E37" s="84">
        <f>VLOOKUP(A37,'2a. SI Pop'!$A$5:$E$198,5,FALSE)</f>
        <v>3</v>
      </c>
      <c r="F37" s="84">
        <v>2034</v>
      </c>
      <c r="G37" s="3">
        <f t="shared" ref="G37:Q38" si="20">IF($F37&lt;=G$4,80%,0)</f>
        <v>0</v>
      </c>
      <c r="H37" s="3">
        <f t="shared" si="20"/>
        <v>0</v>
      </c>
      <c r="I37" s="3">
        <f t="shared" si="20"/>
        <v>0</v>
      </c>
      <c r="J37" s="3">
        <f t="shared" si="20"/>
        <v>0</v>
      </c>
      <c r="K37" s="3">
        <f t="shared" si="20"/>
        <v>0.8</v>
      </c>
      <c r="L37" s="3">
        <f t="shared" si="20"/>
        <v>0.8</v>
      </c>
      <c r="M37" s="3">
        <f t="shared" si="20"/>
        <v>0.8</v>
      </c>
      <c r="N37" s="3">
        <f t="shared" si="20"/>
        <v>0.8</v>
      </c>
      <c r="O37" s="3">
        <f t="shared" si="20"/>
        <v>0.8</v>
      </c>
      <c r="P37" s="3">
        <f t="shared" si="20"/>
        <v>0.8</v>
      </c>
      <c r="Q37" s="3">
        <f t="shared" si="20"/>
        <v>0.8</v>
      </c>
    </row>
    <row r="38" spans="1:17">
      <c r="A38" s="84" t="s">
        <v>150</v>
      </c>
      <c r="B38" s="85" t="s">
        <v>149</v>
      </c>
      <c r="C38" s="85" t="s">
        <v>83</v>
      </c>
      <c r="D38" s="84" t="s">
        <v>75</v>
      </c>
      <c r="E38" s="84" t="str">
        <f>VLOOKUP(A38,'2a. SI Pop'!$A$5:$E$198,5,FALSE)</f>
        <v>Key</v>
      </c>
      <c r="F38" s="84">
        <v>2032</v>
      </c>
      <c r="G38" s="3">
        <f t="shared" si="20"/>
        <v>0</v>
      </c>
      <c r="H38" s="3">
        <f t="shared" si="20"/>
        <v>0</v>
      </c>
      <c r="I38" s="3">
        <f t="shared" si="20"/>
        <v>0.8</v>
      </c>
      <c r="J38" s="3">
        <f t="shared" si="20"/>
        <v>0.8</v>
      </c>
      <c r="K38" s="3">
        <f t="shared" si="20"/>
        <v>0.8</v>
      </c>
      <c r="L38" s="3">
        <f t="shared" si="20"/>
        <v>0.8</v>
      </c>
      <c r="M38" s="3">
        <f t="shared" si="20"/>
        <v>0.8</v>
      </c>
      <c r="N38" s="3">
        <f t="shared" si="20"/>
        <v>0.8</v>
      </c>
      <c r="O38" s="3">
        <f t="shared" si="20"/>
        <v>0.8</v>
      </c>
      <c r="P38" s="3">
        <f t="shared" si="20"/>
        <v>0.8</v>
      </c>
      <c r="Q38" s="3">
        <f t="shared" si="20"/>
        <v>0.8</v>
      </c>
    </row>
    <row r="39" spans="1:17">
      <c r="A39" s="84" t="s">
        <v>152</v>
      </c>
      <c r="B39" s="85" t="s">
        <v>151</v>
      </c>
      <c r="C39" s="85" t="s">
        <v>92</v>
      </c>
      <c r="D39" s="84" t="s">
        <v>87</v>
      </c>
      <c r="E39" s="84">
        <f>VLOOKUP(A39,'2a. SI Pop'!$A$5:$E$198,5,FALSE)</f>
        <v>2</v>
      </c>
      <c r="F39" s="84">
        <v>2035</v>
      </c>
      <c r="G39" s="3">
        <f t="shared" ref="G39:Q39" si="21">IF($F39&lt;=G$4,30%,0)</f>
        <v>0</v>
      </c>
      <c r="H39" s="3">
        <f t="shared" si="21"/>
        <v>0</v>
      </c>
      <c r="I39" s="3">
        <f t="shared" si="21"/>
        <v>0</v>
      </c>
      <c r="J39" s="3">
        <f t="shared" si="21"/>
        <v>0</v>
      </c>
      <c r="K39" s="3">
        <f t="shared" si="21"/>
        <v>0</v>
      </c>
      <c r="L39" s="3">
        <f t="shared" si="21"/>
        <v>0.3</v>
      </c>
      <c r="M39" s="3">
        <f t="shared" si="21"/>
        <v>0.3</v>
      </c>
      <c r="N39" s="3">
        <f t="shared" si="21"/>
        <v>0.3</v>
      </c>
      <c r="O39" s="3">
        <f t="shared" si="21"/>
        <v>0.3</v>
      </c>
      <c r="P39" s="3">
        <f t="shared" si="21"/>
        <v>0.3</v>
      </c>
      <c r="Q39" s="3">
        <f t="shared" si="21"/>
        <v>0.3</v>
      </c>
    </row>
    <row r="40" spans="1:17">
      <c r="A40" s="84" t="s">
        <v>154</v>
      </c>
      <c r="B40" s="85" t="s">
        <v>153</v>
      </c>
      <c r="C40" s="85" t="s">
        <v>99</v>
      </c>
      <c r="D40" s="84" t="s">
        <v>80</v>
      </c>
      <c r="E40" s="84">
        <f>VLOOKUP(A40,'2a. SI Pop'!$A$5:$E$198,5,FALSE)</f>
        <v>1</v>
      </c>
      <c r="F40" s="84">
        <v>2030</v>
      </c>
      <c r="G40" s="3">
        <f t="shared" ref="G40:Q40" si="22">IF($F40&lt;=G$4,5%,0)</f>
        <v>0.05</v>
      </c>
      <c r="H40" s="3">
        <f t="shared" si="22"/>
        <v>0.05</v>
      </c>
      <c r="I40" s="3">
        <f t="shared" si="22"/>
        <v>0.05</v>
      </c>
      <c r="J40" s="3">
        <f t="shared" si="22"/>
        <v>0.05</v>
      </c>
      <c r="K40" s="3">
        <f t="shared" si="22"/>
        <v>0.05</v>
      </c>
      <c r="L40" s="3">
        <f t="shared" si="22"/>
        <v>0.05</v>
      </c>
      <c r="M40" s="3">
        <f t="shared" si="22"/>
        <v>0.05</v>
      </c>
      <c r="N40" s="3">
        <f t="shared" si="22"/>
        <v>0.05</v>
      </c>
      <c r="O40" s="3">
        <f t="shared" si="22"/>
        <v>0.05</v>
      </c>
      <c r="P40" s="3">
        <f t="shared" si="22"/>
        <v>0.05</v>
      </c>
      <c r="Q40" s="3">
        <f t="shared" si="22"/>
        <v>0.05</v>
      </c>
    </row>
    <row r="41" spans="1:17">
      <c r="A41" s="84" t="s">
        <v>156</v>
      </c>
      <c r="B41" s="85" t="s">
        <v>155</v>
      </c>
      <c r="C41" s="85" t="s">
        <v>92</v>
      </c>
      <c r="D41" s="84" t="s">
        <v>80</v>
      </c>
      <c r="E41" s="84">
        <f>VLOOKUP(A41,'2a. SI Pop'!$A$5:$E$198,5,FALSE)</f>
        <v>2</v>
      </c>
      <c r="F41" s="84">
        <v>2035</v>
      </c>
      <c r="G41" s="3">
        <f t="shared" ref="G41:Q41" si="23">IF($F41&lt;=G$4,30%,0)</f>
        <v>0</v>
      </c>
      <c r="H41" s="3">
        <f t="shared" si="23"/>
        <v>0</v>
      </c>
      <c r="I41" s="3">
        <f t="shared" si="23"/>
        <v>0</v>
      </c>
      <c r="J41" s="3">
        <f t="shared" si="23"/>
        <v>0</v>
      </c>
      <c r="K41" s="3">
        <f t="shared" si="23"/>
        <v>0</v>
      </c>
      <c r="L41" s="3">
        <f t="shared" si="23"/>
        <v>0.3</v>
      </c>
      <c r="M41" s="3">
        <f t="shared" si="23"/>
        <v>0.3</v>
      </c>
      <c r="N41" s="3">
        <f t="shared" si="23"/>
        <v>0.3</v>
      </c>
      <c r="O41" s="3">
        <f t="shared" si="23"/>
        <v>0.3</v>
      </c>
      <c r="P41" s="3">
        <f t="shared" si="23"/>
        <v>0.3</v>
      </c>
      <c r="Q41" s="3">
        <f t="shared" si="23"/>
        <v>0.3</v>
      </c>
    </row>
    <row r="42" spans="1:17">
      <c r="A42" s="84" t="s">
        <v>158</v>
      </c>
      <c r="B42" s="85" t="s">
        <v>157</v>
      </c>
      <c r="C42" s="85" t="s">
        <v>83</v>
      </c>
      <c r="D42" s="84" t="s">
        <v>84</v>
      </c>
      <c r="E42" s="84">
        <f>VLOOKUP(A42,'2a. SI Pop'!$A$5:$E$198,5,FALSE)</f>
        <v>3</v>
      </c>
      <c r="F42" s="84">
        <v>2037</v>
      </c>
      <c r="G42" s="3">
        <f t="shared" ref="G42:Q44" si="24">IF($F42&lt;=G$4,80%,0)</f>
        <v>0</v>
      </c>
      <c r="H42" s="3">
        <f t="shared" si="24"/>
        <v>0</v>
      </c>
      <c r="I42" s="3">
        <f t="shared" si="24"/>
        <v>0</v>
      </c>
      <c r="J42" s="3">
        <f t="shared" si="24"/>
        <v>0</v>
      </c>
      <c r="K42" s="3">
        <f t="shared" si="24"/>
        <v>0</v>
      </c>
      <c r="L42" s="3">
        <f t="shared" si="24"/>
        <v>0</v>
      </c>
      <c r="M42" s="3">
        <f t="shared" si="24"/>
        <v>0</v>
      </c>
      <c r="N42" s="3">
        <f t="shared" si="24"/>
        <v>0.8</v>
      </c>
      <c r="O42" s="3">
        <f t="shared" si="24"/>
        <v>0.8</v>
      </c>
      <c r="P42" s="3">
        <f t="shared" si="24"/>
        <v>0.8</v>
      </c>
      <c r="Q42" s="3">
        <f t="shared" si="24"/>
        <v>0.8</v>
      </c>
    </row>
    <row r="43" spans="1:17">
      <c r="A43" s="84" t="s">
        <v>160</v>
      </c>
      <c r="B43" s="85" t="s">
        <v>159</v>
      </c>
      <c r="C43" s="85" t="s">
        <v>83</v>
      </c>
      <c r="D43" s="84" t="s">
        <v>84</v>
      </c>
      <c r="E43" s="84">
        <f>VLOOKUP(A43,'2a. SI Pop'!$A$5:$E$198,5,FALSE)</f>
        <v>3</v>
      </c>
      <c r="F43" s="84">
        <v>2032</v>
      </c>
      <c r="G43" s="3">
        <f t="shared" si="24"/>
        <v>0</v>
      </c>
      <c r="H43" s="3">
        <f t="shared" si="24"/>
        <v>0</v>
      </c>
      <c r="I43" s="3">
        <f t="shared" si="24"/>
        <v>0.8</v>
      </c>
      <c r="J43" s="3">
        <f t="shared" si="24"/>
        <v>0.8</v>
      </c>
      <c r="K43" s="3">
        <f t="shared" si="24"/>
        <v>0.8</v>
      </c>
      <c r="L43" s="3">
        <f t="shared" si="24"/>
        <v>0.8</v>
      </c>
      <c r="M43" s="3">
        <f t="shared" si="24"/>
        <v>0.8</v>
      </c>
      <c r="N43" s="3">
        <f t="shared" si="24"/>
        <v>0.8</v>
      </c>
      <c r="O43" s="3">
        <f t="shared" si="24"/>
        <v>0.8</v>
      </c>
      <c r="P43" s="3">
        <f t="shared" si="24"/>
        <v>0.8</v>
      </c>
      <c r="Q43" s="3">
        <f t="shared" si="24"/>
        <v>0.8</v>
      </c>
    </row>
    <row r="44" spans="1:17">
      <c r="A44" s="84" t="s">
        <v>162</v>
      </c>
      <c r="B44" s="85" t="s">
        <v>161</v>
      </c>
      <c r="C44" s="85" t="s">
        <v>99</v>
      </c>
      <c r="D44" s="84" t="e">
        <v>#N/A</v>
      </c>
      <c r="E44" s="84">
        <f>VLOOKUP(A44,'2a. SI Pop'!$A$5:$E$198,5,FALSE)</f>
        <v>1</v>
      </c>
      <c r="F44" s="84">
        <v>2040</v>
      </c>
      <c r="G44" s="3">
        <f t="shared" si="24"/>
        <v>0</v>
      </c>
      <c r="H44" s="3">
        <f t="shared" si="24"/>
        <v>0</v>
      </c>
      <c r="I44" s="3">
        <f t="shared" si="24"/>
        <v>0</v>
      </c>
      <c r="J44" s="3">
        <f t="shared" si="24"/>
        <v>0</v>
      </c>
      <c r="K44" s="3">
        <f t="shared" si="24"/>
        <v>0</v>
      </c>
      <c r="L44" s="3">
        <f t="shared" si="24"/>
        <v>0</v>
      </c>
      <c r="M44" s="3">
        <f t="shared" si="24"/>
        <v>0</v>
      </c>
      <c r="N44" s="3">
        <f t="shared" si="24"/>
        <v>0</v>
      </c>
      <c r="O44" s="3">
        <f t="shared" si="24"/>
        <v>0</v>
      </c>
      <c r="P44" s="3">
        <f t="shared" si="24"/>
        <v>0</v>
      </c>
      <c r="Q44" s="3">
        <f t="shared" si="24"/>
        <v>0.8</v>
      </c>
    </row>
    <row r="45" spans="1:17">
      <c r="A45" s="84" t="s">
        <v>164</v>
      </c>
      <c r="B45" s="85" t="s">
        <v>163</v>
      </c>
      <c r="C45" s="85" t="s">
        <v>92</v>
      </c>
      <c r="D45" s="84" t="s">
        <v>80</v>
      </c>
      <c r="E45" s="84">
        <f>VLOOKUP(A45,'2a. SI Pop'!$A$5:$E$198,5,FALSE)</f>
        <v>2</v>
      </c>
      <c r="F45" s="84">
        <v>2039</v>
      </c>
      <c r="G45" s="3">
        <f t="shared" ref="G45:Q45" si="25">IF($F45&lt;=G$4,30%,0)</f>
        <v>0</v>
      </c>
      <c r="H45" s="3">
        <f t="shared" si="25"/>
        <v>0</v>
      </c>
      <c r="I45" s="3">
        <f t="shared" si="25"/>
        <v>0</v>
      </c>
      <c r="J45" s="3">
        <f t="shared" si="25"/>
        <v>0</v>
      </c>
      <c r="K45" s="3">
        <f t="shared" si="25"/>
        <v>0</v>
      </c>
      <c r="L45" s="3">
        <f t="shared" si="25"/>
        <v>0</v>
      </c>
      <c r="M45" s="3">
        <f t="shared" si="25"/>
        <v>0</v>
      </c>
      <c r="N45" s="3">
        <f t="shared" si="25"/>
        <v>0</v>
      </c>
      <c r="O45" s="3">
        <f t="shared" si="25"/>
        <v>0</v>
      </c>
      <c r="P45" s="3">
        <f t="shared" si="25"/>
        <v>0.3</v>
      </c>
      <c r="Q45" s="3">
        <f t="shared" si="25"/>
        <v>0.3</v>
      </c>
    </row>
    <row r="46" spans="1:17">
      <c r="A46" s="84" t="s">
        <v>166</v>
      </c>
      <c r="B46" s="85" t="s">
        <v>165</v>
      </c>
      <c r="C46" s="85" t="s">
        <v>83</v>
      </c>
      <c r="D46" s="84" t="s">
        <v>84</v>
      </c>
      <c r="E46" s="84">
        <f>VLOOKUP(A46,'2a. SI Pop'!$A$5:$E$198,5,FALSE)</f>
        <v>3</v>
      </c>
      <c r="F46" s="84">
        <v>2036</v>
      </c>
      <c r="G46" s="3">
        <f t="shared" ref="G46:Q46" si="26">IF($F46&lt;=G$4,80%,0)</f>
        <v>0</v>
      </c>
      <c r="H46" s="3">
        <f t="shared" si="26"/>
        <v>0</v>
      </c>
      <c r="I46" s="3">
        <f t="shared" si="26"/>
        <v>0</v>
      </c>
      <c r="J46" s="3">
        <f t="shared" si="26"/>
        <v>0</v>
      </c>
      <c r="K46" s="3">
        <f t="shared" si="26"/>
        <v>0</v>
      </c>
      <c r="L46" s="3">
        <f t="shared" si="26"/>
        <v>0</v>
      </c>
      <c r="M46" s="3">
        <f t="shared" si="26"/>
        <v>0.8</v>
      </c>
      <c r="N46" s="3">
        <f t="shared" si="26"/>
        <v>0.8</v>
      </c>
      <c r="O46" s="3">
        <f t="shared" si="26"/>
        <v>0.8</v>
      </c>
      <c r="P46" s="3">
        <f t="shared" si="26"/>
        <v>0.8</v>
      </c>
      <c r="Q46" s="3">
        <f t="shared" si="26"/>
        <v>0.8</v>
      </c>
    </row>
    <row r="47" spans="1:17">
      <c r="A47" s="84" t="s">
        <v>168</v>
      </c>
      <c r="B47" s="85" t="s">
        <v>167</v>
      </c>
      <c r="C47" s="85" t="s">
        <v>79</v>
      </c>
      <c r="D47" s="84" t="s">
        <v>87</v>
      </c>
      <c r="E47" s="84">
        <f>VLOOKUP(A47,'2a. SI Pop'!$A$5:$E$198,5,FALSE)</f>
        <v>1</v>
      </c>
      <c r="F47" s="84">
        <v>2038</v>
      </c>
      <c r="G47" s="3">
        <f t="shared" ref="G47:Q50" si="27">IF($F47&lt;=G$4,5%,0)</f>
        <v>0</v>
      </c>
      <c r="H47" s="3">
        <f t="shared" si="27"/>
        <v>0</v>
      </c>
      <c r="I47" s="3">
        <f t="shared" si="27"/>
        <v>0</v>
      </c>
      <c r="J47" s="3">
        <f t="shared" si="27"/>
        <v>0</v>
      </c>
      <c r="K47" s="3">
        <f t="shared" si="27"/>
        <v>0</v>
      </c>
      <c r="L47" s="3">
        <f t="shared" si="27"/>
        <v>0</v>
      </c>
      <c r="M47" s="3">
        <f t="shared" si="27"/>
        <v>0</v>
      </c>
      <c r="N47" s="3">
        <f t="shared" si="27"/>
        <v>0</v>
      </c>
      <c r="O47" s="3">
        <f t="shared" si="27"/>
        <v>0.05</v>
      </c>
      <c r="P47" s="3">
        <f t="shared" si="27"/>
        <v>0.05</v>
      </c>
      <c r="Q47" s="3">
        <f t="shared" si="27"/>
        <v>0.05</v>
      </c>
    </row>
    <row r="48" spans="1:17">
      <c r="A48" s="84" t="s">
        <v>170</v>
      </c>
      <c r="B48" s="85" t="s">
        <v>169</v>
      </c>
      <c r="C48" s="85" t="s">
        <v>92</v>
      </c>
      <c r="D48" s="84" t="s">
        <v>80</v>
      </c>
      <c r="E48" s="84">
        <f>VLOOKUP(A48,'2a. SI Pop'!$A$5:$E$198,5,FALSE)</f>
        <v>1</v>
      </c>
      <c r="F48" s="84">
        <v>2040</v>
      </c>
      <c r="G48" s="3">
        <f t="shared" si="27"/>
        <v>0</v>
      </c>
      <c r="H48" s="3">
        <f t="shared" si="27"/>
        <v>0</v>
      </c>
      <c r="I48" s="3">
        <f t="shared" si="27"/>
        <v>0</v>
      </c>
      <c r="J48" s="3">
        <f t="shared" si="27"/>
        <v>0</v>
      </c>
      <c r="K48" s="3">
        <f t="shared" si="27"/>
        <v>0</v>
      </c>
      <c r="L48" s="3">
        <f t="shared" si="27"/>
        <v>0</v>
      </c>
      <c r="M48" s="3">
        <f t="shared" si="27"/>
        <v>0</v>
      </c>
      <c r="N48" s="3">
        <f t="shared" si="27"/>
        <v>0</v>
      </c>
      <c r="O48" s="3">
        <f t="shared" si="27"/>
        <v>0</v>
      </c>
      <c r="P48" s="3">
        <f t="shared" si="27"/>
        <v>0</v>
      </c>
      <c r="Q48" s="3">
        <f t="shared" si="27"/>
        <v>0.05</v>
      </c>
    </row>
    <row r="49" spans="1:17">
      <c r="A49" s="84" t="s">
        <v>172</v>
      </c>
      <c r="B49" s="85" t="s">
        <v>171</v>
      </c>
      <c r="C49" s="85" t="s">
        <v>79</v>
      </c>
      <c r="D49" s="84" t="s">
        <v>87</v>
      </c>
      <c r="E49" s="84">
        <f>VLOOKUP(A49,'2a. SI Pop'!$A$5:$E$198,5,FALSE)</f>
        <v>1</v>
      </c>
      <c r="F49" s="84">
        <v>2033</v>
      </c>
      <c r="G49" s="3">
        <f t="shared" si="27"/>
        <v>0</v>
      </c>
      <c r="H49" s="3">
        <f t="shared" si="27"/>
        <v>0</v>
      </c>
      <c r="I49" s="3">
        <f t="shared" si="27"/>
        <v>0</v>
      </c>
      <c r="J49" s="3">
        <f t="shared" si="27"/>
        <v>0.05</v>
      </c>
      <c r="K49" s="3">
        <f t="shared" si="27"/>
        <v>0.05</v>
      </c>
      <c r="L49" s="3">
        <f t="shared" si="27"/>
        <v>0.05</v>
      </c>
      <c r="M49" s="3">
        <f t="shared" si="27"/>
        <v>0.05</v>
      </c>
      <c r="N49" s="3">
        <f t="shared" si="27"/>
        <v>0.05</v>
      </c>
      <c r="O49" s="3">
        <f t="shared" si="27"/>
        <v>0.05</v>
      </c>
      <c r="P49" s="3">
        <f t="shared" si="27"/>
        <v>0.05</v>
      </c>
      <c r="Q49" s="3">
        <f t="shared" si="27"/>
        <v>0.05</v>
      </c>
    </row>
    <row r="50" spans="1:17">
      <c r="A50" s="84" t="s">
        <v>174</v>
      </c>
      <c r="B50" s="85" t="s">
        <v>173</v>
      </c>
      <c r="C50" s="85" t="s">
        <v>79</v>
      </c>
      <c r="D50" s="84" t="s">
        <v>87</v>
      </c>
      <c r="E50" s="84">
        <f>VLOOKUP(A50,'2a. SI Pop'!$A$5:$E$198,5,FALSE)</f>
        <v>1</v>
      </c>
      <c r="F50" s="84">
        <v>2032</v>
      </c>
      <c r="G50" s="3">
        <f t="shared" si="27"/>
        <v>0</v>
      </c>
      <c r="H50" s="3">
        <f t="shared" si="27"/>
        <v>0</v>
      </c>
      <c r="I50" s="3">
        <f t="shared" si="27"/>
        <v>0.05</v>
      </c>
      <c r="J50" s="3">
        <f t="shared" si="27"/>
        <v>0.05</v>
      </c>
      <c r="K50" s="3">
        <f t="shared" si="27"/>
        <v>0.05</v>
      </c>
      <c r="L50" s="3">
        <f t="shared" si="27"/>
        <v>0.05</v>
      </c>
      <c r="M50" s="3">
        <f t="shared" si="27"/>
        <v>0.05</v>
      </c>
      <c r="N50" s="3">
        <f t="shared" si="27"/>
        <v>0.05</v>
      </c>
      <c r="O50" s="3">
        <f t="shared" si="27"/>
        <v>0.05</v>
      </c>
      <c r="P50" s="3">
        <f t="shared" si="27"/>
        <v>0.05</v>
      </c>
      <c r="Q50" s="3">
        <f t="shared" si="27"/>
        <v>0.05</v>
      </c>
    </row>
    <row r="51" spans="1:17">
      <c r="A51" s="84" t="s">
        <v>176</v>
      </c>
      <c r="B51" s="85" t="s">
        <v>175</v>
      </c>
      <c r="C51" s="85" t="s">
        <v>110</v>
      </c>
      <c r="D51" s="84" t="s">
        <v>75</v>
      </c>
      <c r="E51" s="84">
        <f>VLOOKUP(A51,'2a. SI Pop'!$A$5:$E$198,5,FALSE)</f>
        <v>4</v>
      </c>
      <c r="F51" s="84">
        <v>2039</v>
      </c>
      <c r="G51" s="3">
        <f t="shared" ref="G51:Q52" si="28">IF($F51&lt;=G$4,80%,0)</f>
        <v>0</v>
      </c>
      <c r="H51" s="3">
        <f t="shared" si="28"/>
        <v>0</v>
      </c>
      <c r="I51" s="3">
        <f t="shared" si="28"/>
        <v>0</v>
      </c>
      <c r="J51" s="3">
        <f t="shared" si="28"/>
        <v>0</v>
      </c>
      <c r="K51" s="3">
        <f t="shared" si="28"/>
        <v>0</v>
      </c>
      <c r="L51" s="3">
        <f t="shared" si="28"/>
        <v>0</v>
      </c>
      <c r="M51" s="3">
        <f t="shared" si="28"/>
        <v>0</v>
      </c>
      <c r="N51" s="3">
        <f t="shared" si="28"/>
        <v>0</v>
      </c>
      <c r="O51" s="3">
        <f t="shared" si="28"/>
        <v>0</v>
      </c>
      <c r="P51" s="3">
        <f t="shared" si="28"/>
        <v>0.8</v>
      </c>
      <c r="Q51" s="3">
        <f t="shared" si="28"/>
        <v>0.8</v>
      </c>
    </row>
    <row r="52" spans="1:17">
      <c r="A52" s="84" t="s">
        <v>178</v>
      </c>
      <c r="B52" s="85" t="s">
        <v>177</v>
      </c>
      <c r="C52" s="85" t="s">
        <v>83</v>
      </c>
      <c r="D52" s="84" t="s">
        <v>75</v>
      </c>
      <c r="E52" s="84" t="str">
        <f>VLOOKUP(A52,'2a. SI Pop'!$A$5:$E$198,5,FALSE)</f>
        <v>Key</v>
      </c>
      <c r="F52" s="84">
        <v>2032</v>
      </c>
      <c r="G52" s="3">
        <f t="shared" si="28"/>
        <v>0</v>
      </c>
      <c r="H52" s="3">
        <f t="shared" si="28"/>
        <v>0</v>
      </c>
      <c r="I52" s="3">
        <f t="shared" si="28"/>
        <v>0.8</v>
      </c>
      <c r="J52" s="3">
        <f t="shared" si="28"/>
        <v>0.8</v>
      </c>
      <c r="K52" s="3">
        <f t="shared" si="28"/>
        <v>0.8</v>
      </c>
      <c r="L52" s="3">
        <f t="shared" si="28"/>
        <v>0.8</v>
      </c>
      <c r="M52" s="3">
        <f t="shared" si="28"/>
        <v>0.8</v>
      </c>
      <c r="N52" s="3">
        <f t="shared" si="28"/>
        <v>0.8</v>
      </c>
      <c r="O52" s="3">
        <f t="shared" si="28"/>
        <v>0.8</v>
      </c>
      <c r="P52" s="3">
        <f t="shared" si="28"/>
        <v>0.8</v>
      </c>
      <c r="Q52" s="3">
        <f t="shared" si="28"/>
        <v>0.8</v>
      </c>
    </row>
    <row r="53" spans="1:17">
      <c r="A53" s="84" t="s">
        <v>180</v>
      </c>
      <c r="B53" s="85" t="s">
        <v>179</v>
      </c>
      <c r="C53" s="85" t="s">
        <v>79</v>
      </c>
      <c r="D53" s="84" t="s">
        <v>87</v>
      </c>
      <c r="E53" s="84">
        <f>VLOOKUP(A53,'2a. SI Pop'!$A$5:$E$198,5,FALSE)</f>
        <v>1</v>
      </c>
      <c r="F53" s="84">
        <v>2035</v>
      </c>
      <c r="G53" s="3">
        <f t="shared" ref="G53:Q53" si="29">IF($F53&lt;=G$4,5%,0)</f>
        <v>0</v>
      </c>
      <c r="H53" s="3">
        <f t="shared" si="29"/>
        <v>0</v>
      </c>
      <c r="I53" s="3">
        <f t="shared" si="29"/>
        <v>0</v>
      </c>
      <c r="J53" s="3">
        <f t="shared" si="29"/>
        <v>0</v>
      </c>
      <c r="K53" s="3">
        <f t="shared" si="29"/>
        <v>0</v>
      </c>
      <c r="L53" s="3">
        <f t="shared" si="29"/>
        <v>0.05</v>
      </c>
      <c r="M53" s="3">
        <f t="shared" si="29"/>
        <v>0.05</v>
      </c>
      <c r="N53" s="3">
        <f t="shared" si="29"/>
        <v>0.05</v>
      </c>
      <c r="O53" s="3">
        <f t="shared" si="29"/>
        <v>0.05</v>
      </c>
      <c r="P53" s="3">
        <f t="shared" si="29"/>
        <v>0.05</v>
      </c>
      <c r="Q53" s="3">
        <f t="shared" si="29"/>
        <v>0.05</v>
      </c>
    </row>
    <row r="54" spans="1:17">
      <c r="A54" s="84" t="s">
        <v>182</v>
      </c>
      <c r="B54" s="85" t="s">
        <v>181</v>
      </c>
      <c r="C54" s="85" t="s">
        <v>74</v>
      </c>
      <c r="D54" s="84" t="s">
        <v>84</v>
      </c>
      <c r="E54" s="84">
        <f>VLOOKUP(A54,'2a. SI Pop'!$A$5:$E$198,5,FALSE)</f>
        <v>3</v>
      </c>
      <c r="F54" s="84">
        <v>2040</v>
      </c>
      <c r="G54" s="3">
        <f t="shared" ref="G54:Q54" si="30">IF($F54&lt;=G$4,80%,0)</f>
        <v>0</v>
      </c>
      <c r="H54" s="3">
        <f t="shared" si="30"/>
        <v>0</v>
      </c>
      <c r="I54" s="3">
        <f t="shared" si="30"/>
        <v>0</v>
      </c>
      <c r="J54" s="3">
        <f t="shared" si="30"/>
        <v>0</v>
      </c>
      <c r="K54" s="3">
        <f t="shared" si="30"/>
        <v>0</v>
      </c>
      <c r="L54" s="3">
        <f t="shared" si="30"/>
        <v>0</v>
      </c>
      <c r="M54" s="3">
        <f t="shared" si="30"/>
        <v>0</v>
      </c>
      <c r="N54" s="3">
        <f t="shared" si="30"/>
        <v>0</v>
      </c>
      <c r="O54" s="3">
        <f t="shared" si="30"/>
        <v>0</v>
      </c>
      <c r="P54" s="3">
        <f t="shared" si="30"/>
        <v>0</v>
      </c>
      <c r="Q54" s="3">
        <f t="shared" si="30"/>
        <v>0.8</v>
      </c>
    </row>
    <row r="55" spans="1:17">
      <c r="A55" s="84" t="s">
        <v>184</v>
      </c>
      <c r="B55" s="85" t="s">
        <v>183</v>
      </c>
      <c r="C55" s="85" t="s">
        <v>92</v>
      </c>
      <c r="D55" s="84" t="s">
        <v>80</v>
      </c>
      <c r="E55" s="84">
        <f>VLOOKUP(A55,'2a. SI Pop'!$A$5:$E$198,5,FALSE)</f>
        <v>2</v>
      </c>
      <c r="F55" s="84">
        <v>2041</v>
      </c>
      <c r="G55" s="3">
        <f t="shared" ref="G55:Q58" si="31">IF($F55&lt;=G$4,30%,0)</f>
        <v>0</v>
      </c>
      <c r="H55" s="3">
        <f t="shared" si="31"/>
        <v>0</v>
      </c>
      <c r="I55" s="3">
        <f t="shared" si="31"/>
        <v>0</v>
      </c>
      <c r="J55" s="3">
        <f t="shared" si="31"/>
        <v>0</v>
      </c>
      <c r="K55" s="3">
        <f t="shared" si="31"/>
        <v>0</v>
      </c>
      <c r="L55" s="3">
        <f t="shared" si="31"/>
        <v>0</v>
      </c>
      <c r="M55" s="3">
        <f t="shared" si="31"/>
        <v>0</v>
      </c>
      <c r="N55" s="3">
        <f t="shared" si="31"/>
        <v>0</v>
      </c>
      <c r="O55" s="3">
        <f t="shared" si="31"/>
        <v>0</v>
      </c>
      <c r="P55" s="3">
        <f t="shared" si="31"/>
        <v>0</v>
      </c>
      <c r="Q55" s="3">
        <f t="shared" si="31"/>
        <v>0</v>
      </c>
    </row>
    <row r="56" spans="1:17">
      <c r="A56" s="84" t="s">
        <v>184</v>
      </c>
      <c r="B56" s="85" t="s">
        <v>185</v>
      </c>
      <c r="C56" s="85" t="s">
        <v>92</v>
      </c>
      <c r="D56" s="84" t="s">
        <v>80</v>
      </c>
      <c r="E56" s="84">
        <f>VLOOKUP(A56,'2a. SI Pop'!$A$5:$E$198,5,FALSE)</f>
        <v>2</v>
      </c>
      <c r="F56" s="84">
        <v>2041</v>
      </c>
      <c r="G56" s="3">
        <f t="shared" si="31"/>
        <v>0</v>
      </c>
      <c r="H56" s="3">
        <f t="shared" si="31"/>
        <v>0</v>
      </c>
      <c r="I56" s="3">
        <f t="shared" si="31"/>
        <v>0</v>
      </c>
      <c r="J56" s="3">
        <f t="shared" si="31"/>
        <v>0</v>
      </c>
      <c r="K56" s="3">
        <f t="shared" si="31"/>
        <v>0</v>
      </c>
      <c r="L56" s="3">
        <f t="shared" si="31"/>
        <v>0</v>
      </c>
      <c r="M56" s="3">
        <f t="shared" si="31"/>
        <v>0</v>
      </c>
      <c r="N56" s="3">
        <f t="shared" si="31"/>
        <v>0</v>
      </c>
      <c r="O56" s="3">
        <f t="shared" si="31"/>
        <v>0</v>
      </c>
      <c r="P56" s="3">
        <f t="shared" si="31"/>
        <v>0</v>
      </c>
      <c r="Q56" s="3">
        <f t="shared" si="31"/>
        <v>0</v>
      </c>
    </row>
    <row r="57" spans="1:17">
      <c r="A57" s="84" t="s">
        <v>187</v>
      </c>
      <c r="B57" s="85" t="s">
        <v>186</v>
      </c>
      <c r="C57" s="85" t="s">
        <v>92</v>
      </c>
      <c r="D57" s="84" t="s">
        <v>80</v>
      </c>
      <c r="E57" s="84">
        <f>VLOOKUP(A57,'2a. SI Pop'!$A$5:$E$198,5,FALSE)</f>
        <v>2</v>
      </c>
      <c r="F57" s="84">
        <v>2040</v>
      </c>
      <c r="G57" s="3">
        <f t="shared" si="31"/>
        <v>0</v>
      </c>
      <c r="H57" s="3">
        <f t="shared" si="31"/>
        <v>0</v>
      </c>
      <c r="I57" s="3">
        <f t="shared" si="31"/>
        <v>0</v>
      </c>
      <c r="J57" s="3">
        <f t="shared" si="31"/>
        <v>0</v>
      </c>
      <c r="K57" s="3">
        <f t="shared" si="31"/>
        <v>0</v>
      </c>
      <c r="L57" s="3">
        <f t="shared" si="31"/>
        <v>0</v>
      </c>
      <c r="M57" s="3">
        <f t="shared" si="31"/>
        <v>0</v>
      </c>
      <c r="N57" s="3">
        <f t="shared" si="31"/>
        <v>0</v>
      </c>
      <c r="O57" s="3">
        <f t="shared" si="31"/>
        <v>0</v>
      </c>
      <c r="P57" s="3">
        <f t="shared" si="31"/>
        <v>0</v>
      </c>
      <c r="Q57" s="3">
        <f t="shared" si="31"/>
        <v>0.3</v>
      </c>
    </row>
    <row r="58" spans="1:17">
      <c r="A58" s="84" t="s">
        <v>189</v>
      </c>
      <c r="B58" s="85" t="s">
        <v>188</v>
      </c>
      <c r="C58" s="85" t="s">
        <v>74</v>
      </c>
      <c r="D58" s="84" t="s">
        <v>84</v>
      </c>
      <c r="E58" s="84">
        <f>VLOOKUP(A58,'2a. SI Pop'!$A$5:$E$198,5,FALSE)</f>
        <v>2</v>
      </c>
      <c r="F58" s="84">
        <v>2038</v>
      </c>
      <c r="G58" s="3">
        <f t="shared" si="31"/>
        <v>0</v>
      </c>
      <c r="H58" s="3">
        <f t="shared" si="31"/>
        <v>0</v>
      </c>
      <c r="I58" s="3">
        <f t="shared" si="31"/>
        <v>0</v>
      </c>
      <c r="J58" s="3">
        <f t="shared" si="31"/>
        <v>0</v>
      </c>
      <c r="K58" s="3">
        <f t="shared" si="31"/>
        <v>0</v>
      </c>
      <c r="L58" s="3">
        <f t="shared" si="31"/>
        <v>0</v>
      </c>
      <c r="M58" s="3">
        <f t="shared" si="31"/>
        <v>0</v>
      </c>
      <c r="N58" s="3">
        <f t="shared" si="31"/>
        <v>0</v>
      </c>
      <c r="O58" s="3">
        <f t="shared" si="31"/>
        <v>0.3</v>
      </c>
      <c r="P58" s="3">
        <f t="shared" si="31"/>
        <v>0.3</v>
      </c>
      <c r="Q58" s="3">
        <f t="shared" si="31"/>
        <v>0.3</v>
      </c>
    </row>
    <row r="59" spans="1:17">
      <c r="A59" s="84" t="s">
        <v>191</v>
      </c>
      <c r="B59" s="85" t="s">
        <v>190</v>
      </c>
      <c r="C59" s="85" t="s">
        <v>92</v>
      </c>
      <c r="D59" s="84" t="s">
        <v>84</v>
      </c>
      <c r="E59" s="84">
        <f>VLOOKUP(A59,'2a. SI Pop'!$A$5:$E$198,5,FALSE)</f>
        <v>1</v>
      </c>
      <c r="F59" s="84">
        <v>2041</v>
      </c>
      <c r="G59" s="3">
        <f t="shared" ref="G59:Q59" si="32">IF($F59&lt;=G$4,5%,0)</f>
        <v>0</v>
      </c>
      <c r="H59" s="3">
        <f t="shared" si="32"/>
        <v>0</v>
      </c>
      <c r="I59" s="3">
        <f t="shared" si="32"/>
        <v>0</v>
      </c>
      <c r="J59" s="3">
        <f t="shared" si="32"/>
        <v>0</v>
      </c>
      <c r="K59" s="3">
        <f t="shared" si="32"/>
        <v>0</v>
      </c>
      <c r="L59" s="3">
        <f t="shared" si="32"/>
        <v>0</v>
      </c>
      <c r="M59" s="3">
        <f t="shared" si="32"/>
        <v>0</v>
      </c>
      <c r="N59" s="3">
        <f t="shared" si="32"/>
        <v>0</v>
      </c>
      <c r="O59" s="3">
        <f t="shared" si="32"/>
        <v>0</v>
      </c>
      <c r="P59" s="3">
        <f t="shared" si="32"/>
        <v>0</v>
      </c>
      <c r="Q59" s="3">
        <f t="shared" si="32"/>
        <v>0</v>
      </c>
    </row>
    <row r="60" spans="1:17">
      <c r="A60" s="84" t="s">
        <v>193</v>
      </c>
      <c r="B60" s="85" t="s">
        <v>192</v>
      </c>
      <c r="C60" s="85" t="s">
        <v>83</v>
      </c>
      <c r="D60" s="84" t="s">
        <v>80</v>
      </c>
      <c r="E60" s="84">
        <f>VLOOKUP(A60,'2a. SI Pop'!$A$5:$E$198,5,FALSE)</f>
        <v>3</v>
      </c>
      <c r="F60" s="84">
        <v>2035</v>
      </c>
      <c r="G60" s="3">
        <f t="shared" ref="G60:Q61" si="33">IF($F60&lt;=G$4,80%,0)</f>
        <v>0</v>
      </c>
      <c r="H60" s="3">
        <f t="shared" si="33"/>
        <v>0</v>
      </c>
      <c r="I60" s="3">
        <f t="shared" si="33"/>
        <v>0</v>
      </c>
      <c r="J60" s="3">
        <f t="shared" si="33"/>
        <v>0</v>
      </c>
      <c r="K60" s="3">
        <f t="shared" si="33"/>
        <v>0</v>
      </c>
      <c r="L60" s="3">
        <f t="shared" si="33"/>
        <v>0.8</v>
      </c>
      <c r="M60" s="3">
        <f t="shared" si="33"/>
        <v>0.8</v>
      </c>
      <c r="N60" s="3">
        <f t="shared" si="33"/>
        <v>0.8</v>
      </c>
      <c r="O60" s="3">
        <f t="shared" si="33"/>
        <v>0.8</v>
      </c>
      <c r="P60" s="3">
        <f t="shared" si="33"/>
        <v>0.8</v>
      </c>
      <c r="Q60" s="3">
        <f t="shared" si="33"/>
        <v>0.8</v>
      </c>
    </row>
    <row r="61" spans="1:17">
      <c r="A61" s="84" t="s">
        <v>195</v>
      </c>
      <c r="B61" s="85" t="s">
        <v>194</v>
      </c>
      <c r="C61" s="85" t="s">
        <v>83</v>
      </c>
      <c r="D61" s="84" t="s">
        <v>75</v>
      </c>
      <c r="E61" s="84">
        <f>VLOOKUP(A61,'2a. SI Pop'!$A$5:$E$198,5,FALSE)</f>
        <v>3</v>
      </c>
      <c r="F61" s="84">
        <v>2038</v>
      </c>
      <c r="G61" s="3">
        <f t="shared" si="33"/>
        <v>0</v>
      </c>
      <c r="H61" s="3">
        <f t="shared" si="33"/>
        <v>0</v>
      </c>
      <c r="I61" s="3">
        <f t="shared" si="33"/>
        <v>0</v>
      </c>
      <c r="J61" s="3">
        <f t="shared" si="33"/>
        <v>0</v>
      </c>
      <c r="K61" s="3">
        <f t="shared" si="33"/>
        <v>0</v>
      </c>
      <c r="L61" s="3">
        <f t="shared" si="33"/>
        <v>0</v>
      </c>
      <c r="M61" s="3">
        <f t="shared" si="33"/>
        <v>0</v>
      </c>
      <c r="N61" s="3">
        <f t="shared" si="33"/>
        <v>0</v>
      </c>
      <c r="O61" s="3">
        <f t="shared" si="33"/>
        <v>0.8</v>
      </c>
      <c r="P61" s="3">
        <f t="shared" si="33"/>
        <v>0.8</v>
      </c>
      <c r="Q61" s="3">
        <f t="shared" si="33"/>
        <v>0.8</v>
      </c>
    </row>
    <row r="62" spans="1:17">
      <c r="A62" s="84" t="s">
        <v>197</v>
      </c>
      <c r="B62" s="85" t="s">
        <v>196</v>
      </c>
      <c r="C62" s="85" t="s">
        <v>79</v>
      </c>
      <c r="D62" s="84" t="s">
        <v>87</v>
      </c>
      <c r="E62" s="84">
        <f>VLOOKUP(A62,'2a. SI Pop'!$A$5:$E$198,5,FALSE)</f>
        <v>1</v>
      </c>
      <c r="F62" s="84">
        <v>2038</v>
      </c>
      <c r="G62" s="3">
        <f t="shared" ref="G62:Q62" si="34">IF($F62&lt;=G$4,5%,0)</f>
        <v>0</v>
      </c>
      <c r="H62" s="3">
        <f t="shared" si="34"/>
        <v>0</v>
      </c>
      <c r="I62" s="3">
        <f t="shared" si="34"/>
        <v>0</v>
      </c>
      <c r="J62" s="3">
        <f t="shared" si="34"/>
        <v>0</v>
      </c>
      <c r="K62" s="3">
        <f t="shared" si="34"/>
        <v>0</v>
      </c>
      <c r="L62" s="3">
        <f t="shared" si="34"/>
        <v>0</v>
      </c>
      <c r="M62" s="3">
        <f t="shared" si="34"/>
        <v>0</v>
      </c>
      <c r="N62" s="3">
        <f t="shared" si="34"/>
        <v>0</v>
      </c>
      <c r="O62" s="3">
        <f t="shared" si="34"/>
        <v>0.05</v>
      </c>
      <c r="P62" s="3">
        <f t="shared" si="34"/>
        <v>0.05</v>
      </c>
      <c r="Q62" s="3">
        <f t="shared" si="34"/>
        <v>0.05</v>
      </c>
    </row>
    <row r="63" spans="1:17">
      <c r="A63" s="84" t="s">
        <v>199</v>
      </c>
      <c r="B63" s="85" t="s">
        <v>198</v>
      </c>
      <c r="C63" s="85" t="s">
        <v>83</v>
      </c>
      <c r="D63" s="84" t="s">
        <v>75</v>
      </c>
      <c r="E63" s="84" t="str">
        <f>VLOOKUP(A63,'2a. SI Pop'!$A$5:$E$198,5,FALSE)</f>
        <v>Key</v>
      </c>
      <c r="F63" s="84">
        <v>2033</v>
      </c>
      <c r="G63" s="3">
        <f t="shared" ref="G63:Q64" si="35">IF($F63&lt;=G$4,80%,0)</f>
        <v>0</v>
      </c>
      <c r="H63" s="3">
        <f t="shared" si="35"/>
        <v>0</v>
      </c>
      <c r="I63" s="3">
        <f t="shared" si="35"/>
        <v>0</v>
      </c>
      <c r="J63" s="3">
        <f t="shared" si="35"/>
        <v>0.8</v>
      </c>
      <c r="K63" s="3">
        <f t="shared" si="35"/>
        <v>0.8</v>
      </c>
      <c r="L63" s="3">
        <f t="shared" si="35"/>
        <v>0.8</v>
      </c>
      <c r="M63" s="3">
        <f t="shared" si="35"/>
        <v>0.8</v>
      </c>
      <c r="N63" s="3">
        <f t="shared" si="35"/>
        <v>0.8</v>
      </c>
      <c r="O63" s="3">
        <f t="shared" si="35"/>
        <v>0.8</v>
      </c>
      <c r="P63" s="3">
        <f t="shared" si="35"/>
        <v>0.8</v>
      </c>
      <c r="Q63" s="3">
        <f t="shared" si="35"/>
        <v>0.8</v>
      </c>
    </row>
    <row r="64" spans="1:17">
      <c r="A64" s="84" t="s">
        <v>201</v>
      </c>
      <c r="B64" s="85" t="s">
        <v>200</v>
      </c>
      <c r="C64" s="85" t="s">
        <v>99</v>
      </c>
      <c r="D64" s="84" t="s">
        <v>80</v>
      </c>
      <c r="E64" s="84">
        <f>VLOOKUP(A64,'2a. SI Pop'!$A$5:$E$198,5,FALSE)</f>
        <v>4</v>
      </c>
      <c r="F64" s="84">
        <v>2034</v>
      </c>
      <c r="G64" s="3">
        <f t="shared" si="35"/>
        <v>0</v>
      </c>
      <c r="H64" s="3">
        <f t="shared" si="35"/>
        <v>0</v>
      </c>
      <c r="I64" s="3">
        <f t="shared" si="35"/>
        <v>0</v>
      </c>
      <c r="J64" s="3">
        <f t="shared" si="35"/>
        <v>0</v>
      </c>
      <c r="K64" s="3">
        <f t="shared" si="35"/>
        <v>0.8</v>
      </c>
      <c r="L64" s="3">
        <f t="shared" si="35"/>
        <v>0.8</v>
      </c>
      <c r="M64" s="3">
        <f t="shared" si="35"/>
        <v>0.8</v>
      </c>
      <c r="N64" s="3">
        <f t="shared" si="35"/>
        <v>0.8</v>
      </c>
      <c r="O64" s="3">
        <f t="shared" si="35"/>
        <v>0.8</v>
      </c>
      <c r="P64" s="3">
        <f t="shared" si="35"/>
        <v>0.8</v>
      </c>
      <c r="Q64" s="3">
        <f t="shared" si="35"/>
        <v>0.8</v>
      </c>
    </row>
    <row r="65" spans="1:17">
      <c r="A65" s="84" t="s">
        <v>203</v>
      </c>
      <c r="B65" s="85" t="s">
        <v>202</v>
      </c>
      <c r="C65" s="85" t="s">
        <v>79</v>
      </c>
      <c r="D65" s="84" t="s">
        <v>87</v>
      </c>
      <c r="E65" s="84">
        <f>VLOOKUP(A65,'2a. SI Pop'!$A$5:$E$198,5,FALSE)</f>
        <v>1</v>
      </c>
      <c r="F65" s="84">
        <v>2035</v>
      </c>
      <c r="G65" s="3">
        <f t="shared" ref="G65:Q66" si="36">IF($F65&lt;=G$4,5%,0)</f>
        <v>0</v>
      </c>
      <c r="H65" s="3">
        <f t="shared" si="36"/>
        <v>0</v>
      </c>
      <c r="I65" s="3">
        <f t="shared" si="36"/>
        <v>0</v>
      </c>
      <c r="J65" s="3">
        <f t="shared" si="36"/>
        <v>0</v>
      </c>
      <c r="K65" s="3">
        <f t="shared" si="36"/>
        <v>0</v>
      </c>
      <c r="L65" s="3">
        <f t="shared" si="36"/>
        <v>0.05</v>
      </c>
      <c r="M65" s="3">
        <f t="shared" si="36"/>
        <v>0.05</v>
      </c>
      <c r="N65" s="3">
        <f t="shared" si="36"/>
        <v>0.05</v>
      </c>
      <c r="O65" s="3">
        <f t="shared" si="36"/>
        <v>0.05</v>
      </c>
      <c r="P65" s="3">
        <f t="shared" si="36"/>
        <v>0.05</v>
      </c>
      <c r="Q65" s="3">
        <f t="shared" si="36"/>
        <v>0.05</v>
      </c>
    </row>
    <row r="66" spans="1:17">
      <c r="A66" s="84" t="s">
        <v>205</v>
      </c>
      <c r="B66" s="85" t="s">
        <v>204</v>
      </c>
      <c r="C66" s="85" t="s">
        <v>79</v>
      </c>
      <c r="D66" s="84" t="s">
        <v>87</v>
      </c>
      <c r="E66" s="84">
        <f>VLOOKUP(A66,'2a. SI Pop'!$A$5:$E$198,5,FALSE)</f>
        <v>1</v>
      </c>
      <c r="F66" s="84">
        <v>2030</v>
      </c>
      <c r="G66" s="3">
        <f t="shared" si="36"/>
        <v>0.05</v>
      </c>
      <c r="H66" s="3">
        <f t="shared" si="36"/>
        <v>0.05</v>
      </c>
      <c r="I66" s="3">
        <f t="shared" si="36"/>
        <v>0.05</v>
      </c>
      <c r="J66" s="3">
        <f t="shared" si="36"/>
        <v>0.05</v>
      </c>
      <c r="K66" s="3">
        <f t="shared" si="36"/>
        <v>0.05</v>
      </c>
      <c r="L66" s="3">
        <f t="shared" si="36"/>
        <v>0.05</v>
      </c>
      <c r="M66" s="3">
        <f t="shared" si="36"/>
        <v>0.05</v>
      </c>
      <c r="N66" s="3">
        <f t="shared" si="36"/>
        <v>0.05</v>
      </c>
      <c r="O66" s="3">
        <f t="shared" si="36"/>
        <v>0.05</v>
      </c>
      <c r="P66" s="3">
        <f t="shared" si="36"/>
        <v>0.05</v>
      </c>
      <c r="Q66" s="3">
        <f t="shared" si="36"/>
        <v>0.05</v>
      </c>
    </row>
    <row r="67" spans="1:17">
      <c r="A67" s="84" t="s">
        <v>207</v>
      </c>
      <c r="B67" s="85" t="s">
        <v>206</v>
      </c>
      <c r="C67" s="85" t="s">
        <v>83</v>
      </c>
      <c r="D67" s="84" t="s">
        <v>80</v>
      </c>
      <c r="E67" s="84">
        <f>VLOOKUP(A67,'2a. SI Pop'!$A$5:$E$198,5,FALSE)</f>
        <v>3</v>
      </c>
      <c r="F67" s="84">
        <v>2035</v>
      </c>
      <c r="G67" s="3">
        <f t="shared" ref="G67:Q68" si="37">IF($F67&lt;=G$4,80%,0)</f>
        <v>0</v>
      </c>
      <c r="H67" s="3">
        <f t="shared" si="37"/>
        <v>0</v>
      </c>
      <c r="I67" s="3">
        <f t="shared" si="37"/>
        <v>0</v>
      </c>
      <c r="J67" s="3">
        <f t="shared" si="37"/>
        <v>0</v>
      </c>
      <c r="K67" s="3">
        <f t="shared" si="37"/>
        <v>0</v>
      </c>
      <c r="L67" s="3">
        <f t="shared" si="37"/>
        <v>0.8</v>
      </c>
      <c r="M67" s="3">
        <f t="shared" si="37"/>
        <v>0.8</v>
      </c>
      <c r="N67" s="3">
        <f t="shared" si="37"/>
        <v>0.8</v>
      </c>
      <c r="O67" s="3">
        <f t="shared" si="37"/>
        <v>0.8</v>
      </c>
      <c r="P67" s="3">
        <f t="shared" si="37"/>
        <v>0.8</v>
      </c>
      <c r="Q67" s="3">
        <f t="shared" si="37"/>
        <v>0.8</v>
      </c>
    </row>
    <row r="68" spans="1:17">
      <c r="A68" s="84" t="s">
        <v>209</v>
      </c>
      <c r="B68" s="85" t="s">
        <v>208</v>
      </c>
      <c r="C68" s="85" t="s">
        <v>83</v>
      </c>
      <c r="D68" s="84" t="s">
        <v>75</v>
      </c>
      <c r="E68" s="84">
        <f>VLOOKUP(A68,'2a. SI Pop'!$A$5:$E$198,5,FALSE)</f>
        <v>3</v>
      </c>
      <c r="F68" s="84">
        <v>2035</v>
      </c>
      <c r="G68" s="3">
        <f t="shared" si="37"/>
        <v>0</v>
      </c>
      <c r="H68" s="3">
        <f t="shared" si="37"/>
        <v>0</v>
      </c>
      <c r="I68" s="3">
        <f t="shared" si="37"/>
        <v>0</v>
      </c>
      <c r="J68" s="3">
        <f t="shared" si="37"/>
        <v>0</v>
      </c>
      <c r="K68" s="3">
        <f t="shared" si="37"/>
        <v>0</v>
      </c>
      <c r="L68" s="3">
        <f t="shared" si="37"/>
        <v>0.8</v>
      </c>
      <c r="M68" s="3">
        <f t="shared" si="37"/>
        <v>0.8</v>
      </c>
      <c r="N68" s="3">
        <f t="shared" si="37"/>
        <v>0.8</v>
      </c>
      <c r="O68" s="3">
        <f t="shared" si="37"/>
        <v>0.8</v>
      </c>
      <c r="P68" s="3">
        <f t="shared" si="37"/>
        <v>0.8</v>
      </c>
      <c r="Q68" s="3">
        <f t="shared" si="37"/>
        <v>0.8</v>
      </c>
    </row>
    <row r="69" spans="1:17">
      <c r="A69" s="84" t="s">
        <v>211</v>
      </c>
      <c r="B69" s="85" t="s">
        <v>210</v>
      </c>
      <c r="C69" s="85" t="s">
        <v>79</v>
      </c>
      <c r="D69" s="84" t="s">
        <v>80</v>
      </c>
      <c r="E69" s="84">
        <f>VLOOKUP(A69,'2a. SI Pop'!$A$5:$E$198,5,FALSE)</f>
        <v>1</v>
      </c>
      <c r="F69" s="84">
        <v>2037</v>
      </c>
      <c r="G69" s="3">
        <f t="shared" ref="G69:Q70" si="38">IF($F69&lt;=G$4,5%,0)</f>
        <v>0</v>
      </c>
      <c r="H69" s="3">
        <f t="shared" si="38"/>
        <v>0</v>
      </c>
      <c r="I69" s="3">
        <f t="shared" si="38"/>
        <v>0</v>
      </c>
      <c r="J69" s="3">
        <f t="shared" si="38"/>
        <v>0</v>
      </c>
      <c r="K69" s="3">
        <f t="shared" si="38"/>
        <v>0</v>
      </c>
      <c r="L69" s="3">
        <f t="shared" si="38"/>
        <v>0</v>
      </c>
      <c r="M69" s="3">
        <f t="shared" si="38"/>
        <v>0</v>
      </c>
      <c r="N69" s="3">
        <f t="shared" si="38"/>
        <v>0.05</v>
      </c>
      <c r="O69" s="3">
        <f t="shared" si="38"/>
        <v>0.05</v>
      </c>
      <c r="P69" s="3">
        <f t="shared" si="38"/>
        <v>0.05</v>
      </c>
      <c r="Q69" s="3">
        <f t="shared" si="38"/>
        <v>0.05</v>
      </c>
    </row>
    <row r="70" spans="1:17">
      <c r="A70" s="84" t="s">
        <v>213</v>
      </c>
      <c r="B70" s="85" t="s">
        <v>212</v>
      </c>
      <c r="C70" s="85" t="s">
        <v>79</v>
      </c>
      <c r="D70" s="84" t="s">
        <v>87</v>
      </c>
      <c r="E70" s="84">
        <f>VLOOKUP(A70,'2a. SI Pop'!$A$5:$E$198,5,FALSE)</f>
        <v>1</v>
      </c>
      <c r="F70" s="84">
        <v>2030</v>
      </c>
      <c r="G70" s="3">
        <f t="shared" si="38"/>
        <v>0.05</v>
      </c>
      <c r="H70" s="3">
        <f t="shared" si="38"/>
        <v>0.05</v>
      </c>
      <c r="I70" s="3">
        <f t="shared" si="38"/>
        <v>0.05</v>
      </c>
      <c r="J70" s="3">
        <f t="shared" si="38"/>
        <v>0.05</v>
      </c>
      <c r="K70" s="3">
        <f t="shared" si="38"/>
        <v>0.05</v>
      </c>
      <c r="L70" s="3">
        <f t="shared" si="38"/>
        <v>0.05</v>
      </c>
      <c r="M70" s="3">
        <f t="shared" si="38"/>
        <v>0.05</v>
      </c>
      <c r="N70" s="3">
        <f t="shared" si="38"/>
        <v>0.05</v>
      </c>
      <c r="O70" s="3">
        <f t="shared" si="38"/>
        <v>0.05</v>
      </c>
      <c r="P70" s="3">
        <f t="shared" si="38"/>
        <v>0.05</v>
      </c>
      <c r="Q70" s="3">
        <f t="shared" si="38"/>
        <v>0.05</v>
      </c>
    </row>
    <row r="71" spans="1:17">
      <c r="A71" s="84" t="s">
        <v>215</v>
      </c>
      <c r="B71" s="85" t="s">
        <v>214</v>
      </c>
      <c r="C71" s="85" t="s">
        <v>83</v>
      </c>
      <c r="D71" s="84" t="s">
        <v>84</v>
      </c>
      <c r="E71" s="84">
        <f>VLOOKUP(A71,'2a. SI Pop'!$A$5:$E$198,5,FALSE)</f>
        <v>3</v>
      </c>
      <c r="F71" s="84">
        <v>2032</v>
      </c>
      <c r="G71" s="3">
        <f t="shared" ref="G71:Q71" si="39">IF($F71&lt;=G$4,80%,0)</f>
        <v>0</v>
      </c>
      <c r="H71" s="3">
        <f t="shared" si="39"/>
        <v>0</v>
      </c>
      <c r="I71" s="3">
        <f t="shared" si="39"/>
        <v>0.8</v>
      </c>
      <c r="J71" s="3">
        <f t="shared" si="39"/>
        <v>0.8</v>
      </c>
      <c r="K71" s="3">
        <f t="shared" si="39"/>
        <v>0.8</v>
      </c>
      <c r="L71" s="3">
        <f t="shared" si="39"/>
        <v>0.8</v>
      </c>
      <c r="M71" s="3">
        <f t="shared" si="39"/>
        <v>0.8</v>
      </c>
      <c r="N71" s="3">
        <f t="shared" si="39"/>
        <v>0.8</v>
      </c>
      <c r="O71" s="3">
        <f t="shared" si="39"/>
        <v>0.8</v>
      </c>
      <c r="P71" s="3">
        <f t="shared" si="39"/>
        <v>0.8</v>
      </c>
      <c r="Q71" s="3">
        <f t="shared" si="39"/>
        <v>0.8</v>
      </c>
    </row>
    <row r="72" spans="1:17">
      <c r="A72" s="84" t="s">
        <v>217</v>
      </c>
      <c r="B72" s="85" t="s">
        <v>216</v>
      </c>
      <c r="C72" s="85" t="s">
        <v>79</v>
      </c>
      <c r="D72" s="84" t="s">
        <v>87</v>
      </c>
      <c r="E72" s="84">
        <f>VLOOKUP(A72,'2a. SI Pop'!$A$5:$E$198,5,FALSE)</f>
        <v>1</v>
      </c>
      <c r="F72" s="84">
        <v>2031</v>
      </c>
      <c r="G72" s="3">
        <f t="shared" ref="G72:Q74" si="40">IF($F72&lt;=G$4,5%,0)</f>
        <v>0</v>
      </c>
      <c r="H72" s="3">
        <f t="shared" si="40"/>
        <v>0.05</v>
      </c>
      <c r="I72" s="3">
        <f t="shared" si="40"/>
        <v>0.05</v>
      </c>
      <c r="J72" s="3">
        <f t="shared" si="40"/>
        <v>0.05</v>
      </c>
      <c r="K72" s="3">
        <f t="shared" si="40"/>
        <v>0.05</v>
      </c>
      <c r="L72" s="3">
        <f t="shared" si="40"/>
        <v>0.05</v>
      </c>
      <c r="M72" s="3">
        <f t="shared" si="40"/>
        <v>0.05</v>
      </c>
      <c r="N72" s="3">
        <f t="shared" si="40"/>
        <v>0.05</v>
      </c>
      <c r="O72" s="3">
        <f t="shared" si="40"/>
        <v>0.05</v>
      </c>
      <c r="P72" s="3">
        <f t="shared" si="40"/>
        <v>0.05</v>
      </c>
      <c r="Q72" s="3">
        <f t="shared" si="40"/>
        <v>0.05</v>
      </c>
    </row>
    <row r="73" spans="1:17">
      <c r="A73" s="84" t="s">
        <v>219</v>
      </c>
      <c r="B73" s="85" t="s">
        <v>218</v>
      </c>
      <c r="C73" s="85" t="s">
        <v>92</v>
      </c>
      <c r="D73" s="84" t="s">
        <v>80</v>
      </c>
      <c r="E73" s="84">
        <f>VLOOKUP(A73,'2a. SI Pop'!$A$5:$E$198,5,FALSE)</f>
        <v>1</v>
      </c>
      <c r="F73" s="84">
        <v>2041</v>
      </c>
      <c r="G73" s="3">
        <f t="shared" si="40"/>
        <v>0</v>
      </c>
      <c r="H73" s="3">
        <f t="shared" si="40"/>
        <v>0</v>
      </c>
      <c r="I73" s="3">
        <f t="shared" si="40"/>
        <v>0</v>
      </c>
      <c r="J73" s="3">
        <f t="shared" si="40"/>
        <v>0</v>
      </c>
      <c r="K73" s="3">
        <f t="shared" si="40"/>
        <v>0</v>
      </c>
      <c r="L73" s="3">
        <f t="shared" si="40"/>
        <v>0</v>
      </c>
      <c r="M73" s="3">
        <f t="shared" si="40"/>
        <v>0</v>
      </c>
      <c r="N73" s="3">
        <f t="shared" si="40"/>
        <v>0</v>
      </c>
      <c r="O73" s="3">
        <f t="shared" si="40"/>
        <v>0</v>
      </c>
      <c r="P73" s="3">
        <f t="shared" si="40"/>
        <v>0</v>
      </c>
      <c r="Q73" s="3">
        <f t="shared" si="40"/>
        <v>0</v>
      </c>
    </row>
    <row r="74" spans="1:17">
      <c r="A74" s="84" t="s">
        <v>221</v>
      </c>
      <c r="B74" s="85" t="s">
        <v>220</v>
      </c>
      <c r="C74" s="85" t="s">
        <v>92</v>
      </c>
      <c r="D74" s="84" t="s">
        <v>80</v>
      </c>
      <c r="E74" s="84">
        <f>VLOOKUP(A74,'2a. SI Pop'!$A$5:$E$198,5,FALSE)</f>
        <v>1</v>
      </c>
      <c r="F74" s="84">
        <v>2040</v>
      </c>
      <c r="G74" s="3">
        <f t="shared" si="40"/>
        <v>0</v>
      </c>
      <c r="H74" s="3">
        <f t="shared" si="40"/>
        <v>0</v>
      </c>
      <c r="I74" s="3">
        <f t="shared" si="40"/>
        <v>0</v>
      </c>
      <c r="J74" s="3">
        <f t="shared" si="40"/>
        <v>0</v>
      </c>
      <c r="K74" s="3">
        <f t="shared" si="40"/>
        <v>0</v>
      </c>
      <c r="L74" s="3">
        <f t="shared" si="40"/>
        <v>0</v>
      </c>
      <c r="M74" s="3">
        <f t="shared" si="40"/>
        <v>0</v>
      </c>
      <c r="N74" s="3">
        <f t="shared" si="40"/>
        <v>0</v>
      </c>
      <c r="O74" s="3">
        <f t="shared" si="40"/>
        <v>0</v>
      </c>
      <c r="P74" s="3">
        <f t="shared" si="40"/>
        <v>0</v>
      </c>
      <c r="Q74" s="3">
        <f t="shared" si="40"/>
        <v>0.05</v>
      </c>
    </row>
    <row r="75" spans="1:17">
      <c r="A75" s="84" t="s">
        <v>223</v>
      </c>
      <c r="B75" s="85" t="s">
        <v>222</v>
      </c>
      <c r="C75" s="85" t="s">
        <v>83</v>
      </c>
      <c r="D75" s="84" t="s">
        <v>75</v>
      </c>
      <c r="E75" s="84">
        <f>VLOOKUP(A75,'2a. SI Pop'!$A$5:$E$198,5,FALSE)</f>
        <v>3</v>
      </c>
      <c r="F75" s="84">
        <v>2034</v>
      </c>
      <c r="G75" s="3">
        <f t="shared" ref="G75:Q76" si="41">IF($F75&lt;=G$4,80%,0)</f>
        <v>0</v>
      </c>
      <c r="H75" s="3">
        <f t="shared" si="41"/>
        <v>0</v>
      </c>
      <c r="I75" s="3">
        <f t="shared" si="41"/>
        <v>0</v>
      </c>
      <c r="J75" s="3">
        <f t="shared" si="41"/>
        <v>0</v>
      </c>
      <c r="K75" s="3">
        <f t="shared" si="41"/>
        <v>0.8</v>
      </c>
      <c r="L75" s="3">
        <f t="shared" si="41"/>
        <v>0.8</v>
      </c>
      <c r="M75" s="3">
        <f t="shared" si="41"/>
        <v>0.8</v>
      </c>
      <c r="N75" s="3">
        <f t="shared" si="41"/>
        <v>0.8</v>
      </c>
      <c r="O75" s="3">
        <f t="shared" si="41"/>
        <v>0.8</v>
      </c>
      <c r="P75" s="3">
        <f t="shared" si="41"/>
        <v>0.8</v>
      </c>
      <c r="Q75" s="3">
        <f t="shared" si="41"/>
        <v>0.8</v>
      </c>
    </row>
    <row r="76" spans="1:17">
      <c r="A76" s="84" t="s">
        <v>225</v>
      </c>
      <c r="B76" s="85" t="s">
        <v>224</v>
      </c>
      <c r="C76" s="85" t="s">
        <v>83</v>
      </c>
      <c r="D76" s="84" t="s">
        <v>75</v>
      </c>
      <c r="E76" s="84">
        <f>VLOOKUP(A76,'2a. SI Pop'!$A$5:$E$198,5,FALSE)</f>
        <v>3</v>
      </c>
      <c r="F76" s="84">
        <v>2038</v>
      </c>
      <c r="G76" s="3">
        <f t="shared" si="41"/>
        <v>0</v>
      </c>
      <c r="H76" s="3">
        <f t="shared" si="41"/>
        <v>0</v>
      </c>
      <c r="I76" s="3">
        <f t="shared" si="41"/>
        <v>0</v>
      </c>
      <c r="J76" s="3">
        <f t="shared" si="41"/>
        <v>0</v>
      </c>
      <c r="K76" s="3">
        <f t="shared" si="41"/>
        <v>0</v>
      </c>
      <c r="L76" s="3">
        <f t="shared" si="41"/>
        <v>0</v>
      </c>
      <c r="M76" s="3">
        <f t="shared" si="41"/>
        <v>0</v>
      </c>
      <c r="N76" s="3">
        <f t="shared" si="41"/>
        <v>0</v>
      </c>
      <c r="O76" s="3">
        <f t="shared" si="41"/>
        <v>0.8</v>
      </c>
      <c r="P76" s="3">
        <f t="shared" si="41"/>
        <v>0.8</v>
      </c>
      <c r="Q76" s="3">
        <f t="shared" si="41"/>
        <v>0.8</v>
      </c>
    </row>
    <row r="77" spans="1:17">
      <c r="A77" s="84" t="s">
        <v>227</v>
      </c>
      <c r="B77" s="85" t="s">
        <v>226</v>
      </c>
      <c r="C77" s="85" t="s">
        <v>92</v>
      </c>
      <c r="D77" s="84" t="s">
        <v>80</v>
      </c>
      <c r="E77" s="84">
        <f>VLOOKUP(A77,'2a. SI Pop'!$A$5:$E$198,5,FALSE)</f>
        <v>2</v>
      </c>
      <c r="F77" s="84">
        <v>2039</v>
      </c>
      <c r="G77" s="3">
        <f t="shared" ref="G77:Q78" si="42">IF($F77&lt;=G$4,30%,0)</f>
        <v>0</v>
      </c>
      <c r="H77" s="3">
        <f t="shared" si="42"/>
        <v>0</v>
      </c>
      <c r="I77" s="3">
        <f t="shared" si="42"/>
        <v>0</v>
      </c>
      <c r="J77" s="3">
        <f t="shared" si="42"/>
        <v>0</v>
      </c>
      <c r="K77" s="3">
        <f t="shared" si="42"/>
        <v>0</v>
      </c>
      <c r="L77" s="3">
        <f t="shared" si="42"/>
        <v>0</v>
      </c>
      <c r="M77" s="3">
        <f t="shared" si="42"/>
        <v>0</v>
      </c>
      <c r="N77" s="3">
        <f t="shared" si="42"/>
        <v>0</v>
      </c>
      <c r="O77" s="3">
        <f t="shared" si="42"/>
        <v>0</v>
      </c>
      <c r="P77" s="3">
        <f t="shared" si="42"/>
        <v>0.3</v>
      </c>
      <c r="Q77" s="3">
        <f t="shared" si="42"/>
        <v>0.3</v>
      </c>
    </row>
    <row r="78" spans="1:17">
      <c r="A78" s="84" t="s">
        <v>229</v>
      </c>
      <c r="B78" s="85" t="s">
        <v>228</v>
      </c>
      <c r="C78" s="85" t="s">
        <v>92</v>
      </c>
      <c r="D78" s="84" t="s">
        <v>75</v>
      </c>
      <c r="E78" s="84">
        <f>VLOOKUP(A78,'2a. SI Pop'!$A$5:$E$198,5,FALSE)</f>
        <v>2</v>
      </c>
      <c r="F78" s="84">
        <v>2042</v>
      </c>
      <c r="G78" s="3">
        <f t="shared" si="42"/>
        <v>0</v>
      </c>
      <c r="H78" s="3">
        <f t="shared" si="42"/>
        <v>0</v>
      </c>
      <c r="I78" s="3">
        <f t="shared" si="42"/>
        <v>0</v>
      </c>
      <c r="J78" s="3">
        <f t="shared" si="42"/>
        <v>0</v>
      </c>
      <c r="K78" s="3">
        <f t="shared" si="42"/>
        <v>0</v>
      </c>
      <c r="L78" s="3">
        <f t="shared" si="42"/>
        <v>0</v>
      </c>
      <c r="M78" s="3">
        <f t="shared" si="42"/>
        <v>0</v>
      </c>
      <c r="N78" s="3">
        <f t="shared" si="42"/>
        <v>0</v>
      </c>
      <c r="O78" s="3">
        <f t="shared" si="42"/>
        <v>0</v>
      </c>
      <c r="P78" s="3">
        <f t="shared" si="42"/>
        <v>0</v>
      </c>
      <c r="Q78" s="3">
        <f t="shared" si="42"/>
        <v>0</v>
      </c>
    </row>
    <row r="79" spans="1:17">
      <c r="A79" s="84" t="s">
        <v>231</v>
      </c>
      <c r="B79" s="85" t="s">
        <v>230</v>
      </c>
      <c r="C79" s="85" t="s">
        <v>92</v>
      </c>
      <c r="D79" s="84" t="s">
        <v>84</v>
      </c>
      <c r="E79" s="84">
        <f>VLOOKUP(A79,'2a. SI Pop'!$A$5:$E$198,5,FALSE)</f>
        <v>1</v>
      </c>
      <c r="F79" s="84">
        <v>2041</v>
      </c>
      <c r="G79" s="3">
        <f t="shared" ref="G79:Q81" si="43">IF($F79&lt;=G$4,5%,0)</f>
        <v>0</v>
      </c>
      <c r="H79" s="3">
        <f t="shared" si="43"/>
        <v>0</v>
      </c>
      <c r="I79" s="3">
        <f t="shared" si="43"/>
        <v>0</v>
      </c>
      <c r="J79" s="3">
        <f t="shared" si="43"/>
        <v>0</v>
      </c>
      <c r="K79" s="3">
        <f t="shared" si="43"/>
        <v>0</v>
      </c>
      <c r="L79" s="3">
        <f t="shared" si="43"/>
        <v>0</v>
      </c>
      <c r="M79" s="3">
        <f t="shared" si="43"/>
        <v>0</v>
      </c>
      <c r="N79" s="3">
        <f t="shared" si="43"/>
        <v>0</v>
      </c>
      <c r="O79" s="3">
        <f t="shared" si="43"/>
        <v>0</v>
      </c>
      <c r="P79" s="3">
        <f t="shared" si="43"/>
        <v>0</v>
      </c>
      <c r="Q79" s="3">
        <f t="shared" si="43"/>
        <v>0</v>
      </c>
    </row>
    <row r="80" spans="1:17">
      <c r="A80" s="84" t="s">
        <v>233</v>
      </c>
      <c r="B80" s="85" t="s">
        <v>232</v>
      </c>
      <c r="C80" s="85" t="s">
        <v>79</v>
      </c>
      <c r="D80" s="84" t="s">
        <v>87</v>
      </c>
      <c r="E80" s="84">
        <f>VLOOKUP(A80,'2a. SI Pop'!$A$5:$E$198,5,FALSE)</f>
        <v>1</v>
      </c>
      <c r="F80" s="84">
        <v>2036</v>
      </c>
      <c r="G80" s="3">
        <f t="shared" si="43"/>
        <v>0</v>
      </c>
      <c r="H80" s="3">
        <f t="shared" si="43"/>
        <v>0</v>
      </c>
      <c r="I80" s="3">
        <f t="shared" si="43"/>
        <v>0</v>
      </c>
      <c r="J80" s="3">
        <f t="shared" si="43"/>
        <v>0</v>
      </c>
      <c r="K80" s="3">
        <f t="shared" si="43"/>
        <v>0</v>
      </c>
      <c r="L80" s="3">
        <f t="shared" si="43"/>
        <v>0</v>
      </c>
      <c r="M80" s="3">
        <f t="shared" si="43"/>
        <v>0.05</v>
      </c>
      <c r="N80" s="3">
        <f t="shared" si="43"/>
        <v>0.05</v>
      </c>
      <c r="O80" s="3">
        <f t="shared" si="43"/>
        <v>0.05</v>
      </c>
      <c r="P80" s="3">
        <f t="shared" si="43"/>
        <v>0.05</v>
      </c>
      <c r="Q80" s="3">
        <f t="shared" si="43"/>
        <v>0.05</v>
      </c>
    </row>
    <row r="81" spans="1:17">
      <c r="A81" s="84" t="s">
        <v>235</v>
      </c>
      <c r="B81" s="85" t="s">
        <v>234</v>
      </c>
      <c r="C81" s="85" t="s">
        <v>79</v>
      </c>
      <c r="D81" s="84" t="s">
        <v>87</v>
      </c>
      <c r="E81" s="84">
        <f>VLOOKUP(A81,'2a. SI Pop'!$A$5:$E$198,5,FALSE)</f>
        <v>1</v>
      </c>
      <c r="F81" s="84">
        <v>2035</v>
      </c>
      <c r="G81" s="3">
        <f t="shared" si="43"/>
        <v>0</v>
      </c>
      <c r="H81" s="3">
        <f t="shared" si="43"/>
        <v>0</v>
      </c>
      <c r="I81" s="3">
        <f t="shared" si="43"/>
        <v>0</v>
      </c>
      <c r="J81" s="3">
        <f t="shared" si="43"/>
        <v>0</v>
      </c>
      <c r="K81" s="3">
        <f t="shared" si="43"/>
        <v>0</v>
      </c>
      <c r="L81" s="3">
        <f t="shared" si="43"/>
        <v>0.05</v>
      </c>
      <c r="M81" s="3">
        <f t="shared" si="43"/>
        <v>0.05</v>
      </c>
      <c r="N81" s="3">
        <f t="shared" si="43"/>
        <v>0.05</v>
      </c>
      <c r="O81" s="3">
        <f t="shared" si="43"/>
        <v>0.05</v>
      </c>
      <c r="P81" s="3">
        <f t="shared" si="43"/>
        <v>0.05</v>
      </c>
      <c r="Q81" s="3">
        <f t="shared" si="43"/>
        <v>0.05</v>
      </c>
    </row>
    <row r="82" spans="1:17">
      <c r="A82" s="84" t="s">
        <v>237</v>
      </c>
      <c r="B82" s="85" t="s">
        <v>236</v>
      </c>
      <c r="C82" s="85" t="s">
        <v>110</v>
      </c>
      <c r="D82" s="84" t="s">
        <v>84</v>
      </c>
      <c r="E82" s="84" t="str">
        <f>VLOOKUP(A82,'2a. SI Pop'!$A$5:$E$198,5,FALSE)</f>
        <v>Key</v>
      </c>
      <c r="F82" s="84">
        <v>2035</v>
      </c>
      <c r="G82" s="3">
        <f t="shared" ref="G82:Q83" si="44">IF($F82&lt;=G$4,80%,0)</f>
        <v>0</v>
      </c>
      <c r="H82" s="3">
        <f t="shared" si="44"/>
        <v>0</v>
      </c>
      <c r="I82" s="3">
        <f t="shared" si="44"/>
        <v>0</v>
      </c>
      <c r="J82" s="3">
        <f t="shared" si="44"/>
        <v>0</v>
      </c>
      <c r="K82" s="3">
        <f t="shared" si="44"/>
        <v>0</v>
      </c>
      <c r="L82" s="3">
        <f t="shared" si="44"/>
        <v>0.8</v>
      </c>
      <c r="M82" s="3">
        <f t="shared" si="44"/>
        <v>0.8</v>
      </c>
      <c r="N82" s="3">
        <f t="shared" si="44"/>
        <v>0.8</v>
      </c>
      <c r="O82" s="3">
        <f t="shared" si="44"/>
        <v>0.8</v>
      </c>
      <c r="P82" s="3">
        <f t="shared" si="44"/>
        <v>0.8</v>
      </c>
      <c r="Q82" s="3">
        <f t="shared" si="44"/>
        <v>0.8</v>
      </c>
    </row>
    <row r="83" spans="1:17">
      <c r="A83" s="84" t="s">
        <v>239</v>
      </c>
      <c r="B83" s="85" t="s">
        <v>238</v>
      </c>
      <c r="C83" s="85" t="s">
        <v>110</v>
      </c>
      <c r="D83" s="84" t="s">
        <v>80</v>
      </c>
      <c r="E83" s="84" t="str">
        <f>VLOOKUP(A83,'2a. SI Pop'!$A$5:$E$198,5,FALSE)</f>
        <v>Key</v>
      </c>
      <c r="F83" s="84">
        <v>2033</v>
      </c>
      <c r="G83" s="3">
        <f t="shared" si="44"/>
        <v>0</v>
      </c>
      <c r="H83" s="3">
        <f t="shared" si="44"/>
        <v>0</v>
      </c>
      <c r="I83" s="3">
        <f t="shared" si="44"/>
        <v>0</v>
      </c>
      <c r="J83" s="3">
        <f t="shared" si="44"/>
        <v>0.8</v>
      </c>
      <c r="K83" s="3">
        <f t="shared" si="44"/>
        <v>0.8</v>
      </c>
      <c r="L83" s="3">
        <f t="shared" si="44"/>
        <v>0.8</v>
      </c>
      <c r="M83" s="3">
        <f t="shared" si="44"/>
        <v>0.8</v>
      </c>
      <c r="N83" s="3">
        <f t="shared" si="44"/>
        <v>0.8</v>
      </c>
      <c r="O83" s="3">
        <f t="shared" si="44"/>
        <v>0.8</v>
      </c>
      <c r="P83" s="3">
        <f t="shared" si="44"/>
        <v>0.8</v>
      </c>
      <c r="Q83" s="3">
        <f t="shared" si="44"/>
        <v>0.8</v>
      </c>
    </row>
    <row r="84" spans="1:17">
      <c r="A84" s="84" t="s">
        <v>241</v>
      </c>
      <c r="B84" s="85" t="s">
        <v>240</v>
      </c>
      <c r="C84" s="85" t="s">
        <v>74</v>
      </c>
      <c r="D84" s="84" t="s">
        <v>80</v>
      </c>
      <c r="E84" s="84">
        <f>VLOOKUP(A84,'2a. SI Pop'!$A$5:$E$198,5,FALSE)</f>
        <v>2</v>
      </c>
      <c r="F84" s="84">
        <v>2036</v>
      </c>
      <c r="G84" s="3">
        <f t="shared" ref="G84:Q85" si="45">IF($F84&lt;=G$4,30%,0)</f>
        <v>0</v>
      </c>
      <c r="H84" s="3">
        <f t="shared" si="45"/>
        <v>0</v>
      </c>
      <c r="I84" s="3">
        <f t="shared" si="45"/>
        <v>0</v>
      </c>
      <c r="J84" s="3">
        <f t="shared" si="45"/>
        <v>0</v>
      </c>
      <c r="K84" s="3">
        <f t="shared" si="45"/>
        <v>0</v>
      </c>
      <c r="L84" s="3">
        <f t="shared" si="45"/>
        <v>0</v>
      </c>
      <c r="M84" s="3">
        <f t="shared" si="45"/>
        <v>0.3</v>
      </c>
      <c r="N84" s="3">
        <f t="shared" si="45"/>
        <v>0.3</v>
      </c>
      <c r="O84" s="3">
        <f t="shared" si="45"/>
        <v>0.3</v>
      </c>
      <c r="P84" s="3">
        <f t="shared" si="45"/>
        <v>0.3</v>
      </c>
      <c r="Q84" s="3">
        <f t="shared" si="45"/>
        <v>0.3</v>
      </c>
    </row>
    <row r="85" spans="1:17">
      <c r="A85" s="84" t="s">
        <v>243</v>
      </c>
      <c r="B85" s="85" t="s">
        <v>242</v>
      </c>
      <c r="C85" s="85" t="s">
        <v>74</v>
      </c>
      <c r="D85" s="84" t="s">
        <v>80</v>
      </c>
      <c r="E85" s="84">
        <f>VLOOKUP(A85,'2a. SI Pop'!$A$5:$E$198,5,FALSE)</f>
        <v>2</v>
      </c>
      <c r="F85" s="84">
        <v>2030</v>
      </c>
      <c r="G85" s="3">
        <f t="shared" si="45"/>
        <v>0.3</v>
      </c>
      <c r="H85" s="3">
        <f t="shared" si="45"/>
        <v>0.3</v>
      </c>
      <c r="I85" s="3">
        <f t="shared" si="45"/>
        <v>0.3</v>
      </c>
      <c r="J85" s="3">
        <f t="shared" si="45"/>
        <v>0.3</v>
      </c>
      <c r="K85" s="3">
        <f t="shared" si="45"/>
        <v>0.3</v>
      </c>
      <c r="L85" s="3">
        <f t="shared" si="45"/>
        <v>0.3</v>
      </c>
      <c r="M85" s="3">
        <f t="shared" si="45"/>
        <v>0.3</v>
      </c>
      <c r="N85" s="3">
        <f t="shared" si="45"/>
        <v>0.3</v>
      </c>
      <c r="O85" s="3">
        <f t="shared" si="45"/>
        <v>0.3</v>
      </c>
      <c r="P85" s="3">
        <f t="shared" si="45"/>
        <v>0.3</v>
      </c>
      <c r="Q85" s="3">
        <f t="shared" si="45"/>
        <v>0.3</v>
      </c>
    </row>
    <row r="86" spans="1:17">
      <c r="A86" s="84" t="s">
        <v>245</v>
      </c>
      <c r="B86" s="85" t="s">
        <v>244</v>
      </c>
      <c r="C86" s="85" t="s">
        <v>79</v>
      </c>
      <c r="D86" s="84" t="s">
        <v>87</v>
      </c>
      <c r="E86" s="84">
        <f>VLOOKUP(A86,'2a. SI Pop'!$A$5:$E$198,5,FALSE)</f>
        <v>1</v>
      </c>
      <c r="F86" s="84">
        <v>2030</v>
      </c>
      <c r="G86" s="3">
        <f t="shared" ref="G86:Q89" si="46">IF($F86&lt;=G$4,5%,0)</f>
        <v>0.05</v>
      </c>
      <c r="H86" s="3">
        <f t="shared" si="46"/>
        <v>0.05</v>
      </c>
      <c r="I86" s="3">
        <f t="shared" si="46"/>
        <v>0.05</v>
      </c>
      <c r="J86" s="3">
        <f t="shared" si="46"/>
        <v>0.05</v>
      </c>
      <c r="K86" s="3">
        <f t="shared" si="46"/>
        <v>0.05</v>
      </c>
      <c r="L86" s="3">
        <f t="shared" si="46"/>
        <v>0.05</v>
      </c>
      <c r="M86" s="3">
        <f t="shared" si="46"/>
        <v>0.05</v>
      </c>
      <c r="N86" s="3">
        <f t="shared" si="46"/>
        <v>0.05</v>
      </c>
      <c r="O86" s="3">
        <f t="shared" si="46"/>
        <v>0.05</v>
      </c>
      <c r="P86" s="3">
        <f t="shared" si="46"/>
        <v>0.05</v>
      </c>
      <c r="Q86" s="3">
        <f t="shared" si="46"/>
        <v>0.05</v>
      </c>
    </row>
    <row r="87" spans="1:17">
      <c r="A87" s="84" t="s">
        <v>247</v>
      </c>
      <c r="B87" s="85" t="s">
        <v>246</v>
      </c>
      <c r="C87" s="85" t="s">
        <v>79</v>
      </c>
      <c r="D87" s="84" t="s">
        <v>87</v>
      </c>
      <c r="E87" s="84">
        <f>VLOOKUP(A87,'2a. SI Pop'!$A$5:$E$198,5,FALSE)</f>
        <v>1</v>
      </c>
      <c r="F87" s="84">
        <v>2031</v>
      </c>
      <c r="G87" s="3">
        <f t="shared" si="46"/>
        <v>0</v>
      </c>
      <c r="H87" s="3">
        <f t="shared" si="46"/>
        <v>0.05</v>
      </c>
      <c r="I87" s="3">
        <f t="shared" si="46"/>
        <v>0.05</v>
      </c>
      <c r="J87" s="3">
        <f t="shared" si="46"/>
        <v>0.05</v>
      </c>
      <c r="K87" s="3">
        <f t="shared" si="46"/>
        <v>0.05</v>
      </c>
      <c r="L87" s="3">
        <f t="shared" si="46"/>
        <v>0.05</v>
      </c>
      <c r="M87" s="3">
        <f t="shared" si="46"/>
        <v>0.05</v>
      </c>
      <c r="N87" s="3">
        <f t="shared" si="46"/>
        <v>0.05</v>
      </c>
      <c r="O87" s="3">
        <f t="shared" si="46"/>
        <v>0.05</v>
      </c>
      <c r="P87" s="3">
        <f t="shared" si="46"/>
        <v>0.05</v>
      </c>
      <c r="Q87" s="3">
        <f t="shared" si="46"/>
        <v>0.05</v>
      </c>
    </row>
    <row r="88" spans="1:17">
      <c r="A88" s="84" t="s">
        <v>249</v>
      </c>
      <c r="B88" s="85" t="s">
        <v>248</v>
      </c>
      <c r="C88" s="85" t="s">
        <v>79</v>
      </c>
      <c r="D88" s="84" t="s">
        <v>87</v>
      </c>
      <c r="E88" s="84">
        <f>VLOOKUP(A88,'2a. SI Pop'!$A$5:$E$198,5,FALSE)</f>
        <v>1</v>
      </c>
      <c r="F88" s="84">
        <v>2030</v>
      </c>
      <c r="G88" s="3">
        <f t="shared" si="46"/>
        <v>0.05</v>
      </c>
      <c r="H88" s="3">
        <f t="shared" si="46"/>
        <v>0.05</v>
      </c>
      <c r="I88" s="3">
        <f t="shared" si="46"/>
        <v>0.05</v>
      </c>
      <c r="J88" s="3">
        <f t="shared" si="46"/>
        <v>0.05</v>
      </c>
      <c r="K88" s="3">
        <f t="shared" si="46"/>
        <v>0.05</v>
      </c>
      <c r="L88" s="3">
        <f t="shared" si="46"/>
        <v>0.05</v>
      </c>
      <c r="M88" s="3">
        <f t="shared" si="46"/>
        <v>0.05</v>
      </c>
      <c r="N88" s="3">
        <f t="shared" si="46"/>
        <v>0.05</v>
      </c>
      <c r="O88" s="3">
        <f t="shared" si="46"/>
        <v>0.05</v>
      </c>
      <c r="P88" s="3">
        <f t="shared" si="46"/>
        <v>0.05</v>
      </c>
      <c r="Q88" s="3">
        <f t="shared" si="46"/>
        <v>0.05</v>
      </c>
    </row>
    <row r="89" spans="1:17">
      <c r="A89" s="84" t="s">
        <v>251</v>
      </c>
      <c r="B89" s="85" t="s">
        <v>250</v>
      </c>
      <c r="C89" s="85" t="s">
        <v>92</v>
      </c>
      <c r="D89" s="84" t="s">
        <v>80</v>
      </c>
      <c r="E89" s="84">
        <f>VLOOKUP(A89,'2a. SI Pop'!$A$5:$E$198,5,FALSE)</f>
        <v>1</v>
      </c>
      <c r="F89" s="84">
        <v>2041</v>
      </c>
      <c r="G89" s="3">
        <f t="shared" si="46"/>
        <v>0</v>
      </c>
      <c r="H89" s="3">
        <f t="shared" si="46"/>
        <v>0</v>
      </c>
      <c r="I89" s="3">
        <f t="shared" si="46"/>
        <v>0</v>
      </c>
      <c r="J89" s="3">
        <f t="shared" si="46"/>
        <v>0</v>
      </c>
      <c r="K89" s="3">
        <f t="shared" si="46"/>
        <v>0</v>
      </c>
      <c r="L89" s="3">
        <f t="shared" si="46"/>
        <v>0</v>
      </c>
      <c r="M89" s="3">
        <f t="shared" si="46"/>
        <v>0</v>
      </c>
      <c r="N89" s="3">
        <f t="shared" si="46"/>
        <v>0</v>
      </c>
      <c r="O89" s="3">
        <f t="shared" si="46"/>
        <v>0</v>
      </c>
      <c r="P89" s="3">
        <f t="shared" si="46"/>
        <v>0</v>
      </c>
      <c r="Q89" s="3">
        <f t="shared" si="46"/>
        <v>0</v>
      </c>
    </row>
    <row r="90" spans="1:17">
      <c r="A90" s="84" t="s">
        <v>253</v>
      </c>
      <c r="B90" s="85" t="s">
        <v>252</v>
      </c>
      <c r="C90" s="85" t="s">
        <v>99</v>
      </c>
      <c r="D90" s="84" t="s">
        <v>87</v>
      </c>
      <c r="E90" s="84">
        <f>VLOOKUP(A90,'2a. SI Pop'!$A$5:$E$198,5,FALSE)</f>
        <v>4</v>
      </c>
      <c r="F90" s="84">
        <v>2031</v>
      </c>
      <c r="G90" s="3">
        <f t="shared" ref="G90:Q90" si="47">IF($F90&lt;=G$4,80%,0)</f>
        <v>0</v>
      </c>
      <c r="H90" s="3">
        <f t="shared" si="47"/>
        <v>0.8</v>
      </c>
      <c r="I90" s="3">
        <f t="shared" si="47"/>
        <v>0.8</v>
      </c>
      <c r="J90" s="3">
        <f t="shared" si="47"/>
        <v>0.8</v>
      </c>
      <c r="K90" s="3">
        <f t="shared" si="47"/>
        <v>0.8</v>
      </c>
      <c r="L90" s="3">
        <f t="shared" si="47"/>
        <v>0.8</v>
      </c>
      <c r="M90" s="3">
        <f t="shared" si="47"/>
        <v>0.8</v>
      </c>
      <c r="N90" s="3">
        <f t="shared" si="47"/>
        <v>0.8</v>
      </c>
      <c r="O90" s="3">
        <f t="shared" si="47"/>
        <v>0.8</v>
      </c>
      <c r="P90" s="3">
        <f t="shared" si="47"/>
        <v>0.8</v>
      </c>
      <c r="Q90" s="3">
        <f t="shared" si="47"/>
        <v>0.8</v>
      </c>
    </row>
    <row r="91" spans="1:17">
      <c r="A91" s="84" t="s">
        <v>255</v>
      </c>
      <c r="B91" s="85" t="s">
        <v>254</v>
      </c>
      <c r="C91" s="85" t="s">
        <v>74</v>
      </c>
      <c r="D91" s="84" t="s">
        <v>80</v>
      </c>
      <c r="E91" s="84">
        <f>VLOOKUP(A91,'2a. SI Pop'!$A$5:$E$198,5,FALSE)</f>
        <v>2</v>
      </c>
      <c r="F91" s="84">
        <v>2034</v>
      </c>
      <c r="G91" s="3">
        <f t="shared" ref="G91:Q92" si="48">IF($F91&lt;=G$4,30%,0)</f>
        <v>0</v>
      </c>
      <c r="H91" s="3">
        <f t="shared" si="48"/>
        <v>0</v>
      </c>
      <c r="I91" s="3">
        <f t="shared" si="48"/>
        <v>0</v>
      </c>
      <c r="J91" s="3">
        <f t="shared" si="48"/>
        <v>0</v>
      </c>
      <c r="K91" s="3">
        <f t="shared" si="48"/>
        <v>0.3</v>
      </c>
      <c r="L91" s="3">
        <f t="shared" si="48"/>
        <v>0.3</v>
      </c>
      <c r="M91" s="3">
        <f t="shared" si="48"/>
        <v>0.3</v>
      </c>
      <c r="N91" s="3">
        <f t="shared" si="48"/>
        <v>0.3</v>
      </c>
      <c r="O91" s="3">
        <f t="shared" si="48"/>
        <v>0.3</v>
      </c>
      <c r="P91" s="3">
        <f t="shared" si="48"/>
        <v>0.3</v>
      </c>
      <c r="Q91" s="3">
        <f t="shared" si="48"/>
        <v>0.3</v>
      </c>
    </row>
    <row r="92" spans="1:17">
      <c r="A92" s="84" t="s">
        <v>257</v>
      </c>
      <c r="B92" s="85" t="s">
        <v>256</v>
      </c>
      <c r="C92" s="85" t="s">
        <v>79</v>
      </c>
      <c r="D92" s="84" t="s">
        <v>80</v>
      </c>
      <c r="E92" s="84">
        <f>VLOOKUP(A92,'2a. SI Pop'!$A$5:$E$198,5,FALSE)</f>
        <v>2</v>
      </c>
      <c r="F92" s="84">
        <v>2034</v>
      </c>
      <c r="G92" s="3">
        <f t="shared" si="48"/>
        <v>0</v>
      </c>
      <c r="H92" s="3">
        <f t="shared" si="48"/>
        <v>0</v>
      </c>
      <c r="I92" s="3">
        <f t="shared" si="48"/>
        <v>0</v>
      </c>
      <c r="J92" s="3">
        <f t="shared" si="48"/>
        <v>0</v>
      </c>
      <c r="K92" s="3">
        <f t="shared" si="48"/>
        <v>0.3</v>
      </c>
      <c r="L92" s="3">
        <f t="shared" si="48"/>
        <v>0.3</v>
      </c>
      <c r="M92" s="3">
        <f t="shared" si="48"/>
        <v>0.3</v>
      </c>
      <c r="N92" s="3">
        <f t="shared" si="48"/>
        <v>0.3</v>
      </c>
      <c r="O92" s="3">
        <f t="shared" si="48"/>
        <v>0.3</v>
      </c>
      <c r="P92" s="3">
        <f t="shared" si="48"/>
        <v>0.3</v>
      </c>
      <c r="Q92" s="3">
        <f t="shared" si="48"/>
        <v>0.3</v>
      </c>
    </row>
    <row r="93" spans="1:17">
      <c r="A93" s="84" t="s">
        <v>259</v>
      </c>
      <c r="B93" s="85" t="s">
        <v>258</v>
      </c>
      <c r="C93" s="85" t="s">
        <v>83</v>
      </c>
      <c r="D93" s="84" t="s">
        <v>84</v>
      </c>
      <c r="E93" s="84">
        <f>VLOOKUP(A93,'2a. SI Pop'!$A$5:$E$198,5,FALSE)</f>
        <v>3</v>
      </c>
      <c r="F93" s="84">
        <v>2036</v>
      </c>
      <c r="G93" s="3">
        <f t="shared" ref="G93:Q94" si="49">IF($F93&lt;=G$4,80%,0)</f>
        <v>0</v>
      </c>
      <c r="H93" s="3">
        <f t="shared" si="49"/>
        <v>0</v>
      </c>
      <c r="I93" s="3">
        <f t="shared" si="49"/>
        <v>0</v>
      </c>
      <c r="J93" s="3">
        <f t="shared" si="49"/>
        <v>0</v>
      </c>
      <c r="K93" s="3">
        <f t="shared" si="49"/>
        <v>0</v>
      </c>
      <c r="L93" s="3">
        <f t="shared" si="49"/>
        <v>0</v>
      </c>
      <c r="M93" s="3">
        <f t="shared" si="49"/>
        <v>0.8</v>
      </c>
      <c r="N93" s="3">
        <f t="shared" si="49"/>
        <v>0.8</v>
      </c>
      <c r="O93" s="3">
        <f t="shared" si="49"/>
        <v>0.8</v>
      </c>
      <c r="P93" s="3">
        <f t="shared" si="49"/>
        <v>0.8</v>
      </c>
      <c r="Q93" s="3">
        <f t="shared" si="49"/>
        <v>0.8</v>
      </c>
    </row>
    <row r="94" spans="1:17">
      <c r="A94" s="84" t="s">
        <v>261</v>
      </c>
      <c r="B94" s="85" t="s">
        <v>260</v>
      </c>
      <c r="C94" s="85" t="s">
        <v>99</v>
      </c>
      <c r="D94" s="84" t="s">
        <v>84</v>
      </c>
      <c r="E94" s="84">
        <f>VLOOKUP(A94,'2a. SI Pop'!$A$5:$E$198,5,FALSE)</f>
        <v>4</v>
      </c>
      <c r="F94" s="84">
        <v>2040</v>
      </c>
      <c r="G94" s="3">
        <f t="shared" si="49"/>
        <v>0</v>
      </c>
      <c r="H94" s="3">
        <f t="shared" si="49"/>
        <v>0</v>
      </c>
      <c r="I94" s="3">
        <f t="shared" si="49"/>
        <v>0</v>
      </c>
      <c r="J94" s="3">
        <f t="shared" si="49"/>
        <v>0</v>
      </c>
      <c r="K94" s="3">
        <f t="shared" si="49"/>
        <v>0</v>
      </c>
      <c r="L94" s="3">
        <f t="shared" si="49"/>
        <v>0</v>
      </c>
      <c r="M94" s="3">
        <f t="shared" si="49"/>
        <v>0</v>
      </c>
      <c r="N94" s="3">
        <f t="shared" si="49"/>
        <v>0</v>
      </c>
      <c r="O94" s="3">
        <f t="shared" si="49"/>
        <v>0</v>
      </c>
      <c r="P94" s="3">
        <f t="shared" si="49"/>
        <v>0</v>
      </c>
      <c r="Q94" s="3">
        <f t="shared" si="49"/>
        <v>0.8</v>
      </c>
    </row>
    <row r="95" spans="1:17">
      <c r="A95" s="84" t="s">
        <v>263</v>
      </c>
      <c r="B95" s="85" t="s">
        <v>262</v>
      </c>
      <c r="C95" s="85" t="s">
        <v>99</v>
      </c>
      <c r="D95" s="84" t="s">
        <v>87</v>
      </c>
      <c r="E95" s="84">
        <f>VLOOKUP(A95,'2a. SI Pop'!$A$5:$E$198,5,FALSE)</f>
        <v>1</v>
      </c>
      <c r="F95" s="84">
        <v>2037</v>
      </c>
      <c r="G95" s="3">
        <f t="shared" ref="G95:Q97" si="50">IF($F95&lt;=G$4,5%,0)</f>
        <v>0</v>
      </c>
      <c r="H95" s="3">
        <f t="shared" si="50"/>
        <v>0</v>
      </c>
      <c r="I95" s="3">
        <f t="shared" si="50"/>
        <v>0</v>
      </c>
      <c r="J95" s="3">
        <f t="shared" si="50"/>
        <v>0</v>
      </c>
      <c r="K95" s="3">
        <f t="shared" si="50"/>
        <v>0</v>
      </c>
      <c r="L95" s="3">
        <f t="shared" si="50"/>
        <v>0</v>
      </c>
      <c r="M95" s="3">
        <f t="shared" si="50"/>
        <v>0</v>
      </c>
      <c r="N95" s="3">
        <f t="shared" si="50"/>
        <v>0.05</v>
      </c>
      <c r="O95" s="3">
        <f t="shared" si="50"/>
        <v>0.05</v>
      </c>
      <c r="P95" s="3">
        <f t="shared" si="50"/>
        <v>0.05</v>
      </c>
      <c r="Q95" s="3">
        <f t="shared" si="50"/>
        <v>0.05</v>
      </c>
    </row>
    <row r="96" spans="1:17">
      <c r="A96" s="84" t="s">
        <v>265</v>
      </c>
      <c r="B96" s="85" t="s">
        <v>264</v>
      </c>
      <c r="C96" s="85" t="s">
        <v>74</v>
      </c>
      <c r="D96" s="84" t="s">
        <v>87</v>
      </c>
      <c r="E96" s="84">
        <f>VLOOKUP(A96,'2a. SI Pop'!$A$5:$E$198,5,FALSE)</f>
        <v>1</v>
      </c>
      <c r="F96" s="84">
        <v>2036</v>
      </c>
      <c r="G96" s="3">
        <f t="shared" si="50"/>
        <v>0</v>
      </c>
      <c r="H96" s="3">
        <f t="shared" si="50"/>
        <v>0</v>
      </c>
      <c r="I96" s="3">
        <f t="shared" si="50"/>
        <v>0</v>
      </c>
      <c r="J96" s="3">
        <f t="shared" si="50"/>
        <v>0</v>
      </c>
      <c r="K96" s="3">
        <f t="shared" si="50"/>
        <v>0</v>
      </c>
      <c r="L96" s="3">
        <f t="shared" si="50"/>
        <v>0</v>
      </c>
      <c r="M96" s="3">
        <f t="shared" si="50"/>
        <v>0.05</v>
      </c>
      <c r="N96" s="3">
        <f t="shared" si="50"/>
        <v>0.05</v>
      </c>
      <c r="O96" s="3">
        <f t="shared" si="50"/>
        <v>0.05</v>
      </c>
      <c r="P96" s="3">
        <f t="shared" si="50"/>
        <v>0.05</v>
      </c>
      <c r="Q96" s="3">
        <f t="shared" si="50"/>
        <v>0.05</v>
      </c>
    </row>
    <row r="97" spans="1:17">
      <c r="A97" s="84" t="s">
        <v>267</v>
      </c>
      <c r="B97" s="85" t="s">
        <v>266</v>
      </c>
      <c r="C97" s="85" t="s">
        <v>79</v>
      </c>
      <c r="D97" s="84" t="s">
        <v>84</v>
      </c>
      <c r="E97" s="84">
        <f>VLOOKUP(A97,'2a. SI Pop'!$A$5:$E$198,5,FALSE)</f>
        <v>1</v>
      </c>
      <c r="F97" s="84">
        <v>2036</v>
      </c>
      <c r="G97" s="3">
        <f t="shared" si="50"/>
        <v>0</v>
      </c>
      <c r="H97" s="3">
        <f t="shared" si="50"/>
        <v>0</v>
      </c>
      <c r="I97" s="3">
        <f t="shared" si="50"/>
        <v>0</v>
      </c>
      <c r="J97" s="3">
        <f t="shared" si="50"/>
        <v>0</v>
      </c>
      <c r="K97" s="3">
        <f t="shared" si="50"/>
        <v>0</v>
      </c>
      <c r="L97" s="3">
        <f t="shared" si="50"/>
        <v>0</v>
      </c>
      <c r="M97" s="3">
        <f t="shared" si="50"/>
        <v>0.05</v>
      </c>
      <c r="N97" s="3">
        <f t="shared" si="50"/>
        <v>0.05</v>
      </c>
      <c r="O97" s="3">
        <f t="shared" si="50"/>
        <v>0.05</v>
      </c>
      <c r="P97" s="3">
        <f t="shared" si="50"/>
        <v>0.05</v>
      </c>
      <c r="Q97" s="3">
        <f t="shared" si="50"/>
        <v>0.05</v>
      </c>
    </row>
    <row r="98" spans="1:17">
      <c r="A98" s="84" t="s">
        <v>269</v>
      </c>
      <c r="B98" s="85" t="s">
        <v>268</v>
      </c>
      <c r="C98" s="85" t="s">
        <v>99</v>
      </c>
      <c r="D98" s="84" t="s">
        <v>84</v>
      </c>
      <c r="E98" s="84">
        <f>VLOOKUP(A98,'2a. SI Pop'!$A$5:$E$198,5,FALSE)</f>
        <v>4</v>
      </c>
      <c r="F98" s="84">
        <v>2033</v>
      </c>
      <c r="G98" s="3">
        <f t="shared" ref="G98:Q98" si="51">IF($F98&lt;=G$4,80%,0)</f>
        <v>0</v>
      </c>
      <c r="H98" s="3">
        <f t="shared" si="51"/>
        <v>0</v>
      </c>
      <c r="I98" s="3">
        <f t="shared" si="51"/>
        <v>0</v>
      </c>
      <c r="J98" s="3">
        <f t="shared" si="51"/>
        <v>0.8</v>
      </c>
      <c r="K98" s="3">
        <f t="shared" si="51"/>
        <v>0.8</v>
      </c>
      <c r="L98" s="3">
        <f t="shared" si="51"/>
        <v>0.8</v>
      </c>
      <c r="M98" s="3">
        <f t="shared" si="51"/>
        <v>0.8</v>
      </c>
      <c r="N98" s="3">
        <f t="shared" si="51"/>
        <v>0.8</v>
      </c>
      <c r="O98" s="3">
        <f t="shared" si="51"/>
        <v>0.8</v>
      </c>
      <c r="P98" s="3">
        <f t="shared" si="51"/>
        <v>0.8</v>
      </c>
      <c r="Q98" s="3">
        <f t="shared" si="51"/>
        <v>0.8</v>
      </c>
    </row>
    <row r="99" spans="1:17">
      <c r="A99" s="84" t="s">
        <v>271</v>
      </c>
      <c r="B99" s="85" t="s">
        <v>270</v>
      </c>
      <c r="C99" s="85" t="s">
        <v>79</v>
      </c>
      <c r="D99" s="84" t="s">
        <v>87</v>
      </c>
      <c r="E99" s="84">
        <f>VLOOKUP(A99,'2a. SI Pop'!$A$5:$E$198,5,FALSE)</f>
        <v>1</v>
      </c>
      <c r="F99" s="84">
        <v>2035</v>
      </c>
      <c r="G99" s="3">
        <f t="shared" ref="G99:Q99" si="52">IF($F99&lt;=G$4,5%,0)</f>
        <v>0</v>
      </c>
      <c r="H99" s="3">
        <f t="shared" si="52"/>
        <v>0</v>
      </c>
      <c r="I99" s="3">
        <f t="shared" si="52"/>
        <v>0</v>
      </c>
      <c r="J99" s="3">
        <f t="shared" si="52"/>
        <v>0</v>
      </c>
      <c r="K99" s="3">
        <f t="shared" si="52"/>
        <v>0</v>
      </c>
      <c r="L99" s="3">
        <f t="shared" si="52"/>
        <v>0.05</v>
      </c>
      <c r="M99" s="3">
        <f t="shared" si="52"/>
        <v>0.05</v>
      </c>
      <c r="N99" s="3">
        <f t="shared" si="52"/>
        <v>0.05</v>
      </c>
      <c r="O99" s="3">
        <f t="shared" si="52"/>
        <v>0.05</v>
      </c>
      <c r="P99" s="3">
        <f t="shared" si="52"/>
        <v>0.05</v>
      </c>
      <c r="Q99" s="3">
        <f t="shared" si="52"/>
        <v>0.05</v>
      </c>
    </row>
    <row r="100" spans="1:17">
      <c r="A100" s="84" t="s">
        <v>273</v>
      </c>
      <c r="B100" s="85" t="s">
        <v>272</v>
      </c>
      <c r="C100" s="85" t="s">
        <v>74</v>
      </c>
      <c r="D100" s="84" t="s">
        <v>80</v>
      </c>
      <c r="E100" s="84">
        <f>VLOOKUP(A100,'2a. SI Pop'!$A$5:$E$198,5,FALSE)</f>
        <v>2</v>
      </c>
      <c r="F100" s="84">
        <v>2034</v>
      </c>
      <c r="G100" s="3">
        <f t="shared" ref="G100:Q100" si="53">IF($F100&lt;=G$4,30%,0)</f>
        <v>0</v>
      </c>
      <c r="H100" s="3">
        <f t="shared" si="53"/>
        <v>0</v>
      </c>
      <c r="I100" s="3">
        <f t="shared" si="53"/>
        <v>0</v>
      </c>
      <c r="J100" s="3">
        <f t="shared" si="53"/>
        <v>0</v>
      </c>
      <c r="K100" s="3">
        <f t="shared" si="53"/>
        <v>0.3</v>
      </c>
      <c r="L100" s="3">
        <f t="shared" si="53"/>
        <v>0.3</v>
      </c>
      <c r="M100" s="3">
        <f t="shared" si="53"/>
        <v>0.3</v>
      </c>
      <c r="N100" s="3">
        <f t="shared" si="53"/>
        <v>0.3</v>
      </c>
      <c r="O100" s="3">
        <f t="shared" si="53"/>
        <v>0.3</v>
      </c>
      <c r="P100" s="3">
        <f t="shared" si="53"/>
        <v>0.3</v>
      </c>
      <c r="Q100" s="3">
        <f t="shared" si="53"/>
        <v>0.3</v>
      </c>
    </row>
    <row r="101" spans="1:17">
      <c r="A101" s="84" t="s">
        <v>275</v>
      </c>
      <c r="B101" s="85" t="s">
        <v>274</v>
      </c>
      <c r="C101" s="85" t="s">
        <v>83</v>
      </c>
      <c r="D101" s="84" t="s">
        <v>84</v>
      </c>
      <c r="E101" s="84">
        <f>VLOOKUP(A101,'2a. SI Pop'!$A$5:$E$198,5,FALSE)</f>
        <v>3</v>
      </c>
      <c r="F101" s="84">
        <v>2038</v>
      </c>
      <c r="G101" s="3">
        <f t="shared" ref="G101:Q102" si="54">IF($F101&lt;=G$4,80%,0)</f>
        <v>0</v>
      </c>
      <c r="H101" s="3">
        <f t="shared" si="54"/>
        <v>0</v>
      </c>
      <c r="I101" s="3">
        <f t="shared" si="54"/>
        <v>0</v>
      </c>
      <c r="J101" s="3">
        <f t="shared" si="54"/>
        <v>0</v>
      </c>
      <c r="K101" s="3">
        <f t="shared" si="54"/>
        <v>0</v>
      </c>
      <c r="L101" s="3">
        <f t="shared" si="54"/>
        <v>0</v>
      </c>
      <c r="M101" s="3">
        <f t="shared" si="54"/>
        <v>0</v>
      </c>
      <c r="N101" s="3">
        <f t="shared" si="54"/>
        <v>0</v>
      </c>
      <c r="O101" s="3">
        <f t="shared" si="54"/>
        <v>0.8</v>
      </c>
      <c r="P101" s="3">
        <f t="shared" si="54"/>
        <v>0.8</v>
      </c>
      <c r="Q101" s="3">
        <f t="shared" si="54"/>
        <v>0.8</v>
      </c>
    </row>
    <row r="102" spans="1:17">
      <c r="A102" s="84" t="s">
        <v>277</v>
      </c>
      <c r="B102" s="85" t="s">
        <v>276</v>
      </c>
      <c r="C102" s="85" t="s">
        <v>83</v>
      </c>
      <c r="D102" s="84" t="s">
        <v>75</v>
      </c>
      <c r="E102" s="84">
        <f>VLOOKUP(A102,'2a. SI Pop'!$A$5:$E$198,5,FALSE)</f>
        <v>3</v>
      </c>
      <c r="F102" s="84">
        <v>2031</v>
      </c>
      <c r="G102" s="3">
        <f t="shared" si="54"/>
        <v>0</v>
      </c>
      <c r="H102" s="3">
        <f t="shared" si="54"/>
        <v>0.8</v>
      </c>
      <c r="I102" s="3">
        <f t="shared" si="54"/>
        <v>0.8</v>
      </c>
      <c r="J102" s="3">
        <f t="shared" si="54"/>
        <v>0.8</v>
      </c>
      <c r="K102" s="3">
        <f t="shared" si="54"/>
        <v>0.8</v>
      </c>
      <c r="L102" s="3">
        <f t="shared" si="54"/>
        <v>0.8</v>
      </c>
      <c r="M102" s="3">
        <f t="shared" si="54"/>
        <v>0.8</v>
      </c>
      <c r="N102" s="3">
        <f t="shared" si="54"/>
        <v>0.8</v>
      </c>
      <c r="O102" s="3">
        <f t="shared" si="54"/>
        <v>0.8</v>
      </c>
      <c r="P102" s="3">
        <f t="shared" si="54"/>
        <v>0.8</v>
      </c>
      <c r="Q102" s="3">
        <f t="shared" si="54"/>
        <v>0.8</v>
      </c>
    </row>
    <row r="103" spans="1:17">
      <c r="A103" s="84" t="s">
        <v>279</v>
      </c>
      <c r="B103" s="85" t="s">
        <v>278</v>
      </c>
      <c r="C103" s="85" t="s">
        <v>74</v>
      </c>
      <c r="D103" s="84" t="s">
        <v>80</v>
      </c>
      <c r="E103" s="84">
        <f>VLOOKUP(A103,'2a. SI Pop'!$A$5:$E$198,5,FALSE)</f>
        <v>2</v>
      </c>
      <c r="F103" s="84">
        <v>2036</v>
      </c>
      <c r="G103" s="3">
        <f t="shared" ref="G103:Q103" si="55">IF($F103&lt;=G$4,30%,0)</f>
        <v>0</v>
      </c>
      <c r="H103" s="3">
        <f t="shared" si="55"/>
        <v>0</v>
      </c>
      <c r="I103" s="3">
        <f t="shared" si="55"/>
        <v>0</v>
      </c>
      <c r="J103" s="3">
        <f t="shared" si="55"/>
        <v>0</v>
      </c>
      <c r="K103" s="3">
        <f t="shared" si="55"/>
        <v>0</v>
      </c>
      <c r="L103" s="3">
        <f t="shared" si="55"/>
        <v>0</v>
      </c>
      <c r="M103" s="3">
        <f t="shared" si="55"/>
        <v>0.3</v>
      </c>
      <c r="N103" s="3">
        <f t="shared" si="55"/>
        <v>0.3</v>
      </c>
      <c r="O103" s="3">
        <f t="shared" si="55"/>
        <v>0.3</v>
      </c>
      <c r="P103" s="3">
        <f t="shared" si="55"/>
        <v>0.3</v>
      </c>
      <c r="Q103" s="3">
        <f t="shared" si="55"/>
        <v>0.3</v>
      </c>
    </row>
    <row r="104" spans="1:17">
      <c r="A104" s="84" t="s">
        <v>281</v>
      </c>
      <c r="B104" s="85" t="s">
        <v>280</v>
      </c>
      <c r="C104" s="85" t="s">
        <v>79</v>
      </c>
      <c r="D104" s="84" t="s">
        <v>87</v>
      </c>
      <c r="E104" s="84">
        <f>VLOOKUP(A104,'2a. SI Pop'!$A$5:$E$198,5,FALSE)</f>
        <v>1</v>
      </c>
      <c r="F104" s="84">
        <v>2036</v>
      </c>
      <c r="G104" s="3">
        <f t="shared" ref="G104:Q106" si="56">IF($F104&lt;=G$4,5%,0)</f>
        <v>0</v>
      </c>
      <c r="H104" s="3">
        <f t="shared" si="56"/>
        <v>0</v>
      </c>
      <c r="I104" s="3">
        <f t="shared" si="56"/>
        <v>0</v>
      </c>
      <c r="J104" s="3">
        <f t="shared" si="56"/>
        <v>0</v>
      </c>
      <c r="K104" s="3">
        <f t="shared" si="56"/>
        <v>0</v>
      </c>
      <c r="L104" s="3">
        <f t="shared" si="56"/>
        <v>0</v>
      </c>
      <c r="M104" s="3">
        <f t="shared" si="56"/>
        <v>0.05</v>
      </c>
      <c r="N104" s="3">
        <f t="shared" si="56"/>
        <v>0.05</v>
      </c>
      <c r="O104" s="3">
        <f t="shared" si="56"/>
        <v>0.05</v>
      </c>
      <c r="P104" s="3">
        <f t="shared" si="56"/>
        <v>0.05</v>
      </c>
      <c r="Q104" s="3">
        <f t="shared" si="56"/>
        <v>0.05</v>
      </c>
    </row>
    <row r="105" spans="1:17">
      <c r="A105" s="84" t="s">
        <v>283</v>
      </c>
      <c r="B105" s="85" t="s">
        <v>282</v>
      </c>
      <c r="C105" s="85" t="s">
        <v>79</v>
      </c>
      <c r="D105" s="84" t="s">
        <v>87</v>
      </c>
      <c r="E105" s="84">
        <f>VLOOKUP(A105,'2a. SI Pop'!$A$5:$E$198,5,FALSE)</f>
        <v>1</v>
      </c>
      <c r="F105" s="84">
        <v>2030</v>
      </c>
      <c r="G105" s="3">
        <f t="shared" si="56"/>
        <v>0.05</v>
      </c>
      <c r="H105" s="3">
        <f t="shared" si="56"/>
        <v>0.05</v>
      </c>
      <c r="I105" s="3">
        <f t="shared" si="56"/>
        <v>0.05</v>
      </c>
      <c r="J105" s="3">
        <f t="shared" si="56"/>
        <v>0.05</v>
      </c>
      <c r="K105" s="3">
        <f t="shared" si="56"/>
        <v>0.05</v>
      </c>
      <c r="L105" s="3">
        <f t="shared" si="56"/>
        <v>0.05</v>
      </c>
      <c r="M105" s="3">
        <f t="shared" si="56"/>
        <v>0.05</v>
      </c>
      <c r="N105" s="3">
        <f t="shared" si="56"/>
        <v>0.05</v>
      </c>
      <c r="O105" s="3">
        <f t="shared" si="56"/>
        <v>0.05</v>
      </c>
      <c r="P105" s="3">
        <f t="shared" si="56"/>
        <v>0.05</v>
      </c>
      <c r="Q105" s="3">
        <f t="shared" si="56"/>
        <v>0.05</v>
      </c>
    </row>
    <row r="106" spans="1:17">
      <c r="A106" s="84" t="s">
        <v>285</v>
      </c>
      <c r="B106" s="85" t="s">
        <v>284</v>
      </c>
      <c r="C106" s="85" t="s">
        <v>79</v>
      </c>
      <c r="D106" s="84" t="s">
        <v>80</v>
      </c>
      <c r="E106" s="84">
        <f>VLOOKUP(A106,'2a. SI Pop'!$A$5:$E$198,5,FALSE)</f>
        <v>1</v>
      </c>
      <c r="F106" s="84">
        <v>2031</v>
      </c>
      <c r="G106" s="3">
        <f t="shared" si="56"/>
        <v>0</v>
      </c>
      <c r="H106" s="3">
        <f t="shared" si="56"/>
        <v>0.05</v>
      </c>
      <c r="I106" s="3">
        <f t="shared" si="56"/>
        <v>0.05</v>
      </c>
      <c r="J106" s="3">
        <f t="shared" si="56"/>
        <v>0.05</v>
      </c>
      <c r="K106" s="3">
        <f t="shared" si="56"/>
        <v>0.05</v>
      </c>
      <c r="L106" s="3">
        <f t="shared" si="56"/>
        <v>0.05</v>
      </c>
      <c r="M106" s="3">
        <f t="shared" si="56"/>
        <v>0.05</v>
      </c>
      <c r="N106" s="3">
        <f t="shared" si="56"/>
        <v>0.05</v>
      </c>
      <c r="O106" s="3">
        <f t="shared" si="56"/>
        <v>0.05</v>
      </c>
      <c r="P106" s="3">
        <f t="shared" si="56"/>
        <v>0.05</v>
      </c>
      <c r="Q106" s="3">
        <f t="shared" si="56"/>
        <v>0.05</v>
      </c>
    </row>
    <row r="107" spans="1:17">
      <c r="A107" s="84" t="s">
        <v>287</v>
      </c>
      <c r="B107" s="85" t="s">
        <v>286</v>
      </c>
      <c r="C107" s="85" t="s">
        <v>83</v>
      </c>
      <c r="D107" s="84" t="s">
        <v>75</v>
      </c>
      <c r="E107" s="84">
        <f>VLOOKUP(A107,'2a. SI Pop'!$A$5:$E$198,5,FALSE)</f>
        <v>3</v>
      </c>
      <c r="F107" s="84">
        <v>2031</v>
      </c>
      <c r="G107" s="3">
        <f t="shared" ref="G107:Q108" si="57">IF($F107&lt;=G$4,80%,0)</f>
        <v>0</v>
      </c>
      <c r="H107" s="3">
        <f t="shared" si="57"/>
        <v>0.8</v>
      </c>
      <c r="I107" s="3">
        <f t="shared" si="57"/>
        <v>0.8</v>
      </c>
      <c r="J107" s="3">
        <f t="shared" si="57"/>
        <v>0.8</v>
      </c>
      <c r="K107" s="3">
        <f t="shared" si="57"/>
        <v>0.8</v>
      </c>
      <c r="L107" s="3">
        <f t="shared" si="57"/>
        <v>0.8</v>
      </c>
      <c r="M107" s="3">
        <f t="shared" si="57"/>
        <v>0.8</v>
      </c>
      <c r="N107" s="3">
        <f t="shared" si="57"/>
        <v>0.8</v>
      </c>
      <c r="O107" s="3">
        <f t="shared" si="57"/>
        <v>0.8</v>
      </c>
      <c r="P107" s="3">
        <f t="shared" si="57"/>
        <v>0.8</v>
      </c>
      <c r="Q107" s="3">
        <f t="shared" si="57"/>
        <v>0.8</v>
      </c>
    </row>
    <row r="108" spans="1:17">
      <c r="A108" s="84" t="s">
        <v>289</v>
      </c>
      <c r="B108" s="85" t="s">
        <v>288</v>
      </c>
      <c r="C108" s="85" t="s">
        <v>83</v>
      </c>
      <c r="D108" s="84" t="s">
        <v>75</v>
      </c>
      <c r="E108" s="84">
        <f>VLOOKUP(A108,'2a. SI Pop'!$A$5:$E$198,5,FALSE)</f>
        <v>3</v>
      </c>
      <c r="F108" s="84">
        <v>2032</v>
      </c>
      <c r="G108" s="3">
        <f t="shared" si="57"/>
        <v>0</v>
      </c>
      <c r="H108" s="3">
        <f t="shared" si="57"/>
        <v>0</v>
      </c>
      <c r="I108" s="3">
        <f t="shared" si="57"/>
        <v>0.8</v>
      </c>
      <c r="J108" s="3">
        <f t="shared" si="57"/>
        <v>0.8</v>
      </c>
      <c r="K108" s="3">
        <f t="shared" si="57"/>
        <v>0.8</v>
      </c>
      <c r="L108" s="3">
        <f t="shared" si="57"/>
        <v>0.8</v>
      </c>
      <c r="M108" s="3">
        <f t="shared" si="57"/>
        <v>0.8</v>
      </c>
      <c r="N108" s="3">
        <f t="shared" si="57"/>
        <v>0.8</v>
      </c>
      <c r="O108" s="3">
        <f t="shared" si="57"/>
        <v>0.8</v>
      </c>
      <c r="P108" s="3">
        <f t="shared" si="57"/>
        <v>0.8</v>
      </c>
      <c r="Q108" s="3">
        <f t="shared" si="57"/>
        <v>0.8</v>
      </c>
    </row>
    <row r="109" spans="1:17">
      <c r="A109" s="84" t="s">
        <v>291</v>
      </c>
      <c r="B109" s="85" t="s">
        <v>290</v>
      </c>
      <c r="C109" s="85" t="s">
        <v>99</v>
      </c>
      <c r="D109" s="84" t="s">
        <v>80</v>
      </c>
      <c r="E109" s="84">
        <f>VLOOKUP(A109,'2a. SI Pop'!$A$5:$E$198,5,FALSE)</f>
        <v>2</v>
      </c>
      <c r="F109" s="84">
        <v>2031</v>
      </c>
      <c r="G109" s="3">
        <f t="shared" ref="G109:Q110" si="58">IF($F109&lt;=G$4,30%,0)</f>
        <v>0</v>
      </c>
      <c r="H109" s="3">
        <f t="shared" si="58"/>
        <v>0.3</v>
      </c>
      <c r="I109" s="3">
        <f t="shared" si="58"/>
        <v>0.3</v>
      </c>
      <c r="J109" s="3">
        <f t="shared" si="58"/>
        <v>0.3</v>
      </c>
      <c r="K109" s="3">
        <f t="shared" si="58"/>
        <v>0.3</v>
      </c>
      <c r="L109" s="3">
        <f t="shared" si="58"/>
        <v>0.3</v>
      </c>
      <c r="M109" s="3">
        <f t="shared" si="58"/>
        <v>0.3</v>
      </c>
      <c r="N109" s="3">
        <f t="shared" si="58"/>
        <v>0.3</v>
      </c>
      <c r="O109" s="3">
        <f t="shared" si="58"/>
        <v>0.3</v>
      </c>
      <c r="P109" s="3">
        <f t="shared" si="58"/>
        <v>0.3</v>
      </c>
      <c r="Q109" s="3">
        <f t="shared" si="58"/>
        <v>0.3</v>
      </c>
    </row>
    <row r="110" spans="1:17">
      <c r="A110" s="84" t="s">
        <v>293</v>
      </c>
      <c r="B110" s="85" t="s">
        <v>292</v>
      </c>
      <c r="C110" s="85" t="s">
        <v>110</v>
      </c>
      <c r="D110" s="84" t="s">
        <v>80</v>
      </c>
      <c r="E110" s="84">
        <f>VLOOKUP(A110,'2a. SI Pop'!$A$5:$E$198,5,FALSE)</f>
        <v>2</v>
      </c>
      <c r="F110" s="84">
        <v>2038</v>
      </c>
      <c r="G110" s="3">
        <f t="shared" si="58"/>
        <v>0</v>
      </c>
      <c r="H110" s="3">
        <f t="shared" si="58"/>
        <v>0</v>
      </c>
      <c r="I110" s="3">
        <f t="shared" si="58"/>
        <v>0</v>
      </c>
      <c r="J110" s="3">
        <f t="shared" si="58"/>
        <v>0</v>
      </c>
      <c r="K110" s="3">
        <f t="shared" si="58"/>
        <v>0</v>
      </c>
      <c r="L110" s="3">
        <f t="shared" si="58"/>
        <v>0</v>
      </c>
      <c r="M110" s="3">
        <f t="shared" si="58"/>
        <v>0</v>
      </c>
      <c r="N110" s="3">
        <f t="shared" si="58"/>
        <v>0</v>
      </c>
      <c r="O110" s="3">
        <f t="shared" si="58"/>
        <v>0.3</v>
      </c>
      <c r="P110" s="3">
        <f t="shared" si="58"/>
        <v>0.3</v>
      </c>
      <c r="Q110" s="3">
        <f t="shared" si="58"/>
        <v>0.3</v>
      </c>
    </row>
    <row r="111" spans="1:17">
      <c r="A111" s="84" t="s">
        <v>295</v>
      </c>
      <c r="B111" s="85" t="s">
        <v>294</v>
      </c>
      <c r="C111" s="85" t="s">
        <v>83</v>
      </c>
      <c r="D111" s="84" t="s">
        <v>75</v>
      </c>
      <c r="E111" s="84">
        <f>VLOOKUP(A111,'2a. SI Pop'!$A$5:$E$198,5,FALSE)</f>
        <v>3</v>
      </c>
      <c r="F111" s="84">
        <v>2033</v>
      </c>
      <c r="G111" s="3">
        <f t="shared" ref="G111:Q111" si="59">IF($F111&lt;=G$4,80%,0)</f>
        <v>0</v>
      </c>
      <c r="H111" s="3">
        <f t="shared" si="59"/>
        <v>0</v>
      </c>
      <c r="I111" s="3">
        <f t="shared" si="59"/>
        <v>0</v>
      </c>
      <c r="J111" s="3">
        <f t="shared" si="59"/>
        <v>0.8</v>
      </c>
      <c r="K111" s="3">
        <f t="shared" si="59"/>
        <v>0.8</v>
      </c>
      <c r="L111" s="3">
        <f t="shared" si="59"/>
        <v>0.8</v>
      </c>
      <c r="M111" s="3">
        <f t="shared" si="59"/>
        <v>0.8</v>
      </c>
      <c r="N111" s="3">
        <f t="shared" si="59"/>
        <v>0.8</v>
      </c>
      <c r="O111" s="3">
        <f t="shared" si="59"/>
        <v>0.8</v>
      </c>
      <c r="P111" s="3">
        <f t="shared" si="59"/>
        <v>0.8</v>
      </c>
      <c r="Q111" s="3">
        <f t="shared" si="59"/>
        <v>0.8</v>
      </c>
    </row>
    <row r="112" spans="1:17">
      <c r="A112" s="84" t="s">
        <v>297</v>
      </c>
      <c r="B112" s="85" t="s">
        <v>296</v>
      </c>
      <c r="C112" s="85" t="s">
        <v>79</v>
      </c>
      <c r="D112" s="84" t="s">
        <v>87</v>
      </c>
      <c r="E112" s="84">
        <f>VLOOKUP(A112,'2a. SI Pop'!$A$5:$E$198,5,FALSE)</f>
        <v>1</v>
      </c>
      <c r="F112" s="84">
        <v>2035</v>
      </c>
      <c r="G112" s="3">
        <f t="shared" ref="G112:Q112" si="60">IF($F112&lt;=G$4,5%,0)</f>
        <v>0</v>
      </c>
      <c r="H112" s="3">
        <f t="shared" si="60"/>
        <v>0</v>
      </c>
      <c r="I112" s="3">
        <f t="shared" si="60"/>
        <v>0</v>
      </c>
      <c r="J112" s="3">
        <f t="shared" si="60"/>
        <v>0</v>
      </c>
      <c r="K112" s="3">
        <f t="shared" si="60"/>
        <v>0</v>
      </c>
      <c r="L112" s="3">
        <f t="shared" si="60"/>
        <v>0.05</v>
      </c>
      <c r="M112" s="3">
        <f t="shared" si="60"/>
        <v>0.05</v>
      </c>
      <c r="N112" s="3">
        <f t="shared" si="60"/>
        <v>0.05</v>
      </c>
      <c r="O112" s="3">
        <f t="shared" si="60"/>
        <v>0.05</v>
      </c>
      <c r="P112" s="3">
        <f t="shared" si="60"/>
        <v>0.05</v>
      </c>
      <c r="Q112" s="3">
        <f t="shared" si="60"/>
        <v>0.05</v>
      </c>
    </row>
    <row r="113" spans="1:17">
      <c r="A113" s="84" t="s">
        <v>299</v>
      </c>
      <c r="B113" s="85" t="s">
        <v>298</v>
      </c>
      <c r="C113" s="85" t="s">
        <v>99</v>
      </c>
      <c r="D113" s="84" t="s">
        <v>80</v>
      </c>
      <c r="E113" s="84">
        <f>VLOOKUP(A113,'2a. SI Pop'!$A$5:$E$198,5,FALSE)</f>
        <v>1</v>
      </c>
      <c r="F113" s="84">
        <v>2037</v>
      </c>
      <c r="G113" s="3">
        <f t="shared" ref="G113:Q113" si="61">IF($F113&lt;=G$4,80%,0)</f>
        <v>0</v>
      </c>
      <c r="H113" s="3">
        <f t="shared" si="61"/>
        <v>0</v>
      </c>
      <c r="I113" s="3">
        <f t="shared" si="61"/>
        <v>0</v>
      </c>
      <c r="J113" s="3">
        <f t="shared" si="61"/>
        <v>0</v>
      </c>
      <c r="K113" s="3">
        <f t="shared" si="61"/>
        <v>0</v>
      </c>
      <c r="L113" s="3">
        <f t="shared" si="61"/>
        <v>0</v>
      </c>
      <c r="M113" s="3">
        <f t="shared" si="61"/>
        <v>0</v>
      </c>
      <c r="N113" s="3">
        <f t="shared" si="61"/>
        <v>0.8</v>
      </c>
      <c r="O113" s="3">
        <f t="shared" si="61"/>
        <v>0.8</v>
      </c>
      <c r="P113" s="3">
        <f t="shared" si="61"/>
        <v>0.8</v>
      </c>
      <c r="Q113" s="3">
        <f t="shared" si="61"/>
        <v>0.8</v>
      </c>
    </row>
    <row r="114" spans="1:17">
      <c r="A114" s="84" t="s">
        <v>301</v>
      </c>
      <c r="B114" s="85" t="s">
        <v>300</v>
      </c>
      <c r="C114" s="85" t="s">
        <v>83</v>
      </c>
      <c r="D114" s="84" t="s">
        <v>84</v>
      </c>
      <c r="E114" s="84">
        <f>VLOOKUP(A114,'2a. SI Pop'!$A$5:$E$198,5,FALSE)</f>
        <v>3</v>
      </c>
      <c r="F114" s="84">
        <v>2038</v>
      </c>
      <c r="G114" s="3">
        <f t="shared" ref="G114:Q114" si="62">IF($F114&lt;=G$4,80%,0)</f>
        <v>0</v>
      </c>
      <c r="H114" s="3">
        <f t="shared" si="62"/>
        <v>0</v>
      </c>
      <c r="I114" s="3">
        <f t="shared" si="62"/>
        <v>0</v>
      </c>
      <c r="J114" s="3">
        <f t="shared" si="62"/>
        <v>0</v>
      </c>
      <c r="K114" s="3">
        <f t="shared" si="62"/>
        <v>0</v>
      </c>
      <c r="L114" s="3">
        <f t="shared" si="62"/>
        <v>0</v>
      </c>
      <c r="M114" s="3">
        <f t="shared" si="62"/>
        <v>0</v>
      </c>
      <c r="N114" s="3">
        <f t="shared" si="62"/>
        <v>0</v>
      </c>
      <c r="O114" s="3">
        <f t="shared" si="62"/>
        <v>0.8</v>
      </c>
      <c r="P114" s="3">
        <f t="shared" si="62"/>
        <v>0.8</v>
      </c>
      <c r="Q114" s="3">
        <f t="shared" si="62"/>
        <v>0.8</v>
      </c>
    </row>
    <row r="115" spans="1:17">
      <c r="A115" s="84" t="s">
        <v>303</v>
      </c>
      <c r="B115" s="85" t="s">
        <v>302</v>
      </c>
      <c r="C115" s="85" t="s">
        <v>83</v>
      </c>
      <c r="D115" s="84" t="s">
        <v>87</v>
      </c>
      <c r="E115" s="84">
        <f>VLOOKUP(A115,'2a. SI Pop'!$A$5:$E$198,5,FALSE)</f>
        <v>1</v>
      </c>
      <c r="F115" s="84">
        <v>2038</v>
      </c>
      <c r="G115" s="3">
        <f t="shared" ref="G115:Q115" si="63">IF($F115&lt;=G$4,5%,0)</f>
        <v>0</v>
      </c>
      <c r="H115" s="3">
        <f t="shared" si="63"/>
        <v>0</v>
      </c>
      <c r="I115" s="3">
        <f t="shared" si="63"/>
        <v>0</v>
      </c>
      <c r="J115" s="3">
        <f t="shared" si="63"/>
        <v>0</v>
      </c>
      <c r="K115" s="3">
        <f t="shared" si="63"/>
        <v>0</v>
      </c>
      <c r="L115" s="3">
        <f t="shared" si="63"/>
        <v>0</v>
      </c>
      <c r="M115" s="3">
        <f t="shared" si="63"/>
        <v>0</v>
      </c>
      <c r="N115" s="3">
        <f t="shared" si="63"/>
        <v>0</v>
      </c>
      <c r="O115" s="3">
        <f t="shared" si="63"/>
        <v>0.05</v>
      </c>
      <c r="P115" s="3">
        <f t="shared" si="63"/>
        <v>0.05</v>
      </c>
      <c r="Q115" s="3">
        <f t="shared" si="63"/>
        <v>0.05</v>
      </c>
    </row>
    <row r="116" spans="1:17">
      <c r="A116" s="84" t="s">
        <v>305</v>
      </c>
      <c r="B116" s="85" t="s">
        <v>304</v>
      </c>
      <c r="C116" s="85" t="s">
        <v>92</v>
      </c>
      <c r="D116" s="84" t="s">
        <v>80</v>
      </c>
      <c r="E116" s="84">
        <f>VLOOKUP(A116,'2a. SI Pop'!$A$5:$E$198,5,FALSE)</f>
        <v>2</v>
      </c>
      <c r="F116" s="84">
        <v>2038</v>
      </c>
      <c r="G116" s="3">
        <f t="shared" ref="G116:Q116" si="64">IF($F116&lt;=G$4,30%,0)</f>
        <v>0</v>
      </c>
      <c r="H116" s="3">
        <f t="shared" si="64"/>
        <v>0</v>
      </c>
      <c r="I116" s="3">
        <f t="shared" si="64"/>
        <v>0</v>
      </c>
      <c r="J116" s="3">
        <f t="shared" si="64"/>
        <v>0</v>
      </c>
      <c r="K116" s="3">
        <f t="shared" si="64"/>
        <v>0</v>
      </c>
      <c r="L116" s="3">
        <f t="shared" si="64"/>
        <v>0</v>
      </c>
      <c r="M116" s="3">
        <f t="shared" si="64"/>
        <v>0</v>
      </c>
      <c r="N116" s="3">
        <f t="shared" si="64"/>
        <v>0</v>
      </c>
      <c r="O116" s="3">
        <f t="shared" si="64"/>
        <v>0.3</v>
      </c>
      <c r="P116" s="3">
        <f t="shared" si="64"/>
        <v>0.3</v>
      </c>
      <c r="Q116" s="3">
        <f t="shared" si="64"/>
        <v>0.3</v>
      </c>
    </row>
    <row r="117" spans="1:17">
      <c r="A117" s="84" t="s">
        <v>307</v>
      </c>
      <c r="B117" s="85" t="s">
        <v>306</v>
      </c>
      <c r="C117" s="85" t="s">
        <v>99</v>
      </c>
      <c r="D117" s="84" t="s">
        <v>84</v>
      </c>
      <c r="E117" s="84">
        <f>VLOOKUP(A117,'2a. SI Pop'!$A$5:$E$198,5,FALSE)</f>
        <v>1</v>
      </c>
      <c r="F117" s="84">
        <v>2038</v>
      </c>
      <c r="G117" s="3">
        <f t="shared" ref="G117:Q118" si="65">IF($F117&lt;=G$4,5%,0)</f>
        <v>0</v>
      </c>
      <c r="H117" s="3">
        <f t="shared" si="65"/>
        <v>0</v>
      </c>
      <c r="I117" s="3">
        <f t="shared" si="65"/>
        <v>0</v>
      </c>
      <c r="J117" s="3">
        <f t="shared" si="65"/>
        <v>0</v>
      </c>
      <c r="K117" s="3">
        <f t="shared" si="65"/>
        <v>0</v>
      </c>
      <c r="L117" s="3">
        <f t="shared" si="65"/>
        <v>0</v>
      </c>
      <c r="M117" s="3">
        <f t="shared" si="65"/>
        <v>0</v>
      </c>
      <c r="N117" s="3">
        <f t="shared" si="65"/>
        <v>0</v>
      </c>
      <c r="O117" s="3">
        <f t="shared" si="65"/>
        <v>0.05</v>
      </c>
      <c r="P117" s="3">
        <f t="shared" si="65"/>
        <v>0.05</v>
      </c>
      <c r="Q117" s="3">
        <f t="shared" si="65"/>
        <v>0.05</v>
      </c>
    </row>
    <row r="118" spans="1:17">
      <c r="A118" s="84" t="s">
        <v>309</v>
      </c>
      <c r="B118" s="85" t="s">
        <v>308</v>
      </c>
      <c r="C118" s="85" t="s">
        <v>79</v>
      </c>
      <c r="D118" s="84" t="s">
        <v>84</v>
      </c>
      <c r="E118" s="84">
        <f>VLOOKUP(A118,'2a. SI Pop'!$A$5:$E$198,5,FALSE)</f>
        <v>1</v>
      </c>
      <c r="F118" s="84">
        <v>2041</v>
      </c>
      <c r="G118" s="3">
        <f t="shared" si="65"/>
        <v>0</v>
      </c>
      <c r="H118" s="3">
        <f t="shared" si="65"/>
        <v>0</v>
      </c>
      <c r="I118" s="3">
        <f t="shared" si="65"/>
        <v>0</v>
      </c>
      <c r="J118" s="3">
        <f t="shared" si="65"/>
        <v>0</v>
      </c>
      <c r="K118" s="3">
        <f t="shared" si="65"/>
        <v>0</v>
      </c>
      <c r="L118" s="3">
        <f t="shared" si="65"/>
        <v>0</v>
      </c>
      <c r="M118" s="3">
        <f t="shared" si="65"/>
        <v>0</v>
      </c>
      <c r="N118" s="3">
        <f t="shared" si="65"/>
        <v>0</v>
      </c>
      <c r="O118" s="3">
        <f t="shared" si="65"/>
        <v>0</v>
      </c>
      <c r="P118" s="3">
        <f t="shared" si="65"/>
        <v>0</v>
      </c>
      <c r="Q118" s="3">
        <f t="shared" si="65"/>
        <v>0</v>
      </c>
    </row>
    <row r="119" spans="1:17">
      <c r="A119" s="84" t="s">
        <v>311</v>
      </c>
      <c r="B119" s="85" t="s">
        <v>310</v>
      </c>
      <c r="C119" s="85" t="s">
        <v>79</v>
      </c>
      <c r="D119" s="84" t="s">
        <v>87</v>
      </c>
      <c r="E119" s="84">
        <f>VLOOKUP(A119,'2a. SI Pop'!$A$5:$E$198,5,FALSE)</f>
        <v>1</v>
      </c>
      <c r="F119" s="84">
        <v>2039</v>
      </c>
      <c r="G119" s="3">
        <f t="shared" ref="G119:Q119" si="66">IF($F119&lt;=G$4,80%,0)</f>
        <v>0</v>
      </c>
      <c r="H119" s="3">
        <f t="shared" si="66"/>
        <v>0</v>
      </c>
      <c r="I119" s="3">
        <f t="shared" si="66"/>
        <v>0</v>
      </c>
      <c r="J119" s="3">
        <f t="shared" si="66"/>
        <v>0</v>
      </c>
      <c r="K119" s="3">
        <f t="shared" si="66"/>
        <v>0</v>
      </c>
      <c r="L119" s="3">
        <f t="shared" si="66"/>
        <v>0</v>
      </c>
      <c r="M119" s="3">
        <f t="shared" si="66"/>
        <v>0</v>
      </c>
      <c r="N119" s="3">
        <f t="shared" si="66"/>
        <v>0</v>
      </c>
      <c r="O119" s="3">
        <f t="shared" si="66"/>
        <v>0</v>
      </c>
      <c r="P119" s="3">
        <f t="shared" si="66"/>
        <v>0.8</v>
      </c>
      <c r="Q119" s="3">
        <f t="shared" si="66"/>
        <v>0.8</v>
      </c>
    </row>
    <row r="120" spans="1:17">
      <c r="A120" s="84" t="s">
        <v>313</v>
      </c>
      <c r="B120" s="85" t="s">
        <v>312</v>
      </c>
      <c r="C120" s="85" t="s">
        <v>99</v>
      </c>
      <c r="D120" s="84" t="s">
        <v>84</v>
      </c>
      <c r="E120" s="84">
        <f>VLOOKUP(A120,'2a. SI Pop'!$A$5:$E$198,5,FALSE)</f>
        <v>2</v>
      </c>
      <c r="F120" s="84">
        <v>2041</v>
      </c>
      <c r="G120" s="3">
        <f t="shared" ref="G120:Q120" si="67">IF($F120&lt;=G$4,30%,0)</f>
        <v>0</v>
      </c>
      <c r="H120" s="3">
        <f t="shared" si="67"/>
        <v>0</v>
      </c>
      <c r="I120" s="3">
        <f t="shared" si="67"/>
        <v>0</v>
      </c>
      <c r="J120" s="3">
        <f t="shared" si="67"/>
        <v>0</v>
      </c>
      <c r="K120" s="3">
        <f t="shared" si="67"/>
        <v>0</v>
      </c>
      <c r="L120" s="3">
        <f t="shared" si="67"/>
        <v>0</v>
      </c>
      <c r="M120" s="3">
        <f t="shared" si="67"/>
        <v>0</v>
      </c>
      <c r="N120" s="3">
        <f t="shared" si="67"/>
        <v>0</v>
      </c>
      <c r="O120" s="3">
        <f t="shared" si="67"/>
        <v>0</v>
      </c>
      <c r="P120" s="3">
        <f t="shared" si="67"/>
        <v>0</v>
      </c>
      <c r="Q120" s="3">
        <f t="shared" si="67"/>
        <v>0</v>
      </c>
    </row>
    <row r="121" spans="1:17">
      <c r="A121" s="84" t="s">
        <v>315</v>
      </c>
      <c r="B121" s="85" t="s">
        <v>314</v>
      </c>
      <c r="C121" s="85" t="s">
        <v>79</v>
      </c>
      <c r="D121" s="84" t="s">
        <v>80</v>
      </c>
      <c r="E121" s="84">
        <f>VLOOKUP(A121,'2a. SI Pop'!$A$5:$E$198,5,FALSE)</f>
        <v>1</v>
      </c>
      <c r="F121" s="84">
        <v>2041</v>
      </c>
      <c r="G121" s="3">
        <f t="shared" ref="G121:Q121" si="68">IF($F121&lt;=G$4,5%,0)</f>
        <v>0</v>
      </c>
      <c r="H121" s="3">
        <f t="shared" si="68"/>
        <v>0</v>
      </c>
      <c r="I121" s="3">
        <f t="shared" si="68"/>
        <v>0</v>
      </c>
      <c r="J121" s="3">
        <f t="shared" si="68"/>
        <v>0</v>
      </c>
      <c r="K121" s="3">
        <f t="shared" si="68"/>
        <v>0</v>
      </c>
      <c r="L121" s="3">
        <f t="shared" si="68"/>
        <v>0</v>
      </c>
      <c r="M121" s="3">
        <f t="shared" si="68"/>
        <v>0</v>
      </c>
      <c r="N121" s="3">
        <f t="shared" si="68"/>
        <v>0</v>
      </c>
      <c r="O121" s="3">
        <f t="shared" si="68"/>
        <v>0</v>
      </c>
      <c r="P121" s="3">
        <f t="shared" si="68"/>
        <v>0</v>
      </c>
      <c r="Q121" s="3">
        <f t="shared" si="68"/>
        <v>0</v>
      </c>
    </row>
    <row r="122" spans="1:17">
      <c r="A122" s="84" t="s">
        <v>317</v>
      </c>
      <c r="B122" s="85" t="s">
        <v>316</v>
      </c>
      <c r="C122" s="85" t="s">
        <v>74</v>
      </c>
      <c r="D122" s="84" t="s">
        <v>84</v>
      </c>
      <c r="E122" s="84">
        <f>VLOOKUP(A122,'2a. SI Pop'!$A$5:$E$198,5,FALSE)</f>
        <v>3</v>
      </c>
      <c r="F122" s="84">
        <v>2033</v>
      </c>
      <c r="G122" s="3">
        <f t="shared" ref="G122:Q126" si="69">IF($F122&lt;=G$4,80%,0)</f>
        <v>0</v>
      </c>
      <c r="H122" s="3">
        <f t="shared" si="69"/>
        <v>0</v>
      </c>
      <c r="I122" s="3">
        <f t="shared" si="69"/>
        <v>0</v>
      </c>
      <c r="J122" s="3">
        <f t="shared" si="69"/>
        <v>0.8</v>
      </c>
      <c r="K122" s="3">
        <f t="shared" si="69"/>
        <v>0.8</v>
      </c>
      <c r="L122" s="3">
        <f t="shared" si="69"/>
        <v>0.8</v>
      </c>
      <c r="M122" s="3">
        <f t="shared" si="69"/>
        <v>0.8</v>
      </c>
      <c r="N122" s="3">
        <f t="shared" si="69"/>
        <v>0.8</v>
      </c>
      <c r="O122" s="3">
        <f t="shared" si="69"/>
        <v>0.8</v>
      </c>
      <c r="P122" s="3">
        <f t="shared" si="69"/>
        <v>0.8</v>
      </c>
      <c r="Q122" s="3">
        <f t="shared" si="69"/>
        <v>0.8</v>
      </c>
    </row>
    <row r="123" spans="1:17">
      <c r="A123" s="84" t="s">
        <v>319</v>
      </c>
      <c r="B123" s="85" t="s">
        <v>318</v>
      </c>
      <c r="C123" s="85" t="s">
        <v>83</v>
      </c>
      <c r="D123" s="84" t="s">
        <v>75</v>
      </c>
      <c r="E123" s="84" t="str">
        <f>VLOOKUP(A123,'2a. SI Pop'!$A$5:$E$198,5,FALSE)</f>
        <v>Key</v>
      </c>
      <c r="F123" s="84">
        <v>2034</v>
      </c>
      <c r="G123" s="3">
        <f t="shared" si="69"/>
        <v>0</v>
      </c>
      <c r="H123" s="3">
        <f t="shared" si="69"/>
        <v>0</v>
      </c>
      <c r="I123" s="3">
        <f t="shared" si="69"/>
        <v>0</v>
      </c>
      <c r="J123" s="3">
        <f t="shared" si="69"/>
        <v>0</v>
      </c>
      <c r="K123" s="3">
        <f t="shared" si="69"/>
        <v>0.8</v>
      </c>
      <c r="L123" s="3">
        <f t="shared" si="69"/>
        <v>0.8</v>
      </c>
      <c r="M123" s="3">
        <f t="shared" si="69"/>
        <v>0.8</v>
      </c>
      <c r="N123" s="3">
        <f t="shared" si="69"/>
        <v>0.8</v>
      </c>
      <c r="O123" s="3">
        <f t="shared" si="69"/>
        <v>0.8</v>
      </c>
      <c r="P123" s="3">
        <f t="shared" si="69"/>
        <v>0.8</v>
      </c>
      <c r="Q123" s="3">
        <f t="shared" si="69"/>
        <v>0.8</v>
      </c>
    </row>
    <row r="124" spans="1:17">
      <c r="A124" s="84" t="s">
        <v>321</v>
      </c>
      <c r="B124" s="85" t="s">
        <v>320</v>
      </c>
      <c r="C124" s="85" t="s">
        <v>110</v>
      </c>
      <c r="D124" s="84" t="s">
        <v>84</v>
      </c>
      <c r="E124" s="84">
        <f>VLOOKUP(A124,'2a. SI Pop'!$A$5:$E$198,5,FALSE)</f>
        <v>4</v>
      </c>
      <c r="F124" s="84">
        <v>2036</v>
      </c>
      <c r="G124" s="3">
        <f t="shared" si="69"/>
        <v>0</v>
      </c>
      <c r="H124" s="3">
        <f t="shared" si="69"/>
        <v>0</v>
      </c>
      <c r="I124" s="3">
        <f t="shared" si="69"/>
        <v>0</v>
      </c>
      <c r="J124" s="3">
        <f t="shared" si="69"/>
        <v>0</v>
      </c>
      <c r="K124" s="3">
        <f t="shared" si="69"/>
        <v>0</v>
      </c>
      <c r="L124" s="3">
        <f t="shared" si="69"/>
        <v>0</v>
      </c>
      <c r="M124" s="3">
        <f t="shared" si="69"/>
        <v>0.8</v>
      </c>
      <c r="N124" s="3">
        <f t="shared" si="69"/>
        <v>0.8</v>
      </c>
      <c r="O124" s="3">
        <f t="shared" si="69"/>
        <v>0.8</v>
      </c>
      <c r="P124" s="3">
        <f t="shared" si="69"/>
        <v>0.8</v>
      </c>
      <c r="Q124" s="3">
        <f t="shared" si="69"/>
        <v>0.8</v>
      </c>
    </row>
    <row r="125" spans="1:17">
      <c r="A125" s="84" t="s">
        <v>323</v>
      </c>
      <c r="B125" s="85" t="s">
        <v>322</v>
      </c>
      <c r="C125" s="85" t="s">
        <v>83</v>
      </c>
      <c r="D125" s="84" t="s">
        <v>80</v>
      </c>
      <c r="E125" s="84">
        <f>VLOOKUP(A125,'2a. SI Pop'!$A$5:$E$198,5,FALSE)</f>
        <v>3</v>
      </c>
      <c r="F125" s="84">
        <v>2037</v>
      </c>
      <c r="G125" s="3">
        <f t="shared" si="69"/>
        <v>0</v>
      </c>
      <c r="H125" s="3">
        <f t="shared" si="69"/>
        <v>0</v>
      </c>
      <c r="I125" s="3">
        <f t="shared" si="69"/>
        <v>0</v>
      </c>
      <c r="J125" s="3">
        <f t="shared" si="69"/>
        <v>0</v>
      </c>
      <c r="K125" s="3">
        <f t="shared" si="69"/>
        <v>0</v>
      </c>
      <c r="L125" s="3">
        <f t="shared" si="69"/>
        <v>0</v>
      </c>
      <c r="M125" s="3">
        <f t="shared" si="69"/>
        <v>0</v>
      </c>
      <c r="N125" s="3">
        <f t="shared" si="69"/>
        <v>0.8</v>
      </c>
      <c r="O125" s="3">
        <f t="shared" si="69"/>
        <v>0.8</v>
      </c>
      <c r="P125" s="3">
        <f t="shared" si="69"/>
        <v>0.8</v>
      </c>
      <c r="Q125" s="3">
        <f t="shared" si="69"/>
        <v>0.8</v>
      </c>
    </row>
    <row r="126" spans="1:17">
      <c r="A126" s="84" t="s">
        <v>325</v>
      </c>
      <c r="B126" s="85" t="s">
        <v>324</v>
      </c>
      <c r="C126" s="85" t="s">
        <v>99</v>
      </c>
      <c r="D126" s="84" t="s">
        <v>87</v>
      </c>
      <c r="E126" s="84">
        <f>VLOOKUP(A126,'2a. SI Pop'!$A$5:$E$198,5,FALSE)</f>
        <v>1</v>
      </c>
      <c r="F126" s="84">
        <v>2039</v>
      </c>
      <c r="G126" s="3">
        <f t="shared" si="69"/>
        <v>0</v>
      </c>
      <c r="H126" s="3">
        <f t="shared" si="69"/>
        <v>0</v>
      </c>
      <c r="I126" s="3">
        <f t="shared" si="69"/>
        <v>0</v>
      </c>
      <c r="J126" s="3">
        <f t="shared" si="69"/>
        <v>0</v>
      </c>
      <c r="K126" s="3">
        <f t="shared" si="69"/>
        <v>0</v>
      </c>
      <c r="L126" s="3">
        <f t="shared" si="69"/>
        <v>0</v>
      </c>
      <c r="M126" s="3">
        <f t="shared" si="69"/>
        <v>0</v>
      </c>
      <c r="N126" s="3">
        <f t="shared" si="69"/>
        <v>0</v>
      </c>
      <c r="O126" s="3">
        <f t="shared" si="69"/>
        <v>0</v>
      </c>
      <c r="P126" s="3">
        <f t="shared" si="69"/>
        <v>0.8</v>
      </c>
      <c r="Q126" s="3">
        <f t="shared" si="69"/>
        <v>0.8</v>
      </c>
    </row>
    <row r="127" spans="1:17">
      <c r="A127" s="84" t="s">
        <v>327</v>
      </c>
      <c r="B127" s="85" t="s">
        <v>326</v>
      </c>
      <c r="C127" s="85" t="s">
        <v>110</v>
      </c>
      <c r="D127" s="84" t="s">
        <v>84</v>
      </c>
      <c r="E127" s="84">
        <f>VLOOKUP(A127,'2a. SI Pop'!$A$5:$E$198,5,FALSE)</f>
        <v>4</v>
      </c>
      <c r="F127" s="84">
        <v>2037</v>
      </c>
      <c r="G127" s="3">
        <f t="shared" ref="G127:Q127" si="70">IF($F127&lt;=G$4,80%,0)</f>
        <v>0</v>
      </c>
      <c r="H127" s="3">
        <f t="shared" si="70"/>
        <v>0</v>
      </c>
      <c r="I127" s="3">
        <f t="shared" si="70"/>
        <v>0</v>
      </c>
      <c r="J127" s="3">
        <f t="shared" si="70"/>
        <v>0</v>
      </c>
      <c r="K127" s="3">
        <f t="shared" si="70"/>
        <v>0</v>
      </c>
      <c r="L127" s="3">
        <f t="shared" si="70"/>
        <v>0</v>
      </c>
      <c r="M127" s="3">
        <f t="shared" si="70"/>
        <v>0</v>
      </c>
      <c r="N127" s="3">
        <f t="shared" si="70"/>
        <v>0.8</v>
      </c>
      <c r="O127" s="3">
        <f t="shared" si="70"/>
        <v>0.8</v>
      </c>
      <c r="P127" s="3">
        <f t="shared" si="70"/>
        <v>0.8</v>
      </c>
      <c r="Q127" s="3">
        <f t="shared" si="70"/>
        <v>0.8</v>
      </c>
    </row>
    <row r="128" spans="1:17">
      <c r="A128" s="84" t="s">
        <v>329</v>
      </c>
      <c r="B128" s="85" t="s">
        <v>328</v>
      </c>
      <c r="C128" s="85" t="s">
        <v>79</v>
      </c>
      <c r="D128" s="84" t="s">
        <v>87</v>
      </c>
      <c r="E128" s="84">
        <f>VLOOKUP(A128,'2a. SI Pop'!$A$5:$E$198,5,FALSE)</f>
        <v>1</v>
      </c>
      <c r="F128" s="84">
        <v>2032</v>
      </c>
      <c r="G128" s="3">
        <f t="shared" ref="G128:Q129" si="71">IF($F128&lt;=G$4,5%,0)</f>
        <v>0</v>
      </c>
      <c r="H128" s="3">
        <f t="shared" si="71"/>
        <v>0</v>
      </c>
      <c r="I128" s="3">
        <f t="shared" si="71"/>
        <v>0.05</v>
      </c>
      <c r="J128" s="3">
        <f t="shared" si="71"/>
        <v>0.05</v>
      </c>
      <c r="K128" s="3">
        <f t="shared" si="71"/>
        <v>0.05</v>
      </c>
      <c r="L128" s="3">
        <f t="shared" si="71"/>
        <v>0.05</v>
      </c>
      <c r="M128" s="3">
        <f t="shared" si="71"/>
        <v>0.05</v>
      </c>
      <c r="N128" s="3">
        <f t="shared" si="71"/>
        <v>0.05</v>
      </c>
      <c r="O128" s="3">
        <f t="shared" si="71"/>
        <v>0.05</v>
      </c>
      <c r="P128" s="3">
        <f t="shared" si="71"/>
        <v>0.05</v>
      </c>
      <c r="Q128" s="3">
        <f t="shared" si="71"/>
        <v>0.05</v>
      </c>
    </row>
    <row r="129" spans="1:17">
      <c r="A129" s="84" t="s">
        <v>331</v>
      </c>
      <c r="B129" s="85" t="s">
        <v>330</v>
      </c>
      <c r="C129" s="85" t="s">
        <v>99</v>
      </c>
      <c r="D129" s="84" t="s">
        <v>87</v>
      </c>
      <c r="E129" s="84">
        <f>VLOOKUP(A129,'2a. SI Pop'!$A$5:$E$198,5,FALSE)</f>
        <v>1</v>
      </c>
      <c r="F129" s="84">
        <v>2031</v>
      </c>
      <c r="G129" s="3">
        <f t="shared" si="71"/>
        <v>0</v>
      </c>
      <c r="H129" s="3">
        <f t="shared" si="71"/>
        <v>0.05</v>
      </c>
      <c r="I129" s="3">
        <f t="shared" si="71"/>
        <v>0.05</v>
      </c>
      <c r="J129" s="3">
        <f t="shared" si="71"/>
        <v>0.05</v>
      </c>
      <c r="K129" s="3">
        <f t="shared" si="71"/>
        <v>0.05</v>
      </c>
      <c r="L129" s="3">
        <f t="shared" si="71"/>
        <v>0.05</v>
      </c>
      <c r="M129" s="3">
        <f t="shared" si="71"/>
        <v>0.05</v>
      </c>
      <c r="N129" s="3">
        <f t="shared" si="71"/>
        <v>0.05</v>
      </c>
      <c r="O129" s="3">
        <f t="shared" si="71"/>
        <v>0.05</v>
      </c>
      <c r="P129" s="3">
        <f t="shared" si="71"/>
        <v>0.05</v>
      </c>
      <c r="Q129" s="3">
        <f t="shared" si="71"/>
        <v>0.05</v>
      </c>
    </row>
    <row r="130" spans="1:17">
      <c r="A130" s="84" t="s">
        <v>333</v>
      </c>
      <c r="B130" s="85" t="s">
        <v>332</v>
      </c>
      <c r="C130" s="85" t="s">
        <v>92</v>
      </c>
      <c r="D130" s="84" t="s">
        <v>84</v>
      </c>
      <c r="E130" s="84">
        <f>VLOOKUP(A130,'2a. SI Pop'!$A$5:$E$198,5,FALSE)</f>
        <v>2</v>
      </c>
      <c r="F130" s="84">
        <v>2041</v>
      </c>
      <c r="G130" s="3">
        <f t="shared" ref="G130:Q130" si="72">IF($F130&lt;=G$4,30%,0)</f>
        <v>0</v>
      </c>
      <c r="H130" s="3">
        <f t="shared" si="72"/>
        <v>0</v>
      </c>
      <c r="I130" s="3">
        <f t="shared" si="72"/>
        <v>0</v>
      </c>
      <c r="J130" s="3">
        <f t="shared" si="72"/>
        <v>0</v>
      </c>
      <c r="K130" s="3">
        <f t="shared" si="72"/>
        <v>0</v>
      </c>
      <c r="L130" s="3">
        <f t="shared" si="72"/>
        <v>0</v>
      </c>
      <c r="M130" s="3">
        <f t="shared" si="72"/>
        <v>0</v>
      </c>
      <c r="N130" s="3">
        <f t="shared" si="72"/>
        <v>0</v>
      </c>
      <c r="O130" s="3">
        <f t="shared" si="72"/>
        <v>0</v>
      </c>
      <c r="P130" s="3">
        <f t="shared" si="72"/>
        <v>0</v>
      </c>
      <c r="Q130" s="3">
        <f t="shared" si="72"/>
        <v>0</v>
      </c>
    </row>
    <row r="131" spans="1:17">
      <c r="A131" s="84" t="s">
        <v>335</v>
      </c>
      <c r="B131" s="85" t="s">
        <v>334</v>
      </c>
      <c r="C131" s="85" t="s">
        <v>83</v>
      </c>
      <c r="D131" s="84" t="s">
        <v>75</v>
      </c>
      <c r="E131" s="84">
        <f>VLOOKUP(A131,'2a. SI Pop'!$A$5:$E$198,5,FALSE)</f>
        <v>3</v>
      </c>
      <c r="F131" s="84">
        <v>2031</v>
      </c>
      <c r="G131" s="3">
        <f t="shared" ref="G131:Q133" si="73">IF($F131&lt;=G$4,80%,0)</f>
        <v>0</v>
      </c>
      <c r="H131" s="3">
        <f t="shared" si="73"/>
        <v>0.8</v>
      </c>
      <c r="I131" s="3">
        <f t="shared" si="73"/>
        <v>0.8</v>
      </c>
      <c r="J131" s="3">
        <f t="shared" si="73"/>
        <v>0.8</v>
      </c>
      <c r="K131" s="3">
        <f t="shared" si="73"/>
        <v>0.8</v>
      </c>
      <c r="L131" s="3">
        <f t="shared" si="73"/>
        <v>0.8</v>
      </c>
      <c r="M131" s="3">
        <f t="shared" si="73"/>
        <v>0.8</v>
      </c>
      <c r="N131" s="3">
        <f t="shared" si="73"/>
        <v>0.8</v>
      </c>
      <c r="O131" s="3">
        <f t="shared" si="73"/>
        <v>0.8</v>
      </c>
      <c r="P131" s="3">
        <f t="shared" si="73"/>
        <v>0.8</v>
      </c>
      <c r="Q131" s="3">
        <f t="shared" si="73"/>
        <v>0.8</v>
      </c>
    </row>
    <row r="132" spans="1:17">
      <c r="A132" s="84" t="s">
        <v>337</v>
      </c>
      <c r="B132" s="85" t="s">
        <v>336</v>
      </c>
      <c r="C132" s="85" t="s">
        <v>83</v>
      </c>
      <c r="D132" s="84" t="s">
        <v>84</v>
      </c>
      <c r="E132" s="84" t="str">
        <f>VLOOKUP(A132,'2a. SI Pop'!$A$5:$E$198,5,FALSE)</f>
        <v>Key</v>
      </c>
      <c r="F132" s="84">
        <v>2034</v>
      </c>
      <c r="G132" s="3">
        <f t="shared" si="73"/>
        <v>0</v>
      </c>
      <c r="H132" s="3">
        <f t="shared" si="73"/>
        <v>0</v>
      </c>
      <c r="I132" s="3">
        <f t="shared" si="73"/>
        <v>0</v>
      </c>
      <c r="J132" s="3">
        <f t="shared" si="73"/>
        <v>0</v>
      </c>
      <c r="K132" s="3">
        <f t="shared" si="73"/>
        <v>0.8</v>
      </c>
      <c r="L132" s="3">
        <f t="shared" si="73"/>
        <v>0.8</v>
      </c>
      <c r="M132" s="3">
        <f t="shared" si="73"/>
        <v>0.8</v>
      </c>
      <c r="N132" s="3">
        <f t="shared" si="73"/>
        <v>0.8</v>
      </c>
      <c r="O132" s="3">
        <f t="shared" si="73"/>
        <v>0.8</v>
      </c>
      <c r="P132" s="3">
        <f t="shared" si="73"/>
        <v>0.8</v>
      </c>
      <c r="Q132" s="3">
        <f t="shared" si="73"/>
        <v>0.8</v>
      </c>
    </row>
    <row r="133" spans="1:17">
      <c r="A133" s="84" t="s">
        <v>339</v>
      </c>
      <c r="B133" s="85" t="s">
        <v>338</v>
      </c>
      <c r="C133" s="85" t="s">
        <v>99</v>
      </c>
      <c r="D133" s="84" t="e">
        <v>#N/A</v>
      </c>
      <c r="E133" s="84">
        <f>VLOOKUP(A133,'2a. SI Pop'!$A$5:$E$198,5,FALSE)</f>
        <v>1</v>
      </c>
      <c r="F133" s="84">
        <v>2040</v>
      </c>
      <c r="G133" s="3">
        <f t="shared" si="73"/>
        <v>0</v>
      </c>
      <c r="H133" s="3">
        <f t="shared" si="73"/>
        <v>0</v>
      </c>
      <c r="I133" s="3">
        <f t="shared" si="73"/>
        <v>0</v>
      </c>
      <c r="J133" s="3">
        <f t="shared" si="73"/>
        <v>0</v>
      </c>
      <c r="K133" s="3">
        <f t="shared" si="73"/>
        <v>0</v>
      </c>
      <c r="L133" s="3">
        <f t="shared" si="73"/>
        <v>0</v>
      </c>
      <c r="M133" s="3">
        <f t="shared" si="73"/>
        <v>0</v>
      </c>
      <c r="N133" s="3">
        <f t="shared" si="73"/>
        <v>0</v>
      </c>
      <c r="O133" s="3">
        <f t="shared" si="73"/>
        <v>0</v>
      </c>
      <c r="P133" s="3">
        <f t="shared" si="73"/>
        <v>0</v>
      </c>
      <c r="Q133" s="3">
        <f t="shared" si="73"/>
        <v>0.8</v>
      </c>
    </row>
    <row r="134" spans="1:17">
      <c r="A134" s="84" t="s">
        <v>341</v>
      </c>
      <c r="B134" s="85" t="s">
        <v>340</v>
      </c>
      <c r="C134" s="85" t="s">
        <v>79</v>
      </c>
      <c r="D134" s="84" t="s">
        <v>87</v>
      </c>
      <c r="E134" s="84">
        <f>VLOOKUP(A134,'2a. SI Pop'!$A$5:$E$198,5,FALSE)</f>
        <v>1</v>
      </c>
      <c r="F134" s="84">
        <v>2032</v>
      </c>
      <c r="G134" s="3">
        <f t="shared" ref="G134:Q135" si="74">IF($F134&lt;=G$4,5%,0)</f>
        <v>0</v>
      </c>
      <c r="H134" s="3">
        <f t="shared" si="74"/>
        <v>0</v>
      </c>
      <c r="I134" s="3">
        <f t="shared" si="74"/>
        <v>0.05</v>
      </c>
      <c r="J134" s="3">
        <f t="shared" si="74"/>
        <v>0.05</v>
      </c>
      <c r="K134" s="3">
        <f t="shared" si="74"/>
        <v>0.05</v>
      </c>
      <c r="L134" s="3">
        <f t="shared" si="74"/>
        <v>0.05</v>
      </c>
      <c r="M134" s="3">
        <f t="shared" si="74"/>
        <v>0.05</v>
      </c>
      <c r="N134" s="3">
        <f t="shared" si="74"/>
        <v>0.05</v>
      </c>
      <c r="O134" s="3">
        <f t="shared" si="74"/>
        <v>0.05</v>
      </c>
      <c r="P134" s="3">
        <f t="shared" si="74"/>
        <v>0.05</v>
      </c>
      <c r="Q134" s="3">
        <f t="shared" si="74"/>
        <v>0.05</v>
      </c>
    </row>
    <row r="135" spans="1:17">
      <c r="A135" s="84" t="s">
        <v>343</v>
      </c>
      <c r="B135" s="85" t="s">
        <v>342</v>
      </c>
      <c r="C135" s="85" t="s">
        <v>74</v>
      </c>
      <c r="D135" s="84" t="s">
        <v>87</v>
      </c>
      <c r="E135" s="84">
        <f>VLOOKUP(A135,'2a. SI Pop'!$A$5:$E$198,5,FALSE)</f>
        <v>1</v>
      </c>
      <c r="F135" s="84">
        <v>2036</v>
      </c>
      <c r="G135" s="3">
        <f t="shared" si="74"/>
        <v>0</v>
      </c>
      <c r="H135" s="3">
        <f t="shared" si="74"/>
        <v>0</v>
      </c>
      <c r="I135" s="3">
        <f t="shared" si="74"/>
        <v>0</v>
      </c>
      <c r="J135" s="3">
        <f t="shared" si="74"/>
        <v>0</v>
      </c>
      <c r="K135" s="3">
        <f t="shared" si="74"/>
        <v>0</v>
      </c>
      <c r="L135" s="3">
        <f t="shared" si="74"/>
        <v>0</v>
      </c>
      <c r="M135" s="3">
        <f t="shared" si="74"/>
        <v>0.05</v>
      </c>
      <c r="N135" s="3">
        <f t="shared" si="74"/>
        <v>0.05</v>
      </c>
      <c r="O135" s="3">
        <f t="shared" si="74"/>
        <v>0.05</v>
      </c>
      <c r="P135" s="3">
        <f t="shared" si="74"/>
        <v>0.05</v>
      </c>
      <c r="Q135" s="3">
        <f t="shared" si="74"/>
        <v>0.05</v>
      </c>
    </row>
    <row r="136" spans="1:17">
      <c r="A136" s="84" t="s">
        <v>345</v>
      </c>
      <c r="B136" s="85" t="s">
        <v>344</v>
      </c>
      <c r="C136" s="85" t="s">
        <v>74</v>
      </c>
      <c r="D136" s="84" t="s">
        <v>84</v>
      </c>
      <c r="E136" s="84" t="str">
        <f>VLOOKUP(A136,'2a. SI Pop'!$A$5:$E$198,5,FALSE)</f>
        <v>Key</v>
      </c>
      <c r="F136" s="84">
        <v>2033</v>
      </c>
      <c r="G136" s="3">
        <f t="shared" ref="G136:Q137" si="75">IF($F136&lt;=G$4,80%,0)</f>
        <v>0</v>
      </c>
      <c r="H136" s="3">
        <f t="shared" si="75"/>
        <v>0</v>
      </c>
      <c r="I136" s="3">
        <f t="shared" si="75"/>
        <v>0</v>
      </c>
      <c r="J136" s="3">
        <f t="shared" si="75"/>
        <v>0.8</v>
      </c>
      <c r="K136" s="3">
        <f t="shared" si="75"/>
        <v>0.8</v>
      </c>
      <c r="L136" s="3">
        <f t="shared" si="75"/>
        <v>0.8</v>
      </c>
      <c r="M136" s="3">
        <f t="shared" si="75"/>
        <v>0.8</v>
      </c>
      <c r="N136" s="3">
        <f t="shared" si="75"/>
        <v>0.8</v>
      </c>
      <c r="O136" s="3">
        <f t="shared" si="75"/>
        <v>0.8</v>
      </c>
      <c r="P136" s="3">
        <f t="shared" si="75"/>
        <v>0.8</v>
      </c>
      <c r="Q136" s="3">
        <f t="shared" si="75"/>
        <v>0.8</v>
      </c>
    </row>
    <row r="137" spans="1:17">
      <c r="A137" s="84" t="s">
        <v>347</v>
      </c>
      <c r="B137" s="85" t="s">
        <v>346</v>
      </c>
      <c r="C137" s="85" t="s">
        <v>99</v>
      </c>
      <c r="D137" s="84" t="s">
        <v>87</v>
      </c>
      <c r="E137" s="84">
        <f>VLOOKUP(A137,'2a. SI Pop'!$A$5:$E$198,5,FALSE)</f>
        <v>1</v>
      </c>
      <c r="F137" s="84">
        <v>2031</v>
      </c>
      <c r="G137" s="3">
        <f t="shared" si="75"/>
        <v>0</v>
      </c>
      <c r="H137" s="3">
        <f t="shared" si="75"/>
        <v>0.8</v>
      </c>
      <c r="I137" s="3">
        <f t="shared" si="75"/>
        <v>0.8</v>
      </c>
      <c r="J137" s="3">
        <f t="shared" si="75"/>
        <v>0.8</v>
      </c>
      <c r="K137" s="3">
        <f t="shared" si="75"/>
        <v>0.8</v>
      </c>
      <c r="L137" s="3">
        <f t="shared" si="75"/>
        <v>0.8</v>
      </c>
      <c r="M137" s="3">
        <f t="shared" si="75"/>
        <v>0.8</v>
      </c>
      <c r="N137" s="3">
        <f t="shared" si="75"/>
        <v>0.8</v>
      </c>
      <c r="O137" s="3">
        <f t="shared" si="75"/>
        <v>0.8</v>
      </c>
      <c r="P137" s="3">
        <f t="shared" si="75"/>
        <v>0.8</v>
      </c>
      <c r="Q137" s="3">
        <f t="shared" si="75"/>
        <v>0.8</v>
      </c>
    </row>
    <row r="138" spans="1:17">
      <c r="A138" s="84" t="s">
        <v>349</v>
      </c>
      <c r="B138" s="85" t="s">
        <v>348</v>
      </c>
      <c r="C138" s="85" t="s">
        <v>92</v>
      </c>
      <c r="D138" s="84" t="s">
        <v>87</v>
      </c>
      <c r="E138" s="84">
        <f>VLOOKUP(A138,'2a. SI Pop'!$A$5:$E$198,5,FALSE)</f>
        <v>1</v>
      </c>
      <c r="F138" s="84">
        <v>2038</v>
      </c>
      <c r="G138" s="3">
        <f t="shared" ref="G138:Q138" si="76">IF($F138&lt;=G$4,5%,0)</f>
        <v>0</v>
      </c>
      <c r="H138" s="3">
        <f t="shared" si="76"/>
        <v>0</v>
      </c>
      <c r="I138" s="3">
        <f t="shared" si="76"/>
        <v>0</v>
      </c>
      <c r="J138" s="3">
        <f t="shared" si="76"/>
        <v>0</v>
      </c>
      <c r="K138" s="3">
        <f t="shared" si="76"/>
        <v>0</v>
      </c>
      <c r="L138" s="3">
        <f t="shared" si="76"/>
        <v>0</v>
      </c>
      <c r="M138" s="3">
        <f t="shared" si="76"/>
        <v>0</v>
      </c>
      <c r="N138" s="3">
        <f t="shared" si="76"/>
        <v>0</v>
      </c>
      <c r="O138" s="3">
        <f t="shared" si="76"/>
        <v>0.05</v>
      </c>
      <c r="P138" s="3">
        <f t="shared" si="76"/>
        <v>0.05</v>
      </c>
      <c r="Q138" s="3">
        <f t="shared" si="76"/>
        <v>0.05</v>
      </c>
    </row>
    <row r="139" spans="1:17">
      <c r="A139" s="84" t="s">
        <v>351</v>
      </c>
      <c r="B139" s="85" t="s">
        <v>350</v>
      </c>
      <c r="C139" s="85" t="s">
        <v>99</v>
      </c>
      <c r="D139" s="84" t="s">
        <v>84</v>
      </c>
      <c r="E139" s="84">
        <f>VLOOKUP(A139,'2a. SI Pop'!$A$5:$E$198,5,FALSE)</f>
        <v>4</v>
      </c>
      <c r="F139" s="84">
        <v>2036</v>
      </c>
      <c r="G139" s="3">
        <f t="shared" ref="G139:Q139" si="77">IF($F139&lt;=G$4,80%,0)</f>
        <v>0</v>
      </c>
      <c r="H139" s="3">
        <f t="shared" si="77"/>
        <v>0</v>
      </c>
      <c r="I139" s="3">
        <f t="shared" si="77"/>
        <v>0</v>
      </c>
      <c r="J139" s="3">
        <f t="shared" si="77"/>
        <v>0</v>
      </c>
      <c r="K139" s="3">
        <f t="shared" si="77"/>
        <v>0</v>
      </c>
      <c r="L139" s="3">
        <f t="shared" si="77"/>
        <v>0</v>
      </c>
      <c r="M139" s="3">
        <f t="shared" si="77"/>
        <v>0.8</v>
      </c>
      <c r="N139" s="3">
        <f t="shared" si="77"/>
        <v>0.8</v>
      </c>
      <c r="O139" s="3">
        <f t="shared" si="77"/>
        <v>0.8</v>
      </c>
      <c r="P139" s="3">
        <f t="shared" si="77"/>
        <v>0.8</v>
      </c>
      <c r="Q139" s="3">
        <f t="shared" si="77"/>
        <v>0.8</v>
      </c>
    </row>
    <row r="140" spans="1:17">
      <c r="A140" s="84" t="s">
        <v>353</v>
      </c>
      <c r="B140" s="85" t="s">
        <v>352</v>
      </c>
      <c r="C140" s="85" t="s">
        <v>92</v>
      </c>
      <c r="D140" s="84" t="s">
        <v>80</v>
      </c>
      <c r="E140" s="84">
        <f>VLOOKUP(A140,'2a. SI Pop'!$A$5:$E$198,5,FALSE)</f>
        <v>1</v>
      </c>
      <c r="F140" s="84">
        <v>2039</v>
      </c>
      <c r="G140" s="3">
        <f t="shared" ref="G140:Q140" si="78">IF($F140&lt;=G$4,5%,0)</f>
        <v>0</v>
      </c>
      <c r="H140" s="3">
        <f t="shared" si="78"/>
        <v>0</v>
      </c>
      <c r="I140" s="3">
        <f t="shared" si="78"/>
        <v>0</v>
      </c>
      <c r="J140" s="3">
        <f t="shared" si="78"/>
        <v>0</v>
      </c>
      <c r="K140" s="3">
        <f t="shared" si="78"/>
        <v>0</v>
      </c>
      <c r="L140" s="3">
        <f t="shared" si="78"/>
        <v>0</v>
      </c>
      <c r="M140" s="3">
        <f t="shared" si="78"/>
        <v>0</v>
      </c>
      <c r="N140" s="3">
        <f t="shared" si="78"/>
        <v>0</v>
      </c>
      <c r="O140" s="3">
        <f t="shared" si="78"/>
        <v>0</v>
      </c>
      <c r="P140" s="3">
        <f t="shared" si="78"/>
        <v>0.05</v>
      </c>
      <c r="Q140" s="3">
        <f t="shared" si="78"/>
        <v>0.05</v>
      </c>
    </row>
    <row r="141" spans="1:17">
      <c r="A141" s="84" t="s">
        <v>355</v>
      </c>
      <c r="B141" s="85" t="s">
        <v>354</v>
      </c>
      <c r="C141" s="85" t="s">
        <v>92</v>
      </c>
      <c r="D141" s="84" t="s">
        <v>80</v>
      </c>
      <c r="E141" s="84">
        <f>VLOOKUP(A141,'2a. SI Pop'!$A$5:$E$198,5,FALSE)</f>
        <v>2</v>
      </c>
      <c r="F141" s="84">
        <v>2039</v>
      </c>
      <c r="G141" s="3">
        <f t="shared" ref="G141:Q141" si="79">IF($F141&lt;=G$4,30%,0)</f>
        <v>0</v>
      </c>
      <c r="H141" s="3">
        <f t="shared" si="79"/>
        <v>0</v>
      </c>
      <c r="I141" s="3">
        <f t="shared" si="79"/>
        <v>0</v>
      </c>
      <c r="J141" s="3">
        <f t="shared" si="79"/>
        <v>0</v>
      </c>
      <c r="K141" s="3">
        <f t="shared" si="79"/>
        <v>0</v>
      </c>
      <c r="L141" s="3">
        <f t="shared" si="79"/>
        <v>0</v>
      </c>
      <c r="M141" s="3">
        <f t="shared" si="79"/>
        <v>0</v>
      </c>
      <c r="N141" s="3">
        <f t="shared" si="79"/>
        <v>0</v>
      </c>
      <c r="O141" s="3">
        <f t="shared" si="79"/>
        <v>0</v>
      </c>
      <c r="P141" s="3">
        <f t="shared" si="79"/>
        <v>0.3</v>
      </c>
      <c r="Q141" s="3">
        <f t="shared" si="79"/>
        <v>0.3</v>
      </c>
    </row>
    <row r="142" spans="1:17">
      <c r="A142" s="84" t="s">
        <v>357</v>
      </c>
      <c r="B142" s="85" t="s">
        <v>356</v>
      </c>
      <c r="C142" s="85" t="s">
        <v>99</v>
      </c>
      <c r="D142" s="84" t="s">
        <v>84</v>
      </c>
      <c r="E142" s="84" t="str">
        <f>VLOOKUP(A142,'2a. SI Pop'!$A$5:$E$198,5,FALSE)</f>
        <v>Key</v>
      </c>
      <c r="F142" s="84">
        <v>2030</v>
      </c>
      <c r="G142" s="3">
        <f t="shared" ref="G142:Q142" si="80">IF($F142&lt;=G$4,80%,0)</f>
        <v>0.8</v>
      </c>
      <c r="H142" s="3">
        <f t="shared" si="80"/>
        <v>0.8</v>
      </c>
      <c r="I142" s="3">
        <f t="shared" si="80"/>
        <v>0.8</v>
      </c>
      <c r="J142" s="3">
        <f t="shared" si="80"/>
        <v>0.8</v>
      </c>
      <c r="K142" s="3">
        <f t="shared" si="80"/>
        <v>0.8</v>
      </c>
      <c r="L142" s="3">
        <f t="shared" si="80"/>
        <v>0.8</v>
      </c>
      <c r="M142" s="3">
        <f t="shared" si="80"/>
        <v>0.8</v>
      </c>
      <c r="N142" s="3">
        <f t="shared" si="80"/>
        <v>0.8</v>
      </c>
      <c r="O142" s="3">
        <f t="shared" si="80"/>
        <v>0.8</v>
      </c>
      <c r="P142" s="3">
        <f t="shared" si="80"/>
        <v>0.8</v>
      </c>
      <c r="Q142" s="3">
        <f t="shared" si="80"/>
        <v>0.8</v>
      </c>
    </row>
    <row r="143" spans="1:17">
      <c r="A143" s="84" t="s">
        <v>359</v>
      </c>
      <c r="B143" s="85" t="s">
        <v>358</v>
      </c>
      <c r="C143" s="85" t="s">
        <v>79</v>
      </c>
      <c r="D143" s="84" t="s">
        <v>87</v>
      </c>
      <c r="E143" s="84">
        <f>VLOOKUP(A143,'2a. SI Pop'!$A$5:$E$198,5,FALSE)</f>
        <v>1</v>
      </c>
      <c r="F143" s="84">
        <v>2032</v>
      </c>
      <c r="G143" s="3">
        <f t="shared" ref="G143:Q145" si="81">IF($F143&lt;=G$4,5%,0)</f>
        <v>0</v>
      </c>
      <c r="H143" s="3">
        <f t="shared" si="81"/>
        <v>0</v>
      </c>
      <c r="I143" s="3">
        <f t="shared" si="81"/>
        <v>0.05</v>
      </c>
      <c r="J143" s="3">
        <f t="shared" si="81"/>
        <v>0.05</v>
      </c>
      <c r="K143" s="3">
        <f t="shared" si="81"/>
        <v>0.05</v>
      </c>
      <c r="L143" s="3">
        <f t="shared" si="81"/>
        <v>0.05</v>
      </c>
      <c r="M143" s="3">
        <f t="shared" si="81"/>
        <v>0.05</v>
      </c>
      <c r="N143" s="3">
        <f t="shared" si="81"/>
        <v>0.05</v>
      </c>
      <c r="O143" s="3">
        <f t="shared" si="81"/>
        <v>0.05</v>
      </c>
      <c r="P143" s="3">
        <f t="shared" si="81"/>
        <v>0.05</v>
      </c>
      <c r="Q143" s="3">
        <f t="shared" si="81"/>
        <v>0.05</v>
      </c>
    </row>
    <row r="144" spans="1:17">
      <c r="A144" s="84" t="s">
        <v>361</v>
      </c>
      <c r="B144" s="85" t="s">
        <v>360</v>
      </c>
      <c r="C144" s="85" t="s">
        <v>79</v>
      </c>
      <c r="D144" s="84" t="s">
        <v>87</v>
      </c>
      <c r="E144" s="84">
        <f>VLOOKUP(A144,'2a. SI Pop'!$A$5:$E$198,5,FALSE)</f>
        <v>1</v>
      </c>
      <c r="F144" s="84">
        <v>2034</v>
      </c>
      <c r="G144" s="3">
        <f t="shared" si="81"/>
        <v>0</v>
      </c>
      <c r="H144" s="3">
        <f t="shared" si="81"/>
        <v>0</v>
      </c>
      <c r="I144" s="3">
        <f t="shared" si="81"/>
        <v>0</v>
      </c>
      <c r="J144" s="3">
        <f t="shared" si="81"/>
        <v>0</v>
      </c>
      <c r="K144" s="3">
        <f t="shared" si="81"/>
        <v>0.05</v>
      </c>
      <c r="L144" s="3">
        <f t="shared" si="81"/>
        <v>0.05</v>
      </c>
      <c r="M144" s="3">
        <f t="shared" si="81"/>
        <v>0.05</v>
      </c>
      <c r="N144" s="3">
        <f t="shared" si="81"/>
        <v>0.05</v>
      </c>
      <c r="O144" s="3">
        <f t="shared" si="81"/>
        <v>0.05</v>
      </c>
      <c r="P144" s="3">
        <f t="shared" si="81"/>
        <v>0.05</v>
      </c>
      <c r="Q144" s="3">
        <f t="shared" si="81"/>
        <v>0.05</v>
      </c>
    </row>
    <row r="145" spans="1:17">
      <c r="A145" s="84" t="s">
        <v>363</v>
      </c>
      <c r="B145" s="85" t="s">
        <v>362</v>
      </c>
      <c r="C145" s="85" t="s">
        <v>74</v>
      </c>
      <c r="D145" s="84" t="s">
        <v>87</v>
      </c>
      <c r="E145" s="84">
        <f>VLOOKUP(A145,'2a. SI Pop'!$A$5:$E$198,5,FALSE)</f>
        <v>1</v>
      </c>
      <c r="F145" s="84">
        <v>2032</v>
      </c>
      <c r="G145" s="3">
        <f t="shared" si="81"/>
        <v>0</v>
      </c>
      <c r="H145" s="3">
        <f t="shared" si="81"/>
        <v>0</v>
      </c>
      <c r="I145" s="3">
        <f t="shared" si="81"/>
        <v>0.05</v>
      </c>
      <c r="J145" s="3">
        <f t="shared" si="81"/>
        <v>0.05</v>
      </c>
      <c r="K145" s="3">
        <f t="shared" si="81"/>
        <v>0.05</v>
      </c>
      <c r="L145" s="3">
        <f t="shared" si="81"/>
        <v>0.05</v>
      </c>
      <c r="M145" s="3">
        <f t="shared" si="81"/>
        <v>0.05</v>
      </c>
      <c r="N145" s="3">
        <f t="shared" si="81"/>
        <v>0.05</v>
      </c>
      <c r="O145" s="3">
        <f t="shared" si="81"/>
        <v>0.05</v>
      </c>
      <c r="P145" s="3">
        <f t="shared" si="81"/>
        <v>0.05</v>
      </c>
      <c r="Q145" s="3">
        <f t="shared" si="81"/>
        <v>0.05</v>
      </c>
    </row>
    <row r="146" spans="1:17">
      <c r="A146" s="84" t="s">
        <v>365</v>
      </c>
      <c r="B146" s="85" t="s">
        <v>364</v>
      </c>
      <c r="C146" s="85" t="s">
        <v>79</v>
      </c>
      <c r="D146" s="84" t="s">
        <v>87</v>
      </c>
      <c r="E146" s="84">
        <f>VLOOKUP(A146,'2a. SI Pop'!$A$5:$E$198,5,FALSE)</f>
        <v>2</v>
      </c>
      <c r="F146" s="84">
        <v>2034</v>
      </c>
      <c r="G146" s="3">
        <f t="shared" ref="G146:Q147" si="82">IF($F146&lt;=G$4,30%,0)</f>
        <v>0</v>
      </c>
      <c r="H146" s="3">
        <f t="shared" si="82"/>
        <v>0</v>
      </c>
      <c r="I146" s="3">
        <f t="shared" si="82"/>
        <v>0</v>
      </c>
      <c r="J146" s="3">
        <f t="shared" si="82"/>
        <v>0</v>
      </c>
      <c r="K146" s="3">
        <f t="shared" si="82"/>
        <v>0.3</v>
      </c>
      <c r="L146" s="3">
        <f t="shared" si="82"/>
        <v>0.3</v>
      </c>
      <c r="M146" s="3">
        <f t="shared" si="82"/>
        <v>0.3</v>
      </c>
      <c r="N146" s="3">
        <f t="shared" si="82"/>
        <v>0.3</v>
      </c>
      <c r="O146" s="3">
        <f t="shared" si="82"/>
        <v>0.3</v>
      </c>
      <c r="P146" s="3">
        <f t="shared" si="82"/>
        <v>0.3</v>
      </c>
      <c r="Q146" s="3">
        <f t="shared" si="82"/>
        <v>0.3</v>
      </c>
    </row>
    <row r="147" spans="1:17">
      <c r="A147" s="84" t="s">
        <v>367</v>
      </c>
      <c r="B147" s="85" t="s">
        <v>366</v>
      </c>
      <c r="C147" s="85" t="s">
        <v>79</v>
      </c>
      <c r="D147" s="84" t="s">
        <v>80</v>
      </c>
      <c r="E147" s="84">
        <f>VLOOKUP(A147,'2a. SI Pop'!$A$5:$E$198,5,FALSE)</f>
        <v>2</v>
      </c>
      <c r="F147" s="84">
        <v>2036</v>
      </c>
      <c r="G147" s="3">
        <f t="shared" si="82"/>
        <v>0</v>
      </c>
      <c r="H147" s="3">
        <f t="shared" si="82"/>
        <v>0</v>
      </c>
      <c r="I147" s="3">
        <f t="shared" si="82"/>
        <v>0</v>
      </c>
      <c r="J147" s="3">
        <f t="shared" si="82"/>
        <v>0</v>
      </c>
      <c r="K147" s="3">
        <f t="shared" si="82"/>
        <v>0</v>
      </c>
      <c r="L147" s="3">
        <f t="shared" si="82"/>
        <v>0</v>
      </c>
      <c r="M147" s="3">
        <f t="shared" si="82"/>
        <v>0.3</v>
      </c>
      <c r="N147" s="3">
        <f t="shared" si="82"/>
        <v>0.3</v>
      </c>
      <c r="O147" s="3">
        <f t="shared" si="82"/>
        <v>0.3</v>
      </c>
      <c r="P147" s="3">
        <f t="shared" si="82"/>
        <v>0.3</v>
      </c>
      <c r="Q147" s="3">
        <f t="shared" si="82"/>
        <v>0.3</v>
      </c>
    </row>
    <row r="148" spans="1:17">
      <c r="A148" s="84" t="s">
        <v>369</v>
      </c>
      <c r="B148" s="85" t="s">
        <v>368</v>
      </c>
      <c r="C148" s="85" t="s">
        <v>83</v>
      </c>
      <c r="D148" s="84" t="s">
        <v>75</v>
      </c>
      <c r="E148" s="84">
        <f>VLOOKUP(A148,'2a. SI Pop'!$A$5:$E$198,5,FALSE)</f>
        <v>3</v>
      </c>
      <c r="F148" s="84">
        <v>2033</v>
      </c>
      <c r="G148" s="3">
        <f t="shared" ref="G148:Q149" si="83">IF($F148&lt;=G$4,80%,0)</f>
        <v>0</v>
      </c>
      <c r="H148" s="3">
        <f t="shared" si="83"/>
        <v>0</v>
      </c>
      <c r="I148" s="3">
        <f t="shared" si="83"/>
        <v>0</v>
      </c>
      <c r="J148" s="3">
        <f t="shared" si="83"/>
        <v>0.8</v>
      </c>
      <c r="K148" s="3">
        <f t="shared" si="83"/>
        <v>0.8</v>
      </c>
      <c r="L148" s="3">
        <f t="shared" si="83"/>
        <v>0.8</v>
      </c>
      <c r="M148" s="3">
        <f t="shared" si="83"/>
        <v>0.8</v>
      </c>
      <c r="N148" s="3">
        <f t="shared" si="83"/>
        <v>0.8</v>
      </c>
      <c r="O148" s="3">
        <f t="shared" si="83"/>
        <v>0.8</v>
      </c>
      <c r="P148" s="3">
        <f t="shared" si="83"/>
        <v>0.8</v>
      </c>
      <c r="Q148" s="3">
        <f t="shared" si="83"/>
        <v>0.8</v>
      </c>
    </row>
    <row r="149" spans="1:17">
      <c r="A149" s="84" t="s">
        <v>371</v>
      </c>
      <c r="B149" s="85" t="s">
        <v>370</v>
      </c>
      <c r="C149" s="85" t="s">
        <v>92</v>
      </c>
      <c r="D149" s="84" t="s">
        <v>87</v>
      </c>
      <c r="E149" s="84">
        <f>VLOOKUP(A149,'2a. SI Pop'!$A$5:$E$198,5,FALSE)</f>
        <v>1</v>
      </c>
      <c r="F149" s="84">
        <v>2041</v>
      </c>
      <c r="G149" s="3">
        <f t="shared" si="83"/>
        <v>0</v>
      </c>
      <c r="H149" s="3">
        <f t="shared" si="83"/>
        <v>0</v>
      </c>
      <c r="I149" s="3">
        <f t="shared" si="83"/>
        <v>0</v>
      </c>
      <c r="J149" s="3">
        <f t="shared" si="83"/>
        <v>0</v>
      </c>
      <c r="K149" s="3">
        <f t="shared" si="83"/>
        <v>0</v>
      </c>
      <c r="L149" s="3">
        <f t="shared" si="83"/>
        <v>0</v>
      </c>
      <c r="M149" s="3">
        <f t="shared" si="83"/>
        <v>0</v>
      </c>
      <c r="N149" s="3">
        <f t="shared" si="83"/>
        <v>0</v>
      </c>
      <c r="O149" s="3">
        <f t="shared" si="83"/>
        <v>0</v>
      </c>
      <c r="P149" s="3">
        <f t="shared" si="83"/>
        <v>0</v>
      </c>
      <c r="Q149" s="3">
        <f t="shared" si="83"/>
        <v>0</v>
      </c>
    </row>
    <row r="150" spans="1:17">
      <c r="A150" s="84" t="s">
        <v>373</v>
      </c>
      <c r="B150" s="85" t="s">
        <v>372</v>
      </c>
      <c r="C150" s="85" t="s">
        <v>92</v>
      </c>
      <c r="D150" s="84" t="s">
        <v>80</v>
      </c>
      <c r="E150" s="84">
        <f>VLOOKUP(A150,'2a. SI Pop'!$A$5:$E$198,5,FALSE)</f>
        <v>1</v>
      </c>
      <c r="F150" s="84">
        <v>2038</v>
      </c>
      <c r="G150" s="3">
        <f t="shared" ref="G150:Q151" si="84">IF($F150&lt;=G$4,5%,0)</f>
        <v>0</v>
      </c>
      <c r="H150" s="3">
        <f t="shared" si="84"/>
        <v>0</v>
      </c>
      <c r="I150" s="3">
        <f t="shared" si="84"/>
        <v>0</v>
      </c>
      <c r="J150" s="3">
        <f t="shared" si="84"/>
        <v>0</v>
      </c>
      <c r="K150" s="3">
        <f t="shared" si="84"/>
        <v>0</v>
      </c>
      <c r="L150" s="3">
        <f t="shared" si="84"/>
        <v>0</v>
      </c>
      <c r="M150" s="3">
        <f t="shared" si="84"/>
        <v>0</v>
      </c>
      <c r="N150" s="3">
        <f t="shared" si="84"/>
        <v>0</v>
      </c>
      <c r="O150" s="3">
        <f t="shared" si="84"/>
        <v>0.05</v>
      </c>
      <c r="P150" s="3">
        <f t="shared" si="84"/>
        <v>0.05</v>
      </c>
      <c r="Q150" s="3">
        <f t="shared" si="84"/>
        <v>0.05</v>
      </c>
    </row>
    <row r="151" spans="1:17">
      <c r="A151" s="84" t="s">
        <v>375</v>
      </c>
      <c r="B151" s="85" t="s">
        <v>374</v>
      </c>
      <c r="C151" s="85" t="s">
        <v>92</v>
      </c>
      <c r="D151" s="84" t="s">
        <v>80</v>
      </c>
      <c r="E151" s="84">
        <f>VLOOKUP(A151,'2a. SI Pop'!$A$5:$E$198,5,FALSE)</f>
        <v>1</v>
      </c>
      <c r="F151" s="84">
        <v>2041</v>
      </c>
      <c r="G151" s="3">
        <f t="shared" si="84"/>
        <v>0</v>
      </c>
      <c r="H151" s="3">
        <f t="shared" si="84"/>
        <v>0</v>
      </c>
      <c r="I151" s="3">
        <f t="shared" si="84"/>
        <v>0</v>
      </c>
      <c r="J151" s="3">
        <f t="shared" si="84"/>
        <v>0</v>
      </c>
      <c r="K151" s="3">
        <f t="shared" si="84"/>
        <v>0</v>
      </c>
      <c r="L151" s="3">
        <f t="shared" si="84"/>
        <v>0</v>
      </c>
      <c r="M151" s="3">
        <f t="shared" si="84"/>
        <v>0</v>
      </c>
      <c r="N151" s="3">
        <f t="shared" si="84"/>
        <v>0</v>
      </c>
      <c r="O151" s="3">
        <f t="shared" si="84"/>
        <v>0</v>
      </c>
      <c r="P151" s="3">
        <f t="shared" si="84"/>
        <v>0</v>
      </c>
      <c r="Q151" s="3">
        <f t="shared" si="84"/>
        <v>0</v>
      </c>
    </row>
    <row r="152" spans="1:17">
      <c r="A152" s="84" t="s">
        <v>377</v>
      </c>
      <c r="B152" s="85" t="s">
        <v>376</v>
      </c>
      <c r="C152" s="85" t="s">
        <v>99</v>
      </c>
      <c r="D152" s="84" t="s">
        <v>80</v>
      </c>
      <c r="E152" s="84">
        <f>VLOOKUP(A152,'2a. SI Pop'!$A$5:$E$198,5,FALSE)</f>
        <v>2</v>
      </c>
      <c r="F152" s="84">
        <v>2037</v>
      </c>
      <c r="G152" s="3">
        <f t="shared" ref="G152:Q152" si="85">IF($F152&lt;=G$4,30%,0)</f>
        <v>0</v>
      </c>
      <c r="H152" s="3">
        <f t="shared" si="85"/>
        <v>0</v>
      </c>
      <c r="I152" s="3">
        <f t="shared" si="85"/>
        <v>0</v>
      </c>
      <c r="J152" s="3">
        <f t="shared" si="85"/>
        <v>0</v>
      </c>
      <c r="K152" s="3">
        <f t="shared" si="85"/>
        <v>0</v>
      </c>
      <c r="L152" s="3">
        <f t="shared" si="85"/>
        <v>0</v>
      </c>
      <c r="M152" s="3">
        <f t="shared" si="85"/>
        <v>0</v>
      </c>
      <c r="N152" s="3">
        <f t="shared" si="85"/>
        <v>0.3</v>
      </c>
      <c r="O152" s="3">
        <f t="shared" si="85"/>
        <v>0.3</v>
      </c>
      <c r="P152" s="3">
        <f t="shared" si="85"/>
        <v>0.3</v>
      </c>
      <c r="Q152" s="3">
        <f t="shared" si="85"/>
        <v>0.3</v>
      </c>
    </row>
    <row r="153" spans="1:17">
      <c r="A153" s="84" t="s">
        <v>379</v>
      </c>
      <c r="B153" s="85" t="s">
        <v>378</v>
      </c>
      <c r="C153" s="85" t="s">
        <v>79</v>
      </c>
      <c r="D153" s="84" t="s">
        <v>87</v>
      </c>
      <c r="E153" s="84">
        <f>VLOOKUP(A153,'2a. SI Pop'!$A$5:$E$198,5,FALSE)</f>
        <v>1</v>
      </c>
      <c r="F153" s="84">
        <v>2039</v>
      </c>
      <c r="G153" s="3">
        <f t="shared" ref="G153:Q153" si="86">IF($F153&lt;=G$4,80%,0)</f>
        <v>0</v>
      </c>
      <c r="H153" s="3">
        <f t="shared" si="86"/>
        <v>0</v>
      </c>
      <c r="I153" s="3">
        <f t="shared" si="86"/>
        <v>0</v>
      </c>
      <c r="J153" s="3">
        <f t="shared" si="86"/>
        <v>0</v>
      </c>
      <c r="K153" s="3">
        <f t="shared" si="86"/>
        <v>0</v>
      </c>
      <c r="L153" s="3">
        <f t="shared" si="86"/>
        <v>0</v>
      </c>
      <c r="M153" s="3">
        <f t="shared" si="86"/>
        <v>0</v>
      </c>
      <c r="N153" s="3">
        <f t="shared" si="86"/>
        <v>0</v>
      </c>
      <c r="O153" s="3">
        <f t="shared" si="86"/>
        <v>0</v>
      </c>
      <c r="P153" s="3">
        <f t="shared" si="86"/>
        <v>0.8</v>
      </c>
      <c r="Q153" s="3">
        <f t="shared" si="86"/>
        <v>0.8</v>
      </c>
    </row>
    <row r="154" spans="1:17">
      <c r="A154" s="84" t="s">
        <v>381</v>
      </c>
      <c r="B154" s="85" t="s">
        <v>380</v>
      </c>
      <c r="C154" s="85" t="s">
        <v>83</v>
      </c>
      <c r="D154" s="84" t="s">
        <v>84</v>
      </c>
      <c r="E154" s="84">
        <f>VLOOKUP(A154,'2a. SI Pop'!$A$5:$E$198,5,FALSE)</f>
        <v>3</v>
      </c>
      <c r="F154" s="84">
        <v>2040</v>
      </c>
      <c r="G154" s="3">
        <f t="shared" ref="G154:Q154" si="87">IF($F154&lt;=G$4,80%,0)</f>
        <v>0</v>
      </c>
      <c r="H154" s="3">
        <f t="shared" si="87"/>
        <v>0</v>
      </c>
      <c r="I154" s="3">
        <f t="shared" si="87"/>
        <v>0</v>
      </c>
      <c r="J154" s="3">
        <f t="shared" si="87"/>
        <v>0</v>
      </c>
      <c r="K154" s="3">
        <f t="shared" si="87"/>
        <v>0</v>
      </c>
      <c r="L154" s="3">
        <f t="shared" si="87"/>
        <v>0</v>
      </c>
      <c r="M154" s="3">
        <f t="shared" si="87"/>
        <v>0</v>
      </c>
      <c r="N154" s="3">
        <f t="shared" si="87"/>
        <v>0</v>
      </c>
      <c r="O154" s="3">
        <f t="shared" si="87"/>
        <v>0</v>
      </c>
      <c r="P154" s="3">
        <f t="shared" si="87"/>
        <v>0</v>
      </c>
      <c r="Q154" s="3">
        <f t="shared" si="87"/>
        <v>0.8</v>
      </c>
    </row>
    <row r="155" spans="1:17">
      <c r="A155" s="84" t="s">
        <v>383</v>
      </c>
      <c r="B155" s="85" t="s">
        <v>382</v>
      </c>
      <c r="C155" s="85" t="s">
        <v>74</v>
      </c>
      <c r="D155" s="84" t="s">
        <v>87</v>
      </c>
      <c r="E155" s="84">
        <f>VLOOKUP(A155,'2a. SI Pop'!$A$5:$E$198,5,FALSE)</f>
        <v>1</v>
      </c>
      <c r="F155" s="84">
        <v>2030</v>
      </c>
      <c r="G155" s="3">
        <f t="shared" ref="G155:Q155" si="88">IF($F155&lt;=G$4,5%,0)</f>
        <v>0.05</v>
      </c>
      <c r="H155" s="3">
        <f t="shared" si="88"/>
        <v>0.05</v>
      </c>
      <c r="I155" s="3">
        <f t="shared" si="88"/>
        <v>0.05</v>
      </c>
      <c r="J155" s="3">
        <f t="shared" si="88"/>
        <v>0.05</v>
      </c>
      <c r="K155" s="3">
        <f t="shared" si="88"/>
        <v>0.05</v>
      </c>
      <c r="L155" s="3">
        <f t="shared" si="88"/>
        <v>0.05</v>
      </c>
      <c r="M155" s="3">
        <f t="shared" si="88"/>
        <v>0.05</v>
      </c>
      <c r="N155" s="3">
        <f t="shared" si="88"/>
        <v>0.05</v>
      </c>
      <c r="O155" s="3">
        <f t="shared" si="88"/>
        <v>0.05</v>
      </c>
      <c r="P155" s="3">
        <f t="shared" si="88"/>
        <v>0.05</v>
      </c>
      <c r="Q155" s="3">
        <f t="shared" si="88"/>
        <v>0.05</v>
      </c>
    </row>
    <row r="156" spans="1:17">
      <c r="A156" s="84" t="s">
        <v>385</v>
      </c>
      <c r="B156" s="85" t="s">
        <v>384</v>
      </c>
      <c r="C156" s="85" t="s">
        <v>83</v>
      </c>
      <c r="D156" s="84" t="s">
        <v>84</v>
      </c>
      <c r="E156" s="84">
        <f>VLOOKUP(A156,'2a. SI Pop'!$A$5:$E$198,5,FALSE)</f>
        <v>3</v>
      </c>
      <c r="F156" s="84">
        <v>2035</v>
      </c>
      <c r="G156" s="3">
        <f t="shared" ref="G156:Q156" si="89">IF($F156&lt;=G$4,80%,0)</f>
        <v>0</v>
      </c>
      <c r="H156" s="3">
        <f t="shared" si="89"/>
        <v>0</v>
      </c>
      <c r="I156" s="3">
        <f t="shared" si="89"/>
        <v>0</v>
      </c>
      <c r="J156" s="3">
        <f t="shared" si="89"/>
        <v>0</v>
      </c>
      <c r="K156" s="3">
        <f t="shared" si="89"/>
        <v>0</v>
      </c>
      <c r="L156" s="3">
        <f t="shared" si="89"/>
        <v>0.8</v>
      </c>
      <c r="M156" s="3">
        <f t="shared" si="89"/>
        <v>0.8</v>
      </c>
      <c r="N156" s="3">
        <f t="shared" si="89"/>
        <v>0.8</v>
      </c>
      <c r="O156" s="3">
        <f t="shared" si="89"/>
        <v>0.8</v>
      </c>
      <c r="P156" s="3">
        <f t="shared" si="89"/>
        <v>0.8</v>
      </c>
      <c r="Q156" s="3">
        <f t="shared" si="89"/>
        <v>0.8</v>
      </c>
    </row>
    <row r="157" spans="1:17">
      <c r="A157" s="84" t="s">
        <v>387</v>
      </c>
      <c r="B157" s="85" t="s">
        <v>386</v>
      </c>
      <c r="C157" s="85" t="s">
        <v>79</v>
      </c>
      <c r="D157" s="84" t="s">
        <v>80</v>
      </c>
      <c r="E157" s="84">
        <f>VLOOKUP(A157,'2a. SI Pop'!$A$5:$E$198,5,FALSE)</f>
        <v>1</v>
      </c>
      <c r="F157" s="84">
        <v>2040</v>
      </c>
      <c r="G157" s="3">
        <f t="shared" ref="G157:Q158" si="90">IF($F157&lt;=G$4,5%,0)</f>
        <v>0</v>
      </c>
      <c r="H157" s="3">
        <f t="shared" si="90"/>
        <v>0</v>
      </c>
      <c r="I157" s="3">
        <f t="shared" si="90"/>
        <v>0</v>
      </c>
      <c r="J157" s="3">
        <f t="shared" si="90"/>
        <v>0</v>
      </c>
      <c r="K157" s="3">
        <f t="shared" si="90"/>
        <v>0</v>
      </c>
      <c r="L157" s="3">
        <f t="shared" si="90"/>
        <v>0</v>
      </c>
      <c r="M157" s="3">
        <f t="shared" si="90"/>
        <v>0</v>
      </c>
      <c r="N157" s="3">
        <f t="shared" si="90"/>
        <v>0</v>
      </c>
      <c r="O157" s="3">
        <f t="shared" si="90"/>
        <v>0</v>
      </c>
      <c r="P157" s="3">
        <f t="shared" si="90"/>
        <v>0</v>
      </c>
      <c r="Q157" s="3">
        <f t="shared" si="90"/>
        <v>0.05</v>
      </c>
    </row>
    <row r="158" spans="1:17">
      <c r="A158" s="84" t="s">
        <v>389</v>
      </c>
      <c r="B158" s="85" t="s">
        <v>388</v>
      </c>
      <c r="C158" s="85" t="s">
        <v>83</v>
      </c>
      <c r="D158" s="84" t="s">
        <v>87</v>
      </c>
      <c r="E158" s="84">
        <f>VLOOKUP(A158,'2a. SI Pop'!$A$5:$E$198,5,FALSE)</f>
        <v>1</v>
      </c>
      <c r="F158" s="84">
        <v>2035</v>
      </c>
      <c r="G158" s="3">
        <f t="shared" si="90"/>
        <v>0</v>
      </c>
      <c r="H158" s="3">
        <f t="shared" si="90"/>
        <v>0</v>
      </c>
      <c r="I158" s="3">
        <f t="shared" si="90"/>
        <v>0</v>
      </c>
      <c r="J158" s="3">
        <f t="shared" si="90"/>
        <v>0</v>
      </c>
      <c r="K158" s="3">
        <f t="shared" si="90"/>
        <v>0</v>
      </c>
      <c r="L158" s="3">
        <f t="shared" si="90"/>
        <v>0.05</v>
      </c>
      <c r="M158" s="3">
        <f t="shared" si="90"/>
        <v>0.05</v>
      </c>
      <c r="N158" s="3">
        <f t="shared" si="90"/>
        <v>0.05</v>
      </c>
      <c r="O158" s="3">
        <f t="shared" si="90"/>
        <v>0.05</v>
      </c>
      <c r="P158" s="3">
        <f t="shared" si="90"/>
        <v>0.05</v>
      </c>
      <c r="Q158" s="3">
        <f t="shared" si="90"/>
        <v>0.05</v>
      </c>
    </row>
    <row r="159" spans="1:17">
      <c r="A159" s="84" t="s">
        <v>391</v>
      </c>
      <c r="B159" s="85" t="s">
        <v>390</v>
      </c>
      <c r="C159" s="85" t="s">
        <v>83</v>
      </c>
      <c r="D159" s="84" t="s">
        <v>75</v>
      </c>
      <c r="E159" s="84">
        <f>VLOOKUP(A159,'2a. SI Pop'!$A$5:$E$198,5,FALSE)</f>
        <v>3</v>
      </c>
      <c r="F159" s="84">
        <v>2037</v>
      </c>
      <c r="G159" s="3">
        <f t="shared" ref="G159:Q159" si="91">IF($F159&lt;=G$4,80%,0)</f>
        <v>0</v>
      </c>
      <c r="H159" s="3">
        <f t="shared" si="91"/>
        <v>0</v>
      </c>
      <c r="I159" s="3">
        <f t="shared" si="91"/>
        <v>0</v>
      </c>
      <c r="J159" s="3">
        <f t="shared" si="91"/>
        <v>0</v>
      </c>
      <c r="K159" s="3">
        <f t="shared" si="91"/>
        <v>0</v>
      </c>
      <c r="L159" s="3">
        <f t="shared" si="91"/>
        <v>0</v>
      </c>
      <c r="M159" s="3">
        <f t="shared" si="91"/>
        <v>0</v>
      </c>
      <c r="N159" s="3">
        <f t="shared" si="91"/>
        <v>0.8</v>
      </c>
      <c r="O159" s="3">
        <f t="shared" si="91"/>
        <v>0.8</v>
      </c>
      <c r="P159" s="3">
        <f t="shared" si="91"/>
        <v>0.8</v>
      </c>
      <c r="Q159" s="3">
        <f t="shared" si="91"/>
        <v>0.8</v>
      </c>
    </row>
    <row r="160" spans="1:17">
      <c r="A160" s="84" t="s">
        <v>393</v>
      </c>
      <c r="B160" s="85" t="s">
        <v>392</v>
      </c>
      <c r="C160" s="85" t="s">
        <v>99</v>
      </c>
      <c r="D160" s="84" t="s">
        <v>87</v>
      </c>
      <c r="E160" s="84">
        <f>VLOOKUP(A160,'2a. SI Pop'!$A$5:$E$198,5,FALSE)</f>
        <v>1</v>
      </c>
      <c r="F160" s="84">
        <v>2034</v>
      </c>
      <c r="G160" s="3">
        <f t="shared" ref="G160:Q162" si="92">IF($F160&lt;=G$4,5%,0)</f>
        <v>0</v>
      </c>
      <c r="H160" s="3">
        <f t="shared" si="92"/>
        <v>0</v>
      </c>
      <c r="I160" s="3">
        <f t="shared" si="92"/>
        <v>0</v>
      </c>
      <c r="J160" s="3">
        <f t="shared" si="92"/>
        <v>0</v>
      </c>
      <c r="K160" s="3">
        <f t="shared" si="92"/>
        <v>0.05</v>
      </c>
      <c r="L160" s="3">
        <f t="shared" si="92"/>
        <v>0.05</v>
      </c>
      <c r="M160" s="3">
        <f t="shared" si="92"/>
        <v>0.05</v>
      </c>
      <c r="N160" s="3">
        <f t="shared" si="92"/>
        <v>0.05</v>
      </c>
      <c r="O160" s="3">
        <f t="shared" si="92"/>
        <v>0.05</v>
      </c>
      <c r="P160" s="3">
        <f t="shared" si="92"/>
        <v>0.05</v>
      </c>
      <c r="Q160" s="3">
        <f t="shared" si="92"/>
        <v>0.05</v>
      </c>
    </row>
    <row r="161" spans="1:17">
      <c r="A161" s="84" t="s">
        <v>395</v>
      </c>
      <c r="B161" s="85" t="s">
        <v>394</v>
      </c>
      <c r="C161" s="85" t="s">
        <v>79</v>
      </c>
      <c r="D161" s="84" t="s">
        <v>87</v>
      </c>
      <c r="E161" s="84">
        <f>VLOOKUP(A161,'2a. SI Pop'!$A$5:$E$198,5,FALSE)</f>
        <v>1</v>
      </c>
      <c r="F161" s="84">
        <v>2034</v>
      </c>
      <c r="G161" s="3">
        <f t="shared" si="92"/>
        <v>0</v>
      </c>
      <c r="H161" s="3">
        <f t="shared" si="92"/>
        <v>0</v>
      </c>
      <c r="I161" s="3">
        <f t="shared" si="92"/>
        <v>0</v>
      </c>
      <c r="J161" s="3">
        <f t="shared" si="92"/>
        <v>0</v>
      </c>
      <c r="K161" s="3">
        <f t="shared" si="92"/>
        <v>0.05</v>
      </c>
      <c r="L161" s="3">
        <f t="shared" si="92"/>
        <v>0.05</v>
      </c>
      <c r="M161" s="3">
        <f t="shared" si="92"/>
        <v>0.05</v>
      </c>
      <c r="N161" s="3">
        <f t="shared" si="92"/>
        <v>0.05</v>
      </c>
      <c r="O161" s="3">
        <f t="shared" si="92"/>
        <v>0.05</v>
      </c>
      <c r="P161" s="3">
        <f t="shared" si="92"/>
        <v>0.05</v>
      </c>
      <c r="Q161" s="3">
        <f t="shared" si="92"/>
        <v>0.05</v>
      </c>
    </row>
    <row r="162" spans="1:17">
      <c r="A162" s="84" t="s">
        <v>397</v>
      </c>
      <c r="B162" s="85" t="s">
        <v>396</v>
      </c>
      <c r="C162" s="85" t="s">
        <v>79</v>
      </c>
      <c r="D162" s="84" t="s">
        <v>87</v>
      </c>
      <c r="E162" s="84">
        <f>VLOOKUP(A162,'2a. SI Pop'!$A$5:$E$198,5,FALSE)</f>
        <v>1</v>
      </c>
      <c r="F162" s="84">
        <v>2034</v>
      </c>
      <c r="G162" s="3">
        <f t="shared" si="92"/>
        <v>0</v>
      </c>
      <c r="H162" s="3">
        <f t="shared" si="92"/>
        <v>0</v>
      </c>
      <c r="I162" s="3">
        <f t="shared" si="92"/>
        <v>0</v>
      </c>
      <c r="J162" s="3">
        <f t="shared" si="92"/>
        <v>0</v>
      </c>
      <c r="K162" s="3">
        <f t="shared" si="92"/>
        <v>0.05</v>
      </c>
      <c r="L162" s="3">
        <f t="shared" si="92"/>
        <v>0.05</v>
      </c>
      <c r="M162" s="3">
        <f t="shared" si="92"/>
        <v>0.05</v>
      </c>
      <c r="N162" s="3">
        <f t="shared" si="92"/>
        <v>0.05</v>
      </c>
      <c r="O162" s="3">
        <f t="shared" si="92"/>
        <v>0.05</v>
      </c>
      <c r="P162" s="3">
        <f t="shared" si="92"/>
        <v>0.05</v>
      </c>
      <c r="Q162" s="3">
        <f t="shared" si="92"/>
        <v>0.05</v>
      </c>
    </row>
    <row r="163" spans="1:17">
      <c r="A163" s="84" t="s">
        <v>399</v>
      </c>
      <c r="B163" s="85" t="s">
        <v>398</v>
      </c>
      <c r="C163" s="85" t="s">
        <v>74</v>
      </c>
      <c r="D163" s="84" t="s">
        <v>75</v>
      </c>
      <c r="E163" s="84">
        <f>VLOOKUP(A163,'2a. SI Pop'!$A$5:$E$198,5,FALSE)</f>
        <v>3</v>
      </c>
      <c r="F163" s="84">
        <v>2032</v>
      </c>
      <c r="G163" s="3">
        <f t="shared" ref="G163:Q165" si="93">IF($F163&lt;=G$4,80%,0)</f>
        <v>0</v>
      </c>
      <c r="H163" s="3">
        <f t="shared" si="93"/>
        <v>0</v>
      </c>
      <c r="I163" s="3">
        <f t="shared" si="93"/>
        <v>0.8</v>
      </c>
      <c r="J163" s="3">
        <f t="shared" si="93"/>
        <v>0.8</v>
      </c>
      <c r="K163" s="3">
        <f t="shared" si="93"/>
        <v>0.8</v>
      </c>
      <c r="L163" s="3">
        <f t="shared" si="93"/>
        <v>0.8</v>
      </c>
      <c r="M163" s="3">
        <f t="shared" si="93"/>
        <v>0.8</v>
      </c>
      <c r="N163" s="3">
        <f t="shared" si="93"/>
        <v>0.8</v>
      </c>
      <c r="O163" s="3">
        <f t="shared" si="93"/>
        <v>0.8</v>
      </c>
      <c r="P163" s="3">
        <f t="shared" si="93"/>
        <v>0.8</v>
      </c>
      <c r="Q163" s="3">
        <f t="shared" si="93"/>
        <v>0.8</v>
      </c>
    </row>
    <row r="164" spans="1:17">
      <c r="A164" s="84" t="s">
        <v>401</v>
      </c>
      <c r="B164" s="85" t="s">
        <v>400</v>
      </c>
      <c r="C164" s="85" t="s">
        <v>99</v>
      </c>
      <c r="D164" s="84" t="s">
        <v>84</v>
      </c>
      <c r="E164" s="84">
        <f>VLOOKUP(A164,'2a. SI Pop'!$A$5:$E$198,5,FALSE)</f>
        <v>4</v>
      </c>
      <c r="F164" s="84">
        <v>2039</v>
      </c>
      <c r="G164" s="3">
        <f t="shared" si="93"/>
        <v>0</v>
      </c>
      <c r="H164" s="3">
        <f t="shared" si="93"/>
        <v>0</v>
      </c>
      <c r="I164" s="3">
        <f t="shared" si="93"/>
        <v>0</v>
      </c>
      <c r="J164" s="3">
        <f t="shared" si="93"/>
        <v>0</v>
      </c>
      <c r="K164" s="3">
        <f t="shared" si="93"/>
        <v>0</v>
      </c>
      <c r="L164" s="3">
        <f t="shared" si="93"/>
        <v>0</v>
      </c>
      <c r="M164" s="3">
        <f t="shared" si="93"/>
        <v>0</v>
      </c>
      <c r="N164" s="3">
        <f t="shared" si="93"/>
        <v>0</v>
      </c>
      <c r="O164" s="3">
        <f t="shared" si="93"/>
        <v>0</v>
      </c>
      <c r="P164" s="3">
        <f t="shared" si="93"/>
        <v>0.8</v>
      </c>
      <c r="Q164" s="3">
        <f t="shared" si="93"/>
        <v>0.8</v>
      </c>
    </row>
    <row r="165" spans="1:17">
      <c r="A165" s="84" t="s">
        <v>403</v>
      </c>
      <c r="B165" s="85" t="s">
        <v>402</v>
      </c>
      <c r="C165" s="85" t="s">
        <v>83</v>
      </c>
      <c r="D165" s="84" t="s">
        <v>80</v>
      </c>
      <c r="E165" s="84" t="str">
        <f>VLOOKUP(A165,'2a. SI Pop'!$A$5:$E$198,5,FALSE)</f>
        <v>Key</v>
      </c>
      <c r="F165" s="84">
        <v>2030</v>
      </c>
      <c r="G165" s="3">
        <f t="shared" si="93"/>
        <v>0.8</v>
      </c>
      <c r="H165" s="3">
        <f t="shared" si="93"/>
        <v>0.8</v>
      </c>
      <c r="I165" s="3">
        <f t="shared" si="93"/>
        <v>0.8</v>
      </c>
      <c r="J165" s="3">
        <f t="shared" si="93"/>
        <v>0.8</v>
      </c>
      <c r="K165" s="3">
        <f t="shared" si="93"/>
        <v>0.8</v>
      </c>
      <c r="L165" s="3">
        <f t="shared" si="93"/>
        <v>0.8</v>
      </c>
      <c r="M165" s="3">
        <f t="shared" si="93"/>
        <v>0.8</v>
      </c>
      <c r="N165" s="3">
        <f t="shared" si="93"/>
        <v>0.8</v>
      </c>
      <c r="O165" s="3">
        <f t="shared" si="93"/>
        <v>0.8</v>
      </c>
      <c r="P165" s="3">
        <f t="shared" si="93"/>
        <v>0.8</v>
      </c>
      <c r="Q165" s="3">
        <f t="shared" si="93"/>
        <v>0.8</v>
      </c>
    </row>
    <row r="166" spans="1:17">
      <c r="A166" s="84" t="s">
        <v>405</v>
      </c>
      <c r="B166" s="85" t="s">
        <v>404</v>
      </c>
      <c r="C166" s="85" t="s">
        <v>79</v>
      </c>
      <c r="D166" s="84" t="s">
        <v>87</v>
      </c>
      <c r="E166" s="84">
        <f>VLOOKUP(A166,'2a. SI Pop'!$A$5:$E$198,5,FALSE)</f>
        <v>1</v>
      </c>
      <c r="F166" s="84">
        <v>2032</v>
      </c>
      <c r="G166" s="3">
        <f t="shared" ref="G166:Q166" si="94">IF($F166&lt;=G$4,5%,0)</f>
        <v>0</v>
      </c>
      <c r="H166" s="3">
        <f t="shared" si="94"/>
        <v>0</v>
      </c>
      <c r="I166" s="3">
        <f t="shared" si="94"/>
        <v>0.05</v>
      </c>
      <c r="J166" s="3">
        <f t="shared" si="94"/>
        <v>0.05</v>
      </c>
      <c r="K166" s="3">
        <f t="shared" si="94"/>
        <v>0.05</v>
      </c>
      <c r="L166" s="3">
        <f t="shared" si="94"/>
        <v>0.05</v>
      </c>
      <c r="M166" s="3">
        <f t="shared" si="94"/>
        <v>0.05</v>
      </c>
      <c r="N166" s="3">
        <f t="shared" si="94"/>
        <v>0.05</v>
      </c>
      <c r="O166" s="3">
        <f t="shared" si="94"/>
        <v>0.05</v>
      </c>
      <c r="P166" s="3">
        <f t="shared" si="94"/>
        <v>0.05</v>
      </c>
      <c r="Q166" s="3">
        <f t="shared" si="94"/>
        <v>0.05</v>
      </c>
    </row>
    <row r="167" spans="1:17">
      <c r="A167" s="84" t="s">
        <v>407</v>
      </c>
      <c r="B167" s="85" t="s">
        <v>406</v>
      </c>
      <c r="C167" s="85" t="s">
        <v>110</v>
      </c>
      <c r="D167" s="84" t="s">
        <v>84</v>
      </c>
      <c r="E167" s="84">
        <f>VLOOKUP(A167,'2a. SI Pop'!$A$5:$E$198,5,FALSE)</f>
        <v>2</v>
      </c>
      <c r="F167" s="84">
        <v>2040</v>
      </c>
      <c r="G167" s="3">
        <f t="shared" ref="G167:Q167" si="95">IF($F167&lt;=G$4,30%,0)</f>
        <v>0</v>
      </c>
      <c r="H167" s="3">
        <f t="shared" si="95"/>
        <v>0</v>
      </c>
      <c r="I167" s="3">
        <f t="shared" si="95"/>
        <v>0</v>
      </c>
      <c r="J167" s="3">
        <f t="shared" si="95"/>
        <v>0</v>
      </c>
      <c r="K167" s="3">
        <f t="shared" si="95"/>
        <v>0</v>
      </c>
      <c r="L167" s="3">
        <f t="shared" si="95"/>
        <v>0</v>
      </c>
      <c r="M167" s="3">
        <f t="shared" si="95"/>
        <v>0</v>
      </c>
      <c r="N167" s="3">
        <f t="shared" si="95"/>
        <v>0</v>
      </c>
      <c r="O167" s="3">
        <f t="shared" si="95"/>
        <v>0</v>
      </c>
      <c r="P167" s="3">
        <f t="shared" si="95"/>
        <v>0</v>
      </c>
      <c r="Q167" s="3">
        <f t="shared" si="95"/>
        <v>0.3</v>
      </c>
    </row>
    <row r="168" spans="1:17">
      <c r="A168" s="84" t="s">
        <v>409</v>
      </c>
      <c r="B168" s="85" t="s">
        <v>408</v>
      </c>
      <c r="C168" s="85" t="s">
        <v>74</v>
      </c>
      <c r="D168" s="84" t="s">
        <v>75</v>
      </c>
      <c r="E168" s="84">
        <f>VLOOKUP(A168,'2a. SI Pop'!$A$5:$E$198,5,FALSE)</f>
        <v>3</v>
      </c>
      <c r="F168" s="84">
        <v>2033</v>
      </c>
      <c r="G168" s="3">
        <f t="shared" ref="G168:Q169" si="96">IF($F168&lt;=G$4,80%,0)</f>
        <v>0</v>
      </c>
      <c r="H168" s="3">
        <f t="shared" si="96"/>
        <v>0</v>
      </c>
      <c r="I168" s="3">
        <f t="shared" si="96"/>
        <v>0</v>
      </c>
      <c r="J168" s="3">
        <f t="shared" si="96"/>
        <v>0.8</v>
      </c>
      <c r="K168" s="3">
        <f t="shared" si="96"/>
        <v>0.8</v>
      </c>
      <c r="L168" s="3">
        <f t="shared" si="96"/>
        <v>0.8</v>
      </c>
      <c r="M168" s="3">
        <f t="shared" si="96"/>
        <v>0.8</v>
      </c>
      <c r="N168" s="3">
        <f t="shared" si="96"/>
        <v>0.8</v>
      </c>
      <c r="O168" s="3">
        <f t="shared" si="96"/>
        <v>0.8</v>
      </c>
      <c r="P168" s="3">
        <f t="shared" si="96"/>
        <v>0.8</v>
      </c>
      <c r="Q168" s="3">
        <f t="shared" si="96"/>
        <v>0.8</v>
      </c>
    </row>
    <row r="169" spans="1:17">
      <c r="A169" s="84" t="s">
        <v>411</v>
      </c>
      <c r="B169" s="85" t="s">
        <v>410</v>
      </c>
      <c r="C169" s="85" t="s">
        <v>74</v>
      </c>
      <c r="D169" s="84" t="s">
        <v>75</v>
      </c>
      <c r="E169" s="84">
        <f>VLOOKUP(A169,'2a. SI Pop'!$A$5:$E$198,5,FALSE)</f>
        <v>3</v>
      </c>
      <c r="F169" s="84">
        <v>2037</v>
      </c>
      <c r="G169" s="3">
        <f t="shared" si="96"/>
        <v>0</v>
      </c>
      <c r="H169" s="3">
        <f t="shared" si="96"/>
        <v>0</v>
      </c>
      <c r="I169" s="3">
        <f t="shared" si="96"/>
        <v>0</v>
      </c>
      <c r="J169" s="3">
        <f t="shared" si="96"/>
        <v>0</v>
      </c>
      <c r="K169" s="3">
        <f t="shared" si="96"/>
        <v>0</v>
      </c>
      <c r="L169" s="3">
        <f t="shared" si="96"/>
        <v>0</v>
      </c>
      <c r="M169" s="3">
        <f t="shared" si="96"/>
        <v>0</v>
      </c>
      <c r="N169" s="3">
        <f t="shared" si="96"/>
        <v>0.8</v>
      </c>
      <c r="O169" s="3">
        <f t="shared" si="96"/>
        <v>0.8</v>
      </c>
      <c r="P169" s="3">
        <f t="shared" si="96"/>
        <v>0.8</v>
      </c>
      <c r="Q169" s="3">
        <f t="shared" si="96"/>
        <v>0.8</v>
      </c>
    </row>
    <row r="170" spans="1:17">
      <c r="A170" s="84" t="s">
        <v>413</v>
      </c>
      <c r="B170" s="85" t="s">
        <v>412</v>
      </c>
      <c r="C170" s="85" t="s">
        <v>92</v>
      </c>
      <c r="D170" s="84" t="s">
        <v>80</v>
      </c>
      <c r="E170" s="84">
        <f>VLOOKUP(A170,'2a. SI Pop'!$A$5:$E$198,5,FALSE)</f>
        <v>1</v>
      </c>
      <c r="F170" s="84">
        <v>2041</v>
      </c>
      <c r="G170" s="3">
        <f t="shared" ref="G170:Q170" si="97">IF($F170&lt;=G$4,5%,0)</f>
        <v>0</v>
      </c>
      <c r="H170" s="3">
        <f t="shared" si="97"/>
        <v>0</v>
      </c>
      <c r="I170" s="3">
        <f t="shared" si="97"/>
        <v>0</v>
      </c>
      <c r="J170" s="3">
        <f t="shared" si="97"/>
        <v>0</v>
      </c>
      <c r="K170" s="3">
        <f t="shared" si="97"/>
        <v>0</v>
      </c>
      <c r="L170" s="3">
        <f t="shared" si="97"/>
        <v>0</v>
      </c>
      <c r="M170" s="3">
        <f t="shared" si="97"/>
        <v>0</v>
      </c>
      <c r="N170" s="3">
        <f t="shared" si="97"/>
        <v>0</v>
      </c>
      <c r="O170" s="3">
        <f t="shared" si="97"/>
        <v>0</v>
      </c>
      <c r="P170" s="3">
        <f t="shared" si="97"/>
        <v>0</v>
      </c>
      <c r="Q170" s="3">
        <f t="shared" si="97"/>
        <v>0</v>
      </c>
    </row>
    <row r="171" spans="1:17">
      <c r="A171" s="84" t="s">
        <v>415</v>
      </c>
      <c r="B171" s="85" t="s">
        <v>414</v>
      </c>
      <c r="C171" s="85" t="s">
        <v>83</v>
      </c>
      <c r="D171" s="84" t="s">
        <v>84</v>
      </c>
      <c r="E171" s="84">
        <f>VLOOKUP(A171,'2a. SI Pop'!$A$5:$E$198,5,FALSE)</f>
        <v>3</v>
      </c>
      <c r="F171" s="84">
        <v>2039</v>
      </c>
      <c r="G171" s="3">
        <f t="shared" ref="G171:Q171" si="98">IF($F171&lt;=G$4,80%,0)</f>
        <v>0</v>
      </c>
      <c r="H171" s="3">
        <f t="shared" si="98"/>
        <v>0</v>
      </c>
      <c r="I171" s="3">
        <f t="shared" si="98"/>
        <v>0</v>
      </c>
      <c r="J171" s="3">
        <f t="shared" si="98"/>
        <v>0</v>
      </c>
      <c r="K171" s="3">
        <f t="shared" si="98"/>
        <v>0</v>
      </c>
      <c r="L171" s="3">
        <f t="shared" si="98"/>
        <v>0</v>
      </c>
      <c r="M171" s="3">
        <f t="shared" si="98"/>
        <v>0</v>
      </c>
      <c r="N171" s="3">
        <f t="shared" si="98"/>
        <v>0</v>
      </c>
      <c r="O171" s="3">
        <f t="shared" si="98"/>
        <v>0</v>
      </c>
      <c r="P171" s="3">
        <f t="shared" si="98"/>
        <v>0.8</v>
      </c>
      <c r="Q171" s="3">
        <f t="shared" si="98"/>
        <v>0.8</v>
      </c>
    </row>
    <row r="172" spans="1:17">
      <c r="A172" s="84" t="s">
        <v>417</v>
      </c>
      <c r="B172" s="85" t="s">
        <v>416</v>
      </c>
      <c r="C172" s="85" t="s">
        <v>79</v>
      </c>
      <c r="D172" s="84" t="s">
        <v>87</v>
      </c>
      <c r="E172" s="84">
        <f>VLOOKUP(A172,'2a. SI Pop'!$A$5:$E$198,5,FALSE)</f>
        <v>1</v>
      </c>
      <c r="F172" s="84">
        <v>2035</v>
      </c>
      <c r="G172" s="3">
        <f t="shared" ref="G172:Q173" si="99">IF($F172&lt;=G$4,5%,0)</f>
        <v>0</v>
      </c>
      <c r="H172" s="3">
        <f t="shared" si="99"/>
        <v>0</v>
      </c>
      <c r="I172" s="3">
        <f t="shared" si="99"/>
        <v>0</v>
      </c>
      <c r="J172" s="3">
        <f t="shared" si="99"/>
        <v>0</v>
      </c>
      <c r="K172" s="3">
        <f t="shared" si="99"/>
        <v>0</v>
      </c>
      <c r="L172" s="3">
        <f t="shared" si="99"/>
        <v>0.05</v>
      </c>
      <c r="M172" s="3">
        <f t="shared" si="99"/>
        <v>0.05</v>
      </c>
      <c r="N172" s="3">
        <f t="shared" si="99"/>
        <v>0.05</v>
      </c>
      <c r="O172" s="3">
        <f t="shared" si="99"/>
        <v>0.05</v>
      </c>
      <c r="P172" s="3">
        <f t="shared" si="99"/>
        <v>0.05</v>
      </c>
      <c r="Q172" s="3">
        <f t="shared" si="99"/>
        <v>0.05</v>
      </c>
    </row>
    <row r="173" spans="1:17">
      <c r="A173" s="84" t="s">
        <v>419</v>
      </c>
      <c r="B173" s="85" t="s">
        <v>418</v>
      </c>
      <c r="C173" s="85" t="s">
        <v>79</v>
      </c>
      <c r="D173" s="84" t="s">
        <v>87</v>
      </c>
      <c r="E173" s="84">
        <f>VLOOKUP(A173,'2a. SI Pop'!$A$5:$E$198,5,FALSE)</f>
        <v>1</v>
      </c>
      <c r="F173" s="84">
        <v>2030</v>
      </c>
      <c r="G173" s="3">
        <f t="shared" si="99"/>
        <v>0.05</v>
      </c>
      <c r="H173" s="3">
        <f t="shared" si="99"/>
        <v>0.05</v>
      </c>
      <c r="I173" s="3">
        <f t="shared" si="99"/>
        <v>0.05</v>
      </c>
      <c r="J173" s="3">
        <f t="shared" si="99"/>
        <v>0.05</v>
      </c>
      <c r="K173" s="3">
        <f t="shared" si="99"/>
        <v>0.05</v>
      </c>
      <c r="L173" s="3">
        <f t="shared" si="99"/>
        <v>0.05</v>
      </c>
      <c r="M173" s="3">
        <f t="shared" si="99"/>
        <v>0.05</v>
      </c>
      <c r="N173" s="3">
        <f t="shared" si="99"/>
        <v>0.05</v>
      </c>
      <c r="O173" s="3">
        <f t="shared" si="99"/>
        <v>0.05</v>
      </c>
      <c r="P173" s="3">
        <f t="shared" si="99"/>
        <v>0.05</v>
      </c>
      <c r="Q173" s="3">
        <f t="shared" si="99"/>
        <v>0.05</v>
      </c>
    </row>
    <row r="174" spans="1:17">
      <c r="A174" s="84" t="s">
        <v>421</v>
      </c>
      <c r="B174" s="85" t="s">
        <v>420</v>
      </c>
      <c r="C174" s="85" t="s">
        <v>74</v>
      </c>
      <c r="D174" s="84" t="s">
        <v>75</v>
      </c>
      <c r="E174" s="84">
        <f>VLOOKUP(A174,'2a. SI Pop'!$A$5:$E$198,5,FALSE)</f>
        <v>2</v>
      </c>
      <c r="F174" s="84">
        <v>2039</v>
      </c>
      <c r="G174" s="3">
        <f t="shared" ref="G174:Q174" si="100">IF($F174&lt;=G$4,30%,0)</f>
        <v>0</v>
      </c>
      <c r="H174" s="3">
        <f t="shared" si="100"/>
        <v>0</v>
      </c>
      <c r="I174" s="3">
        <f t="shared" si="100"/>
        <v>0</v>
      </c>
      <c r="J174" s="3">
        <f t="shared" si="100"/>
        <v>0</v>
      </c>
      <c r="K174" s="3">
        <f t="shared" si="100"/>
        <v>0</v>
      </c>
      <c r="L174" s="3">
        <f t="shared" si="100"/>
        <v>0</v>
      </c>
      <c r="M174" s="3">
        <f t="shared" si="100"/>
        <v>0</v>
      </c>
      <c r="N174" s="3">
        <f t="shared" si="100"/>
        <v>0</v>
      </c>
      <c r="O174" s="3">
        <f t="shared" si="100"/>
        <v>0</v>
      </c>
      <c r="P174" s="3">
        <f t="shared" si="100"/>
        <v>0.3</v>
      </c>
      <c r="Q174" s="3">
        <f t="shared" si="100"/>
        <v>0.3</v>
      </c>
    </row>
    <row r="175" spans="1:17">
      <c r="A175" s="84" t="s">
        <v>423</v>
      </c>
      <c r="B175" s="85" t="s">
        <v>422</v>
      </c>
      <c r="C175" s="85" t="s">
        <v>83</v>
      </c>
      <c r="D175" s="84" t="s">
        <v>84</v>
      </c>
      <c r="E175" s="84" t="str">
        <f>VLOOKUP(A175,'2a. SI Pop'!$A$5:$E$198,5,FALSE)</f>
        <v>Key</v>
      </c>
      <c r="F175" s="84">
        <v>2031</v>
      </c>
      <c r="G175" s="3">
        <f t="shared" ref="G175:Q175" si="101">IF($F175&lt;=G$4,80%,0)</f>
        <v>0</v>
      </c>
      <c r="H175" s="3">
        <f t="shared" si="101"/>
        <v>0.8</v>
      </c>
      <c r="I175" s="3">
        <f t="shared" si="101"/>
        <v>0.8</v>
      </c>
      <c r="J175" s="3">
        <f t="shared" si="101"/>
        <v>0.8</v>
      </c>
      <c r="K175" s="3">
        <f t="shared" si="101"/>
        <v>0.8</v>
      </c>
      <c r="L175" s="3">
        <f t="shared" si="101"/>
        <v>0.8</v>
      </c>
      <c r="M175" s="3">
        <f t="shared" si="101"/>
        <v>0.8</v>
      </c>
      <c r="N175" s="3">
        <f t="shared" si="101"/>
        <v>0.8</v>
      </c>
      <c r="O175" s="3">
        <f t="shared" si="101"/>
        <v>0.8</v>
      </c>
      <c r="P175" s="3">
        <f t="shared" si="101"/>
        <v>0.8</v>
      </c>
      <c r="Q175" s="3">
        <f t="shared" si="101"/>
        <v>0.8</v>
      </c>
    </row>
    <row r="176" spans="1:17">
      <c r="A176" s="84" t="s">
        <v>425</v>
      </c>
      <c r="B176" s="85" t="s">
        <v>424</v>
      </c>
      <c r="C176" s="85" t="s">
        <v>79</v>
      </c>
      <c r="D176" s="84" t="s">
        <v>75</v>
      </c>
      <c r="E176" s="84">
        <f>VLOOKUP(A176,'2a. SI Pop'!$A$5:$E$198,5,FALSE)</f>
        <v>2</v>
      </c>
      <c r="F176" s="84">
        <v>2041</v>
      </c>
      <c r="G176" s="3">
        <f t="shared" ref="G176:Q176" si="102">IF($F176&lt;=G$4,30%,0)</f>
        <v>0</v>
      </c>
      <c r="H176" s="3">
        <f t="shared" si="102"/>
        <v>0</v>
      </c>
      <c r="I176" s="3">
        <f t="shared" si="102"/>
        <v>0</v>
      </c>
      <c r="J176" s="3">
        <f t="shared" si="102"/>
        <v>0</v>
      </c>
      <c r="K176" s="3">
        <f t="shared" si="102"/>
        <v>0</v>
      </c>
      <c r="L176" s="3">
        <f t="shared" si="102"/>
        <v>0</v>
      </c>
      <c r="M176" s="3">
        <f t="shared" si="102"/>
        <v>0</v>
      </c>
      <c r="N176" s="3">
        <f t="shared" si="102"/>
        <v>0</v>
      </c>
      <c r="O176" s="3">
        <f t="shared" si="102"/>
        <v>0</v>
      </c>
      <c r="P176" s="3">
        <f t="shared" si="102"/>
        <v>0</v>
      </c>
      <c r="Q176" s="3">
        <f t="shared" si="102"/>
        <v>0</v>
      </c>
    </row>
    <row r="177" spans="1:17">
      <c r="A177" s="84" t="s">
        <v>427</v>
      </c>
      <c r="B177" s="85" t="s">
        <v>426</v>
      </c>
      <c r="C177" s="85" t="s">
        <v>110</v>
      </c>
      <c r="D177" s="84" t="s">
        <v>80</v>
      </c>
      <c r="E177" s="84">
        <f>VLOOKUP(A177,'2a. SI Pop'!$A$5:$E$198,5,FALSE)</f>
        <v>1</v>
      </c>
      <c r="F177" s="84">
        <v>2031</v>
      </c>
      <c r="G177" s="3">
        <f t="shared" ref="G177:Q177" si="103">IF($F177&lt;=G$4,5%,0)</f>
        <v>0</v>
      </c>
      <c r="H177" s="3">
        <f t="shared" si="103"/>
        <v>0.05</v>
      </c>
      <c r="I177" s="3">
        <f t="shared" si="103"/>
        <v>0.05</v>
      </c>
      <c r="J177" s="3">
        <f t="shared" si="103"/>
        <v>0.05</v>
      </c>
      <c r="K177" s="3">
        <f t="shared" si="103"/>
        <v>0.05</v>
      </c>
      <c r="L177" s="3">
        <f t="shared" si="103"/>
        <v>0.05</v>
      </c>
      <c r="M177" s="3">
        <f t="shared" si="103"/>
        <v>0.05</v>
      </c>
      <c r="N177" s="3">
        <f t="shared" si="103"/>
        <v>0.05</v>
      </c>
      <c r="O177" s="3">
        <f t="shared" si="103"/>
        <v>0.05</v>
      </c>
      <c r="P177" s="3">
        <f t="shared" si="103"/>
        <v>0.05</v>
      </c>
      <c r="Q177" s="3">
        <f t="shared" si="103"/>
        <v>0.05</v>
      </c>
    </row>
    <row r="178" spans="1:17">
      <c r="A178" s="84" t="s">
        <v>429</v>
      </c>
      <c r="B178" s="85" t="s">
        <v>428</v>
      </c>
      <c r="C178" s="85" t="s">
        <v>110</v>
      </c>
      <c r="D178" s="84" t="s">
        <v>84</v>
      </c>
      <c r="E178" s="84">
        <f>VLOOKUP(A178,'2a. SI Pop'!$A$5:$E$198,5,FALSE)</f>
        <v>4</v>
      </c>
      <c r="F178" s="84">
        <v>2040</v>
      </c>
      <c r="G178" s="3">
        <f t="shared" ref="G178:Q179" si="104">IF($F178&lt;=G$4,80%,0)</f>
        <v>0</v>
      </c>
      <c r="H178" s="3">
        <f t="shared" si="104"/>
        <v>0</v>
      </c>
      <c r="I178" s="3">
        <f t="shared" si="104"/>
        <v>0</v>
      </c>
      <c r="J178" s="3">
        <f t="shared" si="104"/>
        <v>0</v>
      </c>
      <c r="K178" s="3">
        <f t="shared" si="104"/>
        <v>0</v>
      </c>
      <c r="L178" s="3">
        <f t="shared" si="104"/>
        <v>0</v>
      </c>
      <c r="M178" s="3">
        <f t="shared" si="104"/>
        <v>0</v>
      </c>
      <c r="N178" s="3">
        <f t="shared" si="104"/>
        <v>0</v>
      </c>
      <c r="O178" s="3">
        <f t="shared" si="104"/>
        <v>0</v>
      </c>
      <c r="P178" s="3">
        <f t="shared" si="104"/>
        <v>0</v>
      </c>
      <c r="Q178" s="3">
        <f t="shared" si="104"/>
        <v>0.8</v>
      </c>
    </row>
    <row r="179" spans="1:17">
      <c r="A179" s="84" t="s">
        <v>431</v>
      </c>
      <c r="B179" s="85" t="s">
        <v>430</v>
      </c>
      <c r="C179" s="85" t="s">
        <v>83</v>
      </c>
      <c r="D179" s="84" t="s">
        <v>75</v>
      </c>
      <c r="E179" s="84">
        <f>VLOOKUP(A179,'2a. SI Pop'!$A$5:$E$198,5,FALSE)</f>
        <v>3</v>
      </c>
      <c r="F179" s="84">
        <v>2037</v>
      </c>
      <c r="G179" s="3">
        <f t="shared" si="104"/>
        <v>0</v>
      </c>
      <c r="H179" s="3">
        <f t="shared" si="104"/>
        <v>0</v>
      </c>
      <c r="I179" s="3">
        <f t="shared" si="104"/>
        <v>0</v>
      </c>
      <c r="J179" s="3">
        <f t="shared" si="104"/>
        <v>0</v>
      </c>
      <c r="K179" s="3">
        <f t="shared" si="104"/>
        <v>0</v>
      </c>
      <c r="L179" s="3">
        <f t="shared" si="104"/>
        <v>0</v>
      </c>
      <c r="M179" s="3">
        <f t="shared" si="104"/>
        <v>0</v>
      </c>
      <c r="N179" s="3">
        <f t="shared" si="104"/>
        <v>0.8</v>
      </c>
      <c r="O179" s="3">
        <f t="shared" si="104"/>
        <v>0.8</v>
      </c>
      <c r="P179" s="3">
        <f t="shared" si="104"/>
        <v>0.8</v>
      </c>
      <c r="Q179" s="3">
        <f t="shared" si="104"/>
        <v>0.8</v>
      </c>
    </row>
    <row r="180" spans="1:17">
      <c r="A180" s="84" t="s">
        <v>433</v>
      </c>
      <c r="B180" s="85" t="s">
        <v>432</v>
      </c>
      <c r="C180" s="85" t="s">
        <v>99</v>
      </c>
      <c r="D180" s="84" t="s">
        <v>80</v>
      </c>
      <c r="E180" s="84">
        <f>VLOOKUP(A180,'2a. SI Pop'!$A$5:$E$198,5,FALSE)</f>
        <v>1</v>
      </c>
      <c r="F180" s="84">
        <v>2037</v>
      </c>
      <c r="G180" s="3">
        <f t="shared" ref="G180:Q181" si="105">IF($F180&lt;=G$4,5%,0)</f>
        <v>0</v>
      </c>
      <c r="H180" s="3">
        <f t="shared" si="105"/>
        <v>0</v>
      </c>
      <c r="I180" s="3">
        <f t="shared" si="105"/>
        <v>0</v>
      </c>
      <c r="J180" s="3">
        <f t="shared" si="105"/>
        <v>0</v>
      </c>
      <c r="K180" s="3">
        <f t="shared" si="105"/>
        <v>0</v>
      </c>
      <c r="L180" s="3">
        <f t="shared" si="105"/>
        <v>0</v>
      </c>
      <c r="M180" s="3">
        <f t="shared" si="105"/>
        <v>0</v>
      </c>
      <c r="N180" s="3">
        <f t="shared" si="105"/>
        <v>0.05</v>
      </c>
      <c r="O180" s="3">
        <f t="shared" si="105"/>
        <v>0.05</v>
      </c>
      <c r="P180" s="3">
        <f t="shared" si="105"/>
        <v>0.05</v>
      </c>
      <c r="Q180" s="3">
        <f t="shared" si="105"/>
        <v>0.05</v>
      </c>
    </row>
    <row r="181" spans="1:17">
      <c r="A181" s="84" t="s">
        <v>435</v>
      </c>
      <c r="B181" s="85" t="s">
        <v>434</v>
      </c>
      <c r="C181" s="85" t="s">
        <v>92</v>
      </c>
      <c r="D181" s="84" t="s">
        <v>87</v>
      </c>
      <c r="E181" s="84">
        <f>VLOOKUP(A181,'2a. SI Pop'!$A$5:$E$198,5,FALSE)</f>
        <v>1</v>
      </c>
      <c r="F181" s="84">
        <v>2039</v>
      </c>
      <c r="G181" s="3">
        <f t="shared" si="105"/>
        <v>0</v>
      </c>
      <c r="H181" s="3">
        <f t="shared" si="105"/>
        <v>0</v>
      </c>
      <c r="I181" s="3">
        <f t="shared" si="105"/>
        <v>0</v>
      </c>
      <c r="J181" s="3">
        <f t="shared" si="105"/>
        <v>0</v>
      </c>
      <c r="K181" s="3">
        <f t="shared" si="105"/>
        <v>0</v>
      </c>
      <c r="L181" s="3">
        <f t="shared" si="105"/>
        <v>0</v>
      </c>
      <c r="M181" s="3">
        <f t="shared" si="105"/>
        <v>0</v>
      </c>
      <c r="N181" s="3">
        <f t="shared" si="105"/>
        <v>0</v>
      </c>
      <c r="O181" s="3">
        <f t="shared" si="105"/>
        <v>0</v>
      </c>
      <c r="P181" s="3">
        <f t="shared" si="105"/>
        <v>0.05</v>
      </c>
      <c r="Q181" s="3">
        <f t="shared" si="105"/>
        <v>0.05</v>
      </c>
    </row>
    <row r="182" spans="1:17">
      <c r="A182" s="84" t="s">
        <v>437</v>
      </c>
      <c r="B182" s="85" t="s">
        <v>436</v>
      </c>
      <c r="C182" s="85" t="s">
        <v>74</v>
      </c>
      <c r="D182" s="84" t="s">
        <v>84</v>
      </c>
      <c r="E182" s="84">
        <f>VLOOKUP(A182,'2a. SI Pop'!$A$5:$E$198,5,FALSE)</f>
        <v>3</v>
      </c>
      <c r="F182" s="84">
        <v>2033</v>
      </c>
      <c r="G182" s="3">
        <f t="shared" ref="G182:Q182" si="106">IF($F182&lt;=G$4,80%,0)</f>
        <v>0</v>
      </c>
      <c r="H182" s="3">
        <f t="shared" si="106"/>
        <v>0</v>
      </c>
      <c r="I182" s="3">
        <f t="shared" si="106"/>
        <v>0</v>
      </c>
      <c r="J182" s="3">
        <f t="shared" si="106"/>
        <v>0.8</v>
      </c>
      <c r="K182" s="3">
        <f t="shared" si="106"/>
        <v>0.8</v>
      </c>
      <c r="L182" s="3">
        <f t="shared" si="106"/>
        <v>0.8</v>
      </c>
      <c r="M182" s="3">
        <f t="shared" si="106"/>
        <v>0.8</v>
      </c>
      <c r="N182" s="3">
        <f t="shared" si="106"/>
        <v>0.8</v>
      </c>
      <c r="O182" s="3">
        <f t="shared" si="106"/>
        <v>0.8</v>
      </c>
      <c r="P182" s="3">
        <f t="shared" si="106"/>
        <v>0.8</v>
      </c>
      <c r="Q182" s="3">
        <f t="shared" si="106"/>
        <v>0.8</v>
      </c>
    </row>
    <row r="183" spans="1:17">
      <c r="A183" s="84" t="s">
        <v>439</v>
      </c>
      <c r="B183" s="85" t="s">
        <v>438</v>
      </c>
      <c r="C183" s="85" t="s">
        <v>79</v>
      </c>
      <c r="D183" s="84" t="s">
        <v>80</v>
      </c>
      <c r="E183" s="84">
        <f>VLOOKUP(A183,'2a. SI Pop'!$A$5:$E$198,5,FALSE)</f>
        <v>1</v>
      </c>
      <c r="F183" s="84">
        <v>2030</v>
      </c>
      <c r="G183" s="3">
        <f t="shared" ref="G183:Q184" si="107">IF($F183&lt;=G$4,5%,0)</f>
        <v>0.05</v>
      </c>
      <c r="H183" s="3">
        <f t="shared" si="107"/>
        <v>0.05</v>
      </c>
      <c r="I183" s="3">
        <f t="shared" si="107"/>
        <v>0.05</v>
      </c>
      <c r="J183" s="3">
        <f t="shared" si="107"/>
        <v>0.05</v>
      </c>
      <c r="K183" s="3">
        <f t="shared" si="107"/>
        <v>0.05</v>
      </c>
      <c r="L183" s="3">
        <f t="shared" si="107"/>
        <v>0.05</v>
      </c>
      <c r="M183" s="3">
        <f t="shared" si="107"/>
        <v>0.05</v>
      </c>
      <c r="N183" s="3">
        <f t="shared" si="107"/>
        <v>0.05</v>
      </c>
      <c r="O183" s="3">
        <f t="shared" si="107"/>
        <v>0.05</v>
      </c>
      <c r="P183" s="3">
        <f t="shared" si="107"/>
        <v>0.05</v>
      </c>
      <c r="Q183" s="3">
        <f t="shared" si="107"/>
        <v>0.05</v>
      </c>
    </row>
    <row r="184" spans="1:17">
      <c r="A184" s="84" t="s">
        <v>441</v>
      </c>
      <c r="B184" s="85" t="s">
        <v>440</v>
      </c>
      <c r="C184" s="85" t="s">
        <v>79</v>
      </c>
      <c r="D184" s="84" t="s">
        <v>80</v>
      </c>
      <c r="E184" s="84">
        <f>VLOOKUP(A184,'2a. SI Pop'!$A$5:$E$198,5,FALSE)</f>
        <v>1</v>
      </c>
      <c r="F184" s="84">
        <v>2040</v>
      </c>
      <c r="G184" s="3">
        <f t="shared" si="107"/>
        <v>0</v>
      </c>
      <c r="H184" s="3">
        <f t="shared" si="107"/>
        <v>0</v>
      </c>
      <c r="I184" s="3">
        <f t="shared" si="107"/>
        <v>0</v>
      </c>
      <c r="J184" s="3">
        <f t="shared" si="107"/>
        <v>0</v>
      </c>
      <c r="K184" s="3">
        <f t="shared" si="107"/>
        <v>0</v>
      </c>
      <c r="L184" s="3">
        <f t="shared" si="107"/>
        <v>0</v>
      </c>
      <c r="M184" s="3">
        <f t="shared" si="107"/>
        <v>0</v>
      </c>
      <c r="N184" s="3">
        <f t="shared" si="107"/>
        <v>0</v>
      </c>
      <c r="O184" s="3">
        <f t="shared" si="107"/>
        <v>0</v>
      </c>
      <c r="P184" s="3">
        <f t="shared" si="107"/>
        <v>0</v>
      </c>
      <c r="Q184" s="3">
        <f t="shared" si="107"/>
        <v>0.05</v>
      </c>
    </row>
    <row r="185" spans="1:17">
      <c r="A185" s="84" t="s">
        <v>443</v>
      </c>
      <c r="B185" s="85" t="s">
        <v>442</v>
      </c>
      <c r="C185" s="85" t="s">
        <v>99</v>
      </c>
      <c r="D185" s="84" t="s">
        <v>80</v>
      </c>
      <c r="E185" s="84">
        <f>VLOOKUP(A185,'2a. SI Pop'!$A$5:$E$198,5,FALSE)</f>
        <v>4</v>
      </c>
      <c r="F185" s="84">
        <v>2040</v>
      </c>
      <c r="G185" s="3">
        <f t="shared" ref="G185:Q185" si="108">IF($F185&lt;=G$4,80%,0)</f>
        <v>0</v>
      </c>
      <c r="H185" s="3">
        <f t="shared" si="108"/>
        <v>0</v>
      </c>
      <c r="I185" s="3">
        <f t="shared" si="108"/>
        <v>0</v>
      </c>
      <c r="J185" s="3">
        <f t="shared" si="108"/>
        <v>0</v>
      </c>
      <c r="K185" s="3">
        <f t="shared" si="108"/>
        <v>0</v>
      </c>
      <c r="L185" s="3">
        <f t="shared" si="108"/>
        <v>0</v>
      </c>
      <c r="M185" s="3">
        <f t="shared" si="108"/>
        <v>0</v>
      </c>
      <c r="N185" s="3">
        <f t="shared" si="108"/>
        <v>0</v>
      </c>
      <c r="O185" s="3">
        <f t="shared" si="108"/>
        <v>0</v>
      </c>
      <c r="P185" s="3">
        <f t="shared" si="108"/>
        <v>0</v>
      </c>
      <c r="Q185" s="3">
        <f t="shared" si="108"/>
        <v>0.8</v>
      </c>
    </row>
    <row r="186" spans="1:17">
      <c r="A186" s="84" t="s">
        <v>445</v>
      </c>
      <c r="B186" s="85" t="s">
        <v>444</v>
      </c>
      <c r="C186" s="85" t="s">
        <v>83</v>
      </c>
      <c r="D186" s="84" t="s">
        <v>75</v>
      </c>
      <c r="E186" s="84" t="str">
        <f>VLOOKUP(A186,'2a. SI Pop'!$A$5:$E$198,5,FALSE)</f>
        <v>Key</v>
      </c>
      <c r="F186" s="84">
        <v>2032</v>
      </c>
      <c r="G186" s="3">
        <f t="shared" ref="G186:Q186" si="109">IF($F186&lt;=G$4,80%,0)</f>
        <v>0</v>
      </c>
      <c r="H186" s="3">
        <f t="shared" si="109"/>
        <v>0</v>
      </c>
      <c r="I186" s="3">
        <f t="shared" si="109"/>
        <v>0.8</v>
      </c>
      <c r="J186" s="3">
        <f t="shared" si="109"/>
        <v>0.8</v>
      </c>
      <c r="K186" s="3">
        <f t="shared" si="109"/>
        <v>0.8</v>
      </c>
      <c r="L186" s="3">
        <f t="shared" si="109"/>
        <v>0.8</v>
      </c>
      <c r="M186" s="3">
        <f t="shared" si="109"/>
        <v>0.8</v>
      </c>
      <c r="N186" s="3">
        <f t="shared" si="109"/>
        <v>0.8</v>
      </c>
      <c r="O186" s="3">
        <f t="shared" si="109"/>
        <v>0.8</v>
      </c>
      <c r="P186" s="3">
        <f t="shared" si="109"/>
        <v>0.8</v>
      </c>
      <c r="Q186" s="3">
        <f t="shared" si="109"/>
        <v>0.8</v>
      </c>
    </row>
    <row r="187" spans="1:17">
      <c r="A187" s="84" t="s">
        <v>447</v>
      </c>
      <c r="B187" s="85" t="s">
        <v>446</v>
      </c>
      <c r="C187" s="85" t="s">
        <v>79</v>
      </c>
      <c r="D187" s="84" t="s">
        <v>84</v>
      </c>
      <c r="E187" s="84">
        <f>VLOOKUP(A187,'2a. SI Pop'!$A$5:$E$198,5,FALSE)</f>
        <v>1</v>
      </c>
      <c r="F187" s="84">
        <v>2038</v>
      </c>
      <c r="G187" s="3">
        <f t="shared" ref="G187:Q191" si="110">IF($F187&lt;=G$4,5%,0)</f>
        <v>0</v>
      </c>
      <c r="H187" s="3">
        <f t="shared" si="110"/>
        <v>0</v>
      </c>
      <c r="I187" s="3">
        <f t="shared" si="110"/>
        <v>0</v>
      </c>
      <c r="J187" s="3">
        <f t="shared" si="110"/>
        <v>0</v>
      </c>
      <c r="K187" s="3">
        <f t="shared" si="110"/>
        <v>0</v>
      </c>
      <c r="L187" s="3">
        <f t="shared" si="110"/>
        <v>0</v>
      </c>
      <c r="M187" s="3">
        <f t="shared" si="110"/>
        <v>0</v>
      </c>
      <c r="N187" s="3">
        <f t="shared" si="110"/>
        <v>0</v>
      </c>
      <c r="O187" s="3">
        <f t="shared" si="110"/>
        <v>0.05</v>
      </c>
      <c r="P187" s="3">
        <f t="shared" si="110"/>
        <v>0.05</v>
      </c>
      <c r="Q187" s="3">
        <f t="shared" si="110"/>
        <v>0.05</v>
      </c>
    </row>
    <row r="188" spans="1:17">
      <c r="A188" s="84" t="s">
        <v>449</v>
      </c>
      <c r="B188" s="85" t="s">
        <v>448</v>
      </c>
      <c r="C188" s="85" t="s">
        <v>74</v>
      </c>
      <c r="D188" s="84" t="s">
        <v>87</v>
      </c>
      <c r="E188" s="84">
        <f>VLOOKUP(A188,'2a. SI Pop'!$A$5:$E$198,5,FALSE)</f>
        <v>1</v>
      </c>
      <c r="F188" s="84">
        <v>2032</v>
      </c>
      <c r="G188" s="3">
        <f t="shared" si="110"/>
        <v>0</v>
      </c>
      <c r="H188" s="3">
        <f t="shared" si="110"/>
        <v>0</v>
      </c>
      <c r="I188" s="3">
        <f t="shared" si="110"/>
        <v>0.05</v>
      </c>
      <c r="J188" s="3">
        <f t="shared" si="110"/>
        <v>0.05</v>
      </c>
      <c r="K188" s="3">
        <f t="shared" si="110"/>
        <v>0.05</v>
      </c>
      <c r="L188" s="3">
        <f t="shared" si="110"/>
        <v>0.05</v>
      </c>
      <c r="M188" s="3">
        <f t="shared" si="110"/>
        <v>0.05</v>
      </c>
      <c r="N188" s="3">
        <f t="shared" si="110"/>
        <v>0.05</v>
      </c>
      <c r="O188" s="3">
        <f t="shared" si="110"/>
        <v>0.05</v>
      </c>
      <c r="P188" s="3">
        <f t="shared" si="110"/>
        <v>0.05</v>
      </c>
      <c r="Q188" s="3">
        <f t="shared" si="110"/>
        <v>0.05</v>
      </c>
    </row>
    <row r="189" spans="1:17">
      <c r="A189" s="84" t="s">
        <v>451</v>
      </c>
      <c r="B189" s="85" t="s">
        <v>450</v>
      </c>
      <c r="C189" s="85" t="s">
        <v>79</v>
      </c>
      <c r="D189" s="84" t="s">
        <v>87</v>
      </c>
      <c r="E189" s="84">
        <f>VLOOKUP(A189,'2a. SI Pop'!$A$5:$E$198,5,FALSE)</f>
        <v>1</v>
      </c>
      <c r="F189" s="84">
        <v>2030</v>
      </c>
      <c r="G189" s="3">
        <f t="shared" si="110"/>
        <v>0.05</v>
      </c>
      <c r="H189" s="3">
        <f t="shared" si="110"/>
        <v>0.05</v>
      </c>
      <c r="I189" s="3">
        <f t="shared" si="110"/>
        <v>0.05</v>
      </c>
      <c r="J189" s="3">
        <f t="shared" si="110"/>
        <v>0.05</v>
      </c>
      <c r="K189" s="3">
        <f t="shared" si="110"/>
        <v>0.05</v>
      </c>
      <c r="L189" s="3">
        <f t="shared" si="110"/>
        <v>0.05</v>
      </c>
      <c r="M189" s="3">
        <f t="shared" si="110"/>
        <v>0.05</v>
      </c>
      <c r="N189" s="3">
        <f t="shared" si="110"/>
        <v>0.05</v>
      </c>
      <c r="O189" s="3">
        <f t="shared" si="110"/>
        <v>0.05</v>
      </c>
      <c r="P189" s="3">
        <f t="shared" si="110"/>
        <v>0.05</v>
      </c>
      <c r="Q189" s="3">
        <f t="shared" si="110"/>
        <v>0.05</v>
      </c>
    </row>
    <row r="190" spans="1:17">
      <c r="A190" s="84" t="s">
        <v>453</v>
      </c>
      <c r="B190" s="85" t="s">
        <v>452</v>
      </c>
      <c r="C190" s="85" t="s">
        <v>92</v>
      </c>
      <c r="D190" s="84" t="s">
        <v>87</v>
      </c>
      <c r="E190" s="84" t="str">
        <f>VLOOKUP(A190,'2a. SI Pop'!$A$5:$E$198,5,FALSE)</f>
        <v>Key</v>
      </c>
      <c r="F190" s="84">
        <v>2030</v>
      </c>
      <c r="G190" s="3">
        <f t="shared" si="110"/>
        <v>0.05</v>
      </c>
      <c r="H190" s="3">
        <f t="shared" si="110"/>
        <v>0.05</v>
      </c>
      <c r="I190" s="3">
        <f t="shared" si="110"/>
        <v>0.05</v>
      </c>
      <c r="J190" s="3">
        <f t="shared" si="110"/>
        <v>0.05</v>
      </c>
      <c r="K190" s="3">
        <f t="shared" si="110"/>
        <v>0.05</v>
      </c>
      <c r="L190" s="3">
        <f t="shared" si="110"/>
        <v>0.05</v>
      </c>
      <c r="M190" s="3">
        <f t="shared" si="110"/>
        <v>0.05</v>
      </c>
      <c r="N190" s="3">
        <f t="shared" si="110"/>
        <v>0.05</v>
      </c>
      <c r="O190" s="3">
        <f t="shared" si="110"/>
        <v>0.05</v>
      </c>
      <c r="P190" s="3">
        <f t="shared" si="110"/>
        <v>0.05</v>
      </c>
      <c r="Q190" s="3">
        <f t="shared" si="110"/>
        <v>0.05</v>
      </c>
    </row>
    <row r="191" spans="1:17">
      <c r="A191" s="84" t="s">
        <v>455</v>
      </c>
      <c r="B191" s="85" t="s">
        <v>454</v>
      </c>
      <c r="C191" s="85" t="s">
        <v>92</v>
      </c>
      <c r="D191" s="84" t="s">
        <v>87</v>
      </c>
      <c r="E191" s="84">
        <f>VLOOKUP(A191,'2a. SI Pop'!$A$5:$E$198,5,FALSE)</f>
        <v>1</v>
      </c>
      <c r="F191" s="84">
        <v>2036</v>
      </c>
      <c r="G191" s="3">
        <f t="shared" si="110"/>
        <v>0</v>
      </c>
      <c r="H191" s="3">
        <f t="shared" si="110"/>
        <v>0</v>
      </c>
      <c r="I191" s="3">
        <f t="shared" si="110"/>
        <v>0</v>
      </c>
      <c r="J191" s="3">
        <f t="shared" si="110"/>
        <v>0</v>
      </c>
      <c r="K191" s="3">
        <f t="shared" si="110"/>
        <v>0</v>
      </c>
      <c r="L191" s="3">
        <f t="shared" si="110"/>
        <v>0</v>
      </c>
      <c r="M191" s="3">
        <f t="shared" si="110"/>
        <v>0.05</v>
      </c>
      <c r="N191" s="3">
        <f t="shared" si="110"/>
        <v>0.05</v>
      </c>
      <c r="O191" s="3">
        <f t="shared" si="110"/>
        <v>0.05</v>
      </c>
      <c r="P191" s="3">
        <f t="shared" si="110"/>
        <v>0.05</v>
      </c>
      <c r="Q191" s="3">
        <f t="shared" si="110"/>
        <v>0.05</v>
      </c>
    </row>
    <row r="192" spans="1:17">
      <c r="A192" s="84" t="s">
        <v>457</v>
      </c>
      <c r="B192" s="85" t="s">
        <v>456</v>
      </c>
      <c r="C192" s="85" t="s">
        <v>79</v>
      </c>
      <c r="D192" s="84" t="s">
        <v>84</v>
      </c>
      <c r="E192" s="84">
        <f>VLOOKUP(A192,'2a. SI Pop'!$A$5:$E$198,5,FALSE)</f>
        <v>2</v>
      </c>
      <c r="F192" s="84">
        <v>2039</v>
      </c>
      <c r="G192" s="3">
        <f t="shared" ref="G192:Q192" si="111">IF($F192&lt;=G$4,30%,0)</f>
        <v>0</v>
      </c>
      <c r="H192" s="3">
        <f t="shared" si="111"/>
        <v>0</v>
      </c>
      <c r="I192" s="3">
        <f t="shared" si="111"/>
        <v>0</v>
      </c>
      <c r="J192" s="3">
        <f t="shared" si="111"/>
        <v>0</v>
      </c>
      <c r="K192" s="3">
        <f t="shared" si="111"/>
        <v>0</v>
      </c>
      <c r="L192" s="3">
        <f t="shared" si="111"/>
        <v>0</v>
      </c>
      <c r="M192" s="3">
        <f t="shared" si="111"/>
        <v>0</v>
      </c>
      <c r="N192" s="3">
        <f t="shared" si="111"/>
        <v>0</v>
      </c>
      <c r="O192" s="3">
        <f t="shared" si="111"/>
        <v>0</v>
      </c>
      <c r="P192" s="3">
        <f t="shared" si="111"/>
        <v>0.3</v>
      </c>
      <c r="Q192" s="3">
        <f t="shared" si="111"/>
        <v>0.3</v>
      </c>
    </row>
    <row r="193" spans="1:17">
      <c r="A193" s="84" t="s">
        <v>459</v>
      </c>
      <c r="B193" s="85" t="s">
        <v>458</v>
      </c>
      <c r="C193" s="85" t="s">
        <v>99</v>
      </c>
      <c r="D193" s="84" t="s">
        <v>84</v>
      </c>
      <c r="E193" s="84">
        <f>VLOOKUP(A193,'2a. SI Pop'!$A$5:$E$198,5,FALSE)</f>
        <v>4</v>
      </c>
      <c r="F193" s="84">
        <v>2041</v>
      </c>
      <c r="G193" s="3">
        <f t="shared" ref="G193:Q193" si="112">IF($F193&lt;=G$4,80%,0)</f>
        <v>0</v>
      </c>
      <c r="H193" s="3">
        <f t="shared" si="112"/>
        <v>0</v>
      </c>
      <c r="I193" s="3">
        <f t="shared" si="112"/>
        <v>0</v>
      </c>
      <c r="J193" s="3">
        <f t="shared" si="112"/>
        <v>0</v>
      </c>
      <c r="K193" s="3">
        <f t="shared" si="112"/>
        <v>0</v>
      </c>
      <c r="L193" s="3">
        <f t="shared" si="112"/>
        <v>0</v>
      </c>
      <c r="M193" s="3">
        <f t="shared" si="112"/>
        <v>0</v>
      </c>
      <c r="N193" s="3">
        <f t="shared" si="112"/>
        <v>0</v>
      </c>
      <c r="O193" s="3">
        <f t="shared" si="112"/>
        <v>0</v>
      </c>
      <c r="P193" s="3">
        <f t="shared" si="112"/>
        <v>0</v>
      </c>
      <c r="Q193" s="3">
        <f t="shared" si="112"/>
        <v>0</v>
      </c>
    </row>
    <row r="194" spans="1:17">
      <c r="A194" s="84" t="s">
        <v>461</v>
      </c>
      <c r="B194" s="85" t="s">
        <v>460</v>
      </c>
      <c r="C194" s="85" t="s">
        <v>92</v>
      </c>
      <c r="D194" s="84" t="s">
        <v>80</v>
      </c>
      <c r="E194" s="84">
        <f>VLOOKUP(A194,'2a. SI Pop'!$A$5:$E$198,5,FALSE)</f>
        <v>1</v>
      </c>
      <c r="F194" s="84">
        <v>2036</v>
      </c>
      <c r="G194" s="3">
        <f t="shared" ref="G194:Q194" si="113">IF($F194&lt;=G$4,5%,0)</f>
        <v>0</v>
      </c>
      <c r="H194" s="3">
        <f t="shared" si="113"/>
        <v>0</v>
      </c>
      <c r="I194" s="3">
        <f t="shared" si="113"/>
        <v>0</v>
      </c>
      <c r="J194" s="3">
        <f t="shared" si="113"/>
        <v>0</v>
      </c>
      <c r="K194" s="3">
        <f t="shared" si="113"/>
        <v>0</v>
      </c>
      <c r="L194" s="3">
        <f t="shared" si="113"/>
        <v>0</v>
      </c>
      <c r="M194" s="3">
        <f t="shared" si="113"/>
        <v>0.05</v>
      </c>
      <c r="N194" s="3">
        <f t="shared" si="113"/>
        <v>0.05</v>
      </c>
      <c r="O194" s="3">
        <f t="shared" si="113"/>
        <v>0.05</v>
      </c>
      <c r="P194" s="3">
        <f t="shared" si="113"/>
        <v>0.05</v>
      </c>
      <c r="Q194" s="3">
        <f t="shared" si="113"/>
        <v>0.05</v>
      </c>
    </row>
    <row r="195" spans="1:17">
      <c r="A195" s="84" t="s">
        <v>463</v>
      </c>
      <c r="B195" s="85" t="s">
        <v>462</v>
      </c>
      <c r="C195" s="85" t="s">
        <v>99</v>
      </c>
      <c r="D195" s="84" t="s">
        <v>84</v>
      </c>
      <c r="E195" s="84">
        <f>VLOOKUP(A195,'2a. SI Pop'!$A$5:$E$198,5,FALSE)</f>
        <v>4</v>
      </c>
      <c r="F195" s="84">
        <v>2035</v>
      </c>
      <c r="G195" s="3">
        <f t="shared" ref="G195:Q198" si="114">IF($F195&lt;=G$4,80%,0)</f>
        <v>0</v>
      </c>
      <c r="H195" s="3">
        <f t="shared" si="114"/>
        <v>0</v>
      </c>
      <c r="I195" s="3">
        <f t="shared" si="114"/>
        <v>0</v>
      </c>
      <c r="J195" s="3">
        <f t="shared" si="114"/>
        <v>0</v>
      </c>
      <c r="K195" s="3">
        <f t="shared" si="114"/>
        <v>0</v>
      </c>
      <c r="L195" s="3">
        <f t="shared" si="114"/>
        <v>0.8</v>
      </c>
      <c r="M195" s="3">
        <f t="shared" si="114"/>
        <v>0.8</v>
      </c>
      <c r="N195" s="3">
        <f t="shared" si="114"/>
        <v>0.8</v>
      </c>
      <c r="O195" s="3">
        <f t="shared" si="114"/>
        <v>0.8</v>
      </c>
      <c r="P195" s="3">
        <f t="shared" si="114"/>
        <v>0.8</v>
      </c>
      <c r="Q195" s="3">
        <f t="shared" si="114"/>
        <v>0.8</v>
      </c>
    </row>
    <row r="196" spans="1:17">
      <c r="A196" s="84" t="s">
        <v>465</v>
      </c>
      <c r="B196" s="85" t="s">
        <v>464</v>
      </c>
      <c r="C196" s="85" t="s">
        <v>74</v>
      </c>
      <c r="D196" s="84" t="s">
        <v>75</v>
      </c>
      <c r="E196" s="84">
        <f>VLOOKUP(A196,'2a. SI Pop'!$A$5:$E$198,5,FALSE)</f>
        <v>3</v>
      </c>
      <c r="F196" s="84">
        <v>2031</v>
      </c>
      <c r="G196" s="3">
        <f t="shared" si="114"/>
        <v>0</v>
      </c>
      <c r="H196" s="3">
        <f t="shared" si="114"/>
        <v>0.8</v>
      </c>
      <c r="I196" s="3">
        <f t="shared" si="114"/>
        <v>0.8</v>
      </c>
      <c r="J196" s="3">
        <f t="shared" si="114"/>
        <v>0.8</v>
      </c>
      <c r="K196" s="3">
        <f t="shared" si="114"/>
        <v>0.8</v>
      </c>
      <c r="L196" s="3">
        <f t="shared" si="114"/>
        <v>0.8</v>
      </c>
      <c r="M196" s="3">
        <f t="shared" si="114"/>
        <v>0.8</v>
      </c>
      <c r="N196" s="3">
        <f t="shared" si="114"/>
        <v>0.8</v>
      </c>
      <c r="O196" s="3">
        <f t="shared" si="114"/>
        <v>0.8</v>
      </c>
      <c r="P196" s="3">
        <f t="shared" si="114"/>
        <v>0.8</v>
      </c>
      <c r="Q196" s="3">
        <f t="shared" si="114"/>
        <v>0.8</v>
      </c>
    </row>
    <row r="197" spans="1:17">
      <c r="A197" s="84" t="s">
        <v>467</v>
      </c>
      <c r="B197" s="85" t="s">
        <v>466</v>
      </c>
      <c r="C197" s="85" t="s">
        <v>83</v>
      </c>
      <c r="D197" s="84" t="s">
        <v>84</v>
      </c>
      <c r="E197" s="84">
        <f>VLOOKUP(A197,'2a. SI Pop'!$A$5:$E$198,5,FALSE)</f>
        <v>3</v>
      </c>
      <c r="F197" s="84">
        <v>2033</v>
      </c>
      <c r="G197" s="3">
        <f t="shared" si="114"/>
        <v>0</v>
      </c>
      <c r="H197" s="3">
        <f t="shared" si="114"/>
        <v>0</v>
      </c>
      <c r="I197" s="3">
        <f t="shared" si="114"/>
        <v>0</v>
      </c>
      <c r="J197" s="3">
        <f t="shared" si="114"/>
        <v>0.8</v>
      </c>
      <c r="K197" s="3">
        <f t="shared" si="114"/>
        <v>0.8</v>
      </c>
      <c r="L197" s="3">
        <f t="shared" si="114"/>
        <v>0.8</v>
      </c>
      <c r="M197" s="3">
        <f t="shared" si="114"/>
        <v>0.8</v>
      </c>
      <c r="N197" s="3">
        <f t="shared" si="114"/>
        <v>0.8</v>
      </c>
      <c r="O197" s="3">
        <f t="shared" si="114"/>
        <v>0.8</v>
      </c>
      <c r="P197" s="3">
        <f t="shared" si="114"/>
        <v>0.8</v>
      </c>
      <c r="Q197" s="3">
        <f t="shared" si="114"/>
        <v>0.8</v>
      </c>
    </row>
    <row r="198" spans="1:17">
      <c r="A198" s="84" t="s">
        <v>469</v>
      </c>
      <c r="B198" s="85" t="s">
        <v>468</v>
      </c>
      <c r="C198" s="85" t="s">
        <v>83</v>
      </c>
      <c r="D198" s="84" t="s">
        <v>84</v>
      </c>
      <c r="E198" s="84">
        <f>VLOOKUP(A198,'2a. SI Pop'!$A$5:$E$198,5,FALSE)</f>
        <v>3</v>
      </c>
      <c r="F198" s="84">
        <v>2037</v>
      </c>
      <c r="G198" s="3">
        <f t="shared" si="114"/>
        <v>0</v>
      </c>
      <c r="H198" s="3">
        <f t="shared" si="114"/>
        <v>0</v>
      </c>
      <c r="I198" s="3">
        <f t="shared" si="114"/>
        <v>0</v>
      </c>
      <c r="J198" s="3">
        <f t="shared" si="114"/>
        <v>0</v>
      </c>
      <c r="K198" s="3">
        <f t="shared" si="114"/>
        <v>0</v>
      </c>
      <c r="L198" s="3">
        <f t="shared" si="114"/>
        <v>0</v>
      </c>
      <c r="M198" s="3">
        <f t="shared" si="114"/>
        <v>0</v>
      </c>
      <c r="N198" s="3">
        <f t="shared" si="114"/>
        <v>0.8</v>
      </c>
      <c r="O198" s="3">
        <f t="shared" si="114"/>
        <v>0.8</v>
      </c>
      <c r="P198" s="3">
        <f t="shared" si="114"/>
        <v>0.8</v>
      </c>
      <c r="Q198" s="3">
        <f t="shared" si="114"/>
        <v>0.8</v>
      </c>
    </row>
  </sheetData>
  <autoFilter ref="A4:Q198" xr:uid="{1BE26F4C-1587-7C4D-887A-C69327E2A753}"/>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78EA1-5778-D84E-A8ED-ECD0D47FAA62}">
  <sheetPr>
    <tabColor theme="3" tint="0.59999389629810485"/>
  </sheetPr>
  <dimension ref="A1:W198"/>
  <sheetViews>
    <sheetView zoomScale="85" zoomScaleNormal="85" workbookViewId="0">
      <selection activeCell="F12" sqref="F12"/>
    </sheetView>
  </sheetViews>
  <sheetFormatPr defaultColWidth="10.85546875" defaultRowHeight="15"/>
  <cols>
    <col min="2" max="2" width="18.140625" customWidth="1"/>
    <col min="7" max="17" width="13.7109375" bestFit="1" customWidth="1"/>
  </cols>
  <sheetData>
    <row r="1" spans="1:23">
      <c r="A1" t="s">
        <v>470</v>
      </c>
      <c r="B1" t="s">
        <v>557</v>
      </c>
    </row>
    <row r="2" spans="1:23">
      <c r="A2" t="s">
        <v>471</v>
      </c>
      <c r="B2" t="s">
        <v>494</v>
      </c>
    </row>
    <row r="4" spans="1:23" s="88" customFormat="1">
      <c r="A4" s="86" t="s">
        <v>473</v>
      </c>
      <c r="B4" s="87" t="s">
        <v>64</v>
      </c>
      <c r="C4" s="86" t="s">
        <v>66</v>
      </c>
      <c r="D4" s="86" t="s">
        <v>67</v>
      </c>
      <c r="E4" s="86" t="s">
        <v>68</v>
      </c>
      <c r="F4" s="86" t="s">
        <v>556</v>
      </c>
      <c r="G4" s="88">
        <v>2030</v>
      </c>
      <c r="H4" s="88">
        <f>G4+1</f>
        <v>2031</v>
      </c>
      <c r="I4" s="88">
        <f t="shared" ref="I4:O4" si="0">H4+1</f>
        <v>2032</v>
      </c>
      <c r="J4" s="88">
        <f t="shared" si="0"/>
        <v>2033</v>
      </c>
      <c r="K4" s="88">
        <f t="shared" si="0"/>
        <v>2034</v>
      </c>
      <c r="L4" s="88">
        <f t="shared" si="0"/>
        <v>2035</v>
      </c>
      <c r="M4" s="88">
        <f t="shared" si="0"/>
        <v>2036</v>
      </c>
      <c r="N4" s="88">
        <f t="shared" si="0"/>
        <v>2037</v>
      </c>
      <c r="O4" s="88">
        <f t="shared" si="0"/>
        <v>2038</v>
      </c>
      <c r="P4" s="88">
        <f t="shared" ref="P4:Q4" si="1">O4+1</f>
        <v>2039</v>
      </c>
      <c r="Q4" s="88">
        <f t="shared" si="1"/>
        <v>2040</v>
      </c>
    </row>
    <row r="5" spans="1:23">
      <c r="A5" s="84" t="s">
        <v>73</v>
      </c>
      <c r="B5" s="85" t="s">
        <v>72</v>
      </c>
      <c r="C5" s="85" t="s">
        <v>74</v>
      </c>
      <c r="D5" s="84" t="s">
        <v>75</v>
      </c>
      <c r="E5" s="84" t="str">
        <f>VLOOKUP(A5,'2a. SI Pop'!$A$5:$E$198,5,FALSE)</f>
        <v>Key</v>
      </c>
      <c r="F5" s="84">
        <v>2033</v>
      </c>
      <c r="G5" s="3">
        <f t="shared" ref="G5:Q5" si="2">IF($F5&lt;=G$4,80%,0)</f>
        <v>0</v>
      </c>
      <c r="H5" s="3">
        <f t="shared" si="2"/>
        <v>0</v>
      </c>
      <c r="I5" s="3">
        <f t="shared" si="2"/>
        <v>0</v>
      </c>
      <c r="J5" s="3">
        <f t="shared" si="2"/>
        <v>0.8</v>
      </c>
      <c r="K5" s="3">
        <f t="shared" si="2"/>
        <v>0.8</v>
      </c>
      <c r="L5" s="3">
        <f t="shared" si="2"/>
        <v>0.8</v>
      </c>
      <c r="M5" s="3">
        <f t="shared" si="2"/>
        <v>0.8</v>
      </c>
      <c r="N5" s="3">
        <f t="shared" si="2"/>
        <v>0.8</v>
      </c>
      <c r="O5" s="3">
        <f t="shared" si="2"/>
        <v>0.8</v>
      </c>
      <c r="P5" s="3">
        <f t="shared" si="2"/>
        <v>0.8</v>
      </c>
      <c r="Q5" s="3">
        <f t="shared" si="2"/>
        <v>0.8</v>
      </c>
      <c r="R5" s="76"/>
      <c r="S5" s="76"/>
      <c r="T5" s="76"/>
      <c r="U5" s="76"/>
      <c r="V5" s="76"/>
      <c r="W5" s="76"/>
    </row>
    <row r="6" spans="1:23">
      <c r="A6" s="84" t="s">
        <v>78</v>
      </c>
      <c r="B6" s="85" t="s">
        <v>77</v>
      </c>
      <c r="C6" s="85" t="s">
        <v>79</v>
      </c>
      <c r="D6" s="84" t="s">
        <v>80</v>
      </c>
      <c r="E6" s="84">
        <f>VLOOKUP(A6,'2a. SI Pop'!$A$5:$E$198,5,FALSE)</f>
        <v>1</v>
      </c>
      <c r="F6" s="84">
        <v>2036</v>
      </c>
      <c r="G6" s="3">
        <f t="shared" ref="G6:Q6" si="3">IF($F6&lt;=G$4,5%,0)</f>
        <v>0</v>
      </c>
      <c r="H6" s="3">
        <f t="shared" si="3"/>
        <v>0</v>
      </c>
      <c r="I6" s="3">
        <f t="shared" si="3"/>
        <v>0</v>
      </c>
      <c r="J6" s="3">
        <f t="shared" si="3"/>
        <v>0</v>
      </c>
      <c r="K6" s="3">
        <f t="shared" si="3"/>
        <v>0</v>
      </c>
      <c r="L6" s="3">
        <f t="shared" si="3"/>
        <v>0</v>
      </c>
      <c r="M6" s="3">
        <f t="shared" si="3"/>
        <v>0.05</v>
      </c>
      <c r="N6" s="3">
        <f t="shared" si="3"/>
        <v>0.05</v>
      </c>
      <c r="O6" s="3">
        <f t="shared" si="3"/>
        <v>0.05</v>
      </c>
      <c r="P6" s="3">
        <f t="shared" si="3"/>
        <v>0.05</v>
      </c>
      <c r="Q6" s="3">
        <f t="shared" si="3"/>
        <v>0.05</v>
      </c>
      <c r="R6" s="76"/>
      <c r="S6" s="76"/>
      <c r="T6" s="76"/>
      <c r="U6" s="76"/>
      <c r="V6" s="76"/>
      <c r="W6" s="76"/>
    </row>
    <row r="7" spans="1:23">
      <c r="A7" s="84" t="s">
        <v>82</v>
      </c>
      <c r="B7" s="85" t="s">
        <v>81</v>
      </c>
      <c r="C7" s="85" t="s">
        <v>83</v>
      </c>
      <c r="D7" s="84" t="s">
        <v>84</v>
      </c>
      <c r="E7" s="84">
        <f>VLOOKUP(A7,'2a. SI Pop'!$A$5:$E$198,5,FALSE)</f>
        <v>2</v>
      </c>
      <c r="F7" s="84">
        <v>2032</v>
      </c>
      <c r="G7" s="3">
        <f t="shared" ref="G7:Q7" si="4">IF($F7&lt;=G$4,30%,0)</f>
        <v>0</v>
      </c>
      <c r="H7" s="3">
        <f t="shared" si="4"/>
        <v>0</v>
      </c>
      <c r="I7" s="3">
        <f t="shared" si="4"/>
        <v>0.3</v>
      </c>
      <c r="J7" s="3">
        <f t="shared" si="4"/>
        <v>0.3</v>
      </c>
      <c r="K7" s="3">
        <f t="shared" si="4"/>
        <v>0.3</v>
      </c>
      <c r="L7" s="3">
        <f t="shared" si="4"/>
        <v>0.3</v>
      </c>
      <c r="M7" s="3">
        <f t="shared" si="4"/>
        <v>0.3</v>
      </c>
      <c r="N7" s="3">
        <f t="shared" si="4"/>
        <v>0.3</v>
      </c>
      <c r="O7" s="3">
        <f t="shared" si="4"/>
        <v>0.3</v>
      </c>
      <c r="P7" s="3">
        <f t="shared" si="4"/>
        <v>0.3</v>
      </c>
      <c r="Q7" s="3">
        <f t="shared" si="4"/>
        <v>0.3</v>
      </c>
      <c r="R7" s="76"/>
      <c r="S7" s="76"/>
      <c r="T7" s="76"/>
      <c r="U7" s="76"/>
      <c r="V7" s="76"/>
      <c r="W7" s="76"/>
    </row>
    <row r="8" spans="1:23">
      <c r="A8" s="84" t="s">
        <v>86</v>
      </c>
      <c r="B8" s="85" t="s">
        <v>85</v>
      </c>
      <c r="C8" s="85" t="s">
        <v>79</v>
      </c>
      <c r="D8" s="84" t="s">
        <v>87</v>
      </c>
      <c r="E8" s="84">
        <f>VLOOKUP(A8,'2a. SI Pop'!$A$5:$E$198,5,FALSE)</f>
        <v>1</v>
      </c>
      <c r="F8" s="84">
        <v>2039</v>
      </c>
      <c r="G8" s="3">
        <f t="shared" ref="G8:Q8" si="5">IF($F8&lt;=G$4,5%,0)</f>
        <v>0</v>
      </c>
      <c r="H8" s="3">
        <f t="shared" si="5"/>
        <v>0</v>
      </c>
      <c r="I8" s="3">
        <f t="shared" si="5"/>
        <v>0</v>
      </c>
      <c r="J8" s="3">
        <f t="shared" si="5"/>
        <v>0</v>
      </c>
      <c r="K8" s="3">
        <f t="shared" si="5"/>
        <v>0</v>
      </c>
      <c r="L8" s="3">
        <f t="shared" si="5"/>
        <v>0</v>
      </c>
      <c r="M8" s="3">
        <f t="shared" si="5"/>
        <v>0</v>
      </c>
      <c r="N8" s="3">
        <f t="shared" si="5"/>
        <v>0</v>
      </c>
      <c r="O8" s="3">
        <f t="shared" si="5"/>
        <v>0</v>
      </c>
      <c r="P8" s="3">
        <f t="shared" si="5"/>
        <v>0.05</v>
      </c>
      <c r="Q8" s="3">
        <f t="shared" si="5"/>
        <v>0.05</v>
      </c>
      <c r="R8" s="76"/>
      <c r="S8" s="76"/>
      <c r="T8" s="76"/>
      <c r="U8" s="76"/>
      <c r="V8" s="76"/>
      <c r="W8" s="76"/>
    </row>
    <row r="9" spans="1:23">
      <c r="A9" s="84" t="s">
        <v>89</v>
      </c>
      <c r="B9" s="85" t="s">
        <v>88</v>
      </c>
      <c r="C9" s="85" t="s">
        <v>83</v>
      </c>
      <c r="D9" s="84" t="s">
        <v>84</v>
      </c>
      <c r="E9" s="84">
        <f>VLOOKUP(A9,'2a. SI Pop'!$A$5:$E$198,5,FALSE)</f>
        <v>3</v>
      </c>
      <c r="F9" s="84">
        <v>2033</v>
      </c>
      <c r="G9" s="3">
        <f t="shared" ref="G9:Q9" si="6">IF($F9&lt;=G$4,80%,0)</f>
        <v>0</v>
      </c>
      <c r="H9" s="3">
        <f t="shared" si="6"/>
        <v>0</v>
      </c>
      <c r="I9" s="3">
        <f t="shared" si="6"/>
        <v>0</v>
      </c>
      <c r="J9" s="3">
        <f t="shared" si="6"/>
        <v>0.8</v>
      </c>
      <c r="K9" s="3">
        <f t="shared" si="6"/>
        <v>0.8</v>
      </c>
      <c r="L9" s="3">
        <f t="shared" si="6"/>
        <v>0.8</v>
      </c>
      <c r="M9" s="3">
        <f t="shared" si="6"/>
        <v>0.8</v>
      </c>
      <c r="N9" s="3">
        <f t="shared" si="6"/>
        <v>0.8</v>
      </c>
      <c r="O9" s="3">
        <f t="shared" si="6"/>
        <v>0.8</v>
      </c>
      <c r="P9" s="3">
        <f t="shared" si="6"/>
        <v>0.8</v>
      </c>
      <c r="Q9" s="3">
        <f t="shared" si="6"/>
        <v>0.8</v>
      </c>
      <c r="R9" s="76"/>
      <c r="S9" s="76"/>
      <c r="T9" s="76"/>
      <c r="U9" s="76"/>
      <c r="V9" s="76"/>
      <c r="W9" s="76"/>
    </row>
    <row r="10" spans="1:23">
      <c r="A10" s="84" t="s">
        <v>91</v>
      </c>
      <c r="B10" s="85" t="s">
        <v>90</v>
      </c>
      <c r="C10" s="85" t="s">
        <v>92</v>
      </c>
      <c r="D10" s="84" t="s">
        <v>87</v>
      </c>
      <c r="E10" s="84">
        <f>VLOOKUP(A10,'2a. SI Pop'!$A$5:$E$198,5,FALSE)</f>
        <v>1</v>
      </c>
      <c r="F10" s="84">
        <v>2040</v>
      </c>
      <c r="G10" s="3">
        <f t="shared" ref="G10:Q17" si="7">IF($F10&lt;=G$4,5%,0)</f>
        <v>0</v>
      </c>
      <c r="H10" s="3">
        <f t="shared" si="7"/>
        <v>0</v>
      </c>
      <c r="I10" s="3">
        <f t="shared" si="7"/>
        <v>0</v>
      </c>
      <c r="J10" s="3">
        <f t="shared" si="7"/>
        <v>0</v>
      </c>
      <c r="K10" s="3">
        <f t="shared" si="7"/>
        <v>0</v>
      </c>
      <c r="L10" s="3">
        <f t="shared" si="7"/>
        <v>0</v>
      </c>
      <c r="M10" s="3">
        <f t="shared" si="7"/>
        <v>0</v>
      </c>
      <c r="N10" s="3">
        <f t="shared" si="7"/>
        <v>0</v>
      </c>
      <c r="O10" s="3">
        <f t="shared" si="7"/>
        <v>0</v>
      </c>
      <c r="P10" s="3">
        <f t="shared" si="7"/>
        <v>0</v>
      </c>
      <c r="Q10" s="3">
        <f t="shared" si="7"/>
        <v>0.05</v>
      </c>
      <c r="R10" s="76"/>
      <c r="S10" s="76"/>
      <c r="T10" s="76"/>
      <c r="U10" s="76"/>
      <c r="V10" s="76"/>
      <c r="W10" s="76"/>
    </row>
    <row r="11" spans="1:23">
      <c r="A11" s="84" t="s">
        <v>94</v>
      </c>
      <c r="B11" s="85" t="s">
        <v>93</v>
      </c>
      <c r="C11" s="85" t="s">
        <v>92</v>
      </c>
      <c r="D11" s="84" t="s">
        <v>80</v>
      </c>
      <c r="E11" s="84">
        <f>VLOOKUP(A11,'2a. SI Pop'!$A$5:$E$198,5,FALSE)</f>
        <v>1</v>
      </c>
      <c r="F11" s="84">
        <v>2037</v>
      </c>
      <c r="G11" s="3">
        <f t="shared" si="7"/>
        <v>0</v>
      </c>
      <c r="H11" s="3">
        <f t="shared" si="7"/>
        <v>0</v>
      </c>
      <c r="I11" s="3">
        <f t="shared" si="7"/>
        <v>0</v>
      </c>
      <c r="J11" s="3">
        <f t="shared" si="7"/>
        <v>0</v>
      </c>
      <c r="K11" s="3">
        <f t="shared" si="7"/>
        <v>0</v>
      </c>
      <c r="L11" s="3">
        <f t="shared" si="7"/>
        <v>0</v>
      </c>
      <c r="M11" s="3">
        <f t="shared" si="7"/>
        <v>0</v>
      </c>
      <c r="N11" s="3">
        <f t="shared" si="7"/>
        <v>0.05</v>
      </c>
      <c r="O11" s="3">
        <f t="shared" si="7"/>
        <v>0.05</v>
      </c>
      <c r="P11" s="3">
        <f t="shared" si="7"/>
        <v>0.05</v>
      </c>
      <c r="Q11" s="3">
        <f t="shared" si="7"/>
        <v>0.05</v>
      </c>
      <c r="R11" s="76"/>
      <c r="S11" s="76"/>
      <c r="T11" s="76"/>
      <c r="U11" s="76"/>
      <c r="V11" s="76"/>
      <c r="W11" s="76"/>
    </row>
    <row r="12" spans="1:23">
      <c r="A12" s="84" t="s">
        <v>96</v>
      </c>
      <c r="B12" s="85" t="s">
        <v>95</v>
      </c>
      <c r="C12" s="85" t="s">
        <v>79</v>
      </c>
      <c r="D12" s="84" t="s">
        <v>80</v>
      </c>
      <c r="E12" s="84">
        <f>VLOOKUP(A12,'2a. SI Pop'!$A$5:$E$198,5,FALSE)</f>
        <v>1</v>
      </c>
      <c r="F12" s="84">
        <v>2040</v>
      </c>
      <c r="G12" s="3">
        <f t="shared" si="7"/>
        <v>0</v>
      </c>
      <c r="H12" s="3">
        <f t="shared" si="7"/>
        <v>0</v>
      </c>
      <c r="I12" s="3">
        <f t="shared" si="7"/>
        <v>0</v>
      </c>
      <c r="J12" s="3">
        <f t="shared" si="7"/>
        <v>0</v>
      </c>
      <c r="K12" s="3">
        <f t="shared" si="7"/>
        <v>0</v>
      </c>
      <c r="L12" s="3">
        <f t="shared" si="7"/>
        <v>0</v>
      </c>
      <c r="M12" s="3">
        <f t="shared" si="7"/>
        <v>0</v>
      </c>
      <c r="N12" s="3">
        <f t="shared" si="7"/>
        <v>0</v>
      </c>
      <c r="O12" s="3">
        <f t="shared" si="7"/>
        <v>0</v>
      </c>
      <c r="P12" s="3">
        <f t="shared" si="7"/>
        <v>0</v>
      </c>
      <c r="Q12" s="3">
        <f t="shared" si="7"/>
        <v>0.05</v>
      </c>
      <c r="R12" s="76"/>
      <c r="S12" s="76"/>
      <c r="T12" s="76"/>
      <c r="U12" s="76"/>
      <c r="V12" s="76"/>
      <c r="W12" s="76"/>
    </row>
    <row r="13" spans="1:23">
      <c r="A13" s="84" t="s">
        <v>98</v>
      </c>
      <c r="B13" s="85" t="s">
        <v>97</v>
      </c>
      <c r="C13" s="85" t="s">
        <v>99</v>
      </c>
      <c r="D13" s="84" t="s">
        <v>87</v>
      </c>
      <c r="E13" s="84">
        <f>VLOOKUP(A13,'2a. SI Pop'!$A$5:$E$198,5,FALSE)</f>
        <v>1</v>
      </c>
      <c r="F13" s="84">
        <v>2031</v>
      </c>
      <c r="G13" s="3">
        <f t="shared" si="7"/>
        <v>0</v>
      </c>
      <c r="H13" s="3">
        <f t="shared" si="7"/>
        <v>0.05</v>
      </c>
      <c r="I13" s="3">
        <f t="shared" si="7"/>
        <v>0.05</v>
      </c>
      <c r="J13" s="3">
        <f t="shared" si="7"/>
        <v>0.05</v>
      </c>
      <c r="K13" s="3">
        <f t="shared" si="7"/>
        <v>0.05</v>
      </c>
      <c r="L13" s="3">
        <f t="shared" si="7"/>
        <v>0.05</v>
      </c>
      <c r="M13" s="3">
        <f t="shared" si="7"/>
        <v>0.05</v>
      </c>
      <c r="N13" s="3">
        <f t="shared" si="7"/>
        <v>0.05</v>
      </c>
      <c r="O13" s="3">
        <f t="shared" si="7"/>
        <v>0.05</v>
      </c>
      <c r="P13" s="3">
        <f t="shared" si="7"/>
        <v>0.05</v>
      </c>
      <c r="Q13" s="3">
        <f t="shared" si="7"/>
        <v>0.05</v>
      </c>
      <c r="R13" s="76"/>
      <c r="S13" s="76"/>
      <c r="T13" s="76"/>
      <c r="U13" s="76"/>
      <c r="V13" s="76"/>
      <c r="W13" s="76"/>
    </row>
    <row r="14" spans="1:23">
      <c r="A14" s="84" t="s">
        <v>101</v>
      </c>
      <c r="B14" s="85" t="s">
        <v>100</v>
      </c>
      <c r="C14" s="85" t="s">
        <v>79</v>
      </c>
      <c r="D14" s="84" t="s">
        <v>87</v>
      </c>
      <c r="E14" s="84">
        <f>VLOOKUP(A14,'2a. SI Pop'!$A$5:$E$198,5,FALSE)</f>
        <v>1</v>
      </c>
      <c r="F14" s="84">
        <v>2030</v>
      </c>
      <c r="G14" s="3">
        <f t="shared" si="7"/>
        <v>0.05</v>
      </c>
      <c r="H14" s="3">
        <f t="shared" si="7"/>
        <v>0.05</v>
      </c>
      <c r="I14" s="3">
        <f t="shared" si="7"/>
        <v>0.05</v>
      </c>
      <c r="J14" s="3">
        <f t="shared" si="7"/>
        <v>0.05</v>
      </c>
      <c r="K14" s="3">
        <f t="shared" si="7"/>
        <v>0.05</v>
      </c>
      <c r="L14" s="3">
        <f t="shared" si="7"/>
        <v>0.05</v>
      </c>
      <c r="M14" s="3">
        <f t="shared" si="7"/>
        <v>0.05</v>
      </c>
      <c r="N14" s="3">
        <f t="shared" si="7"/>
        <v>0.05</v>
      </c>
      <c r="O14" s="3">
        <f t="shared" si="7"/>
        <v>0.05</v>
      </c>
      <c r="P14" s="3">
        <f t="shared" si="7"/>
        <v>0.05</v>
      </c>
      <c r="Q14" s="3">
        <f t="shared" si="7"/>
        <v>0.05</v>
      </c>
      <c r="R14" s="76"/>
      <c r="S14" s="76"/>
      <c r="T14" s="76"/>
      <c r="U14" s="76"/>
      <c r="V14" s="76"/>
      <c r="W14" s="76"/>
    </row>
    <row r="15" spans="1:23">
      <c r="A15" s="84" t="s">
        <v>103</v>
      </c>
      <c r="B15" s="85" t="s">
        <v>102</v>
      </c>
      <c r="C15" s="85" t="s">
        <v>79</v>
      </c>
      <c r="D15" s="84" t="s">
        <v>80</v>
      </c>
      <c r="E15" s="84">
        <f>VLOOKUP(A15,'2a. SI Pop'!$A$5:$E$198,5,FALSE)</f>
        <v>1</v>
      </c>
      <c r="F15" s="84">
        <v>2038</v>
      </c>
      <c r="G15" s="3">
        <f t="shared" si="7"/>
        <v>0</v>
      </c>
      <c r="H15" s="3">
        <f t="shared" si="7"/>
        <v>0</v>
      </c>
      <c r="I15" s="3">
        <f t="shared" si="7"/>
        <v>0</v>
      </c>
      <c r="J15" s="3">
        <f t="shared" si="7"/>
        <v>0</v>
      </c>
      <c r="K15" s="3">
        <f t="shared" si="7"/>
        <v>0</v>
      </c>
      <c r="L15" s="3">
        <f t="shared" si="7"/>
        <v>0</v>
      </c>
      <c r="M15" s="3">
        <f t="shared" si="7"/>
        <v>0</v>
      </c>
      <c r="N15" s="3">
        <f t="shared" si="7"/>
        <v>0</v>
      </c>
      <c r="O15" s="3">
        <f t="shared" si="7"/>
        <v>0.05</v>
      </c>
      <c r="P15" s="3">
        <f t="shared" si="7"/>
        <v>0.05</v>
      </c>
      <c r="Q15" s="3">
        <f t="shared" si="7"/>
        <v>0.05</v>
      </c>
      <c r="R15" s="76"/>
      <c r="S15" s="76"/>
      <c r="T15" s="76"/>
      <c r="U15" s="76"/>
      <c r="V15" s="76"/>
      <c r="W15" s="76"/>
    </row>
    <row r="16" spans="1:23">
      <c r="A16" s="84" t="s">
        <v>105</v>
      </c>
      <c r="B16" s="85" t="s">
        <v>104</v>
      </c>
      <c r="C16" s="85" t="s">
        <v>92</v>
      </c>
      <c r="D16" s="84" t="s">
        <v>87</v>
      </c>
      <c r="E16" s="84">
        <f>VLOOKUP(A16,'2a. SI Pop'!$A$5:$E$198,5,FALSE)</f>
        <v>1</v>
      </c>
      <c r="F16" s="84">
        <v>2037</v>
      </c>
      <c r="G16" s="3">
        <f t="shared" si="7"/>
        <v>0</v>
      </c>
      <c r="H16" s="3">
        <f t="shared" si="7"/>
        <v>0</v>
      </c>
      <c r="I16" s="3">
        <f t="shared" si="7"/>
        <v>0</v>
      </c>
      <c r="J16" s="3">
        <f t="shared" si="7"/>
        <v>0</v>
      </c>
      <c r="K16" s="3">
        <f t="shared" si="7"/>
        <v>0</v>
      </c>
      <c r="L16" s="3">
        <f t="shared" si="7"/>
        <v>0</v>
      </c>
      <c r="M16" s="3">
        <f t="shared" si="7"/>
        <v>0</v>
      </c>
      <c r="N16" s="3">
        <f t="shared" si="7"/>
        <v>0.05</v>
      </c>
      <c r="O16" s="3">
        <f t="shared" si="7"/>
        <v>0.05</v>
      </c>
      <c r="P16" s="3">
        <f t="shared" si="7"/>
        <v>0.05</v>
      </c>
      <c r="Q16" s="3">
        <f t="shared" si="7"/>
        <v>0.05</v>
      </c>
      <c r="R16" s="76"/>
      <c r="S16" s="76"/>
      <c r="T16" s="76"/>
      <c r="U16" s="76"/>
      <c r="V16" s="76"/>
      <c r="W16" s="76"/>
    </row>
    <row r="17" spans="1:23">
      <c r="A17" s="84" t="s">
        <v>107</v>
      </c>
      <c r="B17" s="85" t="s">
        <v>106</v>
      </c>
      <c r="C17" s="85" t="s">
        <v>74</v>
      </c>
      <c r="D17" s="84" t="s">
        <v>87</v>
      </c>
      <c r="E17" s="84">
        <f>VLOOKUP(A17,'2a. SI Pop'!$A$5:$E$198,5,FALSE)</f>
        <v>1</v>
      </c>
      <c r="F17" s="84">
        <v>2034</v>
      </c>
      <c r="G17" s="3">
        <f t="shared" si="7"/>
        <v>0</v>
      </c>
      <c r="H17" s="3">
        <f t="shared" si="7"/>
        <v>0</v>
      </c>
      <c r="I17" s="3">
        <f t="shared" si="7"/>
        <v>0</v>
      </c>
      <c r="J17" s="3">
        <f t="shared" si="7"/>
        <v>0</v>
      </c>
      <c r="K17" s="3">
        <f t="shared" si="7"/>
        <v>0.05</v>
      </c>
      <c r="L17" s="3">
        <f t="shared" si="7"/>
        <v>0.05</v>
      </c>
      <c r="M17" s="3">
        <f t="shared" si="7"/>
        <v>0.05</v>
      </c>
      <c r="N17" s="3">
        <f t="shared" si="7"/>
        <v>0.05</v>
      </c>
      <c r="O17" s="3">
        <f t="shared" si="7"/>
        <v>0.05</v>
      </c>
      <c r="P17" s="3">
        <f t="shared" si="7"/>
        <v>0.05</v>
      </c>
      <c r="Q17" s="3">
        <f t="shared" si="7"/>
        <v>0.05</v>
      </c>
      <c r="R17" s="76"/>
      <c r="S17" s="76"/>
      <c r="T17" s="76"/>
      <c r="U17" s="76"/>
      <c r="V17" s="76"/>
      <c r="W17" s="76"/>
    </row>
    <row r="18" spans="1:23">
      <c r="A18" s="84" t="s">
        <v>109</v>
      </c>
      <c r="B18" s="85" t="s">
        <v>108</v>
      </c>
      <c r="C18" s="85" t="s">
        <v>110</v>
      </c>
      <c r="D18" s="84" t="s">
        <v>84</v>
      </c>
      <c r="E18" s="84" t="str">
        <f>VLOOKUP(A18,'2a. SI Pop'!$A$5:$E$198,5,FALSE)</f>
        <v>Key</v>
      </c>
      <c r="F18" s="84">
        <v>2034</v>
      </c>
      <c r="G18" s="3">
        <f t="shared" ref="G18:Q18" si="8">IF($F18&lt;=G$4,80%,0)</f>
        <v>0</v>
      </c>
      <c r="H18" s="3">
        <f t="shared" si="8"/>
        <v>0</v>
      </c>
      <c r="I18" s="3">
        <f t="shared" si="8"/>
        <v>0</v>
      </c>
      <c r="J18" s="3">
        <f t="shared" si="8"/>
        <v>0</v>
      </c>
      <c r="K18" s="3">
        <f t="shared" si="8"/>
        <v>0.8</v>
      </c>
      <c r="L18" s="3">
        <f t="shared" si="8"/>
        <v>0.8</v>
      </c>
      <c r="M18" s="3">
        <f t="shared" si="8"/>
        <v>0.8</v>
      </c>
      <c r="N18" s="3">
        <f t="shared" si="8"/>
        <v>0.8</v>
      </c>
      <c r="O18" s="3">
        <f t="shared" si="8"/>
        <v>0.8</v>
      </c>
      <c r="P18" s="3">
        <f t="shared" si="8"/>
        <v>0.8</v>
      </c>
      <c r="Q18" s="3">
        <f t="shared" si="8"/>
        <v>0.8</v>
      </c>
      <c r="R18" s="76"/>
      <c r="S18" s="76"/>
      <c r="T18" s="76"/>
      <c r="U18" s="76"/>
      <c r="V18" s="76"/>
      <c r="W18" s="76"/>
    </row>
    <row r="19" spans="1:23">
      <c r="A19" s="84" t="s">
        <v>112</v>
      </c>
      <c r="B19" s="85" t="s">
        <v>111</v>
      </c>
      <c r="C19" s="85" t="s">
        <v>92</v>
      </c>
      <c r="D19" s="84" t="s">
        <v>87</v>
      </c>
      <c r="E19" s="84">
        <f>VLOOKUP(A19,'2a. SI Pop'!$A$5:$E$198,5,FALSE)</f>
        <v>1</v>
      </c>
      <c r="F19" s="84">
        <v>2039</v>
      </c>
      <c r="G19" s="3">
        <f t="shared" ref="G19:Q19" si="9">IF($F19&lt;=G$4,5%,0)</f>
        <v>0</v>
      </c>
      <c r="H19" s="3">
        <f t="shared" si="9"/>
        <v>0</v>
      </c>
      <c r="I19" s="3">
        <f t="shared" si="9"/>
        <v>0</v>
      </c>
      <c r="J19" s="3">
        <f t="shared" si="9"/>
        <v>0</v>
      </c>
      <c r="K19" s="3">
        <f t="shared" si="9"/>
        <v>0</v>
      </c>
      <c r="L19" s="3">
        <f t="shared" si="9"/>
        <v>0</v>
      </c>
      <c r="M19" s="3">
        <f t="shared" si="9"/>
        <v>0</v>
      </c>
      <c r="N19" s="3">
        <f t="shared" si="9"/>
        <v>0</v>
      </c>
      <c r="O19" s="3">
        <f t="shared" si="9"/>
        <v>0</v>
      </c>
      <c r="P19" s="3">
        <f t="shared" si="9"/>
        <v>0.05</v>
      </c>
      <c r="Q19" s="3">
        <f t="shared" si="9"/>
        <v>0.05</v>
      </c>
      <c r="R19" s="76"/>
      <c r="S19" s="76"/>
      <c r="T19" s="76"/>
      <c r="U19" s="76"/>
      <c r="V19" s="76"/>
      <c r="W19" s="76"/>
    </row>
    <row r="20" spans="1:23">
      <c r="A20" s="84" t="s">
        <v>114</v>
      </c>
      <c r="B20" s="85" t="s">
        <v>113</v>
      </c>
      <c r="C20" s="85" t="s">
        <v>79</v>
      </c>
      <c r="D20" s="84" t="s">
        <v>80</v>
      </c>
      <c r="E20" s="84">
        <f>VLOOKUP(A20,'2a. SI Pop'!$A$5:$E$198,5,FALSE)</f>
        <v>2</v>
      </c>
      <c r="F20" s="84">
        <v>2039</v>
      </c>
      <c r="G20" s="3">
        <f t="shared" ref="G20:Q20" si="10">IF($F20&lt;=G$4,30%,0)</f>
        <v>0</v>
      </c>
      <c r="H20" s="3">
        <f t="shared" si="10"/>
        <v>0</v>
      </c>
      <c r="I20" s="3">
        <f t="shared" si="10"/>
        <v>0</v>
      </c>
      <c r="J20" s="3">
        <f t="shared" si="10"/>
        <v>0</v>
      </c>
      <c r="K20" s="3">
        <f t="shared" si="10"/>
        <v>0</v>
      </c>
      <c r="L20" s="3">
        <f t="shared" si="10"/>
        <v>0</v>
      </c>
      <c r="M20" s="3">
        <f t="shared" si="10"/>
        <v>0</v>
      </c>
      <c r="N20" s="3">
        <f t="shared" si="10"/>
        <v>0</v>
      </c>
      <c r="O20" s="3">
        <f t="shared" si="10"/>
        <v>0</v>
      </c>
      <c r="P20" s="3">
        <f t="shared" si="10"/>
        <v>0.3</v>
      </c>
      <c r="Q20" s="3">
        <f t="shared" si="10"/>
        <v>0.3</v>
      </c>
      <c r="R20" s="76"/>
      <c r="S20" s="76"/>
      <c r="T20" s="76"/>
      <c r="U20" s="76"/>
      <c r="V20" s="76"/>
      <c r="W20" s="76"/>
    </row>
    <row r="21" spans="1:23">
      <c r="A21" s="84" t="s">
        <v>116</v>
      </c>
      <c r="B21" s="85" t="s">
        <v>115</v>
      </c>
      <c r="C21" s="85" t="s">
        <v>79</v>
      </c>
      <c r="D21" s="84" t="s">
        <v>87</v>
      </c>
      <c r="E21" s="84">
        <f>VLOOKUP(A21,'2a. SI Pop'!$A$5:$E$198,5,FALSE)</f>
        <v>1</v>
      </c>
      <c r="F21" s="84">
        <v>2030</v>
      </c>
      <c r="G21" s="3">
        <f t="shared" ref="G21:Q22" si="11">IF($F21&lt;=G$4,5%,0)</f>
        <v>0.05</v>
      </c>
      <c r="H21" s="3">
        <f t="shared" si="11"/>
        <v>0.05</v>
      </c>
      <c r="I21" s="3">
        <f t="shared" si="11"/>
        <v>0.05</v>
      </c>
      <c r="J21" s="3">
        <f t="shared" si="11"/>
        <v>0.05</v>
      </c>
      <c r="K21" s="3">
        <f t="shared" si="11"/>
        <v>0.05</v>
      </c>
      <c r="L21" s="3">
        <f t="shared" si="11"/>
        <v>0.05</v>
      </c>
      <c r="M21" s="3">
        <f t="shared" si="11"/>
        <v>0.05</v>
      </c>
      <c r="N21" s="3">
        <f t="shared" si="11"/>
        <v>0.05</v>
      </c>
      <c r="O21" s="3">
        <f t="shared" si="11"/>
        <v>0.05</v>
      </c>
      <c r="P21" s="3">
        <f t="shared" si="11"/>
        <v>0.05</v>
      </c>
      <c r="Q21" s="3">
        <f t="shared" si="11"/>
        <v>0.05</v>
      </c>
      <c r="R21" s="76"/>
      <c r="S21" s="76"/>
      <c r="T21" s="76"/>
      <c r="U21" s="76"/>
      <c r="V21" s="76"/>
      <c r="W21" s="76"/>
    </row>
    <row r="22" spans="1:23">
      <c r="A22" s="84" t="s">
        <v>118</v>
      </c>
      <c r="B22" s="85" t="s">
        <v>117</v>
      </c>
      <c r="C22" s="85" t="s">
        <v>92</v>
      </c>
      <c r="D22" s="84" t="s">
        <v>80</v>
      </c>
      <c r="E22" s="84">
        <f>VLOOKUP(A22,'2a. SI Pop'!$A$5:$E$198,5,FALSE)</f>
        <v>1</v>
      </c>
      <c r="F22" s="84">
        <v>2040</v>
      </c>
      <c r="G22" s="3">
        <f t="shared" si="11"/>
        <v>0</v>
      </c>
      <c r="H22" s="3">
        <f t="shared" si="11"/>
        <v>0</v>
      </c>
      <c r="I22" s="3">
        <f t="shared" si="11"/>
        <v>0</v>
      </c>
      <c r="J22" s="3">
        <f t="shared" si="11"/>
        <v>0</v>
      </c>
      <c r="K22" s="3">
        <f t="shared" si="11"/>
        <v>0</v>
      </c>
      <c r="L22" s="3">
        <f t="shared" si="11"/>
        <v>0</v>
      </c>
      <c r="M22" s="3">
        <f t="shared" si="11"/>
        <v>0</v>
      </c>
      <c r="N22" s="3">
        <f t="shared" si="11"/>
        <v>0</v>
      </c>
      <c r="O22" s="3">
        <f t="shared" si="11"/>
        <v>0</v>
      </c>
      <c r="P22" s="3">
        <f t="shared" si="11"/>
        <v>0</v>
      </c>
      <c r="Q22" s="3">
        <f t="shared" si="11"/>
        <v>0.05</v>
      </c>
      <c r="R22" s="76"/>
      <c r="S22" s="76"/>
      <c r="T22" s="76"/>
      <c r="U22" s="76"/>
      <c r="V22" s="76"/>
      <c r="W22" s="76"/>
    </row>
    <row r="23" spans="1:23">
      <c r="A23" s="84" t="s">
        <v>120</v>
      </c>
      <c r="B23" s="85" t="s">
        <v>119</v>
      </c>
      <c r="C23" s="85" t="s">
        <v>83</v>
      </c>
      <c r="D23" s="84" t="s">
        <v>84</v>
      </c>
      <c r="E23" s="84">
        <f>VLOOKUP(A23,'2a. SI Pop'!$A$5:$E$198,5,FALSE)</f>
        <v>3</v>
      </c>
      <c r="F23" s="84">
        <v>2031</v>
      </c>
      <c r="G23" s="3">
        <f t="shared" ref="G23:Q23" si="12">IF($F23&lt;=G$4,80%,0)</f>
        <v>0</v>
      </c>
      <c r="H23" s="3">
        <f t="shared" si="12"/>
        <v>0.8</v>
      </c>
      <c r="I23" s="3">
        <f t="shared" si="12"/>
        <v>0.8</v>
      </c>
      <c r="J23" s="3">
        <f t="shared" si="12"/>
        <v>0.8</v>
      </c>
      <c r="K23" s="3">
        <f t="shared" si="12"/>
        <v>0.8</v>
      </c>
      <c r="L23" s="3">
        <f t="shared" si="12"/>
        <v>0.8</v>
      </c>
      <c r="M23" s="3">
        <f t="shared" si="12"/>
        <v>0.8</v>
      </c>
      <c r="N23" s="3">
        <f t="shared" si="12"/>
        <v>0.8</v>
      </c>
      <c r="O23" s="3">
        <f t="shared" si="12"/>
        <v>0.8</v>
      </c>
      <c r="P23" s="3">
        <f t="shared" si="12"/>
        <v>0.8</v>
      </c>
      <c r="Q23" s="3">
        <f t="shared" si="12"/>
        <v>0.8</v>
      </c>
      <c r="R23" s="76"/>
      <c r="S23" s="76"/>
      <c r="T23" s="76"/>
      <c r="U23" s="76"/>
      <c r="V23" s="76"/>
      <c r="W23" s="76"/>
    </row>
    <row r="24" spans="1:23">
      <c r="A24" s="84" t="s">
        <v>122</v>
      </c>
      <c r="B24" s="85" t="s">
        <v>121</v>
      </c>
      <c r="C24" s="85" t="s">
        <v>110</v>
      </c>
      <c r="D24" s="84" t="s">
        <v>84</v>
      </c>
      <c r="E24" s="84">
        <f>VLOOKUP(A24,'2a. SI Pop'!$A$5:$E$198,5,FALSE)</f>
        <v>2</v>
      </c>
      <c r="F24" s="84">
        <v>2041</v>
      </c>
      <c r="G24" s="3">
        <f t="shared" ref="G24:Q25" si="13">IF($F24&lt;=G$4,30%,0)</f>
        <v>0</v>
      </c>
      <c r="H24" s="3">
        <f t="shared" si="13"/>
        <v>0</v>
      </c>
      <c r="I24" s="3">
        <f t="shared" si="13"/>
        <v>0</v>
      </c>
      <c r="J24" s="3">
        <f t="shared" si="13"/>
        <v>0</v>
      </c>
      <c r="K24" s="3">
        <f t="shared" si="13"/>
        <v>0</v>
      </c>
      <c r="L24" s="3">
        <f t="shared" si="13"/>
        <v>0</v>
      </c>
      <c r="M24" s="3">
        <f t="shared" si="13"/>
        <v>0</v>
      </c>
      <c r="N24" s="3">
        <f t="shared" si="13"/>
        <v>0</v>
      </c>
      <c r="O24" s="3">
        <f t="shared" si="13"/>
        <v>0</v>
      </c>
      <c r="P24" s="3">
        <f t="shared" si="13"/>
        <v>0</v>
      </c>
      <c r="Q24" s="3">
        <f t="shared" si="13"/>
        <v>0</v>
      </c>
      <c r="R24" s="76"/>
      <c r="S24" s="76"/>
      <c r="T24" s="76"/>
      <c r="U24" s="76"/>
      <c r="V24" s="76"/>
      <c r="W24" s="76"/>
    </row>
    <row r="25" spans="1:23">
      <c r="A25" s="84" t="s">
        <v>124</v>
      </c>
      <c r="B25" s="85" t="s">
        <v>123</v>
      </c>
      <c r="C25" s="85" t="s">
        <v>92</v>
      </c>
      <c r="D25" s="84" t="s">
        <v>84</v>
      </c>
      <c r="E25" s="84">
        <f>VLOOKUP(A25,'2a. SI Pop'!$A$5:$E$198,5,FALSE)</f>
        <v>2</v>
      </c>
      <c r="F25" s="84">
        <v>2042</v>
      </c>
      <c r="G25" s="3">
        <f t="shared" si="13"/>
        <v>0</v>
      </c>
      <c r="H25" s="3">
        <f t="shared" si="13"/>
        <v>0</v>
      </c>
      <c r="I25" s="3">
        <f t="shared" si="13"/>
        <v>0</v>
      </c>
      <c r="J25" s="3">
        <f t="shared" si="13"/>
        <v>0</v>
      </c>
      <c r="K25" s="3">
        <f t="shared" si="13"/>
        <v>0</v>
      </c>
      <c r="L25" s="3">
        <f t="shared" si="13"/>
        <v>0</v>
      </c>
      <c r="M25" s="3">
        <f t="shared" si="13"/>
        <v>0</v>
      </c>
      <c r="N25" s="3">
        <f t="shared" si="13"/>
        <v>0</v>
      </c>
      <c r="O25" s="3">
        <f t="shared" si="13"/>
        <v>0</v>
      </c>
      <c r="P25" s="3">
        <f t="shared" si="13"/>
        <v>0</v>
      </c>
      <c r="Q25" s="3">
        <f t="shared" si="13"/>
        <v>0</v>
      </c>
      <c r="R25" s="76"/>
      <c r="S25" s="76"/>
      <c r="T25" s="76"/>
      <c r="U25" s="76"/>
      <c r="V25" s="76"/>
      <c r="W25" s="76"/>
    </row>
    <row r="26" spans="1:23">
      <c r="A26" s="84" t="s">
        <v>126</v>
      </c>
      <c r="B26" s="85" t="s">
        <v>125</v>
      </c>
      <c r="C26" s="85" t="s">
        <v>79</v>
      </c>
      <c r="D26" s="84" t="s">
        <v>80</v>
      </c>
      <c r="E26" s="84">
        <f>VLOOKUP(A26,'2a. SI Pop'!$A$5:$E$198,5,FALSE)</f>
        <v>1</v>
      </c>
      <c r="F26" s="84">
        <v>2032</v>
      </c>
      <c r="G26" s="3">
        <f t="shared" ref="G26:Q26" si="14">IF($F26&lt;=G$4,5%,0)</f>
        <v>0</v>
      </c>
      <c r="H26" s="3">
        <f t="shared" si="14"/>
        <v>0</v>
      </c>
      <c r="I26" s="3">
        <f t="shared" si="14"/>
        <v>0.05</v>
      </c>
      <c r="J26" s="3">
        <f t="shared" si="14"/>
        <v>0.05</v>
      </c>
      <c r="K26" s="3">
        <f t="shared" si="14"/>
        <v>0.05</v>
      </c>
      <c r="L26" s="3">
        <f t="shared" si="14"/>
        <v>0.05</v>
      </c>
      <c r="M26" s="3">
        <f t="shared" si="14"/>
        <v>0.05</v>
      </c>
      <c r="N26" s="3">
        <f t="shared" si="14"/>
        <v>0.05</v>
      </c>
      <c r="O26" s="3">
        <f t="shared" si="14"/>
        <v>0.05</v>
      </c>
      <c r="P26" s="3">
        <f t="shared" si="14"/>
        <v>0.05</v>
      </c>
      <c r="Q26" s="3">
        <f t="shared" si="14"/>
        <v>0.05</v>
      </c>
      <c r="R26" s="76"/>
      <c r="S26" s="76"/>
      <c r="T26" s="76"/>
      <c r="U26" s="76"/>
      <c r="V26" s="76"/>
      <c r="W26" s="76"/>
    </row>
    <row r="27" spans="1:23">
      <c r="A27" s="84" t="s">
        <v>128</v>
      </c>
      <c r="B27" s="85" t="s">
        <v>127</v>
      </c>
      <c r="C27" s="85" t="s">
        <v>83</v>
      </c>
      <c r="D27" s="84" t="s">
        <v>80</v>
      </c>
      <c r="E27" s="84">
        <f>VLOOKUP(A27,'2a. SI Pop'!$A$5:$E$198,5,FALSE)</f>
        <v>2</v>
      </c>
      <c r="F27" s="84">
        <v>2035</v>
      </c>
      <c r="G27" s="3">
        <f t="shared" ref="G27:Q28" si="15">IF($F27&lt;=G$4,30%,0)</f>
        <v>0</v>
      </c>
      <c r="H27" s="3">
        <f t="shared" si="15"/>
        <v>0</v>
      </c>
      <c r="I27" s="3">
        <f t="shared" si="15"/>
        <v>0</v>
      </c>
      <c r="J27" s="3">
        <f t="shared" si="15"/>
        <v>0</v>
      </c>
      <c r="K27" s="3">
        <f t="shared" si="15"/>
        <v>0</v>
      </c>
      <c r="L27" s="3">
        <f t="shared" si="15"/>
        <v>0.3</v>
      </c>
      <c r="M27" s="3">
        <f t="shared" si="15"/>
        <v>0.3</v>
      </c>
      <c r="N27" s="3">
        <f t="shared" si="15"/>
        <v>0.3</v>
      </c>
      <c r="O27" s="3">
        <f t="shared" si="15"/>
        <v>0.3</v>
      </c>
      <c r="P27" s="3">
        <f t="shared" si="15"/>
        <v>0.3</v>
      </c>
      <c r="Q27" s="3">
        <f t="shared" si="15"/>
        <v>0.3</v>
      </c>
      <c r="R27" s="76"/>
      <c r="S27" s="76"/>
      <c r="T27" s="76"/>
      <c r="U27" s="76"/>
      <c r="V27" s="76"/>
      <c r="W27" s="76"/>
    </row>
    <row r="28" spans="1:23">
      <c r="A28" s="84" t="s">
        <v>130</v>
      </c>
      <c r="B28" s="85" t="s">
        <v>129</v>
      </c>
      <c r="C28" s="85" t="s">
        <v>92</v>
      </c>
      <c r="D28" s="84" t="s">
        <v>80</v>
      </c>
      <c r="E28" s="84" t="str">
        <f>VLOOKUP(A28,'2a. SI Pop'!$A$5:$E$198,5,FALSE)</f>
        <v>Key</v>
      </c>
      <c r="F28" s="84">
        <v>2036</v>
      </c>
      <c r="G28" s="3">
        <f t="shared" si="15"/>
        <v>0</v>
      </c>
      <c r="H28" s="3">
        <f t="shared" si="15"/>
        <v>0</v>
      </c>
      <c r="I28" s="3">
        <f t="shared" si="15"/>
        <v>0</v>
      </c>
      <c r="J28" s="3">
        <f t="shared" si="15"/>
        <v>0</v>
      </c>
      <c r="K28" s="3">
        <f t="shared" si="15"/>
        <v>0</v>
      </c>
      <c r="L28" s="3">
        <f t="shared" si="15"/>
        <v>0</v>
      </c>
      <c r="M28" s="3">
        <f t="shared" si="15"/>
        <v>0.3</v>
      </c>
      <c r="N28" s="3">
        <f t="shared" si="15"/>
        <v>0.3</v>
      </c>
      <c r="O28" s="3">
        <f t="shared" si="15"/>
        <v>0.3</v>
      </c>
      <c r="P28" s="3">
        <f t="shared" si="15"/>
        <v>0.3</v>
      </c>
      <c r="Q28" s="3">
        <f t="shared" si="15"/>
        <v>0.3</v>
      </c>
      <c r="R28" s="76"/>
      <c r="S28" s="76"/>
      <c r="T28" s="76"/>
      <c r="U28" s="76"/>
      <c r="V28" s="76"/>
      <c r="W28" s="76"/>
    </row>
    <row r="29" spans="1:23">
      <c r="A29" s="84" t="s">
        <v>132</v>
      </c>
      <c r="B29" s="85" t="s">
        <v>131</v>
      </c>
      <c r="C29" s="85" t="s">
        <v>99</v>
      </c>
      <c r="D29" s="84" t="s">
        <v>87</v>
      </c>
      <c r="E29" s="84">
        <f>VLOOKUP(A29,'2a. SI Pop'!$A$5:$E$198,5,FALSE)</f>
        <v>1</v>
      </c>
      <c r="F29" s="84">
        <v>2038</v>
      </c>
      <c r="G29" s="3">
        <f t="shared" ref="G29:Q30" si="16">IF($F29&lt;=G$4,5%,0)</f>
        <v>0</v>
      </c>
      <c r="H29" s="3">
        <f t="shared" si="16"/>
        <v>0</v>
      </c>
      <c r="I29" s="3">
        <f t="shared" si="16"/>
        <v>0</v>
      </c>
      <c r="J29" s="3">
        <f t="shared" si="16"/>
        <v>0</v>
      </c>
      <c r="K29" s="3">
        <f t="shared" si="16"/>
        <v>0</v>
      </c>
      <c r="L29" s="3">
        <f t="shared" si="16"/>
        <v>0</v>
      </c>
      <c r="M29" s="3">
        <f t="shared" si="16"/>
        <v>0</v>
      </c>
      <c r="N29" s="3">
        <f t="shared" si="16"/>
        <v>0</v>
      </c>
      <c r="O29" s="3">
        <f t="shared" si="16"/>
        <v>0.05</v>
      </c>
      <c r="P29" s="3">
        <f t="shared" si="16"/>
        <v>0.05</v>
      </c>
      <c r="Q29" s="3">
        <f t="shared" si="16"/>
        <v>0.05</v>
      </c>
      <c r="R29" s="76"/>
      <c r="S29" s="76"/>
      <c r="T29" s="76"/>
      <c r="U29" s="76"/>
      <c r="V29" s="76"/>
      <c r="W29" s="76"/>
    </row>
    <row r="30" spans="1:23">
      <c r="A30" s="84" t="s">
        <v>134</v>
      </c>
      <c r="B30" s="85" t="s">
        <v>133</v>
      </c>
      <c r="C30" s="85" t="s">
        <v>79</v>
      </c>
      <c r="D30" s="84" t="s">
        <v>80</v>
      </c>
      <c r="E30" s="84">
        <f>VLOOKUP(A30,'2a. SI Pop'!$A$5:$E$198,5,FALSE)</f>
        <v>1</v>
      </c>
      <c r="F30" s="84">
        <v>2034</v>
      </c>
      <c r="G30" s="3">
        <f t="shared" si="16"/>
        <v>0</v>
      </c>
      <c r="H30" s="3">
        <f t="shared" si="16"/>
        <v>0</v>
      </c>
      <c r="I30" s="3">
        <f t="shared" si="16"/>
        <v>0</v>
      </c>
      <c r="J30" s="3">
        <f t="shared" si="16"/>
        <v>0</v>
      </c>
      <c r="K30" s="3">
        <f t="shared" si="16"/>
        <v>0.05</v>
      </c>
      <c r="L30" s="3">
        <f t="shared" si="16"/>
        <v>0.05</v>
      </c>
      <c r="M30" s="3">
        <f t="shared" si="16"/>
        <v>0.05</v>
      </c>
      <c r="N30" s="3">
        <f t="shared" si="16"/>
        <v>0.05</v>
      </c>
      <c r="O30" s="3">
        <f t="shared" si="16"/>
        <v>0.05</v>
      </c>
      <c r="P30" s="3">
        <f t="shared" si="16"/>
        <v>0.05</v>
      </c>
      <c r="Q30" s="3">
        <f t="shared" si="16"/>
        <v>0.05</v>
      </c>
      <c r="R30" s="76"/>
      <c r="S30" s="76"/>
      <c r="T30" s="76"/>
      <c r="U30" s="76"/>
      <c r="V30" s="76"/>
      <c r="W30" s="76"/>
    </row>
    <row r="31" spans="1:23">
      <c r="A31" s="84" t="s">
        <v>136</v>
      </c>
      <c r="B31" s="85" t="s">
        <v>135</v>
      </c>
      <c r="C31" s="85" t="s">
        <v>83</v>
      </c>
      <c r="D31" s="84" t="s">
        <v>75</v>
      </c>
      <c r="E31" s="84">
        <f>VLOOKUP(A31,'2a. SI Pop'!$A$5:$E$198,5,FALSE)</f>
        <v>3</v>
      </c>
      <c r="F31" s="84">
        <v>2033</v>
      </c>
      <c r="G31" s="3">
        <f t="shared" ref="G31:Q34" si="17">IF($F31&lt;=G$4,80%,0)</f>
        <v>0</v>
      </c>
      <c r="H31" s="3">
        <f t="shared" si="17"/>
        <v>0</v>
      </c>
      <c r="I31" s="3">
        <f t="shared" si="17"/>
        <v>0</v>
      </c>
      <c r="J31" s="3">
        <f t="shared" si="17"/>
        <v>0.8</v>
      </c>
      <c r="K31" s="3">
        <f t="shared" si="17"/>
        <v>0.8</v>
      </c>
      <c r="L31" s="3">
        <f t="shared" si="17"/>
        <v>0.8</v>
      </c>
      <c r="M31" s="3">
        <f t="shared" si="17"/>
        <v>0.8</v>
      </c>
      <c r="N31" s="3">
        <f t="shared" si="17"/>
        <v>0.8</v>
      </c>
      <c r="O31" s="3">
        <f t="shared" si="17"/>
        <v>0.8</v>
      </c>
      <c r="P31" s="3">
        <f t="shared" si="17"/>
        <v>0.8</v>
      </c>
      <c r="Q31" s="3">
        <f t="shared" si="17"/>
        <v>0.8</v>
      </c>
      <c r="R31" s="76"/>
      <c r="S31" s="76"/>
      <c r="T31" s="76"/>
      <c r="U31" s="76"/>
      <c r="V31" s="76"/>
      <c r="W31" s="76"/>
    </row>
    <row r="32" spans="1:23">
      <c r="A32" s="84" t="s">
        <v>138</v>
      </c>
      <c r="B32" s="85" t="s">
        <v>137</v>
      </c>
      <c r="C32" s="85" t="s">
        <v>83</v>
      </c>
      <c r="D32" s="84" t="s">
        <v>75</v>
      </c>
      <c r="E32" s="84">
        <f>VLOOKUP(A32,'2a. SI Pop'!$A$5:$E$198,5,FALSE)</f>
        <v>3</v>
      </c>
      <c r="F32" s="84">
        <v>2033</v>
      </c>
      <c r="G32" s="3">
        <f t="shared" si="17"/>
        <v>0</v>
      </c>
      <c r="H32" s="3">
        <f t="shared" si="17"/>
        <v>0</v>
      </c>
      <c r="I32" s="3">
        <f t="shared" si="17"/>
        <v>0</v>
      </c>
      <c r="J32" s="3">
        <f t="shared" si="17"/>
        <v>0.8</v>
      </c>
      <c r="K32" s="3">
        <f t="shared" si="17"/>
        <v>0.8</v>
      </c>
      <c r="L32" s="3">
        <f t="shared" si="17"/>
        <v>0.8</v>
      </c>
      <c r="M32" s="3">
        <f t="shared" si="17"/>
        <v>0.8</v>
      </c>
      <c r="N32" s="3">
        <f t="shared" si="17"/>
        <v>0.8</v>
      </c>
      <c r="O32" s="3">
        <f t="shared" si="17"/>
        <v>0.8</v>
      </c>
      <c r="P32" s="3">
        <f t="shared" si="17"/>
        <v>0.8</v>
      </c>
      <c r="Q32" s="3">
        <f t="shared" si="17"/>
        <v>0.8</v>
      </c>
      <c r="R32" s="76"/>
      <c r="S32" s="76"/>
      <c r="T32" s="76"/>
      <c r="U32" s="76"/>
      <c r="V32" s="76"/>
      <c r="W32" s="76"/>
    </row>
    <row r="33" spans="1:23">
      <c r="A33" s="84" t="s">
        <v>140</v>
      </c>
      <c r="B33" s="85" t="s">
        <v>139</v>
      </c>
      <c r="C33" s="85" t="s">
        <v>99</v>
      </c>
      <c r="D33" s="84" t="s">
        <v>84</v>
      </c>
      <c r="E33" s="84">
        <f>VLOOKUP(A33,'2a. SI Pop'!$A$5:$E$198,5,FALSE)</f>
        <v>4</v>
      </c>
      <c r="F33" s="84">
        <v>2037</v>
      </c>
      <c r="G33" s="3">
        <f t="shared" si="17"/>
        <v>0</v>
      </c>
      <c r="H33" s="3">
        <f t="shared" si="17"/>
        <v>0</v>
      </c>
      <c r="I33" s="3">
        <f t="shared" si="17"/>
        <v>0</v>
      </c>
      <c r="J33" s="3">
        <f t="shared" si="17"/>
        <v>0</v>
      </c>
      <c r="K33" s="3">
        <f t="shared" si="17"/>
        <v>0</v>
      </c>
      <c r="L33" s="3">
        <f t="shared" si="17"/>
        <v>0</v>
      </c>
      <c r="M33" s="3">
        <f t="shared" si="17"/>
        <v>0</v>
      </c>
      <c r="N33" s="3">
        <f t="shared" si="17"/>
        <v>0.8</v>
      </c>
      <c r="O33" s="3">
        <f t="shared" si="17"/>
        <v>0.8</v>
      </c>
      <c r="P33" s="3">
        <f t="shared" si="17"/>
        <v>0.8</v>
      </c>
      <c r="Q33" s="3">
        <f t="shared" si="17"/>
        <v>0.8</v>
      </c>
      <c r="R33" s="76"/>
      <c r="S33" s="76"/>
      <c r="T33" s="76"/>
      <c r="U33" s="76"/>
      <c r="V33" s="76"/>
      <c r="W33" s="76"/>
    </row>
    <row r="34" spans="1:23">
      <c r="A34" s="84" t="s">
        <v>142</v>
      </c>
      <c r="B34" s="85" t="s">
        <v>141</v>
      </c>
      <c r="C34" s="85" t="s">
        <v>83</v>
      </c>
      <c r="D34" s="84" t="s">
        <v>84</v>
      </c>
      <c r="E34" s="84">
        <f>VLOOKUP(A34,'2a. SI Pop'!$A$5:$E$198,5,FALSE)</f>
        <v>3</v>
      </c>
      <c r="F34" s="84">
        <v>2031</v>
      </c>
      <c r="G34" s="3">
        <f t="shared" si="17"/>
        <v>0</v>
      </c>
      <c r="H34" s="3">
        <f t="shared" si="17"/>
        <v>0.8</v>
      </c>
      <c r="I34" s="3">
        <f t="shared" si="17"/>
        <v>0.8</v>
      </c>
      <c r="J34" s="3">
        <f t="shared" si="17"/>
        <v>0.8</v>
      </c>
      <c r="K34" s="3">
        <f t="shared" si="17"/>
        <v>0.8</v>
      </c>
      <c r="L34" s="3">
        <f t="shared" si="17"/>
        <v>0.8</v>
      </c>
      <c r="M34" s="3">
        <f t="shared" si="17"/>
        <v>0.8</v>
      </c>
      <c r="N34" s="3">
        <f t="shared" si="17"/>
        <v>0.8</v>
      </c>
      <c r="O34" s="3">
        <f t="shared" si="17"/>
        <v>0.8</v>
      </c>
      <c r="P34" s="3">
        <f t="shared" si="17"/>
        <v>0.8</v>
      </c>
      <c r="Q34" s="3">
        <f t="shared" si="17"/>
        <v>0.8</v>
      </c>
      <c r="R34" s="76"/>
      <c r="S34" s="76"/>
      <c r="T34" s="76"/>
      <c r="U34" s="76"/>
      <c r="V34" s="76"/>
      <c r="W34" s="76"/>
    </row>
    <row r="35" spans="1:23">
      <c r="A35" s="84" t="s">
        <v>144</v>
      </c>
      <c r="B35" s="85" t="s">
        <v>143</v>
      </c>
      <c r="C35" s="85" t="s">
        <v>92</v>
      </c>
      <c r="D35" s="84" t="s">
        <v>87</v>
      </c>
      <c r="E35" s="84">
        <f>VLOOKUP(A35,'2a. SI Pop'!$A$5:$E$198,5,FALSE)</f>
        <v>1</v>
      </c>
      <c r="F35" s="84">
        <v>2033</v>
      </c>
      <c r="G35" s="3">
        <f t="shared" ref="G35:Q35" si="18">IF($F35&lt;=G$4,5%,0)</f>
        <v>0</v>
      </c>
      <c r="H35" s="3">
        <f t="shared" si="18"/>
        <v>0</v>
      </c>
      <c r="I35" s="3">
        <f t="shared" si="18"/>
        <v>0</v>
      </c>
      <c r="J35" s="3">
        <f t="shared" si="18"/>
        <v>0.05</v>
      </c>
      <c r="K35" s="3">
        <f t="shared" si="18"/>
        <v>0.05</v>
      </c>
      <c r="L35" s="3">
        <f t="shared" si="18"/>
        <v>0.05</v>
      </c>
      <c r="M35" s="3">
        <f t="shared" si="18"/>
        <v>0.05</v>
      </c>
      <c r="N35" s="3">
        <f t="shared" si="18"/>
        <v>0.05</v>
      </c>
      <c r="O35" s="3">
        <f t="shared" si="18"/>
        <v>0.05</v>
      </c>
      <c r="P35" s="3">
        <f t="shared" si="18"/>
        <v>0.05</v>
      </c>
      <c r="Q35" s="3">
        <f t="shared" si="18"/>
        <v>0.05</v>
      </c>
      <c r="R35" s="76"/>
      <c r="S35" s="76"/>
      <c r="T35" s="76"/>
      <c r="U35" s="76"/>
      <c r="V35" s="76"/>
      <c r="W35" s="76"/>
    </row>
    <row r="36" spans="1:23">
      <c r="A36" s="84" t="s">
        <v>146</v>
      </c>
      <c r="B36" s="85" t="s">
        <v>145</v>
      </c>
      <c r="C36" s="85" t="s">
        <v>83</v>
      </c>
      <c r="D36" s="84" t="s">
        <v>84</v>
      </c>
      <c r="E36" s="84">
        <f>VLOOKUP(A36,'2a. SI Pop'!$A$5:$E$198,5,FALSE)</f>
        <v>2</v>
      </c>
      <c r="F36" s="84">
        <v>2037</v>
      </c>
      <c r="G36" s="3">
        <f t="shared" ref="G36:Q36" si="19">IF($F36&lt;=G$4,30%,0)</f>
        <v>0</v>
      </c>
      <c r="H36" s="3">
        <f t="shared" si="19"/>
        <v>0</v>
      </c>
      <c r="I36" s="3">
        <f t="shared" si="19"/>
        <v>0</v>
      </c>
      <c r="J36" s="3">
        <f t="shared" si="19"/>
        <v>0</v>
      </c>
      <c r="K36" s="3">
        <f t="shared" si="19"/>
        <v>0</v>
      </c>
      <c r="L36" s="3">
        <f t="shared" si="19"/>
        <v>0</v>
      </c>
      <c r="M36" s="3">
        <f t="shared" si="19"/>
        <v>0</v>
      </c>
      <c r="N36" s="3">
        <f t="shared" si="19"/>
        <v>0.3</v>
      </c>
      <c r="O36" s="3">
        <f t="shared" si="19"/>
        <v>0.3</v>
      </c>
      <c r="P36" s="3">
        <f t="shared" si="19"/>
        <v>0.3</v>
      </c>
      <c r="Q36" s="3">
        <f t="shared" si="19"/>
        <v>0.3</v>
      </c>
      <c r="R36" s="76"/>
      <c r="S36" s="76"/>
      <c r="T36" s="76"/>
      <c r="U36" s="76"/>
      <c r="V36" s="76"/>
      <c r="W36" s="76"/>
    </row>
    <row r="37" spans="1:23">
      <c r="A37" s="84" t="s">
        <v>148</v>
      </c>
      <c r="B37" s="85" t="s">
        <v>147</v>
      </c>
      <c r="C37" s="85" t="s">
        <v>83</v>
      </c>
      <c r="D37" s="84" t="s">
        <v>75</v>
      </c>
      <c r="E37" s="84">
        <f>VLOOKUP(A37,'2a. SI Pop'!$A$5:$E$198,5,FALSE)</f>
        <v>3</v>
      </c>
      <c r="F37" s="84">
        <v>2034</v>
      </c>
      <c r="G37" s="3">
        <f t="shared" ref="G37:Q38" si="20">IF($F37&lt;=G$4,80%,0)</f>
        <v>0</v>
      </c>
      <c r="H37" s="3">
        <f t="shared" si="20"/>
        <v>0</v>
      </c>
      <c r="I37" s="3">
        <f t="shared" si="20"/>
        <v>0</v>
      </c>
      <c r="J37" s="3">
        <f t="shared" si="20"/>
        <v>0</v>
      </c>
      <c r="K37" s="3">
        <f t="shared" si="20"/>
        <v>0.8</v>
      </c>
      <c r="L37" s="3">
        <f t="shared" si="20"/>
        <v>0.8</v>
      </c>
      <c r="M37" s="3">
        <f t="shared" si="20"/>
        <v>0.8</v>
      </c>
      <c r="N37" s="3">
        <f t="shared" si="20"/>
        <v>0.8</v>
      </c>
      <c r="O37" s="3">
        <f t="shared" si="20"/>
        <v>0.8</v>
      </c>
      <c r="P37" s="3">
        <f t="shared" si="20"/>
        <v>0.8</v>
      </c>
      <c r="Q37" s="3">
        <f t="shared" si="20"/>
        <v>0.8</v>
      </c>
      <c r="R37" s="76"/>
      <c r="S37" s="76"/>
      <c r="T37" s="76"/>
      <c r="U37" s="76"/>
      <c r="V37" s="76"/>
      <c r="W37" s="76"/>
    </row>
    <row r="38" spans="1:23">
      <c r="A38" s="84" t="s">
        <v>150</v>
      </c>
      <c r="B38" s="85" t="s">
        <v>149</v>
      </c>
      <c r="C38" s="85" t="s">
        <v>83</v>
      </c>
      <c r="D38" s="84" t="s">
        <v>75</v>
      </c>
      <c r="E38" s="84" t="str">
        <f>VLOOKUP(A38,'2a. SI Pop'!$A$5:$E$198,5,FALSE)</f>
        <v>Key</v>
      </c>
      <c r="F38" s="84">
        <v>2032</v>
      </c>
      <c r="G38" s="3">
        <f t="shared" si="20"/>
        <v>0</v>
      </c>
      <c r="H38" s="3">
        <f t="shared" si="20"/>
        <v>0</v>
      </c>
      <c r="I38" s="3">
        <f t="shared" si="20"/>
        <v>0.8</v>
      </c>
      <c r="J38" s="3">
        <f t="shared" si="20"/>
        <v>0.8</v>
      </c>
      <c r="K38" s="3">
        <f t="shared" si="20"/>
        <v>0.8</v>
      </c>
      <c r="L38" s="3">
        <f t="shared" si="20"/>
        <v>0.8</v>
      </c>
      <c r="M38" s="3">
        <f t="shared" si="20"/>
        <v>0.8</v>
      </c>
      <c r="N38" s="3">
        <f t="shared" si="20"/>
        <v>0.8</v>
      </c>
      <c r="O38" s="3">
        <f t="shared" si="20"/>
        <v>0.8</v>
      </c>
      <c r="P38" s="3">
        <f t="shared" si="20"/>
        <v>0.8</v>
      </c>
      <c r="Q38" s="3">
        <f t="shared" si="20"/>
        <v>0.8</v>
      </c>
      <c r="R38" s="76"/>
      <c r="S38" s="76"/>
      <c r="T38" s="76"/>
      <c r="U38" s="76"/>
      <c r="V38" s="76"/>
      <c r="W38" s="76"/>
    </row>
    <row r="39" spans="1:23">
      <c r="A39" s="84" t="s">
        <v>152</v>
      </c>
      <c r="B39" s="85" t="s">
        <v>151</v>
      </c>
      <c r="C39" s="85" t="s">
        <v>92</v>
      </c>
      <c r="D39" s="84" t="s">
        <v>87</v>
      </c>
      <c r="E39" s="84">
        <f>VLOOKUP(A39,'2a. SI Pop'!$A$5:$E$198,5,FALSE)</f>
        <v>2</v>
      </c>
      <c r="F39" s="84">
        <v>2035</v>
      </c>
      <c r="G39" s="3">
        <f t="shared" ref="G39:Q39" si="21">IF($F39&lt;=G$4,30%,0)</f>
        <v>0</v>
      </c>
      <c r="H39" s="3">
        <f t="shared" si="21"/>
        <v>0</v>
      </c>
      <c r="I39" s="3">
        <f t="shared" si="21"/>
        <v>0</v>
      </c>
      <c r="J39" s="3">
        <f t="shared" si="21"/>
        <v>0</v>
      </c>
      <c r="K39" s="3">
        <f t="shared" si="21"/>
        <v>0</v>
      </c>
      <c r="L39" s="3">
        <f t="shared" si="21"/>
        <v>0.3</v>
      </c>
      <c r="M39" s="3">
        <f t="shared" si="21"/>
        <v>0.3</v>
      </c>
      <c r="N39" s="3">
        <f t="shared" si="21"/>
        <v>0.3</v>
      </c>
      <c r="O39" s="3">
        <f t="shared" si="21"/>
        <v>0.3</v>
      </c>
      <c r="P39" s="3">
        <f t="shared" si="21"/>
        <v>0.3</v>
      </c>
      <c r="Q39" s="3">
        <f t="shared" si="21"/>
        <v>0.3</v>
      </c>
      <c r="R39" s="76"/>
      <c r="S39" s="76"/>
      <c r="T39" s="76"/>
      <c r="U39" s="76"/>
      <c r="V39" s="76"/>
      <c r="W39" s="76"/>
    </row>
    <row r="40" spans="1:23">
      <c r="A40" s="84" t="s">
        <v>154</v>
      </c>
      <c r="B40" s="85" t="s">
        <v>153</v>
      </c>
      <c r="C40" s="85" t="s">
        <v>99</v>
      </c>
      <c r="D40" s="84" t="s">
        <v>80</v>
      </c>
      <c r="E40" s="84">
        <f>VLOOKUP(A40,'2a. SI Pop'!$A$5:$E$198,5,FALSE)</f>
        <v>1</v>
      </c>
      <c r="F40" s="84">
        <v>2030</v>
      </c>
      <c r="G40" s="3">
        <f t="shared" ref="G40:Q40" si="22">IF($F40&lt;=G$4,5%,0)</f>
        <v>0.05</v>
      </c>
      <c r="H40" s="3">
        <f t="shared" si="22"/>
        <v>0.05</v>
      </c>
      <c r="I40" s="3">
        <f t="shared" si="22"/>
        <v>0.05</v>
      </c>
      <c r="J40" s="3">
        <f t="shared" si="22"/>
        <v>0.05</v>
      </c>
      <c r="K40" s="3">
        <f t="shared" si="22"/>
        <v>0.05</v>
      </c>
      <c r="L40" s="3">
        <f t="shared" si="22"/>
        <v>0.05</v>
      </c>
      <c r="M40" s="3">
        <f t="shared" si="22"/>
        <v>0.05</v>
      </c>
      <c r="N40" s="3">
        <f t="shared" si="22"/>
        <v>0.05</v>
      </c>
      <c r="O40" s="3">
        <f t="shared" si="22"/>
        <v>0.05</v>
      </c>
      <c r="P40" s="3">
        <f t="shared" si="22"/>
        <v>0.05</v>
      </c>
      <c r="Q40" s="3">
        <f t="shared" si="22"/>
        <v>0.05</v>
      </c>
      <c r="R40" s="76"/>
      <c r="S40" s="76"/>
      <c r="T40" s="76"/>
      <c r="U40" s="76"/>
      <c r="V40" s="76"/>
      <c r="W40" s="76"/>
    </row>
    <row r="41" spans="1:23">
      <c r="A41" s="84" t="s">
        <v>156</v>
      </c>
      <c r="B41" s="85" t="s">
        <v>155</v>
      </c>
      <c r="C41" s="85" t="s">
        <v>92</v>
      </c>
      <c r="D41" s="84" t="s">
        <v>80</v>
      </c>
      <c r="E41" s="84">
        <f>VLOOKUP(A41,'2a. SI Pop'!$A$5:$E$198,5,FALSE)</f>
        <v>2</v>
      </c>
      <c r="F41" s="84">
        <v>2035</v>
      </c>
      <c r="G41" s="3">
        <f t="shared" ref="G41:Q41" si="23">IF($F41&lt;=G$4,30%,0)</f>
        <v>0</v>
      </c>
      <c r="H41" s="3">
        <f t="shared" si="23"/>
        <v>0</v>
      </c>
      <c r="I41" s="3">
        <f t="shared" si="23"/>
        <v>0</v>
      </c>
      <c r="J41" s="3">
        <f t="shared" si="23"/>
        <v>0</v>
      </c>
      <c r="K41" s="3">
        <f t="shared" si="23"/>
        <v>0</v>
      </c>
      <c r="L41" s="3">
        <f t="shared" si="23"/>
        <v>0.3</v>
      </c>
      <c r="M41" s="3">
        <f t="shared" si="23"/>
        <v>0.3</v>
      </c>
      <c r="N41" s="3">
        <f t="shared" si="23"/>
        <v>0.3</v>
      </c>
      <c r="O41" s="3">
        <f t="shared" si="23"/>
        <v>0.3</v>
      </c>
      <c r="P41" s="3">
        <f t="shared" si="23"/>
        <v>0.3</v>
      </c>
      <c r="Q41" s="3">
        <f t="shared" si="23"/>
        <v>0.3</v>
      </c>
      <c r="R41" s="76"/>
      <c r="S41" s="76"/>
      <c r="T41" s="76"/>
      <c r="U41" s="76"/>
      <c r="V41" s="76"/>
      <c r="W41" s="76"/>
    </row>
    <row r="42" spans="1:23">
      <c r="A42" s="84" t="s">
        <v>158</v>
      </c>
      <c r="B42" s="85" t="s">
        <v>157</v>
      </c>
      <c r="C42" s="85" t="s">
        <v>83</v>
      </c>
      <c r="D42" s="84" t="s">
        <v>84</v>
      </c>
      <c r="E42" s="84">
        <f>VLOOKUP(A42,'2a. SI Pop'!$A$5:$E$198,5,FALSE)</f>
        <v>3</v>
      </c>
      <c r="F42" s="84">
        <v>2037</v>
      </c>
      <c r="G42" s="3">
        <f t="shared" ref="G42:Q44" si="24">IF($F42&lt;=G$4,80%,0)</f>
        <v>0</v>
      </c>
      <c r="H42" s="3">
        <f t="shared" si="24"/>
        <v>0</v>
      </c>
      <c r="I42" s="3">
        <f t="shared" si="24"/>
        <v>0</v>
      </c>
      <c r="J42" s="3">
        <f t="shared" si="24"/>
        <v>0</v>
      </c>
      <c r="K42" s="3">
        <f t="shared" si="24"/>
        <v>0</v>
      </c>
      <c r="L42" s="3">
        <f t="shared" si="24"/>
        <v>0</v>
      </c>
      <c r="M42" s="3">
        <f t="shared" si="24"/>
        <v>0</v>
      </c>
      <c r="N42" s="3">
        <f t="shared" si="24"/>
        <v>0.8</v>
      </c>
      <c r="O42" s="3">
        <f t="shared" si="24"/>
        <v>0.8</v>
      </c>
      <c r="P42" s="3">
        <f t="shared" si="24"/>
        <v>0.8</v>
      </c>
      <c r="Q42" s="3">
        <f t="shared" si="24"/>
        <v>0.8</v>
      </c>
      <c r="R42" s="76"/>
      <c r="S42" s="76"/>
      <c r="T42" s="76"/>
      <c r="U42" s="76"/>
      <c r="V42" s="76"/>
      <c r="W42" s="76"/>
    </row>
    <row r="43" spans="1:23">
      <c r="A43" s="84" t="s">
        <v>160</v>
      </c>
      <c r="B43" s="85" t="s">
        <v>159</v>
      </c>
      <c r="C43" s="85" t="s">
        <v>83</v>
      </c>
      <c r="D43" s="84" t="s">
        <v>84</v>
      </c>
      <c r="E43" s="84">
        <f>VLOOKUP(A43,'2a. SI Pop'!$A$5:$E$198,5,FALSE)</f>
        <v>3</v>
      </c>
      <c r="F43" s="84">
        <v>2032</v>
      </c>
      <c r="G43" s="3">
        <f t="shared" si="24"/>
        <v>0</v>
      </c>
      <c r="H43" s="3">
        <f t="shared" si="24"/>
        <v>0</v>
      </c>
      <c r="I43" s="3">
        <f t="shared" si="24"/>
        <v>0.8</v>
      </c>
      <c r="J43" s="3">
        <f t="shared" si="24"/>
        <v>0.8</v>
      </c>
      <c r="K43" s="3">
        <f t="shared" si="24"/>
        <v>0.8</v>
      </c>
      <c r="L43" s="3">
        <f t="shared" si="24"/>
        <v>0.8</v>
      </c>
      <c r="M43" s="3">
        <f t="shared" si="24"/>
        <v>0.8</v>
      </c>
      <c r="N43" s="3">
        <f t="shared" si="24"/>
        <v>0.8</v>
      </c>
      <c r="O43" s="3">
        <f t="shared" si="24"/>
        <v>0.8</v>
      </c>
      <c r="P43" s="3">
        <f t="shared" si="24"/>
        <v>0.8</v>
      </c>
      <c r="Q43" s="3">
        <f t="shared" si="24"/>
        <v>0.8</v>
      </c>
      <c r="R43" s="76"/>
      <c r="S43" s="76"/>
      <c r="T43" s="76"/>
      <c r="U43" s="76"/>
      <c r="V43" s="76"/>
      <c r="W43" s="76"/>
    </row>
    <row r="44" spans="1:23">
      <c r="A44" s="84" t="s">
        <v>162</v>
      </c>
      <c r="B44" s="85" t="s">
        <v>161</v>
      </c>
      <c r="C44" s="85" t="s">
        <v>99</v>
      </c>
      <c r="D44" s="84" t="e">
        <v>#N/A</v>
      </c>
      <c r="E44" s="84">
        <f>VLOOKUP(A44,'2a. SI Pop'!$A$5:$E$198,5,FALSE)</f>
        <v>1</v>
      </c>
      <c r="F44" s="84">
        <v>2040</v>
      </c>
      <c r="G44" s="3">
        <f t="shared" si="24"/>
        <v>0</v>
      </c>
      <c r="H44" s="3">
        <f t="shared" si="24"/>
        <v>0</v>
      </c>
      <c r="I44" s="3">
        <f t="shared" si="24"/>
        <v>0</v>
      </c>
      <c r="J44" s="3">
        <f t="shared" si="24"/>
        <v>0</v>
      </c>
      <c r="K44" s="3">
        <f t="shared" si="24"/>
        <v>0</v>
      </c>
      <c r="L44" s="3">
        <f t="shared" si="24"/>
        <v>0</v>
      </c>
      <c r="M44" s="3">
        <f t="shared" si="24"/>
        <v>0</v>
      </c>
      <c r="N44" s="3">
        <f t="shared" si="24"/>
        <v>0</v>
      </c>
      <c r="O44" s="3">
        <f t="shared" si="24"/>
        <v>0</v>
      </c>
      <c r="P44" s="3">
        <f t="shared" si="24"/>
        <v>0</v>
      </c>
      <c r="Q44" s="3">
        <f t="shared" si="24"/>
        <v>0.8</v>
      </c>
      <c r="R44" s="76"/>
      <c r="S44" s="76"/>
      <c r="T44" s="76"/>
      <c r="U44" s="76"/>
      <c r="V44" s="76"/>
      <c r="W44" s="76"/>
    </row>
    <row r="45" spans="1:23">
      <c r="A45" s="84" t="s">
        <v>164</v>
      </c>
      <c r="B45" s="85" t="s">
        <v>163</v>
      </c>
      <c r="C45" s="85" t="s">
        <v>92</v>
      </c>
      <c r="D45" s="84" t="s">
        <v>80</v>
      </c>
      <c r="E45" s="84">
        <f>VLOOKUP(A45,'2a. SI Pop'!$A$5:$E$198,5,FALSE)</f>
        <v>2</v>
      </c>
      <c r="F45" s="84">
        <v>2039</v>
      </c>
      <c r="G45" s="3">
        <f t="shared" ref="G45:Q45" si="25">IF($F45&lt;=G$4,30%,0)</f>
        <v>0</v>
      </c>
      <c r="H45" s="3">
        <f t="shared" si="25"/>
        <v>0</v>
      </c>
      <c r="I45" s="3">
        <f t="shared" si="25"/>
        <v>0</v>
      </c>
      <c r="J45" s="3">
        <f t="shared" si="25"/>
        <v>0</v>
      </c>
      <c r="K45" s="3">
        <f t="shared" si="25"/>
        <v>0</v>
      </c>
      <c r="L45" s="3">
        <f t="shared" si="25"/>
        <v>0</v>
      </c>
      <c r="M45" s="3">
        <f t="shared" si="25"/>
        <v>0</v>
      </c>
      <c r="N45" s="3">
        <f t="shared" si="25"/>
        <v>0</v>
      </c>
      <c r="O45" s="3">
        <f t="shared" si="25"/>
        <v>0</v>
      </c>
      <c r="P45" s="3">
        <f t="shared" si="25"/>
        <v>0.3</v>
      </c>
      <c r="Q45" s="3">
        <f t="shared" si="25"/>
        <v>0.3</v>
      </c>
      <c r="R45" s="76"/>
      <c r="S45" s="76"/>
      <c r="T45" s="76"/>
      <c r="U45" s="76"/>
      <c r="V45" s="76"/>
      <c r="W45" s="76"/>
    </row>
    <row r="46" spans="1:23">
      <c r="A46" s="84" t="s">
        <v>166</v>
      </c>
      <c r="B46" s="85" t="s">
        <v>165</v>
      </c>
      <c r="C46" s="85" t="s">
        <v>83</v>
      </c>
      <c r="D46" s="84" t="s">
        <v>84</v>
      </c>
      <c r="E46" s="84">
        <f>VLOOKUP(A46,'2a. SI Pop'!$A$5:$E$198,5,FALSE)</f>
        <v>3</v>
      </c>
      <c r="F46" s="84">
        <v>2036</v>
      </c>
      <c r="G46" s="3">
        <f t="shared" ref="G46:Q46" si="26">IF($F46&lt;=G$4,80%,0)</f>
        <v>0</v>
      </c>
      <c r="H46" s="3">
        <f t="shared" si="26"/>
        <v>0</v>
      </c>
      <c r="I46" s="3">
        <f t="shared" si="26"/>
        <v>0</v>
      </c>
      <c r="J46" s="3">
        <f t="shared" si="26"/>
        <v>0</v>
      </c>
      <c r="K46" s="3">
        <f t="shared" si="26"/>
        <v>0</v>
      </c>
      <c r="L46" s="3">
        <f t="shared" si="26"/>
        <v>0</v>
      </c>
      <c r="M46" s="3">
        <f t="shared" si="26"/>
        <v>0.8</v>
      </c>
      <c r="N46" s="3">
        <f t="shared" si="26"/>
        <v>0.8</v>
      </c>
      <c r="O46" s="3">
        <f t="shared" si="26"/>
        <v>0.8</v>
      </c>
      <c r="P46" s="3">
        <f t="shared" si="26"/>
        <v>0.8</v>
      </c>
      <c r="Q46" s="3">
        <f t="shared" si="26"/>
        <v>0.8</v>
      </c>
      <c r="R46" s="76"/>
      <c r="S46" s="76"/>
      <c r="T46" s="76"/>
      <c r="U46" s="76"/>
      <c r="V46" s="76"/>
      <c r="W46" s="76"/>
    </row>
    <row r="47" spans="1:23">
      <c r="A47" s="84" t="s">
        <v>168</v>
      </c>
      <c r="B47" s="85" t="s">
        <v>167</v>
      </c>
      <c r="C47" s="85" t="s">
        <v>79</v>
      </c>
      <c r="D47" s="84" t="s">
        <v>87</v>
      </c>
      <c r="E47" s="84">
        <f>VLOOKUP(A47,'2a. SI Pop'!$A$5:$E$198,5,FALSE)</f>
        <v>1</v>
      </c>
      <c r="F47" s="84">
        <v>2038</v>
      </c>
      <c r="G47" s="3">
        <f t="shared" ref="G47:Q50" si="27">IF($F47&lt;=G$4,5%,0)</f>
        <v>0</v>
      </c>
      <c r="H47" s="3">
        <f t="shared" si="27"/>
        <v>0</v>
      </c>
      <c r="I47" s="3">
        <f t="shared" si="27"/>
        <v>0</v>
      </c>
      <c r="J47" s="3">
        <f t="shared" si="27"/>
        <v>0</v>
      </c>
      <c r="K47" s="3">
        <f t="shared" si="27"/>
        <v>0</v>
      </c>
      <c r="L47" s="3">
        <f t="shared" si="27"/>
        <v>0</v>
      </c>
      <c r="M47" s="3">
        <f t="shared" si="27"/>
        <v>0</v>
      </c>
      <c r="N47" s="3">
        <f t="shared" si="27"/>
        <v>0</v>
      </c>
      <c r="O47" s="3">
        <f t="shared" si="27"/>
        <v>0.05</v>
      </c>
      <c r="P47" s="3">
        <f t="shared" si="27"/>
        <v>0.05</v>
      </c>
      <c r="Q47" s="3">
        <f t="shared" si="27"/>
        <v>0.05</v>
      </c>
      <c r="R47" s="76"/>
      <c r="S47" s="76"/>
      <c r="T47" s="76"/>
      <c r="U47" s="76"/>
      <c r="V47" s="76"/>
      <c r="W47" s="76"/>
    </row>
    <row r="48" spans="1:23">
      <c r="A48" s="84" t="s">
        <v>170</v>
      </c>
      <c r="B48" s="85" t="s">
        <v>169</v>
      </c>
      <c r="C48" s="85" t="s">
        <v>92</v>
      </c>
      <c r="D48" s="84" t="s">
        <v>80</v>
      </c>
      <c r="E48" s="84">
        <f>VLOOKUP(A48,'2a. SI Pop'!$A$5:$E$198,5,FALSE)</f>
        <v>1</v>
      </c>
      <c r="F48" s="84">
        <v>2040</v>
      </c>
      <c r="G48" s="3">
        <f t="shared" si="27"/>
        <v>0</v>
      </c>
      <c r="H48" s="3">
        <f t="shared" si="27"/>
        <v>0</v>
      </c>
      <c r="I48" s="3">
        <f t="shared" si="27"/>
        <v>0</v>
      </c>
      <c r="J48" s="3">
        <f t="shared" si="27"/>
        <v>0</v>
      </c>
      <c r="K48" s="3">
        <f t="shared" si="27"/>
        <v>0</v>
      </c>
      <c r="L48" s="3">
        <f t="shared" si="27"/>
        <v>0</v>
      </c>
      <c r="M48" s="3">
        <f t="shared" si="27"/>
        <v>0</v>
      </c>
      <c r="N48" s="3">
        <f t="shared" si="27"/>
        <v>0</v>
      </c>
      <c r="O48" s="3">
        <f t="shared" si="27"/>
        <v>0</v>
      </c>
      <c r="P48" s="3">
        <f t="shared" si="27"/>
        <v>0</v>
      </c>
      <c r="Q48" s="3">
        <f t="shared" si="27"/>
        <v>0.05</v>
      </c>
      <c r="R48" s="76"/>
      <c r="S48" s="76"/>
      <c r="T48" s="76"/>
      <c r="U48" s="76"/>
      <c r="V48" s="76"/>
      <c r="W48" s="76"/>
    </row>
    <row r="49" spans="1:23">
      <c r="A49" s="84" t="s">
        <v>172</v>
      </c>
      <c r="B49" s="85" t="s">
        <v>171</v>
      </c>
      <c r="C49" s="85" t="s">
        <v>79</v>
      </c>
      <c r="D49" s="84" t="s">
        <v>87</v>
      </c>
      <c r="E49" s="84">
        <f>VLOOKUP(A49,'2a. SI Pop'!$A$5:$E$198,5,FALSE)</f>
        <v>1</v>
      </c>
      <c r="F49" s="84">
        <v>2033</v>
      </c>
      <c r="G49" s="3">
        <f t="shared" si="27"/>
        <v>0</v>
      </c>
      <c r="H49" s="3">
        <f t="shared" si="27"/>
        <v>0</v>
      </c>
      <c r="I49" s="3">
        <f t="shared" si="27"/>
        <v>0</v>
      </c>
      <c r="J49" s="3">
        <f t="shared" si="27"/>
        <v>0.05</v>
      </c>
      <c r="K49" s="3">
        <f t="shared" si="27"/>
        <v>0.05</v>
      </c>
      <c r="L49" s="3">
        <f t="shared" si="27"/>
        <v>0.05</v>
      </c>
      <c r="M49" s="3">
        <f t="shared" si="27"/>
        <v>0.05</v>
      </c>
      <c r="N49" s="3">
        <f t="shared" si="27"/>
        <v>0.05</v>
      </c>
      <c r="O49" s="3">
        <f t="shared" si="27"/>
        <v>0.05</v>
      </c>
      <c r="P49" s="3">
        <f t="shared" si="27"/>
        <v>0.05</v>
      </c>
      <c r="Q49" s="3">
        <f t="shared" si="27"/>
        <v>0.05</v>
      </c>
      <c r="R49" s="76"/>
      <c r="S49" s="76"/>
      <c r="T49" s="76"/>
      <c r="U49" s="76"/>
      <c r="V49" s="76"/>
      <c r="W49" s="76"/>
    </row>
    <row r="50" spans="1:23">
      <c r="A50" s="84" t="s">
        <v>174</v>
      </c>
      <c r="B50" s="85" t="s">
        <v>173</v>
      </c>
      <c r="C50" s="85" t="s">
        <v>79</v>
      </c>
      <c r="D50" s="84" t="s">
        <v>87</v>
      </c>
      <c r="E50" s="84">
        <f>VLOOKUP(A50,'2a. SI Pop'!$A$5:$E$198,5,FALSE)</f>
        <v>1</v>
      </c>
      <c r="F50" s="84">
        <v>2032</v>
      </c>
      <c r="G50" s="3">
        <f t="shared" si="27"/>
        <v>0</v>
      </c>
      <c r="H50" s="3">
        <f t="shared" si="27"/>
        <v>0</v>
      </c>
      <c r="I50" s="3">
        <f t="shared" si="27"/>
        <v>0.05</v>
      </c>
      <c r="J50" s="3">
        <f t="shared" si="27"/>
        <v>0.05</v>
      </c>
      <c r="K50" s="3">
        <f t="shared" si="27"/>
        <v>0.05</v>
      </c>
      <c r="L50" s="3">
        <f t="shared" si="27"/>
        <v>0.05</v>
      </c>
      <c r="M50" s="3">
        <f t="shared" si="27"/>
        <v>0.05</v>
      </c>
      <c r="N50" s="3">
        <f t="shared" si="27"/>
        <v>0.05</v>
      </c>
      <c r="O50" s="3">
        <f t="shared" si="27"/>
        <v>0.05</v>
      </c>
      <c r="P50" s="3">
        <f t="shared" si="27"/>
        <v>0.05</v>
      </c>
      <c r="Q50" s="3">
        <f t="shared" si="27"/>
        <v>0.05</v>
      </c>
      <c r="R50" s="76"/>
      <c r="S50" s="76"/>
      <c r="T50" s="76"/>
      <c r="U50" s="76"/>
      <c r="V50" s="76"/>
      <c r="W50" s="76"/>
    </row>
    <row r="51" spans="1:23">
      <c r="A51" s="84" t="s">
        <v>176</v>
      </c>
      <c r="B51" s="85" t="s">
        <v>175</v>
      </c>
      <c r="C51" s="85" t="s">
        <v>110</v>
      </c>
      <c r="D51" s="84" t="s">
        <v>75</v>
      </c>
      <c r="E51" s="84">
        <f>VLOOKUP(A51,'2a. SI Pop'!$A$5:$E$198,5,FALSE)</f>
        <v>4</v>
      </c>
      <c r="F51" s="84">
        <v>2039</v>
      </c>
      <c r="G51" s="3">
        <f t="shared" ref="G51:Q52" si="28">IF($F51&lt;=G$4,80%,0)</f>
        <v>0</v>
      </c>
      <c r="H51" s="3">
        <f t="shared" si="28"/>
        <v>0</v>
      </c>
      <c r="I51" s="3">
        <f t="shared" si="28"/>
        <v>0</v>
      </c>
      <c r="J51" s="3">
        <f t="shared" si="28"/>
        <v>0</v>
      </c>
      <c r="K51" s="3">
        <f t="shared" si="28"/>
        <v>0</v>
      </c>
      <c r="L51" s="3">
        <f t="shared" si="28"/>
        <v>0</v>
      </c>
      <c r="M51" s="3">
        <f t="shared" si="28"/>
        <v>0</v>
      </c>
      <c r="N51" s="3">
        <f t="shared" si="28"/>
        <v>0</v>
      </c>
      <c r="O51" s="3">
        <f t="shared" si="28"/>
        <v>0</v>
      </c>
      <c r="P51" s="3">
        <f t="shared" si="28"/>
        <v>0.8</v>
      </c>
      <c r="Q51" s="3">
        <f t="shared" si="28"/>
        <v>0.8</v>
      </c>
      <c r="R51" s="76"/>
      <c r="S51" s="76"/>
      <c r="T51" s="76"/>
      <c r="U51" s="76"/>
      <c r="V51" s="76"/>
      <c r="W51" s="76"/>
    </row>
    <row r="52" spans="1:23">
      <c r="A52" s="84" t="s">
        <v>178</v>
      </c>
      <c r="B52" s="85" t="s">
        <v>177</v>
      </c>
      <c r="C52" s="85" t="s">
        <v>83</v>
      </c>
      <c r="D52" s="84" t="s">
        <v>75</v>
      </c>
      <c r="E52" s="84" t="str">
        <f>VLOOKUP(A52,'2a. SI Pop'!$A$5:$E$198,5,FALSE)</f>
        <v>Key</v>
      </c>
      <c r="F52" s="84">
        <v>2032</v>
      </c>
      <c r="G52" s="3">
        <f t="shared" si="28"/>
        <v>0</v>
      </c>
      <c r="H52" s="3">
        <f t="shared" si="28"/>
        <v>0</v>
      </c>
      <c r="I52" s="3">
        <f t="shared" si="28"/>
        <v>0.8</v>
      </c>
      <c r="J52" s="3">
        <f t="shared" si="28"/>
        <v>0.8</v>
      </c>
      <c r="K52" s="3">
        <f t="shared" si="28"/>
        <v>0.8</v>
      </c>
      <c r="L52" s="3">
        <f t="shared" si="28"/>
        <v>0.8</v>
      </c>
      <c r="M52" s="3">
        <f t="shared" si="28"/>
        <v>0.8</v>
      </c>
      <c r="N52" s="3">
        <f t="shared" si="28"/>
        <v>0.8</v>
      </c>
      <c r="O52" s="3">
        <f t="shared" si="28"/>
        <v>0.8</v>
      </c>
      <c r="P52" s="3">
        <f t="shared" si="28"/>
        <v>0.8</v>
      </c>
      <c r="Q52" s="3">
        <f t="shared" si="28"/>
        <v>0.8</v>
      </c>
      <c r="R52" s="76"/>
      <c r="S52" s="76"/>
      <c r="T52" s="76"/>
      <c r="U52" s="76"/>
      <c r="V52" s="76"/>
      <c r="W52" s="76"/>
    </row>
    <row r="53" spans="1:23">
      <c r="A53" s="84" t="s">
        <v>180</v>
      </c>
      <c r="B53" s="85" t="s">
        <v>179</v>
      </c>
      <c r="C53" s="85" t="s">
        <v>79</v>
      </c>
      <c r="D53" s="84" t="s">
        <v>87</v>
      </c>
      <c r="E53" s="84">
        <f>VLOOKUP(A53,'2a. SI Pop'!$A$5:$E$198,5,FALSE)</f>
        <v>1</v>
      </c>
      <c r="F53" s="84">
        <v>2035</v>
      </c>
      <c r="G53" s="3">
        <f t="shared" ref="G53:Q53" si="29">IF($F53&lt;=G$4,5%,0)</f>
        <v>0</v>
      </c>
      <c r="H53" s="3">
        <f t="shared" si="29"/>
        <v>0</v>
      </c>
      <c r="I53" s="3">
        <f t="shared" si="29"/>
        <v>0</v>
      </c>
      <c r="J53" s="3">
        <f t="shared" si="29"/>
        <v>0</v>
      </c>
      <c r="K53" s="3">
        <f t="shared" si="29"/>
        <v>0</v>
      </c>
      <c r="L53" s="3">
        <f t="shared" si="29"/>
        <v>0.05</v>
      </c>
      <c r="M53" s="3">
        <f t="shared" si="29"/>
        <v>0.05</v>
      </c>
      <c r="N53" s="3">
        <f t="shared" si="29"/>
        <v>0.05</v>
      </c>
      <c r="O53" s="3">
        <f t="shared" si="29"/>
        <v>0.05</v>
      </c>
      <c r="P53" s="3">
        <f t="shared" si="29"/>
        <v>0.05</v>
      </c>
      <c r="Q53" s="3">
        <f t="shared" si="29"/>
        <v>0.05</v>
      </c>
      <c r="R53" s="76"/>
      <c r="S53" s="76"/>
      <c r="T53" s="76"/>
      <c r="U53" s="76"/>
      <c r="V53" s="76"/>
      <c r="W53" s="76"/>
    </row>
    <row r="54" spans="1:23">
      <c r="A54" s="84" t="s">
        <v>182</v>
      </c>
      <c r="B54" s="85" t="s">
        <v>181</v>
      </c>
      <c r="C54" s="85" t="s">
        <v>74</v>
      </c>
      <c r="D54" s="84" t="s">
        <v>84</v>
      </c>
      <c r="E54" s="84">
        <f>VLOOKUP(A54,'2a. SI Pop'!$A$5:$E$198,5,FALSE)</f>
        <v>3</v>
      </c>
      <c r="F54" s="84">
        <v>2040</v>
      </c>
      <c r="G54" s="3">
        <f t="shared" ref="G54:Q54" si="30">IF($F54&lt;=G$4,80%,0)</f>
        <v>0</v>
      </c>
      <c r="H54" s="3">
        <f t="shared" si="30"/>
        <v>0</v>
      </c>
      <c r="I54" s="3">
        <f t="shared" si="30"/>
        <v>0</v>
      </c>
      <c r="J54" s="3">
        <f t="shared" si="30"/>
        <v>0</v>
      </c>
      <c r="K54" s="3">
        <f t="shared" si="30"/>
        <v>0</v>
      </c>
      <c r="L54" s="3">
        <f t="shared" si="30"/>
        <v>0</v>
      </c>
      <c r="M54" s="3">
        <f t="shared" si="30"/>
        <v>0</v>
      </c>
      <c r="N54" s="3">
        <f t="shared" si="30"/>
        <v>0</v>
      </c>
      <c r="O54" s="3">
        <f t="shared" si="30"/>
        <v>0</v>
      </c>
      <c r="P54" s="3">
        <f t="shared" si="30"/>
        <v>0</v>
      </c>
      <c r="Q54" s="3">
        <f t="shared" si="30"/>
        <v>0.8</v>
      </c>
      <c r="R54" s="76"/>
      <c r="S54" s="76"/>
      <c r="T54" s="76"/>
      <c r="U54" s="76"/>
      <c r="V54" s="76"/>
      <c r="W54" s="76"/>
    </row>
    <row r="55" spans="1:23">
      <c r="A55" s="84" t="s">
        <v>184</v>
      </c>
      <c r="B55" s="85" t="s">
        <v>183</v>
      </c>
      <c r="C55" s="85" t="s">
        <v>92</v>
      </c>
      <c r="D55" s="84" t="s">
        <v>80</v>
      </c>
      <c r="E55" s="84">
        <f>VLOOKUP(A55,'2a. SI Pop'!$A$5:$E$198,5,FALSE)</f>
        <v>2</v>
      </c>
      <c r="F55" s="84">
        <v>2041</v>
      </c>
      <c r="G55" s="3">
        <f t="shared" ref="G55:Q58" si="31">IF($F55&lt;=G$4,30%,0)</f>
        <v>0</v>
      </c>
      <c r="H55" s="3">
        <f t="shared" si="31"/>
        <v>0</v>
      </c>
      <c r="I55" s="3">
        <f t="shared" si="31"/>
        <v>0</v>
      </c>
      <c r="J55" s="3">
        <f t="shared" si="31"/>
        <v>0</v>
      </c>
      <c r="K55" s="3">
        <f t="shared" si="31"/>
        <v>0</v>
      </c>
      <c r="L55" s="3">
        <f t="shared" si="31"/>
        <v>0</v>
      </c>
      <c r="M55" s="3">
        <f t="shared" si="31"/>
        <v>0</v>
      </c>
      <c r="N55" s="3">
        <f t="shared" si="31"/>
        <v>0</v>
      </c>
      <c r="O55" s="3">
        <f t="shared" si="31"/>
        <v>0</v>
      </c>
      <c r="P55" s="3">
        <f t="shared" si="31"/>
        <v>0</v>
      </c>
      <c r="Q55" s="3">
        <f t="shared" si="31"/>
        <v>0</v>
      </c>
      <c r="R55" s="76"/>
      <c r="S55" s="76"/>
      <c r="T55" s="76"/>
      <c r="U55" s="76"/>
      <c r="V55" s="76"/>
      <c r="W55" s="76"/>
    </row>
    <row r="56" spans="1:23">
      <c r="A56" s="84" t="s">
        <v>184</v>
      </c>
      <c r="B56" s="85" t="s">
        <v>185</v>
      </c>
      <c r="C56" s="85" t="s">
        <v>92</v>
      </c>
      <c r="D56" s="84" t="s">
        <v>80</v>
      </c>
      <c r="E56" s="84">
        <f>VLOOKUP(A56,'2a. SI Pop'!$A$5:$E$198,5,FALSE)</f>
        <v>2</v>
      </c>
      <c r="F56" s="84">
        <v>2041</v>
      </c>
      <c r="G56" s="3">
        <f t="shared" si="31"/>
        <v>0</v>
      </c>
      <c r="H56" s="3">
        <f t="shared" si="31"/>
        <v>0</v>
      </c>
      <c r="I56" s="3">
        <f t="shared" si="31"/>
        <v>0</v>
      </c>
      <c r="J56" s="3">
        <f t="shared" si="31"/>
        <v>0</v>
      </c>
      <c r="K56" s="3">
        <f t="shared" si="31"/>
        <v>0</v>
      </c>
      <c r="L56" s="3">
        <f t="shared" si="31"/>
        <v>0</v>
      </c>
      <c r="M56" s="3">
        <f t="shared" si="31"/>
        <v>0</v>
      </c>
      <c r="N56" s="3">
        <f t="shared" si="31"/>
        <v>0</v>
      </c>
      <c r="O56" s="3">
        <f t="shared" si="31"/>
        <v>0</v>
      </c>
      <c r="P56" s="3">
        <f t="shared" si="31"/>
        <v>0</v>
      </c>
      <c r="Q56" s="3">
        <f t="shared" si="31"/>
        <v>0</v>
      </c>
      <c r="R56" s="76"/>
      <c r="S56" s="76"/>
      <c r="T56" s="76"/>
      <c r="U56" s="76"/>
      <c r="V56" s="76"/>
      <c r="W56" s="76"/>
    </row>
    <row r="57" spans="1:23">
      <c r="A57" s="84" t="s">
        <v>187</v>
      </c>
      <c r="B57" s="85" t="s">
        <v>186</v>
      </c>
      <c r="C57" s="85" t="s">
        <v>92</v>
      </c>
      <c r="D57" s="84" t="s">
        <v>80</v>
      </c>
      <c r="E57" s="84">
        <f>VLOOKUP(A57,'2a. SI Pop'!$A$5:$E$198,5,FALSE)</f>
        <v>2</v>
      </c>
      <c r="F57" s="84">
        <v>2040</v>
      </c>
      <c r="G57" s="3">
        <f t="shared" si="31"/>
        <v>0</v>
      </c>
      <c r="H57" s="3">
        <f t="shared" si="31"/>
        <v>0</v>
      </c>
      <c r="I57" s="3">
        <f t="shared" si="31"/>
        <v>0</v>
      </c>
      <c r="J57" s="3">
        <f t="shared" si="31"/>
        <v>0</v>
      </c>
      <c r="K57" s="3">
        <f t="shared" si="31"/>
        <v>0</v>
      </c>
      <c r="L57" s="3">
        <f t="shared" si="31"/>
        <v>0</v>
      </c>
      <c r="M57" s="3">
        <f t="shared" si="31"/>
        <v>0</v>
      </c>
      <c r="N57" s="3">
        <f t="shared" si="31"/>
        <v>0</v>
      </c>
      <c r="O57" s="3">
        <f t="shared" si="31"/>
        <v>0</v>
      </c>
      <c r="P57" s="3">
        <f t="shared" si="31"/>
        <v>0</v>
      </c>
      <c r="Q57" s="3">
        <f t="shared" si="31"/>
        <v>0.3</v>
      </c>
      <c r="R57" s="76"/>
      <c r="S57" s="76"/>
      <c r="T57" s="76"/>
      <c r="U57" s="76"/>
      <c r="V57" s="76"/>
      <c r="W57" s="76"/>
    </row>
    <row r="58" spans="1:23">
      <c r="A58" s="84" t="s">
        <v>189</v>
      </c>
      <c r="B58" s="85" t="s">
        <v>188</v>
      </c>
      <c r="C58" s="85" t="s">
        <v>74</v>
      </c>
      <c r="D58" s="84" t="s">
        <v>84</v>
      </c>
      <c r="E58" s="84">
        <f>VLOOKUP(A58,'2a. SI Pop'!$A$5:$E$198,5,FALSE)</f>
        <v>2</v>
      </c>
      <c r="F58" s="84">
        <v>2038</v>
      </c>
      <c r="G58" s="3">
        <f t="shared" si="31"/>
        <v>0</v>
      </c>
      <c r="H58" s="3">
        <f t="shared" si="31"/>
        <v>0</v>
      </c>
      <c r="I58" s="3">
        <f t="shared" si="31"/>
        <v>0</v>
      </c>
      <c r="J58" s="3">
        <f t="shared" si="31"/>
        <v>0</v>
      </c>
      <c r="K58" s="3">
        <f t="shared" si="31"/>
        <v>0</v>
      </c>
      <c r="L58" s="3">
        <f t="shared" si="31"/>
        <v>0</v>
      </c>
      <c r="M58" s="3">
        <f t="shared" si="31"/>
        <v>0</v>
      </c>
      <c r="N58" s="3">
        <f t="shared" si="31"/>
        <v>0</v>
      </c>
      <c r="O58" s="3">
        <f t="shared" si="31"/>
        <v>0.3</v>
      </c>
      <c r="P58" s="3">
        <f t="shared" si="31"/>
        <v>0.3</v>
      </c>
      <c r="Q58" s="3">
        <f t="shared" si="31"/>
        <v>0.3</v>
      </c>
      <c r="R58" s="76"/>
      <c r="S58" s="76"/>
      <c r="T58" s="76"/>
      <c r="U58" s="76"/>
      <c r="V58" s="76"/>
      <c r="W58" s="76"/>
    </row>
    <row r="59" spans="1:23">
      <c r="A59" s="84" t="s">
        <v>191</v>
      </c>
      <c r="B59" s="85" t="s">
        <v>190</v>
      </c>
      <c r="C59" s="85" t="s">
        <v>92</v>
      </c>
      <c r="D59" s="84" t="s">
        <v>84</v>
      </c>
      <c r="E59" s="84">
        <f>VLOOKUP(A59,'2a. SI Pop'!$A$5:$E$198,5,FALSE)</f>
        <v>1</v>
      </c>
      <c r="F59" s="84">
        <v>2041</v>
      </c>
      <c r="G59" s="3">
        <f t="shared" ref="G59:Q59" si="32">IF($F59&lt;=G$4,5%,0)</f>
        <v>0</v>
      </c>
      <c r="H59" s="3">
        <f t="shared" si="32"/>
        <v>0</v>
      </c>
      <c r="I59" s="3">
        <f t="shared" si="32"/>
        <v>0</v>
      </c>
      <c r="J59" s="3">
        <f t="shared" si="32"/>
        <v>0</v>
      </c>
      <c r="K59" s="3">
        <f t="shared" si="32"/>
        <v>0</v>
      </c>
      <c r="L59" s="3">
        <f t="shared" si="32"/>
        <v>0</v>
      </c>
      <c r="M59" s="3">
        <f t="shared" si="32"/>
        <v>0</v>
      </c>
      <c r="N59" s="3">
        <f t="shared" si="32"/>
        <v>0</v>
      </c>
      <c r="O59" s="3">
        <f t="shared" si="32"/>
        <v>0</v>
      </c>
      <c r="P59" s="3">
        <f t="shared" si="32"/>
        <v>0</v>
      </c>
      <c r="Q59" s="3">
        <f t="shared" si="32"/>
        <v>0</v>
      </c>
      <c r="R59" s="76"/>
      <c r="S59" s="76"/>
      <c r="T59" s="76"/>
      <c r="U59" s="76"/>
      <c r="V59" s="76"/>
      <c r="W59" s="76"/>
    </row>
    <row r="60" spans="1:23">
      <c r="A60" s="84" t="s">
        <v>193</v>
      </c>
      <c r="B60" s="85" t="s">
        <v>192</v>
      </c>
      <c r="C60" s="85" t="s">
        <v>83</v>
      </c>
      <c r="D60" s="84" t="s">
        <v>80</v>
      </c>
      <c r="E60" s="84">
        <f>VLOOKUP(A60,'2a. SI Pop'!$A$5:$E$198,5,FALSE)</f>
        <v>3</v>
      </c>
      <c r="F60" s="84">
        <v>2035</v>
      </c>
      <c r="G60" s="3">
        <f t="shared" ref="G60:Q61" si="33">IF($F60&lt;=G$4,80%,0)</f>
        <v>0</v>
      </c>
      <c r="H60" s="3">
        <f t="shared" si="33"/>
        <v>0</v>
      </c>
      <c r="I60" s="3">
        <f t="shared" si="33"/>
        <v>0</v>
      </c>
      <c r="J60" s="3">
        <f t="shared" si="33"/>
        <v>0</v>
      </c>
      <c r="K60" s="3">
        <f t="shared" si="33"/>
        <v>0</v>
      </c>
      <c r="L60" s="3">
        <f t="shared" si="33"/>
        <v>0.8</v>
      </c>
      <c r="M60" s="3">
        <f t="shared" si="33"/>
        <v>0.8</v>
      </c>
      <c r="N60" s="3">
        <f t="shared" si="33"/>
        <v>0.8</v>
      </c>
      <c r="O60" s="3">
        <f t="shared" si="33"/>
        <v>0.8</v>
      </c>
      <c r="P60" s="3">
        <f t="shared" si="33"/>
        <v>0.8</v>
      </c>
      <c r="Q60" s="3">
        <f t="shared" si="33"/>
        <v>0.8</v>
      </c>
      <c r="R60" s="76"/>
      <c r="S60" s="76"/>
      <c r="T60" s="76"/>
      <c r="U60" s="76"/>
      <c r="V60" s="76"/>
      <c r="W60" s="76"/>
    </row>
    <row r="61" spans="1:23">
      <c r="A61" s="84" t="s">
        <v>195</v>
      </c>
      <c r="B61" s="85" t="s">
        <v>194</v>
      </c>
      <c r="C61" s="85" t="s">
        <v>83</v>
      </c>
      <c r="D61" s="84" t="s">
        <v>75</v>
      </c>
      <c r="E61" s="84">
        <f>VLOOKUP(A61,'2a. SI Pop'!$A$5:$E$198,5,FALSE)</f>
        <v>3</v>
      </c>
      <c r="F61" s="84">
        <v>2038</v>
      </c>
      <c r="G61" s="3">
        <f t="shared" si="33"/>
        <v>0</v>
      </c>
      <c r="H61" s="3">
        <f t="shared" si="33"/>
        <v>0</v>
      </c>
      <c r="I61" s="3">
        <f t="shared" si="33"/>
        <v>0</v>
      </c>
      <c r="J61" s="3">
        <f t="shared" si="33"/>
        <v>0</v>
      </c>
      <c r="K61" s="3">
        <f t="shared" si="33"/>
        <v>0</v>
      </c>
      <c r="L61" s="3">
        <f t="shared" si="33"/>
        <v>0</v>
      </c>
      <c r="M61" s="3">
        <f t="shared" si="33"/>
        <v>0</v>
      </c>
      <c r="N61" s="3">
        <f t="shared" si="33"/>
        <v>0</v>
      </c>
      <c r="O61" s="3">
        <f t="shared" si="33"/>
        <v>0.8</v>
      </c>
      <c r="P61" s="3">
        <f t="shared" si="33"/>
        <v>0.8</v>
      </c>
      <c r="Q61" s="3">
        <f t="shared" si="33"/>
        <v>0.8</v>
      </c>
      <c r="R61" s="76"/>
      <c r="S61" s="76"/>
      <c r="T61" s="76"/>
      <c r="U61" s="76"/>
      <c r="V61" s="76"/>
      <c r="W61" s="76"/>
    </row>
    <row r="62" spans="1:23">
      <c r="A62" s="84" t="s">
        <v>197</v>
      </c>
      <c r="B62" s="85" t="s">
        <v>196</v>
      </c>
      <c r="C62" s="85" t="s">
        <v>79</v>
      </c>
      <c r="D62" s="84" t="s">
        <v>87</v>
      </c>
      <c r="E62" s="84">
        <f>VLOOKUP(A62,'2a. SI Pop'!$A$5:$E$198,5,FALSE)</f>
        <v>1</v>
      </c>
      <c r="F62" s="84">
        <v>2038</v>
      </c>
      <c r="G62" s="3">
        <f t="shared" ref="G62:Q62" si="34">IF($F62&lt;=G$4,5%,0)</f>
        <v>0</v>
      </c>
      <c r="H62" s="3">
        <f t="shared" si="34"/>
        <v>0</v>
      </c>
      <c r="I62" s="3">
        <f t="shared" si="34"/>
        <v>0</v>
      </c>
      <c r="J62" s="3">
        <f t="shared" si="34"/>
        <v>0</v>
      </c>
      <c r="K62" s="3">
        <f t="shared" si="34"/>
        <v>0</v>
      </c>
      <c r="L62" s="3">
        <f t="shared" si="34"/>
        <v>0</v>
      </c>
      <c r="M62" s="3">
        <f t="shared" si="34"/>
        <v>0</v>
      </c>
      <c r="N62" s="3">
        <f t="shared" si="34"/>
        <v>0</v>
      </c>
      <c r="O62" s="3">
        <f t="shared" si="34"/>
        <v>0.05</v>
      </c>
      <c r="P62" s="3">
        <f t="shared" si="34"/>
        <v>0.05</v>
      </c>
      <c r="Q62" s="3">
        <f t="shared" si="34"/>
        <v>0.05</v>
      </c>
      <c r="R62" s="76"/>
      <c r="S62" s="76"/>
      <c r="T62" s="76"/>
      <c r="U62" s="76"/>
      <c r="V62" s="76"/>
      <c r="W62" s="76"/>
    </row>
    <row r="63" spans="1:23">
      <c r="A63" s="84" t="s">
        <v>199</v>
      </c>
      <c r="B63" s="85" t="s">
        <v>198</v>
      </c>
      <c r="C63" s="85" t="s">
        <v>83</v>
      </c>
      <c r="D63" s="84" t="s">
        <v>75</v>
      </c>
      <c r="E63" s="84" t="str">
        <f>VLOOKUP(A63,'2a. SI Pop'!$A$5:$E$198,5,FALSE)</f>
        <v>Key</v>
      </c>
      <c r="F63" s="84">
        <v>2033</v>
      </c>
      <c r="G63" s="3">
        <f t="shared" ref="G63:Q64" si="35">IF($F63&lt;=G$4,80%,0)</f>
        <v>0</v>
      </c>
      <c r="H63" s="3">
        <f t="shared" si="35"/>
        <v>0</v>
      </c>
      <c r="I63" s="3">
        <f t="shared" si="35"/>
        <v>0</v>
      </c>
      <c r="J63" s="3">
        <f t="shared" si="35"/>
        <v>0.8</v>
      </c>
      <c r="K63" s="3">
        <f t="shared" si="35"/>
        <v>0.8</v>
      </c>
      <c r="L63" s="3">
        <f t="shared" si="35"/>
        <v>0.8</v>
      </c>
      <c r="M63" s="3">
        <f t="shared" si="35"/>
        <v>0.8</v>
      </c>
      <c r="N63" s="3">
        <f t="shared" si="35"/>
        <v>0.8</v>
      </c>
      <c r="O63" s="3">
        <f t="shared" si="35"/>
        <v>0.8</v>
      </c>
      <c r="P63" s="3">
        <f t="shared" si="35"/>
        <v>0.8</v>
      </c>
      <c r="Q63" s="3">
        <f t="shared" si="35"/>
        <v>0.8</v>
      </c>
      <c r="R63" s="76"/>
      <c r="S63" s="76"/>
      <c r="T63" s="76"/>
      <c r="U63" s="76"/>
      <c r="V63" s="76"/>
      <c r="W63" s="76"/>
    </row>
    <row r="64" spans="1:23">
      <c r="A64" s="84" t="s">
        <v>201</v>
      </c>
      <c r="B64" s="85" t="s">
        <v>200</v>
      </c>
      <c r="C64" s="85" t="s">
        <v>99</v>
      </c>
      <c r="D64" s="84" t="s">
        <v>80</v>
      </c>
      <c r="E64" s="84">
        <f>VLOOKUP(A64,'2a. SI Pop'!$A$5:$E$198,5,FALSE)</f>
        <v>4</v>
      </c>
      <c r="F64" s="84">
        <v>2034</v>
      </c>
      <c r="G64" s="3">
        <f t="shared" si="35"/>
        <v>0</v>
      </c>
      <c r="H64" s="3">
        <f t="shared" si="35"/>
        <v>0</v>
      </c>
      <c r="I64" s="3">
        <f t="shared" si="35"/>
        <v>0</v>
      </c>
      <c r="J64" s="3">
        <f t="shared" si="35"/>
        <v>0</v>
      </c>
      <c r="K64" s="3">
        <f t="shared" si="35"/>
        <v>0.8</v>
      </c>
      <c r="L64" s="3">
        <f t="shared" si="35"/>
        <v>0.8</v>
      </c>
      <c r="M64" s="3">
        <f t="shared" si="35"/>
        <v>0.8</v>
      </c>
      <c r="N64" s="3">
        <f t="shared" si="35"/>
        <v>0.8</v>
      </c>
      <c r="O64" s="3">
        <f t="shared" si="35"/>
        <v>0.8</v>
      </c>
      <c r="P64" s="3">
        <f t="shared" si="35"/>
        <v>0.8</v>
      </c>
      <c r="Q64" s="3">
        <f t="shared" si="35"/>
        <v>0.8</v>
      </c>
      <c r="R64" s="76"/>
      <c r="S64" s="76"/>
      <c r="T64" s="76"/>
      <c r="U64" s="76"/>
      <c r="V64" s="76"/>
      <c r="W64" s="76"/>
    </row>
    <row r="65" spans="1:23">
      <c r="A65" s="84" t="s">
        <v>203</v>
      </c>
      <c r="B65" s="85" t="s">
        <v>202</v>
      </c>
      <c r="C65" s="85" t="s">
        <v>79</v>
      </c>
      <c r="D65" s="84" t="s">
        <v>87</v>
      </c>
      <c r="E65" s="84">
        <f>VLOOKUP(A65,'2a. SI Pop'!$A$5:$E$198,5,FALSE)</f>
        <v>1</v>
      </c>
      <c r="F65" s="84">
        <v>2035</v>
      </c>
      <c r="G65" s="3">
        <f t="shared" ref="G65:Q66" si="36">IF($F65&lt;=G$4,5%,0)</f>
        <v>0</v>
      </c>
      <c r="H65" s="3">
        <f t="shared" si="36"/>
        <v>0</v>
      </c>
      <c r="I65" s="3">
        <f t="shared" si="36"/>
        <v>0</v>
      </c>
      <c r="J65" s="3">
        <f t="shared" si="36"/>
        <v>0</v>
      </c>
      <c r="K65" s="3">
        <f t="shared" si="36"/>
        <v>0</v>
      </c>
      <c r="L65" s="3">
        <f t="shared" si="36"/>
        <v>0.05</v>
      </c>
      <c r="M65" s="3">
        <f t="shared" si="36"/>
        <v>0.05</v>
      </c>
      <c r="N65" s="3">
        <f t="shared" si="36"/>
        <v>0.05</v>
      </c>
      <c r="O65" s="3">
        <f t="shared" si="36"/>
        <v>0.05</v>
      </c>
      <c r="P65" s="3">
        <f t="shared" si="36"/>
        <v>0.05</v>
      </c>
      <c r="Q65" s="3">
        <f t="shared" si="36"/>
        <v>0.05</v>
      </c>
      <c r="R65" s="76"/>
      <c r="S65" s="76"/>
      <c r="T65" s="76"/>
      <c r="U65" s="76"/>
      <c r="V65" s="76"/>
      <c r="W65" s="76"/>
    </row>
    <row r="66" spans="1:23">
      <c r="A66" s="84" t="s">
        <v>205</v>
      </c>
      <c r="B66" s="85" t="s">
        <v>204</v>
      </c>
      <c r="C66" s="85" t="s">
        <v>79</v>
      </c>
      <c r="D66" s="84" t="s">
        <v>87</v>
      </c>
      <c r="E66" s="84">
        <f>VLOOKUP(A66,'2a. SI Pop'!$A$5:$E$198,5,FALSE)</f>
        <v>1</v>
      </c>
      <c r="F66" s="84">
        <v>2030</v>
      </c>
      <c r="G66" s="3">
        <f t="shared" si="36"/>
        <v>0.05</v>
      </c>
      <c r="H66" s="3">
        <f t="shared" si="36"/>
        <v>0.05</v>
      </c>
      <c r="I66" s="3">
        <f t="shared" si="36"/>
        <v>0.05</v>
      </c>
      <c r="J66" s="3">
        <f t="shared" si="36"/>
        <v>0.05</v>
      </c>
      <c r="K66" s="3">
        <f t="shared" si="36"/>
        <v>0.05</v>
      </c>
      <c r="L66" s="3">
        <f t="shared" si="36"/>
        <v>0.05</v>
      </c>
      <c r="M66" s="3">
        <f t="shared" si="36"/>
        <v>0.05</v>
      </c>
      <c r="N66" s="3">
        <f t="shared" si="36"/>
        <v>0.05</v>
      </c>
      <c r="O66" s="3">
        <f t="shared" si="36"/>
        <v>0.05</v>
      </c>
      <c r="P66" s="3">
        <f t="shared" si="36"/>
        <v>0.05</v>
      </c>
      <c r="Q66" s="3">
        <f t="shared" si="36"/>
        <v>0.05</v>
      </c>
      <c r="R66" s="76"/>
      <c r="S66" s="76"/>
      <c r="T66" s="76"/>
      <c r="U66" s="76"/>
      <c r="V66" s="76"/>
      <c r="W66" s="76"/>
    </row>
    <row r="67" spans="1:23">
      <c r="A67" s="84" t="s">
        <v>207</v>
      </c>
      <c r="B67" s="85" t="s">
        <v>206</v>
      </c>
      <c r="C67" s="85" t="s">
        <v>83</v>
      </c>
      <c r="D67" s="84" t="s">
        <v>80</v>
      </c>
      <c r="E67" s="84">
        <f>VLOOKUP(A67,'2a. SI Pop'!$A$5:$E$198,5,FALSE)</f>
        <v>3</v>
      </c>
      <c r="F67" s="84">
        <v>2035</v>
      </c>
      <c r="G67" s="3">
        <f t="shared" ref="G67:Q68" si="37">IF($F67&lt;=G$4,80%,0)</f>
        <v>0</v>
      </c>
      <c r="H67" s="3">
        <f t="shared" si="37"/>
        <v>0</v>
      </c>
      <c r="I67" s="3">
        <f t="shared" si="37"/>
        <v>0</v>
      </c>
      <c r="J67" s="3">
        <f t="shared" si="37"/>
        <v>0</v>
      </c>
      <c r="K67" s="3">
        <f t="shared" si="37"/>
        <v>0</v>
      </c>
      <c r="L67" s="3">
        <f t="shared" si="37"/>
        <v>0.8</v>
      </c>
      <c r="M67" s="3">
        <f t="shared" si="37"/>
        <v>0.8</v>
      </c>
      <c r="N67" s="3">
        <f t="shared" si="37"/>
        <v>0.8</v>
      </c>
      <c r="O67" s="3">
        <f t="shared" si="37"/>
        <v>0.8</v>
      </c>
      <c r="P67" s="3">
        <f t="shared" si="37"/>
        <v>0.8</v>
      </c>
      <c r="Q67" s="3">
        <f t="shared" si="37"/>
        <v>0.8</v>
      </c>
      <c r="R67" s="76"/>
      <c r="S67" s="76"/>
      <c r="T67" s="76"/>
      <c r="U67" s="76"/>
      <c r="V67" s="76"/>
      <c r="W67" s="76"/>
    </row>
    <row r="68" spans="1:23">
      <c r="A68" s="84" t="s">
        <v>209</v>
      </c>
      <c r="B68" s="85" t="s">
        <v>208</v>
      </c>
      <c r="C68" s="85" t="s">
        <v>83</v>
      </c>
      <c r="D68" s="84" t="s">
        <v>75</v>
      </c>
      <c r="E68" s="84">
        <f>VLOOKUP(A68,'2a. SI Pop'!$A$5:$E$198,5,FALSE)</f>
        <v>3</v>
      </c>
      <c r="F68" s="84">
        <v>2035</v>
      </c>
      <c r="G68" s="3">
        <f t="shared" si="37"/>
        <v>0</v>
      </c>
      <c r="H68" s="3">
        <f t="shared" si="37"/>
        <v>0</v>
      </c>
      <c r="I68" s="3">
        <f t="shared" si="37"/>
        <v>0</v>
      </c>
      <c r="J68" s="3">
        <f t="shared" si="37"/>
        <v>0</v>
      </c>
      <c r="K68" s="3">
        <f t="shared" si="37"/>
        <v>0</v>
      </c>
      <c r="L68" s="3">
        <f t="shared" si="37"/>
        <v>0.8</v>
      </c>
      <c r="M68" s="3">
        <f t="shared" si="37"/>
        <v>0.8</v>
      </c>
      <c r="N68" s="3">
        <f t="shared" si="37"/>
        <v>0.8</v>
      </c>
      <c r="O68" s="3">
        <f t="shared" si="37"/>
        <v>0.8</v>
      </c>
      <c r="P68" s="3">
        <f t="shared" si="37"/>
        <v>0.8</v>
      </c>
      <c r="Q68" s="3">
        <f t="shared" si="37"/>
        <v>0.8</v>
      </c>
      <c r="R68" s="76"/>
      <c r="S68" s="76"/>
      <c r="T68" s="76"/>
      <c r="U68" s="76"/>
      <c r="V68" s="76"/>
      <c r="W68" s="76"/>
    </row>
    <row r="69" spans="1:23">
      <c r="A69" s="84" t="s">
        <v>211</v>
      </c>
      <c r="B69" s="85" t="s">
        <v>210</v>
      </c>
      <c r="C69" s="85" t="s">
        <v>79</v>
      </c>
      <c r="D69" s="84" t="s">
        <v>80</v>
      </c>
      <c r="E69" s="84">
        <f>VLOOKUP(A69,'2a. SI Pop'!$A$5:$E$198,5,FALSE)</f>
        <v>1</v>
      </c>
      <c r="F69" s="84">
        <v>2037</v>
      </c>
      <c r="G69" s="3">
        <f t="shared" ref="G69:Q70" si="38">IF($F69&lt;=G$4,5%,0)</f>
        <v>0</v>
      </c>
      <c r="H69" s="3">
        <f t="shared" si="38"/>
        <v>0</v>
      </c>
      <c r="I69" s="3">
        <f t="shared" si="38"/>
        <v>0</v>
      </c>
      <c r="J69" s="3">
        <f t="shared" si="38"/>
        <v>0</v>
      </c>
      <c r="K69" s="3">
        <f t="shared" si="38"/>
        <v>0</v>
      </c>
      <c r="L69" s="3">
        <f t="shared" si="38"/>
        <v>0</v>
      </c>
      <c r="M69" s="3">
        <f t="shared" si="38"/>
        <v>0</v>
      </c>
      <c r="N69" s="3">
        <f t="shared" si="38"/>
        <v>0.05</v>
      </c>
      <c r="O69" s="3">
        <f t="shared" si="38"/>
        <v>0.05</v>
      </c>
      <c r="P69" s="3">
        <f t="shared" si="38"/>
        <v>0.05</v>
      </c>
      <c r="Q69" s="3">
        <f t="shared" si="38"/>
        <v>0.05</v>
      </c>
      <c r="R69" s="76"/>
      <c r="S69" s="76"/>
      <c r="T69" s="76"/>
      <c r="U69" s="76"/>
      <c r="V69" s="76"/>
      <c r="W69" s="76"/>
    </row>
    <row r="70" spans="1:23">
      <c r="A70" s="84" t="s">
        <v>213</v>
      </c>
      <c r="B70" s="85" t="s">
        <v>212</v>
      </c>
      <c r="C70" s="85" t="s">
        <v>79</v>
      </c>
      <c r="D70" s="84" t="s">
        <v>87</v>
      </c>
      <c r="E70" s="84">
        <f>VLOOKUP(A70,'2a. SI Pop'!$A$5:$E$198,5,FALSE)</f>
        <v>1</v>
      </c>
      <c r="F70" s="84">
        <v>2030</v>
      </c>
      <c r="G70" s="3">
        <f t="shared" si="38"/>
        <v>0.05</v>
      </c>
      <c r="H70" s="3">
        <f t="shared" si="38"/>
        <v>0.05</v>
      </c>
      <c r="I70" s="3">
        <f t="shared" si="38"/>
        <v>0.05</v>
      </c>
      <c r="J70" s="3">
        <f t="shared" si="38"/>
        <v>0.05</v>
      </c>
      <c r="K70" s="3">
        <f t="shared" si="38"/>
        <v>0.05</v>
      </c>
      <c r="L70" s="3">
        <f t="shared" si="38"/>
        <v>0.05</v>
      </c>
      <c r="M70" s="3">
        <f t="shared" si="38"/>
        <v>0.05</v>
      </c>
      <c r="N70" s="3">
        <f t="shared" si="38"/>
        <v>0.05</v>
      </c>
      <c r="O70" s="3">
        <f t="shared" si="38"/>
        <v>0.05</v>
      </c>
      <c r="P70" s="3">
        <f t="shared" si="38"/>
        <v>0.05</v>
      </c>
      <c r="Q70" s="3">
        <f t="shared" si="38"/>
        <v>0.05</v>
      </c>
      <c r="R70" s="76"/>
      <c r="S70" s="76"/>
      <c r="T70" s="76"/>
      <c r="U70" s="76"/>
      <c r="V70" s="76"/>
      <c r="W70" s="76"/>
    </row>
    <row r="71" spans="1:23">
      <c r="A71" s="84" t="s">
        <v>215</v>
      </c>
      <c r="B71" s="85" t="s">
        <v>214</v>
      </c>
      <c r="C71" s="85" t="s">
        <v>83</v>
      </c>
      <c r="D71" s="84" t="s">
        <v>84</v>
      </c>
      <c r="E71" s="84">
        <f>VLOOKUP(A71,'2a. SI Pop'!$A$5:$E$198,5,FALSE)</f>
        <v>3</v>
      </c>
      <c r="F71" s="84">
        <v>2032</v>
      </c>
      <c r="G71" s="3">
        <f t="shared" ref="G71:Q71" si="39">IF($F71&lt;=G$4,80%,0)</f>
        <v>0</v>
      </c>
      <c r="H71" s="3">
        <f t="shared" si="39"/>
        <v>0</v>
      </c>
      <c r="I71" s="3">
        <f t="shared" si="39"/>
        <v>0.8</v>
      </c>
      <c r="J71" s="3">
        <f t="shared" si="39"/>
        <v>0.8</v>
      </c>
      <c r="K71" s="3">
        <f t="shared" si="39"/>
        <v>0.8</v>
      </c>
      <c r="L71" s="3">
        <f t="shared" si="39"/>
        <v>0.8</v>
      </c>
      <c r="M71" s="3">
        <f t="shared" si="39"/>
        <v>0.8</v>
      </c>
      <c r="N71" s="3">
        <f t="shared" si="39"/>
        <v>0.8</v>
      </c>
      <c r="O71" s="3">
        <f t="shared" si="39"/>
        <v>0.8</v>
      </c>
      <c r="P71" s="3">
        <f t="shared" si="39"/>
        <v>0.8</v>
      </c>
      <c r="Q71" s="3">
        <f t="shared" si="39"/>
        <v>0.8</v>
      </c>
      <c r="R71" s="76"/>
      <c r="S71" s="76"/>
      <c r="T71" s="76"/>
      <c r="U71" s="76"/>
      <c r="V71" s="76"/>
      <c r="W71" s="76"/>
    </row>
    <row r="72" spans="1:23">
      <c r="A72" s="84" t="s">
        <v>217</v>
      </c>
      <c r="B72" s="85" t="s">
        <v>216</v>
      </c>
      <c r="C72" s="85" t="s">
        <v>79</v>
      </c>
      <c r="D72" s="84" t="s">
        <v>87</v>
      </c>
      <c r="E72" s="84">
        <f>VLOOKUP(A72,'2a. SI Pop'!$A$5:$E$198,5,FALSE)</f>
        <v>1</v>
      </c>
      <c r="F72" s="84">
        <v>2031</v>
      </c>
      <c r="G72" s="3">
        <f t="shared" ref="G72:Q74" si="40">IF($F72&lt;=G$4,5%,0)</f>
        <v>0</v>
      </c>
      <c r="H72" s="3">
        <f t="shared" si="40"/>
        <v>0.05</v>
      </c>
      <c r="I72" s="3">
        <f t="shared" si="40"/>
        <v>0.05</v>
      </c>
      <c r="J72" s="3">
        <f t="shared" si="40"/>
        <v>0.05</v>
      </c>
      <c r="K72" s="3">
        <f t="shared" si="40"/>
        <v>0.05</v>
      </c>
      <c r="L72" s="3">
        <f t="shared" si="40"/>
        <v>0.05</v>
      </c>
      <c r="M72" s="3">
        <f t="shared" si="40"/>
        <v>0.05</v>
      </c>
      <c r="N72" s="3">
        <f t="shared" si="40"/>
        <v>0.05</v>
      </c>
      <c r="O72" s="3">
        <f t="shared" si="40"/>
        <v>0.05</v>
      </c>
      <c r="P72" s="3">
        <f t="shared" si="40"/>
        <v>0.05</v>
      </c>
      <c r="Q72" s="3">
        <f t="shared" si="40"/>
        <v>0.05</v>
      </c>
      <c r="R72" s="76"/>
      <c r="S72" s="76"/>
      <c r="T72" s="76"/>
      <c r="U72" s="76"/>
      <c r="V72" s="76"/>
      <c r="W72" s="76"/>
    </row>
    <row r="73" spans="1:23">
      <c r="A73" s="84" t="s">
        <v>219</v>
      </c>
      <c r="B73" s="85" t="s">
        <v>218</v>
      </c>
      <c r="C73" s="85" t="s">
        <v>92</v>
      </c>
      <c r="D73" s="84" t="s">
        <v>80</v>
      </c>
      <c r="E73" s="84">
        <f>VLOOKUP(A73,'2a. SI Pop'!$A$5:$E$198,5,FALSE)</f>
        <v>1</v>
      </c>
      <c r="F73" s="84">
        <v>2041</v>
      </c>
      <c r="G73" s="3">
        <f t="shared" si="40"/>
        <v>0</v>
      </c>
      <c r="H73" s="3">
        <f t="shared" si="40"/>
        <v>0</v>
      </c>
      <c r="I73" s="3">
        <f t="shared" si="40"/>
        <v>0</v>
      </c>
      <c r="J73" s="3">
        <f t="shared" si="40"/>
        <v>0</v>
      </c>
      <c r="K73" s="3">
        <f t="shared" si="40"/>
        <v>0</v>
      </c>
      <c r="L73" s="3">
        <f t="shared" si="40"/>
        <v>0</v>
      </c>
      <c r="M73" s="3">
        <f t="shared" si="40"/>
        <v>0</v>
      </c>
      <c r="N73" s="3">
        <f t="shared" si="40"/>
        <v>0</v>
      </c>
      <c r="O73" s="3">
        <f t="shared" si="40"/>
        <v>0</v>
      </c>
      <c r="P73" s="3">
        <f t="shared" si="40"/>
        <v>0</v>
      </c>
      <c r="Q73" s="3">
        <f t="shared" si="40"/>
        <v>0</v>
      </c>
      <c r="R73" s="76"/>
      <c r="S73" s="76"/>
      <c r="T73" s="76"/>
      <c r="U73" s="76"/>
      <c r="V73" s="76"/>
      <c r="W73" s="76"/>
    </row>
    <row r="74" spans="1:23">
      <c r="A74" s="84" t="s">
        <v>221</v>
      </c>
      <c r="B74" s="85" t="s">
        <v>220</v>
      </c>
      <c r="C74" s="85" t="s">
        <v>92</v>
      </c>
      <c r="D74" s="84" t="s">
        <v>80</v>
      </c>
      <c r="E74" s="84">
        <f>VLOOKUP(A74,'2a. SI Pop'!$A$5:$E$198,5,FALSE)</f>
        <v>1</v>
      </c>
      <c r="F74" s="84">
        <v>2040</v>
      </c>
      <c r="G74" s="3">
        <f t="shared" si="40"/>
        <v>0</v>
      </c>
      <c r="H74" s="3">
        <f t="shared" si="40"/>
        <v>0</v>
      </c>
      <c r="I74" s="3">
        <f t="shared" si="40"/>
        <v>0</v>
      </c>
      <c r="J74" s="3">
        <f t="shared" si="40"/>
        <v>0</v>
      </c>
      <c r="K74" s="3">
        <f t="shared" si="40"/>
        <v>0</v>
      </c>
      <c r="L74" s="3">
        <f t="shared" si="40"/>
        <v>0</v>
      </c>
      <c r="M74" s="3">
        <f t="shared" si="40"/>
        <v>0</v>
      </c>
      <c r="N74" s="3">
        <f t="shared" si="40"/>
        <v>0</v>
      </c>
      <c r="O74" s="3">
        <f t="shared" si="40"/>
        <v>0</v>
      </c>
      <c r="P74" s="3">
        <f t="shared" si="40"/>
        <v>0</v>
      </c>
      <c r="Q74" s="3">
        <f t="shared" si="40"/>
        <v>0.05</v>
      </c>
      <c r="R74" s="76"/>
      <c r="S74" s="76"/>
      <c r="T74" s="76"/>
      <c r="U74" s="76"/>
      <c r="V74" s="76"/>
      <c r="W74" s="76"/>
    </row>
    <row r="75" spans="1:23">
      <c r="A75" s="84" t="s">
        <v>223</v>
      </c>
      <c r="B75" s="85" t="s">
        <v>222</v>
      </c>
      <c r="C75" s="85" t="s">
        <v>83</v>
      </c>
      <c r="D75" s="84" t="s">
        <v>75</v>
      </c>
      <c r="E75" s="84">
        <f>VLOOKUP(A75,'2a. SI Pop'!$A$5:$E$198,5,FALSE)</f>
        <v>3</v>
      </c>
      <c r="F75" s="84">
        <v>2034</v>
      </c>
      <c r="G75" s="3">
        <f t="shared" ref="G75:Q76" si="41">IF($F75&lt;=G$4,80%,0)</f>
        <v>0</v>
      </c>
      <c r="H75" s="3">
        <f t="shared" si="41"/>
        <v>0</v>
      </c>
      <c r="I75" s="3">
        <f t="shared" si="41"/>
        <v>0</v>
      </c>
      <c r="J75" s="3">
        <f t="shared" si="41"/>
        <v>0</v>
      </c>
      <c r="K75" s="3">
        <f t="shared" si="41"/>
        <v>0.8</v>
      </c>
      <c r="L75" s="3">
        <f t="shared" si="41"/>
        <v>0.8</v>
      </c>
      <c r="M75" s="3">
        <f t="shared" si="41"/>
        <v>0.8</v>
      </c>
      <c r="N75" s="3">
        <f t="shared" si="41"/>
        <v>0.8</v>
      </c>
      <c r="O75" s="3">
        <f t="shared" si="41"/>
        <v>0.8</v>
      </c>
      <c r="P75" s="3">
        <f t="shared" si="41"/>
        <v>0.8</v>
      </c>
      <c r="Q75" s="3">
        <f t="shared" si="41"/>
        <v>0.8</v>
      </c>
      <c r="R75" s="76"/>
      <c r="S75" s="76"/>
      <c r="T75" s="76"/>
      <c r="U75" s="76"/>
      <c r="V75" s="76"/>
      <c r="W75" s="76"/>
    </row>
    <row r="76" spans="1:23">
      <c r="A76" s="84" t="s">
        <v>225</v>
      </c>
      <c r="B76" s="85" t="s">
        <v>224</v>
      </c>
      <c r="C76" s="85" t="s">
        <v>83</v>
      </c>
      <c r="D76" s="84" t="s">
        <v>75</v>
      </c>
      <c r="E76" s="84">
        <f>VLOOKUP(A76,'2a. SI Pop'!$A$5:$E$198,5,FALSE)</f>
        <v>3</v>
      </c>
      <c r="F76" s="84">
        <v>2038</v>
      </c>
      <c r="G76" s="3">
        <f t="shared" si="41"/>
        <v>0</v>
      </c>
      <c r="H76" s="3">
        <f t="shared" si="41"/>
        <v>0</v>
      </c>
      <c r="I76" s="3">
        <f t="shared" si="41"/>
        <v>0</v>
      </c>
      <c r="J76" s="3">
        <f t="shared" si="41"/>
        <v>0</v>
      </c>
      <c r="K76" s="3">
        <f t="shared" si="41"/>
        <v>0</v>
      </c>
      <c r="L76" s="3">
        <f t="shared" si="41"/>
        <v>0</v>
      </c>
      <c r="M76" s="3">
        <f t="shared" si="41"/>
        <v>0</v>
      </c>
      <c r="N76" s="3">
        <f t="shared" si="41"/>
        <v>0</v>
      </c>
      <c r="O76" s="3">
        <f t="shared" si="41"/>
        <v>0.8</v>
      </c>
      <c r="P76" s="3">
        <f t="shared" si="41"/>
        <v>0.8</v>
      </c>
      <c r="Q76" s="3">
        <f t="shared" si="41"/>
        <v>0.8</v>
      </c>
      <c r="R76" s="76"/>
      <c r="S76" s="76"/>
      <c r="T76" s="76"/>
      <c r="U76" s="76"/>
      <c r="V76" s="76"/>
      <c r="W76" s="76"/>
    </row>
    <row r="77" spans="1:23">
      <c r="A77" s="84" t="s">
        <v>227</v>
      </c>
      <c r="B77" s="85" t="s">
        <v>226</v>
      </c>
      <c r="C77" s="85" t="s">
        <v>92</v>
      </c>
      <c r="D77" s="84" t="s">
        <v>80</v>
      </c>
      <c r="E77" s="84">
        <f>VLOOKUP(A77,'2a. SI Pop'!$A$5:$E$198,5,FALSE)</f>
        <v>2</v>
      </c>
      <c r="F77" s="84">
        <v>2039</v>
      </c>
      <c r="G77" s="3">
        <f t="shared" ref="G77:Q78" si="42">IF($F77&lt;=G$4,30%,0)</f>
        <v>0</v>
      </c>
      <c r="H77" s="3">
        <f t="shared" si="42"/>
        <v>0</v>
      </c>
      <c r="I77" s="3">
        <f t="shared" si="42"/>
        <v>0</v>
      </c>
      <c r="J77" s="3">
        <f t="shared" si="42"/>
        <v>0</v>
      </c>
      <c r="K77" s="3">
        <f t="shared" si="42"/>
        <v>0</v>
      </c>
      <c r="L77" s="3">
        <f t="shared" si="42"/>
        <v>0</v>
      </c>
      <c r="M77" s="3">
        <f t="shared" si="42"/>
        <v>0</v>
      </c>
      <c r="N77" s="3">
        <f t="shared" si="42"/>
        <v>0</v>
      </c>
      <c r="O77" s="3">
        <f t="shared" si="42"/>
        <v>0</v>
      </c>
      <c r="P77" s="3">
        <f t="shared" si="42"/>
        <v>0.3</v>
      </c>
      <c r="Q77" s="3">
        <f t="shared" si="42"/>
        <v>0.3</v>
      </c>
      <c r="R77" s="76"/>
      <c r="S77" s="76"/>
      <c r="T77" s="76"/>
      <c r="U77" s="76"/>
      <c r="V77" s="76"/>
      <c r="W77" s="76"/>
    </row>
    <row r="78" spans="1:23">
      <c r="A78" s="84" t="s">
        <v>229</v>
      </c>
      <c r="B78" s="85" t="s">
        <v>228</v>
      </c>
      <c r="C78" s="85" t="s">
        <v>92</v>
      </c>
      <c r="D78" s="84" t="s">
        <v>75</v>
      </c>
      <c r="E78" s="84">
        <f>VLOOKUP(A78,'2a. SI Pop'!$A$5:$E$198,5,FALSE)</f>
        <v>2</v>
      </c>
      <c r="F78" s="84">
        <v>2042</v>
      </c>
      <c r="G78" s="3">
        <f t="shared" si="42"/>
        <v>0</v>
      </c>
      <c r="H78" s="3">
        <f t="shared" si="42"/>
        <v>0</v>
      </c>
      <c r="I78" s="3">
        <f t="shared" si="42"/>
        <v>0</v>
      </c>
      <c r="J78" s="3">
        <f t="shared" si="42"/>
        <v>0</v>
      </c>
      <c r="K78" s="3">
        <f t="shared" si="42"/>
        <v>0</v>
      </c>
      <c r="L78" s="3">
        <f t="shared" si="42"/>
        <v>0</v>
      </c>
      <c r="M78" s="3">
        <f t="shared" si="42"/>
        <v>0</v>
      </c>
      <c r="N78" s="3">
        <f t="shared" si="42"/>
        <v>0</v>
      </c>
      <c r="O78" s="3">
        <f t="shared" si="42"/>
        <v>0</v>
      </c>
      <c r="P78" s="3">
        <f t="shared" si="42"/>
        <v>0</v>
      </c>
      <c r="Q78" s="3">
        <f t="shared" si="42"/>
        <v>0</v>
      </c>
      <c r="R78" s="76"/>
      <c r="S78" s="76"/>
      <c r="T78" s="76"/>
      <c r="U78" s="76"/>
      <c r="V78" s="76"/>
      <c r="W78" s="76"/>
    </row>
    <row r="79" spans="1:23">
      <c r="A79" s="84" t="s">
        <v>231</v>
      </c>
      <c r="B79" s="85" t="s">
        <v>230</v>
      </c>
      <c r="C79" s="85" t="s">
        <v>92</v>
      </c>
      <c r="D79" s="84" t="s">
        <v>84</v>
      </c>
      <c r="E79" s="84">
        <f>VLOOKUP(A79,'2a. SI Pop'!$A$5:$E$198,5,FALSE)</f>
        <v>1</v>
      </c>
      <c r="F79" s="84">
        <v>2041</v>
      </c>
      <c r="G79" s="3">
        <f t="shared" ref="G79:Q81" si="43">IF($F79&lt;=G$4,5%,0)</f>
        <v>0</v>
      </c>
      <c r="H79" s="3">
        <f t="shared" si="43"/>
        <v>0</v>
      </c>
      <c r="I79" s="3">
        <f t="shared" si="43"/>
        <v>0</v>
      </c>
      <c r="J79" s="3">
        <f t="shared" si="43"/>
        <v>0</v>
      </c>
      <c r="K79" s="3">
        <f t="shared" si="43"/>
        <v>0</v>
      </c>
      <c r="L79" s="3">
        <f t="shared" si="43"/>
        <v>0</v>
      </c>
      <c r="M79" s="3">
        <f t="shared" si="43"/>
        <v>0</v>
      </c>
      <c r="N79" s="3">
        <f t="shared" si="43"/>
        <v>0</v>
      </c>
      <c r="O79" s="3">
        <f t="shared" si="43"/>
        <v>0</v>
      </c>
      <c r="P79" s="3">
        <f t="shared" si="43"/>
        <v>0</v>
      </c>
      <c r="Q79" s="3">
        <f t="shared" si="43"/>
        <v>0</v>
      </c>
      <c r="R79" s="76"/>
      <c r="S79" s="76"/>
      <c r="T79" s="76"/>
      <c r="U79" s="76"/>
      <c r="V79" s="76"/>
      <c r="W79" s="76"/>
    </row>
    <row r="80" spans="1:23">
      <c r="A80" s="84" t="s">
        <v>233</v>
      </c>
      <c r="B80" s="85" t="s">
        <v>232</v>
      </c>
      <c r="C80" s="85" t="s">
        <v>79</v>
      </c>
      <c r="D80" s="84" t="s">
        <v>87</v>
      </c>
      <c r="E80" s="84">
        <f>VLOOKUP(A80,'2a. SI Pop'!$A$5:$E$198,5,FALSE)</f>
        <v>1</v>
      </c>
      <c r="F80" s="84">
        <v>2036</v>
      </c>
      <c r="G80" s="3">
        <f t="shared" si="43"/>
        <v>0</v>
      </c>
      <c r="H80" s="3">
        <f t="shared" si="43"/>
        <v>0</v>
      </c>
      <c r="I80" s="3">
        <f t="shared" si="43"/>
        <v>0</v>
      </c>
      <c r="J80" s="3">
        <f t="shared" si="43"/>
        <v>0</v>
      </c>
      <c r="K80" s="3">
        <f t="shared" si="43"/>
        <v>0</v>
      </c>
      <c r="L80" s="3">
        <f t="shared" si="43"/>
        <v>0</v>
      </c>
      <c r="M80" s="3">
        <f t="shared" si="43"/>
        <v>0.05</v>
      </c>
      <c r="N80" s="3">
        <f t="shared" si="43"/>
        <v>0.05</v>
      </c>
      <c r="O80" s="3">
        <f t="shared" si="43"/>
        <v>0.05</v>
      </c>
      <c r="P80" s="3">
        <f t="shared" si="43"/>
        <v>0.05</v>
      </c>
      <c r="Q80" s="3">
        <f t="shared" si="43"/>
        <v>0.05</v>
      </c>
      <c r="R80" s="76"/>
      <c r="S80" s="76"/>
      <c r="T80" s="76"/>
      <c r="U80" s="76"/>
      <c r="V80" s="76"/>
      <c r="W80" s="76"/>
    </row>
    <row r="81" spans="1:23">
      <c r="A81" s="84" t="s">
        <v>235</v>
      </c>
      <c r="B81" s="85" t="s">
        <v>234</v>
      </c>
      <c r="C81" s="85" t="s">
        <v>79</v>
      </c>
      <c r="D81" s="84" t="s">
        <v>87</v>
      </c>
      <c r="E81" s="84">
        <f>VLOOKUP(A81,'2a. SI Pop'!$A$5:$E$198,5,FALSE)</f>
        <v>1</v>
      </c>
      <c r="F81" s="84">
        <v>2035</v>
      </c>
      <c r="G81" s="3">
        <f t="shared" si="43"/>
        <v>0</v>
      </c>
      <c r="H81" s="3">
        <f t="shared" si="43"/>
        <v>0</v>
      </c>
      <c r="I81" s="3">
        <f t="shared" si="43"/>
        <v>0</v>
      </c>
      <c r="J81" s="3">
        <f t="shared" si="43"/>
        <v>0</v>
      </c>
      <c r="K81" s="3">
        <f t="shared" si="43"/>
        <v>0</v>
      </c>
      <c r="L81" s="3">
        <f t="shared" si="43"/>
        <v>0.05</v>
      </c>
      <c r="M81" s="3">
        <f t="shared" si="43"/>
        <v>0.05</v>
      </c>
      <c r="N81" s="3">
        <f t="shared" si="43"/>
        <v>0.05</v>
      </c>
      <c r="O81" s="3">
        <f t="shared" si="43"/>
        <v>0.05</v>
      </c>
      <c r="P81" s="3">
        <f t="shared" si="43"/>
        <v>0.05</v>
      </c>
      <c r="Q81" s="3">
        <f t="shared" si="43"/>
        <v>0.05</v>
      </c>
      <c r="R81" s="76"/>
      <c r="S81" s="76"/>
      <c r="T81" s="76"/>
      <c r="U81" s="76"/>
      <c r="V81" s="76"/>
      <c r="W81" s="76"/>
    </row>
    <row r="82" spans="1:23">
      <c r="A82" s="84" t="s">
        <v>237</v>
      </c>
      <c r="B82" s="85" t="s">
        <v>236</v>
      </c>
      <c r="C82" s="85" t="s">
        <v>110</v>
      </c>
      <c r="D82" s="84" t="s">
        <v>84</v>
      </c>
      <c r="E82" s="84" t="str">
        <f>VLOOKUP(A82,'2a. SI Pop'!$A$5:$E$198,5,FALSE)</f>
        <v>Key</v>
      </c>
      <c r="F82" s="84">
        <v>2035</v>
      </c>
      <c r="G82" s="3">
        <f t="shared" ref="G82:Q83" si="44">IF($F82&lt;=G$4,80%,0)</f>
        <v>0</v>
      </c>
      <c r="H82" s="3">
        <f t="shared" si="44"/>
        <v>0</v>
      </c>
      <c r="I82" s="3">
        <f t="shared" si="44"/>
        <v>0</v>
      </c>
      <c r="J82" s="3">
        <f t="shared" si="44"/>
        <v>0</v>
      </c>
      <c r="K82" s="3">
        <f t="shared" si="44"/>
        <v>0</v>
      </c>
      <c r="L82" s="3">
        <f t="shared" si="44"/>
        <v>0.8</v>
      </c>
      <c r="M82" s="3">
        <f t="shared" si="44"/>
        <v>0.8</v>
      </c>
      <c r="N82" s="3">
        <f t="shared" si="44"/>
        <v>0.8</v>
      </c>
      <c r="O82" s="3">
        <f t="shared" si="44"/>
        <v>0.8</v>
      </c>
      <c r="P82" s="3">
        <f t="shared" si="44"/>
        <v>0.8</v>
      </c>
      <c r="Q82" s="3">
        <f t="shared" si="44"/>
        <v>0.8</v>
      </c>
      <c r="R82" s="76"/>
      <c r="S82" s="76"/>
      <c r="T82" s="76"/>
      <c r="U82" s="76"/>
      <c r="V82" s="76"/>
      <c r="W82" s="76"/>
    </row>
    <row r="83" spans="1:23">
      <c r="A83" s="84" t="s">
        <v>239</v>
      </c>
      <c r="B83" s="85" t="s">
        <v>238</v>
      </c>
      <c r="C83" s="85" t="s">
        <v>110</v>
      </c>
      <c r="D83" s="84" t="s">
        <v>80</v>
      </c>
      <c r="E83" s="84" t="str">
        <f>VLOOKUP(A83,'2a. SI Pop'!$A$5:$E$198,5,FALSE)</f>
        <v>Key</v>
      </c>
      <c r="F83" s="84">
        <v>2033</v>
      </c>
      <c r="G83" s="3">
        <f t="shared" si="44"/>
        <v>0</v>
      </c>
      <c r="H83" s="3">
        <f t="shared" si="44"/>
        <v>0</v>
      </c>
      <c r="I83" s="3">
        <f t="shared" si="44"/>
        <v>0</v>
      </c>
      <c r="J83" s="3">
        <f t="shared" si="44"/>
        <v>0.8</v>
      </c>
      <c r="K83" s="3">
        <f t="shared" si="44"/>
        <v>0.8</v>
      </c>
      <c r="L83" s="3">
        <f t="shared" si="44"/>
        <v>0.8</v>
      </c>
      <c r="M83" s="3">
        <f t="shared" si="44"/>
        <v>0.8</v>
      </c>
      <c r="N83" s="3">
        <f t="shared" si="44"/>
        <v>0.8</v>
      </c>
      <c r="O83" s="3">
        <f t="shared" si="44"/>
        <v>0.8</v>
      </c>
      <c r="P83" s="3">
        <f t="shared" si="44"/>
        <v>0.8</v>
      </c>
      <c r="Q83" s="3">
        <f t="shared" si="44"/>
        <v>0.8</v>
      </c>
      <c r="R83" s="76"/>
      <c r="S83" s="76"/>
      <c r="T83" s="76"/>
      <c r="U83" s="76"/>
      <c r="V83" s="76"/>
      <c r="W83" s="76"/>
    </row>
    <row r="84" spans="1:23">
      <c r="A84" s="84" t="s">
        <v>241</v>
      </c>
      <c r="B84" s="85" t="s">
        <v>240</v>
      </c>
      <c r="C84" s="85" t="s">
        <v>74</v>
      </c>
      <c r="D84" s="84" t="s">
        <v>80</v>
      </c>
      <c r="E84" s="84">
        <f>VLOOKUP(A84,'2a. SI Pop'!$A$5:$E$198,5,FALSE)</f>
        <v>2</v>
      </c>
      <c r="F84" s="84">
        <v>2036</v>
      </c>
      <c r="G84" s="3">
        <f t="shared" ref="G84:Q85" si="45">IF($F84&lt;=G$4,30%,0)</f>
        <v>0</v>
      </c>
      <c r="H84" s="3">
        <f t="shared" si="45"/>
        <v>0</v>
      </c>
      <c r="I84" s="3">
        <f t="shared" si="45"/>
        <v>0</v>
      </c>
      <c r="J84" s="3">
        <f t="shared" si="45"/>
        <v>0</v>
      </c>
      <c r="K84" s="3">
        <f t="shared" si="45"/>
        <v>0</v>
      </c>
      <c r="L84" s="3">
        <f t="shared" si="45"/>
        <v>0</v>
      </c>
      <c r="M84" s="3">
        <f t="shared" si="45"/>
        <v>0.3</v>
      </c>
      <c r="N84" s="3">
        <f t="shared" si="45"/>
        <v>0.3</v>
      </c>
      <c r="O84" s="3">
        <f t="shared" si="45"/>
        <v>0.3</v>
      </c>
      <c r="P84" s="3">
        <f t="shared" si="45"/>
        <v>0.3</v>
      </c>
      <c r="Q84" s="3">
        <f t="shared" si="45"/>
        <v>0.3</v>
      </c>
      <c r="R84" s="76"/>
      <c r="S84" s="76"/>
      <c r="T84" s="76"/>
      <c r="U84" s="76"/>
      <c r="V84" s="76"/>
      <c r="W84" s="76"/>
    </row>
    <row r="85" spans="1:23">
      <c r="A85" s="84" t="s">
        <v>243</v>
      </c>
      <c r="B85" s="85" t="s">
        <v>242</v>
      </c>
      <c r="C85" s="85" t="s">
        <v>74</v>
      </c>
      <c r="D85" s="84" t="s">
        <v>80</v>
      </c>
      <c r="E85" s="84">
        <f>VLOOKUP(A85,'2a. SI Pop'!$A$5:$E$198,5,FALSE)</f>
        <v>2</v>
      </c>
      <c r="F85" s="84">
        <v>2030</v>
      </c>
      <c r="G85" s="3">
        <f t="shared" si="45"/>
        <v>0.3</v>
      </c>
      <c r="H85" s="3">
        <f t="shared" si="45"/>
        <v>0.3</v>
      </c>
      <c r="I85" s="3">
        <f t="shared" si="45"/>
        <v>0.3</v>
      </c>
      <c r="J85" s="3">
        <f t="shared" si="45"/>
        <v>0.3</v>
      </c>
      <c r="K85" s="3">
        <f t="shared" si="45"/>
        <v>0.3</v>
      </c>
      <c r="L85" s="3">
        <f t="shared" si="45"/>
        <v>0.3</v>
      </c>
      <c r="M85" s="3">
        <f t="shared" si="45"/>
        <v>0.3</v>
      </c>
      <c r="N85" s="3">
        <f t="shared" si="45"/>
        <v>0.3</v>
      </c>
      <c r="O85" s="3">
        <f t="shared" si="45"/>
        <v>0.3</v>
      </c>
      <c r="P85" s="3">
        <f t="shared" si="45"/>
        <v>0.3</v>
      </c>
      <c r="Q85" s="3">
        <f t="shared" si="45"/>
        <v>0.3</v>
      </c>
      <c r="R85" s="76"/>
      <c r="S85" s="76"/>
      <c r="T85" s="76"/>
      <c r="U85" s="76"/>
      <c r="V85" s="76"/>
      <c r="W85" s="76"/>
    </row>
    <row r="86" spans="1:23">
      <c r="A86" s="84" t="s">
        <v>245</v>
      </c>
      <c r="B86" s="85" t="s">
        <v>244</v>
      </c>
      <c r="C86" s="85" t="s">
        <v>79</v>
      </c>
      <c r="D86" s="84" t="s">
        <v>87</v>
      </c>
      <c r="E86" s="84">
        <f>VLOOKUP(A86,'2a. SI Pop'!$A$5:$E$198,5,FALSE)</f>
        <v>1</v>
      </c>
      <c r="F86" s="84">
        <v>2030</v>
      </c>
      <c r="G86" s="3">
        <f t="shared" ref="G86:Q89" si="46">IF($F86&lt;=G$4,5%,0)</f>
        <v>0.05</v>
      </c>
      <c r="H86" s="3">
        <f t="shared" si="46"/>
        <v>0.05</v>
      </c>
      <c r="I86" s="3">
        <f t="shared" si="46"/>
        <v>0.05</v>
      </c>
      <c r="J86" s="3">
        <f t="shared" si="46"/>
        <v>0.05</v>
      </c>
      <c r="K86" s="3">
        <f t="shared" si="46"/>
        <v>0.05</v>
      </c>
      <c r="L86" s="3">
        <f t="shared" si="46"/>
        <v>0.05</v>
      </c>
      <c r="M86" s="3">
        <f t="shared" si="46"/>
        <v>0.05</v>
      </c>
      <c r="N86" s="3">
        <f t="shared" si="46"/>
        <v>0.05</v>
      </c>
      <c r="O86" s="3">
        <f t="shared" si="46"/>
        <v>0.05</v>
      </c>
      <c r="P86" s="3">
        <f t="shared" si="46"/>
        <v>0.05</v>
      </c>
      <c r="Q86" s="3">
        <f t="shared" si="46"/>
        <v>0.05</v>
      </c>
      <c r="R86" s="76"/>
      <c r="S86" s="76"/>
      <c r="T86" s="76"/>
      <c r="U86" s="76"/>
      <c r="V86" s="76"/>
      <c r="W86" s="76"/>
    </row>
    <row r="87" spans="1:23">
      <c r="A87" s="84" t="s">
        <v>247</v>
      </c>
      <c r="B87" s="85" t="s">
        <v>246</v>
      </c>
      <c r="C87" s="85" t="s">
        <v>79</v>
      </c>
      <c r="D87" s="84" t="s">
        <v>87</v>
      </c>
      <c r="E87" s="84">
        <f>VLOOKUP(A87,'2a. SI Pop'!$A$5:$E$198,5,FALSE)</f>
        <v>1</v>
      </c>
      <c r="F87" s="84">
        <v>2031</v>
      </c>
      <c r="G87" s="3">
        <f t="shared" si="46"/>
        <v>0</v>
      </c>
      <c r="H87" s="3">
        <f t="shared" si="46"/>
        <v>0.05</v>
      </c>
      <c r="I87" s="3">
        <f t="shared" si="46"/>
        <v>0.05</v>
      </c>
      <c r="J87" s="3">
        <f t="shared" si="46"/>
        <v>0.05</v>
      </c>
      <c r="K87" s="3">
        <f t="shared" si="46"/>
        <v>0.05</v>
      </c>
      <c r="L87" s="3">
        <f t="shared" si="46"/>
        <v>0.05</v>
      </c>
      <c r="M87" s="3">
        <f t="shared" si="46"/>
        <v>0.05</v>
      </c>
      <c r="N87" s="3">
        <f t="shared" si="46"/>
        <v>0.05</v>
      </c>
      <c r="O87" s="3">
        <f t="shared" si="46"/>
        <v>0.05</v>
      </c>
      <c r="P87" s="3">
        <f t="shared" si="46"/>
        <v>0.05</v>
      </c>
      <c r="Q87" s="3">
        <f t="shared" si="46"/>
        <v>0.05</v>
      </c>
      <c r="R87" s="76"/>
      <c r="S87" s="76"/>
      <c r="T87" s="76"/>
      <c r="U87" s="76"/>
      <c r="V87" s="76"/>
      <c r="W87" s="76"/>
    </row>
    <row r="88" spans="1:23">
      <c r="A88" s="84" t="s">
        <v>249</v>
      </c>
      <c r="B88" s="85" t="s">
        <v>248</v>
      </c>
      <c r="C88" s="85" t="s">
        <v>79</v>
      </c>
      <c r="D88" s="84" t="s">
        <v>87</v>
      </c>
      <c r="E88" s="84">
        <f>VLOOKUP(A88,'2a. SI Pop'!$A$5:$E$198,5,FALSE)</f>
        <v>1</v>
      </c>
      <c r="F88" s="84">
        <v>2030</v>
      </c>
      <c r="G88" s="3">
        <f t="shared" si="46"/>
        <v>0.05</v>
      </c>
      <c r="H88" s="3">
        <f t="shared" si="46"/>
        <v>0.05</v>
      </c>
      <c r="I88" s="3">
        <f t="shared" si="46"/>
        <v>0.05</v>
      </c>
      <c r="J88" s="3">
        <f t="shared" si="46"/>
        <v>0.05</v>
      </c>
      <c r="K88" s="3">
        <f t="shared" si="46"/>
        <v>0.05</v>
      </c>
      <c r="L88" s="3">
        <f t="shared" si="46"/>
        <v>0.05</v>
      </c>
      <c r="M88" s="3">
        <f t="shared" si="46"/>
        <v>0.05</v>
      </c>
      <c r="N88" s="3">
        <f t="shared" si="46"/>
        <v>0.05</v>
      </c>
      <c r="O88" s="3">
        <f t="shared" si="46"/>
        <v>0.05</v>
      </c>
      <c r="P88" s="3">
        <f t="shared" si="46"/>
        <v>0.05</v>
      </c>
      <c r="Q88" s="3">
        <f t="shared" si="46"/>
        <v>0.05</v>
      </c>
      <c r="R88" s="76"/>
      <c r="S88" s="76"/>
      <c r="T88" s="76"/>
      <c r="U88" s="76"/>
      <c r="V88" s="76"/>
      <c r="W88" s="76"/>
    </row>
    <row r="89" spans="1:23">
      <c r="A89" s="84" t="s">
        <v>251</v>
      </c>
      <c r="B89" s="85" t="s">
        <v>250</v>
      </c>
      <c r="C89" s="85" t="s">
        <v>92</v>
      </c>
      <c r="D89" s="84" t="s">
        <v>80</v>
      </c>
      <c r="E89" s="84">
        <f>VLOOKUP(A89,'2a. SI Pop'!$A$5:$E$198,5,FALSE)</f>
        <v>1</v>
      </c>
      <c r="F89" s="84">
        <v>2041</v>
      </c>
      <c r="G89" s="3">
        <f t="shared" si="46"/>
        <v>0</v>
      </c>
      <c r="H89" s="3">
        <f t="shared" si="46"/>
        <v>0</v>
      </c>
      <c r="I89" s="3">
        <f t="shared" si="46"/>
        <v>0</v>
      </c>
      <c r="J89" s="3">
        <f t="shared" si="46"/>
        <v>0</v>
      </c>
      <c r="K89" s="3">
        <f t="shared" si="46"/>
        <v>0</v>
      </c>
      <c r="L89" s="3">
        <f t="shared" si="46"/>
        <v>0</v>
      </c>
      <c r="M89" s="3">
        <f t="shared" si="46"/>
        <v>0</v>
      </c>
      <c r="N89" s="3">
        <f t="shared" si="46"/>
        <v>0</v>
      </c>
      <c r="O89" s="3">
        <f t="shared" si="46"/>
        <v>0</v>
      </c>
      <c r="P89" s="3">
        <f t="shared" si="46"/>
        <v>0</v>
      </c>
      <c r="Q89" s="3">
        <f t="shared" si="46"/>
        <v>0</v>
      </c>
      <c r="R89" s="76"/>
      <c r="S89" s="76"/>
      <c r="T89" s="76"/>
      <c r="U89" s="76"/>
      <c r="V89" s="76"/>
      <c r="W89" s="76"/>
    </row>
    <row r="90" spans="1:23">
      <c r="A90" s="84" t="s">
        <v>253</v>
      </c>
      <c r="B90" s="85" t="s">
        <v>252</v>
      </c>
      <c r="C90" s="85" t="s">
        <v>99</v>
      </c>
      <c r="D90" s="84" t="s">
        <v>87</v>
      </c>
      <c r="E90" s="84">
        <f>VLOOKUP(A90,'2a. SI Pop'!$A$5:$E$198,5,FALSE)</f>
        <v>4</v>
      </c>
      <c r="F90" s="84">
        <v>2031</v>
      </c>
      <c r="G90" s="3">
        <f t="shared" ref="G90:Q90" si="47">IF($F90&lt;=G$4,80%,0)</f>
        <v>0</v>
      </c>
      <c r="H90" s="3">
        <f t="shared" si="47"/>
        <v>0.8</v>
      </c>
      <c r="I90" s="3">
        <f t="shared" si="47"/>
        <v>0.8</v>
      </c>
      <c r="J90" s="3">
        <f t="shared" si="47"/>
        <v>0.8</v>
      </c>
      <c r="K90" s="3">
        <f t="shared" si="47"/>
        <v>0.8</v>
      </c>
      <c r="L90" s="3">
        <f t="shared" si="47"/>
        <v>0.8</v>
      </c>
      <c r="M90" s="3">
        <f t="shared" si="47"/>
        <v>0.8</v>
      </c>
      <c r="N90" s="3">
        <f t="shared" si="47"/>
        <v>0.8</v>
      </c>
      <c r="O90" s="3">
        <f t="shared" si="47"/>
        <v>0.8</v>
      </c>
      <c r="P90" s="3">
        <f t="shared" si="47"/>
        <v>0.8</v>
      </c>
      <c r="Q90" s="3">
        <f t="shared" si="47"/>
        <v>0.8</v>
      </c>
      <c r="R90" s="76"/>
      <c r="S90" s="76"/>
      <c r="T90" s="76"/>
      <c r="U90" s="76"/>
      <c r="V90" s="76"/>
      <c r="W90" s="76"/>
    </row>
    <row r="91" spans="1:23">
      <c r="A91" s="84" t="s">
        <v>255</v>
      </c>
      <c r="B91" s="85" t="s">
        <v>254</v>
      </c>
      <c r="C91" s="85" t="s">
        <v>74</v>
      </c>
      <c r="D91" s="84" t="s">
        <v>80</v>
      </c>
      <c r="E91" s="84">
        <f>VLOOKUP(A91,'2a. SI Pop'!$A$5:$E$198,5,FALSE)</f>
        <v>2</v>
      </c>
      <c r="F91" s="84">
        <v>2034</v>
      </c>
      <c r="G91" s="3">
        <f t="shared" ref="G91:Q92" si="48">IF($F91&lt;=G$4,30%,0)</f>
        <v>0</v>
      </c>
      <c r="H91" s="3">
        <f t="shared" si="48"/>
        <v>0</v>
      </c>
      <c r="I91" s="3">
        <f t="shared" si="48"/>
        <v>0</v>
      </c>
      <c r="J91" s="3">
        <f t="shared" si="48"/>
        <v>0</v>
      </c>
      <c r="K91" s="3">
        <f t="shared" si="48"/>
        <v>0.3</v>
      </c>
      <c r="L91" s="3">
        <f t="shared" si="48"/>
        <v>0.3</v>
      </c>
      <c r="M91" s="3">
        <f t="shared" si="48"/>
        <v>0.3</v>
      </c>
      <c r="N91" s="3">
        <f t="shared" si="48"/>
        <v>0.3</v>
      </c>
      <c r="O91" s="3">
        <f t="shared" si="48"/>
        <v>0.3</v>
      </c>
      <c r="P91" s="3">
        <f t="shared" si="48"/>
        <v>0.3</v>
      </c>
      <c r="Q91" s="3">
        <f t="shared" si="48"/>
        <v>0.3</v>
      </c>
      <c r="R91" s="76"/>
      <c r="S91" s="76"/>
      <c r="T91" s="76"/>
      <c r="U91" s="76"/>
      <c r="V91" s="76"/>
      <c r="W91" s="76"/>
    </row>
    <row r="92" spans="1:23">
      <c r="A92" s="84" t="s">
        <v>257</v>
      </c>
      <c r="B92" s="85" t="s">
        <v>256</v>
      </c>
      <c r="C92" s="85" t="s">
        <v>79</v>
      </c>
      <c r="D92" s="84" t="s">
        <v>80</v>
      </c>
      <c r="E92" s="84">
        <f>VLOOKUP(A92,'2a. SI Pop'!$A$5:$E$198,5,FALSE)</f>
        <v>2</v>
      </c>
      <c r="F92" s="84">
        <v>2034</v>
      </c>
      <c r="G92" s="3">
        <f t="shared" si="48"/>
        <v>0</v>
      </c>
      <c r="H92" s="3">
        <f t="shared" si="48"/>
        <v>0</v>
      </c>
      <c r="I92" s="3">
        <f t="shared" si="48"/>
        <v>0</v>
      </c>
      <c r="J92" s="3">
        <f t="shared" si="48"/>
        <v>0</v>
      </c>
      <c r="K92" s="3">
        <f t="shared" si="48"/>
        <v>0.3</v>
      </c>
      <c r="L92" s="3">
        <f t="shared" si="48"/>
        <v>0.3</v>
      </c>
      <c r="M92" s="3">
        <f t="shared" si="48"/>
        <v>0.3</v>
      </c>
      <c r="N92" s="3">
        <f t="shared" si="48"/>
        <v>0.3</v>
      </c>
      <c r="O92" s="3">
        <f t="shared" si="48"/>
        <v>0.3</v>
      </c>
      <c r="P92" s="3">
        <f t="shared" si="48"/>
        <v>0.3</v>
      </c>
      <c r="Q92" s="3">
        <f t="shared" si="48"/>
        <v>0.3</v>
      </c>
      <c r="R92" s="76"/>
      <c r="S92" s="76"/>
      <c r="T92" s="76"/>
      <c r="U92" s="76"/>
      <c r="V92" s="76"/>
      <c r="W92" s="76"/>
    </row>
    <row r="93" spans="1:23">
      <c r="A93" s="84" t="s">
        <v>259</v>
      </c>
      <c r="B93" s="85" t="s">
        <v>258</v>
      </c>
      <c r="C93" s="85" t="s">
        <v>83</v>
      </c>
      <c r="D93" s="84" t="s">
        <v>84</v>
      </c>
      <c r="E93" s="84">
        <f>VLOOKUP(A93,'2a. SI Pop'!$A$5:$E$198,5,FALSE)</f>
        <v>3</v>
      </c>
      <c r="F93" s="84">
        <v>2036</v>
      </c>
      <c r="G93" s="3">
        <f t="shared" ref="G93:Q94" si="49">IF($F93&lt;=G$4,80%,0)</f>
        <v>0</v>
      </c>
      <c r="H93" s="3">
        <f t="shared" si="49"/>
        <v>0</v>
      </c>
      <c r="I93" s="3">
        <f t="shared" si="49"/>
        <v>0</v>
      </c>
      <c r="J93" s="3">
        <f t="shared" si="49"/>
        <v>0</v>
      </c>
      <c r="K93" s="3">
        <f t="shared" si="49"/>
        <v>0</v>
      </c>
      <c r="L93" s="3">
        <f t="shared" si="49"/>
        <v>0</v>
      </c>
      <c r="M93" s="3">
        <f t="shared" si="49"/>
        <v>0.8</v>
      </c>
      <c r="N93" s="3">
        <f t="shared" si="49"/>
        <v>0.8</v>
      </c>
      <c r="O93" s="3">
        <f t="shared" si="49"/>
        <v>0.8</v>
      </c>
      <c r="P93" s="3">
        <f t="shared" si="49"/>
        <v>0.8</v>
      </c>
      <c r="Q93" s="3">
        <f t="shared" si="49"/>
        <v>0.8</v>
      </c>
      <c r="R93" s="76"/>
      <c r="S93" s="76"/>
      <c r="T93" s="76"/>
      <c r="U93" s="76"/>
      <c r="V93" s="76"/>
      <c r="W93" s="76"/>
    </row>
    <row r="94" spans="1:23">
      <c r="A94" s="84" t="s">
        <v>261</v>
      </c>
      <c r="B94" s="85" t="s">
        <v>260</v>
      </c>
      <c r="C94" s="85" t="s">
        <v>99</v>
      </c>
      <c r="D94" s="84" t="s">
        <v>84</v>
      </c>
      <c r="E94" s="84">
        <f>VLOOKUP(A94,'2a. SI Pop'!$A$5:$E$198,5,FALSE)</f>
        <v>4</v>
      </c>
      <c r="F94" s="84">
        <v>2040</v>
      </c>
      <c r="G94" s="3">
        <f t="shared" si="49"/>
        <v>0</v>
      </c>
      <c r="H94" s="3">
        <f t="shared" si="49"/>
        <v>0</v>
      </c>
      <c r="I94" s="3">
        <f t="shared" si="49"/>
        <v>0</v>
      </c>
      <c r="J94" s="3">
        <f t="shared" si="49"/>
        <v>0</v>
      </c>
      <c r="K94" s="3">
        <f t="shared" si="49"/>
        <v>0</v>
      </c>
      <c r="L94" s="3">
        <f t="shared" si="49"/>
        <v>0</v>
      </c>
      <c r="M94" s="3">
        <f t="shared" si="49"/>
        <v>0</v>
      </c>
      <c r="N94" s="3">
        <f t="shared" si="49"/>
        <v>0</v>
      </c>
      <c r="O94" s="3">
        <f t="shared" si="49"/>
        <v>0</v>
      </c>
      <c r="P94" s="3">
        <f t="shared" si="49"/>
        <v>0</v>
      </c>
      <c r="Q94" s="3">
        <f t="shared" si="49"/>
        <v>0.8</v>
      </c>
      <c r="R94" s="76"/>
      <c r="S94" s="76"/>
      <c r="T94" s="76"/>
      <c r="U94" s="76"/>
      <c r="V94" s="76"/>
      <c r="W94" s="76"/>
    </row>
    <row r="95" spans="1:23">
      <c r="A95" s="84" t="s">
        <v>263</v>
      </c>
      <c r="B95" s="85" t="s">
        <v>262</v>
      </c>
      <c r="C95" s="85" t="s">
        <v>99</v>
      </c>
      <c r="D95" s="84" t="s">
        <v>87</v>
      </c>
      <c r="E95" s="84">
        <f>VLOOKUP(A95,'2a. SI Pop'!$A$5:$E$198,5,FALSE)</f>
        <v>1</v>
      </c>
      <c r="F95" s="84">
        <v>2037</v>
      </c>
      <c r="G95" s="3">
        <f t="shared" ref="G95:Q97" si="50">IF($F95&lt;=G$4,5%,0)</f>
        <v>0</v>
      </c>
      <c r="H95" s="3">
        <f t="shared" si="50"/>
        <v>0</v>
      </c>
      <c r="I95" s="3">
        <f t="shared" si="50"/>
        <v>0</v>
      </c>
      <c r="J95" s="3">
        <f t="shared" si="50"/>
        <v>0</v>
      </c>
      <c r="K95" s="3">
        <f t="shared" si="50"/>
        <v>0</v>
      </c>
      <c r="L95" s="3">
        <f t="shared" si="50"/>
        <v>0</v>
      </c>
      <c r="M95" s="3">
        <f t="shared" si="50"/>
        <v>0</v>
      </c>
      <c r="N95" s="3">
        <f t="shared" si="50"/>
        <v>0.05</v>
      </c>
      <c r="O95" s="3">
        <f t="shared" si="50"/>
        <v>0.05</v>
      </c>
      <c r="P95" s="3">
        <f t="shared" si="50"/>
        <v>0.05</v>
      </c>
      <c r="Q95" s="3">
        <f t="shared" si="50"/>
        <v>0.05</v>
      </c>
      <c r="R95" s="76"/>
      <c r="S95" s="76"/>
      <c r="T95" s="76"/>
      <c r="U95" s="76"/>
      <c r="V95" s="76"/>
      <c r="W95" s="76"/>
    </row>
    <row r="96" spans="1:23">
      <c r="A96" s="84" t="s">
        <v>265</v>
      </c>
      <c r="B96" s="85" t="s">
        <v>264</v>
      </c>
      <c r="C96" s="85" t="s">
        <v>74</v>
      </c>
      <c r="D96" s="84" t="s">
        <v>87</v>
      </c>
      <c r="E96" s="84">
        <f>VLOOKUP(A96,'2a. SI Pop'!$A$5:$E$198,5,FALSE)</f>
        <v>1</v>
      </c>
      <c r="F96" s="84">
        <v>2036</v>
      </c>
      <c r="G96" s="3">
        <f t="shared" si="50"/>
        <v>0</v>
      </c>
      <c r="H96" s="3">
        <f t="shared" si="50"/>
        <v>0</v>
      </c>
      <c r="I96" s="3">
        <f t="shared" si="50"/>
        <v>0</v>
      </c>
      <c r="J96" s="3">
        <f t="shared" si="50"/>
        <v>0</v>
      </c>
      <c r="K96" s="3">
        <f t="shared" si="50"/>
        <v>0</v>
      </c>
      <c r="L96" s="3">
        <f t="shared" si="50"/>
        <v>0</v>
      </c>
      <c r="M96" s="3">
        <f t="shared" si="50"/>
        <v>0.05</v>
      </c>
      <c r="N96" s="3">
        <f t="shared" si="50"/>
        <v>0.05</v>
      </c>
      <c r="O96" s="3">
        <f t="shared" si="50"/>
        <v>0.05</v>
      </c>
      <c r="P96" s="3">
        <f t="shared" si="50"/>
        <v>0.05</v>
      </c>
      <c r="Q96" s="3">
        <f t="shared" si="50"/>
        <v>0.05</v>
      </c>
      <c r="R96" s="76"/>
      <c r="S96" s="76"/>
      <c r="T96" s="76"/>
      <c r="U96" s="76"/>
      <c r="V96" s="76"/>
      <c r="W96" s="76"/>
    </row>
    <row r="97" spans="1:23">
      <c r="A97" s="84" t="s">
        <v>267</v>
      </c>
      <c r="B97" s="85" t="s">
        <v>266</v>
      </c>
      <c r="C97" s="85" t="s">
        <v>79</v>
      </c>
      <c r="D97" s="84" t="s">
        <v>84</v>
      </c>
      <c r="E97" s="84">
        <f>VLOOKUP(A97,'2a. SI Pop'!$A$5:$E$198,5,FALSE)</f>
        <v>1</v>
      </c>
      <c r="F97" s="84">
        <v>2036</v>
      </c>
      <c r="G97" s="3">
        <f t="shared" si="50"/>
        <v>0</v>
      </c>
      <c r="H97" s="3">
        <f t="shared" si="50"/>
        <v>0</v>
      </c>
      <c r="I97" s="3">
        <f t="shared" si="50"/>
        <v>0</v>
      </c>
      <c r="J97" s="3">
        <f t="shared" si="50"/>
        <v>0</v>
      </c>
      <c r="K97" s="3">
        <f t="shared" si="50"/>
        <v>0</v>
      </c>
      <c r="L97" s="3">
        <f t="shared" si="50"/>
        <v>0</v>
      </c>
      <c r="M97" s="3">
        <f t="shared" si="50"/>
        <v>0.05</v>
      </c>
      <c r="N97" s="3">
        <f t="shared" si="50"/>
        <v>0.05</v>
      </c>
      <c r="O97" s="3">
        <f t="shared" si="50"/>
        <v>0.05</v>
      </c>
      <c r="P97" s="3">
        <f t="shared" si="50"/>
        <v>0.05</v>
      </c>
      <c r="Q97" s="3">
        <f t="shared" si="50"/>
        <v>0.05</v>
      </c>
      <c r="R97" s="76"/>
      <c r="S97" s="76"/>
      <c r="T97" s="76"/>
      <c r="U97" s="76"/>
      <c r="V97" s="76"/>
      <c r="W97" s="76"/>
    </row>
    <row r="98" spans="1:23">
      <c r="A98" s="84" t="s">
        <v>269</v>
      </c>
      <c r="B98" s="85" t="s">
        <v>268</v>
      </c>
      <c r="C98" s="85" t="s">
        <v>99</v>
      </c>
      <c r="D98" s="84" t="s">
        <v>84</v>
      </c>
      <c r="E98" s="84">
        <f>VLOOKUP(A98,'2a. SI Pop'!$A$5:$E$198,5,FALSE)</f>
        <v>4</v>
      </c>
      <c r="F98" s="84">
        <v>2033</v>
      </c>
      <c r="G98" s="3">
        <f t="shared" ref="G98:Q98" si="51">IF($F98&lt;=G$4,80%,0)</f>
        <v>0</v>
      </c>
      <c r="H98" s="3">
        <f t="shared" si="51"/>
        <v>0</v>
      </c>
      <c r="I98" s="3">
        <f t="shared" si="51"/>
        <v>0</v>
      </c>
      <c r="J98" s="3">
        <f t="shared" si="51"/>
        <v>0.8</v>
      </c>
      <c r="K98" s="3">
        <f t="shared" si="51"/>
        <v>0.8</v>
      </c>
      <c r="L98" s="3">
        <f t="shared" si="51"/>
        <v>0.8</v>
      </c>
      <c r="M98" s="3">
        <f t="shared" si="51"/>
        <v>0.8</v>
      </c>
      <c r="N98" s="3">
        <f t="shared" si="51"/>
        <v>0.8</v>
      </c>
      <c r="O98" s="3">
        <f t="shared" si="51"/>
        <v>0.8</v>
      </c>
      <c r="P98" s="3">
        <f t="shared" si="51"/>
        <v>0.8</v>
      </c>
      <c r="Q98" s="3">
        <f t="shared" si="51"/>
        <v>0.8</v>
      </c>
      <c r="R98" s="76"/>
      <c r="S98" s="76"/>
      <c r="T98" s="76"/>
      <c r="U98" s="76"/>
      <c r="V98" s="76"/>
      <c r="W98" s="76"/>
    </row>
    <row r="99" spans="1:23">
      <c r="A99" s="84" t="s">
        <v>271</v>
      </c>
      <c r="B99" s="85" t="s">
        <v>270</v>
      </c>
      <c r="C99" s="85" t="s">
        <v>79</v>
      </c>
      <c r="D99" s="84" t="s">
        <v>87</v>
      </c>
      <c r="E99" s="84">
        <f>VLOOKUP(A99,'2a. SI Pop'!$A$5:$E$198,5,FALSE)</f>
        <v>1</v>
      </c>
      <c r="F99" s="84">
        <v>2035</v>
      </c>
      <c r="G99" s="3">
        <f t="shared" ref="G99:Q99" si="52">IF($F99&lt;=G$4,5%,0)</f>
        <v>0</v>
      </c>
      <c r="H99" s="3">
        <f t="shared" si="52"/>
        <v>0</v>
      </c>
      <c r="I99" s="3">
        <f t="shared" si="52"/>
        <v>0</v>
      </c>
      <c r="J99" s="3">
        <f t="shared" si="52"/>
        <v>0</v>
      </c>
      <c r="K99" s="3">
        <f t="shared" si="52"/>
        <v>0</v>
      </c>
      <c r="L99" s="3">
        <f t="shared" si="52"/>
        <v>0.05</v>
      </c>
      <c r="M99" s="3">
        <f t="shared" si="52"/>
        <v>0.05</v>
      </c>
      <c r="N99" s="3">
        <f t="shared" si="52"/>
        <v>0.05</v>
      </c>
      <c r="O99" s="3">
        <f t="shared" si="52"/>
        <v>0.05</v>
      </c>
      <c r="P99" s="3">
        <f t="shared" si="52"/>
        <v>0.05</v>
      </c>
      <c r="Q99" s="3">
        <f t="shared" si="52"/>
        <v>0.05</v>
      </c>
      <c r="R99" s="76"/>
      <c r="S99" s="76"/>
      <c r="T99" s="76"/>
      <c r="U99" s="76"/>
      <c r="V99" s="76"/>
      <c r="W99" s="76"/>
    </row>
    <row r="100" spans="1:23">
      <c r="A100" s="84" t="s">
        <v>273</v>
      </c>
      <c r="B100" s="85" t="s">
        <v>272</v>
      </c>
      <c r="C100" s="85" t="s">
        <v>74</v>
      </c>
      <c r="D100" s="84" t="s">
        <v>80</v>
      </c>
      <c r="E100" s="84">
        <f>VLOOKUP(A100,'2a. SI Pop'!$A$5:$E$198,5,FALSE)</f>
        <v>2</v>
      </c>
      <c r="F100" s="84">
        <v>2034</v>
      </c>
      <c r="G100" s="3">
        <f t="shared" ref="G100:Q100" si="53">IF($F100&lt;=G$4,30%,0)</f>
        <v>0</v>
      </c>
      <c r="H100" s="3">
        <f t="shared" si="53"/>
        <v>0</v>
      </c>
      <c r="I100" s="3">
        <f t="shared" si="53"/>
        <v>0</v>
      </c>
      <c r="J100" s="3">
        <f t="shared" si="53"/>
        <v>0</v>
      </c>
      <c r="K100" s="3">
        <f t="shared" si="53"/>
        <v>0.3</v>
      </c>
      <c r="L100" s="3">
        <f t="shared" si="53"/>
        <v>0.3</v>
      </c>
      <c r="M100" s="3">
        <f t="shared" si="53"/>
        <v>0.3</v>
      </c>
      <c r="N100" s="3">
        <f t="shared" si="53"/>
        <v>0.3</v>
      </c>
      <c r="O100" s="3">
        <f t="shared" si="53"/>
        <v>0.3</v>
      </c>
      <c r="P100" s="3">
        <f t="shared" si="53"/>
        <v>0.3</v>
      </c>
      <c r="Q100" s="3">
        <f t="shared" si="53"/>
        <v>0.3</v>
      </c>
      <c r="R100" s="76"/>
      <c r="S100" s="76"/>
      <c r="T100" s="76"/>
      <c r="U100" s="76"/>
      <c r="V100" s="76"/>
      <c r="W100" s="76"/>
    </row>
    <row r="101" spans="1:23">
      <c r="A101" s="84" t="s">
        <v>275</v>
      </c>
      <c r="B101" s="85" t="s">
        <v>274</v>
      </c>
      <c r="C101" s="85" t="s">
        <v>83</v>
      </c>
      <c r="D101" s="84" t="s">
        <v>84</v>
      </c>
      <c r="E101" s="84">
        <f>VLOOKUP(A101,'2a. SI Pop'!$A$5:$E$198,5,FALSE)</f>
        <v>3</v>
      </c>
      <c r="F101" s="84">
        <v>2038</v>
      </c>
      <c r="G101" s="3">
        <f t="shared" ref="G101:Q102" si="54">IF($F101&lt;=G$4,80%,0)</f>
        <v>0</v>
      </c>
      <c r="H101" s="3">
        <f t="shared" si="54"/>
        <v>0</v>
      </c>
      <c r="I101" s="3">
        <f t="shared" si="54"/>
        <v>0</v>
      </c>
      <c r="J101" s="3">
        <f t="shared" si="54"/>
        <v>0</v>
      </c>
      <c r="K101" s="3">
        <f t="shared" si="54"/>
        <v>0</v>
      </c>
      <c r="L101" s="3">
        <f t="shared" si="54"/>
        <v>0</v>
      </c>
      <c r="M101" s="3">
        <f t="shared" si="54"/>
        <v>0</v>
      </c>
      <c r="N101" s="3">
        <f t="shared" si="54"/>
        <v>0</v>
      </c>
      <c r="O101" s="3">
        <f t="shared" si="54"/>
        <v>0.8</v>
      </c>
      <c r="P101" s="3">
        <f t="shared" si="54"/>
        <v>0.8</v>
      </c>
      <c r="Q101" s="3">
        <f t="shared" si="54"/>
        <v>0.8</v>
      </c>
      <c r="R101" s="76"/>
      <c r="S101" s="76"/>
      <c r="T101" s="76"/>
      <c r="U101" s="76"/>
      <c r="V101" s="76"/>
      <c r="W101" s="76"/>
    </row>
    <row r="102" spans="1:23">
      <c r="A102" s="84" t="s">
        <v>277</v>
      </c>
      <c r="B102" s="85" t="s">
        <v>276</v>
      </c>
      <c r="C102" s="85" t="s">
        <v>83</v>
      </c>
      <c r="D102" s="84" t="s">
        <v>75</v>
      </c>
      <c r="E102" s="84">
        <f>VLOOKUP(A102,'2a. SI Pop'!$A$5:$E$198,5,FALSE)</f>
        <v>3</v>
      </c>
      <c r="F102" s="84">
        <v>2031</v>
      </c>
      <c r="G102" s="3">
        <f t="shared" si="54"/>
        <v>0</v>
      </c>
      <c r="H102" s="3">
        <f t="shared" si="54"/>
        <v>0.8</v>
      </c>
      <c r="I102" s="3">
        <f t="shared" si="54"/>
        <v>0.8</v>
      </c>
      <c r="J102" s="3">
        <f t="shared" si="54"/>
        <v>0.8</v>
      </c>
      <c r="K102" s="3">
        <f t="shared" si="54"/>
        <v>0.8</v>
      </c>
      <c r="L102" s="3">
        <f t="shared" si="54"/>
        <v>0.8</v>
      </c>
      <c r="M102" s="3">
        <f t="shared" si="54"/>
        <v>0.8</v>
      </c>
      <c r="N102" s="3">
        <f t="shared" si="54"/>
        <v>0.8</v>
      </c>
      <c r="O102" s="3">
        <f t="shared" si="54"/>
        <v>0.8</v>
      </c>
      <c r="P102" s="3">
        <f t="shared" si="54"/>
        <v>0.8</v>
      </c>
      <c r="Q102" s="3">
        <f t="shared" si="54"/>
        <v>0.8</v>
      </c>
      <c r="R102" s="76"/>
      <c r="S102" s="76"/>
      <c r="T102" s="76"/>
      <c r="U102" s="76"/>
      <c r="V102" s="76"/>
      <c r="W102" s="76"/>
    </row>
    <row r="103" spans="1:23">
      <c r="A103" s="84" t="s">
        <v>279</v>
      </c>
      <c r="B103" s="85" t="s">
        <v>278</v>
      </c>
      <c r="C103" s="85" t="s">
        <v>74</v>
      </c>
      <c r="D103" s="84" t="s">
        <v>80</v>
      </c>
      <c r="E103" s="84">
        <f>VLOOKUP(A103,'2a. SI Pop'!$A$5:$E$198,5,FALSE)</f>
        <v>2</v>
      </c>
      <c r="F103" s="84">
        <v>2036</v>
      </c>
      <c r="G103" s="3">
        <f t="shared" ref="G103:Q103" si="55">IF($F103&lt;=G$4,30%,0)</f>
        <v>0</v>
      </c>
      <c r="H103" s="3">
        <f t="shared" si="55"/>
        <v>0</v>
      </c>
      <c r="I103" s="3">
        <f t="shared" si="55"/>
        <v>0</v>
      </c>
      <c r="J103" s="3">
        <f t="shared" si="55"/>
        <v>0</v>
      </c>
      <c r="K103" s="3">
        <f t="shared" si="55"/>
        <v>0</v>
      </c>
      <c r="L103" s="3">
        <f t="shared" si="55"/>
        <v>0</v>
      </c>
      <c r="M103" s="3">
        <f t="shared" si="55"/>
        <v>0.3</v>
      </c>
      <c r="N103" s="3">
        <f t="shared" si="55"/>
        <v>0.3</v>
      </c>
      <c r="O103" s="3">
        <f t="shared" si="55"/>
        <v>0.3</v>
      </c>
      <c r="P103" s="3">
        <f t="shared" si="55"/>
        <v>0.3</v>
      </c>
      <c r="Q103" s="3">
        <f t="shared" si="55"/>
        <v>0.3</v>
      </c>
      <c r="R103" s="76"/>
      <c r="S103" s="76"/>
      <c r="T103" s="76"/>
      <c r="U103" s="76"/>
      <c r="V103" s="76"/>
      <c r="W103" s="76"/>
    </row>
    <row r="104" spans="1:23">
      <c r="A104" s="84" t="s">
        <v>281</v>
      </c>
      <c r="B104" s="85" t="s">
        <v>280</v>
      </c>
      <c r="C104" s="85" t="s">
        <v>79</v>
      </c>
      <c r="D104" s="84" t="s">
        <v>87</v>
      </c>
      <c r="E104" s="84">
        <f>VLOOKUP(A104,'2a. SI Pop'!$A$5:$E$198,5,FALSE)</f>
        <v>1</v>
      </c>
      <c r="F104" s="84">
        <v>2036</v>
      </c>
      <c r="G104" s="3">
        <f t="shared" ref="G104:Q106" si="56">IF($F104&lt;=G$4,5%,0)</f>
        <v>0</v>
      </c>
      <c r="H104" s="3">
        <f t="shared" si="56"/>
        <v>0</v>
      </c>
      <c r="I104" s="3">
        <f t="shared" si="56"/>
        <v>0</v>
      </c>
      <c r="J104" s="3">
        <f t="shared" si="56"/>
        <v>0</v>
      </c>
      <c r="K104" s="3">
        <f t="shared" si="56"/>
        <v>0</v>
      </c>
      <c r="L104" s="3">
        <f t="shared" si="56"/>
        <v>0</v>
      </c>
      <c r="M104" s="3">
        <f t="shared" si="56"/>
        <v>0.05</v>
      </c>
      <c r="N104" s="3">
        <f t="shared" si="56"/>
        <v>0.05</v>
      </c>
      <c r="O104" s="3">
        <f t="shared" si="56"/>
        <v>0.05</v>
      </c>
      <c r="P104" s="3">
        <f t="shared" si="56"/>
        <v>0.05</v>
      </c>
      <c r="Q104" s="3">
        <f t="shared" si="56"/>
        <v>0.05</v>
      </c>
      <c r="R104" s="76"/>
      <c r="S104" s="76"/>
      <c r="T104" s="76"/>
      <c r="U104" s="76"/>
      <c r="V104" s="76"/>
      <c r="W104" s="76"/>
    </row>
    <row r="105" spans="1:23">
      <c r="A105" s="84" t="s">
        <v>283</v>
      </c>
      <c r="B105" s="85" t="s">
        <v>282</v>
      </c>
      <c r="C105" s="85" t="s">
        <v>79</v>
      </c>
      <c r="D105" s="84" t="s">
        <v>87</v>
      </c>
      <c r="E105" s="84">
        <f>VLOOKUP(A105,'2a. SI Pop'!$A$5:$E$198,5,FALSE)</f>
        <v>1</v>
      </c>
      <c r="F105" s="84">
        <v>2030</v>
      </c>
      <c r="G105" s="3">
        <f t="shared" si="56"/>
        <v>0.05</v>
      </c>
      <c r="H105" s="3">
        <f t="shared" si="56"/>
        <v>0.05</v>
      </c>
      <c r="I105" s="3">
        <f t="shared" si="56"/>
        <v>0.05</v>
      </c>
      <c r="J105" s="3">
        <f t="shared" si="56"/>
        <v>0.05</v>
      </c>
      <c r="K105" s="3">
        <f t="shared" si="56"/>
        <v>0.05</v>
      </c>
      <c r="L105" s="3">
        <f t="shared" si="56"/>
        <v>0.05</v>
      </c>
      <c r="M105" s="3">
        <f t="shared" si="56"/>
        <v>0.05</v>
      </c>
      <c r="N105" s="3">
        <f t="shared" si="56"/>
        <v>0.05</v>
      </c>
      <c r="O105" s="3">
        <f t="shared" si="56"/>
        <v>0.05</v>
      </c>
      <c r="P105" s="3">
        <f t="shared" si="56"/>
        <v>0.05</v>
      </c>
      <c r="Q105" s="3">
        <f t="shared" si="56"/>
        <v>0.05</v>
      </c>
      <c r="R105" s="76"/>
      <c r="S105" s="76"/>
      <c r="T105" s="76"/>
      <c r="U105" s="76"/>
      <c r="V105" s="76"/>
      <c r="W105" s="76"/>
    </row>
    <row r="106" spans="1:23">
      <c r="A106" s="84" t="s">
        <v>285</v>
      </c>
      <c r="B106" s="85" t="s">
        <v>284</v>
      </c>
      <c r="C106" s="85" t="s">
        <v>79</v>
      </c>
      <c r="D106" s="84" t="s">
        <v>80</v>
      </c>
      <c r="E106" s="84">
        <f>VLOOKUP(A106,'2a. SI Pop'!$A$5:$E$198,5,FALSE)</f>
        <v>1</v>
      </c>
      <c r="F106" s="84">
        <v>2031</v>
      </c>
      <c r="G106" s="3">
        <f t="shared" si="56"/>
        <v>0</v>
      </c>
      <c r="H106" s="3">
        <f t="shared" si="56"/>
        <v>0.05</v>
      </c>
      <c r="I106" s="3">
        <f t="shared" si="56"/>
        <v>0.05</v>
      </c>
      <c r="J106" s="3">
        <f t="shared" si="56"/>
        <v>0.05</v>
      </c>
      <c r="K106" s="3">
        <f t="shared" si="56"/>
        <v>0.05</v>
      </c>
      <c r="L106" s="3">
        <f t="shared" si="56"/>
        <v>0.05</v>
      </c>
      <c r="M106" s="3">
        <f t="shared" si="56"/>
        <v>0.05</v>
      </c>
      <c r="N106" s="3">
        <f t="shared" si="56"/>
        <v>0.05</v>
      </c>
      <c r="O106" s="3">
        <f t="shared" si="56"/>
        <v>0.05</v>
      </c>
      <c r="P106" s="3">
        <f t="shared" si="56"/>
        <v>0.05</v>
      </c>
      <c r="Q106" s="3">
        <f t="shared" si="56"/>
        <v>0.05</v>
      </c>
      <c r="R106" s="76"/>
      <c r="S106" s="76"/>
      <c r="T106" s="76"/>
      <c r="U106" s="76"/>
      <c r="V106" s="76"/>
      <c r="W106" s="76"/>
    </row>
    <row r="107" spans="1:23">
      <c r="A107" s="84" t="s">
        <v>287</v>
      </c>
      <c r="B107" s="85" t="s">
        <v>286</v>
      </c>
      <c r="C107" s="85" t="s">
        <v>83</v>
      </c>
      <c r="D107" s="84" t="s">
        <v>75</v>
      </c>
      <c r="E107" s="84">
        <f>VLOOKUP(A107,'2a. SI Pop'!$A$5:$E$198,5,FALSE)</f>
        <v>3</v>
      </c>
      <c r="F107" s="84">
        <v>2031</v>
      </c>
      <c r="G107" s="3">
        <f t="shared" ref="G107:Q108" si="57">IF($F107&lt;=G$4,80%,0)</f>
        <v>0</v>
      </c>
      <c r="H107" s="3">
        <f t="shared" si="57"/>
        <v>0.8</v>
      </c>
      <c r="I107" s="3">
        <f t="shared" si="57"/>
        <v>0.8</v>
      </c>
      <c r="J107" s="3">
        <f t="shared" si="57"/>
        <v>0.8</v>
      </c>
      <c r="K107" s="3">
        <f t="shared" si="57"/>
        <v>0.8</v>
      </c>
      <c r="L107" s="3">
        <f t="shared" si="57"/>
        <v>0.8</v>
      </c>
      <c r="M107" s="3">
        <f t="shared" si="57"/>
        <v>0.8</v>
      </c>
      <c r="N107" s="3">
        <f t="shared" si="57"/>
        <v>0.8</v>
      </c>
      <c r="O107" s="3">
        <f t="shared" si="57"/>
        <v>0.8</v>
      </c>
      <c r="P107" s="3">
        <f t="shared" si="57"/>
        <v>0.8</v>
      </c>
      <c r="Q107" s="3">
        <f t="shared" si="57"/>
        <v>0.8</v>
      </c>
      <c r="R107" s="76"/>
      <c r="S107" s="76"/>
      <c r="T107" s="76"/>
      <c r="U107" s="76"/>
      <c r="V107" s="76"/>
      <c r="W107" s="76"/>
    </row>
    <row r="108" spans="1:23">
      <c r="A108" s="84" t="s">
        <v>289</v>
      </c>
      <c r="B108" s="85" t="s">
        <v>288</v>
      </c>
      <c r="C108" s="85" t="s">
        <v>83</v>
      </c>
      <c r="D108" s="84" t="s">
        <v>75</v>
      </c>
      <c r="E108" s="84">
        <f>VLOOKUP(A108,'2a. SI Pop'!$A$5:$E$198,5,FALSE)</f>
        <v>3</v>
      </c>
      <c r="F108" s="84">
        <v>2032</v>
      </c>
      <c r="G108" s="3">
        <f t="shared" si="57"/>
        <v>0</v>
      </c>
      <c r="H108" s="3">
        <f t="shared" si="57"/>
        <v>0</v>
      </c>
      <c r="I108" s="3">
        <f t="shared" si="57"/>
        <v>0.8</v>
      </c>
      <c r="J108" s="3">
        <f t="shared" si="57"/>
        <v>0.8</v>
      </c>
      <c r="K108" s="3">
        <f t="shared" si="57"/>
        <v>0.8</v>
      </c>
      <c r="L108" s="3">
        <f t="shared" si="57"/>
        <v>0.8</v>
      </c>
      <c r="M108" s="3">
        <f t="shared" si="57"/>
        <v>0.8</v>
      </c>
      <c r="N108" s="3">
        <f t="shared" si="57"/>
        <v>0.8</v>
      </c>
      <c r="O108" s="3">
        <f t="shared" si="57"/>
        <v>0.8</v>
      </c>
      <c r="P108" s="3">
        <f t="shared" si="57"/>
        <v>0.8</v>
      </c>
      <c r="Q108" s="3">
        <f t="shared" si="57"/>
        <v>0.8</v>
      </c>
      <c r="R108" s="76"/>
      <c r="S108" s="76"/>
      <c r="T108" s="76"/>
      <c r="U108" s="76"/>
      <c r="V108" s="76"/>
      <c r="W108" s="76"/>
    </row>
    <row r="109" spans="1:23">
      <c r="A109" s="84" t="s">
        <v>291</v>
      </c>
      <c r="B109" s="85" t="s">
        <v>290</v>
      </c>
      <c r="C109" s="85" t="s">
        <v>99</v>
      </c>
      <c r="D109" s="84" t="s">
        <v>80</v>
      </c>
      <c r="E109" s="84">
        <f>VLOOKUP(A109,'2a. SI Pop'!$A$5:$E$198,5,FALSE)</f>
        <v>2</v>
      </c>
      <c r="F109" s="84">
        <v>2031</v>
      </c>
      <c r="G109" s="3">
        <f t="shared" ref="G109:Q110" si="58">IF($F109&lt;=G$4,30%,0)</f>
        <v>0</v>
      </c>
      <c r="H109" s="3">
        <f t="shared" si="58"/>
        <v>0.3</v>
      </c>
      <c r="I109" s="3">
        <f t="shared" si="58"/>
        <v>0.3</v>
      </c>
      <c r="J109" s="3">
        <f t="shared" si="58"/>
        <v>0.3</v>
      </c>
      <c r="K109" s="3">
        <f t="shared" si="58"/>
        <v>0.3</v>
      </c>
      <c r="L109" s="3">
        <f t="shared" si="58"/>
        <v>0.3</v>
      </c>
      <c r="M109" s="3">
        <f t="shared" si="58"/>
        <v>0.3</v>
      </c>
      <c r="N109" s="3">
        <f t="shared" si="58"/>
        <v>0.3</v>
      </c>
      <c r="O109" s="3">
        <f t="shared" si="58"/>
        <v>0.3</v>
      </c>
      <c r="P109" s="3">
        <f t="shared" si="58"/>
        <v>0.3</v>
      </c>
      <c r="Q109" s="3">
        <f t="shared" si="58"/>
        <v>0.3</v>
      </c>
      <c r="R109" s="76"/>
      <c r="S109" s="76"/>
      <c r="T109" s="76"/>
      <c r="U109" s="76"/>
      <c r="V109" s="76"/>
      <c r="W109" s="76"/>
    </row>
    <row r="110" spans="1:23">
      <c r="A110" s="84" t="s">
        <v>293</v>
      </c>
      <c r="B110" s="85" t="s">
        <v>292</v>
      </c>
      <c r="C110" s="85" t="s">
        <v>110</v>
      </c>
      <c r="D110" s="84" t="s">
        <v>80</v>
      </c>
      <c r="E110" s="84">
        <f>VLOOKUP(A110,'2a. SI Pop'!$A$5:$E$198,5,FALSE)</f>
        <v>2</v>
      </c>
      <c r="F110" s="84">
        <v>2038</v>
      </c>
      <c r="G110" s="3">
        <f t="shared" si="58"/>
        <v>0</v>
      </c>
      <c r="H110" s="3">
        <f t="shared" si="58"/>
        <v>0</v>
      </c>
      <c r="I110" s="3">
        <f t="shared" si="58"/>
        <v>0</v>
      </c>
      <c r="J110" s="3">
        <f t="shared" si="58"/>
        <v>0</v>
      </c>
      <c r="K110" s="3">
        <f t="shared" si="58"/>
        <v>0</v>
      </c>
      <c r="L110" s="3">
        <f t="shared" si="58"/>
        <v>0</v>
      </c>
      <c r="M110" s="3">
        <f t="shared" si="58"/>
        <v>0</v>
      </c>
      <c r="N110" s="3">
        <f t="shared" si="58"/>
        <v>0</v>
      </c>
      <c r="O110" s="3">
        <f t="shared" si="58"/>
        <v>0.3</v>
      </c>
      <c r="P110" s="3">
        <f t="shared" si="58"/>
        <v>0.3</v>
      </c>
      <c r="Q110" s="3">
        <f t="shared" si="58"/>
        <v>0.3</v>
      </c>
      <c r="R110" s="76"/>
      <c r="S110" s="76"/>
      <c r="T110" s="76"/>
      <c r="U110" s="76"/>
      <c r="V110" s="76"/>
      <c r="W110" s="76"/>
    </row>
    <row r="111" spans="1:23">
      <c r="A111" s="84" t="s">
        <v>295</v>
      </c>
      <c r="B111" s="85" t="s">
        <v>294</v>
      </c>
      <c r="C111" s="85" t="s">
        <v>83</v>
      </c>
      <c r="D111" s="84" t="s">
        <v>75</v>
      </c>
      <c r="E111" s="84">
        <f>VLOOKUP(A111,'2a. SI Pop'!$A$5:$E$198,5,FALSE)</f>
        <v>3</v>
      </c>
      <c r="F111" s="84">
        <v>2033</v>
      </c>
      <c r="G111" s="3">
        <f t="shared" ref="G111:Q111" si="59">IF($F111&lt;=G$4,80%,0)</f>
        <v>0</v>
      </c>
      <c r="H111" s="3">
        <f t="shared" si="59"/>
        <v>0</v>
      </c>
      <c r="I111" s="3">
        <f t="shared" si="59"/>
        <v>0</v>
      </c>
      <c r="J111" s="3">
        <f t="shared" si="59"/>
        <v>0.8</v>
      </c>
      <c r="K111" s="3">
        <f t="shared" si="59"/>
        <v>0.8</v>
      </c>
      <c r="L111" s="3">
        <f t="shared" si="59"/>
        <v>0.8</v>
      </c>
      <c r="M111" s="3">
        <f t="shared" si="59"/>
        <v>0.8</v>
      </c>
      <c r="N111" s="3">
        <f t="shared" si="59"/>
        <v>0.8</v>
      </c>
      <c r="O111" s="3">
        <f t="shared" si="59"/>
        <v>0.8</v>
      </c>
      <c r="P111" s="3">
        <f t="shared" si="59"/>
        <v>0.8</v>
      </c>
      <c r="Q111" s="3">
        <f t="shared" si="59"/>
        <v>0.8</v>
      </c>
      <c r="R111" s="76"/>
      <c r="S111" s="76"/>
      <c r="T111" s="76"/>
      <c r="U111" s="76"/>
      <c r="V111" s="76"/>
      <c r="W111" s="76"/>
    </row>
    <row r="112" spans="1:23">
      <c r="A112" s="84" t="s">
        <v>297</v>
      </c>
      <c r="B112" s="85" t="s">
        <v>296</v>
      </c>
      <c r="C112" s="85" t="s">
        <v>79</v>
      </c>
      <c r="D112" s="84" t="s">
        <v>87</v>
      </c>
      <c r="E112" s="84">
        <f>VLOOKUP(A112,'2a. SI Pop'!$A$5:$E$198,5,FALSE)</f>
        <v>1</v>
      </c>
      <c r="F112" s="84">
        <v>2035</v>
      </c>
      <c r="G112" s="3">
        <f t="shared" ref="G112:Q112" si="60">IF($F112&lt;=G$4,5%,0)</f>
        <v>0</v>
      </c>
      <c r="H112" s="3">
        <f t="shared" si="60"/>
        <v>0</v>
      </c>
      <c r="I112" s="3">
        <f t="shared" si="60"/>
        <v>0</v>
      </c>
      <c r="J112" s="3">
        <f t="shared" si="60"/>
        <v>0</v>
      </c>
      <c r="K112" s="3">
        <f t="shared" si="60"/>
        <v>0</v>
      </c>
      <c r="L112" s="3">
        <f t="shared" si="60"/>
        <v>0.05</v>
      </c>
      <c r="M112" s="3">
        <f t="shared" si="60"/>
        <v>0.05</v>
      </c>
      <c r="N112" s="3">
        <f t="shared" si="60"/>
        <v>0.05</v>
      </c>
      <c r="O112" s="3">
        <f t="shared" si="60"/>
        <v>0.05</v>
      </c>
      <c r="P112" s="3">
        <f t="shared" si="60"/>
        <v>0.05</v>
      </c>
      <c r="Q112" s="3">
        <f t="shared" si="60"/>
        <v>0.05</v>
      </c>
      <c r="R112" s="76"/>
      <c r="S112" s="76"/>
      <c r="T112" s="76"/>
      <c r="U112" s="76"/>
      <c r="V112" s="76"/>
      <c r="W112" s="76"/>
    </row>
    <row r="113" spans="1:23">
      <c r="A113" s="84" t="s">
        <v>299</v>
      </c>
      <c r="B113" s="85" t="s">
        <v>298</v>
      </c>
      <c r="C113" s="85" t="s">
        <v>99</v>
      </c>
      <c r="D113" s="84" t="s">
        <v>80</v>
      </c>
      <c r="E113" s="84">
        <f>VLOOKUP(A113,'2a. SI Pop'!$A$5:$E$198,5,FALSE)</f>
        <v>1</v>
      </c>
      <c r="F113" s="84">
        <v>2037</v>
      </c>
      <c r="G113" s="3">
        <f t="shared" ref="G113:Q113" si="61">IF($F113&lt;=G$4,80%,0)</f>
        <v>0</v>
      </c>
      <c r="H113" s="3">
        <f t="shared" si="61"/>
        <v>0</v>
      </c>
      <c r="I113" s="3">
        <f t="shared" si="61"/>
        <v>0</v>
      </c>
      <c r="J113" s="3">
        <f t="shared" si="61"/>
        <v>0</v>
      </c>
      <c r="K113" s="3">
        <f t="shared" si="61"/>
        <v>0</v>
      </c>
      <c r="L113" s="3">
        <f t="shared" si="61"/>
        <v>0</v>
      </c>
      <c r="M113" s="3">
        <f t="shared" si="61"/>
        <v>0</v>
      </c>
      <c r="N113" s="3">
        <f t="shared" si="61"/>
        <v>0.8</v>
      </c>
      <c r="O113" s="3">
        <f t="shared" si="61"/>
        <v>0.8</v>
      </c>
      <c r="P113" s="3">
        <f t="shared" si="61"/>
        <v>0.8</v>
      </c>
      <c r="Q113" s="3">
        <f t="shared" si="61"/>
        <v>0.8</v>
      </c>
      <c r="R113" s="76"/>
      <c r="S113" s="76"/>
      <c r="T113" s="76"/>
      <c r="U113" s="76"/>
      <c r="V113" s="76"/>
      <c r="W113" s="76"/>
    </row>
    <row r="114" spans="1:23">
      <c r="A114" s="84" t="s">
        <v>301</v>
      </c>
      <c r="B114" s="85" t="s">
        <v>300</v>
      </c>
      <c r="C114" s="85" t="s">
        <v>83</v>
      </c>
      <c r="D114" s="84" t="s">
        <v>84</v>
      </c>
      <c r="E114" s="84">
        <f>VLOOKUP(A114,'2a. SI Pop'!$A$5:$E$198,5,FALSE)</f>
        <v>3</v>
      </c>
      <c r="F114" s="84">
        <v>2038</v>
      </c>
      <c r="G114" s="3">
        <f t="shared" ref="G114:Q114" si="62">IF($F114&lt;=G$4,80%,0)</f>
        <v>0</v>
      </c>
      <c r="H114" s="3">
        <f t="shared" si="62"/>
        <v>0</v>
      </c>
      <c r="I114" s="3">
        <f t="shared" si="62"/>
        <v>0</v>
      </c>
      <c r="J114" s="3">
        <f t="shared" si="62"/>
        <v>0</v>
      </c>
      <c r="K114" s="3">
        <f t="shared" si="62"/>
        <v>0</v>
      </c>
      <c r="L114" s="3">
        <f t="shared" si="62"/>
        <v>0</v>
      </c>
      <c r="M114" s="3">
        <f t="shared" si="62"/>
        <v>0</v>
      </c>
      <c r="N114" s="3">
        <f t="shared" si="62"/>
        <v>0</v>
      </c>
      <c r="O114" s="3">
        <f t="shared" si="62"/>
        <v>0.8</v>
      </c>
      <c r="P114" s="3">
        <f t="shared" si="62"/>
        <v>0.8</v>
      </c>
      <c r="Q114" s="3">
        <f t="shared" si="62"/>
        <v>0.8</v>
      </c>
      <c r="R114" s="76"/>
      <c r="S114" s="76"/>
      <c r="T114" s="76"/>
      <c r="U114" s="76"/>
      <c r="V114" s="76"/>
      <c r="W114" s="76"/>
    </row>
    <row r="115" spans="1:23">
      <c r="A115" s="84" t="s">
        <v>303</v>
      </c>
      <c r="B115" s="85" t="s">
        <v>302</v>
      </c>
      <c r="C115" s="85" t="s">
        <v>83</v>
      </c>
      <c r="D115" s="84" t="s">
        <v>87</v>
      </c>
      <c r="E115" s="84">
        <f>VLOOKUP(A115,'2a. SI Pop'!$A$5:$E$198,5,FALSE)</f>
        <v>1</v>
      </c>
      <c r="F115" s="84">
        <v>2038</v>
      </c>
      <c r="G115" s="3">
        <f t="shared" ref="G115:Q115" si="63">IF($F115&lt;=G$4,5%,0)</f>
        <v>0</v>
      </c>
      <c r="H115" s="3">
        <f t="shared" si="63"/>
        <v>0</v>
      </c>
      <c r="I115" s="3">
        <f t="shared" si="63"/>
        <v>0</v>
      </c>
      <c r="J115" s="3">
        <f t="shared" si="63"/>
        <v>0</v>
      </c>
      <c r="K115" s="3">
        <f t="shared" si="63"/>
        <v>0</v>
      </c>
      <c r="L115" s="3">
        <f t="shared" si="63"/>
        <v>0</v>
      </c>
      <c r="M115" s="3">
        <f t="shared" si="63"/>
        <v>0</v>
      </c>
      <c r="N115" s="3">
        <f t="shared" si="63"/>
        <v>0</v>
      </c>
      <c r="O115" s="3">
        <f t="shared" si="63"/>
        <v>0.05</v>
      </c>
      <c r="P115" s="3">
        <f t="shared" si="63"/>
        <v>0.05</v>
      </c>
      <c r="Q115" s="3">
        <f t="shared" si="63"/>
        <v>0.05</v>
      </c>
      <c r="R115" s="76"/>
      <c r="S115" s="76"/>
      <c r="T115" s="76"/>
      <c r="U115" s="76"/>
      <c r="V115" s="76"/>
      <c r="W115" s="76"/>
    </row>
    <row r="116" spans="1:23">
      <c r="A116" s="84" t="s">
        <v>305</v>
      </c>
      <c r="B116" s="85" t="s">
        <v>304</v>
      </c>
      <c r="C116" s="85" t="s">
        <v>92</v>
      </c>
      <c r="D116" s="84" t="s">
        <v>80</v>
      </c>
      <c r="E116" s="84">
        <f>VLOOKUP(A116,'2a. SI Pop'!$A$5:$E$198,5,FALSE)</f>
        <v>2</v>
      </c>
      <c r="F116" s="84">
        <v>2038</v>
      </c>
      <c r="G116" s="3">
        <f t="shared" ref="G116:Q116" si="64">IF($F116&lt;=G$4,30%,0)</f>
        <v>0</v>
      </c>
      <c r="H116" s="3">
        <f t="shared" si="64"/>
        <v>0</v>
      </c>
      <c r="I116" s="3">
        <f t="shared" si="64"/>
        <v>0</v>
      </c>
      <c r="J116" s="3">
        <f t="shared" si="64"/>
        <v>0</v>
      </c>
      <c r="K116" s="3">
        <f t="shared" si="64"/>
        <v>0</v>
      </c>
      <c r="L116" s="3">
        <f t="shared" si="64"/>
        <v>0</v>
      </c>
      <c r="M116" s="3">
        <f t="shared" si="64"/>
        <v>0</v>
      </c>
      <c r="N116" s="3">
        <f t="shared" si="64"/>
        <v>0</v>
      </c>
      <c r="O116" s="3">
        <f t="shared" si="64"/>
        <v>0.3</v>
      </c>
      <c r="P116" s="3">
        <f t="shared" si="64"/>
        <v>0.3</v>
      </c>
      <c r="Q116" s="3">
        <f t="shared" si="64"/>
        <v>0.3</v>
      </c>
      <c r="R116" s="76"/>
      <c r="S116" s="76"/>
      <c r="T116" s="76"/>
      <c r="U116" s="76"/>
      <c r="V116" s="76"/>
      <c r="W116" s="76"/>
    </row>
    <row r="117" spans="1:23">
      <c r="A117" s="84" t="s">
        <v>307</v>
      </c>
      <c r="B117" s="85" t="s">
        <v>306</v>
      </c>
      <c r="C117" s="85" t="s">
        <v>99</v>
      </c>
      <c r="D117" s="84" t="s">
        <v>84</v>
      </c>
      <c r="E117" s="84">
        <f>VLOOKUP(A117,'2a. SI Pop'!$A$5:$E$198,5,FALSE)</f>
        <v>1</v>
      </c>
      <c r="F117" s="84">
        <v>2038</v>
      </c>
      <c r="G117" s="3">
        <f t="shared" ref="G117:Q118" si="65">IF($F117&lt;=G$4,5%,0)</f>
        <v>0</v>
      </c>
      <c r="H117" s="3">
        <f t="shared" si="65"/>
        <v>0</v>
      </c>
      <c r="I117" s="3">
        <f t="shared" si="65"/>
        <v>0</v>
      </c>
      <c r="J117" s="3">
        <f t="shared" si="65"/>
        <v>0</v>
      </c>
      <c r="K117" s="3">
        <f t="shared" si="65"/>
        <v>0</v>
      </c>
      <c r="L117" s="3">
        <f t="shared" si="65"/>
        <v>0</v>
      </c>
      <c r="M117" s="3">
        <f t="shared" si="65"/>
        <v>0</v>
      </c>
      <c r="N117" s="3">
        <f t="shared" si="65"/>
        <v>0</v>
      </c>
      <c r="O117" s="3">
        <f t="shared" si="65"/>
        <v>0.05</v>
      </c>
      <c r="P117" s="3">
        <f t="shared" si="65"/>
        <v>0.05</v>
      </c>
      <c r="Q117" s="3">
        <f t="shared" si="65"/>
        <v>0.05</v>
      </c>
      <c r="R117" s="76"/>
      <c r="S117" s="76"/>
      <c r="T117" s="76"/>
      <c r="U117" s="76"/>
      <c r="V117" s="76"/>
      <c r="W117" s="76"/>
    </row>
    <row r="118" spans="1:23">
      <c r="A118" s="84" t="s">
        <v>309</v>
      </c>
      <c r="B118" s="85" t="s">
        <v>308</v>
      </c>
      <c r="C118" s="85" t="s">
        <v>79</v>
      </c>
      <c r="D118" s="84" t="s">
        <v>84</v>
      </c>
      <c r="E118" s="84">
        <f>VLOOKUP(A118,'2a. SI Pop'!$A$5:$E$198,5,FALSE)</f>
        <v>1</v>
      </c>
      <c r="F118" s="84">
        <v>2041</v>
      </c>
      <c r="G118" s="3">
        <f t="shared" si="65"/>
        <v>0</v>
      </c>
      <c r="H118" s="3">
        <f t="shared" si="65"/>
        <v>0</v>
      </c>
      <c r="I118" s="3">
        <f t="shared" si="65"/>
        <v>0</v>
      </c>
      <c r="J118" s="3">
        <f t="shared" si="65"/>
        <v>0</v>
      </c>
      <c r="K118" s="3">
        <f t="shared" si="65"/>
        <v>0</v>
      </c>
      <c r="L118" s="3">
        <f t="shared" si="65"/>
        <v>0</v>
      </c>
      <c r="M118" s="3">
        <f t="shared" si="65"/>
        <v>0</v>
      </c>
      <c r="N118" s="3">
        <f t="shared" si="65"/>
        <v>0</v>
      </c>
      <c r="O118" s="3">
        <f t="shared" si="65"/>
        <v>0</v>
      </c>
      <c r="P118" s="3">
        <f t="shared" si="65"/>
        <v>0</v>
      </c>
      <c r="Q118" s="3">
        <f t="shared" si="65"/>
        <v>0</v>
      </c>
      <c r="R118" s="76"/>
      <c r="S118" s="76"/>
      <c r="T118" s="76"/>
      <c r="U118" s="76"/>
      <c r="V118" s="76"/>
      <c r="W118" s="76"/>
    </row>
    <row r="119" spans="1:23">
      <c r="A119" s="84" t="s">
        <v>311</v>
      </c>
      <c r="B119" s="85" t="s">
        <v>310</v>
      </c>
      <c r="C119" s="85" t="s">
        <v>79</v>
      </c>
      <c r="D119" s="84" t="s">
        <v>87</v>
      </c>
      <c r="E119" s="84">
        <f>VLOOKUP(A119,'2a. SI Pop'!$A$5:$E$198,5,FALSE)</f>
        <v>1</v>
      </c>
      <c r="F119" s="84">
        <v>2039</v>
      </c>
      <c r="G119" s="3">
        <f t="shared" ref="G119:Q119" si="66">IF($F119&lt;=G$4,80%,0)</f>
        <v>0</v>
      </c>
      <c r="H119" s="3">
        <f t="shared" si="66"/>
        <v>0</v>
      </c>
      <c r="I119" s="3">
        <f t="shared" si="66"/>
        <v>0</v>
      </c>
      <c r="J119" s="3">
        <f t="shared" si="66"/>
        <v>0</v>
      </c>
      <c r="K119" s="3">
        <f t="shared" si="66"/>
        <v>0</v>
      </c>
      <c r="L119" s="3">
        <f t="shared" si="66"/>
        <v>0</v>
      </c>
      <c r="M119" s="3">
        <f t="shared" si="66"/>
        <v>0</v>
      </c>
      <c r="N119" s="3">
        <f t="shared" si="66"/>
        <v>0</v>
      </c>
      <c r="O119" s="3">
        <f t="shared" si="66"/>
        <v>0</v>
      </c>
      <c r="P119" s="3">
        <f t="shared" si="66"/>
        <v>0.8</v>
      </c>
      <c r="Q119" s="3">
        <f t="shared" si="66"/>
        <v>0.8</v>
      </c>
      <c r="R119" s="76"/>
      <c r="S119" s="76"/>
      <c r="T119" s="76"/>
      <c r="U119" s="76"/>
      <c r="V119" s="76"/>
      <c r="W119" s="76"/>
    </row>
    <row r="120" spans="1:23">
      <c r="A120" s="84" t="s">
        <v>313</v>
      </c>
      <c r="B120" s="85" t="s">
        <v>312</v>
      </c>
      <c r="C120" s="85" t="s">
        <v>99</v>
      </c>
      <c r="D120" s="84" t="s">
        <v>84</v>
      </c>
      <c r="E120" s="84">
        <f>VLOOKUP(A120,'2a. SI Pop'!$A$5:$E$198,5,FALSE)</f>
        <v>2</v>
      </c>
      <c r="F120" s="84">
        <v>2041</v>
      </c>
      <c r="G120" s="3">
        <f t="shared" ref="G120:Q120" si="67">IF($F120&lt;=G$4,30%,0)</f>
        <v>0</v>
      </c>
      <c r="H120" s="3">
        <f t="shared" si="67"/>
        <v>0</v>
      </c>
      <c r="I120" s="3">
        <f t="shared" si="67"/>
        <v>0</v>
      </c>
      <c r="J120" s="3">
        <f t="shared" si="67"/>
        <v>0</v>
      </c>
      <c r="K120" s="3">
        <f t="shared" si="67"/>
        <v>0</v>
      </c>
      <c r="L120" s="3">
        <f t="shared" si="67"/>
        <v>0</v>
      </c>
      <c r="M120" s="3">
        <f t="shared" si="67"/>
        <v>0</v>
      </c>
      <c r="N120" s="3">
        <f t="shared" si="67"/>
        <v>0</v>
      </c>
      <c r="O120" s="3">
        <f t="shared" si="67"/>
        <v>0</v>
      </c>
      <c r="P120" s="3">
        <f t="shared" si="67"/>
        <v>0</v>
      </c>
      <c r="Q120" s="3">
        <f t="shared" si="67"/>
        <v>0</v>
      </c>
      <c r="R120" s="76"/>
      <c r="S120" s="76"/>
      <c r="T120" s="76"/>
      <c r="U120" s="76"/>
      <c r="V120" s="76"/>
      <c r="W120" s="76"/>
    </row>
    <row r="121" spans="1:23">
      <c r="A121" s="84" t="s">
        <v>315</v>
      </c>
      <c r="B121" s="85" t="s">
        <v>314</v>
      </c>
      <c r="C121" s="85" t="s">
        <v>79</v>
      </c>
      <c r="D121" s="84" t="s">
        <v>80</v>
      </c>
      <c r="E121" s="84">
        <f>VLOOKUP(A121,'2a. SI Pop'!$A$5:$E$198,5,FALSE)</f>
        <v>1</v>
      </c>
      <c r="F121" s="84">
        <v>2041</v>
      </c>
      <c r="G121" s="3">
        <f t="shared" ref="G121:Q121" si="68">IF($F121&lt;=G$4,5%,0)</f>
        <v>0</v>
      </c>
      <c r="H121" s="3">
        <f t="shared" si="68"/>
        <v>0</v>
      </c>
      <c r="I121" s="3">
        <f t="shared" si="68"/>
        <v>0</v>
      </c>
      <c r="J121" s="3">
        <f t="shared" si="68"/>
        <v>0</v>
      </c>
      <c r="K121" s="3">
        <f t="shared" si="68"/>
        <v>0</v>
      </c>
      <c r="L121" s="3">
        <f t="shared" si="68"/>
        <v>0</v>
      </c>
      <c r="M121" s="3">
        <f t="shared" si="68"/>
        <v>0</v>
      </c>
      <c r="N121" s="3">
        <f t="shared" si="68"/>
        <v>0</v>
      </c>
      <c r="O121" s="3">
        <f t="shared" si="68"/>
        <v>0</v>
      </c>
      <c r="P121" s="3">
        <f t="shared" si="68"/>
        <v>0</v>
      </c>
      <c r="Q121" s="3">
        <f t="shared" si="68"/>
        <v>0</v>
      </c>
      <c r="R121" s="76"/>
      <c r="S121" s="76"/>
      <c r="T121" s="76"/>
      <c r="U121" s="76"/>
      <c r="V121" s="76"/>
      <c r="W121" s="76"/>
    </row>
    <row r="122" spans="1:23">
      <c r="A122" s="84" t="s">
        <v>317</v>
      </c>
      <c r="B122" s="85" t="s">
        <v>316</v>
      </c>
      <c r="C122" s="85" t="s">
        <v>74</v>
      </c>
      <c r="D122" s="84" t="s">
        <v>84</v>
      </c>
      <c r="E122" s="84">
        <f>VLOOKUP(A122,'2a. SI Pop'!$A$5:$E$198,5,FALSE)</f>
        <v>3</v>
      </c>
      <c r="F122" s="84">
        <v>2033</v>
      </c>
      <c r="G122" s="3">
        <f t="shared" ref="G122:Q126" si="69">IF($F122&lt;=G$4,80%,0)</f>
        <v>0</v>
      </c>
      <c r="H122" s="3">
        <f t="shared" si="69"/>
        <v>0</v>
      </c>
      <c r="I122" s="3">
        <f t="shared" si="69"/>
        <v>0</v>
      </c>
      <c r="J122" s="3">
        <f t="shared" si="69"/>
        <v>0.8</v>
      </c>
      <c r="K122" s="3">
        <f t="shared" si="69"/>
        <v>0.8</v>
      </c>
      <c r="L122" s="3">
        <f t="shared" si="69"/>
        <v>0.8</v>
      </c>
      <c r="M122" s="3">
        <f t="shared" si="69"/>
        <v>0.8</v>
      </c>
      <c r="N122" s="3">
        <f t="shared" si="69"/>
        <v>0.8</v>
      </c>
      <c r="O122" s="3">
        <f t="shared" si="69"/>
        <v>0.8</v>
      </c>
      <c r="P122" s="3">
        <f t="shared" si="69"/>
        <v>0.8</v>
      </c>
      <c r="Q122" s="3">
        <f t="shared" si="69"/>
        <v>0.8</v>
      </c>
      <c r="R122" s="76"/>
      <c r="S122" s="76"/>
      <c r="T122" s="76"/>
      <c r="U122" s="76"/>
      <c r="V122" s="76"/>
      <c r="W122" s="76"/>
    </row>
    <row r="123" spans="1:23">
      <c r="A123" s="84" t="s">
        <v>319</v>
      </c>
      <c r="B123" s="85" t="s">
        <v>318</v>
      </c>
      <c r="C123" s="85" t="s">
        <v>83</v>
      </c>
      <c r="D123" s="84" t="s">
        <v>75</v>
      </c>
      <c r="E123" s="84" t="str">
        <f>VLOOKUP(A123,'2a. SI Pop'!$A$5:$E$198,5,FALSE)</f>
        <v>Key</v>
      </c>
      <c r="F123" s="84">
        <v>2034</v>
      </c>
      <c r="G123" s="3">
        <f t="shared" si="69"/>
        <v>0</v>
      </c>
      <c r="H123" s="3">
        <f t="shared" si="69"/>
        <v>0</v>
      </c>
      <c r="I123" s="3">
        <f t="shared" si="69"/>
        <v>0</v>
      </c>
      <c r="J123" s="3">
        <f t="shared" si="69"/>
        <v>0</v>
      </c>
      <c r="K123" s="3">
        <f t="shared" si="69"/>
        <v>0.8</v>
      </c>
      <c r="L123" s="3">
        <f t="shared" si="69"/>
        <v>0.8</v>
      </c>
      <c r="M123" s="3">
        <f t="shared" si="69"/>
        <v>0.8</v>
      </c>
      <c r="N123" s="3">
        <f t="shared" si="69"/>
        <v>0.8</v>
      </c>
      <c r="O123" s="3">
        <f t="shared" si="69"/>
        <v>0.8</v>
      </c>
      <c r="P123" s="3">
        <f t="shared" si="69"/>
        <v>0.8</v>
      </c>
      <c r="Q123" s="3">
        <f t="shared" si="69"/>
        <v>0.8</v>
      </c>
      <c r="R123" s="76"/>
      <c r="S123" s="76"/>
      <c r="T123" s="76"/>
      <c r="U123" s="76"/>
      <c r="V123" s="76"/>
      <c r="W123" s="76"/>
    </row>
    <row r="124" spans="1:23">
      <c r="A124" s="84" t="s">
        <v>321</v>
      </c>
      <c r="B124" s="85" t="s">
        <v>320</v>
      </c>
      <c r="C124" s="85" t="s">
        <v>110</v>
      </c>
      <c r="D124" s="84" t="s">
        <v>84</v>
      </c>
      <c r="E124" s="84">
        <f>VLOOKUP(A124,'2a. SI Pop'!$A$5:$E$198,5,FALSE)</f>
        <v>4</v>
      </c>
      <c r="F124" s="84">
        <v>2036</v>
      </c>
      <c r="G124" s="3">
        <f t="shared" si="69"/>
        <v>0</v>
      </c>
      <c r="H124" s="3">
        <f t="shared" si="69"/>
        <v>0</v>
      </c>
      <c r="I124" s="3">
        <f t="shared" si="69"/>
        <v>0</v>
      </c>
      <c r="J124" s="3">
        <f t="shared" si="69"/>
        <v>0</v>
      </c>
      <c r="K124" s="3">
        <f t="shared" si="69"/>
        <v>0</v>
      </c>
      <c r="L124" s="3">
        <f t="shared" si="69"/>
        <v>0</v>
      </c>
      <c r="M124" s="3">
        <f t="shared" si="69"/>
        <v>0.8</v>
      </c>
      <c r="N124" s="3">
        <f t="shared" si="69"/>
        <v>0.8</v>
      </c>
      <c r="O124" s="3">
        <f t="shared" si="69"/>
        <v>0.8</v>
      </c>
      <c r="P124" s="3">
        <f t="shared" si="69"/>
        <v>0.8</v>
      </c>
      <c r="Q124" s="3">
        <f t="shared" si="69"/>
        <v>0.8</v>
      </c>
      <c r="R124" s="76"/>
      <c r="S124" s="76"/>
      <c r="T124" s="76"/>
      <c r="U124" s="76"/>
      <c r="V124" s="76"/>
      <c r="W124" s="76"/>
    </row>
    <row r="125" spans="1:23">
      <c r="A125" s="84" t="s">
        <v>323</v>
      </c>
      <c r="B125" s="85" t="s">
        <v>322</v>
      </c>
      <c r="C125" s="85" t="s">
        <v>83</v>
      </c>
      <c r="D125" s="84" t="s">
        <v>80</v>
      </c>
      <c r="E125" s="84">
        <f>VLOOKUP(A125,'2a. SI Pop'!$A$5:$E$198,5,FALSE)</f>
        <v>3</v>
      </c>
      <c r="F125" s="84">
        <v>2037</v>
      </c>
      <c r="G125" s="3">
        <f t="shared" si="69"/>
        <v>0</v>
      </c>
      <c r="H125" s="3">
        <f t="shared" si="69"/>
        <v>0</v>
      </c>
      <c r="I125" s="3">
        <f t="shared" si="69"/>
        <v>0</v>
      </c>
      <c r="J125" s="3">
        <f t="shared" si="69"/>
        <v>0</v>
      </c>
      <c r="K125" s="3">
        <f t="shared" si="69"/>
        <v>0</v>
      </c>
      <c r="L125" s="3">
        <f t="shared" si="69"/>
        <v>0</v>
      </c>
      <c r="M125" s="3">
        <f t="shared" si="69"/>
        <v>0</v>
      </c>
      <c r="N125" s="3">
        <f t="shared" si="69"/>
        <v>0.8</v>
      </c>
      <c r="O125" s="3">
        <f t="shared" si="69"/>
        <v>0.8</v>
      </c>
      <c r="P125" s="3">
        <f t="shared" si="69"/>
        <v>0.8</v>
      </c>
      <c r="Q125" s="3">
        <f t="shared" si="69"/>
        <v>0.8</v>
      </c>
      <c r="R125" s="76"/>
      <c r="S125" s="76"/>
      <c r="T125" s="76"/>
      <c r="U125" s="76"/>
      <c r="V125" s="76"/>
      <c r="W125" s="76"/>
    </row>
    <row r="126" spans="1:23">
      <c r="A126" s="84" t="s">
        <v>325</v>
      </c>
      <c r="B126" s="85" t="s">
        <v>324</v>
      </c>
      <c r="C126" s="85" t="s">
        <v>99</v>
      </c>
      <c r="D126" s="84" t="s">
        <v>87</v>
      </c>
      <c r="E126" s="84">
        <f>VLOOKUP(A126,'2a. SI Pop'!$A$5:$E$198,5,FALSE)</f>
        <v>1</v>
      </c>
      <c r="F126" s="84">
        <v>2039</v>
      </c>
      <c r="G126" s="3">
        <f t="shared" si="69"/>
        <v>0</v>
      </c>
      <c r="H126" s="3">
        <f t="shared" si="69"/>
        <v>0</v>
      </c>
      <c r="I126" s="3">
        <f t="shared" si="69"/>
        <v>0</v>
      </c>
      <c r="J126" s="3">
        <f t="shared" si="69"/>
        <v>0</v>
      </c>
      <c r="K126" s="3">
        <f t="shared" si="69"/>
        <v>0</v>
      </c>
      <c r="L126" s="3">
        <f t="shared" si="69"/>
        <v>0</v>
      </c>
      <c r="M126" s="3">
        <f t="shared" si="69"/>
        <v>0</v>
      </c>
      <c r="N126" s="3">
        <f t="shared" si="69"/>
        <v>0</v>
      </c>
      <c r="O126" s="3">
        <f t="shared" si="69"/>
        <v>0</v>
      </c>
      <c r="P126" s="3">
        <f t="shared" si="69"/>
        <v>0.8</v>
      </c>
      <c r="Q126" s="3">
        <f t="shared" si="69"/>
        <v>0.8</v>
      </c>
      <c r="R126" s="76"/>
      <c r="S126" s="76"/>
      <c r="T126" s="76"/>
      <c r="U126" s="76"/>
      <c r="V126" s="76"/>
      <c r="W126" s="76"/>
    </row>
    <row r="127" spans="1:23">
      <c r="A127" s="84" t="s">
        <v>327</v>
      </c>
      <c r="B127" s="85" t="s">
        <v>326</v>
      </c>
      <c r="C127" s="85" t="s">
        <v>110</v>
      </c>
      <c r="D127" s="84" t="s">
        <v>84</v>
      </c>
      <c r="E127" s="84">
        <f>VLOOKUP(A127,'2a. SI Pop'!$A$5:$E$198,5,FALSE)</f>
        <v>4</v>
      </c>
      <c r="F127" s="84">
        <v>2037</v>
      </c>
      <c r="G127" s="3">
        <f t="shared" ref="G127:Q127" si="70">IF($F127&lt;=G$4,80%,0)</f>
        <v>0</v>
      </c>
      <c r="H127" s="3">
        <f t="shared" si="70"/>
        <v>0</v>
      </c>
      <c r="I127" s="3">
        <f t="shared" si="70"/>
        <v>0</v>
      </c>
      <c r="J127" s="3">
        <f t="shared" si="70"/>
        <v>0</v>
      </c>
      <c r="K127" s="3">
        <f t="shared" si="70"/>
        <v>0</v>
      </c>
      <c r="L127" s="3">
        <f t="shared" si="70"/>
        <v>0</v>
      </c>
      <c r="M127" s="3">
        <f t="shared" si="70"/>
        <v>0</v>
      </c>
      <c r="N127" s="3">
        <f t="shared" si="70"/>
        <v>0.8</v>
      </c>
      <c r="O127" s="3">
        <f t="shared" si="70"/>
        <v>0.8</v>
      </c>
      <c r="P127" s="3">
        <f t="shared" si="70"/>
        <v>0.8</v>
      </c>
      <c r="Q127" s="3">
        <f t="shared" si="70"/>
        <v>0.8</v>
      </c>
      <c r="R127" s="76"/>
      <c r="S127" s="76"/>
      <c r="T127" s="76"/>
      <c r="U127" s="76"/>
      <c r="V127" s="76"/>
      <c r="W127" s="76"/>
    </row>
    <row r="128" spans="1:23">
      <c r="A128" s="84" t="s">
        <v>329</v>
      </c>
      <c r="B128" s="85" t="s">
        <v>328</v>
      </c>
      <c r="C128" s="85" t="s">
        <v>79</v>
      </c>
      <c r="D128" s="84" t="s">
        <v>87</v>
      </c>
      <c r="E128" s="84">
        <f>VLOOKUP(A128,'2a. SI Pop'!$A$5:$E$198,5,FALSE)</f>
        <v>1</v>
      </c>
      <c r="F128" s="84">
        <v>2032</v>
      </c>
      <c r="G128" s="3">
        <f t="shared" ref="G128:Q129" si="71">IF($F128&lt;=G$4,5%,0)</f>
        <v>0</v>
      </c>
      <c r="H128" s="3">
        <f t="shared" si="71"/>
        <v>0</v>
      </c>
      <c r="I128" s="3">
        <f t="shared" si="71"/>
        <v>0.05</v>
      </c>
      <c r="J128" s="3">
        <f t="shared" si="71"/>
        <v>0.05</v>
      </c>
      <c r="K128" s="3">
        <f t="shared" si="71"/>
        <v>0.05</v>
      </c>
      <c r="L128" s="3">
        <f t="shared" si="71"/>
        <v>0.05</v>
      </c>
      <c r="M128" s="3">
        <f t="shared" si="71"/>
        <v>0.05</v>
      </c>
      <c r="N128" s="3">
        <f t="shared" si="71"/>
        <v>0.05</v>
      </c>
      <c r="O128" s="3">
        <f t="shared" si="71"/>
        <v>0.05</v>
      </c>
      <c r="P128" s="3">
        <f t="shared" si="71"/>
        <v>0.05</v>
      </c>
      <c r="Q128" s="3">
        <f t="shared" si="71"/>
        <v>0.05</v>
      </c>
      <c r="R128" s="76"/>
      <c r="S128" s="76"/>
      <c r="T128" s="76"/>
      <c r="U128" s="76"/>
      <c r="V128" s="76"/>
      <c r="W128" s="76"/>
    </row>
    <row r="129" spans="1:23">
      <c r="A129" s="84" t="s">
        <v>331</v>
      </c>
      <c r="B129" s="85" t="s">
        <v>330</v>
      </c>
      <c r="C129" s="85" t="s">
        <v>99</v>
      </c>
      <c r="D129" s="84" t="s">
        <v>87</v>
      </c>
      <c r="E129" s="84">
        <f>VLOOKUP(A129,'2a. SI Pop'!$A$5:$E$198,5,FALSE)</f>
        <v>1</v>
      </c>
      <c r="F129" s="84">
        <v>2031</v>
      </c>
      <c r="G129" s="3">
        <f t="shared" si="71"/>
        <v>0</v>
      </c>
      <c r="H129" s="3">
        <f t="shared" si="71"/>
        <v>0.05</v>
      </c>
      <c r="I129" s="3">
        <f t="shared" si="71"/>
        <v>0.05</v>
      </c>
      <c r="J129" s="3">
        <f t="shared" si="71"/>
        <v>0.05</v>
      </c>
      <c r="K129" s="3">
        <f t="shared" si="71"/>
        <v>0.05</v>
      </c>
      <c r="L129" s="3">
        <f t="shared" si="71"/>
        <v>0.05</v>
      </c>
      <c r="M129" s="3">
        <f t="shared" si="71"/>
        <v>0.05</v>
      </c>
      <c r="N129" s="3">
        <f t="shared" si="71"/>
        <v>0.05</v>
      </c>
      <c r="O129" s="3">
        <f t="shared" si="71"/>
        <v>0.05</v>
      </c>
      <c r="P129" s="3">
        <f t="shared" si="71"/>
        <v>0.05</v>
      </c>
      <c r="Q129" s="3">
        <f t="shared" si="71"/>
        <v>0.05</v>
      </c>
      <c r="R129" s="76"/>
      <c r="S129" s="76"/>
      <c r="T129" s="76"/>
      <c r="U129" s="76"/>
      <c r="V129" s="76"/>
      <c r="W129" s="76"/>
    </row>
    <row r="130" spans="1:23">
      <c r="A130" s="84" t="s">
        <v>333</v>
      </c>
      <c r="B130" s="85" t="s">
        <v>332</v>
      </c>
      <c r="C130" s="85" t="s">
        <v>92</v>
      </c>
      <c r="D130" s="84" t="s">
        <v>84</v>
      </c>
      <c r="E130" s="84">
        <f>VLOOKUP(A130,'2a. SI Pop'!$A$5:$E$198,5,FALSE)</f>
        <v>2</v>
      </c>
      <c r="F130" s="84">
        <v>2041</v>
      </c>
      <c r="G130" s="3">
        <f t="shared" ref="G130:Q130" si="72">IF($F130&lt;=G$4,30%,0)</f>
        <v>0</v>
      </c>
      <c r="H130" s="3">
        <f t="shared" si="72"/>
        <v>0</v>
      </c>
      <c r="I130" s="3">
        <f t="shared" si="72"/>
        <v>0</v>
      </c>
      <c r="J130" s="3">
        <f t="shared" si="72"/>
        <v>0</v>
      </c>
      <c r="K130" s="3">
        <f t="shared" si="72"/>
        <v>0</v>
      </c>
      <c r="L130" s="3">
        <f t="shared" si="72"/>
        <v>0</v>
      </c>
      <c r="M130" s="3">
        <f t="shared" si="72"/>
        <v>0</v>
      </c>
      <c r="N130" s="3">
        <f t="shared" si="72"/>
        <v>0</v>
      </c>
      <c r="O130" s="3">
        <f t="shared" si="72"/>
        <v>0</v>
      </c>
      <c r="P130" s="3">
        <f t="shared" si="72"/>
        <v>0</v>
      </c>
      <c r="Q130" s="3">
        <f t="shared" si="72"/>
        <v>0</v>
      </c>
      <c r="R130" s="76"/>
      <c r="S130" s="76"/>
      <c r="T130" s="76"/>
      <c r="U130" s="76"/>
      <c r="V130" s="76"/>
      <c r="W130" s="76"/>
    </row>
    <row r="131" spans="1:23">
      <c r="A131" s="84" t="s">
        <v>335</v>
      </c>
      <c r="B131" s="85" t="s">
        <v>334</v>
      </c>
      <c r="C131" s="85" t="s">
        <v>83</v>
      </c>
      <c r="D131" s="84" t="s">
        <v>75</v>
      </c>
      <c r="E131" s="84">
        <f>VLOOKUP(A131,'2a. SI Pop'!$A$5:$E$198,5,FALSE)</f>
        <v>3</v>
      </c>
      <c r="F131" s="84">
        <v>2031</v>
      </c>
      <c r="G131" s="3">
        <f t="shared" ref="G131:Q133" si="73">IF($F131&lt;=G$4,80%,0)</f>
        <v>0</v>
      </c>
      <c r="H131" s="3">
        <f t="shared" si="73"/>
        <v>0.8</v>
      </c>
      <c r="I131" s="3">
        <f t="shared" si="73"/>
        <v>0.8</v>
      </c>
      <c r="J131" s="3">
        <f t="shared" si="73"/>
        <v>0.8</v>
      </c>
      <c r="K131" s="3">
        <f t="shared" si="73"/>
        <v>0.8</v>
      </c>
      <c r="L131" s="3">
        <f t="shared" si="73"/>
        <v>0.8</v>
      </c>
      <c r="M131" s="3">
        <f t="shared" si="73"/>
        <v>0.8</v>
      </c>
      <c r="N131" s="3">
        <f t="shared" si="73"/>
        <v>0.8</v>
      </c>
      <c r="O131" s="3">
        <f t="shared" si="73"/>
        <v>0.8</v>
      </c>
      <c r="P131" s="3">
        <f t="shared" si="73"/>
        <v>0.8</v>
      </c>
      <c r="Q131" s="3">
        <f t="shared" si="73"/>
        <v>0.8</v>
      </c>
      <c r="R131" s="76"/>
      <c r="S131" s="76"/>
      <c r="T131" s="76"/>
      <c r="U131" s="76"/>
      <c r="V131" s="76"/>
      <c r="W131" s="76"/>
    </row>
    <row r="132" spans="1:23">
      <c r="A132" s="84" t="s">
        <v>337</v>
      </c>
      <c r="B132" s="85" t="s">
        <v>336</v>
      </c>
      <c r="C132" s="85" t="s">
        <v>83</v>
      </c>
      <c r="D132" s="84" t="s">
        <v>84</v>
      </c>
      <c r="E132" s="84" t="str">
        <f>VLOOKUP(A132,'2a. SI Pop'!$A$5:$E$198,5,FALSE)</f>
        <v>Key</v>
      </c>
      <c r="F132" s="84">
        <v>2034</v>
      </c>
      <c r="G132" s="3">
        <f t="shared" si="73"/>
        <v>0</v>
      </c>
      <c r="H132" s="3">
        <f t="shared" si="73"/>
        <v>0</v>
      </c>
      <c r="I132" s="3">
        <f t="shared" si="73"/>
        <v>0</v>
      </c>
      <c r="J132" s="3">
        <f t="shared" si="73"/>
        <v>0</v>
      </c>
      <c r="K132" s="3">
        <f t="shared" si="73"/>
        <v>0.8</v>
      </c>
      <c r="L132" s="3">
        <f t="shared" si="73"/>
        <v>0.8</v>
      </c>
      <c r="M132" s="3">
        <f t="shared" si="73"/>
        <v>0.8</v>
      </c>
      <c r="N132" s="3">
        <f t="shared" si="73"/>
        <v>0.8</v>
      </c>
      <c r="O132" s="3">
        <f t="shared" si="73"/>
        <v>0.8</v>
      </c>
      <c r="P132" s="3">
        <f t="shared" si="73"/>
        <v>0.8</v>
      </c>
      <c r="Q132" s="3">
        <f t="shared" si="73"/>
        <v>0.8</v>
      </c>
      <c r="R132" s="76"/>
      <c r="S132" s="76"/>
      <c r="T132" s="76"/>
      <c r="U132" s="76"/>
      <c r="V132" s="76"/>
      <c r="W132" s="76"/>
    </row>
    <row r="133" spans="1:23">
      <c r="A133" s="84" t="s">
        <v>339</v>
      </c>
      <c r="B133" s="85" t="s">
        <v>338</v>
      </c>
      <c r="C133" s="85" t="s">
        <v>99</v>
      </c>
      <c r="D133" s="84" t="e">
        <v>#N/A</v>
      </c>
      <c r="E133" s="84">
        <f>VLOOKUP(A133,'2a. SI Pop'!$A$5:$E$198,5,FALSE)</f>
        <v>1</v>
      </c>
      <c r="F133" s="84">
        <v>2040</v>
      </c>
      <c r="G133" s="3">
        <f t="shared" si="73"/>
        <v>0</v>
      </c>
      <c r="H133" s="3">
        <f t="shared" si="73"/>
        <v>0</v>
      </c>
      <c r="I133" s="3">
        <f t="shared" si="73"/>
        <v>0</v>
      </c>
      <c r="J133" s="3">
        <f t="shared" si="73"/>
        <v>0</v>
      </c>
      <c r="K133" s="3">
        <f t="shared" si="73"/>
        <v>0</v>
      </c>
      <c r="L133" s="3">
        <f t="shared" si="73"/>
        <v>0</v>
      </c>
      <c r="M133" s="3">
        <f t="shared" si="73"/>
        <v>0</v>
      </c>
      <c r="N133" s="3">
        <f t="shared" si="73"/>
        <v>0</v>
      </c>
      <c r="O133" s="3">
        <f t="shared" si="73"/>
        <v>0</v>
      </c>
      <c r="P133" s="3">
        <f t="shared" si="73"/>
        <v>0</v>
      </c>
      <c r="Q133" s="3">
        <f t="shared" si="73"/>
        <v>0.8</v>
      </c>
      <c r="R133" s="76"/>
      <c r="S133" s="76"/>
      <c r="T133" s="76"/>
      <c r="U133" s="76"/>
      <c r="V133" s="76"/>
      <c r="W133" s="76"/>
    </row>
    <row r="134" spans="1:23">
      <c r="A134" s="84" t="s">
        <v>341</v>
      </c>
      <c r="B134" s="85" t="s">
        <v>340</v>
      </c>
      <c r="C134" s="85" t="s">
        <v>79</v>
      </c>
      <c r="D134" s="84" t="s">
        <v>87</v>
      </c>
      <c r="E134" s="84">
        <f>VLOOKUP(A134,'2a. SI Pop'!$A$5:$E$198,5,FALSE)</f>
        <v>1</v>
      </c>
      <c r="F134" s="84">
        <v>2032</v>
      </c>
      <c r="G134" s="3">
        <f t="shared" ref="G134:Q135" si="74">IF($F134&lt;=G$4,5%,0)</f>
        <v>0</v>
      </c>
      <c r="H134" s="3">
        <f t="shared" si="74"/>
        <v>0</v>
      </c>
      <c r="I134" s="3">
        <f t="shared" si="74"/>
        <v>0.05</v>
      </c>
      <c r="J134" s="3">
        <f t="shared" si="74"/>
        <v>0.05</v>
      </c>
      <c r="K134" s="3">
        <f t="shared" si="74"/>
        <v>0.05</v>
      </c>
      <c r="L134" s="3">
        <f t="shared" si="74"/>
        <v>0.05</v>
      </c>
      <c r="M134" s="3">
        <f t="shared" si="74"/>
        <v>0.05</v>
      </c>
      <c r="N134" s="3">
        <f t="shared" si="74"/>
        <v>0.05</v>
      </c>
      <c r="O134" s="3">
        <f t="shared" si="74"/>
        <v>0.05</v>
      </c>
      <c r="P134" s="3">
        <f t="shared" si="74"/>
        <v>0.05</v>
      </c>
      <c r="Q134" s="3">
        <f t="shared" si="74"/>
        <v>0.05</v>
      </c>
      <c r="R134" s="76"/>
      <c r="S134" s="76"/>
      <c r="T134" s="76"/>
      <c r="U134" s="76"/>
      <c r="V134" s="76"/>
      <c r="W134" s="76"/>
    </row>
    <row r="135" spans="1:23">
      <c r="A135" s="84" t="s">
        <v>343</v>
      </c>
      <c r="B135" s="85" t="s">
        <v>342</v>
      </c>
      <c r="C135" s="85" t="s">
        <v>74</v>
      </c>
      <c r="D135" s="84" t="s">
        <v>87</v>
      </c>
      <c r="E135" s="84">
        <f>VLOOKUP(A135,'2a. SI Pop'!$A$5:$E$198,5,FALSE)</f>
        <v>1</v>
      </c>
      <c r="F135" s="84">
        <v>2036</v>
      </c>
      <c r="G135" s="3">
        <f t="shared" si="74"/>
        <v>0</v>
      </c>
      <c r="H135" s="3">
        <f t="shared" si="74"/>
        <v>0</v>
      </c>
      <c r="I135" s="3">
        <f t="shared" si="74"/>
        <v>0</v>
      </c>
      <c r="J135" s="3">
        <f t="shared" si="74"/>
        <v>0</v>
      </c>
      <c r="K135" s="3">
        <f t="shared" si="74"/>
        <v>0</v>
      </c>
      <c r="L135" s="3">
        <f t="shared" si="74"/>
        <v>0</v>
      </c>
      <c r="M135" s="3">
        <f t="shared" si="74"/>
        <v>0.05</v>
      </c>
      <c r="N135" s="3">
        <f t="shared" si="74"/>
        <v>0.05</v>
      </c>
      <c r="O135" s="3">
        <f t="shared" si="74"/>
        <v>0.05</v>
      </c>
      <c r="P135" s="3">
        <f t="shared" si="74"/>
        <v>0.05</v>
      </c>
      <c r="Q135" s="3">
        <f t="shared" si="74"/>
        <v>0.05</v>
      </c>
      <c r="R135" s="76"/>
      <c r="S135" s="76"/>
      <c r="T135" s="76"/>
      <c r="U135" s="76"/>
      <c r="V135" s="76"/>
      <c r="W135" s="76"/>
    </row>
    <row r="136" spans="1:23">
      <c r="A136" s="84" t="s">
        <v>345</v>
      </c>
      <c r="B136" s="85" t="s">
        <v>344</v>
      </c>
      <c r="C136" s="85" t="s">
        <v>74</v>
      </c>
      <c r="D136" s="84" t="s">
        <v>84</v>
      </c>
      <c r="E136" s="84" t="str">
        <f>VLOOKUP(A136,'2a. SI Pop'!$A$5:$E$198,5,FALSE)</f>
        <v>Key</v>
      </c>
      <c r="F136" s="84">
        <v>2033</v>
      </c>
      <c r="G136" s="3">
        <f t="shared" ref="G136:Q137" si="75">IF($F136&lt;=G$4,80%,0)</f>
        <v>0</v>
      </c>
      <c r="H136" s="3">
        <f t="shared" si="75"/>
        <v>0</v>
      </c>
      <c r="I136" s="3">
        <f t="shared" si="75"/>
        <v>0</v>
      </c>
      <c r="J136" s="3">
        <f t="shared" si="75"/>
        <v>0.8</v>
      </c>
      <c r="K136" s="3">
        <f t="shared" si="75"/>
        <v>0.8</v>
      </c>
      <c r="L136" s="3">
        <f t="shared" si="75"/>
        <v>0.8</v>
      </c>
      <c r="M136" s="3">
        <f t="shared" si="75"/>
        <v>0.8</v>
      </c>
      <c r="N136" s="3">
        <f t="shared" si="75"/>
        <v>0.8</v>
      </c>
      <c r="O136" s="3">
        <f t="shared" si="75"/>
        <v>0.8</v>
      </c>
      <c r="P136" s="3">
        <f t="shared" si="75"/>
        <v>0.8</v>
      </c>
      <c r="Q136" s="3">
        <f t="shared" si="75"/>
        <v>0.8</v>
      </c>
      <c r="R136" s="76"/>
      <c r="S136" s="76"/>
      <c r="T136" s="76"/>
      <c r="U136" s="76"/>
      <c r="V136" s="76"/>
      <c r="W136" s="76"/>
    </row>
    <row r="137" spans="1:23">
      <c r="A137" s="84" t="s">
        <v>347</v>
      </c>
      <c r="B137" s="85" t="s">
        <v>346</v>
      </c>
      <c r="C137" s="85" t="s">
        <v>99</v>
      </c>
      <c r="D137" s="84" t="s">
        <v>87</v>
      </c>
      <c r="E137" s="84">
        <f>VLOOKUP(A137,'2a. SI Pop'!$A$5:$E$198,5,FALSE)</f>
        <v>1</v>
      </c>
      <c r="F137" s="84">
        <v>2031</v>
      </c>
      <c r="G137" s="3">
        <f t="shared" si="75"/>
        <v>0</v>
      </c>
      <c r="H137" s="3">
        <f t="shared" si="75"/>
        <v>0.8</v>
      </c>
      <c r="I137" s="3">
        <f t="shared" si="75"/>
        <v>0.8</v>
      </c>
      <c r="J137" s="3">
        <f t="shared" si="75"/>
        <v>0.8</v>
      </c>
      <c r="K137" s="3">
        <f t="shared" si="75"/>
        <v>0.8</v>
      </c>
      <c r="L137" s="3">
        <f t="shared" si="75"/>
        <v>0.8</v>
      </c>
      <c r="M137" s="3">
        <f t="shared" si="75"/>
        <v>0.8</v>
      </c>
      <c r="N137" s="3">
        <f t="shared" si="75"/>
        <v>0.8</v>
      </c>
      <c r="O137" s="3">
        <f t="shared" si="75"/>
        <v>0.8</v>
      </c>
      <c r="P137" s="3">
        <f t="shared" si="75"/>
        <v>0.8</v>
      </c>
      <c r="Q137" s="3">
        <f t="shared" si="75"/>
        <v>0.8</v>
      </c>
      <c r="R137" s="76"/>
      <c r="S137" s="76"/>
      <c r="T137" s="76"/>
      <c r="U137" s="76"/>
      <c r="V137" s="76"/>
      <c r="W137" s="76"/>
    </row>
    <row r="138" spans="1:23">
      <c r="A138" s="84" t="s">
        <v>349</v>
      </c>
      <c r="B138" s="85" t="s">
        <v>348</v>
      </c>
      <c r="C138" s="85" t="s">
        <v>92</v>
      </c>
      <c r="D138" s="84" t="s">
        <v>87</v>
      </c>
      <c r="E138" s="84">
        <f>VLOOKUP(A138,'2a. SI Pop'!$A$5:$E$198,5,FALSE)</f>
        <v>1</v>
      </c>
      <c r="F138" s="84">
        <v>2038</v>
      </c>
      <c r="G138" s="3">
        <f t="shared" ref="G138:Q138" si="76">IF($F138&lt;=G$4,5%,0)</f>
        <v>0</v>
      </c>
      <c r="H138" s="3">
        <f t="shared" si="76"/>
        <v>0</v>
      </c>
      <c r="I138" s="3">
        <f t="shared" si="76"/>
        <v>0</v>
      </c>
      <c r="J138" s="3">
        <f t="shared" si="76"/>
        <v>0</v>
      </c>
      <c r="K138" s="3">
        <f t="shared" si="76"/>
        <v>0</v>
      </c>
      <c r="L138" s="3">
        <f t="shared" si="76"/>
        <v>0</v>
      </c>
      <c r="M138" s="3">
        <f t="shared" si="76"/>
        <v>0</v>
      </c>
      <c r="N138" s="3">
        <f t="shared" si="76"/>
        <v>0</v>
      </c>
      <c r="O138" s="3">
        <f t="shared" si="76"/>
        <v>0.05</v>
      </c>
      <c r="P138" s="3">
        <f t="shared" si="76"/>
        <v>0.05</v>
      </c>
      <c r="Q138" s="3">
        <f t="shared" si="76"/>
        <v>0.05</v>
      </c>
      <c r="R138" s="76"/>
      <c r="S138" s="76"/>
      <c r="T138" s="76"/>
      <c r="U138" s="76"/>
      <c r="V138" s="76"/>
      <c r="W138" s="76"/>
    </row>
    <row r="139" spans="1:23">
      <c r="A139" s="84" t="s">
        <v>351</v>
      </c>
      <c r="B139" s="85" t="s">
        <v>350</v>
      </c>
      <c r="C139" s="85" t="s">
        <v>99</v>
      </c>
      <c r="D139" s="84" t="s">
        <v>84</v>
      </c>
      <c r="E139" s="84">
        <f>VLOOKUP(A139,'2a. SI Pop'!$A$5:$E$198,5,FALSE)</f>
        <v>4</v>
      </c>
      <c r="F139" s="84">
        <v>2036</v>
      </c>
      <c r="G139" s="3">
        <f t="shared" ref="G139:Q139" si="77">IF($F139&lt;=G$4,80%,0)</f>
        <v>0</v>
      </c>
      <c r="H139" s="3">
        <f t="shared" si="77"/>
        <v>0</v>
      </c>
      <c r="I139" s="3">
        <f t="shared" si="77"/>
        <v>0</v>
      </c>
      <c r="J139" s="3">
        <f t="shared" si="77"/>
        <v>0</v>
      </c>
      <c r="K139" s="3">
        <f t="shared" si="77"/>
        <v>0</v>
      </c>
      <c r="L139" s="3">
        <f t="shared" si="77"/>
        <v>0</v>
      </c>
      <c r="M139" s="3">
        <f t="shared" si="77"/>
        <v>0.8</v>
      </c>
      <c r="N139" s="3">
        <f t="shared" si="77"/>
        <v>0.8</v>
      </c>
      <c r="O139" s="3">
        <f t="shared" si="77"/>
        <v>0.8</v>
      </c>
      <c r="P139" s="3">
        <f t="shared" si="77"/>
        <v>0.8</v>
      </c>
      <c r="Q139" s="3">
        <f t="shared" si="77"/>
        <v>0.8</v>
      </c>
      <c r="R139" s="76"/>
      <c r="S139" s="76"/>
      <c r="T139" s="76"/>
      <c r="U139" s="76"/>
      <c r="V139" s="76"/>
      <c r="W139" s="76"/>
    </row>
    <row r="140" spans="1:23">
      <c r="A140" s="84" t="s">
        <v>353</v>
      </c>
      <c r="B140" s="85" t="s">
        <v>352</v>
      </c>
      <c r="C140" s="85" t="s">
        <v>92</v>
      </c>
      <c r="D140" s="84" t="s">
        <v>80</v>
      </c>
      <c r="E140" s="84">
        <f>VLOOKUP(A140,'2a. SI Pop'!$A$5:$E$198,5,FALSE)</f>
        <v>1</v>
      </c>
      <c r="F140" s="84">
        <v>2039</v>
      </c>
      <c r="G140" s="3">
        <f t="shared" ref="G140:Q140" si="78">IF($F140&lt;=G$4,5%,0)</f>
        <v>0</v>
      </c>
      <c r="H140" s="3">
        <f t="shared" si="78"/>
        <v>0</v>
      </c>
      <c r="I140" s="3">
        <f t="shared" si="78"/>
        <v>0</v>
      </c>
      <c r="J140" s="3">
        <f t="shared" si="78"/>
        <v>0</v>
      </c>
      <c r="K140" s="3">
        <f t="shared" si="78"/>
        <v>0</v>
      </c>
      <c r="L140" s="3">
        <f t="shared" si="78"/>
        <v>0</v>
      </c>
      <c r="M140" s="3">
        <f t="shared" si="78"/>
        <v>0</v>
      </c>
      <c r="N140" s="3">
        <f t="shared" si="78"/>
        <v>0</v>
      </c>
      <c r="O140" s="3">
        <f t="shared" si="78"/>
        <v>0</v>
      </c>
      <c r="P140" s="3">
        <f t="shared" si="78"/>
        <v>0.05</v>
      </c>
      <c r="Q140" s="3">
        <f t="shared" si="78"/>
        <v>0.05</v>
      </c>
      <c r="R140" s="76"/>
      <c r="S140" s="76"/>
      <c r="T140" s="76"/>
      <c r="U140" s="76"/>
      <c r="V140" s="76"/>
      <c r="W140" s="76"/>
    </row>
    <row r="141" spans="1:23">
      <c r="A141" s="84" t="s">
        <v>355</v>
      </c>
      <c r="B141" s="85" t="s">
        <v>354</v>
      </c>
      <c r="C141" s="85" t="s">
        <v>92</v>
      </c>
      <c r="D141" s="84" t="s">
        <v>80</v>
      </c>
      <c r="E141" s="84">
        <f>VLOOKUP(A141,'2a. SI Pop'!$A$5:$E$198,5,FALSE)</f>
        <v>2</v>
      </c>
      <c r="F141" s="84">
        <v>2039</v>
      </c>
      <c r="G141" s="3">
        <f t="shared" ref="G141:Q141" si="79">IF($F141&lt;=G$4,30%,0)</f>
        <v>0</v>
      </c>
      <c r="H141" s="3">
        <f t="shared" si="79"/>
        <v>0</v>
      </c>
      <c r="I141" s="3">
        <f t="shared" si="79"/>
        <v>0</v>
      </c>
      <c r="J141" s="3">
        <f t="shared" si="79"/>
        <v>0</v>
      </c>
      <c r="K141" s="3">
        <f t="shared" si="79"/>
        <v>0</v>
      </c>
      <c r="L141" s="3">
        <f t="shared" si="79"/>
        <v>0</v>
      </c>
      <c r="M141" s="3">
        <f t="shared" si="79"/>
        <v>0</v>
      </c>
      <c r="N141" s="3">
        <f t="shared" si="79"/>
        <v>0</v>
      </c>
      <c r="O141" s="3">
        <f t="shared" si="79"/>
        <v>0</v>
      </c>
      <c r="P141" s="3">
        <f t="shared" si="79"/>
        <v>0.3</v>
      </c>
      <c r="Q141" s="3">
        <f t="shared" si="79"/>
        <v>0.3</v>
      </c>
      <c r="R141" s="76"/>
      <c r="S141" s="76"/>
      <c r="T141" s="76"/>
      <c r="U141" s="76"/>
      <c r="V141" s="76"/>
      <c r="W141" s="76"/>
    </row>
    <row r="142" spans="1:23">
      <c r="A142" s="84" t="s">
        <v>357</v>
      </c>
      <c r="B142" s="85" t="s">
        <v>356</v>
      </c>
      <c r="C142" s="85" t="s">
        <v>99</v>
      </c>
      <c r="D142" s="84" t="s">
        <v>84</v>
      </c>
      <c r="E142" s="84" t="str">
        <f>VLOOKUP(A142,'2a. SI Pop'!$A$5:$E$198,5,FALSE)</f>
        <v>Key</v>
      </c>
      <c r="F142" s="84">
        <v>2030</v>
      </c>
      <c r="G142" s="3">
        <f t="shared" ref="G142:Q142" si="80">IF($F142&lt;=G$4,80%,0)</f>
        <v>0.8</v>
      </c>
      <c r="H142" s="3">
        <f t="shared" si="80"/>
        <v>0.8</v>
      </c>
      <c r="I142" s="3">
        <f t="shared" si="80"/>
        <v>0.8</v>
      </c>
      <c r="J142" s="3">
        <f t="shared" si="80"/>
        <v>0.8</v>
      </c>
      <c r="K142" s="3">
        <f t="shared" si="80"/>
        <v>0.8</v>
      </c>
      <c r="L142" s="3">
        <f t="shared" si="80"/>
        <v>0.8</v>
      </c>
      <c r="M142" s="3">
        <f t="shared" si="80"/>
        <v>0.8</v>
      </c>
      <c r="N142" s="3">
        <f t="shared" si="80"/>
        <v>0.8</v>
      </c>
      <c r="O142" s="3">
        <f t="shared" si="80"/>
        <v>0.8</v>
      </c>
      <c r="P142" s="3">
        <f t="shared" si="80"/>
        <v>0.8</v>
      </c>
      <c r="Q142" s="3">
        <f t="shared" si="80"/>
        <v>0.8</v>
      </c>
      <c r="R142" s="76"/>
      <c r="S142" s="76"/>
      <c r="T142" s="76"/>
      <c r="U142" s="76"/>
      <c r="V142" s="76"/>
      <c r="W142" s="76"/>
    </row>
    <row r="143" spans="1:23">
      <c r="A143" s="84" t="s">
        <v>359</v>
      </c>
      <c r="B143" s="85" t="s">
        <v>358</v>
      </c>
      <c r="C143" s="85" t="s">
        <v>79</v>
      </c>
      <c r="D143" s="84" t="s">
        <v>87</v>
      </c>
      <c r="E143" s="84">
        <f>VLOOKUP(A143,'2a. SI Pop'!$A$5:$E$198,5,FALSE)</f>
        <v>1</v>
      </c>
      <c r="F143" s="84">
        <v>2032</v>
      </c>
      <c r="G143" s="3">
        <f t="shared" ref="G143:Q145" si="81">IF($F143&lt;=G$4,5%,0)</f>
        <v>0</v>
      </c>
      <c r="H143" s="3">
        <f t="shared" si="81"/>
        <v>0</v>
      </c>
      <c r="I143" s="3">
        <f t="shared" si="81"/>
        <v>0.05</v>
      </c>
      <c r="J143" s="3">
        <f t="shared" si="81"/>
        <v>0.05</v>
      </c>
      <c r="K143" s="3">
        <f t="shared" si="81"/>
        <v>0.05</v>
      </c>
      <c r="L143" s="3">
        <f t="shared" si="81"/>
        <v>0.05</v>
      </c>
      <c r="M143" s="3">
        <f t="shared" si="81"/>
        <v>0.05</v>
      </c>
      <c r="N143" s="3">
        <f t="shared" si="81"/>
        <v>0.05</v>
      </c>
      <c r="O143" s="3">
        <f t="shared" si="81"/>
        <v>0.05</v>
      </c>
      <c r="P143" s="3">
        <f t="shared" si="81"/>
        <v>0.05</v>
      </c>
      <c r="Q143" s="3">
        <f t="shared" si="81"/>
        <v>0.05</v>
      </c>
      <c r="R143" s="76"/>
      <c r="S143" s="76"/>
      <c r="T143" s="76"/>
      <c r="U143" s="76"/>
      <c r="V143" s="76"/>
      <c r="W143" s="76"/>
    </row>
    <row r="144" spans="1:23">
      <c r="A144" s="84" t="s">
        <v>361</v>
      </c>
      <c r="B144" s="85" t="s">
        <v>360</v>
      </c>
      <c r="C144" s="85" t="s">
        <v>79</v>
      </c>
      <c r="D144" s="84" t="s">
        <v>87</v>
      </c>
      <c r="E144" s="84">
        <f>VLOOKUP(A144,'2a. SI Pop'!$A$5:$E$198,5,FALSE)</f>
        <v>1</v>
      </c>
      <c r="F144" s="84">
        <v>2034</v>
      </c>
      <c r="G144" s="3">
        <f t="shared" si="81"/>
        <v>0</v>
      </c>
      <c r="H144" s="3">
        <f t="shared" si="81"/>
        <v>0</v>
      </c>
      <c r="I144" s="3">
        <f t="shared" si="81"/>
        <v>0</v>
      </c>
      <c r="J144" s="3">
        <f t="shared" si="81"/>
        <v>0</v>
      </c>
      <c r="K144" s="3">
        <f t="shared" si="81"/>
        <v>0.05</v>
      </c>
      <c r="L144" s="3">
        <f t="shared" si="81"/>
        <v>0.05</v>
      </c>
      <c r="M144" s="3">
        <f t="shared" si="81"/>
        <v>0.05</v>
      </c>
      <c r="N144" s="3">
        <f t="shared" si="81"/>
        <v>0.05</v>
      </c>
      <c r="O144" s="3">
        <f t="shared" si="81"/>
        <v>0.05</v>
      </c>
      <c r="P144" s="3">
        <f t="shared" si="81"/>
        <v>0.05</v>
      </c>
      <c r="Q144" s="3">
        <f t="shared" si="81"/>
        <v>0.05</v>
      </c>
      <c r="R144" s="76"/>
      <c r="S144" s="76"/>
      <c r="T144" s="76"/>
      <c r="U144" s="76"/>
      <c r="V144" s="76"/>
      <c r="W144" s="76"/>
    </row>
    <row r="145" spans="1:23">
      <c r="A145" s="84" t="s">
        <v>363</v>
      </c>
      <c r="B145" s="85" t="s">
        <v>362</v>
      </c>
      <c r="C145" s="85" t="s">
        <v>74</v>
      </c>
      <c r="D145" s="84" t="s">
        <v>87</v>
      </c>
      <c r="E145" s="84">
        <f>VLOOKUP(A145,'2a. SI Pop'!$A$5:$E$198,5,FALSE)</f>
        <v>1</v>
      </c>
      <c r="F145" s="84">
        <v>2032</v>
      </c>
      <c r="G145" s="3">
        <f t="shared" si="81"/>
        <v>0</v>
      </c>
      <c r="H145" s="3">
        <f t="shared" si="81"/>
        <v>0</v>
      </c>
      <c r="I145" s="3">
        <f t="shared" si="81"/>
        <v>0.05</v>
      </c>
      <c r="J145" s="3">
        <f t="shared" si="81"/>
        <v>0.05</v>
      </c>
      <c r="K145" s="3">
        <f t="shared" si="81"/>
        <v>0.05</v>
      </c>
      <c r="L145" s="3">
        <f t="shared" si="81"/>
        <v>0.05</v>
      </c>
      <c r="M145" s="3">
        <f t="shared" si="81"/>
        <v>0.05</v>
      </c>
      <c r="N145" s="3">
        <f t="shared" si="81"/>
        <v>0.05</v>
      </c>
      <c r="O145" s="3">
        <f t="shared" si="81"/>
        <v>0.05</v>
      </c>
      <c r="P145" s="3">
        <f t="shared" si="81"/>
        <v>0.05</v>
      </c>
      <c r="Q145" s="3">
        <f t="shared" si="81"/>
        <v>0.05</v>
      </c>
      <c r="R145" s="76"/>
      <c r="S145" s="76"/>
      <c r="T145" s="76"/>
      <c r="U145" s="76"/>
      <c r="V145" s="76"/>
      <c r="W145" s="76"/>
    </row>
    <row r="146" spans="1:23">
      <c r="A146" s="84" t="s">
        <v>365</v>
      </c>
      <c r="B146" s="85" t="s">
        <v>364</v>
      </c>
      <c r="C146" s="85" t="s">
        <v>79</v>
      </c>
      <c r="D146" s="84" t="s">
        <v>87</v>
      </c>
      <c r="E146" s="84">
        <f>VLOOKUP(A146,'2a. SI Pop'!$A$5:$E$198,5,FALSE)</f>
        <v>2</v>
      </c>
      <c r="F146" s="84">
        <v>2034</v>
      </c>
      <c r="G146" s="3">
        <f t="shared" ref="G146:Q147" si="82">IF($F146&lt;=G$4,30%,0)</f>
        <v>0</v>
      </c>
      <c r="H146" s="3">
        <f t="shared" si="82"/>
        <v>0</v>
      </c>
      <c r="I146" s="3">
        <f t="shared" si="82"/>
        <v>0</v>
      </c>
      <c r="J146" s="3">
        <f t="shared" si="82"/>
        <v>0</v>
      </c>
      <c r="K146" s="3">
        <f t="shared" si="82"/>
        <v>0.3</v>
      </c>
      <c r="L146" s="3">
        <f t="shared" si="82"/>
        <v>0.3</v>
      </c>
      <c r="M146" s="3">
        <f t="shared" si="82"/>
        <v>0.3</v>
      </c>
      <c r="N146" s="3">
        <f t="shared" si="82"/>
        <v>0.3</v>
      </c>
      <c r="O146" s="3">
        <f t="shared" si="82"/>
        <v>0.3</v>
      </c>
      <c r="P146" s="3">
        <f t="shared" si="82"/>
        <v>0.3</v>
      </c>
      <c r="Q146" s="3">
        <f t="shared" si="82"/>
        <v>0.3</v>
      </c>
      <c r="R146" s="76"/>
      <c r="S146" s="76"/>
      <c r="T146" s="76"/>
      <c r="U146" s="76"/>
      <c r="V146" s="76"/>
      <c r="W146" s="76"/>
    </row>
    <row r="147" spans="1:23">
      <c r="A147" s="84" t="s">
        <v>367</v>
      </c>
      <c r="B147" s="85" t="s">
        <v>366</v>
      </c>
      <c r="C147" s="85" t="s">
        <v>79</v>
      </c>
      <c r="D147" s="84" t="s">
        <v>80</v>
      </c>
      <c r="E147" s="84">
        <f>VLOOKUP(A147,'2a. SI Pop'!$A$5:$E$198,5,FALSE)</f>
        <v>2</v>
      </c>
      <c r="F147" s="84">
        <v>2036</v>
      </c>
      <c r="G147" s="3">
        <f t="shared" si="82"/>
        <v>0</v>
      </c>
      <c r="H147" s="3">
        <f t="shared" si="82"/>
        <v>0</v>
      </c>
      <c r="I147" s="3">
        <f t="shared" si="82"/>
        <v>0</v>
      </c>
      <c r="J147" s="3">
        <f t="shared" si="82"/>
        <v>0</v>
      </c>
      <c r="K147" s="3">
        <f t="shared" si="82"/>
        <v>0</v>
      </c>
      <c r="L147" s="3">
        <f t="shared" si="82"/>
        <v>0</v>
      </c>
      <c r="M147" s="3">
        <f t="shared" si="82"/>
        <v>0.3</v>
      </c>
      <c r="N147" s="3">
        <f t="shared" si="82"/>
        <v>0.3</v>
      </c>
      <c r="O147" s="3">
        <f t="shared" si="82"/>
        <v>0.3</v>
      </c>
      <c r="P147" s="3">
        <f t="shared" si="82"/>
        <v>0.3</v>
      </c>
      <c r="Q147" s="3">
        <f t="shared" si="82"/>
        <v>0.3</v>
      </c>
      <c r="R147" s="76"/>
      <c r="S147" s="76"/>
      <c r="T147" s="76"/>
      <c r="U147" s="76"/>
      <c r="V147" s="76"/>
      <c r="W147" s="76"/>
    </row>
    <row r="148" spans="1:23">
      <c r="A148" s="84" t="s">
        <v>369</v>
      </c>
      <c r="B148" s="85" t="s">
        <v>368</v>
      </c>
      <c r="C148" s="85" t="s">
        <v>83</v>
      </c>
      <c r="D148" s="84" t="s">
        <v>75</v>
      </c>
      <c r="E148" s="84">
        <f>VLOOKUP(A148,'2a. SI Pop'!$A$5:$E$198,5,FALSE)</f>
        <v>3</v>
      </c>
      <c r="F148" s="84">
        <v>2033</v>
      </c>
      <c r="G148" s="3">
        <f t="shared" ref="G148:Q149" si="83">IF($F148&lt;=G$4,80%,0)</f>
        <v>0</v>
      </c>
      <c r="H148" s="3">
        <f t="shared" si="83"/>
        <v>0</v>
      </c>
      <c r="I148" s="3">
        <f t="shared" si="83"/>
        <v>0</v>
      </c>
      <c r="J148" s="3">
        <f t="shared" si="83"/>
        <v>0.8</v>
      </c>
      <c r="K148" s="3">
        <f t="shared" si="83"/>
        <v>0.8</v>
      </c>
      <c r="L148" s="3">
        <f t="shared" si="83"/>
        <v>0.8</v>
      </c>
      <c r="M148" s="3">
        <f t="shared" si="83"/>
        <v>0.8</v>
      </c>
      <c r="N148" s="3">
        <f t="shared" si="83"/>
        <v>0.8</v>
      </c>
      <c r="O148" s="3">
        <f t="shared" si="83"/>
        <v>0.8</v>
      </c>
      <c r="P148" s="3">
        <f t="shared" si="83"/>
        <v>0.8</v>
      </c>
      <c r="Q148" s="3">
        <f t="shared" si="83"/>
        <v>0.8</v>
      </c>
      <c r="R148" s="76"/>
      <c r="S148" s="76"/>
      <c r="T148" s="76"/>
      <c r="U148" s="76"/>
      <c r="V148" s="76"/>
      <c r="W148" s="76"/>
    </row>
    <row r="149" spans="1:23">
      <c r="A149" s="84" t="s">
        <v>371</v>
      </c>
      <c r="B149" s="85" t="s">
        <v>370</v>
      </c>
      <c r="C149" s="85" t="s">
        <v>92</v>
      </c>
      <c r="D149" s="84" t="s">
        <v>87</v>
      </c>
      <c r="E149" s="84">
        <f>VLOOKUP(A149,'2a. SI Pop'!$A$5:$E$198,5,FALSE)</f>
        <v>1</v>
      </c>
      <c r="F149" s="84">
        <v>2041</v>
      </c>
      <c r="G149" s="3">
        <f t="shared" si="83"/>
        <v>0</v>
      </c>
      <c r="H149" s="3">
        <f t="shared" si="83"/>
        <v>0</v>
      </c>
      <c r="I149" s="3">
        <f t="shared" si="83"/>
        <v>0</v>
      </c>
      <c r="J149" s="3">
        <f t="shared" si="83"/>
        <v>0</v>
      </c>
      <c r="K149" s="3">
        <f t="shared" si="83"/>
        <v>0</v>
      </c>
      <c r="L149" s="3">
        <f t="shared" si="83"/>
        <v>0</v>
      </c>
      <c r="M149" s="3">
        <f t="shared" si="83"/>
        <v>0</v>
      </c>
      <c r="N149" s="3">
        <f t="shared" si="83"/>
        <v>0</v>
      </c>
      <c r="O149" s="3">
        <f t="shared" si="83"/>
        <v>0</v>
      </c>
      <c r="P149" s="3">
        <f t="shared" si="83"/>
        <v>0</v>
      </c>
      <c r="Q149" s="3">
        <f t="shared" si="83"/>
        <v>0</v>
      </c>
      <c r="R149" s="76"/>
      <c r="S149" s="76"/>
      <c r="T149" s="76"/>
      <c r="U149" s="76"/>
      <c r="V149" s="76"/>
      <c r="W149" s="76"/>
    </row>
    <row r="150" spans="1:23">
      <c r="A150" s="84" t="s">
        <v>373</v>
      </c>
      <c r="B150" s="85" t="s">
        <v>372</v>
      </c>
      <c r="C150" s="85" t="s">
        <v>92</v>
      </c>
      <c r="D150" s="84" t="s">
        <v>80</v>
      </c>
      <c r="E150" s="84">
        <f>VLOOKUP(A150,'2a. SI Pop'!$A$5:$E$198,5,FALSE)</f>
        <v>1</v>
      </c>
      <c r="F150" s="84">
        <v>2038</v>
      </c>
      <c r="G150" s="3">
        <f t="shared" ref="G150:Q151" si="84">IF($F150&lt;=G$4,5%,0)</f>
        <v>0</v>
      </c>
      <c r="H150" s="3">
        <f t="shared" si="84"/>
        <v>0</v>
      </c>
      <c r="I150" s="3">
        <f t="shared" si="84"/>
        <v>0</v>
      </c>
      <c r="J150" s="3">
        <f t="shared" si="84"/>
        <v>0</v>
      </c>
      <c r="K150" s="3">
        <f t="shared" si="84"/>
        <v>0</v>
      </c>
      <c r="L150" s="3">
        <f t="shared" si="84"/>
        <v>0</v>
      </c>
      <c r="M150" s="3">
        <f t="shared" si="84"/>
        <v>0</v>
      </c>
      <c r="N150" s="3">
        <f t="shared" si="84"/>
        <v>0</v>
      </c>
      <c r="O150" s="3">
        <f t="shared" si="84"/>
        <v>0.05</v>
      </c>
      <c r="P150" s="3">
        <f t="shared" si="84"/>
        <v>0.05</v>
      </c>
      <c r="Q150" s="3">
        <f t="shared" si="84"/>
        <v>0.05</v>
      </c>
      <c r="R150" s="76"/>
      <c r="S150" s="76"/>
      <c r="T150" s="76"/>
      <c r="U150" s="76"/>
      <c r="V150" s="76"/>
      <c r="W150" s="76"/>
    </row>
    <row r="151" spans="1:23">
      <c r="A151" s="84" t="s">
        <v>375</v>
      </c>
      <c r="B151" s="85" t="s">
        <v>374</v>
      </c>
      <c r="C151" s="85" t="s">
        <v>92</v>
      </c>
      <c r="D151" s="84" t="s">
        <v>80</v>
      </c>
      <c r="E151" s="84">
        <f>VLOOKUP(A151,'2a. SI Pop'!$A$5:$E$198,5,FALSE)</f>
        <v>1</v>
      </c>
      <c r="F151" s="84">
        <v>2041</v>
      </c>
      <c r="G151" s="3">
        <f t="shared" si="84"/>
        <v>0</v>
      </c>
      <c r="H151" s="3">
        <f t="shared" si="84"/>
        <v>0</v>
      </c>
      <c r="I151" s="3">
        <f t="shared" si="84"/>
        <v>0</v>
      </c>
      <c r="J151" s="3">
        <f t="shared" si="84"/>
        <v>0</v>
      </c>
      <c r="K151" s="3">
        <f t="shared" si="84"/>
        <v>0</v>
      </c>
      <c r="L151" s="3">
        <f t="shared" si="84"/>
        <v>0</v>
      </c>
      <c r="M151" s="3">
        <f t="shared" si="84"/>
        <v>0</v>
      </c>
      <c r="N151" s="3">
        <f t="shared" si="84"/>
        <v>0</v>
      </c>
      <c r="O151" s="3">
        <f t="shared" si="84"/>
        <v>0</v>
      </c>
      <c r="P151" s="3">
        <f t="shared" si="84"/>
        <v>0</v>
      </c>
      <c r="Q151" s="3">
        <f t="shared" si="84"/>
        <v>0</v>
      </c>
      <c r="R151" s="76"/>
      <c r="S151" s="76"/>
      <c r="T151" s="76"/>
      <c r="U151" s="76"/>
      <c r="V151" s="76"/>
      <c r="W151" s="76"/>
    </row>
    <row r="152" spans="1:23">
      <c r="A152" s="84" t="s">
        <v>377</v>
      </c>
      <c r="B152" s="85" t="s">
        <v>376</v>
      </c>
      <c r="C152" s="85" t="s">
        <v>99</v>
      </c>
      <c r="D152" s="84" t="s">
        <v>80</v>
      </c>
      <c r="E152" s="84">
        <f>VLOOKUP(A152,'2a. SI Pop'!$A$5:$E$198,5,FALSE)</f>
        <v>2</v>
      </c>
      <c r="F152" s="84">
        <v>2037</v>
      </c>
      <c r="G152" s="3">
        <f t="shared" ref="G152:Q152" si="85">IF($F152&lt;=G$4,30%,0)</f>
        <v>0</v>
      </c>
      <c r="H152" s="3">
        <f t="shared" si="85"/>
        <v>0</v>
      </c>
      <c r="I152" s="3">
        <f t="shared" si="85"/>
        <v>0</v>
      </c>
      <c r="J152" s="3">
        <f t="shared" si="85"/>
        <v>0</v>
      </c>
      <c r="K152" s="3">
        <f t="shared" si="85"/>
        <v>0</v>
      </c>
      <c r="L152" s="3">
        <f t="shared" si="85"/>
        <v>0</v>
      </c>
      <c r="M152" s="3">
        <f t="shared" si="85"/>
        <v>0</v>
      </c>
      <c r="N152" s="3">
        <f t="shared" si="85"/>
        <v>0.3</v>
      </c>
      <c r="O152" s="3">
        <f t="shared" si="85"/>
        <v>0.3</v>
      </c>
      <c r="P152" s="3">
        <f t="shared" si="85"/>
        <v>0.3</v>
      </c>
      <c r="Q152" s="3">
        <f t="shared" si="85"/>
        <v>0.3</v>
      </c>
      <c r="R152" s="76"/>
      <c r="S152" s="76"/>
      <c r="T152" s="76"/>
      <c r="U152" s="76"/>
      <c r="V152" s="76"/>
      <c r="W152" s="76"/>
    </row>
    <row r="153" spans="1:23">
      <c r="A153" s="84" t="s">
        <v>379</v>
      </c>
      <c r="B153" s="85" t="s">
        <v>378</v>
      </c>
      <c r="C153" s="85" t="s">
        <v>79</v>
      </c>
      <c r="D153" s="84" t="s">
        <v>87</v>
      </c>
      <c r="E153" s="84">
        <f>VLOOKUP(A153,'2a. SI Pop'!$A$5:$E$198,5,FALSE)</f>
        <v>1</v>
      </c>
      <c r="F153" s="84">
        <v>2039</v>
      </c>
      <c r="G153" s="3">
        <f t="shared" ref="G153:Q153" si="86">IF($F153&lt;=G$4,80%,0)</f>
        <v>0</v>
      </c>
      <c r="H153" s="3">
        <f t="shared" si="86"/>
        <v>0</v>
      </c>
      <c r="I153" s="3">
        <f t="shared" si="86"/>
        <v>0</v>
      </c>
      <c r="J153" s="3">
        <f t="shared" si="86"/>
        <v>0</v>
      </c>
      <c r="K153" s="3">
        <f t="shared" si="86"/>
        <v>0</v>
      </c>
      <c r="L153" s="3">
        <f t="shared" si="86"/>
        <v>0</v>
      </c>
      <c r="M153" s="3">
        <f t="shared" si="86"/>
        <v>0</v>
      </c>
      <c r="N153" s="3">
        <f t="shared" si="86"/>
        <v>0</v>
      </c>
      <c r="O153" s="3">
        <f t="shared" si="86"/>
        <v>0</v>
      </c>
      <c r="P153" s="3">
        <f t="shared" si="86"/>
        <v>0.8</v>
      </c>
      <c r="Q153" s="3">
        <f t="shared" si="86"/>
        <v>0.8</v>
      </c>
      <c r="R153" s="76"/>
      <c r="S153" s="76"/>
      <c r="T153" s="76"/>
      <c r="U153" s="76"/>
      <c r="V153" s="76"/>
      <c r="W153" s="76"/>
    </row>
    <row r="154" spans="1:23">
      <c r="A154" s="84" t="s">
        <v>381</v>
      </c>
      <c r="B154" s="85" t="s">
        <v>380</v>
      </c>
      <c r="C154" s="85" t="s">
        <v>83</v>
      </c>
      <c r="D154" s="84" t="s">
        <v>84</v>
      </c>
      <c r="E154" s="84">
        <f>VLOOKUP(A154,'2a. SI Pop'!$A$5:$E$198,5,FALSE)</f>
        <v>3</v>
      </c>
      <c r="F154" s="84">
        <v>2040</v>
      </c>
      <c r="G154" s="3">
        <f t="shared" ref="G154:Q154" si="87">IF($F154&lt;=G$4,80%,0)</f>
        <v>0</v>
      </c>
      <c r="H154" s="3">
        <f t="shared" si="87"/>
        <v>0</v>
      </c>
      <c r="I154" s="3">
        <f t="shared" si="87"/>
        <v>0</v>
      </c>
      <c r="J154" s="3">
        <f t="shared" si="87"/>
        <v>0</v>
      </c>
      <c r="K154" s="3">
        <f t="shared" si="87"/>
        <v>0</v>
      </c>
      <c r="L154" s="3">
        <f t="shared" si="87"/>
        <v>0</v>
      </c>
      <c r="M154" s="3">
        <f t="shared" si="87"/>
        <v>0</v>
      </c>
      <c r="N154" s="3">
        <f t="shared" si="87"/>
        <v>0</v>
      </c>
      <c r="O154" s="3">
        <f t="shared" si="87"/>
        <v>0</v>
      </c>
      <c r="P154" s="3">
        <f t="shared" si="87"/>
        <v>0</v>
      </c>
      <c r="Q154" s="3">
        <f t="shared" si="87"/>
        <v>0.8</v>
      </c>
      <c r="R154" s="76"/>
      <c r="S154" s="76"/>
      <c r="T154" s="76"/>
      <c r="U154" s="76"/>
      <c r="V154" s="76"/>
      <c r="W154" s="76"/>
    </row>
    <row r="155" spans="1:23">
      <c r="A155" s="84" t="s">
        <v>383</v>
      </c>
      <c r="B155" s="85" t="s">
        <v>382</v>
      </c>
      <c r="C155" s="85" t="s">
        <v>74</v>
      </c>
      <c r="D155" s="84" t="s">
        <v>87</v>
      </c>
      <c r="E155" s="84">
        <f>VLOOKUP(A155,'2a. SI Pop'!$A$5:$E$198,5,FALSE)</f>
        <v>1</v>
      </c>
      <c r="F155" s="84">
        <v>2030</v>
      </c>
      <c r="G155" s="3">
        <f t="shared" ref="G155:Q155" si="88">IF($F155&lt;=G$4,5%,0)</f>
        <v>0.05</v>
      </c>
      <c r="H155" s="3">
        <f t="shared" si="88"/>
        <v>0.05</v>
      </c>
      <c r="I155" s="3">
        <f t="shared" si="88"/>
        <v>0.05</v>
      </c>
      <c r="J155" s="3">
        <f t="shared" si="88"/>
        <v>0.05</v>
      </c>
      <c r="K155" s="3">
        <f t="shared" si="88"/>
        <v>0.05</v>
      </c>
      <c r="L155" s="3">
        <f t="shared" si="88"/>
        <v>0.05</v>
      </c>
      <c r="M155" s="3">
        <f t="shared" si="88"/>
        <v>0.05</v>
      </c>
      <c r="N155" s="3">
        <f t="shared" si="88"/>
        <v>0.05</v>
      </c>
      <c r="O155" s="3">
        <f t="shared" si="88"/>
        <v>0.05</v>
      </c>
      <c r="P155" s="3">
        <f t="shared" si="88"/>
        <v>0.05</v>
      </c>
      <c r="Q155" s="3">
        <f t="shared" si="88"/>
        <v>0.05</v>
      </c>
      <c r="R155" s="76"/>
      <c r="S155" s="76"/>
      <c r="T155" s="76"/>
      <c r="U155" s="76"/>
      <c r="V155" s="76"/>
      <c r="W155" s="76"/>
    </row>
    <row r="156" spans="1:23">
      <c r="A156" s="84" t="s">
        <v>385</v>
      </c>
      <c r="B156" s="85" t="s">
        <v>384</v>
      </c>
      <c r="C156" s="85" t="s">
        <v>83</v>
      </c>
      <c r="D156" s="84" t="s">
        <v>84</v>
      </c>
      <c r="E156" s="84">
        <f>VLOOKUP(A156,'2a. SI Pop'!$A$5:$E$198,5,FALSE)</f>
        <v>3</v>
      </c>
      <c r="F156" s="84">
        <v>2035</v>
      </c>
      <c r="G156" s="3">
        <f t="shared" ref="G156:Q156" si="89">IF($F156&lt;=G$4,80%,0)</f>
        <v>0</v>
      </c>
      <c r="H156" s="3">
        <f t="shared" si="89"/>
        <v>0</v>
      </c>
      <c r="I156" s="3">
        <f t="shared" si="89"/>
        <v>0</v>
      </c>
      <c r="J156" s="3">
        <f t="shared" si="89"/>
        <v>0</v>
      </c>
      <c r="K156" s="3">
        <f t="shared" si="89"/>
        <v>0</v>
      </c>
      <c r="L156" s="3">
        <f t="shared" si="89"/>
        <v>0.8</v>
      </c>
      <c r="M156" s="3">
        <f t="shared" si="89"/>
        <v>0.8</v>
      </c>
      <c r="N156" s="3">
        <f t="shared" si="89"/>
        <v>0.8</v>
      </c>
      <c r="O156" s="3">
        <f t="shared" si="89"/>
        <v>0.8</v>
      </c>
      <c r="P156" s="3">
        <f t="shared" si="89"/>
        <v>0.8</v>
      </c>
      <c r="Q156" s="3">
        <f t="shared" si="89"/>
        <v>0.8</v>
      </c>
      <c r="R156" s="76"/>
      <c r="S156" s="76"/>
      <c r="T156" s="76"/>
      <c r="U156" s="76"/>
      <c r="V156" s="76"/>
      <c r="W156" s="76"/>
    </row>
    <row r="157" spans="1:23">
      <c r="A157" s="84" t="s">
        <v>387</v>
      </c>
      <c r="B157" s="85" t="s">
        <v>386</v>
      </c>
      <c r="C157" s="85" t="s">
        <v>79</v>
      </c>
      <c r="D157" s="84" t="s">
        <v>80</v>
      </c>
      <c r="E157" s="84">
        <f>VLOOKUP(A157,'2a. SI Pop'!$A$5:$E$198,5,FALSE)</f>
        <v>1</v>
      </c>
      <c r="F157" s="84">
        <v>2040</v>
      </c>
      <c r="G157" s="3">
        <f t="shared" ref="G157:Q158" si="90">IF($F157&lt;=G$4,5%,0)</f>
        <v>0</v>
      </c>
      <c r="H157" s="3">
        <f t="shared" si="90"/>
        <v>0</v>
      </c>
      <c r="I157" s="3">
        <f t="shared" si="90"/>
        <v>0</v>
      </c>
      <c r="J157" s="3">
        <f t="shared" si="90"/>
        <v>0</v>
      </c>
      <c r="K157" s="3">
        <f t="shared" si="90"/>
        <v>0</v>
      </c>
      <c r="L157" s="3">
        <f t="shared" si="90"/>
        <v>0</v>
      </c>
      <c r="M157" s="3">
        <f t="shared" si="90"/>
        <v>0</v>
      </c>
      <c r="N157" s="3">
        <f t="shared" si="90"/>
        <v>0</v>
      </c>
      <c r="O157" s="3">
        <f t="shared" si="90"/>
        <v>0</v>
      </c>
      <c r="P157" s="3">
        <f t="shared" si="90"/>
        <v>0</v>
      </c>
      <c r="Q157" s="3">
        <f t="shared" si="90"/>
        <v>0.05</v>
      </c>
      <c r="R157" s="76"/>
      <c r="S157" s="76"/>
      <c r="T157" s="76"/>
      <c r="U157" s="76"/>
      <c r="V157" s="76"/>
      <c r="W157" s="76"/>
    </row>
    <row r="158" spans="1:23">
      <c r="A158" s="84" t="s">
        <v>389</v>
      </c>
      <c r="B158" s="85" t="s">
        <v>388</v>
      </c>
      <c r="C158" s="85" t="s">
        <v>83</v>
      </c>
      <c r="D158" s="84" t="s">
        <v>87</v>
      </c>
      <c r="E158" s="84">
        <f>VLOOKUP(A158,'2a. SI Pop'!$A$5:$E$198,5,FALSE)</f>
        <v>1</v>
      </c>
      <c r="F158" s="84">
        <v>2035</v>
      </c>
      <c r="G158" s="3">
        <f t="shared" si="90"/>
        <v>0</v>
      </c>
      <c r="H158" s="3">
        <f t="shared" si="90"/>
        <v>0</v>
      </c>
      <c r="I158" s="3">
        <f t="shared" si="90"/>
        <v>0</v>
      </c>
      <c r="J158" s="3">
        <f t="shared" si="90"/>
        <v>0</v>
      </c>
      <c r="K158" s="3">
        <f t="shared" si="90"/>
        <v>0</v>
      </c>
      <c r="L158" s="3">
        <f t="shared" si="90"/>
        <v>0.05</v>
      </c>
      <c r="M158" s="3">
        <f t="shared" si="90"/>
        <v>0.05</v>
      </c>
      <c r="N158" s="3">
        <f t="shared" si="90"/>
        <v>0.05</v>
      </c>
      <c r="O158" s="3">
        <f t="shared" si="90"/>
        <v>0.05</v>
      </c>
      <c r="P158" s="3">
        <f t="shared" si="90"/>
        <v>0.05</v>
      </c>
      <c r="Q158" s="3">
        <f t="shared" si="90"/>
        <v>0.05</v>
      </c>
      <c r="R158" s="76"/>
      <c r="S158" s="76"/>
      <c r="T158" s="76"/>
      <c r="U158" s="76"/>
      <c r="V158" s="76"/>
      <c r="W158" s="76"/>
    </row>
    <row r="159" spans="1:23">
      <c r="A159" s="84" t="s">
        <v>391</v>
      </c>
      <c r="B159" s="85" t="s">
        <v>390</v>
      </c>
      <c r="C159" s="85" t="s">
        <v>83</v>
      </c>
      <c r="D159" s="84" t="s">
        <v>75</v>
      </c>
      <c r="E159" s="84">
        <f>VLOOKUP(A159,'2a. SI Pop'!$A$5:$E$198,5,FALSE)</f>
        <v>3</v>
      </c>
      <c r="F159" s="84">
        <v>2037</v>
      </c>
      <c r="G159" s="3">
        <f t="shared" ref="G159:Q159" si="91">IF($F159&lt;=G$4,80%,0)</f>
        <v>0</v>
      </c>
      <c r="H159" s="3">
        <f t="shared" si="91"/>
        <v>0</v>
      </c>
      <c r="I159" s="3">
        <f t="shared" si="91"/>
        <v>0</v>
      </c>
      <c r="J159" s="3">
        <f t="shared" si="91"/>
        <v>0</v>
      </c>
      <c r="K159" s="3">
        <f t="shared" si="91"/>
        <v>0</v>
      </c>
      <c r="L159" s="3">
        <f t="shared" si="91"/>
        <v>0</v>
      </c>
      <c r="M159" s="3">
        <f t="shared" si="91"/>
        <v>0</v>
      </c>
      <c r="N159" s="3">
        <f t="shared" si="91"/>
        <v>0.8</v>
      </c>
      <c r="O159" s="3">
        <f t="shared" si="91"/>
        <v>0.8</v>
      </c>
      <c r="P159" s="3">
        <f t="shared" si="91"/>
        <v>0.8</v>
      </c>
      <c r="Q159" s="3">
        <f t="shared" si="91"/>
        <v>0.8</v>
      </c>
      <c r="R159" s="76"/>
      <c r="S159" s="76"/>
      <c r="T159" s="76"/>
      <c r="U159" s="76"/>
      <c r="V159" s="76"/>
      <c r="W159" s="76"/>
    </row>
    <row r="160" spans="1:23">
      <c r="A160" s="84" t="s">
        <v>393</v>
      </c>
      <c r="B160" s="85" t="s">
        <v>392</v>
      </c>
      <c r="C160" s="85" t="s">
        <v>99</v>
      </c>
      <c r="D160" s="84" t="s">
        <v>87</v>
      </c>
      <c r="E160" s="84">
        <f>VLOOKUP(A160,'2a. SI Pop'!$A$5:$E$198,5,FALSE)</f>
        <v>1</v>
      </c>
      <c r="F160" s="84">
        <v>2034</v>
      </c>
      <c r="G160" s="3">
        <f t="shared" ref="G160:Q162" si="92">IF($F160&lt;=G$4,5%,0)</f>
        <v>0</v>
      </c>
      <c r="H160" s="3">
        <f t="shared" si="92"/>
        <v>0</v>
      </c>
      <c r="I160" s="3">
        <f t="shared" si="92"/>
        <v>0</v>
      </c>
      <c r="J160" s="3">
        <f t="shared" si="92"/>
        <v>0</v>
      </c>
      <c r="K160" s="3">
        <f t="shared" si="92"/>
        <v>0.05</v>
      </c>
      <c r="L160" s="3">
        <f t="shared" si="92"/>
        <v>0.05</v>
      </c>
      <c r="M160" s="3">
        <f t="shared" si="92"/>
        <v>0.05</v>
      </c>
      <c r="N160" s="3">
        <f t="shared" si="92"/>
        <v>0.05</v>
      </c>
      <c r="O160" s="3">
        <f t="shared" si="92"/>
        <v>0.05</v>
      </c>
      <c r="P160" s="3">
        <f t="shared" si="92"/>
        <v>0.05</v>
      </c>
      <c r="Q160" s="3">
        <f t="shared" si="92"/>
        <v>0.05</v>
      </c>
      <c r="R160" s="76"/>
      <c r="S160" s="76"/>
      <c r="T160" s="76"/>
      <c r="U160" s="76"/>
      <c r="V160" s="76"/>
      <c r="W160" s="76"/>
    </row>
    <row r="161" spans="1:23">
      <c r="A161" s="84" t="s">
        <v>395</v>
      </c>
      <c r="B161" s="85" t="s">
        <v>394</v>
      </c>
      <c r="C161" s="85" t="s">
        <v>79</v>
      </c>
      <c r="D161" s="84" t="s">
        <v>87</v>
      </c>
      <c r="E161" s="84">
        <f>VLOOKUP(A161,'2a. SI Pop'!$A$5:$E$198,5,FALSE)</f>
        <v>1</v>
      </c>
      <c r="F161" s="84">
        <v>2034</v>
      </c>
      <c r="G161" s="3">
        <f t="shared" si="92"/>
        <v>0</v>
      </c>
      <c r="H161" s="3">
        <f t="shared" si="92"/>
        <v>0</v>
      </c>
      <c r="I161" s="3">
        <f t="shared" si="92"/>
        <v>0</v>
      </c>
      <c r="J161" s="3">
        <f t="shared" si="92"/>
        <v>0</v>
      </c>
      <c r="K161" s="3">
        <f t="shared" si="92"/>
        <v>0.05</v>
      </c>
      <c r="L161" s="3">
        <f t="shared" si="92"/>
        <v>0.05</v>
      </c>
      <c r="M161" s="3">
        <f t="shared" si="92"/>
        <v>0.05</v>
      </c>
      <c r="N161" s="3">
        <f t="shared" si="92"/>
        <v>0.05</v>
      </c>
      <c r="O161" s="3">
        <f t="shared" si="92"/>
        <v>0.05</v>
      </c>
      <c r="P161" s="3">
        <f t="shared" si="92"/>
        <v>0.05</v>
      </c>
      <c r="Q161" s="3">
        <f t="shared" si="92"/>
        <v>0.05</v>
      </c>
      <c r="R161" s="76"/>
      <c r="S161" s="76"/>
      <c r="T161" s="76"/>
      <c r="U161" s="76"/>
      <c r="V161" s="76"/>
      <c r="W161" s="76"/>
    </row>
    <row r="162" spans="1:23">
      <c r="A162" s="84" t="s">
        <v>397</v>
      </c>
      <c r="B162" s="85" t="s">
        <v>396</v>
      </c>
      <c r="C162" s="85" t="s">
        <v>79</v>
      </c>
      <c r="D162" s="84" t="s">
        <v>87</v>
      </c>
      <c r="E162" s="84">
        <f>VLOOKUP(A162,'2a. SI Pop'!$A$5:$E$198,5,FALSE)</f>
        <v>1</v>
      </c>
      <c r="F162" s="84">
        <v>2034</v>
      </c>
      <c r="G162" s="3">
        <f t="shared" si="92"/>
        <v>0</v>
      </c>
      <c r="H162" s="3">
        <f t="shared" si="92"/>
        <v>0</v>
      </c>
      <c r="I162" s="3">
        <f t="shared" si="92"/>
        <v>0</v>
      </c>
      <c r="J162" s="3">
        <f t="shared" si="92"/>
        <v>0</v>
      </c>
      <c r="K162" s="3">
        <f t="shared" si="92"/>
        <v>0.05</v>
      </c>
      <c r="L162" s="3">
        <f t="shared" si="92"/>
        <v>0.05</v>
      </c>
      <c r="M162" s="3">
        <f t="shared" si="92"/>
        <v>0.05</v>
      </c>
      <c r="N162" s="3">
        <f t="shared" si="92"/>
        <v>0.05</v>
      </c>
      <c r="O162" s="3">
        <f t="shared" si="92"/>
        <v>0.05</v>
      </c>
      <c r="P162" s="3">
        <f t="shared" si="92"/>
        <v>0.05</v>
      </c>
      <c r="Q162" s="3">
        <f t="shared" si="92"/>
        <v>0.05</v>
      </c>
      <c r="R162" s="76"/>
      <c r="S162" s="76"/>
      <c r="T162" s="76"/>
      <c r="U162" s="76"/>
      <c r="V162" s="76"/>
      <c r="W162" s="76"/>
    </row>
    <row r="163" spans="1:23">
      <c r="A163" s="84" t="s">
        <v>399</v>
      </c>
      <c r="B163" s="85" t="s">
        <v>398</v>
      </c>
      <c r="C163" s="85" t="s">
        <v>74</v>
      </c>
      <c r="D163" s="84" t="s">
        <v>75</v>
      </c>
      <c r="E163" s="84">
        <f>VLOOKUP(A163,'2a. SI Pop'!$A$5:$E$198,5,FALSE)</f>
        <v>3</v>
      </c>
      <c r="F163" s="84">
        <v>2032</v>
      </c>
      <c r="G163" s="3">
        <f t="shared" ref="G163:Q165" si="93">IF($F163&lt;=G$4,80%,0)</f>
        <v>0</v>
      </c>
      <c r="H163" s="3">
        <f t="shared" si="93"/>
        <v>0</v>
      </c>
      <c r="I163" s="3">
        <f t="shared" si="93"/>
        <v>0.8</v>
      </c>
      <c r="J163" s="3">
        <f t="shared" si="93"/>
        <v>0.8</v>
      </c>
      <c r="K163" s="3">
        <f t="shared" si="93"/>
        <v>0.8</v>
      </c>
      <c r="L163" s="3">
        <f t="shared" si="93"/>
        <v>0.8</v>
      </c>
      <c r="M163" s="3">
        <f t="shared" si="93"/>
        <v>0.8</v>
      </c>
      <c r="N163" s="3">
        <f t="shared" si="93"/>
        <v>0.8</v>
      </c>
      <c r="O163" s="3">
        <f t="shared" si="93"/>
        <v>0.8</v>
      </c>
      <c r="P163" s="3">
        <f t="shared" si="93"/>
        <v>0.8</v>
      </c>
      <c r="Q163" s="3">
        <f t="shared" si="93"/>
        <v>0.8</v>
      </c>
      <c r="R163" s="76"/>
      <c r="S163" s="76"/>
      <c r="T163" s="76"/>
      <c r="U163" s="76"/>
      <c r="V163" s="76"/>
      <c r="W163" s="76"/>
    </row>
    <row r="164" spans="1:23">
      <c r="A164" s="84" t="s">
        <v>401</v>
      </c>
      <c r="B164" s="85" t="s">
        <v>400</v>
      </c>
      <c r="C164" s="85" t="s">
        <v>99</v>
      </c>
      <c r="D164" s="84" t="s">
        <v>84</v>
      </c>
      <c r="E164" s="84">
        <f>VLOOKUP(A164,'2a. SI Pop'!$A$5:$E$198,5,FALSE)</f>
        <v>4</v>
      </c>
      <c r="F164" s="84">
        <v>2039</v>
      </c>
      <c r="G164" s="3">
        <f t="shared" si="93"/>
        <v>0</v>
      </c>
      <c r="H164" s="3">
        <f t="shared" si="93"/>
        <v>0</v>
      </c>
      <c r="I164" s="3">
        <f t="shared" si="93"/>
        <v>0</v>
      </c>
      <c r="J164" s="3">
        <f t="shared" si="93"/>
        <v>0</v>
      </c>
      <c r="K164" s="3">
        <f t="shared" si="93"/>
        <v>0</v>
      </c>
      <c r="L164" s="3">
        <f t="shared" si="93"/>
        <v>0</v>
      </c>
      <c r="M164" s="3">
        <f t="shared" si="93"/>
        <v>0</v>
      </c>
      <c r="N164" s="3">
        <f t="shared" si="93"/>
        <v>0</v>
      </c>
      <c r="O164" s="3">
        <f t="shared" si="93"/>
        <v>0</v>
      </c>
      <c r="P164" s="3">
        <f t="shared" si="93"/>
        <v>0.8</v>
      </c>
      <c r="Q164" s="3">
        <f t="shared" si="93"/>
        <v>0.8</v>
      </c>
      <c r="R164" s="76"/>
      <c r="S164" s="76"/>
      <c r="T164" s="76"/>
      <c r="U164" s="76"/>
      <c r="V164" s="76"/>
      <c r="W164" s="76"/>
    </row>
    <row r="165" spans="1:23">
      <c r="A165" s="84" t="s">
        <v>403</v>
      </c>
      <c r="B165" s="85" t="s">
        <v>402</v>
      </c>
      <c r="C165" s="85" t="s">
        <v>83</v>
      </c>
      <c r="D165" s="84" t="s">
        <v>80</v>
      </c>
      <c r="E165" s="84" t="str">
        <f>VLOOKUP(A165,'2a. SI Pop'!$A$5:$E$198,5,FALSE)</f>
        <v>Key</v>
      </c>
      <c r="F165" s="84">
        <v>2030</v>
      </c>
      <c r="G165" s="3">
        <f t="shared" si="93"/>
        <v>0.8</v>
      </c>
      <c r="H165" s="3">
        <f t="shared" si="93"/>
        <v>0.8</v>
      </c>
      <c r="I165" s="3">
        <f t="shared" si="93"/>
        <v>0.8</v>
      </c>
      <c r="J165" s="3">
        <f t="shared" si="93"/>
        <v>0.8</v>
      </c>
      <c r="K165" s="3">
        <f t="shared" si="93"/>
        <v>0.8</v>
      </c>
      <c r="L165" s="3">
        <f t="shared" si="93"/>
        <v>0.8</v>
      </c>
      <c r="M165" s="3">
        <f t="shared" si="93"/>
        <v>0.8</v>
      </c>
      <c r="N165" s="3">
        <f t="shared" si="93"/>
        <v>0.8</v>
      </c>
      <c r="O165" s="3">
        <f t="shared" si="93"/>
        <v>0.8</v>
      </c>
      <c r="P165" s="3">
        <f t="shared" si="93"/>
        <v>0.8</v>
      </c>
      <c r="Q165" s="3">
        <f t="shared" si="93"/>
        <v>0.8</v>
      </c>
      <c r="R165" s="76"/>
      <c r="S165" s="76"/>
      <c r="T165" s="76"/>
      <c r="U165" s="76"/>
      <c r="V165" s="76"/>
      <c r="W165" s="76"/>
    </row>
    <row r="166" spans="1:23">
      <c r="A166" s="84" t="s">
        <v>405</v>
      </c>
      <c r="B166" s="85" t="s">
        <v>404</v>
      </c>
      <c r="C166" s="85" t="s">
        <v>79</v>
      </c>
      <c r="D166" s="84" t="s">
        <v>87</v>
      </c>
      <c r="E166" s="84">
        <f>VLOOKUP(A166,'2a. SI Pop'!$A$5:$E$198,5,FALSE)</f>
        <v>1</v>
      </c>
      <c r="F166" s="84">
        <v>2032</v>
      </c>
      <c r="G166" s="3">
        <f t="shared" ref="G166:Q166" si="94">IF($F166&lt;=G$4,5%,0)</f>
        <v>0</v>
      </c>
      <c r="H166" s="3">
        <f t="shared" si="94"/>
        <v>0</v>
      </c>
      <c r="I166" s="3">
        <f t="shared" si="94"/>
        <v>0.05</v>
      </c>
      <c r="J166" s="3">
        <f t="shared" si="94"/>
        <v>0.05</v>
      </c>
      <c r="K166" s="3">
        <f t="shared" si="94"/>
        <v>0.05</v>
      </c>
      <c r="L166" s="3">
        <f t="shared" si="94"/>
        <v>0.05</v>
      </c>
      <c r="M166" s="3">
        <f t="shared" si="94"/>
        <v>0.05</v>
      </c>
      <c r="N166" s="3">
        <f t="shared" si="94"/>
        <v>0.05</v>
      </c>
      <c r="O166" s="3">
        <f t="shared" si="94"/>
        <v>0.05</v>
      </c>
      <c r="P166" s="3">
        <f t="shared" si="94"/>
        <v>0.05</v>
      </c>
      <c r="Q166" s="3">
        <f t="shared" si="94"/>
        <v>0.05</v>
      </c>
      <c r="R166" s="76"/>
      <c r="S166" s="76"/>
      <c r="T166" s="76"/>
      <c r="U166" s="76"/>
      <c r="V166" s="76"/>
      <c r="W166" s="76"/>
    </row>
    <row r="167" spans="1:23">
      <c r="A167" s="84" t="s">
        <v>407</v>
      </c>
      <c r="B167" s="85" t="s">
        <v>406</v>
      </c>
      <c r="C167" s="85" t="s">
        <v>110</v>
      </c>
      <c r="D167" s="84" t="s">
        <v>84</v>
      </c>
      <c r="E167" s="84">
        <f>VLOOKUP(A167,'2a. SI Pop'!$A$5:$E$198,5,FALSE)</f>
        <v>2</v>
      </c>
      <c r="F167" s="84">
        <v>2040</v>
      </c>
      <c r="G167" s="3">
        <f t="shared" ref="G167:Q167" si="95">IF($F167&lt;=G$4,30%,0)</f>
        <v>0</v>
      </c>
      <c r="H167" s="3">
        <f t="shared" si="95"/>
        <v>0</v>
      </c>
      <c r="I167" s="3">
        <f t="shared" si="95"/>
        <v>0</v>
      </c>
      <c r="J167" s="3">
        <f t="shared" si="95"/>
        <v>0</v>
      </c>
      <c r="K167" s="3">
        <f t="shared" si="95"/>
        <v>0</v>
      </c>
      <c r="L167" s="3">
        <f t="shared" si="95"/>
        <v>0</v>
      </c>
      <c r="M167" s="3">
        <f t="shared" si="95"/>
        <v>0</v>
      </c>
      <c r="N167" s="3">
        <f t="shared" si="95"/>
        <v>0</v>
      </c>
      <c r="O167" s="3">
        <f t="shared" si="95"/>
        <v>0</v>
      </c>
      <c r="P167" s="3">
        <f t="shared" si="95"/>
        <v>0</v>
      </c>
      <c r="Q167" s="3">
        <f t="shared" si="95"/>
        <v>0.3</v>
      </c>
      <c r="R167" s="76"/>
      <c r="S167" s="76"/>
      <c r="T167" s="76"/>
      <c r="U167" s="76"/>
      <c r="V167" s="76"/>
      <c r="W167" s="76"/>
    </row>
    <row r="168" spans="1:23">
      <c r="A168" s="84" t="s">
        <v>409</v>
      </c>
      <c r="B168" s="85" t="s">
        <v>408</v>
      </c>
      <c r="C168" s="85" t="s">
        <v>74</v>
      </c>
      <c r="D168" s="84" t="s">
        <v>75</v>
      </c>
      <c r="E168" s="84">
        <f>VLOOKUP(A168,'2a. SI Pop'!$A$5:$E$198,5,FALSE)</f>
        <v>3</v>
      </c>
      <c r="F168" s="84">
        <v>2033</v>
      </c>
      <c r="G168" s="3">
        <f t="shared" ref="G168:Q169" si="96">IF($F168&lt;=G$4,80%,0)</f>
        <v>0</v>
      </c>
      <c r="H168" s="3">
        <f t="shared" si="96"/>
        <v>0</v>
      </c>
      <c r="I168" s="3">
        <f t="shared" si="96"/>
        <v>0</v>
      </c>
      <c r="J168" s="3">
        <f t="shared" si="96"/>
        <v>0.8</v>
      </c>
      <c r="K168" s="3">
        <f t="shared" si="96"/>
        <v>0.8</v>
      </c>
      <c r="L168" s="3">
        <f t="shared" si="96"/>
        <v>0.8</v>
      </c>
      <c r="M168" s="3">
        <f t="shared" si="96"/>
        <v>0.8</v>
      </c>
      <c r="N168" s="3">
        <f t="shared" si="96"/>
        <v>0.8</v>
      </c>
      <c r="O168" s="3">
        <f t="shared" si="96"/>
        <v>0.8</v>
      </c>
      <c r="P168" s="3">
        <f t="shared" si="96"/>
        <v>0.8</v>
      </c>
      <c r="Q168" s="3">
        <f t="shared" si="96"/>
        <v>0.8</v>
      </c>
      <c r="R168" s="76"/>
      <c r="S168" s="76"/>
      <c r="T168" s="76"/>
      <c r="U168" s="76"/>
      <c r="V168" s="76"/>
      <c r="W168" s="76"/>
    </row>
    <row r="169" spans="1:23">
      <c r="A169" s="84" t="s">
        <v>411</v>
      </c>
      <c r="B169" s="85" t="s">
        <v>410</v>
      </c>
      <c r="C169" s="85" t="s">
        <v>74</v>
      </c>
      <c r="D169" s="84" t="s">
        <v>75</v>
      </c>
      <c r="E169" s="84">
        <f>VLOOKUP(A169,'2a. SI Pop'!$A$5:$E$198,5,FALSE)</f>
        <v>3</v>
      </c>
      <c r="F169" s="84">
        <v>2037</v>
      </c>
      <c r="G169" s="3">
        <f t="shared" si="96"/>
        <v>0</v>
      </c>
      <c r="H169" s="3">
        <f t="shared" si="96"/>
        <v>0</v>
      </c>
      <c r="I169" s="3">
        <f t="shared" si="96"/>
        <v>0</v>
      </c>
      <c r="J169" s="3">
        <f t="shared" si="96"/>
        <v>0</v>
      </c>
      <c r="K169" s="3">
        <f t="shared" si="96"/>
        <v>0</v>
      </c>
      <c r="L169" s="3">
        <f t="shared" si="96"/>
        <v>0</v>
      </c>
      <c r="M169" s="3">
        <f t="shared" si="96"/>
        <v>0</v>
      </c>
      <c r="N169" s="3">
        <f t="shared" si="96"/>
        <v>0.8</v>
      </c>
      <c r="O169" s="3">
        <f t="shared" si="96"/>
        <v>0.8</v>
      </c>
      <c r="P169" s="3">
        <f t="shared" si="96"/>
        <v>0.8</v>
      </c>
      <c r="Q169" s="3">
        <f t="shared" si="96"/>
        <v>0.8</v>
      </c>
      <c r="R169" s="76"/>
      <c r="S169" s="76"/>
      <c r="T169" s="76"/>
      <c r="U169" s="76"/>
      <c r="V169" s="76"/>
      <c r="W169" s="76"/>
    </row>
    <row r="170" spans="1:23">
      <c r="A170" s="84" t="s">
        <v>413</v>
      </c>
      <c r="B170" s="85" t="s">
        <v>412</v>
      </c>
      <c r="C170" s="85" t="s">
        <v>92</v>
      </c>
      <c r="D170" s="84" t="s">
        <v>80</v>
      </c>
      <c r="E170" s="84">
        <f>VLOOKUP(A170,'2a. SI Pop'!$A$5:$E$198,5,FALSE)</f>
        <v>1</v>
      </c>
      <c r="F170" s="84">
        <v>2041</v>
      </c>
      <c r="G170" s="3">
        <f t="shared" ref="G170:Q170" si="97">IF($F170&lt;=G$4,5%,0)</f>
        <v>0</v>
      </c>
      <c r="H170" s="3">
        <f t="shared" si="97"/>
        <v>0</v>
      </c>
      <c r="I170" s="3">
        <f t="shared" si="97"/>
        <v>0</v>
      </c>
      <c r="J170" s="3">
        <f t="shared" si="97"/>
        <v>0</v>
      </c>
      <c r="K170" s="3">
        <f t="shared" si="97"/>
        <v>0</v>
      </c>
      <c r="L170" s="3">
        <f t="shared" si="97"/>
        <v>0</v>
      </c>
      <c r="M170" s="3">
        <f t="shared" si="97"/>
        <v>0</v>
      </c>
      <c r="N170" s="3">
        <f t="shared" si="97"/>
        <v>0</v>
      </c>
      <c r="O170" s="3">
        <f t="shared" si="97"/>
        <v>0</v>
      </c>
      <c r="P170" s="3">
        <f t="shared" si="97"/>
        <v>0</v>
      </c>
      <c r="Q170" s="3">
        <f t="shared" si="97"/>
        <v>0</v>
      </c>
      <c r="R170" s="76"/>
      <c r="S170" s="76"/>
      <c r="T170" s="76"/>
      <c r="U170" s="76"/>
      <c r="V170" s="76"/>
      <c r="W170" s="76"/>
    </row>
    <row r="171" spans="1:23">
      <c r="A171" s="84" t="s">
        <v>415</v>
      </c>
      <c r="B171" s="85" t="s">
        <v>414</v>
      </c>
      <c r="C171" s="85" t="s">
        <v>83</v>
      </c>
      <c r="D171" s="84" t="s">
        <v>84</v>
      </c>
      <c r="E171" s="84">
        <f>VLOOKUP(A171,'2a. SI Pop'!$A$5:$E$198,5,FALSE)</f>
        <v>3</v>
      </c>
      <c r="F171" s="84">
        <v>2039</v>
      </c>
      <c r="G171" s="3">
        <f t="shared" ref="G171:Q171" si="98">IF($F171&lt;=G$4,80%,0)</f>
        <v>0</v>
      </c>
      <c r="H171" s="3">
        <f t="shared" si="98"/>
        <v>0</v>
      </c>
      <c r="I171" s="3">
        <f t="shared" si="98"/>
        <v>0</v>
      </c>
      <c r="J171" s="3">
        <f t="shared" si="98"/>
        <v>0</v>
      </c>
      <c r="K171" s="3">
        <f t="shared" si="98"/>
        <v>0</v>
      </c>
      <c r="L171" s="3">
        <f t="shared" si="98"/>
        <v>0</v>
      </c>
      <c r="M171" s="3">
        <f t="shared" si="98"/>
        <v>0</v>
      </c>
      <c r="N171" s="3">
        <f t="shared" si="98"/>
        <v>0</v>
      </c>
      <c r="O171" s="3">
        <f t="shared" si="98"/>
        <v>0</v>
      </c>
      <c r="P171" s="3">
        <f t="shared" si="98"/>
        <v>0.8</v>
      </c>
      <c r="Q171" s="3">
        <f t="shared" si="98"/>
        <v>0.8</v>
      </c>
      <c r="R171" s="76"/>
      <c r="S171" s="76"/>
      <c r="T171" s="76"/>
      <c r="U171" s="76"/>
      <c r="V171" s="76"/>
      <c r="W171" s="76"/>
    </row>
    <row r="172" spans="1:23">
      <c r="A172" s="84" t="s">
        <v>417</v>
      </c>
      <c r="B172" s="85" t="s">
        <v>416</v>
      </c>
      <c r="C172" s="85" t="s">
        <v>79</v>
      </c>
      <c r="D172" s="84" t="s">
        <v>87</v>
      </c>
      <c r="E172" s="84">
        <f>VLOOKUP(A172,'2a. SI Pop'!$A$5:$E$198,5,FALSE)</f>
        <v>1</v>
      </c>
      <c r="F172" s="84">
        <v>2035</v>
      </c>
      <c r="G172" s="3">
        <f t="shared" ref="G172:Q173" si="99">IF($F172&lt;=G$4,5%,0)</f>
        <v>0</v>
      </c>
      <c r="H172" s="3">
        <f t="shared" si="99"/>
        <v>0</v>
      </c>
      <c r="I172" s="3">
        <f t="shared" si="99"/>
        <v>0</v>
      </c>
      <c r="J172" s="3">
        <f t="shared" si="99"/>
        <v>0</v>
      </c>
      <c r="K172" s="3">
        <f t="shared" si="99"/>
        <v>0</v>
      </c>
      <c r="L172" s="3">
        <f t="shared" si="99"/>
        <v>0.05</v>
      </c>
      <c r="M172" s="3">
        <f t="shared" si="99"/>
        <v>0.05</v>
      </c>
      <c r="N172" s="3">
        <f t="shared" si="99"/>
        <v>0.05</v>
      </c>
      <c r="O172" s="3">
        <f t="shared" si="99"/>
        <v>0.05</v>
      </c>
      <c r="P172" s="3">
        <f t="shared" si="99"/>
        <v>0.05</v>
      </c>
      <c r="Q172" s="3">
        <f t="shared" si="99"/>
        <v>0.05</v>
      </c>
      <c r="R172" s="76"/>
      <c r="S172" s="76"/>
      <c r="T172" s="76"/>
      <c r="U172" s="76"/>
      <c r="V172" s="76"/>
      <c r="W172" s="76"/>
    </row>
    <row r="173" spans="1:23">
      <c r="A173" s="84" t="s">
        <v>419</v>
      </c>
      <c r="B173" s="85" t="s">
        <v>418</v>
      </c>
      <c r="C173" s="85" t="s">
        <v>79</v>
      </c>
      <c r="D173" s="84" t="s">
        <v>87</v>
      </c>
      <c r="E173" s="84">
        <f>VLOOKUP(A173,'2a. SI Pop'!$A$5:$E$198,5,FALSE)</f>
        <v>1</v>
      </c>
      <c r="F173" s="84">
        <v>2030</v>
      </c>
      <c r="G173" s="3">
        <f t="shared" si="99"/>
        <v>0.05</v>
      </c>
      <c r="H173" s="3">
        <f t="shared" si="99"/>
        <v>0.05</v>
      </c>
      <c r="I173" s="3">
        <f t="shared" si="99"/>
        <v>0.05</v>
      </c>
      <c r="J173" s="3">
        <f t="shared" si="99"/>
        <v>0.05</v>
      </c>
      <c r="K173" s="3">
        <f t="shared" si="99"/>
        <v>0.05</v>
      </c>
      <c r="L173" s="3">
        <f t="shared" si="99"/>
        <v>0.05</v>
      </c>
      <c r="M173" s="3">
        <f t="shared" si="99"/>
        <v>0.05</v>
      </c>
      <c r="N173" s="3">
        <f t="shared" si="99"/>
        <v>0.05</v>
      </c>
      <c r="O173" s="3">
        <f t="shared" si="99"/>
        <v>0.05</v>
      </c>
      <c r="P173" s="3">
        <f t="shared" si="99"/>
        <v>0.05</v>
      </c>
      <c r="Q173" s="3">
        <f t="shared" si="99"/>
        <v>0.05</v>
      </c>
      <c r="R173" s="76"/>
      <c r="S173" s="76"/>
      <c r="T173" s="76"/>
      <c r="U173" s="76"/>
      <c r="V173" s="76"/>
      <c r="W173" s="76"/>
    </row>
    <row r="174" spans="1:23">
      <c r="A174" s="84" t="s">
        <v>421</v>
      </c>
      <c r="B174" s="85" t="s">
        <v>420</v>
      </c>
      <c r="C174" s="85" t="s">
        <v>74</v>
      </c>
      <c r="D174" s="84" t="s">
        <v>75</v>
      </c>
      <c r="E174" s="84">
        <f>VLOOKUP(A174,'2a. SI Pop'!$A$5:$E$198,5,FALSE)</f>
        <v>2</v>
      </c>
      <c r="F174" s="84">
        <v>2039</v>
      </c>
      <c r="G174" s="3">
        <f t="shared" ref="G174:Q174" si="100">IF($F174&lt;=G$4,30%,0)</f>
        <v>0</v>
      </c>
      <c r="H174" s="3">
        <f t="shared" si="100"/>
        <v>0</v>
      </c>
      <c r="I174" s="3">
        <f t="shared" si="100"/>
        <v>0</v>
      </c>
      <c r="J174" s="3">
        <f t="shared" si="100"/>
        <v>0</v>
      </c>
      <c r="K174" s="3">
        <f t="shared" si="100"/>
        <v>0</v>
      </c>
      <c r="L174" s="3">
        <f t="shared" si="100"/>
        <v>0</v>
      </c>
      <c r="M174" s="3">
        <f t="shared" si="100"/>
        <v>0</v>
      </c>
      <c r="N174" s="3">
        <f t="shared" si="100"/>
        <v>0</v>
      </c>
      <c r="O174" s="3">
        <f t="shared" si="100"/>
        <v>0</v>
      </c>
      <c r="P174" s="3">
        <f t="shared" si="100"/>
        <v>0.3</v>
      </c>
      <c r="Q174" s="3">
        <f t="shared" si="100"/>
        <v>0.3</v>
      </c>
      <c r="R174" s="76"/>
      <c r="S174" s="76"/>
      <c r="T174" s="76"/>
      <c r="U174" s="76"/>
      <c r="V174" s="76"/>
      <c r="W174" s="76"/>
    </row>
    <row r="175" spans="1:23">
      <c r="A175" s="84" t="s">
        <v>423</v>
      </c>
      <c r="B175" s="85" t="s">
        <v>422</v>
      </c>
      <c r="C175" s="85" t="s">
        <v>83</v>
      </c>
      <c r="D175" s="84" t="s">
        <v>84</v>
      </c>
      <c r="E175" s="84" t="str">
        <f>VLOOKUP(A175,'2a. SI Pop'!$A$5:$E$198,5,FALSE)</f>
        <v>Key</v>
      </c>
      <c r="F175" s="84">
        <v>2031</v>
      </c>
      <c r="G175" s="3">
        <f t="shared" ref="G175:Q175" si="101">IF($F175&lt;=G$4,80%,0)</f>
        <v>0</v>
      </c>
      <c r="H175" s="3">
        <f t="shared" si="101"/>
        <v>0.8</v>
      </c>
      <c r="I175" s="3">
        <f t="shared" si="101"/>
        <v>0.8</v>
      </c>
      <c r="J175" s="3">
        <f t="shared" si="101"/>
        <v>0.8</v>
      </c>
      <c r="K175" s="3">
        <f t="shared" si="101"/>
        <v>0.8</v>
      </c>
      <c r="L175" s="3">
        <f t="shared" si="101"/>
        <v>0.8</v>
      </c>
      <c r="M175" s="3">
        <f t="shared" si="101"/>
        <v>0.8</v>
      </c>
      <c r="N175" s="3">
        <f t="shared" si="101"/>
        <v>0.8</v>
      </c>
      <c r="O175" s="3">
        <f t="shared" si="101"/>
        <v>0.8</v>
      </c>
      <c r="P175" s="3">
        <f t="shared" si="101"/>
        <v>0.8</v>
      </c>
      <c r="Q175" s="3">
        <f t="shared" si="101"/>
        <v>0.8</v>
      </c>
      <c r="R175" s="76"/>
      <c r="S175" s="76"/>
      <c r="T175" s="76"/>
      <c r="U175" s="76"/>
      <c r="V175" s="76"/>
      <c r="W175" s="76"/>
    </row>
    <row r="176" spans="1:23">
      <c r="A176" s="84" t="s">
        <v>425</v>
      </c>
      <c r="B176" s="85" t="s">
        <v>424</v>
      </c>
      <c r="C176" s="85" t="s">
        <v>79</v>
      </c>
      <c r="D176" s="84" t="s">
        <v>75</v>
      </c>
      <c r="E176" s="84">
        <f>VLOOKUP(A176,'2a. SI Pop'!$A$5:$E$198,5,FALSE)</f>
        <v>2</v>
      </c>
      <c r="F176" s="84">
        <v>2041</v>
      </c>
      <c r="G176" s="3">
        <f t="shared" ref="G176:Q176" si="102">IF($F176&lt;=G$4,30%,0)</f>
        <v>0</v>
      </c>
      <c r="H176" s="3">
        <f t="shared" si="102"/>
        <v>0</v>
      </c>
      <c r="I176" s="3">
        <f t="shared" si="102"/>
        <v>0</v>
      </c>
      <c r="J176" s="3">
        <f t="shared" si="102"/>
        <v>0</v>
      </c>
      <c r="K176" s="3">
        <f t="shared" si="102"/>
        <v>0</v>
      </c>
      <c r="L176" s="3">
        <f t="shared" si="102"/>
        <v>0</v>
      </c>
      <c r="M176" s="3">
        <f t="shared" si="102"/>
        <v>0</v>
      </c>
      <c r="N176" s="3">
        <f t="shared" si="102"/>
        <v>0</v>
      </c>
      <c r="O176" s="3">
        <f t="shared" si="102"/>
        <v>0</v>
      </c>
      <c r="P176" s="3">
        <f t="shared" si="102"/>
        <v>0</v>
      </c>
      <c r="Q176" s="3">
        <f t="shared" si="102"/>
        <v>0</v>
      </c>
      <c r="R176" s="76"/>
      <c r="S176" s="76"/>
      <c r="T176" s="76"/>
      <c r="U176" s="76"/>
      <c r="V176" s="76"/>
      <c r="W176" s="76"/>
    </row>
    <row r="177" spans="1:23">
      <c r="A177" s="84" t="s">
        <v>427</v>
      </c>
      <c r="B177" s="85" t="s">
        <v>426</v>
      </c>
      <c r="C177" s="85" t="s">
        <v>110</v>
      </c>
      <c r="D177" s="84" t="s">
        <v>80</v>
      </c>
      <c r="E177" s="84">
        <f>VLOOKUP(A177,'2a. SI Pop'!$A$5:$E$198,5,FALSE)</f>
        <v>1</v>
      </c>
      <c r="F177" s="84">
        <v>2031</v>
      </c>
      <c r="G177" s="3">
        <f t="shared" ref="G177:Q177" si="103">IF($F177&lt;=G$4,5%,0)</f>
        <v>0</v>
      </c>
      <c r="H177" s="3">
        <f t="shared" si="103"/>
        <v>0.05</v>
      </c>
      <c r="I177" s="3">
        <f t="shared" si="103"/>
        <v>0.05</v>
      </c>
      <c r="J177" s="3">
        <f t="shared" si="103"/>
        <v>0.05</v>
      </c>
      <c r="K177" s="3">
        <f t="shared" si="103"/>
        <v>0.05</v>
      </c>
      <c r="L177" s="3">
        <f t="shared" si="103"/>
        <v>0.05</v>
      </c>
      <c r="M177" s="3">
        <f t="shared" si="103"/>
        <v>0.05</v>
      </c>
      <c r="N177" s="3">
        <f t="shared" si="103"/>
        <v>0.05</v>
      </c>
      <c r="O177" s="3">
        <f t="shared" si="103"/>
        <v>0.05</v>
      </c>
      <c r="P177" s="3">
        <f t="shared" si="103"/>
        <v>0.05</v>
      </c>
      <c r="Q177" s="3">
        <f t="shared" si="103"/>
        <v>0.05</v>
      </c>
      <c r="R177" s="76"/>
      <c r="S177" s="76"/>
      <c r="T177" s="76"/>
      <c r="U177" s="76"/>
      <c r="V177" s="76"/>
      <c r="W177" s="76"/>
    </row>
    <row r="178" spans="1:23">
      <c r="A178" s="84" t="s">
        <v>429</v>
      </c>
      <c r="B178" s="85" t="s">
        <v>428</v>
      </c>
      <c r="C178" s="85" t="s">
        <v>110</v>
      </c>
      <c r="D178" s="84" t="s">
        <v>84</v>
      </c>
      <c r="E178" s="84">
        <f>VLOOKUP(A178,'2a. SI Pop'!$A$5:$E$198,5,FALSE)</f>
        <v>4</v>
      </c>
      <c r="F178" s="84">
        <v>2040</v>
      </c>
      <c r="G178" s="3">
        <f t="shared" ref="G178:Q179" si="104">IF($F178&lt;=G$4,80%,0)</f>
        <v>0</v>
      </c>
      <c r="H178" s="3">
        <f t="shared" si="104"/>
        <v>0</v>
      </c>
      <c r="I178" s="3">
        <f t="shared" si="104"/>
        <v>0</v>
      </c>
      <c r="J178" s="3">
        <f t="shared" si="104"/>
        <v>0</v>
      </c>
      <c r="K178" s="3">
        <f t="shared" si="104"/>
        <v>0</v>
      </c>
      <c r="L178" s="3">
        <f t="shared" si="104"/>
        <v>0</v>
      </c>
      <c r="M178" s="3">
        <f t="shared" si="104"/>
        <v>0</v>
      </c>
      <c r="N178" s="3">
        <f t="shared" si="104"/>
        <v>0</v>
      </c>
      <c r="O178" s="3">
        <f t="shared" si="104"/>
        <v>0</v>
      </c>
      <c r="P178" s="3">
        <f t="shared" si="104"/>
        <v>0</v>
      </c>
      <c r="Q178" s="3">
        <f t="shared" si="104"/>
        <v>0.8</v>
      </c>
      <c r="R178" s="76"/>
      <c r="S178" s="76"/>
      <c r="T178" s="76"/>
      <c r="U178" s="76"/>
      <c r="V178" s="76"/>
      <c r="W178" s="76"/>
    </row>
    <row r="179" spans="1:23">
      <c r="A179" s="84" t="s">
        <v>431</v>
      </c>
      <c r="B179" s="85" t="s">
        <v>430</v>
      </c>
      <c r="C179" s="85" t="s">
        <v>83</v>
      </c>
      <c r="D179" s="84" t="s">
        <v>75</v>
      </c>
      <c r="E179" s="84">
        <f>VLOOKUP(A179,'2a. SI Pop'!$A$5:$E$198,5,FALSE)</f>
        <v>3</v>
      </c>
      <c r="F179" s="84">
        <v>2037</v>
      </c>
      <c r="G179" s="3">
        <f t="shared" si="104"/>
        <v>0</v>
      </c>
      <c r="H179" s="3">
        <f t="shared" si="104"/>
        <v>0</v>
      </c>
      <c r="I179" s="3">
        <f t="shared" si="104"/>
        <v>0</v>
      </c>
      <c r="J179" s="3">
        <f t="shared" si="104"/>
        <v>0</v>
      </c>
      <c r="K179" s="3">
        <f t="shared" si="104"/>
        <v>0</v>
      </c>
      <c r="L179" s="3">
        <f t="shared" si="104"/>
        <v>0</v>
      </c>
      <c r="M179" s="3">
        <f t="shared" si="104"/>
        <v>0</v>
      </c>
      <c r="N179" s="3">
        <f t="shared" si="104"/>
        <v>0.8</v>
      </c>
      <c r="O179" s="3">
        <f t="shared" si="104"/>
        <v>0.8</v>
      </c>
      <c r="P179" s="3">
        <f t="shared" si="104"/>
        <v>0.8</v>
      </c>
      <c r="Q179" s="3">
        <f t="shared" si="104"/>
        <v>0.8</v>
      </c>
      <c r="R179" s="76"/>
      <c r="S179" s="76"/>
      <c r="T179" s="76"/>
      <c r="U179" s="76"/>
      <c r="V179" s="76"/>
      <c r="W179" s="76"/>
    </row>
    <row r="180" spans="1:23">
      <c r="A180" s="84" t="s">
        <v>433</v>
      </c>
      <c r="B180" s="85" t="s">
        <v>432</v>
      </c>
      <c r="C180" s="85" t="s">
        <v>99</v>
      </c>
      <c r="D180" s="84" t="s">
        <v>80</v>
      </c>
      <c r="E180" s="84">
        <f>VLOOKUP(A180,'2a. SI Pop'!$A$5:$E$198,5,FALSE)</f>
        <v>1</v>
      </c>
      <c r="F180" s="84">
        <v>2037</v>
      </c>
      <c r="G180" s="3">
        <f t="shared" ref="G180:Q181" si="105">IF($F180&lt;=G$4,5%,0)</f>
        <v>0</v>
      </c>
      <c r="H180" s="3">
        <f t="shared" si="105"/>
        <v>0</v>
      </c>
      <c r="I180" s="3">
        <f t="shared" si="105"/>
        <v>0</v>
      </c>
      <c r="J180" s="3">
        <f t="shared" si="105"/>
        <v>0</v>
      </c>
      <c r="K180" s="3">
        <f t="shared" si="105"/>
        <v>0</v>
      </c>
      <c r="L180" s="3">
        <f t="shared" si="105"/>
        <v>0</v>
      </c>
      <c r="M180" s="3">
        <f t="shared" si="105"/>
        <v>0</v>
      </c>
      <c r="N180" s="3">
        <f t="shared" si="105"/>
        <v>0.05</v>
      </c>
      <c r="O180" s="3">
        <f t="shared" si="105"/>
        <v>0.05</v>
      </c>
      <c r="P180" s="3">
        <f t="shared" si="105"/>
        <v>0.05</v>
      </c>
      <c r="Q180" s="3">
        <f t="shared" si="105"/>
        <v>0.05</v>
      </c>
      <c r="R180" s="76"/>
      <c r="S180" s="76"/>
      <c r="T180" s="76"/>
      <c r="U180" s="76"/>
      <c r="V180" s="76"/>
      <c r="W180" s="76"/>
    </row>
    <row r="181" spans="1:23">
      <c r="A181" s="84" t="s">
        <v>435</v>
      </c>
      <c r="B181" s="85" t="s">
        <v>434</v>
      </c>
      <c r="C181" s="85" t="s">
        <v>92</v>
      </c>
      <c r="D181" s="84" t="s">
        <v>87</v>
      </c>
      <c r="E181" s="84">
        <f>VLOOKUP(A181,'2a. SI Pop'!$A$5:$E$198,5,FALSE)</f>
        <v>1</v>
      </c>
      <c r="F181" s="84">
        <v>2039</v>
      </c>
      <c r="G181" s="3">
        <f t="shared" si="105"/>
        <v>0</v>
      </c>
      <c r="H181" s="3">
        <f t="shared" si="105"/>
        <v>0</v>
      </c>
      <c r="I181" s="3">
        <f t="shared" si="105"/>
        <v>0</v>
      </c>
      <c r="J181" s="3">
        <f t="shared" si="105"/>
        <v>0</v>
      </c>
      <c r="K181" s="3">
        <f t="shared" si="105"/>
        <v>0</v>
      </c>
      <c r="L181" s="3">
        <f t="shared" si="105"/>
        <v>0</v>
      </c>
      <c r="M181" s="3">
        <f t="shared" si="105"/>
        <v>0</v>
      </c>
      <c r="N181" s="3">
        <f t="shared" si="105"/>
        <v>0</v>
      </c>
      <c r="O181" s="3">
        <f t="shared" si="105"/>
        <v>0</v>
      </c>
      <c r="P181" s="3">
        <f t="shared" si="105"/>
        <v>0.05</v>
      </c>
      <c r="Q181" s="3">
        <f t="shared" si="105"/>
        <v>0.05</v>
      </c>
      <c r="R181" s="76"/>
      <c r="S181" s="76"/>
      <c r="T181" s="76"/>
      <c r="U181" s="76"/>
      <c r="V181" s="76"/>
      <c r="W181" s="76"/>
    </row>
    <row r="182" spans="1:23">
      <c r="A182" s="84" t="s">
        <v>437</v>
      </c>
      <c r="B182" s="85" t="s">
        <v>436</v>
      </c>
      <c r="C182" s="85" t="s">
        <v>74</v>
      </c>
      <c r="D182" s="84" t="s">
        <v>84</v>
      </c>
      <c r="E182" s="84">
        <f>VLOOKUP(A182,'2a. SI Pop'!$A$5:$E$198,5,FALSE)</f>
        <v>3</v>
      </c>
      <c r="F182" s="84">
        <v>2033</v>
      </c>
      <c r="G182" s="3">
        <f t="shared" ref="G182:Q182" si="106">IF($F182&lt;=G$4,80%,0)</f>
        <v>0</v>
      </c>
      <c r="H182" s="3">
        <f t="shared" si="106"/>
        <v>0</v>
      </c>
      <c r="I182" s="3">
        <f t="shared" si="106"/>
        <v>0</v>
      </c>
      <c r="J182" s="3">
        <f t="shared" si="106"/>
        <v>0.8</v>
      </c>
      <c r="K182" s="3">
        <f t="shared" si="106"/>
        <v>0.8</v>
      </c>
      <c r="L182" s="3">
        <f t="shared" si="106"/>
        <v>0.8</v>
      </c>
      <c r="M182" s="3">
        <f t="shared" si="106"/>
        <v>0.8</v>
      </c>
      <c r="N182" s="3">
        <f t="shared" si="106"/>
        <v>0.8</v>
      </c>
      <c r="O182" s="3">
        <f t="shared" si="106"/>
        <v>0.8</v>
      </c>
      <c r="P182" s="3">
        <f t="shared" si="106"/>
        <v>0.8</v>
      </c>
      <c r="Q182" s="3">
        <f t="shared" si="106"/>
        <v>0.8</v>
      </c>
      <c r="R182" s="76"/>
      <c r="S182" s="76"/>
      <c r="T182" s="76"/>
      <c r="U182" s="76"/>
      <c r="V182" s="76"/>
      <c r="W182" s="76"/>
    </row>
    <row r="183" spans="1:23">
      <c r="A183" s="84" t="s">
        <v>439</v>
      </c>
      <c r="B183" s="85" t="s">
        <v>438</v>
      </c>
      <c r="C183" s="85" t="s">
        <v>79</v>
      </c>
      <c r="D183" s="84" t="s">
        <v>80</v>
      </c>
      <c r="E183" s="84">
        <f>VLOOKUP(A183,'2a. SI Pop'!$A$5:$E$198,5,FALSE)</f>
        <v>1</v>
      </c>
      <c r="F183" s="84">
        <v>2030</v>
      </c>
      <c r="G183" s="3">
        <f t="shared" ref="G183:Q184" si="107">IF($F183&lt;=G$4,5%,0)</f>
        <v>0.05</v>
      </c>
      <c r="H183" s="3">
        <f t="shared" si="107"/>
        <v>0.05</v>
      </c>
      <c r="I183" s="3">
        <f t="shared" si="107"/>
        <v>0.05</v>
      </c>
      <c r="J183" s="3">
        <f t="shared" si="107"/>
        <v>0.05</v>
      </c>
      <c r="K183" s="3">
        <f t="shared" si="107"/>
        <v>0.05</v>
      </c>
      <c r="L183" s="3">
        <f t="shared" si="107"/>
        <v>0.05</v>
      </c>
      <c r="M183" s="3">
        <f t="shared" si="107"/>
        <v>0.05</v>
      </c>
      <c r="N183" s="3">
        <f t="shared" si="107"/>
        <v>0.05</v>
      </c>
      <c r="O183" s="3">
        <f t="shared" si="107"/>
        <v>0.05</v>
      </c>
      <c r="P183" s="3">
        <f t="shared" si="107"/>
        <v>0.05</v>
      </c>
      <c r="Q183" s="3">
        <f t="shared" si="107"/>
        <v>0.05</v>
      </c>
      <c r="R183" s="76"/>
      <c r="S183" s="76"/>
      <c r="T183" s="76"/>
      <c r="U183" s="76"/>
      <c r="V183" s="76"/>
      <c r="W183" s="76"/>
    </row>
    <row r="184" spans="1:23">
      <c r="A184" s="84" t="s">
        <v>441</v>
      </c>
      <c r="B184" s="85" t="s">
        <v>440</v>
      </c>
      <c r="C184" s="85" t="s">
        <v>79</v>
      </c>
      <c r="D184" s="84" t="s">
        <v>80</v>
      </c>
      <c r="E184" s="84">
        <f>VLOOKUP(A184,'2a. SI Pop'!$A$5:$E$198,5,FALSE)</f>
        <v>1</v>
      </c>
      <c r="F184" s="84">
        <v>2040</v>
      </c>
      <c r="G184" s="3">
        <f t="shared" si="107"/>
        <v>0</v>
      </c>
      <c r="H184" s="3">
        <f t="shared" si="107"/>
        <v>0</v>
      </c>
      <c r="I184" s="3">
        <f t="shared" si="107"/>
        <v>0</v>
      </c>
      <c r="J184" s="3">
        <f t="shared" si="107"/>
        <v>0</v>
      </c>
      <c r="K184" s="3">
        <f t="shared" si="107"/>
        <v>0</v>
      </c>
      <c r="L184" s="3">
        <f t="shared" si="107"/>
        <v>0</v>
      </c>
      <c r="M184" s="3">
        <f t="shared" si="107"/>
        <v>0</v>
      </c>
      <c r="N184" s="3">
        <f t="shared" si="107"/>
        <v>0</v>
      </c>
      <c r="O184" s="3">
        <f t="shared" si="107"/>
        <v>0</v>
      </c>
      <c r="P184" s="3">
        <f t="shared" si="107"/>
        <v>0</v>
      </c>
      <c r="Q184" s="3">
        <f t="shared" si="107"/>
        <v>0.05</v>
      </c>
      <c r="R184" s="76"/>
      <c r="S184" s="76"/>
      <c r="T184" s="76"/>
      <c r="U184" s="76"/>
      <c r="V184" s="76"/>
      <c r="W184" s="76"/>
    </row>
    <row r="185" spans="1:23">
      <c r="A185" s="84" t="s">
        <v>443</v>
      </c>
      <c r="B185" s="85" t="s">
        <v>442</v>
      </c>
      <c r="C185" s="85" t="s">
        <v>99</v>
      </c>
      <c r="D185" s="84" t="s">
        <v>80</v>
      </c>
      <c r="E185" s="84">
        <f>VLOOKUP(A185,'2a. SI Pop'!$A$5:$E$198,5,FALSE)</f>
        <v>4</v>
      </c>
      <c r="F185" s="84">
        <v>2040</v>
      </c>
      <c r="G185" s="3">
        <f t="shared" ref="G185:Q185" si="108">IF($F185&lt;=G$4,80%,0)</f>
        <v>0</v>
      </c>
      <c r="H185" s="3">
        <f t="shared" si="108"/>
        <v>0</v>
      </c>
      <c r="I185" s="3">
        <f t="shared" si="108"/>
        <v>0</v>
      </c>
      <c r="J185" s="3">
        <f t="shared" si="108"/>
        <v>0</v>
      </c>
      <c r="K185" s="3">
        <f t="shared" si="108"/>
        <v>0</v>
      </c>
      <c r="L185" s="3">
        <f t="shared" si="108"/>
        <v>0</v>
      </c>
      <c r="M185" s="3">
        <f t="shared" si="108"/>
        <v>0</v>
      </c>
      <c r="N185" s="3">
        <f t="shared" si="108"/>
        <v>0</v>
      </c>
      <c r="O185" s="3">
        <f t="shared" si="108"/>
        <v>0</v>
      </c>
      <c r="P185" s="3">
        <f t="shared" si="108"/>
        <v>0</v>
      </c>
      <c r="Q185" s="3">
        <f t="shared" si="108"/>
        <v>0.8</v>
      </c>
      <c r="R185" s="76"/>
      <c r="S185" s="76"/>
      <c r="T185" s="76"/>
      <c r="U185" s="76"/>
      <c r="V185" s="76"/>
      <c r="W185" s="76"/>
    </row>
    <row r="186" spans="1:23">
      <c r="A186" s="84" t="s">
        <v>445</v>
      </c>
      <c r="B186" s="85" t="s">
        <v>444</v>
      </c>
      <c r="C186" s="85" t="s">
        <v>83</v>
      </c>
      <c r="D186" s="84" t="s">
        <v>75</v>
      </c>
      <c r="E186" s="84" t="str">
        <f>VLOOKUP(A186,'2a. SI Pop'!$A$5:$E$198,5,FALSE)</f>
        <v>Key</v>
      </c>
      <c r="F186" s="84">
        <v>2032</v>
      </c>
      <c r="G186" s="3">
        <f t="shared" ref="G186:Q186" si="109">IF($F186&lt;=G$4,80%,0)</f>
        <v>0</v>
      </c>
      <c r="H186" s="3">
        <f t="shared" si="109"/>
        <v>0</v>
      </c>
      <c r="I186" s="3">
        <f t="shared" si="109"/>
        <v>0.8</v>
      </c>
      <c r="J186" s="3">
        <f t="shared" si="109"/>
        <v>0.8</v>
      </c>
      <c r="K186" s="3">
        <f t="shared" si="109"/>
        <v>0.8</v>
      </c>
      <c r="L186" s="3">
        <f t="shared" si="109"/>
        <v>0.8</v>
      </c>
      <c r="M186" s="3">
        <f t="shared" si="109"/>
        <v>0.8</v>
      </c>
      <c r="N186" s="3">
        <f t="shared" si="109"/>
        <v>0.8</v>
      </c>
      <c r="O186" s="3">
        <f t="shared" si="109"/>
        <v>0.8</v>
      </c>
      <c r="P186" s="3">
        <f t="shared" si="109"/>
        <v>0.8</v>
      </c>
      <c r="Q186" s="3">
        <f t="shared" si="109"/>
        <v>0.8</v>
      </c>
      <c r="R186" s="76"/>
      <c r="S186" s="76"/>
      <c r="T186" s="76"/>
      <c r="U186" s="76"/>
      <c r="V186" s="76"/>
      <c r="W186" s="76"/>
    </row>
    <row r="187" spans="1:23">
      <c r="A187" s="84" t="s">
        <v>447</v>
      </c>
      <c r="B187" s="85" t="s">
        <v>446</v>
      </c>
      <c r="C187" s="85" t="s">
        <v>79</v>
      </c>
      <c r="D187" s="84" t="s">
        <v>84</v>
      </c>
      <c r="E187" s="84">
        <f>VLOOKUP(A187,'2a. SI Pop'!$A$5:$E$198,5,FALSE)</f>
        <v>1</v>
      </c>
      <c r="F187" s="84">
        <v>2038</v>
      </c>
      <c r="G187" s="3">
        <f t="shared" ref="G187:Q191" si="110">IF($F187&lt;=G$4,5%,0)</f>
        <v>0</v>
      </c>
      <c r="H187" s="3">
        <f t="shared" si="110"/>
        <v>0</v>
      </c>
      <c r="I187" s="3">
        <f t="shared" si="110"/>
        <v>0</v>
      </c>
      <c r="J187" s="3">
        <f t="shared" si="110"/>
        <v>0</v>
      </c>
      <c r="K187" s="3">
        <f t="shared" si="110"/>
        <v>0</v>
      </c>
      <c r="L187" s="3">
        <f t="shared" si="110"/>
        <v>0</v>
      </c>
      <c r="M187" s="3">
        <f t="shared" si="110"/>
        <v>0</v>
      </c>
      <c r="N187" s="3">
        <f t="shared" si="110"/>
        <v>0</v>
      </c>
      <c r="O187" s="3">
        <f t="shared" si="110"/>
        <v>0.05</v>
      </c>
      <c r="P187" s="3">
        <f t="shared" si="110"/>
        <v>0.05</v>
      </c>
      <c r="Q187" s="3">
        <f t="shared" si="110"/>
        <v>0.05</v>
      </c>
      <c r="R187" s="76"/>
      <c r="S187" s="76"/>
      <c r="T187" s="76"/>
      <c r="U187" s="76"/>
      <c r="V187" s="76"/>
      <c r="W187" s="76"/>
    </row>
    <row r="188" spans="1:23">
      <c r="A188" s="84" t="s">
        <v>449</v>
      </c>
      <c r="B188" s="85" t="s">
        <v>448</v>
      </c>
      <c r="C188" s="85" t="s">
        <v>74</v>
      </c>
      <c r="D188" s="84" t="s">
        <v>87</v>
      </c>
      <c r="E188" s="84">
        <f>VLOOKUP(A188,'2a. SI Pop'!$A$5:$E$198,5,FALSE)</f>
        <v>1</v>
      </c>
      <c r="F188" s="84">
        <v>2032</v>
      </c>
      <c r="G188" s="3">
        <f t="shared" si="110"/>
        <v>0</v>
      </c>
      <c r="H188" s="3">
        <f t="shared" si="110"/>
        <v>0</v>
      </c>
      <c r="I188" s="3">
        <f t="shared" si="110"/>
        <v>0.05</v>
      </c>
      <c r="J188" s="3">
        <f t="shared" si="110"/>
        <v>0.05</v>
      </c>
      <c r="K188" s="3">
        <f t="shared" si="110"/>
        <v>0.05</v>
      </c>
      <c r="L188" s="3">
        <f t="shared" si="110"/>
        <v>0.05</v>
      </c>
      <c r="M188" s="3">
        <f t="shared" si="110"/>
        <v>0.05</v>
      </c>
      <c r="N188" s="3">
        <f t="shared" si="110"/>
        <v>0.05</v>
      </c>
      <c r="O188" s="3">
        <f t="shared" si="110"/>
        <v>0.05</v>
      </c>
      <c r="P188" s="3">
        <f t="shared" si="110"/>
        <v>0.05</v>
      </c>
      <c r="Q188" s="3">
        <f t="shared" si="110"/>
        <v>0.05</v>
      </c>
      <c r="R188" s="76"/>
      <c r="S188" s="76"/>
      <c r="T188" s="76"/>
      <c r="U188" s="76"/>
      <c r="V188" s="76"/>
      <c r="W188" s="76"/>
    </row>
    <row r="189" spans="1:23">
      <c r="A189" s="84" t="s">
        <v>451</v>
      </c>
      <c r="B189" s="85" t="s">
        <v>450</v>
      </c>
      <c r="C189" s="85" t="s">
        <v>79</v>
      </c>
      <c r="D189" s="84" t="s">
        <v>87</v>
      </c>
      <c r="E189" s="84">
        <f>VLOOKUP(A189,'2a. SI Pop'!$A$5:$E$198,5,FALSE)</f>
        <v>1</v>
      </c>
      <c r="F189" s="84">
        <v>2030</v>
      </c>
      <c r="G189" s="3">
        <f t="shared" si="110"/>
        <v>0.05</v>
      </c>
      <c r="H189" s="3">
        <f t="shared" si="110"/>
        <v>0.05</v>
      </c>
      <c r="I189" s="3">
        <f t="shared" si="110"/>
        <v>0.05</v>
      </c>
      <c r="J189" s="3">
        <f t="shared" si="110"/>
        <v>0.05</v>
      </c>
      <c r="K189" s="3">
        <f t="shared" si="110"/>
        <v>0.05</v>
      </c>
      <c r="L189" s="3">
        <f t="shared" si="110"/>
        <v>0.05</v>
      </c>
      <c r="M189" s="3">
        <f t="shared" si="110"/>
        <v>0.05</v>
      </c>
      <c r="N189" s="3">
        <f t="shared" si="110"/>
        <v>0.05</v>
      </c>
      <c r="O189" s="3">
        <f t="shared" si="110"/>
        <v>0.05</v>
      </c>
      <c r="P189" s="3">
        <f t="shared" si="110"/>
        <v>0.05</v>
      </c>
      <c r="Q189" s="3">
        <f t="shared" si="110"/>
        <v>0.05</v>
      </c>
      <c r="R189" s="76"/>
      <c r="S189" s="76"/>
      <c r="T189" s="76"/>
      <c r="U189" s="76"/>
      <c r="V189" s="76"/>
      <c r="W189" s="76"/>
    </row>
    <row r="190" spans="1:23">
      <c r="A190" s="84" t="s">
        <v>453</v>
      </c>
      <c r="B190" s="85" t="s">
        <v>452</v>
      </c>
      <c r="C190" s="85" t="s">
        <v>92</v>
      </c>
      <c r="D190" s="84" t="s">
        <v>87</v>
      </c>
      <c r="E190" s="84" t="str">
        <f>VLOOKUP(A190,'2a. SI Pop'!$A$5:$E$198,5,FALSE)</f>
        <v>Key</v>
      </c>
      <c r="F190" s="84">
        <v>2030</v>
      </c>
      <c r="G190" s="3">
        <f t="shared" si="110"/>
        <v>0.05</v>
      </c>
      <c r="H190" s="3">
        <f t="shared" si="110"/>
        <v>0.05</v>
      </c>
      <c r="I190" s="3">
        <f t="shared" si="110"/>
        <v>0.05</v>
      </c>
      <c r="J190" s="3">
        <f t="shared" si="110"/>
        <v>0.05</v>
      </c>
      <c r="K190" s="3">
        <f t="shared" si="110"/>
        <v>0.05</v>
      </c>
      <c r="L190" s="3">
        <f t="shared" si="110"/>
        <v>0.05</v>
      </c>
      <c r="M190" s="3">
        <f t="shared" si="110"/>
        <v>0.05</v>
      </c>
      <c r="N190" s="3">
        <f t="shared" si="110"/>
        <v>0.05</v>
      </c>
      <c r="O190" s="3">
        <f t="shared" si="110"/>
        <v>0.05</v>
      </c>
      <c r="P190" s="3">
        <f t="shared" si="110"/>
        <v>0.05</v>
      </c>
      <c r="Q190" s="3">
        <f t="shared" si="110"/>
        <v>0.05</v>
      </c>
      <c r="R190" s="76"/>
      <c r="S190" s="76"/>
      <c r="T190" s="76"/>
      <c r="U190" s="76"/>
      <c r="V190" s="76"/>
      <c r="W190" s="76"/>
    </row>
    <row r="191" spans="1:23">
      <c r="A191" s="84" t="s">
        <v>455</v>
      </c>
      <c r="B191" s="85" t="s">
        <v>454</v>
      </c>
      <c r="C191" s="85" t="s">
        <v>92</v>
      </c>
      <c r="D191" s="84" t="s">
        <v>87</v>
      </c>
      <c r="E191" s="84">
        <f>VLOOKUP(A191,'2a. SI Pop'!$A$5:$E$198,5,FALSE)</f>
        <v>1</v>
      </c>
      <c r="F191" s="84">
        <v>2036</v>
      </c>
      <c r="G191" s="3">
        <f t="shared" si="110"/>
        <v>0</v>
      </c>
      <c r="H191" s="3">
        <f t="shared" si="110"/>
        <v>0</v>
      </c>
      <c r="I191" s="3">
        <f t="shared" si="110"/>
        <v>0</v>
      </c>
      <c r="J191" s="3">
        <f t="shared" si="110"/>
        <v>0</v>
      </c>
      <c r="K191" s="3">
        <f t="shared" si="110"/>
        <v>0</v>
      </c>
      <c r="L191" s="3">
        <f t="shared" si="110"/>
        <v>0</v>
      </c>
      <c r="M191" s="3">
        <f t="shared" si="110"/>
        <v>0.05</v>
      </c>
      <c r="N191" s="3">
        <f t="shared" si="110"/>
        <v>0.05</v>
      </c>
      <c r="O191" s="3">
        <f t="shared" si="110"/>
        <v>0.05</v>
      </c>
      <c r="P191" s="3">
        <f t="shared" si="110"/>
        <v>0.05</v>
      </c>
      <c r="Q191" s="3">
        <f t="shared" si="110"/>
        <v>0.05</v>
      </c>
      <c r="R191" s="76"/>
      <c r="S191" s="76"/>
      <c r="T191" s="76"/>
      <c r="U191" s="76"/>
      <c r="V191" s="76"/>
      <c r="W191" s="76"/>
    </row>
    <row r="192" spans="1:23">
      <c r="A192" s="84" t="s">
        <v>457</v>
      </c>
      <c r="B192" s="85" t="s">
        <v>456</v>
      </c>
      <c r="C192" s="85" t="s">
        <v>79</v>
      </c>
      <c r="D192" s="84" t="s">
        <v>84</v>
      </c>
      <c r="E192" s="84">
        <f>VLOOKUP(A192,'2a. SI Pop'!$A$5:$E$198,5,FALSE)</f>
        <v>2</v>
      </c>
      <c r="F192" s="84">
        <v>2039</v>
      </c>
      <c r="G192" s="3">
        <f t="shared" ref="G192:Q192" si="111">IF($F192&lt;=G$4,30%,0)</f>
        <v>0</v>
      </c>
      <c r="H192" s="3">
        <f t="shared" si="111"/>
        <v>0</v>
      </c>
      <c r="I192" s="3">
        <f t="shared" si="111"/>
        <v>0</v>
      </c>
      <c r="J192" s="3">
        <f t="shared" si="111"/>
        <v>0</v>
      </c>
      <c r="K192" s="3">
        <f t="shared" si="111"/>
        <v>0</v>
      </c>
      <c r="L192" s="3">
        <f t="shared" si="111"/>
        <v>0</v>
      </c>
      <c r="M192" s="3">
        <f t="shared" si="111"/>
        <v>0</v>
      </c>
      <c r="N192" s="3">
        <f t="shared" si="111"/>
        <v>0</v>
      </c>
      <c r="O192" s="3">
        <f t="shared" si="111"/>
        <v>0</v>
      </c>
      <c r="P192" s="3">
        <f t="shared" si="111"/>
        <v>0.3</v>
      </c>
      <c r="Q192" s="3">
        <f t="shared" si="111"/>
        <v>0.3</v>
      </c>
      <c r="R192" s="76"/>
      <c r="S192" s="76"/>
      <c r="T192" s="76"/>
      <c r="U192" s="76"/>
      <c r="V192" s="76"/>
      <c r="W192" s="76"/>
    </row>
    <row r="193" spans="1:23">
      <c r="A193" s="84" t="s">
        <v>459</v>
      </c>
      <c r="B193" s="85" t="s">
        <v>458</v>
      </c>
      <c r="C193" s="85" t="s">
        <v>99</v>
      </c>
      <c r="D193" s="84" t="s">
        <v>84</v>
      </c>
      <c r="E193" s="84">
        <f>VLOOKUP(A193,'2a. SI Pop'!$A$5:$E$198,5,FALSE)</f>
        <v>4</v>
      </c>
      <c r="F193" s="84">
        <v>2041</v>
      </c>
      <c r="G193" s="3">
        <f t="shared" ref="G193:Q193" si="112">IF($F193&lt;=G$4,80%,0)</f>
        <v>0</v>
      </c>
      <c r="H193" s="3">
        <f t="shared" si="112"/>
        <v>0</v>
      </c>
      <c r="I193" s="3">
        <f t="shared" si="112"/>
        <v>0</v>
      </c>
      <c r="J193" s="3">
        <f t="shared" si="112"/>
        <v>0</v>
      </c>
      <c r="K193" s="3">
        <f t="shared" si="112"/>
        <v>0</v>
      </c>
      <c r="L193" s="3">
        <f t="shared" si="112"/>
        <v>0</v>
      </c>
      <c r="M193" s="3">
        <f t="shared" si="112"/>
        <v>0</v>
      </c>
      <c r="N193" s="3">
        <f t="shared" si="112"/>
        <v>0</v>
      </c>
      <c r="O193" s="3">
        <f t="shared" si="112"/>
        <v>0</v>
      </c>
      <c r="P193" s="3">
        <f t="shared" si="112"/>
        <v>0</v>
      </c>
      <c r="Q193" s="3">
        <f t="shared" si="112"/>
        <v>0</v>
      </c>
      <c r="R193" s="76"/>
      <c r="S193" s="76"/>
      <c r="T193" s="76"/>
      <c r="U193" s="76"/>
      <c r="V193" s="76"/>
      <c r="W193" s="76"/>
    </row>
    <row r="194" spans="1:23">
      <c r="A194" s="84" t="s">
        <v>461</v>
      </c>
      <c r="B194" s="85" t="s">
        <v>460</v>
      </c>
      <c r="C194" s="85" t="s">
        <v>92</v>
      </c>
      <c r="D194" s="84" t="s">
        <v>80</v>
      </c>
      <c r="E194" s="84">
        <f>VLOOKUP(A194,'2a. SI Pop'!$A$5:$E$198,5,FALSE)</f>
        <v>1</v>
      </c>
      <c r="F194" s="84">
        <v>2036</v>
      </c>
      <c r="G194" s="3">
        <f t="shared" ref="G194:Q194" si="113">IF($F194&lt;=G$4,5%,0)</f>
        <v>0</v>
      </c>
      <c r="H194" s="3">
        <f t="shared" si="113"/>
        <v>0</v>
      </c>
      <c r="I194" s="3">
        <f t="shared" si="113"/>
        <v>0</v>
      </c>
      <c r="J194" s="3">
        <f t="shared" si="113"/>
        <v>0</v>
      </c>
      <c r="K194" s="3">
        <f t="shared" si="113"/>
        <v>0</v>
      </c>
      <c r="L194" s="3">
        <f t="shared" si="113"/>
        <v>0</v>
      </c>
      <c r="M194" s="3">
        <f t="shared" si="113"/>
        <v>0.05</v>
      </c>
      <c r="N194" s="3">
        <f t="shared" si="113"/>
        <v>0.05</v>
      </c>
      <c r="O194" s="3">
        <f t="shared" si="113"/>
        <v>0.05</v>
      </c>
      <c r="P194" s="3">
        <f t="shared" si="113"/>
        <v>0.05</v>
      </c>
      <c r="Q194" s="3">
        <f t="shared" si="113"/>
        <v>0.05</v>
      </c>
      <c r="R194" s="76"/>
      <c r="S194" s="76"/>
      <c r="T194" s="76"/>
      <c r="U194" s="76"/>
      <c r="V194" s="76"/>
      <c r="W194" s="76"/>
    </row>
    <row r="195" spans="1:23">
      <c r="A195" s="84" t="s">
        <v>463</v>
      </c>
      <c r="B195" s="85" t="s">
        <v>462</v>
      </c>
      <c r="C195" s="85" t="s">
        <v>99</v>
      </c>
      <c r="D195" s="84" t="s">
        <v>84</v>
      </c>
      <c r="E195" s="84">
        <f>VLOOKUP(A195,'2a. SI Pop'!$A$5:$E$198,5,FALSE)</f>
        <v>4</v>
      </c>
      <c r="F195" s="84">
        <v>2035</v>
      </c>
      <c r="G195" s="3">
        <f t="shared" ref="G195:Q198" si="114">IF($F195&lt;=G$4,80%,0)</f>
        <v>0</v>
      </c>
      <c r="H195" s="3">
        <f t="shared" si="114"/>
        <v>0</v>
      </c>
      <c r="I195" s="3">
        <f t="shared" si="114"/>
        <v>0</v>
      </c>
      <c r="J195" s="3">
        <f t="shared" si="114"/>
        <v>0</v>
      </c>
      <c r="K195" s="3">
        <f t="shared" si="114"/>
        <v>0</v>
      </c>
      <c r="L195" s="3">
        <f t="shared" si="114"/>
        <v>0.8</v>
      </c>
      <c r="M195" s="3">
        <f t="shared" si="114"/>
        <v>0.8</v>
      </c>
      <c r="N195" s="3">
        <f t="shared" si="114"/>
        <v>0.8</v>
      </c>
      <c r="O195" s="3">
        <f t="shared" si="114"/>
        <v>0.8</v>
      </c>
      <c r="P195" s="3">
        <f t="shared" si="114"/>
        <v>0.8</v>
      </c>
      <c r="Q195" s="3">
        <f t="shared" si="114"/>
        <v>0.8</v>
      </c>
      <c r="R195" s="76"/>
      <c r="S195" s="76"/>
      <c r="T195" s="76"/>
      <c r="U195" s="76"/>
      <c r="V195" s="76"/>
      <c r="W195" s="76"/>
    </row>
    <row r="196" spans="1:23">
      <c r="A196" s="84" t="s">
        <v>465</v>
      </c>
      <c r="B196" s="85" t="s">
        <v>464</v>
      </c>
      <c r="C196" s="85" t="s">
        <v>74</v>
      </c>
      <c r="D196" s="84" t="s">
        <v>75</v>
      </c>
      <c r="E196" s="84">
        <f>VLOOKUP(A196,'2a. SI Pop'!$A$5:$E$198,5,FALSE)</f>
        <v>3</v>
      </c>
      <c r="F196" s="84">
        <v>2031</v>
      </c>
      <c r="G196" s="3">
        <f t="shared" si="114"/>
        <v>0</v>
      </c>
      <c r="H196" s="3">
        <f t="shared" si="114"/>
        <v>0.8</v>
      </c>
      <c r="I196" s="3">
        <f t="shared" si="114"/>
        <v>0.8</v>
      </c>
      <c r="J196" s="3">
        <f t="shared" si="114"/>
        <v>0.8</v>
      </c>
      <c r="K196" s="3">
        <f t="shared" si="114"/>
        <v>0.8</v>
      </c>
      <c r="L196" s="3">
        <f t="shared" si="114"/>
        <v>0.8</v>
      </c>
      <c r="M196" s="3">
        <f t="shared" si="114"/>
        <v>0.8</v>
      </c>
      <c r="N196" s="3">
        <f t="shared" si="114"/>
        <v>0.8</v>
      </c>
      <c r="O196" s="3">
        <f t="shared" si="114"/>
        <v>0.8</v>
      </c>
      <c r="P196" s="3">
        <f t="shared" si="114"/>
        <v>0.8</v>
      </c>
      <c r="Q196" s="3">
        <f t="shared" si="114"/>
        <v>0.8</v>
      </c>
      <c r="R196" s="76"/>
      <c r="S196" s="76"/>
      <c r="T196" s="76"/>
      <c r="U196" s="76"/>
      <c r="V196" s="76"/>
      <c r="W196" s="76"/>
    </row>
    <row r="197" spans="1:23">
      <c r="A197" s="84" t="s">
        <v>467</v>
      </c>
      <c r="B197" s="85" t="s">
        <v>466</v>
      </c>
      <c r="C197" s="85" t="s">
        <v>83</v>
      </c>
      <c r="D197" s="84" t="s">
        <v>84</v>
      </c>
      <c r="E197" s="84">
        <f>VLOOKUP(A197,'2a. SI Pop'!$A$5:$E$198,5,FALSE)</f>
        <v>3</v>
      </c>
      <c r="F197" s="84">
        <v>2033</v>
      </c>
      <c r="G197" s="3">
        <f t="shared" si="114"/>
        <v>0</v>
      </c>
      <c r="H197" s="3">
        <f t="shared" si="114"/>
        <v>0</v>
      </c>
      <c r="I197" s="3">
        <f t="shared" si="114"/>
        <v>0</v>
      </c>
      <c r="J197" s="3">
        <f t="shared" si="114"/>
        <v>0.8</v>
      </c>
      <c r="K197" s="3">
        <f t="shared" si="114"/>
        <v>0.8</v>
      </c>
      <c r="L197" s="3">
        <f t="shared" si="114"/>
        <v>0.8</v>
      </c>
      <c r="M197" s="3">
        <f t="shared" si="114"/>
        <v>0.8</v>
      </c>
      <c r="N197" s="3">
        <f t="shared" si="114"/>
        <v>0.8</v>
      </c>
      <c r="O197" s="3">
        <f t="shared" si="114"/>
        <v>0.8</v>
      </c>
      <c r="P197" s="3">
        <f t="shared" si="114"/>
        <v>0.8</v>
      </c>
      <c r="Q197" s="3">
        <f t="shared" si="114"/>
        <v>0.8</v>
      </c>
      <c r="R197" s="76"/>
      <c r="S197" s="76"/>
      <c r="T197" s="76"/>
      <c r="U197" s="76"/>
      <c r="V197" s="76"/>
      <c r="W197" s="76"/>
    </row>
    <row r="198" spans="1:23">
      <c r="A198" s="84" t="s">
        <v>469</v>
      </c>
      <c r="B198" s="85" t="s">
        <v>468</v>
      </c>
      <c r="C198" s="85" t="s">
        <v>83</v>
      </c>
      <c r="D198" s="84" t="s">
        <v>84</v>
      </c>
      <c r="E198" s="84">
        <f>VLOOKUP(A198,'2a. SI Pop'!$A$5:$E$198,5,FALSE)</f>
        <v>3</v>
      </c>
      <c r="F198" s="84">
        <v>2037</v>
      </c>
      <c r="G198" s="3">
        <f t="shared" si="114"/>
        <v>0</v>
      </c>
      <c r="H198" s="3">
        <f t="shared" si="114"/>
        <v>0</v>
      </c>
      <c r="I198" s="3">
        <f t="shared" si="114"/>
        <v>0</v>
      </c>
      <c r="J198" s="3">
        <f t="shared" si="114"/>
        <v>0</v>
      </c>
      <c r="K198" s="3">
        <f t="shared" si="114"/>
        <v>0</v>
      </c>
      <c r="L198" s="3">
        <f t="shared" si="114"/>
        <v>0</v>
      </c>
      <c r="M198" s="3">
        <f t="shared" si="114"/>
        <v>0</v>
      </c>
      <c r="N198" s="3">
        <f t="shared" si="114"/>
        <v>0.8</v>
      </c>
      <c r="O198" s="3">
        <f t="shared" si="114"/>
        <v>0.8</v>
      </c>
      <c r="P198" s="3">
        <f t="shared" si="114"/>
        <v>0.8</v>
      </c>
      <c r="Q198" s="3">
        <f t="shared" si="114"/>
        <v>0.8</v>
      </c>
      <c r="R198" s="76"/>
      <c r="S198" s="76"/>
      <c r="T198" s="76"/>
      <c r="U198" s="76"/>
      <c r="V198" s="76"/>
      <c r="W198" s="76"/>
    </row>
  </sheetData>
  <autoFilter ref="A4:Q198" xr:uid="{1BE26F4C-1587-7C4D-887A-C69327E2A753}"/>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FDC38-442A-774F-A307-060EF60BB412}">
  <sheetPr>
    <tabColor theme="3" tint="0.59999389629810485"/>
  </sheetPr>
  <dimension ref="A1:W198"/>
  <sheetViews>
    <sheetView topLeftCell="A4" zoomScale="85" zoomScaleNormal="85" workbookViewId="0">
      <selection activeCell="F12" sqref="F12"/>
    </sheetView>
  </sheetViews>
  <sheetFormatPr defaultColWidth="10.85546875" defaultRowHeight="15"/>
  <cols>
    <col min="2" max="2" width="11.140625" customWidth="1"/>
    <col min="7" max="17" width="13.7109375" bestFit="1" customWidth="1"/>
  </cols>
  <sheetData>
    <row r="1" spans="1:23">
      <c r="A1" t="s">
        <v>470</v>
      </c>
      <c r="B1" t="s">
        <v>558</v>
      </c>
    </row>
    <row r="2" spans="1:23">
      <c r="A2" t="s">
        <v>471</v>
      </c>
      <c r="B2" t="s">
        <v>494</v>
      </c>
    </row>
    <row r="4" spans="1:23" s="88" customFormat="1">
      <c r="A4" s="86" t="s">
        <v>473</v>
      </c>
      <c r="B4" s="87" t="s">
        <v>64</v>
      </c>
      <c r="C4" s="86" t="s">
        <v>66</v>
      </c>
      <c r="D4" s="86" t="s">
        <v>67</v>
      </c>
      <c r="E4" s="86" t="s">
        <v>68</v>
      </c>
      <c r="F4" s="86" t="s">
        <v>556</v>
      </c>
      <c r="G4" s="88">
        <v>2030</v>
      </c>
      <c r="H4" s="88">
        <f>G4+1</f>
        <v>2031</v>
      </c>
      <c r="I4" s="88">
        <f t="shared" ref="I4:O4" si="0">H4+1</f>
        <v>2032</v>
      </c>
      <c r="J4" s="88">
        <f t="shared" si="0"/>
        <v>2033</v>
      </c>
      <c r="K4" s="88">
        <f t="shared" si="0"/>
        <v>2034</v>
      </c>
      <c r="L4" s="88">
        <f t="shared" si="0"/>
        <v>2035</v>
      </c>
      <c r="M4" s="88">
        <f t="shared" si="0"/>
        <v>2036</v>
      </c>
      <c r="N4" s="88">
        <f t="shared" si="0"/>
        <v>2037</v>
      </c>
      <c r="O4" s="88">
        <f t="shared" si="0"/>
        <v>2038</v>
      </c>
      <c r="P4" s="88">
        <f t="shared" ref="P4:Q4" si="1">O4+1</f>
        <v>2039</v>
      </c>
      <c r="Q4" s="88">
        <f t="shared" si="1"/>
        <v>2040</v>
      </c>
    </row>
    <row r="5" spans="1:23">
      <c r="A5" s="84" t="s">
        <v>73</v>
      </c>
      <c r="B5" s="85" t="s">
        <v>72</v>
      </c>
      <c r="C5" s="85" t="s">
        <v>74</v>
      </c>
      <c r="D5" s="84" t="s">
        <v>75</v>
      </c>
      <c r="E5" s="84" t="str">
        <f>VLOOKUP(A5,'2a. SI Pop'!$A$5:$E$198,5,FALSE)</f>
        <v>Key</v>
      </c>
      <c r="F5" s="84">
        <v>2033</v>
      </c>
      <c r="G5" s="3">
        <f t="shared" ref="G5:Q5" si="2">IF($F5&lt;=G$4,80%,0)</f>
        <v>0</v>
      </c>
      <c r="H5" s="3">
        <f t="shared" si="2"/>
        <v>0</v>
      </c>
      <c r="I5" s="3">
        <f t="shared" si="2"/>
        <v>0</v>
      </c>
      <c r="J5" s="3">
        <f t="shared" si="2"/>
        <v>0.8</v>
      </c>
      <c r="K5" s="3">
        <f t="shared" si="2"/>
        <v>0.8</v>
      </c>
      <c r="L5" s="3">
        <f t="shared" si="2"/>
        <v>0.8</v>
      </c>
      <c r="M5" s="3">
        <f t="shared" si="2"/>
        <v>0.8</v>
      </c>
      <c r="N5" s="3">
        <f t="shared" si="2"/>
        <v>0.8</v>
      </c>
      <c r="O5" s="3">
        <f t="shared" si="2"/>
        <v>0.8</v>
      </c>
      <c r="P5" s="3">
        <f t="shared" si="2"/>
        <v>0.8</v>
      </c>
      <c r="Q5" s="3">
        <f t="shared" si="2"/>
        <v>0.8</v>
      </c>
      <c r="R5" s="76"/>
      <c r="S5" s="76"/>
      <c r="T5" s="76"/>
      <c r="U5" s="76"/>
      <c r="V5" s="76"/>
      <c r="W5" s="76"/>
    </row>
    <row r="6" spans="1:23">
      <c r="A6" s="84" t="s">
        <v>78</v>
      </c>
      <c r="B6" s="85" t="s">
        <v>77</v>
      </c>
      <c r="C6" s="85" t="s">
        <v>79</v>
      </c>
      <c r="D6" s="84" t="s">
        <v>80</v>
      </c>
      <c r="E6" s="84">
        <f>VLOOKUP(A6,'2a. SI Pop'!$A$5:$E$198,5,FALSE)</f>
        <v>1</v>
      </c>
      <c r="F6" s="84">
        <v>2036</v>
      </c>
      <c r="G6" s="3">
        <f t="shared" ref="G6:Q6" si="3">IF($F6&lt;=G$4,5%,0)</f>
        <v>0</v>
      </c>
      <c r="H6" s="3">
        <f t="shared" si="3"/>
        <v>0</v>
      </c>
      <c r="I6" s="3">
        <f t="shared" si="3"/>
        <v>0</v>
      </c>
      <c r="J6" s="3">
        <f t="shared" si="3"/>
        <v>0</v>
      </c>
      <c r="K6" s="3">
        <f t="shared" si="3"/>
        <v>0</v>
      </c>
      <c r="L6" s="3">
        <f t="shared" si="3"/>
        <v>0</v>
      </c>
      <c r="M6" s="3">
        <f t="shared" si="3"/>
        <v>0.05</v>
      </c>
      <c r="N6" s="3">
        <f t="shared" si="3"/>
        <v>0.05</v>
      </c>
      <c r="O6" s="3">
        <f t="shared" si="3"/>
        <v>0.05</v>
      </c>
      <c r="P6" s="3">
        <f t="shared" si="3"/>
        <v>0.05</v>
      </c>
      <c r="Q6" s="3">
        <f t="shared" si="3"/>
        <v>0.05</v>
      </c>
      <c r="R6" s="76"/>
      <c r="S6" s="76"/>
      <c r="T6" s="76"/>
      <c r="U6" s="76"/>
      <c r="V6" s="76"/>
      <c r="W6" s="76"/>
    </row>
    <row r="7" spans="1:23">
      <c r="A7" s="84" t="s">
        <v>82</v>
      </c>
      <c r="B7" s="85" t="s">
        <v>81</v>
      </c>
      <c r="C7" s="85" t="s">
        <v>83</v>
      </c>
      <c r="D7" s="84" t="s">
        <v>84</v>
      </c>
      <c r="E7" s="84">
        <f>VLOOKUP(A7,'2a. SI Pop'!$A$5:$E$198,5,FALSE)</f>
        <v>2</v>
      </c>
      <c r="F7" s="84">
        <v>2032</v>
      </c>
      <c r="G7" s="3">
        <f t="shared" ref="G7:Q7" si="4">IF($F7&lt;=G$4,30%,0)</f>
        <v>0</v>
      </c>
      <c r="H7" s="3">
        <f t="shared" si="4"/>
        <v>0</v>
      </c>
      <c r="I7" s="3">
        <f t="shared" si="4"/>
        <v>0.3</v>
      </c>
      <c r="J7" s="3">
        <f t="shared" si="4"/>
        <v>0.3</v>
      </c>
      <c r="K7" s="3">
        <f t="shared" si="4"/>
        <v>0.3</v>
      </c>
      <c r="L7" s="3">
        <f t="shared" si="4"/>
        <v>0.3</v>
      </c>
      <c r="M7" s="3">
        <f t="shared" si="4"/>
        <v>0.3</v>
      </c>
      <c r="N7" s="3">
        <f t="shared" si="4"/>
        <v>0.3</v>
      </c>
      <c r="O7" s="3">
        <f t="shared" si="4"/>
        <v>0.3</v>
      </c>
      <c r="P7" s="3">
        <f t="shared" si="4"/>
        <v>0.3</v>
      </c>
      <c r="Q7" s="3">
        <f t="shared" si="4"/>
        <v>0.3</v>
      </c>
      <c r="R7" s="76"/>
      <c r="S7" s="76"/>
      <c r="T7" s="76"/>
      <c r="U7" s="76"/>
      <c r="V7" s="76"/>
      <c r="W7" s="76"/>
    </row>
    <row r="8" spans="1:23">
      <c r="A8" s="84" t="s">
        <v>86</v>
      </c>
      <c r="B8" s="85" t="s">
        <v>85</v>
      </c>
      <c r="C8" s="85" t="s">
        <v>79</v>
      </c>
      <c r="D8" s="84" t="s">
        <v>87</v>
      </c>
      <c r="E8" s="84">
        <f>VLOOKUP(A8,'2a. SI Pop'!$A$5:$E$198,5,FALSE)</f>
        <v>1</v>
      </c>
      <c r="F8" s="84">
        <v>2039</v>
      </c>
      <c r="G8" s="3">
        <f t="shared" ref="G8:Q8" si="5">IF($F8&lt;=G$4,5%,0)</f>
        <v>0</v>
      </c>
      <c r="H8" s="3">
        <f t="shared" si="5"/>
        <v>0</v>
      </c>
      <c r="I8" s="3">
        <f t="shared" si="5"/>
        <v>0</v>
      </c>
      <c r="J8" s="3">
        <f t="shared" si="5"/>
        <v>0</v>
      </c>
      <c r="K8" s="3">
        <f t="shared" si="5"/>
        <v>0</v>
      </c>
      <c r="L8" s="3">
        <f t="shared" si="5"/>
        <v>0</v>
      </c>
      <c r="M8" s="3">
        <f t="shared" si="5"/>
        <v>0</v>
      </c>
      <c r="N8" s="3">
        <f t="shared" si="5"/>
        <v>0</v>
      </c>
      <c r="O8" s="3">
        <f t="shared" si="5"/>
        <v>0</v>
      </c>
      <c r="P8" s="3">
        <f t="shared" si="5"/>
        <v>0.05</v>
      </c>
      <c r="Q8" s="3">
        <f t="shared" si="5"/>
        <v>0.05</v>
      </c>
      <c r="R8" s="76"/>
      <c r="S8" s="76"/>
      <c r="T8" s="76"/>
      <c r="U8" s="76"/>
      <c r="V8" s="76"/>
      <c r="W8" s="76"/>
    </row>
    <row r="9" spans="1:23">
      <c r="A9" s="84" t="s">
        <v>89</v>
      </c>
      <c r="B9" s="85" t="s">
        <v>88</v>
      </c>
      <c r="C9" s="85" t="s">
        <v>83</v>
      </c>
      <c r="D9" s="84" t="s">
        <v>84</v>
      </c>
      <c r="E9" s="84">
        <f>VLOOKUP(A9,'2a. SI Pop'!$A$5:$E$198,5,FALSE)</f>
        <v>3</v>
      </c>
      <c r="F9" s="84">
        <v>2033</v>
      </c>
      <c r="G9" s="3">
        <f t="shared" ref="G9:Q9" si="6">IF($F9&lt;=G$4,80%,0)</f>
        <v>0</v>
      </c>
      <c r="H9" s="3">
        <f t="shared" si="6"/>
        <v>0</v>
      </c>
      <c r="I9" s="3">
        <f t="shared" si="6"/>
        <v>0</v>
      </c>
      <c r="J9" s="3">
        <f t="shared" si="6"/>
        <v>0.8</v>
      </c>
      <c r="K9" s="3">
        <f t="shared" si="6"/>
        <v>0.8</v>
      </c>
      <c r="L9" s="3">
        <f t="shared" si="6"/>
        <v>0.8</v>
      </c>
      <c r="M9" s="3">
        <f t="shared" si="6"/>
        <v>0.8</v>
      </c>
      <c r="N9" s="3">
        <f t="shared" si="6"/>
        <v>0.8</v>
      </c>
      <c r="O9" s="3">
        <f t="shared" si="6"/>
        <v>0.8</v>
      </c>
      <c r="P9" s="3">
        <f t="shared" si="6"/>
        <v>0.8</v>
      </c>
      <c r="Q9" s="3">
        <f t="shared" si="6"/>
        <v>0.8</v>
      </c>
      <c r="R9" s="76"/>
      <c r="S9" s="76"/>
      <c r="T9" s="76"/>
      <c r="U9" s="76"/>
      <c r="V9" s="76"/>
      <c r="W9" s="76"/>
    </row>
    <row r="10" spans="1:23">
      <c r="A10" s="84" t="s">
        <v>91</v>
      </c>
      <c r="B10" s="85" t="s">
        <v>90</v>
      </c>
      <c r="C10" s="85" t="s">
        <v>92</v>
      </c>
      <c r="D10" s="84" t="s">
        <v>87</v>
      </c>
      <c r="E10" s="84">
        <f>VLOOKUP(A10,'2a. SI Pop'!$A$5:$E$198,5,FALSE)</f>
        <v>1</v>
      </c>
      <c r="F10" s="84">
        <v>2040</v>
      </c>
      <c r="G10" s="3">
        <f t="shared" ref="G10:Q17" si="7">IF($F10&lt;=G$4,5%,0)</f>
        <v>0</v>
      </c>
      <c r="H10" s="3">
        <f t="shared" si="7"/>
        <v>0</v>
      </c>
      <c r="I10" s="3">
        <f t="shared" si="7"/>
        <v>0</v>
      </c>
      <c r="J10" s="3">
        <f t="shared" si="7"/>
        <v>0</v>
      </c>
      <c r="K10" s="3">
        <f t="shared" si="7"/>
        <v>0</v>
      </c>
      <c r="L10" s="3">
        <f t="shared" si="7"/>
        <v>0</v>
      </c>
      <c r="M10" s="3">
        <f t="shared" si="7"/>
        <v>0</v>
      </c>
      <c r="N10" s="3">
        <f t="shared" si="7"/>
        <v>0</v>
      </c>
      <c r="O10" s="3">
        <f t="shared" si="7"/>
        <v>0</v>
      </c>
      <c r="P10" s="3">
        <f t="shared" si="7"/>
        <v>0</v>
      </c>
      <c r="Q10" s="3">
        <f t="shared" si="7"/>
        <v>0.05</v>
      </c>
      <c r="R10" s="76"/>
      <c r="S10" s="76"/>
      <c r="T10" s="76"/>
      <c r="U10" s="76"/>
      <c r="V10" s="76"/>
      <c r="W10" s="76"/>
    </row>
    <row r="11" spans="1:23">
      <c r="A11" s="84" t="s">
        <v>94</v>
      </c>
      <c r="B11" s="85" t="s">
        <v>93</v>
      </c>
      <c r="C11" s="85" t="s">
        <v>92</v>
      </c>
      <c r="D11" s="84" t="s">
        <v>80</v>
      </c>
      <c r="E11" s="84">
        <f>VLOOKUP(A11,'2a. SI Pop'!$A$5:$E$198,5,FALSE)</f>
        <v>1</v>
      </c>
      <c r="F11" s="84">
        <v>2037</v>
      </c>
      <c r="G11" s="3">
        <f t="shared" si="7"/>
        <v>0</v>
      </c>
      <c r="H11" s="3">
        <f t="shared" si="7"/>
        <v>0</v>
      </c>
      <c r="I11" s="3">
        <f t="shared" si="7"/>
        <v>0</v>
      </c>
      <c r="J11" s="3">
        <f t="shared" si="7"/>
        <v>0</v>
      </c>
      <c r="K11" s="3">
        <f t="shared" si="7"/>
        <v>0</v>
      </c>
      <c r="L11" s="3">
        <f t="shared" si="7"/>
        <v>0</v>
      </c>
      <c r="M11" s="3">
        <f t="shared" si="7"/>
        <v>0</v>
      </c>
      <c r="N11" s="3">
        <f t="shared" si="7"/>
        <v>0.05</v>
      </c>
      <c r="O11" s="3">
        <f t="shared" si="7"/>
        <v>0.05</v>
      </c>
      <c r="P11" s="3">
        <f t="shared" si="7"/>
        <v>0.05</v>
      </c>
      <c r="Q11" s="3">
        <f t="shared" si="7"/>
        <v>0.05</v>
      </c>
      <c r="R11" s="76"/>
      <c r="S11" s="76"/>
      <c r="T11" s="76"/>
      <c r="U11" s="76"/>
      <c r="V11" s="76"/>
      <c r="W11" s="76"/>
    </row>
    <row r="12" spans="1:23">
      <c r="A12" s="84" t="s">
        <v>96</v>
      </c>
      <c r="B12" s="85" t="s">
        <v>95</v>
      </c>
      <c r="C12" s="85" t="s">
        <v>79</v>
      </c>
      <c r="D12" s="84" t="s">
        <v>80</v>
      </c>
      <c r="E12" s="84">
        <f>VLOOKUP(A12,'2a. SI Pop'!$A$5:$E$198,5,FALSE)</f>
        <v>1</v>
      </c>
      <c r="F12" s="84">
        <v>2040</v>
      </c>
      <c r="G12" s="3">
        <f t="shared" si="7"/>
        <v>0</v>
      </c>
      <c r="H12" s="3">
        <f t="shared" si="7"/>
        <v>0</v>
      </c>
      <c r="I12" s="3">
        <f t="shared" si="7"/>
        <v>0</v>
      </c>
      <c r="J12" s="3">
        <f t="shared" si="7"/>
        <v>0</v>
      </c>
      <c r="K12" s="3">
        <f t="shared" si="7"/>
        <v>0</v>
      </c>
      <c r="L12" s="3">
        <f t="shared" si="7"/>
        <v>0</v>
      </c>
      <c r="M12" s="3">
        <f t="shared" si="7"/>
        <v>0</v>
      </c>
      <c r="N12" s="3">
        <f t="shared" si="7"/>
        <v>0</v>
      </c>
      <c r="O12" s="3">
        <f t="shared" si="7"/>
        <v>0</v>
      </c>
      <c r="P12" s="3">
        <f t="shared" si="7"/>
        <v>0</v>
      </c>
      <c r="Q12" s="3">
        <f t="shared" si="7"/>
        <v>0.05</v>
      </c>
      <c r="R12" s="76"/>
      <c r="S12" s="76"/>
      <c r="T12" s="76"/>
      <c r="U12" s="76"/>
      <c r="V12" s="76"/>
      <c r="W12" s="76"/>
    </row>
    <row r="13" spans="1:23">
      <c r="A13" s="84" t="s">
        <v>98</v>
      </c>
      <c r="B13" s="85" t="s">
        <v>97</v>
      </c>
      <c r="C13" s="85" t="s">
        <v>99</v>
      </c>
      <c r="D13" s="84" t="s">
        <v>87</v>
      </c>
      <c r="E13" s="84">
        <f>VLOOKUP(A13,'2a. SI Pop'!$A$5:$E$198,5,FALSE)</f>
        <v>1</v>
      </c>
      <c r="F13" s="84">
        <v>2031</v>
      </c>
      <c r="G13" s="3">
        <f t="shared" si="7"/>
        <v>0</v>
      </c>
      <c r="H13" s="3">
        <f t="shared" si="7"/>
        <v>0.05</v>
      </c>
      <c r="I13" s="3">
        <f t="shared" si="7"/>
        <v>0.05</v>
      </c>
      <c r="J13" s="3">
        <f t="shared" si="7"/>
        <v>0.05</v>
      </c>
      <c r="K13" s="3">
        <f t="shared" si="7"/>
        <v>0.05</v>
      </c>
      <c r="L13" s="3">
        <f t="shared" si="7"/>
        <v>0.05</v>
      </c>
      <c r="M13" s="3">
        <f t="shared" si="7"/>
        <v>0.05</v>
      </c>
      <c r="N13" s="3">
        <f t="shared" si="7"/>
        <v>0.05</v>
      </c>
      <c r="O13" s="3">
        <f t="shared" si="7"/>
        <v>0.05</v>
      </c>
      <c r="P13" s="3">
        <f t="shared" si="7"/>
        <v>0.05</v>
      </c>
      <c r="Q13" s="3">
        <f t="shared" si="7"/>
        <v>0.05</v>
      </c>
      <c r="R13" s="76"/>
      <c r="S13" s="76"/>
      <c r="T13" s="76"/>
      <c r="U13" s="76"/>
      <c r="V13" s="76"/>
      <c r="W13" s="76"/>
    </row>
    <row r="14" spans="1:23">
      <c r="A14" s="84" t="s">
        <v>101</v>
      </c>
      <c r="B14" s="85" t="s">
        <v>100</v>
      </c>
      <c r="C14" s="85" t="s">
        <v>79</v>
      </c>
      <c r="D14" s="84" t="s">
        <v>87</v>
      </c>
      <c r="E14" s="84">
        <f>VLOOKUP(A14,'2a. SI Pop'!$A$5:$E$198,5,FALSE)</f>
        <v>1</v>
      </c>
      <c r="F14" s="84">
        <v>2030</v>
      </c>
      <c r="G14" s="3">
        <f t="shared" si="7"/>
        <v>0.05</v>
      </c>
      <c r="H14" s="3">
        <f t="shared" si="7"/>
        <v>0.05</v>
      </c>
      <c r="I14" s="3">
        <f t="shared" si="7"/>
        <v>0.05</v>
      </c>
      <c r="J14" s="3">
        <f t="shared" si="7"/>
        <v>0.05</v>
      </c>
      <c r="K14" s="3">
        <f t="shared" si="7"/>
        <v>0.05</v>
      </c>
      <c r="L14" s="3">
        <f t="shared" si="7"/>
        <v>0.05</v>
      </c>
      <c r="M14" s="3">
        <f t="shared" si="7"/>
        <v>0.05</v>
      </c>
      <c r="N14" s="3">
        <f t="shared" si="7"/>
        <v>0.05</v>
      </c>
      <c r="O14" s="3">
        <f t="shared" si="7"/>
        <v>0.05</v>
      </c>
      <c r="P14" s="3">
        <f t="shared" si="7"/>
        <v>0.05</v>
      </c>
      <c r="Q14" s="3">
        <f t="shared" si="7"/>
        <v>0.05</v>
      </c>
      <c r="R14" s="76"/>
      <c r="S14" s="76"/>
      <c r="T14" s="76"/>
      <c r="U14" s="76"/>
      <c r="V14" s="76"/>
      <c r="W14" s="76"/>
    </row>
    <row r="15" spans="1:23">
      <c r="A15" s="84" t="s">
        <v>103</v>
      </c>
      <c r="B15" s="85" t="s">
        <v>102</v>
      </c>
      <c r="C15" s="85" t="s">
        <v>79</v>
      </c>
      <c r="D15" s="84" t="s">
        <v>80</v>
      </c>
      <c r="E15" s="84">
        <f>VLOOKUP(A15,'2a. SI Pop'!$A$5:$E$198,5,FALSE)</f>
        <v>1</v>
      </c>
      <c r="F15" s="84">
        <v>2038</v>
      </c>
      <c r="G15" s="3">
        <f t="shared" si="7"/>
        <v>0</v>
      </c>
      <c r="H15" s="3">
        <f t="shared" si="7"/>
        <v>0</v>
      </c>
      <c r="I15" s="3">
        <f t="shared" si="7"/>
        <v>0</v>
      </c>
      <c r="J15" s="3">
        <f t="shared" si="7"/>
        <v>0</v>
      </c>
      <c r="K15" s="3">
        <f t="shared" si="7"/>
        <v>0</v>
      </c>
      <c r="L15" s="3">
        <f t="shared" si="7"/>
        <v>0</v>
      </c>
      <c r="M15" s="3">
        <f t="shared" si="7"/>
        <v>0</v>
      </c>
      <c r="N15" s="3">
        <f t="shared" si="7"/>
        <v>0</v>
      </c>
      <c r="O15" s="3">
        <f t="shared" si="7"/>
        <v>0.05</v>
      </c>
      <c r="P15" s="3">
        <f t="shared" si="7"/>
        <v>0.05</v>
      </c>
      <c r="Q15" s="3">
        <f t="shared" si="7"/>
        <v>0.05</v>
      </c>
      <c r="R15" s="76"/>
      <c r="S15" s="76"/>
      <c r="T15" s="76"/>
      <c r="U15" s="76"/>
      <c r="V15" s="76"/>
      <c r="W15" s="76"/>
    </row>
    <row r="16" spans="1:23">
      <c r="A16" s="84" t="s">
        <v>105</v>
      </c>
      <c r="B16" s="85" t="s">
        <v>104</v>
      </c>
      <c r="C16" s="85" t="s">
        <v>92</v>
      </c>
      <c r="D16" s="84" t="s">
        <v>87</v>
      </c>
      <c r="E16" s="84">
        <f>VLOOKUP(A16,'2a. SI Pop'!$A$5:$E$198,5,FALSE)</f>
        <v>1</v>
      </c>
      <c r="F16" s="84">
        <v>2037</v>
      </c>
      <c r="G16" s="3">
        <f t="shared" si="7"/>
        <v>0</v>
      </c>
      <c r="H16" s="3">
        <f t="shared" si="7"/>
        <v>0</v>
      </c>
      <c r="I16" s="3">
        <f t="shared" si="7"/>
        <v>0</v>
      </c>
      <c r="J16" s="3">
        <f t="shared" si="7"/>
        <v>0</v>
      </c>
      <c r="K16" s="3">
        <f t="shared" si="7"/>
        <v>0</v>
      </c>
      <c r="L16" s="3">
        <f t="shared" si="7"/>
        <v>0</v>
      </c>
      <c r="M16" s="3">
        <f t="shared" si="7"/>
        <v>0</v>
      </c>
      <c r="N16" s="3">
        <f t="shared" si="7"/>
        <v>0.05</v>
      </c>
      <c r="O16" s="3">
        <f t="shared" si="7"/>
        <v>0.05</v>
      </c>
      <c r="P16" s="3">
        <f t="shared" si="7"/>
        <v>0.05</v>
      </c>
      <c r="Q16" s="3">
        <f t="shared" si="7"/>
        <v>0.05</v>
      </c>
      <c r="R16" s="76"/>
      <c r="S16" s="76"/>
      <c r="T16" s="76"/>
      <c r="U16" s="76"/>
      <c r="V16" s="76"/>
      <c r="W16" s="76"/>
    </row>
    <row r="17" spans="1:23">
      <c r="A17" s="84" t="s">
        <v>107</v>
      </c>
      <c r="B17" s="85" t="s">
        <v>106</v>
      </c>
      <c r="C17" s="85" t="s">
        <v>74</v>
      </c>
      <c r="D17" s="84" t="s">
        <v>87</v>
      </c>
      <c r="E17" s="84">
        <f>VLOOKUP(A17,'2a. SI Pop'!$A$5:$E$198,5,FALSE)</f>
        <v>1</v>
      </c>
      <c r="F17" s="84">
        <v>2034</v>
      </c>
      <c r="G17" s="3">
        <f t="shared" si="7"/>
        <v>0</v>
      </c>
      <c r="H17" s="3">
        <f t="shared" si="7"/>
        <v>0</v>
      </c>
      <c r="I17" s="3">
        <f t="shared" si="7"/>
        <v>0</v>
      </c>
      <c r="J17" s="3">
        <f t="shared" si="7"/>
        <v>0</v>
      </c>
      <c r="K17" s="3">
        <f t="shared" si="7"/>
        <v>0.05</v>
      </c>
      <c r="L17" s="3">
        <f t="shared" si="7"/>
        <v>0.05</v>
      </c>
      <c r="M17" s="3">
        <f t="shared" si="7"/>
        <v>0.05</v>
      </c>
      <c r="N17" s="3">
        <f t="shared" si="7"/>
        <v>0.05</v>
      </c>
      <c r="O17" s="3">
        <f t="shared" si="7"/>
        <v>0.05</v>
      </c>
      <c r="P17" s="3">
        <f t="shared" si="7"/>
        <v>0.05</v>
      </c>
      <c r="Q17" s="3">
        <f t="shared" si="7"/>
        <v>0.05</v>
      </c>
      <c r="R17" s="76"/>
      <c r="S17" s="76"/>
      <c r="T17" s="76"/>
      <c r="U17" s="76"/>
      <c r="V17" s="76"/>
      <c r="W17" s="76"/>
    </row>
    <row r="18" spans="1:23">
      <c r="A18" s="84" t="s">
        <v>109</v>
      </c>
      <c r="B18" s="85" t="s">
        <v>108</v>
      </c>
      <c r="C18" s="85" t="s">
        <v>110</v>
      </c>
      <c r="D18" s="84" t="s">
        <v>84</v>
      </c>
      <c r="E18" s="84" t="str">
        <f>VLOOKUP(A18,'2a. SI Pop'!$A$5:$E$198,5,FALSE)</f>
        <v>Key</v>
      </c>
      <c r="F18" s="84">
        <v>2034</v>
      </c>
      <c r="G18" s="3">
        <f t="shared" ref="G18:Q18" si="8">IF($F18&lt;=G$4,80%,0)</f>
        <v>0</v>
      </c>
      <c r="H18" s="3">
        <f t="shared" si="8"/>
        <v>0</v>
      </c>
      <c r="I18" s="3">
        <f t="shared" si="8"/>
        <v>0</v>
      </c>
      <c r="J18" s="3">
        <f t="shared" si="8"/>
        <v>0</v>
      </c>
      <c r="K18" s="3">
        <f t="shared" si="8"/>
        <v>0.8</v>
      </c>
      <c r="L18" s="3">
        <f t="shared" si="8"/>
        <v>0.8</v>
      </c>
      <c r="M18" s="3">
        <f t="shared" si="8"/>
        <v>0.8</v>
      </c>
      <c r="N18" s="3">
        <f t="shared" si="8"/>
        <v>0.8</v>
      </c>
      <c r="O18" s="3">
        <f t="shared" si="8"/>
        <v>0.8</v>
      </c>
      <c r="P18" s="3">
        <f t="shared" si="8"/>
        <v>0.8</v>
      </c>
      <c r="Q18" s="3">
        <f t="shared" si="8"/>
        <v>0.8</v>
      </c>
      <c r="R18" s="76"/>
      <c r="S18" s="76"/>
      <c r="T18" s="76"/>
      <c r="U18" s="76"/>
      <c r="V18" s="76"/>
      <c r="W18" s="76"/>
    </row>
    <row r="19" spans="1:23">
      <c r="A19" s="84" t="s">
        <v>112</v>
      </c>
      <c r="B19" s="85" t="s">
        <v>111</v>
      </c>
      <c r="C19" s="85" t="s">
        <v>92</v>
      </c>
      <c r="D19" s="84" t="s">
        <v>87</v>
      </c>
      <c r="E19" s="84">
        <f>VLOOKUP(A19,'2a. SI Pop'!$A$5:$E$198,5,FALSE)</f>
        <v>1</v>
      </c>
      <c r="F19" s="84">
        <v>2039</v>
      </c>
      <c r="G19" s="3">
        <f t="shared" ref="G19:Q19" si="9">IF($F19&lt;=G$4,5%,0)</f>
        <v>0</v>
      </c>
      <c r="H19" s="3">
        <f t="shared" si="9"/>
        <v>0</v>
      </c>
      <c r="I19" s="3">
        <f t="shared" si="9"/>
        <v>0</v>
      </c>
      <c r="J19" s="3">
        <f t="shared" si="9"/>
        <v>0</v>
      </c>
      <c r="K19" s="3">
        <f t="shared" si="9"/>
        <v>0</v>
      </c>
      <c r="L19" s="3">
        <f t="shared" si="9"/>
        <v>0</v>
      </c>
      <c r="M19" s="3">
        <f t="shared" si="9"/>
        <v>0</v>
      </c>
      <c r="N19" s="3">
        <f t="shared" si="9"/>
        <v>0</v>
      </c>
      <c r="O19" s="3">
        <f t="shared" si="9"/>
        <v>0</v>
      </c>
      <c r="P19" s="3">
        <f t="shared" si="9"/>
        <v>0.05</v>
      </c>
      <c r="Q19" s="3">
        <f t="shared" si="9"/>
        <v>0.05</v>
      </c>
      <c r="R19" s="76"/>
      <c r="S19" s="76"/>
      <c r="T19" s="76"/>
      <c r="U19" s="76"/>
      <c r="V19" s="76"/>
      <c r="W19" s="76"/>
    </row>
    <row r="20" spans="1:23">
      <c r="A20" s="84" t="s">
        <v>114</v>
      </c>
      <c r="B20" s="85" t="s">
        <v>113</v>
      </c>
      <c r="C20" s="85" t="s">
        <v>79</v>
      </c>
      <c r="D20" s="84" t="s">
        <v>80</v>
      </c>
      <c r="E20" s="84">
        <f>VLOOKUP(A20,'2a. SI Pop'!$A$5:$E$198,5,FALSE)</f>
        <v>2</v>
      </c>
      <c r="F20" s="84">
        <v>2039</v>
      </c>
      <c r="G20" s="3">
        <f t="shared" ref="G20:Q20" si="10">IF($F20&lt;=G$4,30%,0)</f>
        <v>0</v>
      </c>
      <c r="H20" s="3">
        <f t="shared" si="10"/>
        <v>0</v>
      </c>
      <c r="I20" s="3">
        <f t="shared" si="10"/>
        <v>0</v>
      </c>
      <c r="J20" s="3">
        <f t="shared" si="10"/>
        <v>0</v>
      </c>
      <c r="K20" s="3">
        <f t="shared" si="10"/>
        <v>0</v>
      </c>
      <c r="L20" s="3">
        <f t="shared" si="10"/>
        <v>0</v>
      </c>
      <c r="M20" s="3">
        <f t="shared" si="10"/>
        <v>0</v>
      </c>
      <c r="N20" s="3">
        <f t="shared" si="10"/>
        <v>0</v>
      </c>
      <c r="O20" s="3">
        <f t="shared" si="10"/>
        <v>0</v>
      </c>
      <c r="P20" s="3">
        <f t="shared" si="10"/>
        <v>0.3</v>
      </c>
      <c r="Q20" s="3">
        <f t="shared" si="10"/>
        <v>0.3</v>
      </c>
      <c r="R20" s="76"/>
      <c r="S20" s="76"/>
      <c r="T20" s="76"/>
      <c r="U20" s="76"/>
      <c r="V20" s="76"/>
      <c r="W20" s="76"/>
    </row>
    <row r="21" spans="1:23">
      <c r="A21" s="84" t="s">
        <v>116</v>
      </c>
      <c r="B21" s="85" t="s">
        <v>115</v>
      </c>
      <c r="C21" s="85" t="s">
        <v>79</v>
      </c>
      <c r="D21" s="84" t="s">
        <v>87</v>
      </c>
      <c r="E21" s="84">
        <f>VLOOKUP(A21,'2a. SI Pop'!$A$5:$E$198,5,FALSE)</f>
        <v>1</v>
      </c>
      <c r="F21" s="84">
        <v>2030</v>
      </c>
      <c r="G21" s="3">
        <f t="shared" ref="G21:Q22" si="11">IF($F21&lt;=G$4,5%,0)</f>
        <v>0.05</v>
      </c>
      <c r="H21" s="3">
        <f t="shared" si="11"/>
        <v>0.05</v>
      </c>
      <c r="I21" s="3">
        <f t="shared" si="11"/>
        <v>0.05</v>
      </c>
      <c r="J21" s="3">
        <f t="shared" si="11"/>
        <v>0.05</v>
      </c>
      <c r="K21" s="3">
        <f t="shared" si="11"/>
        <v>0.05</v>
      </c>
      <c r="L21" s="3">
        <f t="shared" si="11"/>
        <v>0.05</v>
      </c>
      <c r="M21" s="3">
        <f t="shared" si="11"/>
        <v>0.05</v>
      </c>
      <c r="N21" s="3">
        <f t="shared" si="11"/>
        <v>0.05</v>
      </c>
      <c r="O21" s="3">
        <f t="shared" si="11"/>
        <v>0.05</v>
      </c>
      <c r="P21" s="3">
        <f t="shared" si="11"/>
        <v>0.05</v>
      </c>
      <c r="Q21" s="3">
        <f t="shared" si="11"/>
        <v>0.05</v>
      </c>
      <c r="R21" s="76"/>
      <c r="S21" s="76"/>
      <c r="T21" s="76"/>
      <c r="U21" s="76"/>
      <c r="V21" s="76"/>
      <c r="W21" s="76"/>
    </row>
    <row r="22" spans="1:23">
      <c r="A22" s="84" t="s">
        <v>118</v>
      </c>
      <c r="B22" s="85" t="s">
        <v>117</v>
      </c>
      <c r="C22" s="85" t="s">
        <v>92</v>
      </c>
      <c r="D22" s="84" t="s">
        <v>80</v>
      </c>
      <c r="E22" s="84">
        <f>VLOOKUP(A22,'2a. SI Pop'!$A$5:$E$198,5,FALSE)</f>
        <v>1</v>
      </c>
      <c r="F22" s="84">
        <v>2040</v>
      </c>
      <c r="G22" s="3">
        <f t="shared" si="11"/>
        <v>0</v>
      </c>
      <c r="H22" s="3">
        <f t="shared" si="11"/>
        <v>0</v>
      </c>
      <c r="I22" s="3">
        <f t="shared" si="11"/>
        <v>0</v>
      </c>
      <c r="J22" s="3">
        <f t="shared" si="11"/>
        <v>0</v>
      </c>
      <c r="K22" s="3">
        <f t="shared" si="11"/>
        <v>0</v>
      </c>
      <c r="L22" s="3">
        <f t="shared" si="11"/>
        <v>0</v>
      </c>
      <c r="M22" s="3">
        <f t="shared" si="11"/>
        <v>0</v>
      </c>
      <c r="N22" s="3">
        <f t="shared" si="11"/>
        <v>0</v>
      </c>
      <c r="O22" s="3">
        <f t="shared" si="11"/>
        <v>0</v>
      </c>
      <c r="P22" s="3">
        <f t="shared" si="11"/>
        <v>0</v>
      </c>
      <c r="Q22" s="3">
        <f t="shared" si="11"/>
        <v>0.05</v>
      </c>
      <c r="R22" s="76"/>
      <c r="S22" s="76"/>
      <c r="T22" s="76"/>
      <c r="U22" s="76"/>
      <c r="V22" s="76"/>
      <c r="W22" s="76"/>
    </row>
    <row r="23" spans="1:23">
      <c r="A23" s="84" t="s">
        <v>120</v>
      </c>
      <c r="B23" s="85" t="s">
        <v>119</v>
      </c>
      <c r="C23" s="85" t="s">
        <v>83</v>
      </c>
      <c r="D23" s="84" t="s">
        <v>84</v>
      </c>
      <c r="E23" s="84">
        <f>VLOOKUP(A23,'2a. SI Pop'!$A$5:$E$198,5,FALSE)</f>
        <v>3</v>
      </c>
      <c r="F23" s="84">
        <v>2031</v>
      </c>
      <c r="G23" s="3">
        <f t="shared" ref="G23:Q23" si="12">IF($F23&lt;=G$4,80%,0)</f>
        <v>0</v>
      </c>
      <c r="H23" s="3">
        <f t="shared" si="12"/>
        <v>0.8</v>
      </c>
      <c r="I23" s="3">
        <f t="shared" si="12"/>
        <v>0.8</v>
      </c>
      <c r="J23" s="3">
        <f t="shared" si="12"/>
        <v>0.8</v>
      </c>
      <c r="K23" s="3">
        <f t="shared" si="12"/>
        <v>0.8</v>
      </c>
      <c r="L23" s="3">
        <f t="shared" si="12"/>
        <v>0.8</v>
      </c>
      <c r="M23" s="3">
        <f t="shared" si="12"/>
        <v>0.8</v>
      </c>
      <c r="N23" s="3">
        <f t="shared" si="12"/>
        <v>0.8</v>
      </c>
      <c r="O23" s="3">
        <f t="shared" si="12"/>
        <v>0.8</v>
      </c>
      <c r="P23" s="3">
        <f t="shared" si="12"/>
        <v>0.8</v>
      </c>
      <c r="Q23" s="3">
        <f t="shared" si="12"/>
        <v>0.8</v>
      </c>
      <c r="R23" s="76"/>
      <c r="S23" s="76"/>
      <c r="T23" s="76"/>
      <c r="U23" s="76"/>
      <c r="V23" s="76"/>
      <c r="W23" s="76"/>
    </row>
    <row r="24" spans="1:23">
      <c r="A24" s="84" t="s">
        <v>122</v>
      </c>
      <c r="B24" s="85" t="s">
        <v>121</v>
      </c>
      <c r="C24" s="85" t="s">
        <v>110</v>
      </c>
      <c r="D24" s="84" t="s">
        <v>84</v>
      </c>
      <c r="E24" s="84">
        <f>VLOOKUP(A24,'2a. SI Pop'!$A$5:$E$198,5,FALSE)</f>
        <v>2</v>
      </c>
      <c r="F24" s="84">
        <v>2041</v>
      </c>
      <c r="G24" s="3">
        <f t="shared" ref="G24:Q25" si="13">IF($F24&lt;=G$4,30%,0)</f>
        <v>0</v>
      </c>
      <c r="H24" s="3">
        <f t="shared" si="13"/>
        <v>0</v>
      </c>
      <c r="I24" s="3">
        <f t="shared" si="13"/>
        <v>0</v>
      </c>
      <c r="J24" s="3">
        <f t="shared" si="13"/>
        <v>0</v>
      </c>
      <c r="K24" s="3">
        <f t="shared" si="13"/>
        <v>0</v>
      </c>
      <c r="L24" s="3">
        <f t="shared" si="13"/>
        <v>0</v>
      </c>
      <c r="M24" s="3">
        <f t="shared" si="13"/>
        <v>0</v>
      </c>
      <c r="N24" s="3">
        <f t="shared" si="13"/>
        <v>0</v>
      </c>
      <c r="O24" s="3">
        <f t="shared" si="13"/>
        <v>0</v>
      </c>
      <c r="P24" s="3">
        <f t="shared" si="13"/>
        <v>0</v>
      </c>
      <c r="Q24" s="3">
        <f t="shared" si="13"/>
        <v>0</v>
      </c>
      <c r="R24" s="76"/>
      <c r="S24" s="76"/>
      <c r="T24" s="76"/>
      <c r="U24" s="76"/>
      <c r="V24" s="76"/>
      <c r="W24" s="76"/>
    </row>
    <row r="25" spans="1:23">
      <c r="A25" s="84" t="s">
        <v>124</v>
      </c>
      <c r="B25" s="85" t="s">
        <v>123</v>
      </c>
      <c r="C25" s="85" t="s">
        <v>92</v>
      </c>
      <c r="D25" s="84" t="s">
        <v>84</v>
      </c>
      <c r="E25" s="84">
        <f>VLOOKUP(A25,'2a. SI Pop'!$A$5:$E$198,5,FALSE)</f>
        <v>2</v>
      </c>
      <c r="F25" s="84">
        <v>2042</v>
      </c>
      <c r="G25" s="3">
        <f t="shared" si="13"/>
        <v>0</v>
      </c>
      <c r="H25" s="3">
        <f t="shared" si="13"/>
        <v>0</v>
      </c>
      <c r="I25" s="3">
        <f t="shared" si="13"/>
        <v>0</v>
      </c>
      <c r="J25" s="3">
        <f t="shared" si="13"/>
        <v>0</v>
      </c>
      <c r="K25" s="3">
        <f t="shared" si="13"/>
        <v>0</v>
      </c>
      <c r="L25" s="3">
        <f t="shared" si="13"/>
        <v>0</v>
      </c>
      <c r="M25" s="3">
        <f t="shared" si="13"/>
        <v>0</v>
      </c>
      <c r="N25" s="3">
        <f t="shared" si="13"/>
        <v>0</v>
      </c>
      <c r="O25" s="3">
        <f t="shared" si="13"/>
        <v>0</v>
      </c>
      <c r="P25" s="3">
        <f t="shared" si="13"/>
        <v>0</v>
      </c>
      <c r="Q25" s="3">
        <f t="shared" si="13"/>
        <v>0</v>
      </c>
      <c r="R25" s="76"/>
      <c r="S25" s="76"/>
      <c r="T25" s="76"/>
      <c r="U25" s="76"/>
      <c r="V25" s="76"/>
      <c r="W25" s="76"/>
    </row>
    <row r="26" spans="1:23">
      <c r="A26" s="84" t="s">
        <v>126</v>
      </c>
      <c r="B26" s="85" t="s">
        <v>125</v>
      </c>
      <c r="C26" s="85" t="s">
        <v>79</v>
      </c>
      <c r="D26" s="84" t="s">
        <v>80</v>
      </c>
      <c r="E26" s="84">
        <f>VLOOKUP(A26,'2a. SI Pop'!$A$5:$E$198,5,FALSE)</f>
        <v>1</v>
      </c>
      <c r="F26" s="84">
        <v>2032</v>
      </c>
      <c r="G26" s="3">
        <f t="shared" ref="G26:Q26" si="14">IF($F26&lt;=G$4,5%,0)</f>
        <v>0</v>
      </c>
      <c r="H26" s="3">
        <f t="shared" si="14"/>
        <v>0</v>
      </c>
      <c r="I26" s="3">
        <f t="shared" si="14"/>
        <v>0.05</v>
      </c>
      <c r="J26" s="3">
        <f t="shared" si="14"/>
        <v>0.05</v>
      </c>
      <c r="K26" s="3">
        <f t="shared" si="14"/>
        <v>0.05</v>
      </c>
      <c r="L26" s="3">
        <f t="shared" si="14"/>
        <v>0.05</v>
      </c>
      <c r="M26" s="3">
        <f t="shared" si="14"/>
        <v>0.05</v>
      </c>
      <c r="N26" s="3">
        <f t="shared" si="14"/>
        <v>0.05</v>
      </c>
      <c r="O26" s="3">
        <f t="shared" si="14"/>
        <v>0.05</v>
      </c>
      <c r="P26" s="3">
        <f t="shared" si="14"/>
        <v>0.05</v>
      </c>
      <c r="Q26" s="3">
        <f t="shared" si="14"/>
        <v>0.05</v>
      </c>
      <c r="R26" s="76"/>
      <c r="S26" s="76"/>
      <c r="T26" s="76"/>
      <c r="U26" s="76"/>
      <c r="V26" s="76"/>
      <c r="W26" s="76"/>
    </row>
    <row r="27" spans="1:23">
      <c r="A27" s="84" t="s">
        <v>128</v>
      </c>
      <c r="B27" s="85" t="s">
        <v>127</v>
      </c>
      <c r="C27" s="85" t="s">
        <v>83</v>
      </c>
      <c r="D27" s="84" t="s">
        <v>80</v>
      </c>
      <c r="E27" s="84">
        <f>VLOOKUP(A27,'2a. SI Pop'!$A$5:$E$198,5,FALSE)</f>
        <v>2</v>
      </c>
      <c r="F27" s="84">
        <v>2035</v>
      </c>
      <c r="G27" s="3">
        <f t="shared" ref="G27:Q28" si="15">IF($F27&lt;=G$4,30%,0)</f>
        <v>0</v>
      </c>
      <c r="H27" s="3">
        <f t="shared" si="15"/>
        <v>0</v>
      </c>
      <c r="I27" s="3">
        <f t="shared" si="15"/>
        <v>0</v>
      </c>
      <c r="J27" s="3">
        <f t="shared" si="15"/>
        <v>0</v>
      </c>
      <c r="K27" s="3">
        <f t="shared" si="15"/>
        <v>0</v>
      </c>
      <c r="L27" s="3">
        <f t="shared" si="15"/>
        <v>0.3</v>
      </c>
      <c r="M27" s="3">
        <f t="shared" si="15"/>
        <v>0.3</v>
      </c>
      <c r="N27" s="3">
        <f t="shared" si="15"/>
        <v>0.3</v>
      </c>
      <c r="O27" s="3">
        <f t="shared" si="15"/>
        <v>0.3</v>
      </c>
      <c r="P27" s="3">
        <f t="shared" si="15"/>
        <v>0.3</v>
      </c>
      <c r="Q27" s="3">
        <f t="shared" si="15"/>
        <v>0.3</v>
      </c>
      <c r="R27" s="76"/>
      <c r="S27" s="76"/>
      <c r="T27" s="76"/>
      <c r="U27" s="76"/>
      <c r="V27" s="76"/>
      <c r="W27" s="76"/>
    </row>
    <row r="28" spans="1:23">
      <c r="A28" s="84" t="s">
        <v>130</v>
      </c>
      <c r="B28" s="85" t="s">
        <v>129</v>
      </c>
      <c r="C28" s="85" t="s">
        <v>92</v>
      </c>
      <c r="D28" s="84" t="s">
        <v>80</v>
      </c>
      <c r="E28" s="84" t="str">
        <f>VLOOKUP(A28,'2a. SI Pop'!$A$5:$E$198,5,FALSE)</f>
        <v>Key</v>
      </c>
      <c r="F28" s="84">
        <v>2036</v>
      </c>
      <c r="G28" s="3">
        <f t="shared" si="15"/>
        <v>0</v>
      </c>
      <c r="H28" s="3">
        <f t="shared" si="15"/>
        <v>0</v>
      </c>
      <c r="I28" s="3">
        <f t="shared" si="15"/>
        <v>0</v>
      </c>
      <c r="J28" s="3">
        <f t="shared" si="15"/>
        <v>0</v>
      </c>
      <c r="K28" s="3">
        <f t="shared" si="15"/>
        <v>0</v>
      </c>
      <c r="L28" s="3">
        <f t="shared" si="15"/>
        <v>0</v>
      </c>
      <c r="M28" s="3">
        <f t="shared" si="15"/>
        <v>0.3</v>
      </c>
      <c r="N28" s="3">
        <f t="shared" si="15"/>
        <v>0.3</v>
      </c>
      <c r="O28" s="3">
        <f t="shared" si="15"/>
        <v>0.3</v>
      </c>
      <c r="P28" s="3">
        <f t="shared" si="15"/>
        <v>0.3</v>
      </c>
      <c r="Q28" s="3">
        <f t="shared" si="15"/>
        <v>0.3</v>
      </c>
      <c r="R28" s="76"/>
      <c r="S28" s="76"/>
      <c r="T28" s="76"/>
      <c r="U28" s="76"/>
      <c r="V28" s="76"/>
      <c r="W28" s="76"/>
    </row>
    <row r="29" spans="1:23">
      <c r="A29" s="84" t="s">
        <v>132</v>
      </c>
      <c r="B29" s="85" t="s">
        <v>131</v>
      </c>
      <c r="C29" s="85" t="s">
        <v>99</v>
      </c>
      <c r="D29" s="84" t="s">
        <v>87</v>
      </c>
      <c r="E29" s="84">
        <f>VLOOKUP(A29,'2a. SI Pop'!$A$5:$E$198,5,FALSE)</f>
        <v>1</v>
      </c>
      <c r="F29" s="84">
        <v>2038</v>
      </c>
      <c r="G29" s="3">
        <f t="shared" ref="G29:Q30" si="16">IF($F29&lt;=G$4,5%,0)</f>
        <v>0</v>
      </c>
      <c r="H29" s="3">
        <f t="shared" si="16"/>
        <v>0</v>
      </c>
      <c r="I29" s="3">
        <f t="shared" si="16"/>
        <v>0</v>
      </c>
      <c r="J29" s="3">
        <f t="shared" si="16"/>
        <v>0</v>
      </c>
      <c r="K29" s="3">
        <f t="shared" si="16"/>
        <v>0</v>
      </c>
      <c r="L29" s="3">
        <f t="shared" si="16"/>
        <v>0</v>
      </c>
      <c r="M29" s="3">
        <f t="shared" si="16"/>
        <v>0</v>
      </c>
      <c r="N29" s="3">
        <f t="shared" si="16"/>
        <v>0</v>
      </c>
      <c r="O29" s="3">
        <f t="shared" si="16"/>
        <v>0.05</v>
      </c>
      <c r="P29" s="3">
        <f t="shared" si="16"/>
        <v>0.05</v>
      </c>
      <c r="Q29" s="3">
        <f t="shared" si="16"/>
        <v>0.05</v>
      </c>
      <c r="R29" s="76"/>
      <c r="S29" s="76"/>
      <c r="T29" s="76"/>
      <c r="U29" s="76"/>
      <c r="V29" s="76"/>
      <c r="W29" s="76"/>
    </row>
    <row r="30" spans="1:23">
      <c r="A30" s="84" t="s">
        <v>134</v>
      </c>
      <c r="B30" s="85" t="s">
        <v>133</v>
      </c>
      <c r="C30" s="85" t="s">
        <v>79</v>
      </c>
      <c r="D30" s="84" t="s">
        <v>80</v>
      </c>
      <c r="E30" s="84">
        <f>VLOOKUP(A30,'2a. SI Pop'!$A$5:$E$198,5,FALSE)</f>
        <v>1</v>
      </c>
      <c r="F30" s="84">
        <v>2034</v>
      </c>
      <c r="G30" s="3">
        <f t="shared" si="16"/>
        <v>0</v>
      </c>
      <c r="H30" s="3">
        <f t="shared" si="16"/>
        <v>0</v>
      </c>
      <c r="I30" s="3">
        <f t="shared" si="16"/>
        <v>0</v>
      </c>
      <c r="J30" s="3">
        <f t="shared" si="16"/>
        <v>0</v>
      </c>
      <c r="K30" s="3">
        <f t="shared" si="16"/>
        <v>0.05</v>
      </c>
      <c r="L30" s="3">
        <f t="shared" si="16"/>
        <v>0.05</v>
      </c>
      <c r="M30" s="3">
        <f t="shared" si="16"/>
        <v>0.05</v>
      </c>
      <c r="N30" s="3">
        <f t="shared" si="16"/>
        <v>0.05</v>
      </c>
      <c r="O30" s="3">
        <f t="shared" si="16"/>
        <v>0.05</v>
      </c>
      <c r="P30" s="3">
        <f t="shared" si="16"/>
        <v>0.05</v>
      </c>
      <c r="Q30" s="3">
        <f t="shared" si="16"/>
        <v>0.05</v>
      </c>
      <c r="R30" s="76"/>
      <c r="S30" s="76"/>
      <c r="T30" s="76"/>
      <c r="U30" s="76"/>
      <c r="V30" s="76"/>
      <c r="W30" s="76"/>
    </row>
    <row r="31" spans="1:23">
      <c r="A31" s="84" t="s">
        <v>136</v>
      </c>
      <c r="B31" s="85" t="s">
        <v>135</v>
      </c>
      <c r="C31" s="85" t="s">
        <v>83</v>
      </c>
      <c r="D31" s="84" t="s">
        <v>75</v>
      </c>
      <c r="E31" s="84">
        <f>VLOOKUP(A31,'2a. SI Pop'!$A$5:$E$198,5,FALSE)</f>
        <v>3</v>
      </c>
      <c r="F31" s="84">
        <v>2033</v>
      </c>
      <c r="G31" s="3">
        <f t="shared" ref="G31:Q34" si="17">IF($F31&lt;=G$4,80%,0)</f>
        <v>0</v>
      </c>
      <c r="H31" s="3">
        <f t="shared" si="17"/>
        <v>0</v>
      </c>
      <c r="I31" s="3">
        <f t="shared" si="17"/>
        <v>0</v>
      </c>
      <c r="J31" s="3">
        <f t="shared" si="17"/>
        <v>0.8</v>
      </c>
      <c r="K31" s="3">
        <f t="shared" si="17"/>
        <v>0.8</v>
      </c>
      <c r="L31" s="3">
        <f t="shared" si="17"/>
        <v>0.8</v>
      </c>
      <c r="M31" s="3">
        <f t="shared" si="17"/>
        <v>0.8</v>
      </c>
      <c r="N31" s="3">
        <f t="shared" si="17"/>
        <v>0.8</v>
      </c>
      <c r="O31" s="3">
        <f t="shared" si="17"/>
        <v>0.8</v>
      </c>
      <c r="P31" s="3">
        <f t="shared" si="17"/>
        <v>0.8</v>
      </c>
      <c r="Q31" s="3">
        <f t="shared" si="17"/>
        <v>0.8</v>
      </c>
      <c r="R31" s="76"/>
      <c r="S31" s="76"/>
      <c r="T31" s="76"/>
      <c r="U31" s="76"/>
      <c r="V31" s="76"/>
      <c r="W31" s="76"/>
    </row>
    <row r="32" spans="1:23">
      <c r="A32" s="84" t="s">
        <v>138</v>
      </c>
      <c r="B32" s="85" t="s">
        <v>137</v>
      </c>
      <c r="C32" s="85" t="s">
        <v>83</v>
      </c>
      <c r="D32" s="84" t="s">
        <v>75</v>
      </c>
      <c r="E32" s="84">
        <f>VLOOKUP(A32,'2a. SI Pop'!$A$5:$E$198,5,FALSE)</f>
        <v>3</v>
      </c>
      <c r="F32" s="84">
        <v>2033</v>
      </c>
      <c r="G32" s="3">
        <f t="shared" si="17"/>
        <v>0</v>
      </c>
      <c r="H32" s="3">
        <f t="shared" si="17"/>
        <v>0</v>
      </c>
      <c r="I32" s="3">
        <f t="shared" si="17"/>
        <v>0</v>
      </c>
      <c r="J32" s="3">
        <f t="shared" si="17"/>
        <v>0.8</v>
      </c>
      <c r="K32" s="3">
        <f t="shared" si="17"/>
        <v>0.8</v>
      </c>
      <c r="L32" s="3">
        <f t="shared" si="17"/>
        <v>0.8</v>
      </c>
      <c r="M32" s="3">
        <f t="shared" si="17"/>
        <v>0.8</v>
      </c>
      <c r="N32" s="3">
        <f t="shared" si="17"/>
        <v>0.8</v>
      </c>
      <c r="O32" s="3">
        <f t="shared" si="17"/>
        <v>0.8</v>
      </c>
      <c r="P32" s="3">
        <f t="shared" si="17"/>
        <v>0.8</v>
      </c>
      <c r="Q32" s="3">
        <f t="shared" si="17"/>
        <v>0.8</v>
      </c>
      <c r="R32" s="76"/>
      <c r="S32" s="76"/>
      <c r="T32" s="76"/>
      <c r="U32" s="76"/>
      <c r="V32" s="76"/>
      <c r="W32" s="76"/>
    </row>
    <row r="33" spans="1:23">
      <c r="A33" s="84" t="s">
        <v>140</v>
      </c>
      <c r="B33" s="85" t="s">
        <v>139</v>
      </c>
      <c r="C33" s="85" t="s">
        <v>99</v>
      </c>
      <c r="D33" s="84" t="s">
        <v>84</v>
      </c>
      <c r="E33" s="84">
        <f>VLOOKUP(A33,'2a. SI Pop'!$A$5:$E$198,5,FALSE)</f>
        <v>4</v>
      </c>
      <c r="F33" s="84">
        <v>2037</v>
      </c>
      <c r="G33" s="3">
        <f t="shared" si="17"/>
        <v>0</v>
      </c>
      <c r="H33" s="3">
        <f t="shared" si="17"/>
        <v>0</v>
      </c>
      <c r="I33" s="3">
        <f t="shared" si="17"/>
        <v>0</v>
      </c>
      <c r="J33" s="3">
        <f t="shared" si="17"/>
        <v>0</v>
      </c>
      <c r="K33" s="3">
        <f t="shared" si="17"/>
        <v>0</v>
      </c>
      <c r="L33" s="3">
        <f t="shared" si="17"/>
        <v>0</v>
      </c>
      <c r="M33" s="3">
        <f t="shared" si="17"/>
        <v>0</v>
      </c>
      <c r="N33" s="3">
        <f t="shared" si="17"/>
        <v>0.8</v>
      </c>
      <c r="O33" s="3">
        <f t="shared" si="17"/>
        <v>0.8</v>
      </c>
      <c r="P33" s="3">
        <f t="shared" si="17"/>
        <v>0.8</v>
      </c>
      <c r="Q33" s="3">
        <f t="shared" si="17"/>
        <v>0.8</v>
      </c>
      <c r="R33" s="76"/>
      <c r="S33" s="76"/>
      <c r="T33" s="76"/>
      <c r="U33" s="76"/>
      <c r="V33" s="76"/>
      <c r="W33" s="76"/>
    </row>
    <row r="34" spans="1:23">
      <c r="A34" s="84" t="s">
        <v>142</v>
      </c>
      <c r="B34" s="85" t="s">
        <v>141</v>
      </c>
      <c r="C34" s="85" t="s">
        <v>83</v>
      </c>
      <c r="D34" s="84" t="s">
        <v>84</v>
      </c>
      <c r="E34" s="84">
        <f>VLOOKUP(A34,'2a. SI Pop'!$A$5:$E$198,5,FALSE)</f>
        <v>3</v>
      </c>
      <c r="F34" s="84">
        <v>2031</v>
      </c>
      <c r="G34" s="3">
        <f t="shared" si="17"/>
        <v>0</v>
      </c>
      <c r="H34" s="3">
        <f t="shared" si="17"/>
        <v>0.8</v>
      </c>
      <c r="I34" s="3">
        <f t="shared" si="17"/>
        <v>0.8</v>
      </c>
      <c r="J34" s="3">
        <f t="shared" si="17"/>
        <v>0.8</v>
      </c>
      <c r="K34" s="3">
        <f t="shared" si="17"/>
        <v>0.8</v>
      </c>
      <c r="L34" s="3">
        <f t="shared" si="17"/>
        <v>0.8</v>
      </c>
      <c r="M34" s="3">
        <f t="shared" si="17"/>
        <v>0.8</v>
      </c>
      <c r="N34" s="3">
        <f t="shared" si="17"/>
        <v>0.8</v>
      </c>
      <c r="O34" s="3">
        <f t="shared" si="17"/>
        <v>0.8</v>
      </c>
      <c r="P34" s="3">
        <f t="shared" si="17"/>
        <v>0.8</v>
      </c>
      <c r="Q34" s="3">
        <f t="shared" si="17"/>
        <v>0.8</v>
      </c>
      <c r="R34" s="76"/>
      <c r="S34" s="76"/>
      <c r="T34" s="76"/>
      <c r="U34" s="76"/>
      <c r="V34" s="76"/>
      <c r="W34" s="76"/>
    </row>
    <row r="35" spans="1:23">
      <c r="A35" s="84" t="s">
        <v>144</v>
      </c>
      <c r="B35" s="85" t="s">
        <v>143</v>
      </c>
      <c r="C35" s="85" t="s">
        <v>92</v>
      </c>
      <c r="D35" s="84" t="s">
        <v>87</v>
      </c>
      <c r="E35" s="84">
        <f>VLOOKUP(A35,'2a. SI Pop'!$A$5:$E$198,5,FALSE)</f>
        <v>1</v>
      </c>
      <c r="F35" s="84">
        <v>2033</v>
      </c>
      <c r="G35" s="3">
        <f t="shared" ref="G35:Q35" si="18">IF($F35&lt;=G$4,5%,0)</f>
        <v>0</v>
      </c>
      <c r="H35" s="3">
        <f t="shared" si="18"/>
        <v>0</v>
      </c>
      <c r="I35" s="3">
        <f t="shared" si="18"/>
        <v>0</v>
      </c>
      <c r="J35" s="3">
        <f t="shared" si="18"/>
        <v>0.05</v>
      </c>
      <c r="K35" s="3">
        <f t="shared" si="18"/>
        <v>0.05</v>
      </c>
      <c r="L35" s="3">
        <f t="shared" si="18"/>
        <v>0.05</v>
      </c>
      <c r="M35" s="3">
        <f t="shared" si="18"/>
        <v>0.05</v>
      </c>
      <c r="N35" s="3">
        <f t="shared" si="18"/>
        <v>0.05</v>
      </c>
      <c r="O35" s="3">
        <f t="shared" si="18"/>
        <v>0.05</v>
      </c>
      <c r="P35" s="3">
        <f t="shared" si="18"/>
        <v>0.05</v>
      </c>
      <c r="Q35" s="3">
        <f t="shared" si="18"/>
        <v>0.05</v>
      </c>
      <c r="R35" s="76"/>
      <c r="S35" s="76"/>
      <c r="T35" s="76"/>
      <c r="U35" s="76"/>
      <c r="V35" s="76"/>
      <c r="W35" s="76"/>
    </row>
    <row r="36" spans="1:23">
      <c r="A36" s="84" t="s">
        <v>146</v>
      </c>
      <c r="B36" s="85" t="s">
        <v>145</v>
      </c>
      <c r="C36" s="85" t="s">
        <v>83</v>
      </c>
      <c r="D36" s="84" t="s">
        <v>84</v>
      </c>
      <c r="E36" s="84">
        <f>VLOOKUP(A36,'2a. SI Pop'!$A$5:$E$198,5,FALSE)</f>
        <v>2</v>
      </c>
      <c r="F36" s="84">
        <v>2037</v>
      </c>
      <c r="G36" s="3">
        <f t="shared" ref="G36:Q36" si="19">IF($F36&lt;=G$4,30%,0)</f>
        <v>0</v>
      </c>
      <c r="H36" s="3">
        <f t="shared" si="19"/>
        <v>0</v>
      </c>
      <c r="I36" s="3">
        <f t="shared" si="19"/>
        <v>0</v>
      </c>
      <c r="J36" s="3">
        <f t="shared" si="19"/>
        <v>0</v>
      </c>
      <c r="K36" s="3">
        <f t="shared" si="19"/>
        <v>0</v>
      </c>
      <c r="L36" s="3">
        <f t="shared" si="19"/>
        <v>0</v>
      </c>
      <c r="M36" s="3">
        <f t="shared" si="19"/>
        <v>0</v>
      </c>
      <c r="N36" s="3">
        <f t="shared" si="19"/>
        <v>0.3</v>
      </c>
      <c r="O36" s="3">
        <f t="shared" si="19"/>
        <v>0.3</v>
      </c>
      <c r="P36" s="3">
        <f t="shared" si="19"/>
        <v>0.3</v>
      </c>
      <c r="Q36" s="3">
        <f t="shared" si="19"/>
        <v>0.3</v>
      </c>
      <c r="R36" s="76"/>
      <c r="S36" s="76"/>
      <c r="T36" s="76"/>
      <c r="U36" s="76"/>
      <c r="V36" s="76"/>
      <c r="W36" s="76"/>
    </row>
    <row r="37" spans="1:23">
      <c r="A37" s="84" t="s">
        <v>148</v>
      </c>
      <c r="B37" s="85" t="s">
        <v>147</v>
      </c>
      <c r="C37" s="85" t="s">
        <v>83</v>
      </c>
      <c r="D37" s="84" t="s">
        <v>75</v>
      </c>
      <c r="E37" s="84">
        <f>VLOOKUP(A37,'2a. SI Pop'!$A$5:$E$198,5,FALSE)</f>
        <v>3</v>
      </c>
      <c r="F37" s="84">
        <v>2034</v>
      </c>
      <c r="G37" s="3">
        <f t="shared" ref="G37:Q38" si="20">IF($F37&lt;=G$4,80%,0)</f>
        <v>0</v>
      </c>
      <c r="H37" s="3">
        <f t="shared" si="20"/>
        <v>0</v>
      </c>
      <c r="I37" s="3">
        <f t="shared" si="20"/>
        <v>0</v>
      </c>
      <c r="J37" s="3">
        <f t="shared" si="20"/>
        <v>0</v>
      </c>
      <c r="K37" s="3">
        <f t="shared" si="20"/>
        <v>0.8</v>
      </c>
      <c r="L37" s="3">
        <f t="shared" si="20"/>
        <v>0.8</v>
      </c>
      <c r="M37" s="3">
        <f t="shared" si="20"/>
        <v>0.8</v>
      </c>
      <c r="N37" s="3">
        <f t="shared" si="20"/>
        <v>0.8</v>
      </c>
      <c r="O37" s="3">
        <f t="shared" si="20"/>
        <v>0.8</v>
      </c>
      <c r="P37" s="3">
        <f t="shared" si="20"/>
        <v>0.8</v>
      </c>
      <c r="Q37" s="3">
        <f t="shared" si="20"/>
        <v>0.8</v>
      </c>
      <c r="R37" s="76"/>
      <c r="S37" s="76"/>
      <c r="T37" s="76"/>
      <c r="U37" s="76"/>
      <c r="V37" s="76"/>
      <c r="W37" s="76"/>
    </row>
    <row r="38" spans="1:23">
      <c r="A38" s="84" t="s">
        <v>150</v>
      </c>
      <c r="B38" s="85" t="s">
        <v>149</v>
      </c>
      <c r="C38" s="85" t="s">
        <v>83</v>
      </c>
      <c r="D38" s="84" t="s">
        <v>75</v>
      </c>
      <c r="E38" s="84" t="str">
        <f>VLOOKUP(A38,'2a. SI Pop'!$A$5:$E$198,5,FALSE)</f>
        <v>Key</v>
      </c>
      <c r="F38" s="84">
        <v>2032</v>
      </c>
      <c r="G38" s="3">
        <f t="shared" si="20"/>
        <v>0</v>
      </c>
      <c r="H38" s="3">
        <f t="shared" si="20"/>
        <v>0</v>
      </c>
      <c r="I38" s="3">
        <f t="shared" si="20"/>
        <v>0.8</v>
      </c>
      <c r="J38" s="3">
        <f t="shared" si="20"/>
        <v>0.8</v>
      </c>
      <c r="K38" s="3">
        <f t="shared" si="20"/>
        <v>0.8</v>
      </c>
      <c r="L38" s="3">
        <f t="shared" si="20"/>
        <v>0.8</v>
      </c>
      <c r="M38" s="3">
        <f t="shared" si="20"/>
        <v>0.8</v>
      </c>
      <c r="N38" s="3">
        <f t="shared" si="20"/>
        <v>0.8</v>
      </c>
      <c r="O38" s="3">
        <f t="shared" si="20"/>
        <v>0.8</v>
      </c>
      <c r="P38" s="3">
        <f t="shared" si="20"/>
        <v>0.8</v>
      </c>
      <c r="Q38" s="3">
        <f t="shared" si="20"/>
        <v>0.8</v>
      </c>
      <c r="R38" s="76"/>
      <c r="S38" s="76"/>
      <c r="T38" s="76"/>
      <c r="U38" s="76"/>
      <c r="V38" s="76"/>
      <c r="W38" s="76"/>
    </row>
    <row r="39" spans="1:23">
      <c r="A39" s="84" t="s">
        <v>152</v>
      </c>
      <c r="B39" s="85" t="s">
        <v>151</v>
      </c>
      <c r="C39" s="85" t="s">
        <v>92</v>
      </c>
      <c r="D39" s="84" t="s">
        <v>87</v>
      </c>
      <c r="E39" s="84">
        <f>VLOOKUP(A39,'2a. SI Pop'!$A$5:$E$198,5,FALSE)</f>
        <v>2</v>
      </c>
      <c r="F39" s="84">
        <v>2035</v>
      </c>
      <c r="G39" s="3">
        <f t="shared" ref="G39:Q39" si="21">IF($F39&lt;=G$4,30%,0)</f>
        <v>0</v>
      </c>
      <c r="H39" s="3">
        <f t="shared" si="21"/>
        <v>0</v>
      </c>
      <c r="I39" s="3">
        <f t="shared" si="21"/>
        <v>0</v>
      </c>
      <c r="J39" s="3">
        <f t="shared" si="21"/>
        <v>0</v>
      </c>
      <c r="K39" s="3">
        <f t="shared" si="21"/>
        <v>0</v>
      </c>
      <c r="L39" s="3">
        <f t="shared" si="21"/>
        <v>0.3</v>
      </c>
      <c r="M39" s="3">
        <f t="shared" si="21"/>
        <v>0.3</v>
      </c>
      <c r="N39" s="3">
        <f t="shared" si="21"/>
        <v>0.3</v>
      </c>
      <c r="O39" s="3">
        <f t="shared" si="21"/>
        <v>0.3</v>
      </c>
      <c r="P39" s="3">
        <f t="shared" si="21"/>
        <v>0.3</v>
      </c>
      <c r="Q39" s="3">
        <f t="shared" si="21"/>
        <v>0.3</v>
      </c>
      <c r="R39" s="76"/>
      <c r="S39" s="76"/>
      <c r="T39" s="76"/>
      <c r="U39" s="76"/>
      <c r="V39" s="76"/>
      <c r="W39" s="76"/>
    </row>
    <row r="40" spans="1:23">
      <c r="A40" s="84" t="s">
        <v>154</v>
      </c>
      <c r="B40" s="85" t="s">
        <v>153</v>
      </c>
      <c r="C40" s="85" t="s">
        <v>99</v>
      </c>
      <c r="D40" s="84" t="s">
        <v>80</v>
      </c>
      <c r="E40" s="84">
        <f>VLOOKUP(A40,'2a. SI Pop'!$A$5:$E$198,5,FALSE)</f>
        <v>1</v>
      </c>
      <c r="F40" s="84">
        <v>2030</v>
      </c>
      <c r="G40" s="3">
        <f t="shared" ref="G40:Q40" si="22">IF($F40&lt;=G$4,5%,0)</f>
        <v>0.05</v>
      </c>
      <c r="H40" s="3">
        <f t="shared" si="22"/>
        <v>0.05</v>
      </c>
      <c r="I40" s="3">
        <f t="shared" si="22"/>
        <v>0.05</v>
      </c>
      <c r="J40" s="3">
        <f t="shared" si="22"/>
        <v>0.05</v>
      </c>
      <c r="K40" s="3">
        <f t="shared" si="22"/>
        <v>0.05</v>
      </c>
      <c r="L40" s="3">
        <f t="shared" si="22"/>
        <v>0.05</v>
      </c>
      <c r="M40" s="3">
        <f t="shared" si="22"/>
        <v>0.05</v>
      </c>
      <c r="N40" s="3">
        <f t="shared" si="22"/>
        <v>0.05</v>
      </c>
      <c r="O40" s="3">
        <f t="shared" si="22"/>
        <v>0.05</v>
      </c>
      <c r="P40" s="3">
        <f t="shared" si="22"/>
        <v>0.05</v>
      </c>
      <c r="Q40" s="3">
        <f t="shared" si="22"/>
        <v>0.05</v>
      </c>
      <c r="R40" s="76"/>
      <c r="S40" s="76"/>
      <c r="T40" s="76"/>
      <c r="U40" s="76"/>
      <c r="V40" s="76"/>
      <c r="W40" s="76"/>
    </row>
    <row r="41" spans="1:23">
      <c r="A41" s="84" t="s">
        <v>156</v>
      </c>
      <c r="B41" s="85" t="s">
        <v>155</v>
      </c>
      <c r="C41" s="85" t="s">
        <v>92</v>
      </c>
      <c r="D41" s="84" t="s">
        <v>80</v>
      </c>
      <c r="E41" s="84">
        <f>VLOOKUP(A41,'2a. SI Pop'!$A$5:$E$198,5,FALSE)</f>
        <v>2</v>
      </c>
      <c r="F41" s="84">
        <v>2035</v>
      </c>
      <c r="G41" s="3">
        <f t="shared" ref="G41:Q41" si="23">IF($F41&lt;=G$4,30%,0)</f>
        <v>0</v>
      </c>
      <c r="H41" s="3">
        <f t="shared" si="23"/>
        <v>0</v>
      </c>
      <c r="I41" s="3">
        <f t="shared" si="23"/>
        <v>0</v>
      </c>
      <c r="J41" s="3">
        <f t="shared" si="23"/>
        <v>0</v>
      </c>
      <c r="K41" s="3">
        <f t="shared" si="23"/>
        <v>0</v>
      </c>
      <c r="L41" s="3">
        <f t="shared" si="23"/>
        <v>0.3</v>
      </c>
      <c r="M41" s="3">
        <f t="shared" si="23"/>
        <v>0.3</v>
      </c>
      <c r="N41" s="3">
        <f t="shared" si="23"/>
        <v>0.3</v>
      </c>
      <c r="O41" s="3">
        <f t="shared" si="23"/>
        <v>0.3</v>
      </c>
      <c r="P41" s="3">
        <f t="shared" si="23"/>
        <v>0.3</v>
      </c>
      <c r="Q41" s="3">
        <f t="shared" si="23"/>
        <v>0.3</v>
      </c>
      <c r="R41" s="76"/>
      <c r="S41" s="76"/>
      <c r="T41" s="76"/>
      <c r="U41" s="76"/>
      <c r="V41" s="76"/>
      <c r="W41" s="76"/>
    </row>
    <row r="42" spans="1:23">
      <c r="A42" s="84" t="s">
        <v>158</v>
      </c>
      <c r="B42" s="85" t="s">
        <v>157</v>
      </c>
      <c r="C42" s="85" t="s">
        <v>83</v>
      </c>
      <c r="D42" s="84" t="s">
        <v>84</v>
      </c>
      <c r="E42" s="84">
        <f>VLOOKUP(A42,'2a. SI Pop'!$A$5:$E$198,5,FALSE)</f>
        <v>3</v>
      </c>
      <c r="F42" s="84">
        <v>2037</v>
      </c>
      <c r="G42" s="3">
        <f t="shared" ref="G42:Q44" si="24">IF($F42&lt;=G$4,80%,0)</f>
        <v>0</v>
      </c>
      <c r="H42" s="3">
        <f t="shared" si="24"/>
        <v>0</v>
      </c>
      <c r="I42" s="3">
        <f t="shared" si="24"/>
        <v>0</v>
      </c>
      <c r="J42" s="3">
        <f t="shared" si="24"/>
        <v>0</v>
      </c>
      <c r="K42" s="3">
        <f t="shared" si="24"/>
        <v>0</v>
      </c>
      <c r="L42" s="3">
        <f t="shared" si="24"/>
        <v>0</v>
      </c>
      <c r="M42" s="3">
        <f t="shared" si="24"/>
        <v>0</v>
      </c>
      <c r="N42" s="3">
        <f t="shared" si="24"/>
        <v>0.8</v>
      </c>
      <c r="O42" s="3">
        <f t="shared" si="24"/>
        <v>0.8</v>
      </c>
      <c r="P42" s="3">
        <f t="shared" si="24"/>
        <v>0.8</v>
      </c>
      <c r="Q42" s="3">
        <f t="shared" si="24"/>
        <v>0.8</v>
      </c>
      <c r="R42" s="76"/>
      <c r="S42" s="76"/>
      <c r="T42" s="76"/>
      <c r="U42" s="76"/>
      <c r="V42" s="76"/>
      <c r="W42" s="76"/>
    </row>
    <row r="43" spans="1:23">
      <c r="A43" s="84" t="s">
        <v>160</v>
      </c>
      <c r="B43" s="85" t="s">
        <v>159</v>
      </c>
      <c r="C43" s="85" t="s">
        <v>83</v>
      </c>
      <c r="D43" s="84" t="s">
        <v>84</v>
      </c>
      <c r="E43" s="84">
        <f>VLOOKUP(A43,'2a. SI Pop'!$A$5:$E$198,5,FALSE)</f>
        <v>3</v>
      </c>
      <c r="F43" s="84">
        <v>2032</v>
      </c>
      <c r="G43" s="3">
        <f t="shared" si="24"/>
        <v>0</v>
      </c>
      <c r="H43" s="3">
        <f t="shared" si="24"/>
        <v>0</v>
      </c>
      <c r="I43" s="3">
        <f t="shared" si="24"/>
        <v>0.8</v>
      </c>
      <c r="J43" s="3">
        <f t="shared" si="24"/>
        <v>0.8</v>
      </c>
      <c r="K43" s="3">
        <f t="shared" si="24"/>
        <v>0.8</v>
      </c>
      <c r="L43" s="3">
        <f t="shared" si="24"/>
        <v>0.8</v>
      </c>
      <c r="M43" s="3">
        <f t="shared" si="24"/>
        <v>0.8</v>
      </c>
      <c r="N43" s="3">
        <f t="shared" si="24"/>
        <v>0.8</v>
      </c>
      <c r="O43" s="3">
        <f t="shared" si="24"/>
        <v>0.8</v>
      </c>
      <c r="P43" s="3">
        <f t="shared" si="24"/>
        <v>0.8</v>
      </c>
      <c r="Q43" s="3">
        <f t="shared" si="24"/>
        <v>0.8</v>
      </c>
      <c r="R43" s="76"/>
      <c r="S43" s="76"/>
      <c r="T43" s="76"/>
      <c r="U43" s="76"/>
      <c r="V43" s="76"/>
      <c r="W43" s="76"/>
    </row>
    <row r="44" spans="1:23">
      <c r="A44" s="84" t="s">
        <v>162</v>
      </c>
      <c r="B44" s="85" t="s">
        <v>161</v>
      </c>
      <c r="C44" s="85" t="s">
        <v>99</v>
      </c>
      <c r="D44" s="84" t="e">
        <v>#N/A</v>
      </c>
      <c r="E44" s="84">
        <f>VLOOKUP(A44,'2a. SI Pop'!$A$5:$E$198,5,FALSE)</f>
        <v>1</v>
      </c>
      <c r="F44" s="84">
        <v>2040</v>
      </c>
      <c r="G44" s="3">
        <f t="shared" si="24"/>
        <v>0</v>
      </c>
      <c r="H44" s="3">
        <f t="shared" si="24"/>
        <v>0</v>
      </c>
      <c r="I44" s="3">
        <f t="shared" si="24"/>
        <v>0</v>
      </c>
      <c r="J44" s="3">
        <f t="shared" si="24"/>
        <v>0</v>
      </c>
      <c r="K44" s="3">
        <f t="shared" si="24"/>
        <v>0</v>
      </c>
      <c r="L44" s="3">
        <f t="shared" si="24"/>
        <v>0</v>
      </c>
      <c r="M44" s="3">
        <f t="shared" si="24"/>
        <v>0</v>
      </c>
      <c r="N44" s="3">
        <f t="shared" si="24"/>
        <v>0</v>
      </c>
      <c r="O44" s="3">
        <f t="shared" si="24"/>
        <v>0</v>
      </c>
      <c r="P44" s="3">
        <f t="shared" si="24"/>
        <v>0</v>
      </c>
      <c r="Q44" s="3">
        <f t="shared" si="24"/>
        <v>0.8</v>
      </c>
      <c r="R44" s="76"/>
      <c r="S44" s="76"/>
      <c r="T44" s="76"/>
      <c r="U44" s="76"/>
      <c r="V44" s="76"/>
      <c r="W44" s="76"/>
    </row>
    <row r="45" spans="1:23">
      <c r="A45" s="84" t="s">
        <v>164</v>
      </c>
      <c r="B45" s="85" t="s">
        <v>163</v>
      </c>
      <c r="C45" s="85" t="s">
        <v>92</v>
      </c>
      <c r="D45" s="84" t="s">
        <v>80</v>
      </c>
      <c r="E45" s="84">
        <f>VLOOKUP(A45,'2a. SI Pop'!$A$5:$E$198,5,FALSE)</f>
        <v>2</v>
      </c>
      <c r="F45" s="84">
        <v>2039</v>
      </c>
      <c r="G45" s="3">
        <f t="shared" ref="G45:Q45" si="25">IF($F45&lt;=G$4,30%,0)</f>
        <v>0</v>
      </c>
      <c r="H45" s="3">
        <f t="shared" si="25"/>
        <v>0</v>
      </c>
      <c r="I45" s="3">
        <f t="shared" si="25"/>
        <v>0</v>
      </c>
      <c r="J45" s="3">
        <f t="shared" si="25"/>
        <v>0</v>
      </c>
      <c r="K45" s="3">
        <f t="shared" si="25"/>
        <v>0</v>
      </c>
      <c r="L45" s="3">
        <f t="shared" si="25"/>
        <v>0</v>
      </c>
      <c r="M45" s="3">
        <f t="shared" si="25"/>
        <v>0</v>
      </c>
      <c r="N45" s="3">
        <f t="shared" si="25"/>
        <v>0</v>
      </c>
      <c r="O45" s="3">
        <f t="shared" si="25"/>
        <v>0</v>
      </c>
      <c r="P45" s="3">
        <f t="shared" si="25"/>
        <v>0.3</v>
      </c>
      <c r="Q45" s="3">
        <f t="shared" si="25"/>
        <v>0.3</v>
      </c>
      <c r="R45" s="76"/>
      <c r="S45" s="76"/>
      <c r="T45" s="76"/>
      <c r="U45" s="76"/>
      <c r="V45" s="76"/>
      <c r="W45" s="76"/>
    </row>
    <row r="46" spans="1:23">
      <c r="A46" s="84" t="s">
        <v>166</v>
      </c>
      <c r="B46" s="85" t="s">
        <v>165</v>
      </c>
      <c r="C46" s="85" t="s">
        <v>83</v>
      </c>
      <c r="D46" s="84" t="s">
        <v>84</v>
      </c>
      <c r="E46" s="84">
        <f>VLOOKUP(A46,'2a. SI Pop'!$A$5:$E$198,5,FALSE)</f>
        <v>3</v>
      </c>
      <c r="F46" s="84">
        <v>2036</v>
      </c>
      <c r="G46" s="3">
        <f t="shared" ref="G46:Q46" si="26">IF($F46&lt;=G$4,80%,0)</f>
        <v>0</v>
      </c>
      <c r="H46" s="3">
        <f t="shared" si="26"/>
        <v>0</v>
      </c>
      <c r="I46" s="3">
        <f t="shared" si="26"/>
        <v>0</v>
      </c>
      <c r="J46" s="3">
        <f t="shared" si="26"/>
        <v>0</v>
      </c>
      <c r="K46" s="3">
        <f t="shared" si="26"/>
        <v>0</v>
      </c>
      <c r="L46" s="3">
        <f t="shared" si="26"/>
        <v>0</v>
      </c>
      <c r="M46" s="3">
        <f t="shared" si="26"/>
        <v>0.8</v>
      </c>
      <c r="N46" s="3">
        <f t="shared" si="26"/>
        <v>0.8</v>
      </c>
      <c r="O46" s="3">
        <f t="shared" si="26"/>
        <v>0.8</v>
      </c>
      <c r="P46" s="3">
        <f t="shared" si="26"/>
        <v>0.8</v>
      </c>
      <c r="Q46" s="3">
        <f t="shared" si="26"/>
        <v>0.8</v>
      </c>
      <c r="R46" s="76"/>
      <c r="S46" s="76"/>
      <c r="T46" s="76"/>
      <c r="U46" s="76"/>
      <c r="V46" s="76"/>
      <c r="W46" s="76"/>
    </row>
    <row r="47" spans="1:23">
      <c r="A47" s="84" t="s">
        <v>168</v>
      </c>
      <c r="B47" s="85" t="s">
        <v>167</v>
      </c>
      <c r="C47" s="85" t="s">
        <v>79</v>
      </c>
      <c r="D47" s="84" t="s">
        <v>87</v>
      </c>
      <c r="E47" s="84">
        <f>VLOOKUP(A47,'2a. SI Pop'!$A$5:$E$198,5,FALSE)</f>
        <v>1</v>
      </c>
      <c r="F47" s="84">
        <v>2038</v>
      </c>
      <c r="G47" s="3">
        <f t="shared" ref="G47:Q50" si="27">IF($F47&lt;=G$4,5%,0)</f>
        <v>0</v>
      </c>
      <c r="H47" s="3">
        <f t="shared" si="27"/>
        <v>0</v>
      </c>
      <c r="I47" s="3">
        <f t="shared" si="27"/>
        <v>0</v>
      </c>
      <c r="J47" s="3">
        <f t="shared" si="27"/>
        <v>0</v>
      </c>
      <c r="K47" s="3">
        <f t="shared" si="27"/>
        <v>0</v>
      </c>
      <c r="L47" s="3">
        <f t="shared" si="27"/>
        <v>0</v>
      </c>
      <c r="M47" s="3">
        <f t="shared" si="27"/>
        <v>0</v>
      </c>
      <c r="N47" s="3">
        <f t="shared" si="27"/>
        <v>0</v>
      </c>
      <c r="O47" s="3">
        <f t="shared" si="27"/>
        <v>0.05</v>
      </c>
      <c r="P47" s="3">
        <f t="shared" si="27"/>
        <v>0.05</v>
      </c>
      <c r="Q47" s="3">
        <f t="shared" si="27"/>
        <v>0.05</v>
      </c>
      <c r="R47" s="76"/>
      <c r="S47" s="76"/>
      <c r="T47" s="76"/>
      <c r="U47" s="76"/>
      <c r="V47" s="76"/>
      <c r="W47" s="76"/>
    </row>
    <row r="48" spans="1:23">
      <c r="A48" s="84" t="s">
        <v>170</v>
      </c>
      <c r="B48" s="85" t="s">
        <v>169</v>
      </c>
      <c r="C48" s="85" t="s">
        <v>92</v>
      </c>
      <c r="D48" s="84" t="s">
        <v>80</v>
      </c>
      <c r="E48" s="84">
        <f>VLOOKUP(A48,'2a. SI Pop'!$A$5:$E$198,5,FALSE)</f>
        <v>1</v>
      </c>
      <c r="F48" s="84">
        <v>2040</v>
      </c>
      <c r="G48" s="3">
        <f t="shared" si="27"/>
        <v>0</v>
      </c>
      <c r="H48" s="3">
        <f t="shared" si="27"/>
        <v>0</v>
      </c>
      <c r="I48" s="3">
        <f t="shared" si="27"/>
        <v>0</v>
      </c>
      <c r="J48" s="3">
        <f t="shared" si="27"/>
        <v>0</v>
      </c>
      <c r="K48" s="3">
        <f t="shared" si="27"/>
        <v>0</v>
      </c>
      <c r="L48" s="3">
        <f t="shared" si="27"/>
        <v>0</v>
      </c>
      <c r="M48" s="3">
        <f t="shared" si="27"/>
        <v>0</v>
      </c>
      <c r="N48" s="3">
        <f t="shared" si="27"/>
        <v>0</v>
      </c>
      <c r="O48" s="3">
        <f t="shared" si="27"/>
        <v>0</v>
      </c>
      <c r="P48" s="3">
        <f t="shared" si="27"/>
        <v>0</v>
      </c>
      <c r="Q48" s="3">
        <f t="shared" si="27"/>
        <v>0.05</v>
      </c>
      <c r="R48" s="76"/>
      <c r="S48" s="76"/>
      <c r="T48" s="76"/>
      <c r="U48" s="76"/>
      <c r="V48" s="76"/>
      <c r="W48" s="76"/>
    </row>
    <row r="49" spans="1:23">
      <c r="A49" s="84" t="s">
        <v>172</v>
      </c>
      <c r="B49" s="85" t="s">
        <v>171</v>
      </c>
      <c r="C49" s="85" t="s">
        <v>79</v>
      </c>
      <c r="D49" s="84" t="s">
        <v>87</v>
      </c>
      <c r="E49" s="84">
        <f>VLOOKUP(A49,'2a. SI Pop'!$A$5:$E$198,5,FALSE)</f>
        <v>1</v>
      </c>
      <c r="F49" s="84">
        <v>2033</v>
      </c>
      <c r="G49" s="3">
        <f t="shared" si="27"/>
        <v>0</v>
      </c>
      <c r="H49" s="3">
        <f t="shared" si="27"/>
        <v>0</v>
      </c>
      <c r="I49" s="3">
        <f t="shared" si="27"/>
        <v>0</v>
      </c>
      <c r="J49" s="3">
        <f t="shared" si="27"/>
        <v>0.05</v>
      </c>
      <c r="K49" s="3">
        <f t="shared" si="27"/>
        <v>0.05</v>
      </c>
      <c r="L49" s="3">
        <f t="shared" si="27"/>
        <v>0.05</v>
      </c>
      <c r="M49" s="3">
        <f t="shared" si="27"/>
        <v>0.05</v>
      </c>
      <c r="N49" s="3">
        <f t="shared" si="27"/>
        <v>0.05</v>
      </c>
      <c r="O49" s="3">
        <f t="shared" si="27"/>
        <v>0.05</v>
      </c>
      <c r="P49" s="3">
        <f t="shared" si="27"/>
        <v>0.05</v>
      </c>
      <c r="Q49" s="3">
        <f t="shared" si="27"/>
        <v>0.05</v>
      </c>
      <c r="R49" s="76"/>
      <c r="S49" s="76"/>
      <c r="T49" s="76"/>
      <c r="U49" s="76"/>
      <c r="V49" s="76"/>
      <c r="W49" s="76"/>
    </row>
    <row r="50" spans="1:23">
      <c r="A50" s="84" t="s">
        <v>174</v>
      </c>
      <c r="B50" s="85" t="s">
        <v>173</v>
      </c>
      <c r="C50" s="85" t="s">
        <v>79</v>
      </c>
      <c r="D50" s="84" t="s">
        <v>87</v>
      </c>
      <c r="E50" s="84">
        <f>VLOOKUP(A50,'2a. SI Pop'!$A$5:$E$198,5,FALSE)</f>
        <v>1</v>
      </c>
      <c r="F50" s="84">
        <v>2032</v>
      </c>
      <c r="G50" s="3">
        <f t="shared" si="27"/>
        <v>0</v>
      </c>
      <c r="H50" s="3">
        <f t="shared" si="27"/>
        <v>0</v>
      </c>
      <c r="I50" s="3">
        <f t="shared" si="27"/>
        <v>0.05</v>
      </c>
      <c r="J50" s="3">
        <f t="shared" si="27"/>
        <v>0.05</v>
      </c>
      <c r="K50" s="3">
        <f t="shared" si="27"/>
        <v>0.05</v>
      </c>
      <c r="L50" s="3">
        <f t="shared" si="27"/>
        <v>0.05</v>
      </c>
      <c r="M50" s="3">
        <f t="shared" si="27"/>
        <v>0.05</v>
      </c>
      <c r="N50" s="3">
        <f t="shared" si="27"/>
        <v>0.05</v>
      </c>
      <c r="O50" s="3">
        <f t="shared" si="27"/>
        <v>0.05</v>
      </c>
      <c r="P50" s="3">
        <f t="shared" si="27"/>
        <v>0.05</v>
      </c>
      <c r="Q50" s="3">
        <f t="shared" si="27"/>
        <v>0.05</v>
      </c>
      <c r="R50" s="76"/>
      <c r="S50" s="76"/>
      <c r="T50" s="76"/>
      <c r="U50" s="76"/>
      <c r="V50" s="76"/>
      <c r="W50" s="76"/>
    </row>
    <row r="51" spans="1:23">
      <c r="A51" s="84" t="s">
        <v>176</v>
      </c>
      <c r="B51" s="85" t="s">
        <v>175</v>
      </c>
      <c r="C51" s="85" t="s">
        <v>110</v>
      </c>
      <c r="D51" s="84" t="s">
        <v>75</v>
      </c>
      <c r="E51" s="84">
        <f>VLOOKUP(A51,'2a. SI Pop'!$A$5:$E$198,5,FALSE)</f>
        <v>4</v>
      </c>
      <c r="F51" s="84">
        <v>2039</v>
      </c>
      <c r="G51" s="3">
        <f t="shared" ref="G51:Q52" si="28">IF($F51&lt;=G$4,80%,0)</f>
        <v>0</v>
      </c>
      <c r="H51" s="3">
        <f t="shared" si="28"/>
        <v>0</v>
      </c>
      <c r="I51" s="3">
        <f t="shared" si="28"/>
        <v>0</v>
      </c>
      <c r="J51" s="3">
        <f t="shared" si="28"/>
        <v>0</v>
      </c>
      <c r="K51" s="3">
        <f t="shared" si="28"/>
        <v>0</v>
      </c>
      <c r="L51" s="3">
        <f t="shared" si="28"/>
        <v>0</v>
      </c>
      <c r="M51" s="3">
        <f t="shared" si="28"/>
        <v>0</v>
      </c>
      <c r="N51" s="3">
        <f t="shared" si="28"/>
        <v>0</v>
      </c>
      <c r="O51" s="3">
        <f t="shared" si="28"/>
        <v>0</v>
      </c>
      <c r="P51" s="3">
        <f t="shared" si="28"/>
        <v>0.8</v>
      </c>
      <c r="Q51" s="3">
        <f t="shared" si="28"/>
        <v>0.8</v>
      </c>
      <c r="R51" s="76"/>
      <c r="S51" s="76"/>
      <c r="T51" s="76"/>
      <c r="U51" s="76"/>
      <c r="V51" s="76"/>
      <c r="W51" s="76"/>
    </row>
    <row r="52" spans="1:23">
      <c r="A52" s="84" t="s">
        <v>178</v>
      </c>
      <c r="B52" s="85" t="s">
        <v>177</v>
      </c>
      <c r="C52" s="85" t="s">
        <v>83</v>
      </c>
      <c r="D52" s="84" t="s">
        <v>75</v>
      </c>
      <c r="E52" s="84" t="str">
        <f>VLOOKUP(A52,'2a. SI Pop'!$A$5:$E$198,5,FALSE)</f>
        <v>Key</v>
      </c>
      <c r="F52" s="84">
        <v>2032</v>
      </c>
      <c r="G52" s="3">
        <f t="shared" si="28"/>
        <v>0</v>
      </c>
      <c r="H52" s="3">
        <f t="shared" si="28"/>
        <v>0</v>
      </c>
      <c r="I52" s="3">
        <f t="shared" si="28"/>
        <v>0.8</v>
      </c>
      <c r="J52" s="3">
        <f t="shared" si="28"/>
        <v>0.8</v>
      </c>
      <c r="K52" s="3">
        <f t="shared" si="28"/>
        <v>0.8</v>
      </c>
      <c r="L52" s="3">
        <f t="shared" si="28"/>
        <v>0.8</v>
      </c>
      <c r="M52" s="3">
        <f t="shared" si="28"/>
        <v>0.8</v>
      </c>
      <c r="N52" s="3">
        <f t="shared" si="28"/>
        <v>0.8</v>
      </c>
      <c r="O52" s="3">
        <f t="shared" si="28"/>
        <v>0.8</v>
      </c>
      <c r="P52" s="3">
        <f t="shared" si="28"/>
        <v>0.8</v>
      </c>
      <c r="Q52" s="3">
        <f t="shared" si="28"/>
        <v>0.8</v>
      </c>
      <c r="R52" s="76"/>
      <c r="S52" s="76"/>
      <c r="T52" s="76"/>
      <c r="U52" s="76"/>
      <c r="V52" s="76"/>
      <c r="W52" s="76"/>
    </row>
    <row r="53" spans="1:23">
      <c r="A53" s="84" t="s">
        <v>180</v>
      </c>
      <c r="B53" s="85" t="s">
        <v>179</v>
      </c>
      <c r="C53" s="85" t="s">
        <v>79</v>
      </c>
      <c r="D53" s="84" t="s">
        <v>87</v>
      </c>
      <c r="E53" s="84">
        <f>VLOOKUP(A53,'2a. SI Pop'!$A$5:$E$198,5,FALSE)</f>
        <v>1</v>
      </c>
      <c r="F53" s="84">
        <v>2035</v>
      </c>
      <c r="G53" s="3">
        <f t="shared" ref="G53:Q53" si="29">IF($F53&lt;=G$4,5%,0)</f>
        <v>0</v>
      </c>
      <c r="H53" s="3">
        <f t="shared" si="29"/>
        <v>0</v>
      </c>
      <c r="I53" s="3">
        <f t="shared" si="29"/>
        <v>0</v>
      </c>
      <c r="J53" s="3">
        <f t="shared" si="29"/>
        <v>0</v>
      </c>
      <c r="K53" s="3">
        <f t="shared" si="29"/>
        <v>0</v>
      </c>
      <c r="L53" s="3">
        <f t="shared" si="29"/>
        <v>0.05</v>
      </c>
      <c r="M53" s="3">
        <f t="shared" si="29"/>
        <v>0.05</v>
      </c>
      <c r="N53" s="3">
        <f t="shared" si="29"/>
        <v>0.05</v>
      </c>
      <c r="O53" s="3">
        <f t="shared" si="29"/>
        <v>0.05</v>
      </c>
      <c r="P53" s="3">
        <f t="shared" si="29"/>
        <v>0.05</v>
      </c>
      <c r="Q53" s="3">
        <f t="shared" si="29"/>
        <v>0.05</v>
      </c>
      <c r="R53" s="76"/>
      <c r="S53" s="76"/>
      <c r="T53" s="76"/>
      <c r="U53" s="76"/>
      <c r="V53" s="76"/>
      <c r="W53" s="76"/>
    </row>
    <row r="54" spans="1:23">
      <c r="A54" s="84" t="s">
        <v>182</v>
      </c>
      <c r="B54" s="85" t="s">
        <v>181</v>
      </c>
      <c r="C54" s="85" t="s">
        <v>74</v>
      </c>
      <c r="D54" s="84" t="s">
        <v>84</v>
      </c>
      <c r="E54" s="84">
        <f>VLOOKUP(A54,'2a. SI Pop'!$A$5:$E$198,5,FALSE)</f>
        <v>3</v>
      </c>
      <c r="F54" s="84">
        <v>2040</v>
      </c>
      <c r="G54" s="3">
        <f t="shared" ref="G54:Q54" si="30">IF($F54&lt;=G$4,80%,0)</f>
        <v>0</v>
      </c>
      <c r="H54" s="3">
        <f t="shared" si="30"/>
        <v>0</v>
      </c>
      <c r="I54" s="3">
        <f t="shared" si="30"/>
        <v>0</v>
      </c>
      <c r="J54" s="3">
        <f t="shared" si="30"/>
        <v>0</v>
      </c>
      <c r="K54" s="3">
        <f t="shared" si="30"/>
        <v>0</v>
      </c>
      <c r="L54" s="3">
        <f t="shared" si="30"/>
        <v>0</v>
      </c>
      <c r="M54" s="3">
        <f t="shared" si="30"/>
        <v>0</v>
      </c>
      <c r="N54" s="3">
        <f t="shared" si="30"/>
        <v>0</v>
      </c>
      <c r="O54" s="3">
        <f t="shared" si="30"/>
        <v>0</v>
      </c>
      <c r="P54" s="3">
        <f t="shared" si="30"/>
        <v>0</v>
      </c>
      <c r="Q54" s="3">
        <f t="shared" si="30"/>
        <v>0.8</v>
      </c>
      <c r="R54" s="76"/>
      <c r="S54" s="76"/>
      <c r="T54" s="76"/>
      <c r="U54" s="76"/>
      <c r="V54" s="76"/>
      <c r="W54" s="76"/>
    </row>
    <row r="55" spans="1:23">
      <c r="A55" s="84" t="s">
        <v>184</v>
      </c>
      <c r="B55" s="85" t="s">
        <v>183</v>
      </c>
      <c r="C55" s="85" t="s">
        <v>92</v>
      </c>
      <c r="D55" s="84" t="s">
        <v>80</v>
      </c>
      <c r="E55" s="84">
        <f>VLOOKUP(A55,'2a. SI Pop'!$A$5:$E$198,5,FALSE)</f>
        <v>2</v>
      </c>
      <c r="F55" s="84">
        <v>2041</v>
      </c>
      <c r="G55" s="3">
        <f t="shared" ref="G55:Q58" si="31">IF($F55&lt;=G$4,30%,0)</f>
        <v>0</v>
      </c>
      <c r="H55" s="3">
        <f t="shared" si="31"/>
        <v>0</v>
      </c>
      <c r="I55" s="3">
        <f t="shared" si="31"/>
        <v>0</v>
      </c>
      <c r="J55" s="3">
        <f t="shared" si="31"/>
        <v>0</v>
      </c>
      <c r="K55" s="3">
        <f t="shared" si="31"/>
        <v>0</v>
      </c>
      <c r="L55" s="3">
        <f t="shared" si="31"/>
        <v>0</v>
      </c>
      <c r="M55" s="3">
        <f t="shared" si="31"/>
        <v>0</v>
      </c>
      <c r="N55" s="3">
        <f t="shared" si="31"/>
        <v>0</v>
      </c>
      <c r="O55" s="3">
        <f t="shared" si="31"/>
        <v>0</v>
      </c>
      <c r="P55" s="3">
        <f t="shared" si="31"/>
        <v>0</v>
      </c>
      <c r="Q55" s="3">
        <f t="shared" si="31"/>
        <v>0</v>
      </c>
      <c r="R55" s="76"/>
      <c r="S55" s="76"/>
      <c r="T55" s="76"/>
      <c r="U55" s="76"/>
      <c r="V55" s="76"/>
      <c r="W55" s="76"/>
    </row>
    <row r="56" spans="1:23">
      <c r="A56" s="84" t="s">
        <v>184</v>
      </c>
      <c r="B56" s="85" t="s">
        <v>185</v>
      </c>
      <c r="C56" s="85" t="s">
        <v>92</v>
      </c>
      <c r="D56" s="84" t="s">
        <v>80</v>
      </c>
      <c r="E56" s="84">
        <f>VLOOKUP(A56,'2a. SI Pop'!$A$5:$E$198,5,FALSE)</f>
        <v>2</v>
      </c>
      <c r="F56" s="84">
        <v>2041</v>
      </c>
      <c r="G56" s="3">
        <f t="shared" si="31"/>
        <v>0</v>
      </c>
      <c r="H56" s="3">
        <f t="shared" si="31"/>
        <v>0</v>
      </c>
      <c r="I56" s="3">
        <f t="shared" si="31"/>
        <v>0</v>
      </c>
      <c r="J56" s="3">
        <f t="shared" si="31"/>
        <v>0</v>
      </c>
      <c r="K56" s="3">
        <f t="shared" si="31"/>
        <v>0</v>
      </c>
      <c r="L56" s="3">
        <f t="shared" si="31"/>
        <v>0</v>
      </c>
      <c r="M56" s="3">
        <f t="shared" si="31"/>
        <v>0</v>
      </c>
      <c r="N56" s="3">
        <f t="shared" si="31"/>
        <v>0</v>
      </c>
      <c r="O56" s="3">
        <f t="shared" si="31"/>
        <v>0</v>
      </c>
      <c r="P56" s="3">
        <f t="shared" si="31"/>
        <v>0</v>
      </c>
      <c r="Q56" s="3">
        <f t="shared" si="31"/>
        <v>0</v>
      </c>
      <c r="R56" s="76"/>
      <c r="S56" s="76"/>
      <c r="T56" s="76"/>
      <c r="U56" s="76"/>
      <c r="V56" s="76"/>
      <c r="W56" s="76"/>
    </row>
    <row r="57" spans="1:23">
      <c r="A57" s="84" t="s">
        <v>187</v>
      </c>
      <c r="B57" s="85" t="s">
        <v>186</v>
      </c>
      <c r="C57" s="85" t="s">
        <v>92</v>
      </c>
      <c r="D57" s="84" t="s">
        <v>80</v>
      </c>
      <c r="E57" s="84">
        <f>VLOOKUP(A57,'2a. SI Pop'!$A$5:$E$198,5,FALSE)</f>
        <v>2</v>
      </c>
      <c r="F57" s="84">
        <v>2040</v>
      </c>
      <c r="G57" s="3">
        <f t="shared" si="31"/>
        <v>0</v>
      </c>
      <c r="H57" s="3">
        <f t="shared" si="31"/>
        <v>0</v>
      </c>
      <c r="I57" s="3">
        <f t="shared" si="31"/>
        <v>0</v>
      </c>
      <c r="J57" s="3">
        <f t="shared" si="31"/>
        <v>0</v>
      </c>
      <c r="K57" s="3">
        <f t="shared" si="31"/>
        <v>0</v>
      </c>
      <c r="L57" s="3">
        <f t="shared" si="31"/>
        <v>0</v>
      </c>
      <c r="M57" s="3">
        <f t="shared" si="31"/>
        <v>0</v>
      </c>
      <c r="N57" s="3">
        <f t="shared" si="31"/>
        <v>0</v>
      </c>
      <c r="O57" s="3">
        <f t="shared" si="31"/>
        <v>0</v>
      </c>
      <c r="P57" s="3">
        <f t="shared" si="31"/>
        <v>0</v>
      </c>
      <c r="Q57" s="3">
        <f t="shared" si="31"/>
        <v>0.3</v>
      </c>
      <c r="R57" s="76"/>
      <c r="S57" s="76"/>
      <c r="T57" s="76"/>
      <c r="U57" s="76"/>
      <c r="V57" s="76"/>
      <c r="W57" s="76"/>
    </row>
    <row r="58" spans="1:23">
      <c r="A58" s="84" t="s">
        <v>189</v>
      </c>
      <c r="B58" s="85" t="s">
        <v>188</v>
      </c>
      <c r="C58" s="85" t="s">
        <v>74</v>
      </c>
      <c r="D58" s="84" t="s">
        <v>84</v>
      </c>
      <c r="E58" s="84">
        <f>VLOOKUP(A58,'2a. SI Pop'!$A$5:$E$198,5,FALSE)</f>
        <v>2</v>
      </c>
      <c r="F58" s="84">
        <v>2038</v>
      </c>
      <c r="G58" s="3">
        <f t="shared" si="31"/>
        <v>0</v>
      </c>
      <c r="H58" s="3">
        <f t="shared" si="31"/>
        <v>0</v>
      </c>
      <c r="I58" s="3">
        <f t="shared" si="31"/>
        <v>0</v>
      </c>
      <c r="J58" s="3">
        <f t="shared" si="31"/>
        <v>0</v>
      </c>
      <c r="K58" s="3">
        <f t="shared" si="31"/>
        <v>0</v>
      </c>
      <c r="L58" s="3">
        <f t="shared" si="31"/>
        <v>0</v>
      </c>
      <c r="M58" s="3">
        <f t="shared" si="31"/>
        <v>0</v>
      </c>
      <c r="N58" s="3">
        <f t="shared" si="31"/>
        <v>0</v>
      </c>
      <c r="O58" s="3">
        <f t="shared" si="31"/>
        <v>0.3</v>
      </c>
      <c r="P58" s="3">
        <f t="shared" si="31"/>
        <v>0.3</v>
      </c>
      <c r="Q58" s="3">
        <f t="shared" si="31"/>
        <v>0.3</v>
      </c>
      <c r="R58" s="76"/>
      <c r="S58" s="76"/>
      <c r="T58" s="76"/>
      <c r="U58" s="76"/>
      <c r="V58" s="76"/>
      <c r="W58" s="76"/>
    </row>
    <row r="59" spans="1:23">
      <c r="A59" s="84" t="s">
        <v>191</v>
      </c>
      <c r="B59" s="85" t="s">
        <v>190</v>
      </c>
      <c r="C59" s="85" t="s">
        <v>92</v>
      </c>
      <c r="D59" s="84" t="s">
        <v>84</v>
      </c>
      <c r="E59" s="84">
        <f>VLOOKUP(A59,'2a. SI Pop'!$A$5:$E$198,5,FALSE)</f>
        <v>1</v>
      </c>
      <c r="F59" s="84">
        <v>2041</v>
      </c>
      <c r="G59" s="3">
        <f t="shared" ref="G59:Q59" si="32">IF($F59&lt;=G$4,5%,0)</f>
        <v>0</v>
      </c>
      <c r="H59" s="3">
        <f t="shared" si="32"/>
        <v>0</v>
      </c>
      <c r="I59" s="3">
        <f t="shared" si="32"/>
        <v>0</v>
      </c>
      <c r="J59" s="3">
        <f t="shared" si="32"/>
        <v>0</v>
      </c>
      <c r="K59" s="3">
        <f t="shared" si="32"/>
        <v>0</v>
      </c>
      <c r="L59" s="3">
        <f t="shared" si="32"/>
        <v>0</v>
      </c>
      <c r="M59" s="3">
        <f t="shared" si="32"/>
        <v>0</v>
      </c>
      <c r="N59" s="3">
        <f t="shared" si="32"/>
        <v>0</v>
      </c>
      <c r="O59" s="3">
        <f t="shared" si="32"/>
        <v>0</v>
      </c>
      <c r="P59" s="3">
        <f t="shared" si="32"/>
        <v>0</v>
      </c>
      <c r="Q59" s="3">
        <f t="shared" si="32"/>
        <v>0</v>
      </c>
      <c r="R59" s="76"/>
      <c r="S59" s="76"/>
      <c r="T59" s="76"/>
      <c r="U59" s="76"/>
      <c r="V59" s="76"/>
      <c r="W59" s="76"/>
    </row>
    <row r="60" spans="1:23">
      <c r="A60" s="84" t="s">
        <v>193</v>
      </c>
      <c r="B60" s="85" t="s">
        <v>192</v>
      </c>
      <c r="C60" s="85" t="s">
        <v>83</v>
      </c>
      <c r="D60" s="84" t="s">
        <v>80</v>
      </c>
      <c r="E60" s="84">
        <f>VLOOKUP(A60,'2a. SI Pop'!$A$5:$E$198,5,FALSE)</f>
        <v>3</v>
      </c>
      <c r="F60" s="84">
        <v>2035</v>
      </c>
      <c r="G60" s="3">
        <f t="shared" ref="G60:Q61" si="33">IF($F60&lt;=G$4,80%,0)</f>
        <v>0</v>
      </c>
      <c r="H60" s="3">
        <f t="shared" si="33"/>
        <v>0</v>
      </c>
      <c r="I60" s="3">
        <f t="shared" si="33"/>
        <v>0</v>
      </c>
      <c r="J60" s="3">
        <f t="shared" si="33"/>
        <v>0</v>
      </c>
      <c r="K60" s="3">
        <f t="shared" si="33"/>
        <v>0</v>
      </c>
      <c r="L60" s="3">
        <f t="shared" si="33"/>
        <v>0.8</v>
      </c>
      <c r="M60" s="3">
        <f t="shared" si="33"/>
        <v>0.8</v>
      </c>
      <c r="N60" s="3">
        <f t="shared" si="33"/>
        <v>0.8</v>
      </c>
      <c r="O60" s="3">
        <f t="shared" si="33"/>
        <v>0.8</v>
      </c>
      <c r="P60" s="3">
        <f t="shared" si="33"/>
        <v>0.8</v>
      </c>
      <c r="Q60" s="3">
        <f t="shared" si="33"/>
        <v>0.8</v>
      </c>
      <c r="R60" s="76"/>
      <c r="S60" s="76"/>
      <c r="T60" s="76"/>
      <c r="U60" s="76"/>
      <c r="V60" s="76"/>
      <c r="W60" s="76"/>
    </row>
    <row r="61" spans="1:23">
      <c r="A61" s="84" t="s">
        <v>195</v>
      </c>
      <c r="B61" s="85" t="s">
        <v>194</v>
      </c>
      <c r="C61" s="85" t="s">
        <v>83</v>
      </c>
      <c r="D61" s="84" t="s">
        <v>75</v>
      </c>
      <c r="E61" s="84">
        <f>VLOOKUP(A61,'2a. SI Pop'!$A$5:$E$198,5,FALSE)</f>
        <v>3</v>
      </c>
      <c r="F61" s="84">
        <v>2038</v>
      </c>
      <c r="G61" s="3">
        <f t="shared" si="33"/>
        <v>0</v>
      </c>
      <c r="H61" s="3">
        <f t="shared" si="33"/>
        <v>0</v>
      </c>
      <c r="I61" s="3">
        <f t="shared" si="33"/>
        <v>0</v>
      </c>
      <c r="J61" s="3">
        <f t="shared" si="33"/>
        <v>0</v>
      </c>
      <c r="K61" s="3">
        <f t="shared" si="33"/>
        <v>0</v>
      </c>
      <c r="L61" s="3">
        <f t="shared" si="33"/>
        <v>0</v>
      </c>
      <c r="M61" s="3">
        <f t="shared" si="33"/>
        <v>0</v>
      </c>
      <c r="N61" s="3">
        <f t="shared" si="33"/>
        <v>0</v>
      </c>
      <c r="O61" s="3">
        <f t="shared" si="33"/>
        <v>0.8</v>
      </c>
      <c r="P61" s="3">
        <f t="shared" si="33"/>
        <v>0.8</v>
      </c>
      <c r="Q61" s="3">
        <f t="shared" si="33"/>
        <v>0.8</v>
      </c>
      <c r="R61" s="76"/>
      <c r="S61" s="76"/>
      <c r="T61" s="76"/>
      <c r="U61" s="76"/>
      <c r="V61" s="76"/>
      <c r="W61" s="76"/>
    </row>
    <row r="62" spans="1:23">
      <c r="A62" s="84" t="s">
        <v>197</v>
      </c>
      <c r="B62" s="85" t="s">
        <v>196</v>
      </c>
      <c r="C62" s="85" t="s">
        <v>79</v>
      </c>
      <c r="D62" s="84" t="s">
        <v>87</v>
      </c>
      <c r="E62" s="84">
        <f>VLOOKUP(A62,'2a. SI Pop'!$A$5:$E$198,5,FALSE)</f>
        <v>1</v>
      </c>
      <c r="F62" s="84">
        <v>2038</v>
      </c>
      <c r="G62" s="3">
        <f t="shared" ref="G62:Q62" si="34">IF($F62&lt;=G$4,5%,0)</f>
        <v>0</v>
      </c>
      <c r="H62" s="3">
        <f t="shared" si="34"/>
        <v>0</v>
      </c>
      <c r="I62" s="3">
        <f t="shared" si="34"/>
        <v>0</v>
      </c>
      <c r="J62" s="3">
        <f t="shared" si="34"/>
        <v>0</v>
      </c>
      <c r="K62" s="3">
        <f t="shared" si="34"/>
        <v>0</v>
      </c>
      <c r="L62" s="3">
        <f t="shared" si="34"/>
        <v>0</v>
      </c>
      <c r="M62" s="3">
        <f t="shared" si="34"/>
        <v>0</v>
      </c>
      <c r="N62" s="3">
        <f t="shared" si="34"/>
        <v>0</v>
      </c>
      <c r="O62" s="3">
        <f t="shared" si="34"/>
        <v>0.05</v>
      </c>
      <c r="P62" s="3">
        <f t="shared" si="34"/>
        <v>0.05</v>
      </c>
      <c r="Q62" s="3">
        <f t="shared" si="34"/>
        <v>0.05</v>
      </c>
      <c r="R62" s="76"/>
      <c r="S62" s="76"/>
      <c r="T62" s="76"/>
      <c r="U62" s="76"/>
      <c r="V62" s="76"/>
      <c r="W62" s="76"/>
    </row>
    <row r="63" spans="1:23">
      <c r="A63" s="84" t="s">
        <v>199</v>
      </c>
      <c r="B63" s="85" t="s">
        <v>198</v>
      </c>
      <c r="C63" s="85" t="s">
        <v>83</v>
      </c>
      <c r="D63" s="84" t="s">
        <v>75</v>
      </c>
      <c r="E63" s="84" t="str">
        <f>VLOOKUP(A63,'2a. SI Pop'!$A$5:$E$198,5,FALSE)</f>
        <v>Key</v>
      </c>
      <c r="F63" s="84">
        <v>2033</v>
      </c>
      <c r="G63" s="3">
        <f t="shared" ref="G63:Q64" si="35">IF($F63&lt;=G$4,80%,0)</f>
        <v>0</v>
      </c>
      <c r="H63" s="3">
        <f t="shared" si="35"/>
        <v>0</v>
      </c>
      <c r="I63" s="3">
        <f t="shared" si="35"/>
        <v>0</v>
      </c>
      <c r="J63" s="3">
        <f t="shared" si="35"/>
        <v>0.8</v>
      </c>
      <c r="K63" s="3">
        <f t="shared" si="35"/>
        <v>0.8</v>
      </c>
      <c r="L63" s="3">
        <f t="shared" si="35"/>
        <v>0.8</v>
      </c>
      <c r="M63" s="3">
        <f t="shared" si="35"/>
        <v>0.8</v>
      </c>
      <c r="N63" s="3">
        <f t="shared" si="35"/>
        <v>0.8</v>
      </c>
      <c r="O63" s="3">
        <f t="shared" si="35"/>
        <v>0.8</v>
      </c>
      <c r="P63" s="3">
        <f t="shared" si="35"/>
        <v>0.8</v>
      </c>
      <c r="Q63" s="3">
        <f t="shared" si="35"/>
        <v>0.8</v>
      </c>
      <c r="R63" s="76"/>
      <c r="S63" s="76"/>
      <c r="T63" s="76"/>
      <c r="U63" s="76"/>
      <c r="V63" s="76"/>
      <c r="W63" s="76"/>
    </row>
    <row r="64" spans="1:23">
      <c r="A64" s="84" t="s">
        <v>201</v>
      </c>
      <c r="B64" s="85" t="s">
        <v>200</v>
      </c>
      <c r="C64" s="85" t="s">
        <v>99</v>
      </c>
      <c r="D64" s="84" t="s">
        <v>80</v>
      </c>
      <c r="E64" s="84">
        <f>VLOOKUP(A64,'2a. SI Pop'!$A$5:$E$198,5,FALSE)</f>
        <v>4</v>
      </c>
      <c r="F64" s="84">
        <v>2034</v>
      </c>
      <c r="G64" s="3">
        <f t="shared" si="35"/>
        <v>0</v>
      </c>
      <c r="H64" s="3">
        <f t="shared" si="35"/>
        <v>0</v>
      </c>
      <c r="I64" s="3">
        <f t="shared" si="35"/>
        <v>0</v>
      </c>
      <c r="J64" s="3">
        <f t="shared" si="35"/>
        <v>0</v>
      </c>
      <c r="K64" s="3">
        <f t="shared" si="35"/>
        <v>0.8</v>
      </c>
      <c r="L64" s="3">
        <f t="shared" si="35"/>
        <v>0.8</v>
      </c>
      <c r="M64" s="3">
        <f t="shared" si="35"/>
        <v>0.8</v>
      </c>
      <c r="N64" s="3">
        <f t="shared" si="35"/>
        <v>0.8</v>
      </c>
      <c r="O64" s="3">
        <f t="shared" si="35"/>
        <v>0.8</v>
      </c>
      <c r="P64" s="3">
        <f t="shared" si="35"/>
        <v>0.8</v>
      </c>
      <c r="Q64" s="3">
        <f t="shared" si="35"/>
        <v>0.8</v>
      </c>
      <c r="R64" s="76"/>
      <c r="S64" s="76"/>
      <c r="T64" s="76"/>
      <c r="U64" s="76"/>
      <c r="V64" s="76"/>
      <c r="W64" s="76"/>
    </row>
    <row r="65" spans="1:23">
      <c r="A65" s="84" t="s">
        <v>203</v>
      </c>
      <c r="B65" s="85" t="s">
        <v>202</v>
      </c>
      <c r="C65" s="85" t="s">
        <v>79</v>
      </c>
      <c r="D65" s="84" t="s">
        <v>87</v>
      </c>
      <c r="E65" s="84">
        <f>VLOOKUP(A65,'2a. SI Pop'!$A$5:$E$198,5,FALSE)</f>
        <v>1</v>
      </c>
      <c r="F65" s="84">
        <v>2035</v>
      </c>
      <c r="G65" s="3">
        <f t="shared" ref="G65:Q66" si="36">IF($F65&lt;=G$4,5%,0)</f>
        <v>0</v>
      </c>
      <c r="H65" s="3">
        <f t="shared" si="36"/>
        <v>0</v>
      </c>
      <c r="I65" s="3">
        <f t="shared" si="36"/>
        <v>0</v>
      </c>
      <c r="J65" s="3">
        <f t="shared" si="36"/>
        <v>0</v>
      </c>
      <c r="K65" s="3">
        <f t="shared" si="36"/>
        <v>0</v>
      </c>
      <c r="L65" s="3">
        <f t="shared" si="36"/>
        <v>0.05</v>
      </c>
      <c r="M65" s="3">
        <f t="shared" si="36"/>
        <v>0.05</v>
      </c>
      <c r="N65" s="3">
        <f t="shared" si="36"/>
        <v>0.05</v>
      </c>
      <c r="O65" s="3">
        <f t="shared" si="36"/>
        <v>0.05</v>
      </c>
      <c r="P65" s="3">
        <f t="shared" si="36"/>
        <v>0.05</v>
      </c>
      <c r="Q65" s="3">
        <f t="shared" si="36"/>
        <v>0.05</v>
      </c>
      <c r="R65" s="76"/>
      <c r="S65" s="76"/>
      <c r="T65" s="76"/>
      <c r="U65" s="76"/>
      <c r="V65" s="76"/>
      <c r="W65" s="76"/>
    </row>
    <row r="66" spans="1:23">
      <c r="A66" s="84" t="s">
        <v>205</v>
      </c>
      <c r="B66" s="85" t="s">
        <v>204</v>
      </c>
      <c r="C66" s="85" t="s">
        <v>79</v>
      </c>
      <c r="D66" s="84" t="s">
        <v>87</v>
      </c>
      <c r="E66" s="84">
        <f>VLOOKUP(A66,'2a. SI Pop'!$A$5:$E$198,5,FALSE)</f>
        <v>1</v>
      </c>
      <c r="F66" s="84">
        <v>2030</v>
      </c>
      <c r="G66" s="3">
        <f t="shared" si="36"/>
        <v>0.05</v>
      </c>
      <c r="H66" s="3">
        <f t="shared" si="36"/>
        <v>0.05</v>
      </c>
      <c r="I66" s="3">
        <f t="shared" si="36"/>
        <v>0.05</v>
      </c>
      <c r="J66" s="3">
        <f t="shared" si="36"/>
        <v>0.05</v>
      </c>
      <c r="K66" s="3">
        <f t="shared" si="36"/>
        <v>0.05</v>
      </c>
      <c r="L66" s="3">
        <f t="shared" si="36"/>
        <v>0.05</v>
      </c>
      <c r="M66" s="3">
        <f t="shared" si="36"/>
        <v>0.05</v>
      </c>
      <c r="N66" s="3">
        <f t="shared" si="36"/>
        <v>0.05</v>
      </c>
      <c r="O66" s="3">
        <f t="shared" si="36"/>
        <v>0.05</v>
      </c>
      <c r="P66" s="3">
        <f t="shared" si="36"/>
        <v>0.05</v>
      </c>
      <c r="Q66" s="3">
        <f t="shared" si="36"/>
        <v>0.05</v>
      </c>
      <c r="R66" s="76"/>
      <c r="S66" s="76"/>
      <c r="T66" s="76"/>
      <c r="U66" s="76"/>
      <c r="V66" s="76"/>
      <c r="W66" s="76"/>
    </row>
    <row r="67" spans="1:23">
      <c r="A67" s="84" t="s">
        <v>207</v>
      </c>
      <c r="B67" s="85" t="s">
        <v>206</v>
      </c>
      <c r="C67" s="85" t="s">
        <v>83</v>
      </c>
      <c r="D67" s="84" t="s">
        <v>80</v>
      </c>
      <c r="E67" s="84">
        <f>VLOOKUP(A67,'2a. SI Pop'!$A$5:$E$198,5,FALSE)</f>
        <v>3</v>
      </c>
      <c r="F67" s="84">
        <v>2035</v>
      </c>
      <c r="G67" s="3">
        <f t="shared" ref="G67:Q68" si="37">IF($F67&lt;=G$4,80%,0)</f>
        <v>0</v>
      </c>
      <c r="H67" s="3">
        <f t="shared" si="37"/>
        <v>0</v>
      </c>
      <c r="I67" s="3">
        <f t="shared" si="37"/>
        <v>0</v>
      </c>
      <c r="J67" s="3">
        <f t="shared" si="37"/>
        <v>0</v>
      </c>
      <c r="K67" s="3">
        <f t="shared" si="37"/>
        <v>0</v>
      </c>
      <c r="L67" s="3">
        <f t="shared" si="37"/>
        <v>0.8</v>
      </c>
      <c r="M67" s="3">
        <f t="shared" si="37"/>
        <v>0.8</v>
      </c>
      <c r="N67" s="3">
        <f t="shared" si="37"/>
        <v>0.8</v>
      </c>
      <c r="O67" s="3">
        <f t="shared" si="37"/>
        <v>0.8</v>
      </c>
      <c r="P67" s="3">
        <f t="shared" si="37"/>
        <v>0.8</v>
      </c>
      <c r="Q67" s="3">
        <f t="shared" si="37"/>
        <v>0.8</v>
      </c>
      <c r="R67" s="76"/>
      <c r="S67" s="76"/>
      <c r="T67" s="76"/>
      <c r="U67" s="76"/>
      <c r="V67" s="76"/>
      <c r="W67" s="76"/>
    </row>
    <row r="68" spans="1:23">
      <c r="A68" s="84" t="s">
        <v>209</v>
      </c>
      <c r="B68" s="85" t="s">
        <v>208</v>
      </c>
      <c r="C68" s="85" t="s">
        <v>83</v>
      </c>
      <c r="D68" s="84" t="s">
        <v>75</v>
      </c>
      <c r="E68" s="84">
        <f>VLOOKUP(A68,'2a. SI Pop'!$A$5:$E$198,5,FALSE)</f>
        <v>3</v>
      </c>
      <c r="F68" s="84">
        <v>2035</v>
      </c>
      <c r="G68" s="3">
        <f t="shared" si="37"/>
        <v>0</v>
      </c>
      <c r="H68" s="3">
        <f t="shared" si="37"/>
        <v>0</v>
      </c>
      <c r="I68" s="3">
        <f t="shared" si="37"/>
        <v>0</v>
      </c>
      <c r="J68" s="3">
        <f t="shared" si="37"/>
        <v>0</v>
      </c>
      <c r="K68" s="3">
        <f t="shared" si="37"/>
        <v>0</v>
      </c>
      <c r="L68" s="3">
        <f t="shared" si="37"/>
        <v>0.8</v>
      </c>
      <c r="M68" s="3">
        <f t="shared" si="37"/>
        <v>0.8</v>
      </c>
      <c r="N68" s="3">
        <f t="shared" si="37"/>
        <v>0.8</v>
      </c>
      <c r="O68" s="3">
        <f t="shared" si="37"/>
        <v>0.8</v>
      </c>
      <c r="P68" s="3">
        <f t="shared" si="37"/>
        <v>0.8</v>
      </c>
      <c r="Q68" s="3">
        <f t="shared" si="37"/>
        <v>0.8</v>
      </c>
      <c r="R68" s="76"/>
      <c r="S68" s="76"/>
      <c r="T68" s="76"/>
      <c r="U68" s="76"/>
      <c r="V68" s="76"/>
      <c r="W68" s="76"/>
    </row>
    <row r="69" spans="1:23">
      <c r="A69" s="84" t="s">
        <v>211</v>
      </c>
      <c r="B69" s="85" t="s">
        <v>210</v>
      </c>
      <c r="C69" s="85" t="s">
        <v>79</v>
      </c>
      <c r="D69" s="84" t="s">
        <v>80</v>
      </c>
      <c r="E69" s="84">
        <f>VLOOKUP(A69,'2a. SI Pop'!$A$5:$E$198,5,FALSE)</f>
        <v>1</v>
      </c>
      <c r="F69" s="84">
        <v>2037</v>
      </c>
      <c r="G69" s="3">
        <f t="shared" ref="G69:Q70" si="38">IF($F69&lt;=G$4,5%,0)</f>
        <v>0</v>
      </c>
      <c r="H69" s="3">
        <f t="shared" si="38"/>
        <v>0</v>
      </c>
      <c r="I69" s="3">
        <f t="shared" si="38"/>
        <v>0</v>
      </c>
      <c r="J69" s="3">
        <f t="shared" si="38"/>
        <v>0</v>
      </c>
      <c r="K69" s="3">
        <f t="shared" si="38"/>
        <v>0</v>
      </c>
      <c r="L69" s="3">
        <f t="shared" si="38"/>
        <v>0</v>
      </c>
      <c r="M69" s="3">
        <f t="shared" si="38"/>
        <v>0</v>
      </c>
      <c r="N69" s="3">
        <f t="shared" si="38"/>
        <v>0.05</v>
      </c>
      <c r="O69" s="3">
        <f t="shared" si="38"/>
        <v>0.05</v>
      </c>
      <c r="P69" s="3">
        <f t="shared" si="38"/>
        <v>0.05</v>
      </c>
      <c r="Q69" s="3">
        <f t="shared" si="38"/>
        <v>0.05</v>
      </c>
      <c r="R69" s="76"/>
      <c r="S69" s="76"/>
      <c r="T69" s="76"/>
      <c r="U69" s="76"/>
      <c r="V69" s="76"/>
      <c r="W69" s="76"/>
    </row>
    <row r="70" spans="1:23">
      <c r="A70" s="84" t="s">
        <v>213</v>
      </c>
      <c r="B70" s="85" t="s">
        <v>212</v>
      </c>
      <c r="C70" s="85" t="s">
        <v>79</v>
      </c>
      <c r="D70" s="84" t="s">
        <v>87</v>
      </c>
      <c r="E70" s="84">
        <f>VLOOKUP(A70,'2a. SI Pop'!$A$5:$E$198,5,FALSE)</f>
        <v>1</v>
      </c>
      <c r="F70" s="84">
        <v>2030</v>
      </c>
      <c r="G70" s="3">
        <f t="shared" si="38"/>
        <v>0.05</v>
      </c>
      <c r="H70" s="3">
        <f t="shared" si="38"/>
        <v>0.05</v>
      </c>
      <c r="I70" s="3">
        <f t="shared" si="38"/>
        <v>0.05</v>
      </c>
      <c r="J70" s="3">
        <f t="shared" si="38"/>
        <v>0.05</v>
      </c>
      <c r="K70" s="3">
        <f t="shared" si="38"/>
        <v>0.05</v>
      </c>
      <c r="L70" s="3">
        <f t="shared" si="38"/>
        <v>0.05</v>
      </c>
      <c r="M70" s="3">
        <f t="shared" si="38"/>
        <v>0.05</v>
      </c>
      <c r="N70" s="3">
        <f t="shared" si="38"/>
        <v>0.05</v>
      </c>
      <c r="O70" s="3">
        <f t="shared" si="38"/>
        <v>0.05</v>
      </c>
      <c r="P70" s="3">
        <f t="shared" si="38"/>
        <v>0.05</v>
      </c>
      <c r="Q70" s="3">
        <f t="shared" si="38"/>
        <v>0.05</v>
      </c>
      <c r="R70" s="76"/>
      <c r="S70" s="76"/>
      <c r="T70" s="76"/>
      <c r="U70" s="76"/>
      <c r="V70" s="76"/>
      <c r="W70" s="76"/>
    </row>
    <row r="71" spans="1:23">
      <c r="A71" s="84" t="s">
        <v>215</v>
      </c>
      <c r="B71" s="85" t="s">
        <v>214</v>
      </c>
      <c r="C71" s="85" t="s">
        <v>83</v>
      </c>
      <c r="D71" s="84" t="s">
        <v>84</v>
      </c>
      <c r="E71" s="84">
        <f>VLOOKUP(A71,'2a. SI Pop'!$A$5:$E$198,5,FALSE)</f>
        <v>3</v>
      </c>
      <c r="F71" s="84">
        <v>2032</v>
      </c>
      <c r="G71" s="3">
        <f t="shared" ref="G71:Q71" si="39">IF($F71&lt;=G$4,80%,0)</f>
        <v>0</v>
      </c>
      <c r="H71" s="3">
        <f t="shared" si="39"/>
        <v>0</v>
      </c>
      <c r="I71" s="3">
        <f t="shared" si="39"/>
        <v>0.8</v>
      </c>
      <c r="J71" s="3">
        <f t="shared" si="39"/>
        <v>0.8</v>
      </c>
      <c r="K71" s="3">
        <f t="shared" si="39"/>
        <v>0.8</v>
      </c>
      <c r="L71" s="3">
        <f t="shared" si="39"/>
        <v>0.8</v>
      </c>
      <c r="M71" s="3">
        <f t="shared" si="39"/>
        <v>0.8</v>
      </c>
      <c r="N71" s="3">
        <f t="shared" si="39"/>
        <v>0.8</v>
      </c>
      <c r="O71" s="3">
        <f t="shared" si="39"/>
        <v>0.8</v>
      </c>
      <c r="P71" s="3">
        <f t="shared" si="39"/>
        <v>0.8</v>
      </c>
      <c r="Q71" s="3">
        <f t="shared" si="39"/>
        <v>0.8</v>
      </c>
      <c r="R71" s="76"/>
      <c r="S71" s="76"/>
      <c r="T71" s="76"/>
      <c r="U71" s="76"/>
      <c r="V71" s="76"/>
      <c r="W71" s="76"/>
    </row>
    <row r="72" spans="1:23">
      <c r="A72" s="84" t="s">
        <v>217</v>
      </c>
      <c r="B72" s="85" t="s">
        <v>216</v>
      </c>
      <c r="C72" s="85" t="s">
        <v>79</v>
      </c>
      <c r="D72" s="84" t="s">
        <v>87</v>
      </c>
      <c r="E72" s="84">
        <f>VLOOKUP(A72,'2a. SI Pop'!$A$5:$E$198,5,FALSE)</f>
        <v>1</v>
      </c>
      <c r="F72" s="84">
        <v>2031</v>
      </c>
      <c r="G72" s="3">
        <f t="shared" ref="G72:Q74" si="40">IF($F72&lt;=G$4,5%,0)</f>
        <v>0</v>
      </c>
      <c r="H72" s="3">
        <f t="shared" si="40"/>
        <v>0.05</v>
      </c>
      <c r="I72" s="3">
        <f t="shared" si="40"/>
        <v>0.05</v>
      </c>
      <c r="J72" s="3">
        <f t="shared" si="40"/>
        <v>0.05</v>
      </c>
      <c r="K72" s="3">
        <f t="shared" si="40"/>
        <v>0.05</v>
      </c>
      <c r="L72" s="3">
        <f t="shared" si="40"/>
        <v>0.05</v>
      </c>
      <c r="M72" s="3">
        <f t="shared" si="40"/>
        <v>0.05</v>
      </c>
      <c r="N72" s="3">
        <f t="shared" si="40"/>
        <v>0.05</v>
      </c>
      <c r="O72" s="3">
        <f t="shared" si="40"/>
        <v>0.05</v>
      </c>
      <c r="P72" s="3">
        <f t="shared" si="40"/>
        <v>0.05</v>
      </c>
      <c r="Q72" s="3">
        <f t="shared" si="40"/>
        <v>0.05</v>
      </c>
      <c r="R72" s="76"/>
      <c r="S72" s="76"/>
      <c r="T72" s="76"/>
      <c r="U72" s="76"/>
      <c r="V72" s="76"/>
      <c r="W72" s="76"/>
    </row>
    <row r="73" spans="1:23">
      <c r="A73" s="84" t="s">
        <v>219</v>
      </c>
      <c r="B73" s="85" t="s">
        <v>218</v>
      </c>
      <c r="C73" s="85" t="s">
        <v>92</v>
      </c>
      <c r="D73" s="84" t="s">
        <v>80</v>
      </c>
      <c r="E73" s="84">
        <f>VLOOKUP(A73,'2a. SI Pop'!$A$5:$E$198,5,FALSE)</f>
        <v>1</v>
      </c>
      <c r="F73" s="84">
        <v>2041</v>
      </c>
      <c r="G73" s="3">
        <f t="shared" si="40"/>
        <v>0</v>
      </c>
      <c r="H73" s="3">
        <f t="shared" si="40"/>
        <v>0</v>
      </c>
      <c r="I73" s="3">
        <f t="shared" si="40"/>
        <v>0</v>
      </c>
      <c r="J73" s="3">
        <f t="shared" si="40"/>
        <v>0</v>
      </c>
      <c r="K73" s="3">
        <f t="shared" si="40"/>
        <v>0</v>
      </c>
      <c r="L73" s="3">
        <f t="shared" si="40"/>
        <v>0</v>
      </c>
      <c r="M73" s="3">
        <f t="shared" si="40"/>
        <v>0</v>
      </c>
      <c r="N73" s="3">
        <f t="shared" si="40"/>
        <v>0</v>
      </c>
      <c r="O73" s="3">
        <f t="shared" si="40"/>
        <v>0</v>
      </c>
      <c r="P73" s="3">
        <f t="shared" si="40"/>
        <v>0</v>
      </c>
      <c r="Q73" s="3">
        <f t="shared" si="40"/>
        <v>0</v>
      </c>
      <c r="R73" s="76"/>
      <c r="S73" s="76"/>
      <c r="T73" s="76"/>
      <c r="U73" s="76"/>
      <c r="V73" s="76"/>
      <c r="W73" s="76"/>
    </row>
    <row r="74" spans="1:23">
      <c r="A74" s="84" t="s">
        <v>221</v>
      </c>
      <c r="B74" s="85" t="s">
        <v>220</v>
      </c>
      <c r="C74" s="85" t="s">
        <v>92</v>
      </c>
      <c r="D74" s="84" t="s">
        <v>80</v>
      </c>
      <c r="E74" s="84">
        <f>VLOOKUP(A74,'2a. SI Pop'!$A$5:$E$198,5,FALSE)</f>
        <v>1</v>
      </c>
      <c r="F74" s="84">
        <v>2040</v>
      </c>
      <c r="G74" s="3">
        <f t="shared" si="40"/>
        <v>0</v>
      </c>
      <c r="H74" s="3">
        <f t="shared" si="40"/>
        <v>0</v>
      </c>
      <c r="I74" s="3">
        <f t="shared" si="40"/>
        <v>0</v>
      </c>
      <c r="J74" s="3">
        <f t="shared" si="40"/>
        <v>0</v>
      </c>
      <c r="K74" s="3">
        <f t="shared" si="40"/>
        <v>0</v>
      </c>
      <c r="L74" s="3">
        <f t="shared" si="40"/>
        <v>0</v>
      </c>
      <c r="M74" s="3">
        <f t="shared" si="40"/>
        <v>0</v>
      </c>
      <c r="N74" s="3">
        <f t="shared" si="40"/>
        <v>0</v>
      </c>
      <c r="O74" s="3">
        <f t="shared" si="40"/>
        <v>0</v>
      </c>
      <c r="P74" s="3">
        <f t="shared" si="40"/>
        <v>0</v>
      </c>
      <c r="Q74" s="3">
        <f t="shared" si="40"/>
        <v>0.05</v>
      </c>
      <c r="R74" s="76"/>
      <c r="S74" s="76"/>
      <c r="T74" s="76"/>
      <c r="U74" s="76"/>
      <c r="V74" s="76"/>
      <c r="W74" s="76"/>
    </row>
    <row r="75" spans="1:23">
      <c r="A75" s="84" t="s">
        <v>223</v>
      </c>
      <c r="B75" s="85" t="s">
        <v>222</v>
      </c>
      <c r="C75" s="85" t="s">
        <v>83</v>
      </c>
      <c r="D75" s="84" t="s">
        <v>75</v>
      </c>
      <c r="E75" s="84">
        <f>VLOOKUP(A75,'2a. SI Pop'!$A$5:$E$198,5,FALSE)</f>
        <v>3</v>
      </c>
      <c r="F75" s="84">
        <v>2034</v>
      </c>
      <c r="G75" s="3">
        <f t="shared" ref="G75:Q76" si="41">IF($F75&lt;=G$4,80%,0)</f>
        <v>0</v>
      </c>
      <c r="H75" s="3">
        <f t="shared" si="41"/>
        <v>0</v>
      </c>
      <c r="I75" s="3">
        <f t="shared" si="41"/>
        <v>0</v>
      </c>
      <c r="J75" s="3">
        <f t="shared" si="41"/>
        <v>0</v>
      </c>
      <c r="K75" s="3">
        <f t="shared" si="41"/>
        <v>0.8</v>
      </c>
      <c r="L75" s="3">
        <f t="shared" si="41"/>
        <v>0.8</v>
      </c>
      <c r="M75" s="3">
        <f t="shared" si="41"/>
        <v>0.8</v>
      </c>
      <c r="N75" s="3">
        <f t="shared" si="41"/>
        <v>0.8</v>
      </c>
      <c r="O75" s="3">
        <f t="shared" si="41"/>
        <v>0.8</v>
      </c>
      <c r="P75" s="3">
        <f t="shared" si="41"/>
        <v>0.8</v>
      </c>
      <c r="Q75" s="3">
        <f t="shared" si="41"/>
        <v>0.8</v>
      </c>
      <c r="R75" s="76"/>
      <c r="S75" s="76"/>
      <c r="T75" s="76"/>
      <c r="U75" s="76"/>
      <c r="V75" s="76"/>
      <c r="W75" s="76"/>
    </row>
    <row r="76" spans="1:23">
      <c r="A76" s="84" t="s">
        <v>225</v>
      </c>
      <c r="B76" s="85" t="s">
        <v>224</v>
      </c>
      <c r="C76" s="85" t="s">
        <v>83</v>
      </c>
      <c r="D76" s="84" t="s">
        <v>75</v>
      </c>
      <c r="E76" s="84">
        <f>VLOOKUP(A76,'2a. SI Pop'!$A$5:$E$198,5,FALSE)</f>
        <v>3</v>
      </c>
      <c r="F76" s="84">
        <v>2038</v>
      </c>
      <c r="G76" s="3">
        <f t="shared" si="41"/>
        <v>0</v>
      </c>
      <c r="H76" s="3">
        <f t="shared" si="41"/>
        <v>0</v>
      </c>
      <c r="I76" s="3">
        <f t="shared" si="41"/>
        <v>0</v>
      </c>
      <c r="J76" s="3">
        <f t="shared" si="41"/>
        <v>0</v>
      </c>
      <c r="K76" s="3">
        <f t="shared" si="41"/>
        <v>0</v>
      </c>
      <c r="L76" s="3">
        <f t="shared" si="41"/>
        <v>0</v>
      </c>
      <c r="M76" s="3">
        <f t="shared" si="41"/>
        <v>0</v>
      </c>
      <c r="N76" s="3">
        <f t="shared" si="41"/>
        <v>0</v>
      </c>
      <c r="O76" s="3">
        <f t="shared" si="41"/>
        <v>0.8</v>
      </c>
      <c r="P76" s="3">
        <f t="shared" si="41"/>
        <v>0.8</v>
      </c>
      <c r="Q76" s="3">
        <f t="shared" si="41"/>
        <v>0.8</v>
      </c>
      <c r="R76" s="76"/>
      <c r="S76" s="76"/>
      <c r="T76" s="76"/>
      <c r="U76" s="76"/>
      <c r="V76" s="76"/>
      <c r="W76" s="76"/>
    </row>
    <row r="77" spans="1:23">
      <c r="A77" s="84" t="s">
        <v>227</v>
      </c>
      <c r="B77" s="85" t="s">
        <v>226</v>
      </c>
      <c r="C77" s="85" t="s">
        <v>92</v>
      </c>
      <c r="D77" s="84" t="s">
        <v>80</v>
      </c>
      <c r="E77" s="84">
        <f>VLOOKUP(A77,'2a. SI Pop'!$A$5:$E$198,5,FALSE)</f>
        <v>2</v>
      </c>
      <c r="F77" s="84">
        <v>2039</v>
      </c>
      <c r="G77" s="3">
        <f t="shared" ref="G77:Q78" si="42">IF($F77&lt;=G$4,30%,0)</f>
        <v>0</v>
      </c>
      <c r="H77" s="3">
        <f t="shared" si="42"/>
        <v>0</v>
      </c>
      <c r="I77" s="3">
        <f t="shared" si="42"/>
        <v>0</v>
      </c>
      <c r="J77" s="3">
        <f t="shared" si="42"/>
        <v>0</v>
      </c>
      <c r="K77" s="3">
        <f t="shared" si="42"/>
        <v>0</v>
      </c>
      <c r="L77" s="3">
        <f t="shared" si="42"/>
        <v>0</v>
      </c>
      <c r="M77" s="3">
        <f t="shared" si="42"/>
        <v>0</v>
      </c>
      <c r="N77" s="3">
        <f t="shared" si="42"/>
        <v>0</v>
      </c>
      <c r="O77" s="3">
        <f t="shared" si="42"/>
        <v>0</v>
      </c>
      <c r="P77" s="3">
        <f t="shared" si="42"/>
        <v>0.3</v>
      </c>
      <c r="Q77" s="3">
        <f t="shared" si="42"/>
        <v>0.3</v>
      </c>
      <c r="R77" s="76"/>
      <c r="S77" s="76"/>
      <c r="T77" s="76"/>
      <c r="U77" s="76"/>
      <c r="V77" s="76"/>
      <c r="W77" s="76"/>
    </row>
    <row r="78" spans="1:23">
      <c r="A78" s="84" t="s">
        <v>229</v>
      </c>
      <c r="B78" s="85" t="s">
        <v>228</v>
      </c>
      <c r="C78" s="85" t="s">
        <v>92</v>
      </c>
      <c r="D78" s="84" t="s">
        <v>75</v>
      </c>
      <c r="E78" s="84">
        <f>VLOOKUP(A78,'2a. SI Pop'!$A$5:$E$198,5,FALSE)</f>
        <v>2</v>
      </c>
      <c r="F78" s="84">
        <v>2042</v>
      </c>
      <c r="G78" s="3">
        <f t="shared" si="42"/>
        <v>0</v>
      </c>
      <c r="H78" s="3">
        <f t="shared" si="42"/>
        <v>0</v>
      </c>
      <c r="I78" s="3">
        <f t="shared" si="42"/>
        <v>0</v>
      </c>
      <c r="J78" s="3">
        <f t="shared" si="42"/>
        <v>0</v>
      </c>
      <c r="K78" s="3">
        <f t="shared" si="42"/>
        <v>0</v>
      </c>
      <c r="L78" s="3">
        <f t="shared" si="42"/>
        <v>0</v>
      </c>
      <c r="M78" s="3">
        <f t="shared" si="42"/>
        <v>0</v>
      </c>
      <c r="N78" s="3">
        <f t="shared" si="42"/>
        <v>0</v>
      </c>
      <c r="O78" s="3">
        <f t="shared" si="42"/>
        <v>0</v>
      </c>
      <c r="P78" s="3">
        <f t="shared" si="42"/>
        <v>0</v>
      </c>
      <c r="Q78" s="3">
        <f t="shared" si="42"/>
        <v>0</v>
      </c>
      <c r="R78" s="76"/>
      <c r="S78" s="76"/>
      <c r="T78" s="76"/>
      <c r="U78" s="76"/>
      <c r="V78" s="76"/>
      <c r="W78" s="76"/>
    </row>
    <row r="79" spans="1:23">
      <c r="A79" s="84" t="s">
        <v>231</v>
      </c>
      <c r="B79" s="85" t="s">
        <v>230</v>
      </c>
      <c r="C79" s="85" t="s">
        <v>92</v>
      </c>
      <c r="D79" s="84" t="s">
        <v>84</v>
      </c>
      <c r="E79" s="84">
        <f>VLOOKUP(A79,'2a. SI Pop'!$A$5:$E$198,5,FALSE)</f>
        <v>1</v>
      </c>
      <c r="F79" s="84">
        <v>2041</v>
      </c>
      <c r="G79" s="3">
        <f t="shared" ref="G79:Q81" si="43">IF($F79&lt;=G$4,5%,0)</f>
        <v>0</v>
      </c>
      <c r="H79" s="3">
        <f t="shared" si="43"/>
        <v>0</v>
      </c>
      <c r="I79" s="3">
        <f t="shared" si="43"/>
        <v>0</v>
      </c>
      <c r="J79" s="3">
        <f t="shared" si="43"/>
        <v>0</v>
      </c>
      <c r="K79" s="3">
        <f t="shared" si="43"/>
        <v>0</v>
      </c>
      <c r="L79" s="3">
        <f t="shared" si="43"/>
        <v>0</v>
      </c>
      <c r="M79" s="3">
        <f t="shared" si="43"/>
        <v>0</v>
      </c>
      <c r="N79" s="3">
        <f t="shared" si="43"/>
        <v>0</v>
      </c>
      <c r="O79" s="3">
        <f t="shared" si="43"/>
        <v>0</v>
      </c>
      <c r="P79" s="3">
        <f t="shared" si="43"/>
        <v>0</v>
      </c>
      <c r="Q79" s="3">
        <f t="shared" si="43"/>
        <v>0</v>
      </c>
      <c r="R79" s="76"/>
      <c r="S79" s="76"/>
      <c r="T79" s="76"/>
      <c r="U79" s="76"/>
      <c r="V79" s="76"/>
      <c r="W79" s="76"/>
    </row>
    <row r="80" spans="1:23">
      <c r="A80" s="84" t="s">
        <v>233</v>
      </c>
      <c r="B80" s="85" t="s">
        <v>232</v>
      </c>
      <c r="C80" s="85" t="s">
        <v>79</v>
      </c>
      <c r="D80" s="84" t="s">
        <v>87</v>
      </c>
      <c r="E80" s="84">
        <f>VLOOKUP(A80,'2a. SI Pop'!$A$5:$E$198,5,FALSE)</f>
        <v>1</v>
      </c>
      <c r="F80" s="84">
        <v>2036</v>
      </c>
      <c r="G80" s="3">
        <f t="shared" si="43"/>
        <v>0</v>
      </c>
      <c r="H80" s="3">
        <f t="shared" si="43"/>
        <v>0</v>
      </c>
      <c r="I80" s="3">
        <f t="shared" si="43"/>
        <v>0</v>
      </c>
      <c r="J80" s="3">
        <f t="shared" si="43"/>
        <v>0</v>
      </c>
      <c r="K80" s="3">
        <f t="shared" si="43"/>
        <v>0</v>
      </c>
      <c r="L80" s="3">
        <f t="shared" si="43"/>
        <v>0</v>
      </c>
      <c r="M80" s="3">
        <f t="shared" si="43"/>
        <v>0.05</v>
      </c>
      <c r="N80" s="3">
        <f t="shared" si="43"/>
        <v>0.05</v>
      </c>
      <c r="O80" s="3">
        <f t="shared" si="43"/>
        <v>0.05</v>
      </c>
      <c r="P80" s="3">
        <f t="shared" si="43"/>
        <v>0.05</v>
      </c>
      <c r="Q80" s="3">
        <f t="shared" si="43"/>
        <v>0.05</v>
      </c>
      <c r="R80" s="76"/>
      <c r="S80" s="76"/>
      <c r="T80" s="76"/>
      <c r="U80" s="76"/>
      <c r="V80" s="76"/>
      <c r="W80" s="76"/>
    </row>
    <row r="81" spans="1:23">
      <c r="A81" s="84" t="s">
        <v>235</v>
      </c>
      <c r="B81" s="85" t="s">
        <v>234</v>
      </c>
      <c r="C81" s="85" t="s">
        <v>79</v>
      </c>
      <c r="D81" s="84" t="s">
        <v>87</v>
      </c>
      <c r="E81" s="84">
        <f>VLOOKUP(A81,'2a. SI Pop'!$A$5:$E$198,5,FALSE)</f>
        <v>1</v>
      </c>
      <c r="F81" s="84">
        <v>2035</v>
      </c>
      <c r="G81" s="3">
        <f t="shared" si="43"/>
        <v>0</v>
      </c>
      <c r="H81" s="3">
        <f t="shared" si="43"/>
        <v>0</v>
      </c>
      <c r="I81" s="3">
        <f t="shared" si="43"/>
        <v>0</v>
      </c>
      <c r="J81" s="3">
        <f t="shared" si="43"/>
        <v>0</v>
      </c>
      <c r="K81" s="3">
        <f t="shared" si="43"/>
        <v>0</v>
      </c>
      <c r="L81" s="3">
        <f t="shared" si="43"/>
        <v>0.05</v>
      </c>
      <c r="M81" s="3">
        <f t="shared" si="43"/>
        <v>0.05</v>
      </c>
      <c r="N81" s="3">
        <f t="shared" si="43"/>
        <v>0.05</v>
      </c>
      <c r="O81" s="3">
        <f t="shared" si="43"/>
        <v>0.05</v>
      </c>
      <c r="P81" s="3">
        <f t="shared" si="43"/>
        <v>0.05</v>
      </c>
      <c r="Q81" s="3">
        <f t="shared" si="43"/>
        <v>0.05</v>
      </c>
      <c r="R81" s="76"/>
      <c r="S81" s="76"/>
      <c r="T81" s="76"/>
      <c r="U81" s="76"/>
      <c r="V81" s="76"/>
      <c r="W81" s="76"/>
    </row>
    <row r="82" spans="1:23">
      <c r="A82" s="84" t="s">
        <v>237</v>
      </c>
      <c r="B82" s="85" t="s">
        <v>236</v>
      </c>
      <c r="C82" s="85" t="s">
        <v>110</v>
      </c>
      <c r="D82" s="84" t="s">
        <v>84</v>
      </c>
      <c r="E82" s="84" t="str">
        <f>VLOOKUP(A82,'2a. SI Pop'!$A$5:$E$198,5,FALSE)</f>
        <v>Key</v>
      </c>
      <c r="F82" s="84">
        <v>2035</v>
      </c>
      <c r="G82" s="3">
        <f t="shared" ref="G82:Q83" si="44">IF($F82&lt;=G$4,80%,0)</f>
        <v>0</v>
      </c>
      <c r="H82" s="3">
        <f t="shared" si="44"/>
        <v>0</v>
      </c>
      <c r="I82" s="3">
        <f t="shared" si="44"/>
        <v>0</v>
      </c>
      <c r="J82" s="3">
        <f t="shared" si="44"/>
        <v>0</v>
      </c>
      <c r="K82" s="3">
        <f t="shared" si="44"/>
        <v>0</v>
      </c>
      <c r="L82" s="3">
        <f t="shared" si="44"/>
        <v>0.8</v>
      </c>
      <c r="M82" s="3">
        <f t="shared" si="44"/>
        <v>0.8</v>
      </c>
      <c r="N82" s="3">
        <f t="shared" si="44"/>
        <v>0.8</v>
      </c>
      <c r="O82" s="3">
        <f t="shared" si="44"/>
        <v>0.8</v>
      </c>
      <c r="P82" s="3">
        <f t="shared" si="44"/>
        <v>0.8</v>
      </c>
      <c r="Q82" s="3">
        <f t="shared" si="44"/>
        <v>0.8</v>
      </c>
      <c r="R82" s="76"/>
      <c r="S82" s="76"/>
      <c r="T82" s="76"/>
      <c r="U82" s="76"/>
      <c r="V82" s="76"/>
      <c r="W82" s="76"/>
    </row>
    <row r="83" spans="1:23">
      <c r="A83" s="84" t="s">
        <v>239</v>
      </c>
      <c r="B83" s="85" t="s">
        <v>238</v>
      </c>
      <c r="C83" s="85" t="s">
        <v>110</v>
      </c>
      <c r="D83" s="84" t="s">
        <v>80</v>
      </c>
      <c r="E83" s="84" t="str">
        <f>VLOOKUP(A83,'2a. SI Pop'!$A$5:$E$198,5,FALSE)</f>
        <v>Key</v>
      </c>
      <c r="F83" s="84">
        <v>2033</v>
      </c>
      <c r="G83" s="3">
        <f t="shared" si="44"/>
        <v>0</v>
      </c>
      <c r="H83" s="3">
        <f t="shared" si="44"/>
        <v>0</v>
      </c>
      <c r="I83" s="3">
        <f t="shared" si="44"/>
        <v>0</v>
      </c>
      <c r="J83" s="3">
        <f t="shared" si="44"/>
        <v>0.8</v>
      </c>
      <c r="K83" s="3">
        <f t="shared" si="44"/>
        <v>0.8</v>
      </c>
      <c r="L83" s="3">
        <f t="shared" si="44"/>
        <v>0.8</v>
      </c>
      <c r="M83" s="3">
        <f t="shared" si="44"/>
        <v>0.8</v>
      </c>
      <c r="N83" s="3">
        <f t="shared" si="44"/>
        <v>0.8</v>
      </c>
      <c r="O83" s="3">
        <f t="shared" si="44"/>
        <v>0.8</v>
      </c>
      <c r="P83" s="3">
        <f t="shared" si="44"/>
        <v>0.8</v>
      </c>
      <c r="Q83" s="3">
        <f t="shared" si="44"/>
        <v>0.8</v>
      </c>
      <c r="R83" s="76"/>
      <c r="S83" s="76"/>
      <c r="T83" s="76"/>
      <c r="U83" s="76"/>
      <c r="V83" s="76"/>
      <c r="W83" s="76"/>
    </row>
    <row r="84" spans="1:23">
      <c r="A84" s="84" t="s">
        <v>241</v>
      </c>
      <c r="B84" s="85" t="s">
        <v>240</v>
      </c>
      <c r="C84" s="85" t="s">
        <v>74</v>
      </c>
      <c r="D84" s="84" t="s">
        <v>80</v>
      </c>
      <c r="E84" s="84">
        <f>VLOOKUP(A84,'2a. SI Pop'!$A$5:$E$198,5,FALSE)</f>
        <v>2</v>
      </c>
      <c r="F84" s="84">
        <v>2036</v>
      </c>
      <c r="G84" s="3">
        <f t="shared" ref="G84:Q85" si="45">IF($F84&lt;=G$4,30%,0)</f>
        <v>0</v>
      </c>
      <c r="H84" s="3">
        <f t="shared" si="45"/>
        <v>0</v>
      </c>
      <c r="I84" s="3">
        <f t="shared" si="45"/>
        <v>0</v>
      </c>
      <c r="J84" s="3">
        <f t="shared" si="45"/>
        <v>0</v>
      </c>
      <c r="K84" s="3">
        <f t="shared" si="45"/>
        <v>0</v>
      </c>
      <c r="L84" s="3">
        <f t="shared" si="45"/>
        <v>0</v>
      </c>
      <c r="M84" s="3">
        <f t="shared" si="45"/>
        <v>0.3</v>
      </c>
      <c r="N84" s="3">
        <f t="shared" si="45"/>
        <v>0.3</v>
      </c>
      <c r="O84" s="3">
        <f t="shared" si="45"/>
        <v>0.3</v>
      </c>
      <c r="P84" s="3">
        <f t="shared" si="45"/>
        <v>0.3</v>
      </c>
      <c r="Q84" s="3">
        <f t="shared" si="45"/>
        <v>0.3</v>
      </c>
      <c r="R84" s="76"/>
      <c r="S84" s="76"/>
      <c r="T84" s="76"/>
      <c r="U84" s="76"/>
      <c r="V84" s="76"/>
      <c r="W84" s="76"/>
    </row>
    <row r="85" spans="1:23">
      <c r="A85" s="84" t="s">
        <v>243</v>
      </c>
      <c r="B85" s="85" t="s">
        <v>242</v>
      </c>
      <c r="C85" s="85" t="s">
        <v>74</v>
      </c>
      <c r="D85" s="84" t="s">
        <v>80</v>
      </c>
      <c r="E85" s="84">
        <f>VLOOKUP(A85,'2a. SI Pop'!$A$5:$E$198,5,FALSE)</f>
        <v>2</v>
      </c>
      <c r="F85" s="84">
        <v>2030</v>
      </c>
      <c r="G85" s="3">
        <f t="shared" si="45"/>
        <v>0.3</v>
      </c>
      <c r="H85" s="3">
        <f t="shared" si="45"/>
        <v>0.3</v>
      </c>
      <c r="I85" s="3">
        <f t="shared" si="45"/>
        <v>0.3</v>
      </c>
      <c r="J85" s="3">
        <f t="shared" si="45"/>
        <v>0.3</v>
      </c>
      <c r="K85" s="3">
        <f t="shared" si="45"/>
        <v>0.3</v>
      </c>
      <c r="L85" s="3">
        <f t="shared" si="45"/>
        <v>0.3</v>
      </c>
      <c r="M85" s="3">
        <f t="shared" si="45"/>
        <v>0.3</v>
      </c>
      <c r="N85" s="3">
        <f t="shared" si="45"/>
        <v>0.3</v>
      </c>
      <c r="O85" s="3">
        <f t="shared" si="45"/>
        <v>0.3</v>
      </c>
      <c r="P85" s="3">
        <f t="shared" si="45"/>
        <v>0.3</v>
      </c>
      <c r="Q85" s="3">
        <f t="shared" si="45"/>
        <v>0.3</v>
      </c>
      <c r="R85" s="76"/>
      <c r="S85" s="76"/>
      <c r="T85" s="76"/>
      <c r="U85" s="76"/>
      <c r="V85" s="76"/>
      <c r="W85" s="76"/>
    </row>
    <row r="86" spans="1:23">
      <c r="A86" s="84" t="s">
        <v>245</v>
      </c>
      <c r="B86" s="85" t="s">
        <v>244</v>
      </c>
      <c r="C86" s="85" t="s">
        <v>79</v>
      </c>
      <c r="D86" s="84" t="s">
        <v>87</v>
      </c>
      <c r="E86" s="84">
        <f>VLOOKUP(A86,'2a. SI Pop'!$A$5:$E$198,5,FALSE)</f>
        <v>1</v>
      </c>
      <c r="F86" s="84">
        <v>2030</v>
      </c>
      <c r="G86" s="3">
        <f t="shared" ref="G86:Q89" si="46">IF($F86&lt;=G$4,5%,0)</f>
        <v>0.05</v>
      </c>
      <c r="H86" s="3">
        <f t="shared" si="46"/>
        <v>0.05</v>
      </c>
      <c r="I86" s="3">
        <f t="shared" si="46"/>
        <v>0.05</v>
      </c>
      <c r="J86" s="3">
        <f t="shared" si="46"/>
        <v>0.05</v>
      </c>
      <c r="K86" s="3">
        <f t="shared" si="46"/>
        <v>0.05</v>
      </c>
      <c r="L86" s="3">
        <f t="shared" si="46"/>
        <v>0.05</v>
      </c>
      <c r="M86" s="3">
        <f t="shared" si="46"/>
        <v>0.05</v>
      </c>
      <c r="N86" s="3">
        <f t="shared" si="46"/>
        <v>0.05</v>
      </c>
      <c r="O86" s="3">
        <f t="shared" si="46"/>
        <v>0.05</v>
      </c>
      <c r="P86" s="3">
        <f t="shared" si="46"/>
        <v>0.05</v>
      </c>
      <c r="Q86" s="3">
        <f t="shared" si="46"/>
        <v>0.05</v>
      </c>
      <c r="R86" s="76"/>
      <c r="S86" s="76"/>
      <c r="T86" s="76"/>
      <c r="U86" s="76"/>
      <c r="V86" s="76"/>
      <c r="W86" s="76"/>
    </row>
    <row r="87" spans="1:23">
      <c r="A87" s="84" t="s">
        <v>247</v>
      </c>
      <c r="B87" s="85" t="s">
        <v>246</v>
      </c>
      <c r="C87" s="85" t="s">
        <v>79</v>
      </c>
      <c r="D87" s="84" t="s">
        <v>87</v>
      </c>
      <c r="E87" s="84">
        <f>VLOOKUP(A87,'2a. SI Pop'!$A$5:$E$198,5,FALSE)</f>
        <v>1</v>
      </c>
      <c r="F87" s="84">
        <v>2031</v>
      </c>
      <c r="G87" s="3">
        <f t="shared" si="46"/>
        <v>0</v>
      </c>
      <c r="H87" s="3">
        <f t="shared" si="46"/>
        <v>0.05</v>
      </c>
      <c r="I87" s="3">
        <f t="shared" si="46"/>
        <v>0.05</v>
      </c>
      <c r="J87" s="3">
        <f t="shared" si="46"/>
        <v>0.05</v>
      </c>
      <c r="K87" s="3">
        <f t="shared" si="46"/>
        <v>0.05</v>
      </c>
      <c r="L87" s="3">
        <f t="shared" si="46"/>
        <v>0.05</v>
      </c>
      <c r="M87" s="3">
        <f t="shared" si="46"/>
        <v>0.05</v>
      </c>
      <c r="N87" s="3">
        <f t="shared" si="46"/>
        <v>0.05</v>
      </c>
      <c r="O87" s="3">
        <f t="shared" si="46"/>
        <v>0.05</v>
      </c>
      <c r="P87" s="3">
        <f t="shared" si="46"/>
        <v>0.05</v>
      </c>
      <c r="Q87" s="3">
        <f t="shared" si="46"/>
        <v>0.05</v>
      </c>
      <c r="R87" s="76"/>
      <c r="S87" s="76"/>
      <c r="T87" s="76"/>
      <c r="U87" s="76"/>
      <c r="V87" s="76"/>
      <c r="W87" s="76"/>
    </row>
    <row r="88" spans="1:23">
      <c r="A88" s="84" t="s">
        <v>249</v>
      </c>
      <c r="B88" s="85" t="s">
        <v>248</v>
      </c>
      <c r="C88" s="85" t="s">
        <v>79</v>
      </c>
      <c r="D88" s="84" t="s">
        <v>87</v>
      </c>
      <c r="E88" s="84">
        <f>VLOOKUP(A88,'2a. SI Pop'!$A$5:$E$198,5,FALSE)</f>
        <v>1</v>
      </c>
      <c r="F88" s="84">
        <v>2030</v>
      </c>
      <c r="G88" s="3">
        <f t="shared" si="46"/>
        <v>0.05</v>
      </c>
      <c r="H88" s="3">
        <f t="shared" si="46"/>
        <v>0.05</v>
      </c>
      <c r="I88" s="3">
        <f t="shared" si="46"/>
        <v>0.05</v>
      </c>
      <c r="J88" s="3">
        <f t="shared" si="46"/>
        <v>0.05</v>
      </c>
      <c r="K88" s="3">
        <f t="shared" si="46"/>
        <v>0.05</v>
      </c>
      <c r="L88" s="3">
        <f t="shared" si="46"/>
        <v>0.05</v>
      </c>
      <c r="M88" s="3">
        <f t="shared" si="46"/>
        <v>0.05</v>
      </c>
      <c r="N88" s="3">
        <f t="shared" si="46"/>
        <v>0.05</v>
      </c>
      <c r="O88" s="3">
        <f t="shared" si="46"/>
        <v>0.05</v>
      </c>
      <c r="P88" s="3">
        <f t="shared" si="46"/>
        <v>0.05</v>
      </c>
      <c r="Q88" s="3">
        <f t="shared" si="46"/>
        <v>0.05</v>
      </c>
      <c r="R88" s="76"/>
      <c r="S88" s="76"/>
      <c r="T88" s="76"/>
      <c r="U88" s="76"/>
      <c r="V88" s="76"/>
      <c r="W88" s="76"/>
    </row>
    <row r="89" spans="1:23">
      <c r="A89" s="84" t="s">
        <v>251</v>
      </c>
      <c r="B89" s="85" t="s">
        <v>250</v>
      </c>
      <c r="C89" s="85" t="s">
        <v>92</v>
      </c>
      <c r="D89" s="84" t="s">
        <v>80</v>
      </c>
      <c r="E89" s="84">
        <f>VLOOKUP(A89,'2a. SI Pop'!$A$5:$E$198,5,FALSE)</f>
        <v>1</v>
      </c>
      <c r="F89" s="84">
        <v>2041</v>
      </c>
      <c r="G89" s="3">
        <f t="shared" si="46"/>
        <v>0</v>
      </c>
      <c r="H89" s="3">
        <f t="shared" si="46"/>
        <v>0</v>
      </c>
      <c r="I89" s="3">
        <f t="shared" si="46"/>
        <v>0</v>
      </c>
      <c r="J89" s="3">
        <f t="shared" si="46"/>
        <v>0</v>
      </c>
      <c r="K89" s="3">
        <f t="shared" si="46"/>
        <v>0</v>
      </c>
      <c r="L89" s="3">
        <f t="shared" si="46"/>
        <v>0</v>
      </c>
      <c r="M89" s="3">
        <f t="shared" si="46"/>
        <v>0</v>
      </c>
      <c r="N89" s="3">
        <f t="shared" si="46"/>
        <v>0</v>
      </c>
      <c r="O89" s="3">
        <f t="shared" si="46"/>
        <v>0</v>
      </c>
      <c r="P89" s="3">
        <f t="shared" si="46"/>
        <v>0</v>
      </c>
      <c r="Q89" s="3">
        <f t="shared" si="46"/>
        <v>0</v>
      </c>
      <c r="R89" s="76"/>
      <c r="S89" s="76"/>
      <c r="T89" s="76"/>
      <c r="U89" s="76"/>
      <c r="V89" s="76"/>
      <c r="W89" s="76"/>
    </row>
    <row r="90" spans="1:23">
      <c r="A90" s="84" t="s">
        <v>253</v>
      </c>
      <c r="B90" s="85" t="s">
        <v>252</v>
      </c>
      <c r="C90" s="85" t="s">
        <v>99</v>
      </c>
      <c r="D90" s="84" t="s">
        <v>87</v>
      </c>
      <c r="E90" s="84">
        <f>VLOOKUP(A90,'2a. SI Pop'!$A$5:$E$198,5,FALSE)</f>
        <v>4</v>
      </c>
      <c r="F90" s="84">
        <v>2031</v>
      </c>
      <c r="G90" s="3">
        <f t="shared" ref="G90:Q90" si="47">IF($F90&lt;=G$4,80%,0)</f>
        <v>0</v>
      </c>
      <c r="H90" s="3">
        <f t="shared" si="47"/>
        <v>0.8</v>
      </c>
      <c r="I90" s="3">
        <f t="shared" si="47"/>
        <v>0.8</v>
      </c>
      <c r="J90" s="3">
        <f t="shared" si="47"/>
        <v>0.8</v>
      </c>
      <c r="K90" s="3">
        <f t="shared" si="47"/>
        <v>0.8</v>
      </c>
      <c r="L90" s="3">
        <f t="shared" si="47"/>
        <v>0.8</v>
      </c>
      <c r="M90" s="3">
        <f t="shared" si="47"/>
        <v>0.8</v>
      </c>
      <c r="N90" s="3">
        <f t="shared" si="47"/>
        <v>0.8</v>
      </c>
      <c r="O90" s="3">
        <f t="shared" si="47"/>
        <v>0.8</v>
      </c>
      <c r="P90" s="3">
        <f t="shared" si="47"/>
        <v>0.8</v>
      </c>
      <c r="Q90" s="3">
        <f t="shared" si="47"/>
        <v>0.8</v>
      </c>
      <c r="R90" s="76"/>
      <c r="S90" s="76"/>
      <c r="T90" s="76"/>
      <c r="U90" s="76"/>
      <c r="V90" s="76"/>
      <c r="W90" s="76"/>
    </row>
    <row r="91" spans="1:23">
      <c r="A91" s="84" t="s">
        <v>255</v>
      </c>
      <c r="B91" s="85" t="s">
        <v>254</v>
      </c>
      <c r="C91" s="85" t="s">
        <v>74</v>
      </c>
      <c r="D91" s="84" t="s">
        <v>80</v>
      </c>
      <c r="E91" s="84">
        <f>VLOOKUP(A91,'2a. SI Pop'!$A$5:$E$198,5,FALSE)</f>
        <v>2</v>
      </c>
      <c r="F91" s="84">
        <v>2034</v>
      </c>
      <c r="G91" s="3">
        <f t="shared" ref="G91:Q92" si="48">IF($F91&lt;=G$4,30%,0)</f>
        <v>0</v>
      </c>
      <c r="H91" s="3">
        <f t="shared" si="48"/>
        <v>0</v>
      </c>
      <c r="I91" s="3">
        <f t="shared" si="48"/>
        <v>0</v>
      </c>
      <c r="J91" s="3">
        <f t="shared" si="48"/>
        <v>0</v>
      </c>
      <c r="K91" s="3">
        <f t="shared" si="48"/>
        <v>0.3</v>
      </c>
      <c r="L91" s="3">
        <f t="shared" si="48"/>
        <v>0.3</v>
      </c>
      <c r="M91" s="3">
        <f t="shared" si="48"/>
        <v>0.3</v>
      </c>
      <c r="N91" s="3">
        <f t="shared" si="48"/>
        <v>0.3</v>
      </c>
      <c r="O91" s="3">
        <f t="shared" si="48"/>
        <v>0.3</v>
      </c>
      <c r="P91" s="3">
        <f t="shared" si="48"/>
        <v>0.3</v>
      </c>
      <c r="Q91" s="3">
        <f t="shared" si="48"/>
        <v>0.3</v>
      </c>
      <c r="R91" s="76"/>
      <c r="S91" s="76"/>
      <c r="T91" s="76"/>
      <c r="U91" s="76"/>
      <c r="V91" s="76"/>
      <c r="W91" s="76"/>
    </row>
    <row r="92" spans="1:23">
      <c r="A92" s="84" t="s">
        <v>257</v>
      </c>
      <c r="B92" s="85" t="s">
        <v>256</v>
      </c>
      <c r="C92" s="85" t="s">
        <v>79</v>
      </c>
      <c r="D92" s="84" t="s">
        <v>80</v>
      </c>
      <c r="E92" s="84">
        <f>VLOOKUP(A92,'2a. SI Pop'!$A$5:$E$198,5,FALSE)</f>
        <v>2</v>
      </c>
      <c r="F92" s="84">
        <v>2034</v>
      </c>
      <c r="G92" s="3">
        <f t="shared" si="48"/>
        <v>0</v>
      </c>
      <c r="H92" s="3">
        <f t="shared" si="48"/>
        <v>0</v>
      </c>
      <c r="I92" s="3">
        <f t="shared" si="48"/>
        <v>0</v>
      </c>
      <c r="J92" s="3">
        <f t="shared" si="48"/>
        <v>0</v>
      </c>
      <c r="K92" s="3">
        <f t="shared" si="48"/>
        <v>0.3</v>
      </c>
      <c r="L92" s="3">
        <f t="shared" si="48"/>
        <v>0.3</v>
      </c>
      <c r="M92" s="3">
        <f t="shared" si="48"/>
        <v>0.3</v>
      </c>
      <c r="N92" s="3">
        <f t="shared" si="48"/>
        <v>0.3</v>
      </c>
      <c r="O92" s="3">
        <f t="shared" si="48"/>
        <v>0.3</v>
      </c>
      <c r="P92" s="3">
        <f t="shared" si="48"/>
        <v>0.3</v>
      </c>
      <c r="Q92" s="3">
        <f t="shared" si="48"/>
        <v>0.3</v>
      </c>
      <c r="R92" s="76"/>
      <c r="S92" s="76"/>
      <c r="T92" s="76"/>
      <c r="U92" s="76"/>
      <c r="V92" s="76"/>
      <c r="W92" s="76"/>
    </row>
    <row r="93" spans="1:23">
      <c r="A93" s="84" t="s">
        <v>259</v>
      </c>
      <c r="B93" s="85" t="s">
        <v>258</v>
      </c>
      <c r="C93" s="85" t="s">
        <v>83</v>
      </c>
      <c r="D93" s="84" t="s">
        <v>84</v>
      </c>
      <c r="E93" s="84">
        <f>VLOOKUP(A93,'2a. SI Pop'!$A$5:$E$198,5,FALSE)</f>
        <v>3</v>
      </c>
      <c r="F93" s="84">
        <v>2036</v>
      </c>
      <c r="G93" s="3">
        <f t="shared" ref="G93:Q94" si="49">IF($F93&lt;=G$4,80%,0)</f>
        <v>0</v>
      </c>
      <c r="H93" s="3">
        <f t="shared" si="49"/>
        <v>0</v>
      </c>
      <c r="I93" s="3">
        <f t="shared" si="49"/>
        <v>0</v>
      </c>
      <c r="J93" s="3">
        <f t="shared" si="49"/>
        <v>0</v>
      </c>
      <c r="K93" s="3">
        <f t="shared" si="49"/>
        <v>0</v>
      </c>
      <c r="L93" s="3">
        <f t="shared" si="49"/>
        <v>0</v>
      </c>
      <c r="M93" s="3">
        <f t="shared" si="49"/>
        <v>0.8</v>
      </c>
      <c r="N93" s="3">
        <f t="shared" si="49"/>
        <v>0.8</v>
      </c>
      <c r="O93" s="3">
        <f t="shared" si="49"/>
        <v>0.8</v>
      </c>
      <c r="P93" s="3">
        <f t="shared" si="49"/>
        <v>0.8</v>
      </c>
      <c r="Q93" s="3">
        <f t="shared" si="49"/>
        <v>0.8</v>
      </c>
      <c r="R93" s="76"/>
      <c r="S93" s="76"/>
      <c r="T93" s="76"/>
      <c r="U93" s="76"/>
      <c r="V93" s="76"/>
      <c r="W93" s="76"/>
    </row>
    <row r="94" spans="1:23">
      <c r="A94" s="84" t="s">
        <v>261</v>
      </c>
      <c r="B94" s="85" t="s">
        <v>260</v>
      </c>
      <c r="C94" s="85" t="s">
        <v>99</v>
      </c>
      <c r="D94" s="84" t="s">
        <v>84</v>
      </c>
      <c r="E94" s="84">
        <f>VLOOKUP(A94,'2a. SI Pop'!$A$5:$E$198,5,FALSE)</f>
        <v>4</v>
      </c>
      <c r="F94" s="84">
        <v>2040</v>
      </c>
      <c r="G94" s="3">
        <f t="shared" si="49"/>
        <v>0</v>
      </c>
      <c r="H94" s="3">
        <f t="shared" si="49"/>
        <v>0</v>
      </c>
      <c r="I94" s="3">
        <f t="shared" si="49"/>
        <v>0</v>
      </c>
      <c r="J94" s="3">
        <f t="shared" si="49"/>
        <v>0</v>
      </c>
      <c r="K94" s="3">
        <f t="shared" si="49"/>
        <v>0</v>
      </c>
      <c r="L94" s="3">
        <f t="shared" si="49"/>
        <v>0</v>
      </c>
      <c r="M94" s="3">
        <f t="shared" si="49"/>
        <v>0</v>
      </c>
      <c r="N94" s="3">
        <f t="shared" si="49"/>
        <v>0</v>
      </c>
      <c r="O94" s="3">
        <f t="shared" si="49"/>
        <v>0</v>
      </c>
      <c r="P94" s="3">
        <f t="shared" si="49"/>
        <v>0</v>
      </c>
      <c r="Q94" s="3">
        <f t="shared" si="49"/>
        <v>0.8</v>
      </c>
      <c r="R94" s="76"/>
      <c r="S94" s="76"/>
      <c r="T94" s="76"/>
      <c r="U94" s="76"/>
      <c r="V94" s="76"/>
      <c r="W94" s="76"/>
    </row>
    <row r="95" spans="1:23">
      <c r="A95" s="84" t="s">
        <v>263</v>
      </c>
      <c r="B95" s="85" t="s">
        <v>262</v>
      </c>
      <c r="C95" s="85" t="s">
        <v>99</v>
      </c>
      <c r="D95" s="84" t="s">
        <v>87</v>
      </c>
      <c r="E95" s="84">
        <f>VLOOKUP(A95,'2a. SI Pop'!$A$5:$E$198,5,FALSE)</f>
        <v>1</v>
      </c>
      <c r="F95" s="84">
        <v>2037</v>
      </c>
      <c r="G95" s="3">
        <f t="shared" ref="G95:Q97" si="50">IF($F95&lt;=G$4,5%,0)</f>
        <v>0</v>
      </c>
      <c r="H95" s="3">
        <f t="shared" si="50"/>
        <v>0</v>
      </c>
      <c r="I95" s="3">
        <f t="shared" si="50"/>
        <v>0</v>
      </c>
      <c r="J95" s="3">
        <f t="shared" si="50"/>
        <v>0</v>
      </c>
      <c r="K95" s="3">
        <f t="shared" si="50"/>
        <v>0</v>
      </c>
      <c r="L95" s="3">
        <f t="shared" si="50"/>
        <v>0</v>
      </c>
      <c r="M95" s="3">
        <f t="shared" si="50"/>
        <v>0</v>
      </c>
      <c r="N95" s="3">
        <f t="shared" si="50"/>
        <v>0.05</v>
      </c>
      <c r="O95" s="3">
        <f t="shared" si="50"/>
        <v>0.05</v>
      </c>
      <c r="P95" s="3">
        <f t="shared" si="50"/>
        <v>0.05</v>
      </c>
      <c r="Q95" s="3">
        <f t="shared" si="50"/>
        <v>0.05</v>
      </c>
      <c r="R95" s="76"/>
      <c r="S95" s="76"/>
      <c r="T95" s="76"/>
      <c r="U95" s="76"/>
      <c r="V95" s="76"/>
      <c r="W95" s="76"/>
    </row>
    <row r="96" spans="1:23">
      <c r="A96" s="84" t="s">
        <v>265</v>
      </c>
      <c r="B96" s="85" t="s">
        <v>264</v>
      </c>
      <c r="C96" s="85" t="s">
        <v>74</v>
      </c>
      <c r="D96" s="84" t="s">
        <v>87</v>
      </c>
      <c r="E96" s="84">
        <f>VLOOKUP(A96,'2a. SI Pop'!$A$5:$E$198,5,FALSE)</f>
        <v>1</v>
      </c>
      <c r="F96" s="84">
        <v>2036</v>
      </c>
      <c r="G96" s="3">
        <f t="shared" si="50"/>
        <v>0</v>
      </c>
      <c r="H96" s="3">
        <f t="shared" si="50"/>
        <v>0</v>
      </c>
      <c r="I96" s="3">
        <f t="shared" si="50"/>
        <v>0</v>
      </c>
      <c r="J96" s="3">
        <f t="shared" si="50"/>
        <v>0</v>
      </c>
      <c r="K96" s="3">
        <f t="shared" si="50"/>
        <v>0</v>
      </c>
      <c r="L96" s="3">
        <f t="shared" si="50"/>
        <v>0</v>
      </c>
      <c r="M96" s="3">
        <f t="shared" si="50"/>
        <v>0.05</v>
      </c>
      <c r="N96" s="3">
        <f t="shared" si="50"/>
        <v>0.05</v>
      </c>
      <c r="O96" s="3">
        <f t="shared" si="50"/>
        <v>0.05</v>
      </c>
      <c r="P96" s="3">
        <f t="shared" si="50"/>
        <v>0.05</v>
      </c>
      <c r="Q96" s="3">
        <f t="shared" si="50"/>
        <v>0.05</v>
      </c>
      <c r="R96" s="76"/>
      <c r="S96" s="76"/>
      <c r="T96" s="76"/>
      <c r="U96" s="76"/>
      <c r="V96" s="76"/>
      <c r="W96" s="76"/>
    </row>
    <row r="97" spans="1:23">
      <c r="A97" s="84" t="s">
        <v>267</v>
      </c>
      <c r="B97" s="85" t="s">
        <v>266</v>
      </c>
      <c r="C97" s="85" t="s">
        <v>79</v>
      </c>
      <c r="D97" s="84" t="s">
        <v>84</v>
      </c>
      <c r="E97" s="84">
        <f>VLOOKUP(A97,'2a. SI Pop'!$A$5:$E$198,5,FALSE)</f>
        <v>1</v>
      </c>
      <c r="F97" s="84">
        <v>2036</v>
      </c>
      <c r="G97" s="3">
        <f t="shared" si="50"/>
        <v>0</v>
      </c>
      <c r="H97" s="3">
        <f t="shared" si="50"/>
        <v>0</v>
      </c>
      <c r="I97" s="3">
        <f t="shared" si="50"/>
        <v>0</v>
      </c>
      <c r="J97" s="3">
        <f t="shared" si="50"/>
        <v>0</v>
      </c>
      <c r="K97" s="3">
        <f t="shared" si="50"/>
        <v>0</v>
      </c>
      <c r="L97" s="3">
        <f t="shared" si="50"/>
        <v>0</v>
      </c>
      <c r="M97" s="3">
        <f t="shared" si="50"/>
        <v>0.05</v>
      </c>
      <c r="N97" s="3">
        <f t="shared" si="50"/>
        <v>0.05</v>
      </c>
      <c r="O97" s="3">
        <f t="shared" si="50"/>
        <v>0.05</v>
      </c>
      <c r="P97" s="3">
        <f t="shared" si="50"/>
        <v>0.05</v>
      </c>
      <c r="Q97" s="3">
        <f t="shared" si="50"/>
        <v>0.05</v>
      </c>
      <c r="R97" s="76"/>
      <c r="S97" s="76"/>
      <c r="T97" s="76"/>
      <c r="U97" s="76"/>
      <c r="V97" s="76"/>
      <c r="W97" s="76"/>
    </row>
    <row r="98" spans="1:23">
      <c r="A98" s="84" t="s">
        <v>269</v>
      </c>
      <c r="B98" s="85" t="s">
        <v>268</v>
      </c>
      <c r="C98" s="85" t="s">
        <v>99</v>
      </c>
      <c r="D98" s="84" t="s">
        <v>84</v>
      </c>
      <c r="E98" s="84">
        <f>VLOOKUP(A98,'2a. SI Pop'!$A$5:$E$198,5,FALSE)</f>
        <v>4</v>
      </c>
      <c r="F98" s="84">
        <v>2033</v>
      </c>
      <c r="G98" s="3">
        <f t="shared" ref="G98:Q98" si="51">IF($F98&lt;=G$4,80%,0)</f>
        <v>0</v>
      </c>
      <c r="H98" s="3">
        <f t="shared" si="51"/>
        <v>0</v>
      </c>
      <c r="I98" s="3">
        <f t="shared" si="51"/>
        <v>0</v>
      </c>
      <c r="J98" s="3">
        <f t="shared" si="51"/>
        <v>0.8</v>
      </c>
      <c r="K98" s="3">
        <f t="shared" si="51"/>
        <v>0.8</v>
      </c>
      <c r="L98" s="3">
        <f t="shared" si="51"/>
        <v>0.8</v>
      </c>
      <c r="M98" s="3">
        <f t="shared" si="51"/>
        <v>0.8</v>
      </c>
      <c r="N98" s="3">
        <f t="shared" si="51"/>
        <v>0.8</v>
      </c>
      <c r="O98" s="3">
        <f t="shared" si="51"/>
        <v>0.8</v>
      </c>
      <c r="P98" s="3">
        <f t="shared" si="51"/>
        <v>0.8</v>
      </c>
      <c r="Q98" s="3">
        <f t="shared" si="51"/>
        <v>0.8</v>
      </c>
      <c r="R98" s="76"/>
      <c r="S98" s="76"/>
      <c r="T98" s="76"/>
      <c r="U98" s="76"/>
      <c r="V98" s="76"/>
      <c r="W98" s="76"/>
    </row>
    <row r="99" spans="1:23">
      <c r="A99" s="84" t="s">
        <v>271</v>
      </c>
      <c r="B99" s="85" t="s">
        <v>270</v>
      </c>
      <c r="C99" s="85" t="s">
        <v>79</v>
      </c>
      <c r="D99" s="84" t="s">
        <v>87</v>
      </c>
      <c r="E99" s="84">
        <f>VLOOKUP(A99,'2a. SI Pop'!$A$5:$E$198,5,FALSE)</f>
        <v>1</v>
      </c>
      <c r="F99" s="84">
        <v>2035</v>
      </c>
      <c r="G99" s="3">
        <f t="shared" ref="G99:Q99" si="52">IF($F99&lt;=G$4,5%,0)</f>
        <v>0</v>
      </c>
      <c r="H99" s="3">
        <f t="shared" si="52"/>
        <v>0</v>
      </c>
      <c r="I99" s="3">
        <f t="shared" si="52"/>
        <v>0</v>
      </c>
      <c r="J99" s="3">
        <f t="shared" si="52"/>
        <v>0</v>
      </c>
      <c r="K99" s="3">
        <f t="shared" si="52"/>
        <v>0</v>
      </c>
      <c r="L99" s="3">
        <f t="shared" si="52"/>
        <v>0.05</v>
      </c>
      <c r="M99" s="3">
        <f t="shared" si="52"/>
        <v>0.05</v>
      </c>
      <c r="N99" s="3">
        <f t="shared" si="52"/>
        <v>0.05</v>
      </c>
      <c r="O99" s="3">
        <f t="shared" si="52"/>
        <v>0.05</v>
      </c>
      <c r="P99" s="3">
        <f t="shared" si="52"/>
        <v>0.05</v>
      </c>
      <c r="Q99" s="3">
        <f t="shared" si="52"/>
        <v>0.05</v>
      </c>
      <c r="R99" s="76"/>
      <c r="S99" s="76"/>
      <c r="T99" s="76"/>
      <c r="U99" s="76"/>
      <c r="V99" s="76"/>
      <c r="W99" s="76"/>
    </row>
    <row r="100" spans="1:23">
      <c r="A100" s="84" t="s">
        <v>273</v>
      </c>
      <c r="B100" s="85" t="s">
        <v>272</v>
      </c>
      <c r="C100" s="85" t="s">
        <v>74</v>
      </c>
      <c r="D100" s="84" t="s">
        <v>80</v>
      </c>
      <c r="E100" s="84">
        <f>VLOOKUP(A100,'2a. SI Pop'!$A$5:$E$198,5,FALSE)</f>
        <v>2</v>
      </c>
      <c r="F100" s="84">
        <v>2034</v>
      </c>
      <c r="G100" s="3">
        <f t="shared" ref="G100:Q100" si="53">IF($F100&lt;=G$4,30%,0)</f>
        <v>0</v>
      </c>
      <c r="H100" s="3">
        <f t="shared" si="53"/>
        <v>0</v>
      </c>
      <c r="I100" s="3">
        <f t="shared" si="53"/>
        <v>0</v>
      </c>
      <c r="J100" s="3">
        <f t="shared" si="53"/>
        <v>0</v>
      </c>
      <c r="K100" s="3">
        <f t="shared" si="53"/>
        <v>0.3</v>
      </c>
      <c r="L100" s="3">
        <f t="shared" si="53"/>
        <v>0.3</v>
      </c>
      <c r="M100" s="3">
        <f t="shared" si="53"/>
        <v>0.3</v>
      </c>
      <c r="N100" s="3">
        <f t="shared" si="53"/>
        <v>0.3</v>
      </c>
      <c r="O100" s="3">
        <f t="shared" si="53"/>
        <v>0.3</v>
      </c>
      <c r="P100" s="3">
        <f t="shared" si="53"/>
        <v>0.3</v>
      </c>
      <c r="Q100" s="3">
        <f t="shared" si="53"/>
        <v>0.3</v>
      </c>
      <c r="R100" s="76"/>
      <c r="S100" s="76"/>
      <c r="T100" s="76"/>
      <c r="U100" s="76"/>
      <c r="V100" s="76"/>
      <c r="W100" s="76"/>
    </row>
    <row r="101" spans="1:23">
      <c r="A101" s="84" t="s">
        <v>275</v>
      </c>
      <c r="B101" s="85" t="s">
        <v>274</v>
      </c>
      <c r="C101" s="85" t="s">
        <v>83</v>
      </c>
      <c r="D101" s="84" t="s">
        <v>84</v>
      </c>
      <c r="E101" s="84">
        <f>VLOOKUP(A101,'2a. SI Pop'!$A$5:$E$198,5,FALSE)</f>
        <v>3</v>
      </c>
      <c r="F101" s="84">
        <v>2038</v>
      </c>
      <c r="G101" s="3">
        <f t="shared" ref="G101:Q102" si="54">IF($F101&lt;=G$4,80%,0)</f>
        <v>0</v>
      </c>
      <c r="H101" s="3">
        <f t="shared" si="54"/>
        <v>0</v>
      </c>
      <c r="I101" s="3">
        <f t="shared" si="54"/>
        <v>0</v>
      </c>
      <c r="J101" s="3">
        <f t="shared" si="54"/>
        <v>0</v>
      </c>
      <c r="K101" s="3">
        <f t="shared" si="54"/>
        <v>0</v>
      </c>
      <c r="L101" s="3">
        <f t="shared" si="54"/>
        <v>0</v>
      </c>
      <c r="M101" s="3">
        <f t="shared" si="54"/>
        <v>0</v>
      </c>
      <c r="N101" s="3">
        <f t="shared" si="54"/>
        <v>0</v>
      </c>
      <c r="O101" s="3">
        <f t="shared" si="54"/>
        <v>0.8</v>
      </c>
      <c r="P101" s="3">
        <f t="shared" si="54"/>
        <v>0.8</v>
      </c>
      <c r="Q101" s="3">
        <f t="shared" si="54"/>
        <v>0.8</v>
      </c>
      <c r="R101" s="76"/>
      <c r="S101" s="76"/>
      <c r="T101" s="76"/>
      <c r="U101" s="76"/>
      <c r="V101" s="76"/>
      <c r="W101" s="76"/>
    </row>
    <row r="102" spans="1:23">
      <c r="A102" s="84" t="s">
        <v>277</v>
      </c>
      <c r="B102" s="85" t="s">
        <v>276</v>
      </c>
      <c r="C102" s="85" t="s">
        <v>83</v>
      </c>
      <c r="D102" s="84" t="s">
        <v>75</v>
      </c>
      <c r="E102" s="84">
        <f>VLOOKUP(A102,'2a. SI Pop'!$A$5:$E$198,5,FALSE)</f>
        <v>3</v>
      </c>
      <c r="F102" s="84">
        <v>2031</v>
      </c>
      <c r="G102" s="3">
        <f t="shared" si="54"/>
        <v>0</v>
      </c>
      <c r="H102" s="3">
        <f t="shared" si="54"/>
        <v>0.8</v>
      </c>
      <c r="I102" s="3">
        <f t="shared" si="54"/>
        <v>0.8</v>
      </c>
      <c r="J102" s="3">
        <f t="shared" si="54"/>
        <v>0.8</v>
      </c>
      <c r="K102" s="3">
        <f t="shared" si="54"/>
        <v>0.8</v>
      </c>
      <c r="L102" s="3">
        <f t="shared" si="54"/>
        <v>0.8</v>
      </c>
      <c r="M102" s="3">
        <f t="shared" si="54"/>
        <v>0.8</v>
      </c>
      <c r="N102" s="3">
        <f t="shared" si="54"/>
        <v>0.8</v>
      </c>
      <c r="O102" s="3">
        <f t="shared" si="54"/>
        <v>0.8</v>
      </c>
      <c r="P102" s="3">
        <f t="shared" si="54"/>
        <v>0.8</v>
      </c>
      <c r="Q102" s="3">
        <f t="shared" si="54"/>
        <v>0.8</v>
      </c>
      <c r="R102" s="76"/>
      <c r="S102" s="76"/>
      <c r="T102" s="76"/>
      <c r="U102" s="76"/>
      <c r="V102" s="76"/>
      <c r="W102" s="76"/>
    </row>
    <row r="103" spans="1:23">
      <c r="A103" s="84" t="s">
        <v>279</v>
      </c>
      <c r="B103" s="85" t="s">
        <v>278</v>
      </c>
      <c r="C103" s="85" t="s">
        <v>74</v>
      </c>
      <c r="D103" s="84" t="s">
        <v>80</v>
      </c>
      <c r="E103" s="84">
        <f>VLOOKUP(A103,'2a. SI Pop'!$A$5:$E$198,5,FALSE)</f>
        <v>2</v>
      </c>
      <c r="F103" s="84">
        <v>2036</v>
      </c>
      <c r="G103" s="3">
        <f t="shared" ref="G103:Q103" si="55">IF($F103&lt;=G$4,30%,0)</f>
        <v>0</v>
      </c>
      <c r="H103" s="3">
        <f t="shared" si="55"/>
        <v>0</v>
      </c>
      <c r="I103" s="3">
        <f t="shared" si="55"/>
        <v>0</v>
      </c>
      <c r="J103" s="3">
        <f t="shared" si="55"/>
        <v>0</v>
      </c>
      <c r="K103" s="3">
        <f t="shared" si="55"/>
        <v>0</v>
      </c>
      <c r="L103" s="3">
        <f t="shared" si="55"/>
        <v>0</v>
      </c>
      <c r="M103" s="3">
        <f t="shared" si="55"/>
        <v>0.3</v>
      </c>
      <c r="N103" s="3">
        <f t="shared" si="55"/>
        <v>0.3</v>
      </c>
      <c r="O103" s="3">
        <f t="shared" si="55"/>
        <v>0.3</v>
      </c>
      <c r="P103" s="3">
        <f t="shared" si="55"/>
        <v>0.3</v>
      </c>
      <c r="Q103" s="3">
        <f t="shared" si="55"/>
        <v>0.3</v>
      </c>
      <c r="R103" s="76"/>
      <c r="S103" s="76"/>
      <c r="T103" s="76"/>
      <c r="U103" s="76"/>
      <c r="V103" s="76"/>
      <c r="W103" s="76"/>
    </row>
    <row r="104" spans="1:23">
      <c r="A104" s="84" t="s">
        <v>281</v>
      </c>
      <c r="B104" s="85" t="s">
        <v>280</v>
      </c>
      <c r="C104" s="85" t="s">
        <v>79</v>
      </c>
      <c r="D104" s="84" t="s">
        <v>87</v>
      </c>
      <c r="E104" s="84">
        <f>VLOOKUP(A104,'2a. SI Pop'!$A$5:$E$198,5,FALSE)</f>
        <v>1</v>
      </c>
      <c r="F104" s="84">
        <v>2036</v>
      </c>
      <c r="G104" s="3">
        <f t="shared" ref="G104:Q106" si="56">IF($F104&lt;=G$4,5%,0)</f>
        <v>0</v>
      </c>
      <c r="H104" s="3">
        <f t="shared" si="56"/>
        <v>0</v>
      </c>
      <c r="I104" s="3">
        <f t="shared" si="56"/>
        <v>0</v>
      </c>
      <c r="J104" s="3">
        <f t="shared" si="56"/>
        <v>0</v>
      </c>
      <c r="K104" s="3">
        <f t="shared" si="56"/>
        <v>0</v>
      </c>
      <c r="L104" s="3">
        <f t="shared" si="56"/>
        <v>0</v>
      </c>
      <c r="M104" s="3">
        <f t="shared" si="56"/>
        <v>0.05</v>
      </c>
      <c r="N104" s="3">
        <f t="shared" si="56"/>
        <v>0.05</v>
      </c>
      <c r="O104" s="3">
        <f t="shared" si="56"/>
        <v>0.05</v>
      </c>
      <c r="P104" s="3">
        <f t="shared" si="56"/>
        <v>0.05</v>
      </c>
      <c r="Q104" s="3">
        <f t="shared" si="56"/>
        <v>0.05</v>
      </c>
      <c r="R104" s="76"/>
      <c r="S104" s="76"/>
      <c r="T104" s="76"/>
      <c r="U104" s="76"/>
      <c r="V104" s="76"/>
      <c r="W104" s="76"/>
    </row>
    <row r="105" spans="1:23">
      <c r="A105" s="84" t="s">
        <v>283</v>
      </c>
      <c r="B105" s="85" t="s">
        <v>282</v>
      </c>
      <c r="C105" s="85" t="s">
        <v>79</v>
      </c>
      <c r="D105" s="84" t="s">
        <v>87</v>
      </c>
      <c r="E105" s="84">
        <f>VLOOKUP(A105,'2a. SI Pop'!$A$5:$E$198,5,FALSE)</f>
        <v>1</v>
      </c>
      <c r="F105" s="84">
        <v>2030</v>
      </c>
      <c r="G105" s="3">
        <f t="shared" si="56"/>
        <v>0.05</v>
      </c>
      <c r="H105" s="3">
        <f t="shared" si="56"/>
        <v>0.05</v>
      </c>
      <c r="I105" s="3">
        <f t="shared" si="56"/>
        <v>0.05</v>
      </c>
      <c r="J105" s="3">
        <f t="shared" si="56"/>
        <v>0.05</v>
      </c>
      <c r="K105" s="3">
        <f t="shared" si="56"/>
        <v>0.05</v>
      </c>
      <c r="L105" s="3">
        <f t="shared" si="56"/>
        <v>0.05</v>
      </c>
      <c r="M105" s="3">
        <f t="shared" si="56"/>
        <v>0.05</v>
      </c>
      <c r="N105" s="3">
        <f t="shared" si="56"/>
        <v>0.05</v>
      </c>
      <c r="O105" s="3">
        <f t="shared" si="56"/>
        <v>0.05</v>
      </c>
      <c r="P105" s="3">
        <f t="shared" si="56"/>
        <v>0.05</v>
      </c>
      <c r="Q105" s="3">
        <f t="shared" si="56"/>
        <v>0.05</v>
      </c>
      <c r="R105" s="76"/>
      <c r="S105" s="76"/>
      <c r="T105" s="76"/>
      <c r="U105" s="76"/>
      <c r="V105" s="76"/>
      <c r="W105" s="76"/>
    </row>
    <row r="106" spans="1:23">
      <c r="A106" s="84" t="s">
        <v>285</v>
      </c>
      <c r="B106" s="85" t="s">
        <v>284</v>
      </c>
      <c r="C106" s="85" t="s">
        <v>79</v>
      </c>
      <c r="D106" s="84" t="s">
        <v>80</v>
      </c>
      <c r="E106" s="84">
        <f>VLOOKUP(A106,'2a. SI Pop'!$A$5:$E$198,5,FALSE)</f>
        <v>1</v>
      </c>
      <c r="F106" s="84">
        <v>2031</v>
      </c>
      <c r="G106" s="3">
        <f t="shared" si="56"/>
        <v>0</v>
      </c>
      <c r="H106" s="3">
        <f t="shared" si="56"/>
        <v>0.05</v>
      </c>
      <c r="I106" s="3">
        <f t="shared" si="56"/>
        <v>0.05</v>
      </c>
      <c r="J106" s="3">
        <f t="shared" si="56"/>
        <v>0.05</v>
      </c>
      <c r="K106" s="3">
        <f t="shared" si="56"/>
        <v>0.05</v>
      </c>
      <c r="L106" s="3">
        <f t="shared" si="56"/>
        <v>0.05</v>
      </c>
      <c r="M106" s="3">
        <f t="shared" si="56"/>
        <v>0.05</v>
      </c>
      <c r="N106" s="3">
        <f t="shared" si="56"/>
        <v>0.05</v>
      </c>
      <c r="O106" s="3">
        <f t="shared" si="56"/>
        <v>0.05</v>
      </c>
      <c r="P106" s="3">
        <f t="shared" si="56"/>
        <v>0.05</v>
      </c>
      <c r="Q106" s="3">
        <f t="shared" si="56"/>
        <v>0.05</v>
      </c>
      <c r="R106" s="76"/>
      <c r="S106" s="76"/>
      <c r="T106" s="76"/>
      <c r="U106" s="76"/>
      <c r="V106" s="76"/>
      <c r="W106" s="76"/>
    </row>
    <row r="107" spans="1:23">
      <c r="A107" s="84" t="s">
        <v>287</v>
      </c>
      <c r="B107" s="85" t="s">
        <v>286</v>
      </c>
      <c r="C107" s="85" t="s">
        <v>83</v>
      </c>
      <c r="D107" s="84" t="s">
        <v>75</v>
      </c>
      <c r="E107" s="84">
        <f>VLOOKUP(A107,'2a. SI Pop'!$A$5:$E$198,5,FALSE)</f>
        <v>3</v>
      </c>
      <c r="F107" s="84">
        <v>2031</v>
      </c>
      <c r="G107" s="3">
        <f t="shared" ref="G107:Q108" si="57">IF($F107&lt;=G$4,80%,0)</f>
        <v>0</v>
      </c>
      <c r="H107" s="3">
        <f t="shared" si="57"/>
        <v>0.8</v>
      </c>
      <c r="I107" s="3">
        <f t="shared" si="57"/>
        <v>0.8</v>
      </c>
      <c r="J107" s="3">
        <f t="shared" si="57"/>
        <v>0.8</v>
      </c>
      <c r="K107" s="3">
        <f t="shared" si="57"/>
        <v>0.8</v>
      </c>
      <c r="L107" s="3">
        <f t="shared" si="57"/>
        <v>0.8</v>
      </c>
      <c r="M107" s="3">
        <f t="shared" si="57"/>
        <v>0.8</v>
      </c>
      <c r="N107" s="3">
        <f t="shared" si="57"/>
        <v>0.8</v>
      </c>
      <c r="O107" s="3">
        <f t="shared" si="57"/>
        <v>0.8</v>
      </c>
      <c r="P107" s="3">
        <f t="shared" si="57"/>
        <v>0.8</v>
      </c>
      <c r="Q107" s="3">
        <f t="shared" si="57"/>
        <v>0.8</v>
      </c>
      <c r="R107" s="76"/>
      <c r="S107" s="76"/>
      <c r="T107" s="76"/>
      <c r="U107" s="76"/>
      <c r="V107" s="76"/>
      <c r="W107" s="76"/>
    </row>
    <row r="108" spans="1:23">
      <c r="A108" s="84" t="s">
        <v>289</v>
      </c>
      <c r="B108" s="85" t="s">
        <v>288</v>
      </c>
      <c r="C108" s="85" t="s">
        <v>83</v>
      </c>
      <c r="D108" s="84" t="s">
        <v>75</v>
      </c>
      <c r="E108" s="84">
        <f>VLOOKUP(A108,'2a. SI Pop'!$A$5:$E$198,5,FALSE)</f>
        <v>3</v>
      </c>
      <c r="F108" s="84">
        <v>2032</v>
      </c>
      <c r="G108" s="3">
        <f t="shared" si="57"/>
        <v>0</v>
      </c>
      <c r="H108" s="3">
        <f t="shared" si="57"/>
        <v>0</v>
      </c>
      <c r="I108" s="3">
        <f t="shared" si="57"/>
        <v>0.8</v>
      </c>
      <c r="J108" s="3">
        <f t="shared" si="57"/>
        <v>0.8</v>
      </c>
      <c r="K108" s="3">
        <f t="shared" si="57"/>
        <v>0.8</v>
      </c>
      <c r="L108" s="3">
        <f t="shared" si="57"/>
        <v>0.8</v>
      </c>
      <c r="M108" s="3">
        <f t="shared" si="57"/>
        <v>0.8</v>
      </c>
      <c r="N108" s="3">
        <f t="shared" si="57"/>
        <v>0.8</v>
      </c>
      <c r="O108" s="3">
        <f t="shared" si="57"/>
        <v>0.8</v>
      </c>
      <c r="P108" s="3">
        <f t="shared" si="57"/>
        <v>0.8</v>
      </c>
      <c r="Q108" s="3">
        <f t="shared" si="57"/>
        <v>0.8</v>
      </c>
      <c r="R108" s="76"/>
      <c r="S108" s="76"/>
      <c r="T108" s="76"/>
      <c r="U108" s="76"/>
      <c r="V108" s="76"/>
      <c r="W108" s="76"/>
    </row>
    <row r="109" spans="1:23">
      <c r="A109" s="84" t="s">
        <v>291</v>
      </c>
      <c r="B109" s="85" t="s">
        <v>290</v>
      </c>
      <c r="C109" s="85" t="s">
        <v>99</v>
      </c>
      <c r="D109" s="84" t="s">
        <v>80</v>
      </c>
      <c r="E109" s="84">
        <f>VLOOKUP(A109,'2a. SI Pop'!$A$5:$E$198,5,FALSE)</f>
        <v>2</v>
      </c>
      <c r="F109" s="84">
        <v>2031</v>
      </c>
      <c r="G109" s="3">
        <f t="shared" ref="G109:Q110" si="58">IF($F109&lt;=G$4,30%,0)</f>
        <v>0</v>
      </c>
      <c r="H109" s="3">
        <f t="shared" si="58"/>
        <v>0.3</v>
      </c>
      <c r="I109" s="3">
        <f t="shared" si="58"/>
        <v>0.3</v>
      </c>
      <c r="J109" s="3">
        <f t="shared" si="58"/>
        <v>0.3</v>
      </c>
      <c r="K109" s="3">
        <f t="shared" si="58"/>
        <v>0.3</v>
      </c>
      <c r="L109" s="3">
        <f t="shared" si="58"/>
        <v>0.3</v>
      </c>
      <c r="M109" s="3">
        <f t="shared" si="58"/>
        <v>0.3</v>
      </c>
      <c r="N109" s="3">
        <f t="shared" si="58"/>
        <v>0.3</v>
      </c>
      <c r="O109" s="3">
        <f t="shared" si="58"/>
        <v>0.3</v>
      </c>
      <c r="P109" s="3">
        <f t="shared" si="58"/>
        <v>0.3</v>
      </c>
      <c r="Q109" s="3">
        <f t="shared" si="58"/>
        <v>0.3</v>
      </c>
      <c r="R109" s="76"/>
      <c r="S109" s="76"/>
      <c r="T109" s="76"/>
      <c r="U109" s="76"/>
      <c r="V109" s="76"/>
      <c r="W109" s="76"/>
    </row>
    <row r="110" spans="1:23">
      <c r="A110" s="84" t="s">
        <v>293</v>
      </c>
      <c r="B110" s="85" t="s">
        <v>292</v>
      </c>
      <c r="C110" s="85" t="s">
        <v>110</v>
      </c>
      <c r="D110" s="84" t="s">
        <v>80</v>
      </c>
      <c r="E110" s="84">
        <f>VLOOKUP(A110,'2a. SI Pop'!$A$5:$E$198,5,FALSE)</f>
        <v>2</v>
      </c>
      <c r="F110" s="84">
        <v>2038</v>
      </c>
      <c r="G110" s="3">
        <f t="shared" si="58"/>
        <v>0</v>
      </c>
      <c r="H110" s="3">
        <f t="shared" si="58"/>
        <v>0</v>
      </c>
      <c r="I110" s="3">
        <f t="shared" si="58"/>
        <v>0</v>
      </c>
      <c r="J110" s="3">
        <f t="shared" si="58"/>
        <v>0</v>
      </c>
      <c r="K110" s="3">
        <f t="shared" si="58"/>
        <v>0</v>
      </c>
      <c r="L110" s="3">
        <f t="shared" si="58"/>
        <v>0</v>
      </c>
      <c r="M110" s="3">
        <f t="shared" si="58"/>
        <v>0</v>
      </c>
      <c r="N110" s="3">
        <f t="shared" si="58"/>
        <v>0</v>
      </c>
      <c r="O110" s="3">
        <f t="shared" si="58"/>
        <v>0.3</v>
      </c>
      <c r="P110" s="3">
        <f t="shared" si="58"/>
        <v>0.3</v>
      </c>
      <c r="Q110" s="3">
        <f t="shared" si="58"/>
        <v>0.3</v>
      </c>
      <c r="R110" s="76"/>
      <c r="S110" s="76"/>
      <c r="T110" s="76"/>
      <c r="U110" s="76"/>
      <c r="V110" s="76"/>
      <c r="W110" s="76"/>
    </row>
    <row r="111" spans="1:23">
      <c r="A111" s="84" t="s">
        <v>295</v>
      </c>
      <c r="B111" s="85" t="s">
        <v>294</v>
      </c>
      <c r="C111" s="85" t="s">
        <v>83</v>
      </c>
      <c r="D111" s="84" t="s">
        <v>75</v>
      </c>
      <c r="E111" s="84">
        <f>VLOOKUP(A111,'2a. SI Pop'!$A$5:$E$198,5,FALSE)</f>
        <v>3</v>
      </c>
      <c r="F111" s="84">
        <v>2033</v>
      </c>
      <c r="G111" s="3">
        <f t="shared" ref="G111:Q111" si="59">IF($F111&lt;=G$4,80%,0)</f>
        <v>0</v>
      </c>
      <c r="H111" s="3">
        <f t="shared" si="59"/>
        <v>0</v>
      </c>
      <c r="I111" s="3">
        <f t="shared" si="59"/>
        <v>0</v>
      </c>
      <c r="J111" s="3">
        <f t="shared" si="59"/>
        <v>0.8</v>
      </c>
      <c r="K111" s="3">
        <f t="shared" si="59"/>
        <v>0.8</v>
      </c>
      <c r="L111" s="3">
        <f t="shared" si="59"/>
        <v>0.8</v>
      </c>
      <c r="M111" s="3">
        <f t="shared" si="59"/>
        <v>0.8</v>
      </c>
      <c r="N111" s="3">
        <f t="shared" si="59"/>
        <v>0.8</v>
      </c>
      <c r="O111" s="3">
        <f t="shared" si="59"/>
        <v>0.8</v>
      </c>
      <c r="P111" s="3">
        <f t="shared" si="59"/>
        <v>0.8</v>
      </c>
      <c r="Q111" s="3">
        <f t="shared" si="59"/>
        <v>0.8</v>
      </c>
      <c r="R111" s="76"/>
      <c r="S111" s="76"/>
      <c r="T111" s="76"/>
      <c r="U111" s="76"/>
      <c r="V111" s="76"/>
      <c r="W111" s="76"/>
    </row>
    <row r="112" spans="1:23">
      <c r="A112" s="84" t="s">
        <v>297</v>
      </c>
      <c r="B112" s="85" t="s">
        <v>296</v>
      </c>
      <c r="C112" s="85" t="s">
        <v>79</v>
      </c>
      <c r="D112" s="84" t="s">
        <v>87</v>
      </c>
      <c r="E112" s="84">
        <f>VLOOKUP(A112,'2a. SI Pop'!$A$5:$E$198,5,FALSE)</f>
        <v>1</v>
      </c>
      <c r="F112" s="84">
        <v>2035</v>
      </c>
      <c r="G112" s="3">
        <f t="shared" ref="G112:Q112" si="60">IF($F112&lt;=G$4,5%,0)</f>
        <v>0</v>
      </c>
      <c r="H112" s="3">
        <f t="shared" si="60"/>
        <v>0</v>
      </c>
      <c r="I112" s="3">
        <f t="shared" si="60"/>
        <v>0</v>
      </c>
      <c r="J112" s="3">
        <f t="shared" si="60"/>
        <v>0</v>
      </c>
      <c r="K112" s="3">
        <f t="shared" si="60"/>
        <v>0</v>
      </c>
      <c r="L112" s="3">
        <f t="shared" si="60"/>
        <v>0.05</v>
      </c>
      <c r="M112" s="3">
        <f t="shared" si="60"/>
        <v>0.05</v>
      </c>
      <c r="N112" s="3">
        <f t="shared" si="60"/>
        <v>0.05</v>
      </c>
      <c r="O112" s="3">
        <f t="shared" si="60"/>
        <v>0.05</v>
      </c>
      <c r="P112" s="3">
        <f t="shared" si="60"/>
        <v>0.05</v>
      </c>
      <c r="Q112" s="3">
        <f t="shared" si="60"/>
        <v>0.05</v>
      </c>
      <c r="R112" s="76"/>
      <c r="S112" s="76"/>
      <c r="T112" s="76"/>
      <c r="U112" s="76"/>
      <c r="V112" s="76"/>
      <c r="W112" s="76"/>
    </row>
    <row r="113" spans="1:23">
      <c r="A113" s="84" t="s">
        <v>299</v>
      </c>
      <c r="B113" s="85" t="s">
        <v>298</v>
      </c>
      <c r="C113" s="85" t="s">
        <v>99</v>
      </c>
      <c r="D113" s="84" t="s">
        <v>80</v>
      </c>
      <c r="E113" s="84">
        <f>VLOOKUP(A113,'2a. SI Pop'!$A$5:$E$198,5,FALSE)</f>
        <v>1</v>
      </c>
      <c r="F113" s="84">
        <v>2037</v>
      </c>
      <c r="G113" s="3">
        <f t="shared" ref="G113:Q113" si="61">IF($F113&lt;=G$4,80%,0)</f>
        <v>0</v>
      </c>
      <c r="H113" s="3">
        <f t="shared" si="61"/>
        <v>0</v>
      </c>
      <c r="I113" s="3">
        <f t="shared" si="61"/>
        <v>0</v>
      </c>
      <c r="J113" s="3">
        <f t="shared" si="61"/>
        <v>0</v>
      </c>
      <c r="K113" s="3">
        <f t="shared" si="61"/>
        <v>0</v>
      </c>
      <c r="L113" s="3">
        <f t="shared" si="61"/>
        <v>0</v>
      </c>
      <c r="M113" s="3">
        <f t="shared" si="61"/>
        <v>0</v>
      </c>
      <c r="N113" s="3">
        <f t="shared" si="61"/>
        <v>0.8</v>
      </c>
      <c r="O113" s="3">
        <f t="shared" si="61"/>
        <v>0.8</v>
      </c>
      <c r="P113" s="3">
        <f t="shared" si="61"/>
        <v>0.8</v>
      </c>
      <c r="Q113" s="3">
        <f t="shared" si="61"/>
        <v>0.8</v>
      </c>
      <c r="R113" s="76"/>
      <c r="S113" s="76"/>
      <c r="T113" s="76"/>
      <c r="U113" s="76"/>
      <c r="V113" s="76"/>
      <c r="W113" s="76"/>
    </row>
    <row r="114" spans="1:23">
      <c r="A114" s="84" t="s">
        <v>301</v>
      </c>
      <c r="B114" s="85" t="s">
        <v>300</v>
      </c>
      <c r="C114" s="85" t="s">
        <v>83</v>
      </c>
      <c r="D114" s="84" t="s">
        <v>84</v>
      </c>
      <c r="E114" s="84">
        <f>VLOOKUP(A114,'2a. SI Pop'!$A$5:$E$198,5,FALSE)</f>
        <v>3</v>
      </c>
      <c r="F114" s="84">
        <v>2038</v>
      </c>
      <c r="G114" s="3">
        <f t="shared" ref="G114:Q114" si="62">IF($F114&lt;=G$4,80%,0)</f>
        <v>0</v>
      </c>
      <c r="H114" s="3">
        <f t="shared" si="62"/>
        <v>0</v>
      </c>
      <c r="I114" s="3">
        <f t="shared" si="62"/>
        <v>0</v>
      </c>
      <c r="J114" s="3">
        <f t="shared" si="62"/>
        <v>0</v>
      </c>
      <c r="K114" s="3">
        <f t="shared" si="62"/>
        <v>0</v>
      </c>
      <c r="L114" s="3">
        <f t="shared" si="62"/>
        <v>0</v>
      </c>
      <c r="M114" s="3">
        <f t="shared" si="62"/>
        <v>0</v>
      </c>
      <c r="N114" s="3">
        <f t="shared" si="62"/>
        <v>0</v>
      </c>
      <c r="O114" s="3">
        <f t="shared" si="62"/>
        <v>0.8</v>
      </c>
      <c r="P114" s="3">
        <f t="shared" si="62"/>
        <v>0.8</v>
      </c>
      <c r="Q114" s="3">
        <f t="shared" si="62"/>
        <v>0.8</v>
      </c>
      <c r="R114" s="76"/>
      <c r="S114" s="76"/>
      <c r="T114" s="76"/>
      <c r="U114" s="76"/>
      <c r="V114" s="76"/>
      <c r="W114" s="76"/>
    </row>
    <row r="115" spans="1:23">
      <c r="A115" s="84" t="s">
        <v>303</v>
      </c>
      <c r="B115" s="85" t="s">
        <v>302</v>
      </c>
      <c r="C115" s="85" t="s">
        <v>83</v>
      </c>
      <c r="D115" s="84" t="s">
        <v>87</v>
      </c>
      <c r="E115" s="84">
        <f>VLOOKUP(A115,'2a. SI Pop'!$A$5:$E$198,5,FALSE)</f>
        <v>1</v>
      </c>
      <c r="F115" s="84">
        <v>2038</v>
      </c>
      <c r="G115" s="3">
        <f t="shared" ref="G115:Q115" si="63">IF($F115&lt;=G$4,5%,0)</f>
        <v>0</v>
      </c>
      <c r="H115" s="3">
        <f t="shared" si="63"/>
        <v>0</v>
      </c>
      <c r="I115" s="3">
        <f t="shared" si="63"/>
        <v>0</v>
      </c>
      <c r="J115" s="3">
        <f t="shared" si="63"/>
        <v>0</v>
      </c>
      <c r="K115" s="3">
        <f t="shared" si="63"/>
        <v>0</v>
      </c>
      <c r="L115" s="3">
        <f t="shared" si="63"/>
        <v>0</v>
      </c>
      <c r="M115" s="3">
        <f t="shared" si="63"/>
        <v>0</v>
      </c>
      <c r="N115" s="3">
        <f t="shared" si="63"/>
        <v>0</v>
      </c>
      <c r="O115" s="3">
        <f t="shared" si="63"/>
        <v>0.05</v>
      </c>
      <c r="P115" s="3">
        <f t="shared" si="63"/>
        <v>0.05</v>
      </c>
      <c r="Q115" s="3">
        <f t="shared" si="63"/>
        <v>0.05</v>
      </c>
      <c r="R115" s="76"/>
      <c r="S115" s="76"/>
      <c r="T115" s="76"/>
      <c r="U115" s="76"/>
      <c r="V115" s="76"/>
      <c r="W115" s="76"/>
    </row>
    <row r="116" spans="1:23">
      <c r="A116" s="84" t="s">
        <v>305</v>
      </c>
      <c r="B116" s="85" t="s">
        <v>304</v>
      </c>
      <c r="C116" s="85" t="s">
        <v>92</v>
      </c>
      <c r="D116" s="84" t="s">
        <v>80</v>
      </c>
      <c r="E116" s="84">
        <f>VLOOKUP(A116,'2a. SI Pop'!$A$5:$E$198,5,FALSE)</f>
        <v>2</v>
      </c>
      <c r="F116" s="84">
        <v>2038</v>
      </c>
      <c r="G116" s="3">
        <f t="shared" ref="G116:Q116" si="64">IF($F116&lt;=G$4,30%,0)</f>
        <v>0</v>
      </c>
      <c r="H116" s="3">
        <f t="shared" si="64"/>
        <v>0</v>
      </c>
      <c r="I116" s="3">
        <f t="shared" si="64"/>
        <v>0</v>
      </c>
      <c r="J116" s="3">
        <f t="shared" si="64"/>
        <v>0</v>
      </c>
      <c r="K116" s="3">
        <f t="shared" si="64"/>
        <v>0</v>
      </c>
      <c r="L116" s="3">
        <f t="shared" si="64"/>
        <v>0</v>
      </c>
      <c r="M116" s="3">
        <f t="shared" si="64"/>
        <v>0</v>
      </c>
      <c r="N116" s="3">
        <f t="shared" si="64"/>
        <v>0</v>
      </c>
      <c r="O116" s="3">
        <f t="shared" si="64"/>
        <v>0.3</v>
      </c>
      <c r="P116" s="3">
        <f t="shared" si="64"/>
        <v>0.3</v>
      </c>
      <c r="Q116" s="3">
        <f t="shared" si="64"/>
        <v>0.3</v>
      </c>
      <c r="R116" s="76"/>
      <c r="S116" s="76"/>
      <c r="T116" s="76"/>
      <c r="U116" s="76"/>
      <c r="V116" s="76"/>
      <c r="W116" s="76"/>
    </row>
    <row r="117" spans="1:23">
      <c r="A117" s="84" t="s">
        <v>307</v>
      </c>
      <c r="B117" s="85" t="s">
        <v>306</v>
      </c>
      <c r="C117" s="85" t="s">
        <v>99</v>
      </c>
      <c r="D117" s="84" t="s">
        <v>84</v>
      </c>
      <c r="E117" s="84">
        <f>VLOOKUP(A117,'2a. SI Pop'!$A$5:$E$198,5,FALSE)</f>
        <v>1</v>
      </c>
      <c r="F117" s="84">
        <v>2038</v>
      </c>
      <c r="G117" s="3">
        <f t="shared" ref="G117:Q118" si="65">IF($F117&lt;=G$4,5%,0)</f>
        <v>0</v>
      </c>
      <c r="H117" s="3">
        <f t="shared" si="65"/>
        <v>0</v>
      </c>
      <c r="I117" s="3">
        <f t="shared" si="65"/>
        <v>0</v>
      </c>
      <c r="J117" s="3">
        <f t="shared" si="65"/>
        <v>0</v>
      </c>
      <c r="K117" s="3">
        <f t="shared" si="65"/>
        <v>0</v>
      </c>
      <c r="L117" s="3">
        <f t="shared" si="65"/>
        <v>0</v>
      </c>
      <c r="M117" s="3">
        <f t="shared" si="65"/>
        <v>0</v>
      </c>
      <c r="N117" s="3">
        <f t="shared" si="65"/>
        <v>0</v>
      </c>
      <c r="O117" s="3">
        <f t="shared" si="65"/>
        <v>0.05</v>
      </c>
      <c r="P117" s="3">
        <f t="shared" si="65"/>
        <v>0.05</v>
      </c>
      <c r="Q117" s="3">
        <f t="shared" si="65"/>
        <v>0.05</v>
      </c>
      <c r="R117" s="76"/>
      <c r="S117" s="76"/>
      <c r="T117" s="76"/>
      <c r="U117" s="76"/>
      <c r="V117" s="76"/>
      <c r="W117" s="76"/>
    </row>
    <row r="118" spans="1:23">
      <c r="A118" s="84" t="s">
        <v>309</v>
      </c>
      <c r="B118" s="85" t="s">
        <v>308</v>
      </c>
      <c r="C118" s="85" t="s">
        <v>79</v>
      </c>
      <c r="D118" s="84" t="s">
        <v>84</v>
      </c>
      <c r="E118" s="84">
        <f>VLOOKUP(A118,'2a. SI Pop'!$A$5:$E$198,5,FALSE)</f>
        <v>1</v>
      </c>
      <c r="F118" s="84">
        <v>2041</v>
      </c>
      <c r="G118" s="3">
        <f t="shared" si="65"/>
        <v>0</v>
      </c>
      <c r="H118" s="3">
        <f t="shared" si="65"/>
        <v>0</v>
      </c>
      <c r="I118" s="3">
        <f t="shared" si="65"/>
        <v>0</v>
      </c>
      <c r="J118" s="3">
        <f t="shared" si="65"/>
        <v>0</v>
      </c>
      <c r="K118" s="3">
        <f t="shared" si="65"/>
        <v>0</v>
      </c>
      <c r="L118" s="3">
        <f t="shared" si="65"/>
        <v>0</v>
      </c>
      <c r="M118" s="3">
        <f t="shared" si="65"/>
        <v>0</v>
      </c>
      <c r="N118" s="3">
        <f t="shared" si="65"/>
        <v>0</v>
      </c>
      <c r="O118" s="3">
        <f t="shared" si="65"/>
        <v>0</v>
      </c>
      <c r="P118" s="3">
        <f t="shared" si="65"/>
        <v>0</v>
      </c>
      <c r="Q118" s="3">
        <f t="shared" si="65"/>
        <v>0</v>
      </c>
      <c r="R118" s="76"/>
      <c r="S118" s="76"/>
      <c r="T118" s="76"/>
      <c r="U118" s="76"/>
      <c r="V118" s="76"/>
      <c r="W118" s="76"/>
    </row>
    <row r="119" spans="1:23">
      <c r="A119" s="84" t="s">
        <v>311</v>
      </c>
      <c r="B119" s="85" t="s">
        <v>310</v>
      </c>
      <c r="C119" s="85" t="s">
        <v>79</v>
      </c>
      <c r="D119" s="84" t="s">
        <v>87</v>
      </c>
      <c r="E119" s="84">
        <f>VLOOKUP(A119,'2a. SI Pop'!$A$5:$E$198,5,FALSE)</f>
        <v>1</v>
      </c>
      <c r="F119" s="84">
        <v>2039</v>
      </c>
      <c r="G119" s="3">
        <f t="shared" ref="G119:Q119" si="66">IF($F119&lt;=G$4,80%,0)</f>
        <v>0</v>
      </c>
      <c r="H119" s="3">
        <f t="shared" si="66"/>
        <v>0</v>
      </c>
      <c r="I119" s="3">
        <f t="shared" si="66"/>
        <v>0</v>
      </c>
      <c r="J119" s="3">
        <f t="shared" si="66"/>
        <v>0</v>
      </c>
      <c r="K119" s="3">
        <f t="shared" si="66"/>
        <v>0</v>
      </c>
      <c r="L119" s="3">
        <f t="shared" si="66"/>
        <v>0</v>
      </c>
      <c r="M119" s="3">
        <f t="shared" si="66"/>
        <v>0</v>
      </c>
      <c r="N119" s="3">
        <f t="shared" si="66"/>
        <v>0</v>
      </c>
      <c r="O119" s="3">
        <f t="shared" si="66"/>
        <v>0</v>
      </c>
      <c r="P119" s="3">
        <f t="shared" si="66"/>
        <v>0.8</v>
      </c>
      <c r="Q119" s="3">
        <f t="shared" si="66"/>
        <v>0.8</v>
      </c>
      <c r="R119" s="76"/>
      <c r="S119" s="76"/>
      <c r="T119" s="76"/>
      <c r="U119" s="76"/>
      <c r="V119" s="76"/>
      <c r="W119" s="76"/>
    </row>
    <row r="120" spans="1:23">
      <c r="A120" s="84" t="s">
        <v>313</v>
      </c>
      <c r="B120" s="85" t="s">
        <v>312</v>
      </c>
      <c r="C120" s="85" t="s">
        <v>99</v>
      </c>
      <c r="D120" s="84" t="s">
        <v>84</v>
      </c>
      <c r="E120" s="84">
        <f>VLOOKUP(A120,'2a. SI Pop'!$A$5:$E$198,5,FALSE)</f>
        <v>2</v>
      </c>
      <c r="F120" s="84">
        <v>2041</v>
      </c>
      <c r="G120" s="3">
        <f t="shared" ref="G120:Q120" si="67">IF($F120&lt;=G$4,30%,0)</f>
        <v>0</v>
      </c>
      <c r="H120" s="3">
        <f t="shared" si="67"/>
        <v>0</v>
      </c>
      <c r="I120" s="3">
        <f t="shared" si="67"/>
        <v>0</v>
      </c>
      <c r="J120" s="3">
        <f t="shared" si="67"/>
        <v>0</v>
      </c>
      <c r="K120" s="3">
        <f t="shared" si="67"/>
        <v>0</v>
      </c>
      <c r="L120" s="3">
        <f t="shared" si="67"/>
        <v>0</v>
      </c>
      <c r="M120" s="3">
        <f t="shared" si="67"/>
        <v>0</v>
      </c>
      <c r="N120" s="3">
        <f t="shared" si="67"/>
        <v>0</v>
      </c>
      <c r="O120" s="3">
        <f t="shared" si="67"/>
        <v>0</v>
      </c>
      <c r="P120" s="3">
        <f t="shared" si="67"/>
        <v>0</v>
      </c>
      <c r="Q120" s="3">
        <f t="shared" si="67"/>
        <v>0</v>
      </c>
      <c r="R120" s="76"/>
      <c r="S120" s="76"/>
      <c r="T120" s="76"/>
      <c r="U120" s="76"/>
      <c r="V120" s="76"/>
      <c r="W120" s="76"/>
    </row>
    <row r="121" spans="1:23">
      <c r="A121" s="84" t="s">
        <v>315</v>
      </c>
      <c r="B121" s="85" t="s">
        <v>314</v>
      </c>
      <c r="C121" s="85" t="s">
        <v>79</v>
      </c>
      <c r="D121" s="84" t="s">
        <v>80</v>
      </c>
      <c r="E121" s="84">
        <f>VLOOKUP(A121,'2a. SI Pop'!$A$5:$E$198,5,FALSE)</f>
        <v>1</v>
      </c>
      <c r="F121" s="84">
        <v>2041</v>
      </c>
      <c r="G121" s="3">
        <f t="shared" ref="G121:Q121" si="68">IF($F121&lt;=G$4,5%,0)</f>
        <v>0</v>
      </c>
      <c r="H121" s="3">
        <f t="shared" si="68"/>
        <v>0</v>
      </c>
      <c r="I121" s="3">
        <f t="shared" si="68"/>
        <v>0</v>
      </c>
      <c r="J121" s="3">
        <f t="shared" si="68"/>
        <v>0</v>
      </c>
      <c r="K121" s="3">
        <f t="shared" si="68"/>
        <v>0</v>
      </c>
      <c r="L121" s="3">
        <f t="shared" si="68"/>
        <v>0</v>
      </c>
      <c r="M121" s="3">
        <f t="shared" si="68"/>
        <v>0</v>
      </c>
      <c r="N121" s="3">
        <f t="shared" si="68"/>
        <v>0</v>
      </c>
      <c r="O121" s="3">
        <f t="shared" si="68"/>
        <v>0</v>
      </c>
      <c r="P121" s="3">
        <f t="shared" si="68"/>
        <v>0</v>
      </c>
      <c r="Q121" s="3">
        <f t="shared" si="68"/>
        <v>0</v>
      </c>
      <c r="R121" s="76"/>
      <c r="S121" s="76"/>
      <c r="T121" s="76"/>
      <c r="U121" s="76"/>
      <c r="V121" s="76"/>
      <c r="W121" s="76"/>
    </row>
    <row r="122" spans="1:23">
      <c r="A122" s="84" t="s">
        <v>317</v>
      </c>
      <c r="B122" s="85" t="s">
        <v>316</v>
      </c>
      <c r="C122" s="85" t="s">
        <v>74</v>
      </c>
      <c r="D122" s="84" t="s">
        <v>84</v>
      </c>
      <c r="E122" s="84">
        <f>VLOOKUP(A122,'2a. SI Pop'!$A$5:$E$198,5,FALSE)</f>
        <v>3</v>
      </c>
      <c r="F122" s="84">
        <v>2033</v>
      </c>
      <c r="G122" s="3">
        <f t="shared" ref="G122:Q126" si="69">IF($F122&lt;=G$4,80%,0)</f>
        <v>0</v>
      </c>
      <c r="H122" s="3">
        <f t="shared" si="69"/>
        <v>0</v>
      </c>
      <c r="I122" s="3">
        <f t="shared" si="69"/>
        <v>0</v>
      </c>
      <c r="J122" s="3">
        <f t="shared" si="69"/>
        <v>0.8</v>
      </c>
      <c r="K122" s="3">
        <f t="shared" si="69"/>
        <v>0.8</v>
      </c>
      <c r="L122" s="3">
        <f t="shared" si="69"/>
        <v>0.8</v>
      </c>
      <c r="M122" s="3">
        <f t="shared" si="69"/>
        <v>0.8</v>
      </c>
      <c r="N122" s="3">
        <f t="shared" si="69"/>
        <v>0.8</v>
      </c>
      <c r="O122" s="3">
        <f t="shared" si="69"/>
        <v>0.8</v>
      </c>
      <c r="P122" s="3">
        <f t="shared" si="69"/>
        <v>0.8</v>
      </c>
      <c r="Q122" s="3">
        <f t="shared" si="69"/>
        <v>0.8</v>
      </c>
      <c r="R122" s="76"/>
      <c r="S122" s="76"/>
      <c r="T122" s="76"/>
      <c r="U122" s="76"/>
      <c r="V122" s="76"/>
      <c r="W122" s="76"/>
    </row>
    <row r="123" spans="1:23">
      <c r="A123" s="84" t="s">
        <v>319</v>
      </c>
      <c r="B123" s="85" t="s">
        <v>318</v>
      </c>
      <c r="C123" s="85" t="s">
        <v>83</v>
      </c>
      <c r="D123" s="84" t="s">
        <v>75</v>
      </c>
      <c r="E123" s="84" t="str">
        <f>VLOOKUP(A123,'2a. SI Pop'!$A$5:$E$198,5,FALSE)</f>
        <v>Key</v>
      </c>
      <c r="F123" s="84">
        <v>2034</v>
      </c>
      <c r="G123" s="3">
        <f t="shared" si="69"/>
        <v>0</v>
      </c>
      <c r="H123" s="3">
        <f t="shared" si="69"/>
        <v>0</v>
      </c>
      <c r="I123" s="3">
        <f t="shared" si="69"/>
        <v>0</v>
      </c>
      <c r="J123" s="3">
        <f t="shared" si="69"/>
        <v>0</v>
      </c>
      <c r="K123" s="3">
        <f t="shared" si="69"/>
        <v>0.8</v>
      </c>
      <c r="L123" s="3">
        <f t="shared" si="69"/>
        <v>0.8</v>
      </c>
      <c r="M123" s="3">
        <f t="shared" si="69"/>
        <v>0.8</v>
      </c>
      <c r="N123" s="3">
        <f t="shared" si="69"/>
        <v>0.8</v>
      </c>
      <c r="O123" s="3">
        <f t="shared" si="69"/>
        <v>0.8</v>
      </c>
      <c r="P123" s="3">
        <f t="shared" si="69"/>
        <v>0.8</v>
      </c>
      <c r="Q123" s="3">
        <f t="shared" si="69"/>
        <v>0.8</v>
      </c>
      <c r="R123" s="76"/>
      <c r="S123" s="76"/>
      <c r="T123" s="76"/>
      <c r="U123" s="76"/>
      <c r="V123" s="76"/>
      <c r="W123" s="76"/>
    </row>
    <row r="124" spans="1:23">
      <c r="A124" s="84" t="s">
        <v>321</v>
      </c>
      <c r="B124" s="85" t="s">
        <v>320</v>
      </c>
      <c r="C124" s="85" t="s">
        <v>110</v>
      </c>
      <c r="D124" s="84" t="s">
        <v>84</v>
      </c>
      <c r="E124" s="84">
        <f>VLOOKUP(A124,'2a. SI Pop'!$A$5:$E$198,5,FALSE)</f>
        <v>4</v>
      </c>
      <c r="F124" s="84">
        <v>2036</v>
      </c>
      <c r="G124" s="3">
        <f t="shared" si="69"/>
        <v>0</v>
      </c>
      <c r="H124" s="3">
        <f t="shared" si="69"/>
        <v>0</v>
      </c>
      <c r="I124" s="3">
        <f t="shared" si="69"/>
        <v>0</v>
      </c>
      <c r="J124" s="3">
        <f t="shared" si="69"/>
        <v>0</v>
      </c>
      <c r="K124" s="3">
        <f t="shared" si="69"/>
        <v>0</v>
      </c>
      <c r="L124" s="3">
        <f t="shared" si="69"/>
        <v>0</v>
      </c>
      <c r="M124" s="3">
        <f t="shared" si="69"/>
        <v>0.8</v>
      </c>
      <c r="N124" s="3">
        <f t="shared" si="69"/>
        <v>0.8</v>
      </c>
      <c r="O124" s="3">
        <f t="shared" si="69"/>
        <v>0.8</v>
      </c>
      <c r="P124" s="3">
        <f t="shared" si="69"/>
        <v>0.8</v>
      </c>
      <c r="Q124" s="3">
        <f t="shared" si="69"/>
        <v>0.8</v>
      </c>
      <c r="R124" s="76"/>
      <c r="S124" s="76"/>
      <c r="T124" s="76"/>
      <c r="U124" s="76"/>
      <c r="V124" s="76"/>
      <c r="W124" s="76"/>
    </row>
    <row r="125" spans="1:23">
      <c r="A125" s="84" t="s">
        <v>323</v>
      </c>
      <c r="B125" s="85" t="s">
        <v>322</v>
      </c>
      <c r="C125" s="85" t="s">
        <v>83</v>
      </c>
      <c r="D125" s="84" t="s">
        <v>80</v>
      </c>
      <c r="E125" s="84">
        <f>VLOOKUP(A125,'2a. SI Pop'!$A$5:$E$198,5,FALSE)</f>
        <v>3</v>
      </c>
      <c r="F125" s="84">
        <v>2037</v>
      </c>
      <c r="G125" s="3">
        <f t="shared" si="69"/>
        <v>0</v>
      </c>
      <c r="H125" s="3">
        <f t="shared" si="69"/>
        <v>0</v>
      </c>
      <c r="I125" s="3">
        <f t="shared" si="69"/>
        <v>0</v>
      </c>
      <c r="J125" s="3">
        <f t="shared" si="69"/>
        <v>0</v>
      </c>
      <c r="K125" s="3">
        <f t="shared" si="69"/>
        <v>0</v>
      </c>
      <c r="L125" s="3">
        <f t="shared" si="69"/>
        <v>0</v>
      </c>
      <c r="M125" s="3">
        <f t="shared" si="69"/>
        <v>0</v>
      </c>
      <c r="N125" s="3">
        <f t="shared" si="69"/>
        <v>0.8</v>
      </c>
      <c r="O125" s="3">
        <f t="shared" si="69"/>
        <v>0.8</v>
      </c>
      <c r="P125" s="3">
        <f t="shared" si="69"/>
        <v>0.8</v>
      </c>
      <c r="Q125" s="3">
        <f t="shared" si="69"/>
        <v>0.8</v>
      </c>
      <c r="R125" s="76"/>
      <c r="S125" s="76"/>
      <c r="T125" s="76"/>
      <c r="U125" s="76"/>
      <c r="V125" s="76"/>
      <c r="W125" s="76"/>
    </row>
    <row r="126" spans="1:23">
      <c r="A126" s="84" t="s">
        <v>325</v>
      </c>
      <c r="B126" s="85" t="s">
        <v>324</v>
      </c>
      <c r="C126" s="85" t="s">
        <v>99</v>
      </c>
      <c r="D126" s="84" t="s">
        <v>87</v>
      </c>
      <c r="E126" s="84">
        <f>VLOOKUP(A126,'2a. SI Pop'!$A$5:$E$198,5,FALSE)</f>
        <v>1</v>
      </c>
      <c r="F126" s="84">
        <v>2039</v>
      </c>
      <c r="G126" s="3">
        <f t="shared" si="69"/>
        <v>0</v>
      </c>
      <c r="H126" s="3">
        <f t="shared" si="69"/>
        <v>0</v>
      </c>
      <c r="I126" s="3">
        <f t="shared" si="69"/>
        <v>0</v>
      </c>
      <c r="J126" s="3">
        <f t="shared" si="69"/>
        <v>0</v>
      </c>
      <c r="K126" s="3">
        <f t="shared" si="69"/>
        <v>0</v>
      </c>
      <c r="L126" s="3">
        <f t="shared" si="69"/>
        <v>0</v>
      </c>
      <c r="M126" s="3">
        <f t="shared" si="69"/>
        <v>0</v>
      </c>
      <c r="N126" s="3">
        <f t="shared" si="69"/>
        <v>0</v>
      </c>
      <c r="O126" s="3">
        <f t="shared" si="69"/>
        <v>0</v>
      </c>
      <c r="P126" s="3">
        <f t="shared" si="69"/>
        <v>0.8</v>
      </c>
      <c r="Q126" s="3">
        <f t="shared" si="69"/>
        <v>0.8</v>
      </c>
      <c r="R126" s="76"/>
      <c r="S126" s="76"/>
      <c r="T126" s="76"/>
      <c r="U126" s="76"/>
      <c r="V126" s="76"/>
      <c r="W126" s="76"/>
    </row>
    <row r="127" spans="1:23">
      <c r="A127" s="84" t="s">
        <v>327</v>
      </c>
      <c r="B127" s="85" t="s">
        <v>326</v>
      </c>
      <c r="C127" s="85" t="s">
        <v>110</v>
      </c>
      <c r="D127" s="84" t="s">
        <v>84</v>
      </c>
      <c r="E127" s="84">
        <f>VLOOKUP(A127,'2a. SI Pop'!$A$5:$E$198,5,FALSE)</f>
        <v>4</v>
      </c>
      <c r="F127" s="84">
        <v>2037</v>
      </c>
      <c r="G127" s="3">
        <f t="shared" ref="G127:Q127" si="70">IF($F127&lt;=G$4,80%,0)</f>
        <v>0</v>
      </c>
      <c r="H127" s="3">
        <f t="shared" si="70"/>
        <v>0</v>
      </c>
      <c r="I127" s="3">
        <f t="shared" si="70"/>
        <v>0</v>
      </c>
      <c r="J127" s="3">
        <f t="shared" si="70"/>
        <v>0</v>
      </c>
      <c r="K127" s="3">
        <f t="shared" si="70"/>
        <v>0</v>
      </c>
      <c r="L127" s="3">
        <f t="shared" si="70"/>
        <v>0</v>
      </c>
      <c r="M127" s="3">
        <f t="shared" si="70"/>
        <v>0</v>
      </c>
      <c r="N127" s="3">
        <f t="shared" si="70"/>
        <v>0.8</v>
      </c>
      <c r="O127" s="3">
        <f t="shared" si="70"/>
        <v>0.8</v>
      </c>
      <c r="P127" s="3">
        <f t="shared" si="70"/>
        <v>0.8</v>
      </c>
      <c r="Q127" s="3">
        <f t="shared" si="70"/>
        <v>0.8</v>
      </c>
      <c r="R127" s="76"/>
      <c r="S127" s="76"/>
      <c r="T127" s="76"/>
      <c r="U127" s="76"/>
      <c r="V127" s="76"/>
      <c r="W127" s="76"/>
    </row>
    <row r="128" spans="1:23">
      <c r="A128" s="84" t="s">
        <v>329</v>
      </c>
      <c r="B128" s="85" t="s">
        <v>328</v>
      </c>
      <c r="C128" s="85" t="s">
        <v>79</v>
      </c>
      <c r="D128" s="84" t="s">
        <v>87</v>
      </c>
      <c r="E128" s="84">
        <f>VLOOKUP(A128,'2a. SI Pop'!$A$5:$E$198,5,FALSE)</f>
        <v>1</v>
      </c>
      <c r="F128" s="84">
        <v>2032</v>
      </c>
      <c r="G128" s="3">
        <f t="shared" ref="G128:Q129" si="71">IF($F128&lt;=G$4,5%,0)</f>
        <v>0</v>
      </c>
      <c r="H128" s="3">
        <f t="shared" si="71"/>
        <v>0</v>
      </c>
      <c r="I128" s="3">
        <f t="shared" si="71"/>
        <v>0.05</v>
      </c>
      <c r="J128" s="3">
        <f t="shared" si="71"/>
        <v>0.05</v>
      </c>
      <c r="K128" s="3">
        <f t="shared" si="71"/>
        <v>0.05</v>
      </c>
      <c r="L128" s="3">
        <f t="shared" si="71"/>
        <v>0.05</v>
      </c>
      <c r="M128" s="3">
        <f t="shared" si="71"/>
        <v>0.05</v>
      </c>
      <c r="N128" s="3">
        <f t="shared" si="71"/>
        <v>0.05</v>
      </c>
      <c r="O128" s="3">
        <f t="shared" si="71"/>
        <v>0.05</v>
      </c>
      <c r="P128" s="3">
        <f t="shared" si="71"/>
        <v>0.05</v>
      </c>
      <c r="Q128" s="3">
        <f t="shared" si="71"/>
        <v>0.05</v>
      </c>
      <c r="R128" s="76"/>
      <c r="S128" s="76"/>
      <c r="T128" s="76"/>
      <c r="U128" s="76"/>
      <c r="V128" s="76"/>
      <c r="W128" s="76"/>
    </row>
    <row r="129" spans="1:23">
      <c r="A129" s="84" t="s">
        <v>331</v>
      </c>
      <c r="B129" s="85" t="s">
        <v>330</v>
      </c>
      <c r="C129" s="85" t="s">
        <v>99</v>
      </c>
      <c r="D129" s="84" t="s">
        <v>87</v>
      </c>
      <c r="E129" s="84">
        <f>VLOOKUP(A129,'2a. SI Pop'!$A$5:$E$198,5,FALSE)</f>
        <v>1</v>
      </c>
      <c r="F129" s="84">
        <v>2031</v>
      </c>
      <c r="G129" s="3">
        <f t="shared" si="71"/>
        <v>0</v>
      </c>
      <c r="H129" s="3">
        <f t="shared" si="71"/>
        <v>0.05</v>
      </c>
      <c r="I129" s="3">
        <f t="shared" si="71"/>
        <v>0.05</v>
      </c>
      <c r="J129" s="3">
        <f t="shared" si="71"/>
        <v>0.05</v>
      </c>
      <c r="K129" s="3">
        <f t="shared" si="71"/>
        <v>0.05</v>
      </c>
      <c r="L129" s="3">
        <f t="shared" si="71"/>
        <v>0.05</v>
      </c>
      <c r="M129" s="3">
        <f t="shared" si="71"/>
        <v>0.05</v>
      </c>
      <c r="N129" s="3">
        <f t="shared" si="71"/>
        <v>0.05</v>
      </c>
      <c r="O129" s="3">
        <f t="shared" si="71"/>
        <v>0.05</v>
      </c>
      <c r="P129" s="3">
        <f t="shared" si="71"/>
        <v>0.05</v>
      </c>
      <c r="Q129" s="3">
        <f t="shared" si="71"/>
        <v>0.05</v>
      </c>
      <c r="R129" s="76"/>
      <c r="S129" s="76"/>
      <c r="T129" s="76"/>
      <c r="U129" s="76"/>
      <c r="V129" s="76"/>
      <c r="W129" s="76"/>
    </row>
    <row r="130" spans="1:23">
      <c r="A130" s="84" t="s">
        <v>333</v>
      </c>
      <c r="B130" s="85" t="s">
        <v>332</v>
      </c>
      <c r="C130" s="85" t="s">
        <v>92</v>
      </c>
      <c r="D130" s="84" t="s">
        <v>84</v>
      </c>
      <c r="E130" s="84">
        <f>VLOOKUP(A130,'2a. SI Pop'!$A$5:$E$198,5,FALSE)</f>
        <v>2</v>
      </c>
      <c r="F130" s="84">
        <v>2041</v>
      </c>
      <c r="G130" s="3">
        <f t="shared" ref="G130:Q130" si="72">IF($F130&lt;=G$4,30%,0)</f>
        <v>0</v>
      </c>
      <c r="H130" s="3">
        <f t="shared" si="72"/>
        <v>0</v>
      </c>
      <c r="I130" s="3">
        <f t="shared" si="72"/>
        <v>0</v>
      </c>
      <c r="J130" s="3">
        <f t="shared" si="72"/>
        <v>0</v>
      </c>
      <c r="K130" s="3">
        <f t="shared" si="72"/>
        <v>0</v>
      </c>
      <c r="L130" s="3">
        <f t="shared" si="72"/>
        <v>0</v>
      </c>
      <c r="M130" s="3">
        <f t="shared" si="72"/>
        <v>0</v>
      </c>
      <c r="N130" s="3">
        <f t="shared" si="72"/>
        <v>0</v>
      </c>
      <c r="O130" s="3">
        <f t="shared" si="72"/>
        <v>0</v>
      </c>
      <c r="P130" s="3">
        <f t="shared" si="72"/>
        <v>0</v>
      </c>
      <c r="Q130" s="3">
        <f t="shared" si="72"/>
        <v>0</v>
      </c>
      <c r="R130" s="76"/>
      <c r="S130" s="76"/>
      <c r="T130" s="76"/>
      <c r="U130" s="76"/>
      <c r="V130" s="76"/>
      <c r="W130" s="76"/>
    </row>
    <row r="131" spans="1:23">
      <c r="A131" s="84" t="s">
        <v>335</v>
      </c>
      <c r="B131" s="85" t="s">
        <v>334</v>
      </c>
      <c r="C131" s="85" t="s">
        <v>83</v>
      </c>
      <c r="D131" s="84" t="s">
        <v>75</v>
      </c>
      <c r="E131" s="84">
        <f>VLOOKUP(A131,'2a. SI Pop'!$A$5:$E$198,5,FALSE)</f>
        <v>3</v>
      </c>
      <c r="F131" s="84">
        <v>2031</v>
      </c>
      <c r="G131" s="3">
        <f t="shared" ref="G131:Q133" si="73">IF($F131&lt;=G$4,80%,0)</f>
        <v>0</v>
      </c>
      <c r="H131" s="3">
        <f t="shared" si="73"/>
        <v>0.8</v>
      </c>
      <c r="I131" s="3">
        <f t="shared" si="73"/>
        <v>0.8</v>
      </c>
      <c r="J131" s="3">
        <f t="shared" si="73"/>
        <v>0.8</v>
      </c>
      <c r="K131" s="3">
        <f t="shared" si="73"/>
        <v>0.8</v>
      </c>
      <c r="L131" s="3">
        <f t="shared" si="73"/>
        <v>0.8</v>
      </c>
      <c r="M131" s="3">
        <f t="shared" si="73"/>
        <v>0.8</v>
      </c>
      <c r="N131" s="3">
        <f t="shared" si="73"/>
        <v>0.8</v>
      </c>
      <c r="O131" s="3">
        <f t="shared" si="73"/>
        <v>0.8</v>
      </c>
      <c r="P131" s="3">
        <f t="shared" si="73"/>
        <v>0.8</v>
      </c>
      <c r="Q131" s="3">
        <f t="shared" si="73"/>
        <v>0.8</v>
      </c>
      <c r="R131" s="76"/>
      <c r="S131" s="76"/>
      <c r="T131" s="76"/>
      <c r="U131" s="76"/>
      <c r="V131" s="76"/>
      <c r="W131" s="76"/>
    </row>
    <row r="132" spans="1:23">
      <c r="A132" s="84" t="s">
        <v>337</v>
      </c>
      <c r="B132" s="85" t="s">
        <v>336</v>
      </c>
      <c r="C132" s="85" t="s">
        <v>83</v>
      </c>
      <c r="D132" s="84" t="s">
        <v>84</v>
      </c>
      <c r="E132" s="84" t="str">
        <f>VLOOKUP(A132,'2a. SI Pop'!$A$5:$E$198,5,FALSE)</f>
        <v>Key</v>
      </c>
      <c r="F132" s="84">
        <v>2034</v>
      </c>
      <c r="G132" s="3">
        <f t="shared" si="73"/>
        <v>0</v>
      </c>
      <c r="H132" s="3">
        <f t="shared" si="73"/>
        <v>0</v>
      </c>
      <c r="I132" s="3">
        <f t="shared" si="73"/>
        <v>0</v>
      </c>
      <c r="J132" s="3">
        <f t="shared" si="73"/>
        <v>0</v>
      </c>
      <c r="K132" s="3">
        <f t="shared" si="73"/>
        <v>0.8</v>
      </c>
      <c r="L132" s="3">
        <f t="shared" si="73"/>
        <v>0.8</v>
      </c>
      <c r="M132" s="3">
        <f t="shared" si="73"/>
        <v>0.8</v>
      </c>
      <c r="N132" s="3">
        <f t="shared" si="73"/>
        <v>0.8</v>
      </c>
      <c r="O132" s="3">
        <f t="shared" si="73"/>
        <v>0.8</v>
      </c>
      <c r="P132" s="3">
        <f t="shared" si="73"/>
        <v>0.8</v>
      </c>
      <c r="Q132" s="3">
        <f t="shared" si="73"/>
        <v>0.8</v>
      </c>
      <c r="R132" s="76"/>
      <c r="S132" s="76"/>
      <c r="T132" s="76"/>
      <c r="U132" s="76"/>
      <c r="V132" s="76"/>
      <c r="W132" s="76"/>
    </row>
    <row r="133" spans="1:23">
      <c r="A133" s="84" t="s">
        <v>339</v>
      </c>
      <c r="B133" s="85" t="s">
        <v>338</v>
      </c>
      <c r="C133" s="85" t="s">
        <v>99</v>
      </c>
      <c r="D133" s="84" t="e">
        <v>#N/A</v>
      </c>
      <c r="E133" s="84">
        <f>VLOOKUP(A133,'2a. SI Pop'!$A$5:$E$198,5,FALSE)</f>
        <v>1</v>
      </c>
      <c r="F133" s="84">
        <v>2040</v>
      </c>
      <c r="G133" s="3">
        <f t="shared" si="73"/>
        <v>0</v>
      </c>
      <c r="H133" s="3">
        <f t="shared" si="73"/>
        <v>0</v>
      </c>
      <c r="I133" s="3">
        <f t="shared" si="73"/>
        <v>0</v>
      </c>
      <c r="J133" s="3">
        <f t="shared" si="73"/>
        <v>0</v>
      </c>
      <c r="K133" s="3">
        <f t="shared" si="73"/>
        <v>0</v>
      </c>
      <c r="L133" s="3">
        <f t="shared" si="73"/>
        <v>0</v>
      </c>
      <c r="M133" s="3">
        <f t="shared" si="73"/>
        <v>0</v>
      </c>
      <c r="N133" s="3">
        <f t="shared" si="73"/>
        <v>0</v>
      </c>
      <c r="O133" s="3">
        <f t="shared" si="73"/>
        <v>0</v>
      </c>
      <c r="P133" s="3">
        <f t="shared" si="73"/>
        <v>0</v>
      </c>
      <c r="Q133" s="3">
        <f t="shared" si="73"/>
        <v>0.8</v>
      </c>
      <c r="R133" s="76"/>
      <c r="S133" s="76"/>
      <c r="T133" s="76"/>
      <c r="U133" s="76"/>
      <c r="V133" s="76"/>
      <c r="W133" s="76"/>
    </row>
    <row r="134" spans="1:23">
      <c r="A134" s="84" t="s">
        <v>341</v>
      </c>
      <c r="B134" s="85" t="s">
        <v>340</v>
      </c>
      <c r="C134" s="85" t="s">
        <v>79</v>
      </c>
      <c r="D134" s="84" t="s">
        <v>87</v>
      </c>
      <c r="E134" s="84">
        <f>VLOOKUP(A134,'2a. SI Pop'!$A$5:$E$198,5,FALSE)</f>
        <v>1</v>
      </c>
      <c r="F134" s="84">
        <v>2032</v>
      </c>
      <c r="G134" s="3">
        <f t="shared" ref="G134:Q135" si="74">IF($F134&lt;=G$4,5%,0)</f>
        <v>0</v>
      </c>
      <c r="H134" s="3">
        <f t="shared" si="74"/>
        <v>0</v>
      </c>
      <c r="I134" s="3">
        <f t="shared" si="74"/>
        <v>0.05</v>
      </c>
      <c r="J134" s="3">
        <f t="shared" si="74"/>
        <v>0.05</v>
      </c>
      <c r="K134" s="3">
        <f t="shared" si="74"/>
        <v>0.05</v>
      </c>
      <c r="L134" s="3">
        <f t="shared" si="74"/>
        <v>0.05</v>
      </c>
      <c r="M134" s="3">
        <f t="shared" si="74"/>
        <v>0.05</v>
      </c>
      <c r="N134" s="3">
        <f t="shared" si="74"/>
        <v>0.05</v>
      </c>
      <c r="O134" s="3">
        <f t="shared" si="74"/>
        <v>0.05</v>
      </c>
      <c r="P134" s="3">
        <f t="shared" si="74"/>
        <v>0.05</v>
      </c>
      <c r="Q134" s="3">
        <f t="shared" si="74"/>
        <v>0.05</v>
      </c>
      <c r="R134" s="76"/>
      <c r="S134" s="76"/>
      <c r="T134" s="76"/>
      <c r="U134" s="76"/>
      <c r="V134" s="76"/>
      <c r="W134" s="76"/>
    </row>
    <row r="135" spans="1:23">
      <c r="A135" s="84" t="s">
        <v>343</v>
      </c>
      <c r="B135" s="85" t="s">
        <v>342</v>
      </c>
      <c r="C135" s="85" t="s">
        <v>74</v>
      </c>
      <c r="D135" s="84" t="s">
        <v>87</v>
      </c>
      <c r="E135" s="84">
        <f>VLOOKUP(A135,'2a. SI Pop'!$A$5:$E$198,5,FALSE)</f>
        <v>1</v>
      </c>
      <c r="F135" s="84">
        <v>2036</v>
      </c>
      <c r="G135" s="3">
        <f t="shared" si="74"/>
        <v>0</v>
      </c>
      <c r="H135" s="3">
        <f t="shared" si="74"/>
        <v>0</v>
      </c>
      <c r="I135" s="3">
        <f t="shared" si="74"/>
        <v>0</v>
      </c>
      <c r="J135" s="3">
        <f t="shared" si="74"/>
        <v>0</v>
      </c>
      <c r="K135" s="3">
        <f t="shared" si="74"/>
        <v>0</v>
      </c>
      <c r="L135" s="3">
        <f t="shared" si="74"/>
        <v>0</v>
      </c>
      <c r="M135" s="3">
        <f t="shared" si="74"/>
        <v>0.05</v>
      </c>
      <c r="N135" s="3">
        <f t="shared" si="74"/>
        <v>0.05</v>
      </c>
      <c r="O135" s="3">
        <f t="shared" si="74"/>
        <v>0.05</v>
      </c>
      <c r="P135" s="3">
        <f t="shared" si="74"/>
        <v>0.05</v>
      </c>
      <c r="Q135" s="3">
        <f t="shared" si="74"/>
        <v>0.05</v>
      </c>
      <c r="R135" s="76"/>
      <c r="S135" s="76"/>
      <c r="T135" s="76"/>
      <c r="U135" s="76"/>
      <c r="V135" s="76"/>
      <c r="W135" s="76"/>
    </row>
    <row r="136" spans="1:23">
      <c r="A136" s="84" t="s">
        <v>345</v>
      </c>
      <c r="B136" s="85" t="s">
        <v>344</v>
      </c>
      <c r="C136" s="85" t="s">
        <v>74</v>
      </c>
      <c r="D136" s="84" t="s">
        <v>84</v>
      </c>
      <c r="E136" s="84" t="str">
        <f>VLOOKUP(A136,'2a. SI Pop'!$A$5:$E$198,5,FALSE)</f>
        <v>Key</v>
      </c>
      <c r="F136" s="84">
        <v>2033</v>
      </c>
      <c r="G136" s="3">
        <f t="shared" ref="G136:Q137" si="75">IF($F136&lt;=G$4,80%,0)</f>
        <v>0</v>
      </c>
      <c r="H136" s="3">
        <f t="shared" si="75"/>
        <v>0</v>
      </c>
      <c r="I136" s="3">
        <f t="shared" si="75"/>
        <v>0</v>
      </c>
      <c r="J136" s="3">
        <f t="shared" si="75"/>
        <v>0.8</v>
      </c>
      <c r="K136" s="3">
        <f t="shared" si="75"/>
        <v>0.8</v>
      </c>
      <c r="L136" s="3">
        <f t="shared" si="75"/>
        <v>0.8</v>
      </c>
      <c r="M136" s="3">
        <f t="shared" si="75"/>
        <v>0.8</v>
      </c>
      <c r="N136" s="3">
        <f t="shared" si="75"/>
        <v>0.8</v>
      </c>
      <c r="O136" s="3">
        <f t="shared" si="75"/>
        <v>0.8</v>
      </c>
      <c r="P136" s="3">
        <f t="shared" si="75"/>
        <v>0.8</v>
      </c>
      <c r="Q136" s="3">
        <f t="shared" si="75"/>
        <v>0.8</v>
      </c>
      <c r="R136" s="76"/>
      <c r="S136" s="76"/>
      <c r="T136" s="76"/>
      <c r="U136" s="76"/>
      <c r="V136" s="76"/>
      <c r="W136" s="76"/>
    </row>
    <row r="137" spans="1:23">
      <c r="A137" s="84" t="s">
        <v>347</v>
      </c>
      <c r="B137" s="85" t="s">
        <v>346</v>
      </c>
      <c r="C137" s="85" t="s">
        <v>99</v>
      </c>
      <c r="D137" s="84" t="s">
        <v>87</v>
      </c>
      <c r="E137" s="84">
        <f>VLOOKUP(A137,'2a. SI Pop'!$A$5:$E$198,5,FALSE)</f>
        <v>1</v>
      </c>
      <c r="F137" s="84">
        <v>2031</v>
      </c>
      <c r="G137" s="3">
        <f t="shared" si="75"/>
        <v>0</v>
      </c>
      <c r="H137" s="3">
        <f t="shared" si="75"/>
        <v>0.8</v>
      </c>
      <c r="I137" s="3">
        <f t="shared" si="75"/>
        <v>0.8</v>
      </c>
      <c r="J137" s="3">
        <f t="shared" si="75"/>
        <v>0.8</v>
      </c>
      <c r="K137" s="3">
        <f t="shared" si="75"/>
        <v>0.8</v>
      </c>
      <c r="L137" s="3">
        <f t="shared" si="75"/>
        <v>0.8</v>
      </c>
      <c r="M137" s="3">
        <f t="shared" si="75"/>
        <v>0.8</v>
      </c>
      <c r="N137" s="3">
        <f t="shared" si="75"/>
        <v>0.8</v>
      </c>
      <c r="O137" s="3">
        <f t="shared" si="75"/>
        <v>0.8</v>
      </c>
      <c r="P137" s="3">
        <f t="shared" si="75"/>
        <v>0.8</v>
      </c>
      <c r="Q137" s="3">
        <f t="shared" si="75"/>
        <v>0.8</v>
      </c>
      <c r="R137" s="76"/>
      <c r="S137" s="76"/>
      <c r="T137" s="76"/>
      <c r="U137" s="76"/>
      <c r="V137" s="76"/>
      <c r="W137" s="76"/>
    </row>
    <row r="138" spans="1:23">
      <c r="A138" s="84" t="s">
        <v>349</v>
      </c>
      <c r="B138" s="85" t="s">
        <v>348</v>
      </c>
      <c r="C138" s="85" t="s">
        <v>92</v>
      </c>
      <c r="D138" s="84" t="s">
        <v>87</v>
      </c>
      <c r="E138" s="84">
        <f>VLOOKUP(A138,'2a. SI Pop'!$A$5:$E$198,5,FALSE)</f>
        <v>1</v>
      </c>
      <c r="F138" s="84">
        <v>2038</v>
      </c>
      <c r="G138" s="3">
        <f t="shared" ref="G138:Q138" si="76">IF($F138&lt;=G$4,5%,0)</f>
        <v>0</v>
      </c>
      <c r="H138" s="3">
        <f t="shared" si="76"/>
        <v>0</v>
      </c>
      <c r="I138" s="3">
        <f t="shared" si="76"/>
        <v>0</v>
      </c>
      <c r="J138" s="3">
        <f t="shared" si="76"/>
        <v>0</v>
      </c>
      <c r="K138" s="3">
        <f t="shared" si="76"/>
        <v>0</v>
      </c>
      <c r="L138" s="3">
        <f t="shared" si="76"/>
        <v>0</v>
      </c>
      <c r="M138" s="3">
        <f t="shared" si="76"/>
        <v>0</v>
      </c>
      <c r="N138" s="3">
        <f t="shared" si="76"/>
        <v>0</v>
      </c>
      <c r="O138" s="3">
        <f t="shared" si="76"/>
        <v>0.05</v>
      </c>
      <c r="P138" s="3">
        <f t="shared" si="76"/>
        <v>0.05</v>
      </c>
      <c r="Q138" s="3">
        <f t="shared" si="76"/>
        <v>0.05</v>
      </c>
      <c r="R138" s="76"/>
      <c r="S138" s="76"/>
      <c r="T138" s="76"/>
      <c r="U138" s="76"/>
      <c r="V138" s="76"/>
      <c r="W138" s="76"/>
    </row>
    <row r="139" spans="1:23">
      <c r="A139" s="84" t="s">
        <v>351</v>
      </c>
      <c r="B139" s="85" t="s">
        <v>350</v>
      </c>
      <c r="C139" s="85" t="s">
        <v>99</v>
      </c>
      <c r="D139" s="84" t="s">
        <v>84</v>
      </c>
      <c r="E139" s="84">
        <f>VLOOKUP(A139,'2a. SI Pop'!$A$5:$E$198,5,FALSE)</f>
        <v>4</v>
      </c>
      <c r="F139" s="84">
        <v>2036</v>
      </c>
      <c r="G139" s="3">
        <f t="shared" ref="G139:Q139" si="77">IF($F139&lt;=G$4,80%,0)</f>
        <v>0</v>
      </c>
      <c r="H139" s="3">
        <f t="shared" si="77"/>
        <v>0</v>
      </c>
      <c r="I139" s="3">
        <f t="shared" si="77"/>
        <v>0</v>
      </c>
      <c r="J139" s="3">
        <f t="shared" si="77"/>
        <v>0</v>
      </c>
      <c r="K139" s="3">
        <f t="shared" si="77"/>
        <v>0</v>
      </c>
      <c r="L139" s="3">
        <f t="shared" si="77"/>
        <v>0</v>
      </c>
      <c r="M139" s="3">
        <f t="shared" si="77"/>
        <v>0.8</v>
      </c>
      <c r="N139" s="3">
        <f t="shared" si="77"/>
        <v>0.8</v>
      </c>
      <c r="O139" s="3">
        <f t="shared" si="77"/>
        <v>0.8</v>
      </c>
      <c r="P139" s="3">
        <f t="shared" si="77"/>
        <v>0.8</v>
      </c>
      <c r="Q139" s="3">
        <f t="shared" si="77"/>
        <v>0.8</v>
      </c>
      <c r="R139" s="76"/>
      <c r="S139" s="76"/>
      <c r="T139" s="76"/>
      <c r="U139" s="76"/>
      <c r="V139" s="76"/>
      <c r="W139" s="76"/>
    </row>
    <row r="140" spans="1:23">
      <c r="A140" s="84" t="s">
        <v>353</v>
      </c>
      <c r="B140" s="85" t="s">
        <v>352</v>
      </c>
      <c r="C140" s="85" t="s">
        <v>92</v>
      </c>
      <c r="D140" s="84" t="s">
        <v>80</v>
      </c>
      <c r="E140" s="84">
        <f>VLOOKUP(A140,'2a. SI Pop'!$A$5:$E$198,5,FALSE)</f>
        <v>1</v>
      </c>
      <c r="F140" s="84">
        <v>2039</v>
      </c>
      <c r="G140" s="3">
        <f t="shared" ref="G140:Q140" si="78">IF($F140&lt;=G$4,5%,0)</f>
        <v>0</v>
      </c>
      <c r="H140" s="3">
        <f t="shared" si="78"/>
        <v>0</v>
      </c>
      <c r="I140" s="3">
        <f t="shared" si="78"/>
        <v>0</v>
      </c>
      <c r="J140" s="3">
        <f t="shared" si="78"/>
        <v>0</v>
      </c>
      <c r="K140" s="3">
        <f t="shared" si="78"/>
        <v>0</v>
      </c>
      <c r="L140" s="3">
        <f t="shared" si="78"/>
        <v>0</v>
      </c>
      <c r="M140" s="3">
        <f t="shared" si="78"/>
        <v>0</v>
      </c>
      <c r="N140" s="3">
        <f t="shared" si="78"/>
        <v>0</v>
      </c>
      <c r="O140" s="3">
        <f t="shared" si="78"/>
        <v>0</v>
      </c>
      <c r="P140" s="3">
        <f t="shared" si="78"/>
        <v>0.05</v>
      </c>
      <c r="Q140" s="3">
        <f t="shared" si="78"/>
        <v>0.05</v>
      </c>
      <c r="R140" s="76"/>
      <c r="S140" s="76"/>
      <c r="T140" s="76"/>
      <c r="U140" s="76"/>
      <c r="V140" s="76"/>
      <c r="W140" s="76"/>
    </row>
    <row r="141" spans="1:23">
      <c r="A141" s="84" t="s">
        <v>355</v>
      </c>
      <c r="B141" s="85" t="s">
        <v>354</v>
      </c>
      <c r="C141" s="85" t="s">
        <v>92</v>
      </c>
      <c r="D141" s="84" t="s">
        <v>80</v>
      </c>
      <c r="E141" s="84">
        <f>VLOOKUP(A141,'2a. SI Pop'!$A$5:$E$198,5,FALSE)</f>
        <v>2</v>
      </c>
      <c r="F141" s="84">
        <v>2039</v>
      </c>
      <c r="G141" s="3">
        <f t="shared" ref="G141:Q141" si="79">IF($F141&lt;=G$4,30%,0)</f>
        <v>0</v>
      </c>
      <c r="H141" s="3">
        <f t="shared" si="79"/>
        <v>0</v>
      </c>
      <c r="I141" s="3">
        <f t="shared" si="79"/>
        <v>0</v>
      </c>
      <c r="J141" s="3">
        <f t="shared" si="79"/>
        <v>0</v>
      </c>
      <c r="K141" s="3">
        <f t="shared" si="79"/>
        <v>0</v>
      </c>
      <c r="L141" s="3">
        <f t="shared" si="79"/>
        <v>0</v>
      </c>
      <c r="M141" s="3">
        <f t="shared" si="79"/>
        <v>0</v>
      </c>
      <c r="N141" s="3">
        <f t="shared" si="79"/>
        <v>0</v>
      </c>
      <c r="O141" s="3">
        <f t="shared" si="79"/>
        <v>0</v>
      </c>
      <c r="P141" s="3">
        <f t="shared" si="79"/>
        <v>0.3</v>
      </c>
      <c r="Q141" s="3">
        <f t="shared" si="79"/>
        <v>0.3</v>
      </c>
      <c r="R141" s="76"/>
      <c r="S141" s="76"/>
      <c r="T141" s="76"/>
      <c r="U141" s="76"/>
      <c r="V141" s="76"/>
      <c r="W141" s="76"/>
    </row>
    <row r="142" spans="1:23">
      <c r="A142" s="84" t="s">
        <v>357</v>
      </c>
      <c r="B142" s="85" t="s">
        <v>356</v>
      </c>
      <c r="C142" s="85" t="s">
        <v>99</v>
      </c>
      <c r="D142" s="84" t="s">
        <v>84</v>
      </c>
      <c r="E142" s="84" t="str">
        <f>VLOOKUP(A142,'2a. SI Pop'!$A$5:$E$198,5,FALSE)</f>
        <v>Key</v>
      </c>
      <c r="F142" s="84">
        <v>2030</v>
      </c>
      <c r="G142" s="3">
        <f t="shared" ref="G142:Q142" si="80">IF($F142&lt;=G$4,80%,0)</f>
        <v>0.8</v>
      </c>
      <c r="H142" s="3">
        <f t="shared" si="80"/>
        <v>0.8</v>
      </c>
      <c r="I142" s="3">
        <f t="shared" si="80"/>
        <v>0.8</v>
      </c>
      <c r="J142" s="3">
        <f t="shared" si="80"/>
        <v>0.8</v>
      </c>
      <c r="K142" s="3">
        <f t="shared" si="80"/>
        <v>0.8</v>
      </c>
      <c r="L142" s="3">
        <f t="shared" si="80"/>
        <v>0.8</v>
      </c>
      <c r="M142" s="3">
        <f t="shared" si="80"/>
        <v>0.8</v>
      </c>
      <c r="N142" s="3">
        <f t="shared" si="80"/>
        <v>0.8</v>
      </c>
      <c r="O142" s="3">
        <f t="shared" si="80"/>
        <v>0.8</v>
      </c>
      <c r="P142" s="3">
        <f t="shared" si="80"/>
        <v>0.8</v>
      </c>
      <c r="Q142" s="3">
        <f t="shared" si="80"/>
        <v>0.8</v>
      </c>
      <c r="R142" s="76"/>
      <c r="S142" s="76"/>
      <c r="T142" s="76"/>
      <c r="U142" s="76"/>
      <c r="V142" s="76"/>
      <c r="W142" s="76"/>
    </row>
    <row r="143" spans="1:23">
      <c r="A143" s="84" t="s">
        <v>359</v>
      </c>
      <c r="B143" s="85" t="s">
        <v>358</v>
      </c>
      <c r="C143" s="85" t="s">
        <v>79</v>
      </c>
      <c r="D143" s="84" t="s">
        <v>87</v>
      </c>
      <c r="E143" s="84">
        <f>VLOOKUP(A143,'2a. SI Pop'!$A$5:$E$198,5,FALSE)</f>
        <v>1</v>
      </c>
      <c r="F143" s="84">
        <v>2032</v>
      </c>
      <c r="G143" s="3">
        <f t="shared" ref="G143:Q145" si="81">IF($F143&lt;=G$4,5%,0)</f>
        <v>0</v>
      </c>
      <c r="H143" s="3">
        <f t="shared" si="81"/>
        <v>0</v>
      </c>
      <c r="I143" s="3">
        <f t="shared" si="81"/>
        <v>0.05</v>
      </c>
      <c r="J143" s="3">
        <f t="shared" si="81"/>
        <v>0.05</v>
      </c>
      <c r="K143" s="3">
        <f t="shared" si="81"/>
        <v>0.05</v>
      </c>
      <c r="L143" s="3">
        <f t="shared" si="81"/>
        <v>0.05</v>
      </c>
      <c r="M143" s="3">
        <f t="shared" si="81"/>
        <v>0.05</v>
      </c>
      <c r="N143" s="3">
        <f t="shared" si="81"/>
        <v>0.05</v>
      </c>
      <c r="O143" s="3">
        <f t="shared" si="81"/>
        <v>0.05</v>
      </c>
      <c r="P143" s="3">
        <f t="shared" si="81"/>
        <v>0.05</v>
      </c>
      <c r="Q143" s="3">
        <f t="shared" si="81"/>
        <v>0.05</v>
      </c>
      <c r="R143" s="76"/>
      <c r="S143" s="76"/>
      <c r="T143" s="76"/>
      <c r="U143" s="76"/>
      <c r="V143" s="76"/>
      <c r="W143" s="76"/>
    </row>
    <row r="144" spans="1:23">
      <c r="A144" s="84" t="s">
        <v>361</v>
      </c>
      <c r="B144" s="85" t="s">
        <v>360</v>
      </c>
      <c r="C144" s="85" t="s">
        <v>79</v>
      </c>
      <c r="D144" s="84" t="s">
        <v>87</v>
      </c>
      <c r="E144" s="84">
        <f>VLOOKUP(A144,'2a. SI Pop'!$A$5:$E$198,5,FALSE)</f>
        <v>1</v>
      </c>
      <c r="F144" s="84">
        <v>2034</v>
      </c>
      <c r="G144" s="3">
        <f t="shared" si="81"/>
        <v>0</v>
      </c>
      <c r="H144" s="3">
        <f t="shared" si="81"/>
        <v>0</v>
      </c>
      <c r="I144" s="3">
        <f t="shared" si="81"/>
        <v>0</v>
      </c>
      <c r="J144" s="3">
        <f t="shared" si="81"/>
        <v>0</v>
      </c>
      <c r="K144" s="3">
        <f t="shared" si="81"/>
        <v>0.05</v>
      </c>
      <c r="L144" s="3">
        <f t="shared" si="81"/>
        <v>0.05</v>
      </c>
      <c r="M144" s="3">
        <f t="shared" si="81"/>
        <v>0.05</v>
      </c>
      <c r="N144" s="3">
        <f t="shared" si="81"/>
        <v>0.05</v>
      </c>
      <c r="O144" s="3">
        <f t="shared" si="81"/>
        <v>0.05</v>
      </c>
      <c r="P144" s="3">
        <f t="shared" si="81"/>
        <v>0.05</v>
      </c>
      <c r="Q144" s="3">
        <f t="shared" si="81"/>
        <v>0.05</v>
      </c>
      <c r="R144" s="76"/>
      <c r="S144" s="76"/>
      <c r="T144" s="76"/>
      <c r="U144" s="76"/>
      <c r="V144" s="76"/>
      <c r="W144" s="76"/>
    </row>
    <row r="145" spans="1:23">
      <c r="A145" s="84" t="s">
        <v>363</v>
      </c>
      <c r="B145" s="85" t="s">
        <v>362</v>
      </c>
      <c r="C145" s="85" t="s">
        <v>74</v>
      </c>
      <c r="D145" s="84" t="s">
        <v>87</v>
      </c>
      <c r="E145" s="84">
        <f>VLOOKUP(A145,'2a. SI Pop'!$A$5:$E$198,5,FALSE)</f>
        <v>1</v>
      </c>
      <c r="F145" s="84">
        <v>2032</v>
      </c>
      <c r="G145" s="3">
        <f t="shared" si="81"/>
        <v>0</v>
      </c>
      <c r="H145" s="3">
        <f t="shared" si="81"/>
        <v>0</v>
      </c>
      <c r="I145" s="3">
        <f t="shared" si="81"/>
        <v>0.05</v>
      </c>
      <c r="J145" s="3">
        <f t="shared" si="81"/>
        <v>0.05</v>
      </c>
      <c r="K145" s="3">
        <f t="shared" si="81"/>
        <v>0.05</v>
      </c>
      <c r="L145" s="3">
        <f t="shared" si="81"/>
        <v>0.05</v>
      </c>
      <c r="M145" s="3">
        <f t="shared" si="81"/>
        <v>0.05</v>
      </c>
      <c r="N145" s="3">
        <f t="shared" si="81"/>
        <v>0.05</v>
      </c>
      <c r="O145" s="3">
        <f t="shared" si="81"/>
        <v>0.05</v>
      </c>
      <c r="P145" s="3">
        <f t="shared" si="81"/>
        <v>0.05</v>
      </c>
      <c r="Q145" s="3">
        <f t="shared" si="81"/>
        <v>0.05</v>
      </c>
      <c r="R145" s="76"/>
      <c r="S145" s="76"/>
      <c r="T145" s="76"/>
      <c r="U145" s="76"/>
      <c r="V145" s="76"/>
      <c r="W145" s="76"/>
    </row>
    <row r="146" spans="1:23">
      <c r="A146" s="84" t="s">
        <v>365</v>
      </c>
      <c r="B146" s="85" t="s">
        <v>364</v>
      </c>
      <c r="C146" s="85" t="s">
        <v>79</v>
      </c>
      <c r="D146" s="84" t="s">
        <v>87</v>
      </c>
      <c r="E146" s="84">
        <f>VLOOKUP(A146,'2a. SI Pop'!$A$5:$E$198,5,FALSE)</f>
        <v>2</v>
      </c>
      <c r="F146" s="84">
        <v>2034</v>
      </c>
      <c r="G146" s="3">
        <f t="shared" ref="G146:Q147" si="82">IF($F146&lt;=G$4,30%,0)</f>
        <v>0</v>
      </c>
      <c r="H146" s="3">
        <f t="shared" si="82"/>
        <v>0</v>
      </c>
      <c r="I146" s="3">
        <f t="shared" si="82"/>
        <v>0</v>
      </c>
      <c r="J146" s="3">
        <f t="shared" si="82"/>
        <v>0</v>
      </c>
      <c r="K146" s="3">
        <f t="shared" si="82"/>
        <v>0.3</v>
      </c>
      <c r="L146" s="3">
        <f t="shared" si="82"/>
        <v>0.3</v>
      </c>
      <c r="M146" s="3">
        <f t="shared" si="82"/>
        <v>0.3</v>
      </c>
      <c r="N146" s="3">
        <f t="shared" si="82"/>
        <v>0.3</v>
      </c>
      <c r="O146" s="3">
        <f t="shared" si="82"/>
        <v>0.3</v>
      </c>
      <c r="P146" s="3">
        <f t="shared" si="82"/>
        <v>0.3</v>
      </c>
      <c r="Q146" s="3">
        <f t="shared" si="82"/>
        <v>0.3</v>
      </c>
      <c r="R146" s="76"/>
      <c r="S146" s="76"/>
      <c r="T146" s="76"/>
      <c r="U146" s="76"/>
      <c r="V146" s="76"/>
      <c r="W146" s="76"/>
    </row>
    <row r="147" spans="1:23">
      <c r="A147" s="84" t="s">
        <v>367</v>
      </c>
      <c r="B147" s="85" t="s">
        <v>366</v>
      </c>
      <c r="C147" s="85" t="s">
        <v>79</v>
      </c>
      <c r="D147" s="84" t="s">
        <v>80</v>
      </c>
      <c r="E147" s="84">
        <f>VLOOKUP(A147,'2a. SI Pop'!$A$5:$E$198,5,FALSE)</f>
        <v>2</v>
      </c>
      <c r="F147" s="84">
        <v>2036</v>
      </c>
      <c r="G147" s="3">
        <f t="shared" si="82"/>
        <v>0</v>
      </c>
      <c r="H147" s="3">
        <f t="shared" si="82"/>
        <v>0</v>
      </c>
      <c r="I147" s="3">
        <f t="shared" si="82"/>
        <v>0</v>
      </c>
      <c r="J147" s="3">
        <f t="shared" si="82"/>
        <v>0</v>
      </c>
      <c r="K147" s="3">
        <f t="shared" si="82"/>
        <v>0</v>
      </c>
      <c r="L147" s="3">
        <f t="shared" si="82"/>
        <v>0</v>
      </c>
      <c r="M147" s="3">
        <f t="shared" si="82"/>
        <v>0.3</v>
      </c>
      <c r="N147" s="3">
        <f t="shared" si="82"/>
        <v>0.3</v>
      </c>
      <c r="O147" s="3">
        <f t="shared" si="82"/>
        <v>0.3</v>
      </c>
      <c r="P147" s="3">
        <f t="shared" si="82"/>
        <v>0.3</v>
      </c>
      <c r="Q147" s="3">
        <f t="shared" si="82"/>
        <v>0.3</v>
      </c>
      <c r="R147" s="76"/>
      <c r="S147" s="76"/>
      <c r="T147" s="76"/>
      <c r="U147" s="76"/>
      <c r="V147" s="76"/>
      <c r="W147" s="76"/>
    </row>
    <row r="148" spans="1:23">
      <c r="A148" s="84" t="s">
        <v>369</v>
      </c>
      <c r="B148" s="85" t="s">
        <v>368</v>
      </c>
      <c r="C148" s="85" t="s">
        <v>83</v>
      </c>
      <c r="D148" s="84" t="s">
        <v>75</v>
      </c>
      <c r="E148" s="84">
        <f>VLOOKUP(A148,'2a. SI Pop'!$A$5:$E$198,5,FALSE)</f>
        <v>3</v>
      </c>
      <c r="F148" s="84">
        <v>2033</v>
      </c>
      <c r="G148" s="3">
        <f t="shared" ref="G148:Q149" si="83">IF($F148&lt;=G$4,80%,0)</f>
        <v>0</v>
      </c>
      <c r="H148" s="3">
        <f t="shared" si="83"/>
        <v>0</v>
      </c>
      <c r="I148" s="3">
        <f t="shared" si="83"/>
        <v>0</v>
      </c>
      <c r="J148" s="3">
        <f t="shared" si="83"/>
        <v>0.8</v>
      </c>
      <c r="K148" s="3">
        <f t="shared" si="83"/>
        <v>0.8</v>
      </c>
      <c r="L148" s="3">
        <f t="shared" si="83"/>
        <v>0.8</v>
      </c>
      <c r="M148" s="3">
        <f t="shared" si="83"/>
        <v>0.8</v>
      </c>
      <c r="N148" s="3">
        <f t="shared" si="83"/>
        <v>0.8</v>
      </c>
      <c r="O148" s="3">
        <f t="shared" si="83"/>
        <v>0.8</v>
      </c>
      <c r="P148" s="3">
        <f t="shared" si="83"/>
        <v>0.8</v>
      </c>
      <c r="Q148" s="3">
        <f t="shared" si="83"/>
        <v>0.8</v>
      </c>
      <c r="R148" s="76"/>
      <c r="S148" s="76"/>
      <c r="T148" s="76"/>
      <c r="U148" s="76"/>
      <c r="V148" s="76"/>
      <c r="W148" s="76"/>
    </row>
    <row r="149" spans="1:23">
      <c r="A149" s="84" t="s">
        <v>371</v>
      </c>
      <c r="B149" s="85" t="s">
        <v>370</v>
      </c>
      <c r="C149" s="85" t="s">
        <v>92</v>
      </c>
      <c r="D149" s="84" t="s">
        <v>87</v>
      </c>
      <c r="E149" s="84">
        <f>VLOOKUP(A149,'2a. SI Pop'!$A$5:$E$198,5,FALSE)</f>
        <v>1</v>
      </c>
      <c r="F149" s="84">
        <v>2041</v>
      </c>
      <c r="G149" s="3">
        <f t="shared" si="83"/>
        <v>0</v>
      </c>
      <c r="H149" s="3">
        <f t="shared" si="83"/>
        <v>0</v>
      </c>
      <c r="I149" s="3">
        <f t="shared" si="83"/>
        <v>0</v>
      </c>
      <c r="J149" s="3">
        <f t="shared" si="83"/>
        <v>0</v>
      </c>
      <c r="K149" s="3">
        <f t="shared" si="83"/>
        <v>0</v>
      </c>
      <c r="L149" s="3">
        <f t="shared" si="83"/>
        <v>0</v>
      </c>
      <c r="M149" s="3">
        <f t="shared" si="83"/>
        <v>0</v>
      </c>
      <c r="N149" s="3">
        <f t="shared" si="83"/>
        <v>0</v>
      </c>
      <c r="O149" s="3">
        <f t="shared" si="83"/>
        <v>0</v>
      </c>
      <c r="P149" s="3">
        <f t="shared" si="83"/>
        <v>0</v>
      </c>
      <c r="Q149" s="3">
        <f t="shared" si="83"/>
        <v>0</v>
      </c>
      <c r="R149" s="76"/>
      <c r="S149" s="76"/>
      <c r="T149" s="76"/>
      <c r="U149" s="76"/>
      <c r="V149" s="76"/>
      <c r="W149" s="76"/>
    </row>
    <row r="150" spans="1:23">
      <c r="A150" s="84" t="s">
        <v>373</v>
      </c>
      <c r="B150" s="85" t="s">
        <v>372</v>
      </c>
      <c r="C150" s="85" t="s">
        <v>92</v>
      </c>
      <c r="D150" s="84" t="s">
        <v>80</v>
      </c>
      <c r="E150" s="84">
        <f>VLOOKUP(A150,'2a. SI Pop'!$A$5:$E$198,5,FALSE)</f>
        <v>1</v>
      </c>
      <c r="F150" s="84">
        <v>2038</v>
      </c>
      <c r="G150" s="3">
        <f t="shared" ref="G150:Q151" si="84">IF($F150&lt;=G$4,5%,0)</f>
        <v>0</v>
      </c>
      <c r="H150" s="3">
        <f t="shared" si="84"/>
        <v>0</v>
      </c>
      <c r="I150" s="3">
        <f t="shared" si="84"/>
        <v>0</v>
      </c>
      <c r="J150" s="3">
        <f t="shared" si="84"/>
        <v>0</v>
      </c>
      <c r="K150" s="3">
        <f t="shared" si="84"/>
        <v>0</v>
      </c>
      <c r="L150" s="3">
        <f t="shared" si="84"/>
        <v>0</v>
      </c>
      <c r="M150" s="3">
        <f t="shared" si="84"/>
        <v>0</v>
      </c>
      <c r="N150" s="3">
        <f t="shared" si="84"/>
        <v>0</v>
      </c>
      <c r="O150" s="3">
        <f t="shared" si="84"/>
        <v>0.05</v>
      </c>
      <c r="P150" s="3">
        <f t="shared" si="84"/>
        <v>0.05</v>
      </c>
      <c r="Q150" s="3">
        <f t="shared" si="84"/>
        <v>0.05</v>
      </c>
      <c r="R150" s="76"/>
      <c r="S150" s="76"/>
      <c r="T150" s="76"/>
      <c r="U150" s="76"/>
      <c r="V150" s="76"/>
      <c r="W150" s="76"/>
    </row>
    <row r="151" spans="1:23">
      <c r="A151" s="84" t="s">
        <v>375</v>
      </c>
      <c r="B151" s="85" t="s">
        <v>374</v>
      </c>
      <c r="C151" s="85" t="s">
        <v>92</v>
      </c>
      <c r="D151" s="84" t="s">
        <v>80</v>
      </c>
      <c r="E151" s="84">
        <f>VLOOKUP(A151,'2a. SI Pop'!$A$5:$E$198,5,FALSE)</f>
        <v>1</v>
      </c>
      <c r="F151" s="84">
        <v>2041</v>
      </c>
      <c r="G151" s="3">
        <f t="shared" si="84"/>
        <v>0</v>
      </c>
      <c r="H151" s="3">
        <f t="shared" si="84"/>
        <v>0</v>
      </c>
      <c r="I151" s="3">
        <f t="shared" si="84"/>
        <v>0</v>
      </c>
      <c r="J151" s="3">
        <f t="shared" si="84"/>
        <v>0</v>
      </c>
      <c r="K151" s="3">
        <f t="shared" si="84"/>
        <v>0</v>
      </c>
      <c r="L151" s="3">
        <f t="shared" si="84"/>
        <v>0</v>
      </c>
      <c r="M151" s="3">
        <f t="shared" si="84"/>
        <v>0</v>
      </c>
      <c r="N151" s="3">
        <f t="shared" si="84"/>
        <v>0</v>
      </c>
      <c r="O151" s="3">
        <f t="shared" si="84"/>
        <v>0</v>
      </c>
      <c r="P151" s="3">
        <f t="shared" si="84"/>
        <v>0</v>
      </c>
      <c r="Q151" s="3">
        <f t="shared" si="84"/>
        <v>0</v>
      </c>
      <c r="R151" s="76"/>
      <c r="S151" s="76"/>
      <c r="T151" s="76"/>
      <c r="U151" s="76"/>
      <c r="V151" s="76"/>
      <c r="W151" s="76"/>
    </row>
    <row r="152" spans="1:23">
      <c r="A152" s="84" t="s">
        <v>377</v>
      </c>
      <c r="B152" s="85" t="s">
        <v>376</v>
      </c>
      <c r="C152" s="85" t="s">
        <v>99</v>
      </c>
      <c r="D152" s="84" t="s">
        <v>80</v>
      </c>
      <c r="E152" s="84">
        <f>VLOOKUP(A152,'2a. SI Pop'!$A$5:$E$198,5,FALSE)</f>
        <v>2</v>
      </c>
      <c r="F152" s="84">
        <v>2037</v>
      </c>
      <c r="G152" s="3">
        <f t="shared" ref="G152:Q152" si="85">IF($F152&lt;=G$4,30%,0)</f>
        <v>0</v>
      </c>
      <c r="H152" s="3">
        <f t="shared" si="85"/>
        <v>0</v>
      </c>
      <c r="I152" s="3">
        <f t="shared" si="85"/>
        <v>0</v>
      </c>
      <c r="J152" s="3">
        <f t="shared" si="85"/>
        <v>0</v>
      </c>
      <c r="K152" s="3">
        <f t="shared" si="85"/>
        <v>0</v>
      </c>
      <c r="L152" s="3">
        <f t="shared" si="85"/>
        <v>0</v>
      </c>
      <c r="M152" s="3">
        <f t="shared" si="85"/>
        <v>0</v>
      </c>
      <c r="N152" s="3">
        <f t="shared" si="85"/>
        <v>0.3</v>
      </c>
      <c r="O152" s="3">
        <f t="shared" si="85"/>
        <v>0.3</v>
      </c>
      <c r="P152" s="3">
        <f t="shared" si="85"/>
        <v>0.3</v>
      </c>
      <c r="Q152" s="3">
        <f t="shared" si="85"/>
        <v>0.3</v>
      </c>
      <c r="R152" s="76"/>
      <c r="S152" s="76"/>
      <c r="T152" s="76"/>
      <c r="U152" s="76"/>
      <c r="V152" s="76"/>
      <c r="W152" s="76"/>
    </row>
    <row r="153" spans="1:23">
      <c r="A153" s="84" t="s">
        <v>379</v>
      </c>
      <c r="B153" s="85" t="s">
        <v>378</v>
      </c>
      <c r="C153" s="85" t="s">
        <v>79</v>
      </c>
      <c r="D153" s="84" t="s">
        <v>87</v>
      </c>
      <c r="E153" s="84">
        <f>VLOOKUP(A153,'2a. SI Pop'!$A$5:$E$198,5,FALSE)</f>
        <v>1</v>
      </c>
      <c r="F153" s="84">
        <v>2039</v>
      </c>
      <c r="G153" s="3">
        <f t="shared" ref="G153:Q153" si="86">IF($F153&lt;=G$4,80%,0)</f>
        <v>0</v>
      </c>
      <c r="H153" s="3">
        <f t="shared" si="86"/>
        <v>0</v>
      </c>
      <c r="I153" s="3">
        <f t="shared" si="86"/>
        <v>0</v>
      </c>
      <c r="J153" s="3">
        <f t="shared" si="86"/>
        <v>0</v>
      </c>
      <c r="K153" s="3">
        <f t="shared" si="86"/>
        <v>0</v>
      </c>
      <c r="L153" s="3">
        <f t="shared" si="86"/>
        <v>0</v>
      </c>
      <c r="M153" s="3">
        <f t="shared" si="86"/>
        <v>0</v>
      </c>
      <c r="N153" s="3">
        <f t="shared" si="86"/>
        <v>0</v>
      </c>
      <c r="O153" s="3">
        <f t="shared" si="86"/>
        <v>0</v>
      </c>
      <c r="P153" s="3">
        <f t="shared" si="86"/>
        <v>0.8</v>
      </c>
      <c r="Q153" s="3">
        <f t="shared" si="86"/>
        <v>0.8</v>
      </c>
      <c r="R153" s="76"/>
      <c r="S153" s="76"/>
      <c r="T153" s="76"/>
      <c r="U153" s="76"/>
      <c r="V153" s="76"/>
      <c r="W153" s="76"/>
    </row>
    <row r="154" spans="1:23">
      <c r="A154" s="84" t="s">
        <v>381</v>
      </c>
      <c r="B154" s="85" t="s">
        <v>380</v>
      </c>
      <c r="C154" s="85" t="s">
        <v>83</v>
      </c>
      <c r="D154" s="84" t="s">
        <v>84</v>
      </c>
      <c r="E154" s="84">
        <f>VLOOKUP(A154,'2a. SI Pop'!$A$5:$E$198,5,FALSE)</f>
        <v>3</v>
      </c>
      <c r="F154" s="84">
        <v>2040</v>
      </c>
      <c r="G154" s="3">
        <f t="shared" ref="G154:Q154" si="87">IF($F154&lt;=G$4,80%,0)</f>
        <v>0</v>
      </c>
      <c r="H154" s="3">
        <f t="shared" si="87"/>
        <v>0</v>
      </c>
      <c r="I154" s="3">
        <f t="shared" si="87"/>
        <v>0</v>
      </c>
      <c r="J154" s="3">
        <f t="shared" si="87"/>
        <v>0</v>
      </c>
      <c r="K154" s="3">
        <f t="shared" si="87"/>
        <v>0</v>
      </c>
      <c r="L154" s="3">
        <f t="shared" si="87"/>
        <v>0</v>
      </c>
      <c r="M154" s="3">
        <f t="shared" si="87"/>
        <v>0</v>
      </c>
      <c r="N154" s="3">
        <f t="shared" si="87"/>
        <v>0</v>
      </c>
      <c r="O154" s="3">
        <f t="shared" si="87"/>
        <v>0</v>
      </c>
      <c r="P154" s="3">
        <f t="shared" si="87"/>
        <v>0</v>
      </c>
      <c r="Q154" s="3">
        <f t="shared" si="87"/>
        <v>0.8</v>
      </c>
      <c r="R154" s="76"/>
      <c r="S154" s="76"/>
      <c r="T154" s="76"/>
      <c r="U154" s="76"/>
      <c r="V154" s="76"/>
      <c r="W154" s="76"/>
    </row>
    <row r="155" spans="1:23">
      <c r="A155" s="84" t="s">
        <v>383</v>
      </c>
      <c r="B155" s="85" t="s">
        <v>382</v>
      </c>
      <c r="C155" s="85" t="s">
        <v>74</v>
      </c>
      <c r="D155" s="84" t="s">
        <v>87</v>
      </c>
      <c r="E155" s="84">
        <f>VLOOKUP(A155,'2a. SI Pop'!$A$5:$E$198,5,FALSE)</f>
        <v>1</v>
      </c>
      <c r="F155" s="84">
        <v>2030</v>
      </c>
      <c r="G155" s="3">
        <f t="shared" ref="G155:Q155" si="88">IF($F155&lt;=G$4,5%,0)</f>
        <v>0.05</v>
      </c>
      <c r="H155" s="3">
        <f t="shared" si="88"/>
        <v>0.05</v>
      </c>
      <c r="I155" s="3">
        <f t="shared" si="88"/>
        <v>0.05</v>
      </c>
      <c r="J155" s="3">
        <f t="shared" si="88"/>
        <v>0.05</v>
      </c>
      <c r="K155" s="3">
        <f t="shared" si="88"/>
        <v>0.05</v>
      </c>
      <c r="L155" s="3">
        <f t="shared" si="88"/>
        <v>0.05</v>
      </c>
      <c r="M155" s="3">
        <f t="shared" si="88"/>
        <v>0.05</v>
      </c>
      <c r="N155" s="3">
        <f t="shared" si="88"/>
        <v>0.05</v>
      </c>
      <c r="O155" s="3">
        <f t="shared" si="88"/>
        <v>0.05</v>
      </c>
      <c r="P155" s="3">
        <f t="shared" si="88"/>
        <v>0.05</v>
      </c>
      <c r="Q155" s="3">
        <f t="shared" si="88"/>
        <v>0.05</v>
      </c>
      <c r="R155" s="76"/>
      <c r="S155" s="76"/>
      <c r="T155" s="76"/>
      <c r="U155" s="76"/>
      <c r="V155" s="76"/>
      <c r="W155" s="76"/>
    </row>
    <row r="156" spans="1:23">
      <c r="A156" s="84" t="s">
        <v>385</v>
      </c>
      <c r="B156" s="85" t="s">
        <v>384</v>
      </c>
      <c r="C156" s="85" t="s">
        <v>83</v>
      </c>
      <c r="D156" s="84" t="s">
        <v>84</v>
      </c>
      <c r="E156" s="84">
        <f>VLOOKUP(A156,'2a. SI Pop'!$A$5:$E$198,5,FALSE)</f>
        <v>3</v>
      </c>
      <c r="F156" s="84">
        <v>2035</v>
      </c>
      <c r="G156" s="3">
        <f t="shared" ref="G156:Q156" si="89">IF($F156&lt;=G$4,80%,0)</f>
        <v>0</v>
      </c>
      <c r="H156" s="3">
        <f t="shared" si="89"/>
        <v>0</v>
      </c>
      <c r="I156" s="3">
        <f t="shared" si="89"/>
        <v>0</v>
      </c>
      <c r="J156" s="3">
        <f t="shared" si="89"/>
        <v>0</v>
      </c>
      <c r="K156" s="3">
        <f t="shared" si="89"/>
        <v>0</v>
      </c>
      <c r="L156" s="3">
        <f t="shared" si="89"/>
        <v>0.8</v>
      </c>
      <c r="M156" s="3">
        <f t="shared" si="89"/>
        <v>0.8</v>
      </c>
      <c r="N156" s="3">
        <f t="shared" si="89"/>
        <v>0.8</v>
      </c>
      <c r="O156" s="3">
        <f t="shared" si="89"/>
        <v>0.8</v>
      </c>
      <c r="P156" s="3">
        <f t="shared" si="89"/>
        <v>0.8</v>
      </c>
      <c r="Q156" s="3">
        <f t="shared" si="89"/>
        <v>0.8</v>
      </c>
      <c r="R156" s="76"/>
      <c r="S156" s="76"/>
      <c r="T156" s="76"/>
      <c r="U156" s="76"/>
      <c r="V156" s="76"/>
      <c r="W156" s="76"/>
    </row>
    <row r="157" spans="1:23">
      <c r="A157" s="84" t="s">
        <v>387</v>
      </c>
      <c r="B157" s="85" t="s">
        <v>386</v>
      </c>
      <c r="C157" s="85" t="s">
        <v>79</v>
      </c>
      <c r="D157" s="84" t="s">
        <v>80</v>
      </c>
      <c r="E157" s="84">
        <f>VLOOKUP(A157,'2a. SI Pop'!$A$5:$E$198,5,FALSE)</f>
        <v>1</v>
      </c>
      <c r="F157" s="84">
        <v>2040</v>
      </c>
      <c r="G157" s="3">
        <f t="shared" ref="G157:Q158" si="90">IF($F157&lt;=G$4,5%,0)</f>
        <v>0</v>
      </c>
      <c r="H157" s="3">
        <f t="shared" si="90"/>
        <v>0</v>
      </c>
      <c r="I157" s="3">
        <f t="shared" si="90"/>
        <v>0</v>
      </c>
      <c r="J157" s="3">
        <f t="shared" si="90"/>
        <v>0</v>
      </c>
      <c r="K157" s="3">
        <f t="shared" si="90"/>
        <v>0</v>
      </c>
      <c r="L157" s="3">
        <f t="shared" si="90"/>
        <v>0</v>
      </c>
      <c r="M157" s="3">
        <f t="shared" si="90"/>
        <v>0</v>
      </c>
      <c r="N157" s="3">
        <f t="shared" si="90"/>
        <v>0</v>
      </c>
      <c r="O157" s="3">
        <f t="shared" si="90"/>
        <v>0</v>
      </c>
      <c r="P157" s="3">
        <f t="shared" si="90"/>
        <v>0</v>
      </c>
      <c r="Q157" s="3">
        <f t="shared" si="90"/>
        <v>0.05</v>
      </c>
      <c r="R157" s="76"/>
      <c r="S157" s="76"/>
      <c r="T157" s="76"/>
      <c r="U157" s="76"/>
      <c r="V157" s="76"/>
      <c r="W157" s="76"/>
    </row>
    <row r="158" spans="1:23">
      <c r="A158" s="84" t="s">
        <v>389</v>
      </c>
      <c r="B158" s="85" t="s">
        <v>388</v>
      </c>
      <c r="C158" s="85" t="s">
        <v>83</v>
      </c>
      <c r="D158" s="84" t="s">
        <v>87</v>
      </c>
      <c r="E158" s="84">
        <f>VLOOKUP(A158,'2a. SI Pop'!$A$5:$E$198,5,FALSE)</f>
        <v>1</v>
      </c>
      <c r="F158" s="84">
        <v>2035</v>
      </c>
      <c r="G158" s="3">
        <f t="shared" si="90"/>
        <v>0</v>
      </c>
      <c r="H158" s="3">
        <f t="shared" si="90"/>
        <v>0</v>
      </c>
      <c r="I158" s="3">
        <f t="shared" si="90"/>
        <v>0</v>
      </c>
      <c r="J158" s="3">
        <f t="shared" si="90"/>
        <v>0</v>
      </c>
      <c r="K158" s="3">
        <f t="shared" si="90"/>
        <v>0</v>
      </c>
      <c r="L158" s="3">
        <f t="shared" si="90"/>
        <v>0.05</v>
      </c>
      <c r="M158" s="3">
        <f t="shared" si="90"/>
        <v>0.05</v>
      </c>
      <c r="N158" s="3">
        <f t="shared" si="90"/>
        <v>0.05</v>
      </c>
      <c r="O158" s="3">
        <f t="shared" si="90"/>
        <v>0.05</v>
      </c>
      <c r="P158" s="3">
        <f t="shared" si="90"/>
        <v>0.05</v>
      </c>
      <c r="Q158" s="3">
        <f t="shared" si="90"/>
        <v>0.05</v>
      </c>
      <c r="R158" s="76"/>
      <c r="S158" s="76"/>
      <c r="T158" s="76"/>
      <c r="U158" s="76"/>
      <c r="V158" s="76"/>
      <c r="W158" s="76"/>
    </row>
    <row r="159" spans="1:23">
      <c r="A159" s="84" t="s">
        <v>391</v>
      </c>
      <c r="B159" s="85" t="s">
        <v>390</v>
      </c>
      <c r="C159" s="85" t="s">
        <v>83</v>
      </c>
      <c r="D159" s="84" t="s">
        <v>75</v>
      </c>
      <c r="E159" s="84">
        <f>VLOOKUP(A159,'2a. SI Pop'!$A$5:$E$198,5,FALSE)</f>
        <v>3</v>
      </c>
      <c r="F159" s="84">
        <v>2037</v>
      </c>
      <c r="G159" s="3">
        <f t="shared" ref="G159:Q159" si="91">IF($F159&lt;=G$4,80%,0)</f>
        <v>0</v>
      </c>
      <c r="H159" s="3">
        <f t="shared" si="91"/>
        <v>0</v>
      </c>
      <c r="I159" s="3">
        <f t="shared" si="91"/>
        <v>0</v>
      </c>
      <c r="J159" s="3">
        <f t="shared" si="91"/>
        <v>0</v>
      </c>
      <c r="K159" s="3">
        <f t="shared" si="91"/>
        <v>0</v>
      </c>
      <c r="L159" s="3">
        <f t="shared" si="91"/>
        <v>0</v>
      </c>
      <c r="M159" s="3">
        <f t="shared" si="91"/>
        <v>0</v>
      </c>
      <c r="N159" s="3">
        <f t="shared" si="91"/>
        <v>0.8</v>
      </c>
      <c r="O159" s="3">
        <f t="shared" si="91"/>
        <v>0.8</v>
      </c>
      <c r="P159" s="3">
        <f t="shared" si="91"/>
        <v>0.8</v>
      </c>
      <c r="Q159" s="3">
        <f t="shared" si="91"/>
        <v>0.8</v>
      </c>
      <c r="R159" s="76"/>
      <c r="S159" s="76"/>
      <c r="T159" s="76"/>
      <c r="U159" s="76"/>
      <c r="V159" s="76"/>
      <c r="W159" s="76"/>
    </row>
    <row r="160" spans="1:23">
      <c r="A160" s="84" t="s">
        <v>393</v>
      </c>
      <c r="B160" s="85" t="s">
        <v>392</v>
      </c>
      <c r="C160" s="85" t="s">
        <v>99</v>
      </c>
      <c r="D160" s="84" t="s">
        <v>87</v>
      </c>
      <c r="E160" s="84">
        <f>VLOOKUP(A160,'2a. SI Pop'!$A$5:$E$198,5,FALSE)</f>
        <v>1</v>
      </c>
      <c r="F160" s="84">
        <v>2034</v>
      </c>
      <c r="G160" s="3">
        <f t="shared" ref="G160:Q162" si="92">IF($F160&lt;=G$4,5%,0)</f>
        <v>0</v>
      </c>
      <c r="H160" s="3">
        <f t="shared" si="92"/>
        <v>0</v>
      </c>
      <c r="I160" s="3">
        <f t="shared" si="92"/>
        <v>0</v>
      </c>
      <c r="J160" s="3">
        <f t="shared" si="92"/>
        <v>0</v>
      </c>
      <c r="K160" s="3">
        <f t="shared" si="92"/>
        <v>0.05</v>
      </c>
      <c r="L160" s="3">
        <f t="shared" si="92"/>
        <v>0.05</v>
      </c>
      <c r="M160" s="3">
        <f t="shared" si="92"/>
        <v>0.05</v>
      </c>
      <c r="N160" s="3">
        <f t="shared" si="92"/>
        <v>0.05</v>
      </c>
      <c r="O160" s="3">
        <f t="shared" si="92"/>
        <v>0.05</v>
      </c>
      <c r="P160" s="3">
        <f t="shared" si="92"/>
        <v>0.05</v>
      </c>
      <c r="Q160" s="3">
        <f t="shared" si="92"/>
        <v>0.05</v>
      </c>
      <c r="R160" s="76"/>
      <c r="S160" s="76"/>
      <c r="T160" s="76"/>
      <c r="U160" s="76"/>
      <c r="V160" s="76"/>
      <c r="W160" s="76"/>
    </row>
    <row r="161" spans="1:23">
      <c r="A161" s="84" t="s">
        <v>395</v>
      </c>
      <c r="B161" s="85" t="s">
        <v>394</v>
      </c>
      <c r="C161" s="85" t="s">
        <v>79</v>
      </c>
      <c r="D161" s="84" t="s">
        <v>87</v>
      </c>
      <c r="E161" s="84">
        <f>VLOOKUP(A161,'2a. SI Pop'!$A$5:$E$198,5,FALSE)</f>
        <v>1</v>
      </c>
      <c r="F161" s="84">
        <v>2034</v>
      </c>
      <c r="G161" s="3">
        <f t="shared" si="92"/>
        <v>0</v>
      </c>
      <c r="H161" s="3">
        <f t="shared" si="92"/>
        <v>0</v>
      </c>
      <c r="I161" s="3">
        <f t="shared" si="92"/>
        <v>0</v>
      </c>
      <c r="J161" s="3">
        <f t="shared" si="92"/>
        <v>0</v>
      </c>
      <c r="K161" s="3">
        <f t="shared" si="92"/>
        <v>0.05</v>
      </c>
      <c r="L161" s="3">
        <f t="shared" si="92"/>
        <v>0.05</v>
      </c>
      <c r="M161" s="3">
        <f t="shared" si="92"/>
        <v>0.05</v>
      </c>
      <c r="N161" s="3">
        <f t="shared" si="92"/>
        <v>0.05</v>
      </c>
      <c r="O161" s="3">
        <f t="shared" si="92"/>
        <v>0.05</v>
      </c>
      <c r="P161" s="3">
        <f t="shared" si="92"/>
        <v>0.05</v>
      </c>
      <c r="Q161" s="3">
        <f t="shared" si="92"/>
        <v>0.05</v>
      </c>
      <c r="R161" s="76"/>
      <c r="S161" s="76"/>
      <c r="T161" s="76"/>
      <c r="U161" s="76"/>
      <c r="V161" s="76"/>
      <c r="W161" s="76"/>
    </row>
    <row r="162" spans="1:23">
      <c r="A162" s="84" t="s">
        <v>397</v>
      </c>
      <c r="B162" s="85" t="s">
        <v>396</v>
      </c>
      <c r="C162" s="85" t="s">
        <v>79</v>
      </c>
      <c r="D162" s="84" t="s">
        <v>87</v>
      </c>
      <c r="E162" s="84">
        <f>VLOOKUP(A162,'2a. SI Pop'!$A$5:$E$198,5,FALSE)</f>
        <v>1</v>
      </c>
      <c r="F162" s="84">
        <v>2034</v>
      </c>
      <c r="G162" s="3">
        <f t="shared" si="92"/>
        <v>0</v>
      </c>
      <c r="H162" s="3">
        <f t="shared" si="92"/>
        <v>0</v>
      </c>
      <c r="I162" s="3">
        <f t="shared" si="92"/>
        <v>0</v>
      </c>
      <c r="J162" s="3">
        <f t="shared" si="92"/>
        <v>0</v>
      </c>
      <c r="K162" s="3">
        <f t="shared" si="92"/>
        <v>0.05</v>
      </c>
      <c r="L162" s="3">
        <f t="shared" si="92"/>
        <v>0.05</v>
      </c>
      <c r="M162" s="3">
        <f t="shared" si="92"/>
        <v>0.05</v>
      </c>
      <c r="N162" s="3">
        <f t="shared" si="92"/>
        <v>0.05</v>
      </c>
      <c r="O162" s="3">
        <f t="shared" si="92"/>
        <v>0.05</v>
      </c>
      <c r="P162" s="3">
        <f t="shared" si="92"/>
        <v>0.05</v>
      </c>
      <c r="Q162" s="3">
        <f t="shared" si="92"/>
        <v>0.05</v>
      </c>
      <c r="R162" s="76"/>
      <c r="S162" s="76"/>
      <c r="T162" s="76"/>
      <c r="U162" s="76"/>
      <c r="V162" s="76"/>
      <c r="W162" s="76"/>
    </row>
    <row r="163" spans="1:23">
      <c r="A163" s="84" t="s">
        <v>399</v>
      </c>
      <c r="B163" s="85" t="s">
        <v>398</v>
      </c>
      <c r="C163" s="85" t="s">
        <v>74</v>
      </c>
      <c r="D163" s="84" t="s">
        <v>75</v>
      </c>
      <c r="E163" s="84">
        <f>VLOOKUP(A163,'2a. SI Pop'!$A$5:$E$198,5,FALSE)</f>
        <v>3</v>
      </c>
      <c r="F163" s="84">
        <v>2032</v>
      </c>
      <c r="G163" s="3">
        <f t="shared" ref="G163:Q165" si="93">IF($F163&lt;=G$4,80%,0)</f>
        <v>0</v>
      </c>
      <c r="H163" s="3">
        <f t="shared" si="93"/>
        <v>0</v>
      </c>
      <c r="I163" s="3">
        <f t="shared" si="93"/>
        <v>0.8</v>
      </c>
      <c r="J163" s="3">
        <f t="shared" si="93"/>
        <v>0.8</v>
      </c>
      <c r="K163" s="3">
        <f t="shared" si="93"/>
        <v>0.8</v>
      </c>
      <c r="L163" s="3">
        <f t="shared" si="93"/>
        <v>0.8</v>
      </c>
      <c r="M163" s="3">
        <f t="shared" si="93"/>
        <v>0.8</v>
      </c>
      <c r="N163" s="3">
        <f t="shared" si="93"/>
        <v>0.8</v>
      </c>
      <c r="O163" s="3">
        <f t="shared" si="93"/>
        <v>0.8</v>
      </c>
      <c r="P163" s="3">
        <f t="shared" si="93"/>
        <v>0.8</v>
      </c>
      <c r="Q163" s="3">
        <f t="shared" si="93"/>
        <v>0.8</v>
      </c>
      <c r="R163" s="76"/>
      <c r="S163" s="76"/>
      <c r="T163" s="76"/>
      <c r="U163" s="76"/>
      <c r="V163" s="76"/>
      <c r="W163" s="76"/>
    </row>
    <row r="164" spans="1:23">
      <c r="A164" s="84" t="s">
        <v>401</v>
      </c>
      <c r="B164" s="85" t="s">
        <v>400</v>
      </c>
      <c r="C164" s="85" t="s">
        <v>99</v>
      </c>
      <c r="D164" s="84" t="s">
        <v>84</v>
      </c>
      <c r="E164" s="84">
        <f>VLOOKUP(A164,'2a. SI Pop'!$A$5:$E$198,5,FALSE)</f>
        <v>4</v>
      </c>
      <c r="F164" s="84">
        <v>2039</v>
      </c>
      <c r="G164" s="3">
        <f t="shared" si="93"/>
        <v>0</v>
      </c>
      <c r="H164" s="3">
        <f t="shared" si="93"/>
        <v>0</v>
      </c>
      <c r="I164" s="3">
        <f t="shared" si="93"/>
        <v>0</v>
      </c>
      <c r="J164" s="3">
        <f t="shared" si="93"/>
        <v>0</v>
      </c>
      <c r="K164" s="3">
        <f t="shared" si="93"/>
        <v>0</v>
      </c>
      <c r="L164" s="3">
        <f t="shared" si="93"/>
        <v>0</v>
      </c>
      <c r="M164" s="3">
        <f t="shared" si="93"/>
        <v>0</v>
      </c>
      <c r="N164" s="3">
        <f t="shared" si="93"/>
        <v>0</v>
      </c>
      <c r="O164" s="3">
        <f t="shared" si="93"/>
        <v>0</v>
      </c>
      <c r="P164" s="3">
        <f t="shared" si="93"/>
        <v>0.8</v>
      </c>
      <c r="Q164" s="3">
        <f t="shared" si="93"/>
        <v>0.8</v>
      </c>
      <c r="R164" s="76"/>
      <c r="S164" s="76"/>
      <c r="T164" s="76"/>
      <c r="U164" s="76"/>
      <c r="V164" s="76"/>
      <c r="W164" s="76"/>
    </row>
    <row r="165" spans="1:23">
      <c r="A165" s="84" t="s">
        <v>403</v>
      </c>
      <c r="B165" s="85" t="s">
        <v>402</v>
      </c>
      <c r="C165" s="85" t="s">
        <v>83</v>
      </c>
      <c r="D165" s="84" t="s">
        <v>80</v>
      </c>
      <c r="E165" s="84" t="str">
        <f>VLOOKUP(A165,'2a. SI Pop'!$A$5:$E$198,5,FALSE)</f>
        <v>Key</v>
      </c>
      <c r="F165" s="84">
        <v>2030</v>
      </c>
      <c r="G165" s="3">
        <f t="shared" si="93"/>
        <v>0.8</v>
      </c>
      <c r="H165" s="3">
        <f t="shared" si="93"/>
        <v>0.8</v>
      </c>
      <c r="I165" s="3">
        <f t="shared" si="93"/>
        <v>0.8</v>
      </c>
      <c r="J165" s="3">
        <f t="shared" si="93"/>
        <v>0.8</v>
      </c>
      <c r="K165" s="3">
        <f t="shared" si="93"/>
        <v>0.8</v>
      </c>
      <c r="L165" s="3">
        <f t="shared" si="93"/>
        <v>0.8</v>
      </c>
      <c r="M165" s="3">
        <f t="shared" si="93"/>
        <v>0.8</v>
      </c>
      <c r="N165" s="3">
        <f t="shared" si="93"/>
        <v>0.8</v>
      </c>
      <c r="O165" s="3">
        <f t="shared" si="93"/>
        <v>0.8</v>
      </c>
      <c r="P165" s="3">
        <f t="shared" si="93"/>
        <v>0.8</v>
      </c>
      <c r="Q165" s="3">
        <f t="shared" si="93"/>
        <v>0.8</v>
      </c>
      <c r="R165" s="76"/>
      <c r="S165" s="76"/>
      <c r="T165" s="76"/>
      <c r="U165" s="76"/>
      <c r="V165" s="76"/>
      <c r="W165" s="76"/>
    </row>
    <row r="166" spans="1:23">
      <c r="A166" s="84" t="s">
        <v>405</v>
      </c>
      <c r="B166" s="85" t="s">
        <v>404</v>
      </c>
      <c r="C166" s="85" t="s">
        <v>79</v>
      </c>
      <c r="D166" s="84" t="s">
        <v>87</v>
      </c>
      <c r="E166" s="84">
        <f>VLOOKUP(A166,'2a. SI Pop'!$A$5:$E$198,5,FALSE)</f>
        <v>1</v>
      </c>
      <c r="F166" s="84">
        <v>2032</v>
      </c>
      <c r="G166" s="3">
        <f t="shared" ref="G166:Q166" si="94">IF($F166&lt;=G$4,5%,0)</f>
        <v>0</v>
      </c>
      <c r="H166" s="3">
        <f t="shared" si="94"/>
        <v>0</v>
      </c>
      <c r="I166" s="3">
        <f t="shared" si="94"/>
        <v>0.05</v>
      </c>
      <c r="J166" s="3">
        <f t="shared" si="94"/>
        <v>0.05</v>
      </c>
      <c r="K166" s="3">
        <f t="shared" si="94"/>
        <v>0.05</v>
      </c>
      <c r="L166" s="3">
        <f t="shared" si="94"/>
        <v>0.05</v>
      </c>
      <c r="M166" s="3">
        <f t="shared" si="94"/>
        <v>0.05</v>
      </c>
      <c r="N166" s="3">
        <f t="shared" si="94"/>
        <v>0.05</v>
      </c>
      <c r="O166" s="3">
        <f t="shared" si="94"/>
        <v>0.05</v>
      </c>
      <c r="P166" s="3">
        <f t="shared" si="94"/>
        <v>0.05</v>
      </c>
      <c r="Q166" s="3">
        <f t="shared" si="94"/>
        <v>0.05</v>
      </c>
      <c r="R166" s="76"/>
      <c r="S166" s="76"/>
      <c r="T166" s="76"/>
      <c r="U166" s="76"/>
      <c r="V166" s="76"/>
      <c r="W166" s="76"/>
    </row>
    <row r="167" spans="1:23">
      <c r="A167" s="84" t="s">
        <v>407</v>
      </c>
      <c r="B167" s="85" t="s">
        <v>406</v>
      </c>
      <c r="C167" s="85" t="s">
        <v>110</v>
      </c>
      <c r="D167" s="84" t="s">
        <v>84</v>
      </c>
      <c r="E167" s="84">
        <f>VLOOKUP(A167,'2a. SI Pop'!$A$5:$E$198,5,FALSE)</f>
        <v>2</v>
      </c>
      <c r="F167" s="84">
        <v>2040</v>
      </c>
      <c r="G167" s="3">
        <f t="shared" ref="G167:Q167" si="95">IF($F167&lt;=G$4,30%,0)</f>
        <v>0</v>
      </c>
      <c r="H167" s="3">
        <f t="shared" si="95"/>
        <v>0</v>
      </c>
      <c r="I167" s="3">
        <f t="shared" si="95"/>
        <v>0</v>
      </c>
      <c r="J167" s="3">
        <f t="shared" si="95"/>
        <v>0</v>
      </c>
      <c r="K167" s="3">
        <f t="shared" si="95"/>
        <v>0</v>
      </c>
      <c r="L167" s="3">
        <f t="shared" si="95"/>
        <v>0</v>
      </c>
      <c r="M167" s="3">
        <f t="shared" si="95"/>
        <v>0</v>
      </c>
      <c r="N167" s="3">
        <f t="shared" si="95"/>
        <v>0</v>
      </c>
      <c r="O167" s="3">
        <f t="shared" si="95"/>
        <v>0</v>
      </c>
      <c r="P167" s="3">
        <f t="shared" si="95"/>
        <v>0</v>
      </c>
      <c r="Q167" s="3">
        <f t="shared" si="95"/>
        <v>0.3</v>
      </c>
      <c r="R167" s="76"/>
      <c r="S167" s="76"/>
      <c r="T167" s="76"/>
      <c r="U167" s="76"/>
      <c r="V167" s="76"/>
      <c r="W167" s="76"/>
    </row>
    <row r="168" spans="1:23">
      <c r="A168" s="84" t="s">
        <v>409</v>
      </c>
      <c r="B168" s="85" t="s">
        <v>408</v>
      </c>
      <c r="C168" s="85" t="s">
        <v>74</v>
      </c>
      <c r="D168" s="84" t="s">
        <v>75</v>
      </c>
      <c r="E168" s="84">
        <f>VLOOKUP(A168,'2a. SI Pop'!$A$5:$E$198,5,FALSE)</f>
        <v>3</v>
      </c>
      <c r="F168" s="84">
        <v>2033</v>
      </c>
      <c r="G168" s="3">
        <f t="shared" ref="G168:Q169" si="96">IF($F168&lt;=G$4,80%,0)</f>
        <v>0</v>
      </c>
      <c r="H168" s="3">
        <f t="shared" si="96"/>
        <v>0</v>
      </c>
      <c r="I168" s="3">
        <f t="shared" si="96"/>
        <v>0</v>
      </c>
      <c r="J168" s="3">
        <f t="shared" si="96"/>
        <v>0.8</v>
      </c>
      <c r="K168" s="3">
        <f t="shared" si="96"/>
        <v>0.8</v>
      </c>
      <c r="L168" s="3">
        <f t="shared" si="96"/>
        <v>0.8</v>
      </c>
      <c r="M168" s="3">
        <f t="shared" si="96"/>
        <v>0.8</v>
      </c>
      <c r="N168" s="3">
        <f t="shared" si="96"/>
        <v>0.8</v>
      </c>
      <c r="O168" s="3">
        <f t="shared" si="96"/>
        <v>0.8</v>
      </c>
      <c r="P168" s="3">
        <f t="shared" si="96"/>
        <v>0.8</v>
      </c>
      <c r="Q168" s="3">
        <f t="shared" si="96"/>
        <v>0.8</v>
      </c>
      <c r="R168" s="76"/>
      <c r="S168" s="76"/>
      <c r="T168" s="76"/>
      <c r="U168" s="76"/>
      <c r="V168" s="76"/>
      <c r="W168" s="76"/>
    </row>
    <row r="169" spans="1:23">
      <c r="A169" s="84" t="s">
        <v>411</v>
      </c>
      <c r="B169" s="85" t="s">
        <v>410</v>
      </c>
      <c r="C169" s="85" t="s">
        <v>74</v>
      </c>
      <c r="D169" s="84" t="s">
        <v>75</v>
      </c>
      <c r="E169" s="84">
        <f>VLOOKUP(A169,'2a. SI Pop'!$A$5:$E$198,5,FALSE)</f>
        <v>3</v>
      </c>
      <c r="F169" s="84">
        <v>2037</v>
      </c>
      <c r="G169" s="3">
        <f t="shared" si="96"/>
        <v>0</v>
      </c>
      <c r="H169" s="3">
        <f t="shared" si="96"/>
        <v>0</v>
      </c>
      <c r="I169" s="3">
        <f t="shared" si="96"/>
        <v>0</v>
      </c>
      <c r="J169" s="3">
        <f t="shared" si="96"/>
        <v>0</v>
      </c>
      <c r="K169" s="3">
        <f t="shared" si="96"/>
        <v>0</v>
      </c>
      <c r="L169" s="3">
        <f t="shared" si="96"/>
        <v>0</v>
      </c>
      <c r="M169" s="3">
        <f t="shared" si="96"/>
        <v>0</v>
      </c>
      <c r="N169" s="3">
        <f t="shared" si="96"/>
        <v>0.8</v>
      </c>
      <c r="O169" s="3">
        <f t="shared" si="96"/>
        <v>0.8</v>
      </c>
      <c r="P169" s="3">
        <f t="shared" si="96"/>
        <v>0.8</v>
      </c>
      <c r="Q169" s="3">
        <f t="shared" si="96"/>
        <v>0.8</v>
      </c>
      <c r="R169" s="76"/>
      <c r="S169" s="76"/>
      <c r="T169" s="76"/>
      <c r="U169" s="76"/>
      <c r="V169" s="76"/>
      <c r="W169" s="76"/>
    </row>
    <row r="170" spans="1:23">
      <c r="A170" s="84" t="s">
        <v>413</v>
      </c>
      <c r="B170" s="85" t="s">
        <v>412</v>
      </c>
      <c r="C170" s="85" t="s">
        <v>92</v>
      </c>
      <c r="D170" s="84" t="s">
        <v>80</v>
      </c>
      <c r="E170" s="84">
        <f>VLOOKUP(A170,'2a. SI Pop'!$A$5:$E$198,5,FALSE)</f>
        <v>1</v>
      </c>
      <c r="F170" s="84">
        <v>2041</v>
      </c>
      <c r="G170" s="3">
        <f t="shared" ref="G170:Q170" si="97">IF($F170&lt;=G$4,5%,0)</f>
        <v>0</v>
      </c>
      <c r="H170" s="3">
        <f t="shared" si="97"/>
        <v>0</v>
      </c>
      <c r="I170" s="3">
        <f t="shared" si="97"/>
        <v>0</v>
      </c>
      <c r="J170" s="3">
        <f t="shared" si="97"/>
        <v>0</v>
      </c>
      <c r="K170" s="3">
        <f t="shared" si="97"/>
        <v>0</v>
      </c>
      <c r="L170" s="3">
        <f t="shared" si="97"/>
        <v>0</v>
      </c>
      <c r="M170" s="3">
        <f t="shared" si="97"/>
        <v>0</v>
      </c>
      <c r="N170" s="3">
        <f t="shared" si="97"/>
        <v>0</v>
      </c>
      <c r="O170" s="3">
        <f t="shared" si="97"/>
        <v>0</v>
      </c>
      <c r="P170" s="3">
        <f t="shared" si="97"/>
        <v>0</v>
      </c>
      <c r="Q170" s="3">
        <f t="shared" si="97"/>
        <v>0</v>
      </c>
      <c r="R170" s="76"/>
      <c r="S170" s="76"/>
      <c r="T170" s="76"/>
      <c r="U170" s="76"/>
      <c r="V170" s="76"/>
      <c r="W170" s="76"/>
    </row>
    <row r="171" spans="1:23">
      <c r="A171" s="84" t="s">
        <v>415</v>
      </c>
      <c r="B171" s="85" t="s">
        <v>414</v>
      </c>
      <c r="C171" s="85" t="s">
        <v>83</v>
      </c>
      <c r="D171" s="84" t="s">
        <v>84</v>
      </c>
      <c r="E171" s="84">
        <f>VLOOKUP(A171,'2a. SI Pop'!$A$5:$E$198,5,FALSE)</f>
        <v>3</v>
      </c>
      <c r="F171" s="84">
        <v>2039</v>
      </c>
      <c r="G171" s="3">
        <f t="shared" ref="G171:Q171" si="98">IF($F171&lt;=G$4,80%,0)</f>
        <v>0</v>
      </c>
      <c r="H171" s="3">
        <f t="shared" si="98"/>
        <v>0</v>
      </c>
      <c r="I171" s="3">
        <f t="shared" si="98"/>
        <v>0</v>
      </c>
      <c r="J171" s="3">
        <f t="shared" si="98"/>
        <v>0</v>
      </c>
      <c r="K171" s="3">
        <f t="shared" si="98"/>
        <v>0</v>
      </c>
      <c r="L171" s="3">
        <f t="shared" si="98"/>
        <v>0</v>
      </c>
      <c r="M171" s="3">
        <f t="shared" si="98"/>
        <v>0</v>
      </c>
      <c r="N171" s="3">
        <f t="shared" si="98"/>
        <v>0</v>
      </c>
      <c r="O171" s="3">
        <f t="shared" si="98"/>
        <v>0</v>
      </c>
      <c r="P171" s="3">
        <f t="shared" si="98"/>
        <v>0.8</v>
      </c>
      <c r="Q171" s="3">
        <f t="shared" si="98"/>
        <v>0.8</v>
      </c>
      <c r="R171" s="76"/>
      <c r="S171" s="76"/>
      <c r="T171" s="76"/>
      <c r="U171" s="76"/>
      <c r="V171" s="76"/>
      <c r="W171" s="76"/>
    </row>
    <row r="172" spans="1:23">
      <c r="A172" s="84" t="s">
        <v>417</v>
      </c>
      <c r="B172" s="85" t="s">
        <v>416</v>
      </c>
      <c r="C172" s="85" t="s">
        <v>79</v>
      </c>
      <c r="D172" s="84" t="s">
        <v>87</v>
      </c>
      <c r="E172" s="84">
        <f>VLOOKUP(A172,'2a. SI Pop'!$A$5:$E$198,5,FALSE)</f>
        <v>1</v>
      </c>
      <c r="F172" s="84">
        <v>2035</v>
      </c>
      <c r="G172" s="3">
        <f t="shared" ref="G172:Q173" si="99">IF($F172&lt;=G$4,5%,0)</f>
        <v>0</v>
      </c>
      <c r="H172" s="3">
        <f t="shared" si="99"/>
        <v>0</v>
      </c>
      <c r="I172" s="3">
        <f t="shared" si="99"/>
        <v>0</v>
      </c>
      <c r="J172" s="3">
        <f t="shared" si="99"/>
        <v>0</v>
      </c>
      <c r="K172" s="3">
        <f t="shared" si="99"/>
        <v>0</v>
      </c>
      <c r="L172" s="3">
        <f t="shared" si="99"/>
        <v>0.05</v>
      </c>
      <c r="M172" s="3">
        <f t="shared" si="99"/>
        <v>0.05</v>
      </c>
      <c r="N172" s="3">
        <f t="shared" si="99"/>
        <v>0.05</v>
      </c>
      <c r="O172" s="3">
        <f t="shared" si="99"/>
        <v>0.05</v>
      </c>
      <c r="P172" s="3">
        <f t="shared" si="99"/>
        <v>0.05</v>
      </c>
      <c r="Q172" s="3">
        <f t="shared" si="99"/>
        <v>0.05</v>
      </c>
      <c r="R172" s="76"/>
      <c r="S172" s="76"/>
      <c r="T172" s="76"/>
      <c r="U172" s="76"/>
      <c r="V172" s="76"/>
      <c r="W172" s="76"/>
    </row>
    <row r="173" spans="1:23">
      <c r="A173" s="84" t="s">
        <v>419</v>
      </c>
      <c r="B173" s="85" t="s">
        <v>418</v>
      </c>
      <c r="C173" s="85" t="s">
        <v>79</v>
      </c>
      <c r="D173" s="84" t="s">
        <v>87</v>
      </c>
      <c r="E173" s="84">
        <f>VLOOKUP(A173,'2a. SI Pop'!$A$5:$E$198,5,FALSE)</f>
        <v>1</v>
      </c>
      <c r="F173" s="84">
        <v>2030</v>
      </c>
      <c r="G173" s="3">
        <f t="shared" si="99"/>
        <v>0.05</v>
      </c>
      <c r="H173" s="3">
        <f t="shared" si="99"/>
        <v>0.05</v>
      </c>
      <c r="I173" s="3">
        <f t="shared" si="99"/>
        <v>0.05</v>
      </c>
      <c r="J173" s="3">
        <f t="shared" si="99"/>
        <v>0.05</v>
      </c>
      <c r="K173" s="3">
        <f t="shared" si="99"/>
        <v>0.05</v>
      </c>
      <c r="L173" s="3">
        <f t="shared" si="99"/>
        <v>0.05</v>
      </c>
      <c r="M173" s="3">
        <f t="shared" si="99"/>
        <v>0.05</v>
      </c>
      <c r="N173" s="3">
        <f t="shared" si="99"/>
        <v>0.05</v>
      </c>
      <c r="O173" s="3">
        <f t="shared" si="99"/>
        <v>0.05</v>
      </c>
      <c r="P173" s="3">
        <f t="shared" si="99"/>
        <v>0.05</v>
      </c>
      <c r="Q173" s="3">
        <f t="shared" si="99"/>
        <v>0.05</v>
      </c>
      <c r="R173" s="76"/>
      <c r="S173" s="76"/>
      <c r="T173" s="76"/>
      <c r="U173" s="76"/>
      <c r="V173" s="76"/>
      <c r="W173" s="76"/>
    </row>
    <row r="174" spans="1:23">
      <c r="A174" s="84" t="s">
        <v>421</v>
      </c>
      <c r="B174" s="85" t="s">
        <v>420</v>
      </c>
      <c r="C174" s="85" t="s">
        <v>74</v>
      </c>
      <c r="D174" s="84" t="s">
        <v>75</v>
      </c>
      <c r="E174" s="84">
        <f>VLOOKUP(A174,'2a. SI Pop'!$A$5:$E$198,5,FALSE)</f>
        <v>2</v>
      </c>
      <c r="F174" s="84">
        <v>2039</v>
      </c>
      <c r="G174" s="3">
        <f t="shared" ref="G174:Q174" si="100">IF($F174&lt;=G$4,30%,0)</f>
        <v>0</v>
      </c>
      <c r="H174" s="3">
        <f t="shared" si="100"/>
        <v>0</v>
      </c>
      <c r="I174" s="3">
        <f t="shared" si="100"/>
        <v>0</v>
      </c>
      <c r="J174" s="3">
        <f t="shared" si="100"/>
        <v>0</v>
      </c>
      <c r="K174" s="3">
        <f t="shared" si="100"/>
        <v>0</v>
      </c>
      <c r="L174" s="3">
        <f t="shared" si="100"/>
        <v>0</v>
      </c>
      <c r="M174" s="3">
        <f t="shared" si="100"/>
        <v>0</v>
      </c>
      <c r="N174" s="3">
        <f t="shared" si="100"/>
        <v>0</v>
      </c>
      <c r="O174" s="3">
        <f t="shared" si="100"/>
        <v>0</v>
      </c>
      <c r="P174" s="3">
        <f t="shared" si="100"/>
        <v>0.3</v>
      </c>
      <c r="Q174" s="3">
        <f t="shared" si="100"/>
        <v>0.3</v>
      </c>
      <c r="R174" s="76"/>
      <c r="S174" s="76"/>
      <c r="T174" s="76"/>
      <c r="U174" s="76"/>
      <c r="V174" s="76"/>
      <c r="W174" s="76"/>
    </row>
    <row r="175" spans="1:23">
      <c r="A175" s="84" t="s">
        <v>423</v>
      </c>
      <c r="B175" s="85" t="s">
        <v>422</v>
      </c>
      <c r="C175" s="85" t="s">
        <v>83</v>
      </c>
      <c r="D175" s="84" t="s">
        <v>84</v>
      </c>
      <c r="E175" s="84" t="str">
        <f>VLOOKUP(A175,'2a. SI Pop'!$A$5:$E$198,5,FALSE)</f>
        <v>Key</v>
      </c>
      <c r="F175" s="84">
        <v>2031</v>
      </c>
      <c r="G175" s="3">
        <f t="shared" ref="G175:Q175" si="101">IF($F175&lt;=G$4,80%,0)</f>
        <v>0</v>
      </c>
      <c r="H175" s="3">
        <f t="shared" si="101"/>
        <v>0.8</v>
      </c>
      <c r="I175" s="3">
        <f t="shared" si="101"/>
        <v>0.8</v>
      </c>
      <c r="J175" s="3">
        <f t="shared" si="101"/>
        <v>0.8</v>
      </c>
      <c r="K175" s="3">
        <f t="shared" si="101"/>
        <v>0.8</v>
      </c>
      <c r="L175" s="3">
        <f t="shared" si="101"/>
        <v>0.8</v>
      </c>
      <c r="M175" s="3">
        <f t="shared" si="101"/>
        <v>0.8</v>
      </c>
      <c r="N175" s="3">
        <f t="shared" si="101"/>
        <v>0.8</v>
      </c>
      <c r="O175" s="3">
        <f t="shared" si="101"/>
        <v>0.8</v>
      </c>
      <c r="P175" s="3">
        <f t="shared" si="101"/>
        <v>0.8</v>
      </c>
      <c r="Q175" s="3">
        <f t="shared" si="101"/>
        <v>0.8</v>
      </c>
      <c r="R175" s="76"/>
      <c r="S175" s="76"/>
      <c r="T175" s="76"/>
      <c r="U175" s="76"/>
      <c r="V175" s="76"/>
      <c r="W175" s="76"/>
    </row>
    <row r="176" spans="1:23">
      <c r="A176" s="84" t="s">
        <v>425</v>
      </c>
      <c r="B176" s="85" t="s">
        <v>424</v>
      </c>
      <c r="C176" s="85" t="s">
        <v>79</v>
      </c>
      <c r="D176" s="84" t="s">
        <v>75</v>
      </c>
      <c r="E176" s="84">
        <f>VLOOKUP(A176,'2a. SI Pop'!$A$5:$E$198,5,FALSE)</f>
        <v>2</v>
      </c>
      <c r="F176" s="84">
        <v>2041</v>
      </c>
      <c r="G176" s="3">
        <f t="shared" ref="G176:Q176" si="102">IF($F176&lt;=G$4,30%,0)</f>
        <v>0</v>
      </c>
      <c r="H176" s="3">
        <f t="shared" si="102"/>
        <v>0</v>
      </c>
      <c r="I176" s="3">
        <f t="shared" si="102"/>
        <v>0</v>
      </c>
      <c r="J176" s="3">
        <f t="shared" si="102"/>
        <v>0</v>
      </c>
      <c r="K176" s="3">
        <f t="shared" si="102"/>
        <v>0</v>
      </c>
      <c r="L176" s="3">
        <f t="shared" si="102"/>
        <v>0</v>
      </c>
      <c r="M176" s="3">
        <f t="shared" si="102"/>
        <v>0</v>
      </c>
      <c r="N176" s="3">
        <f t="shared" si="102"/>
        <v>0</v>
      </c>
      <c r="O176" s="3">
        <f t="shared" si="102"/>
        <v>0</v>
      </c>
      <c r="P176" s="3">
        <f t="shared" si="102"/>
        <v>0</v>
      </c>
      <c r="Q176" s="3">
        <f t="shared" si="102"/>
        <v>0</v>
      </c>
      <c r="R176" s="76"/>
      <c r="S176" s="76"/>
      <c r="T176" s="76"/>
      <c r="U176" s="76"/>
      <c r="V176" s="76"/>
      <c r="W176" s="76"/>
    </row>
    <row r="177" spans="1:23">
      <c r="A177" s="84" t="s">
        <v>427</v>
      </c>
      <c r="B177" s="85" t="s">
        <v>426</v>
      </c>
      <c r="C177" s="85" t="s">
        <v>110</v>
      </c>
      <c r="D177" s="84" t="s">
        <v>80</v>
      </c>
      <c r="E177" s="84">
        <f>VLOOKUP(A177,'2a. SI Pop'!$A$5:$E$198,5,FALSE)</f>
        <v>1</v>
      </c>
      <c r="F177" s="84">
        <v>2031</v>
      </c>
      <c r="G177" s="3">
        <f t="shared" ref="G177:Q177" si="103">IF($F177&lt;=G$4,5%,0)</f>
        <v>0</v>
      </c>
      <c r="H177" s="3">
        <f t="shared" si="103"/>
        <v>0.05</v>
      </c>
      <c r="I177" s="3">
        <f t="shared" si="103"/>
        <v>0.05</v>
      </c>
      <c r="J177" s="3">
        <f t="shared" si="103"/>
        <v>0.05</v>
      </c>
      <c r="K177" s="3">
        <f t="shared" si="103"/>
        <v>0.05</v>
      </c>
      <c r="L177" s="3">
        <f t="shared" si="103"/>
        <v>0.05</v>
      </c>
      <c r="M177" s="3">
        <f t="shared" si="103"/>
        <v>0.05</v>
      </c>
      <c r="N177" s="3">
        <f t="shared" si="103"/>
        <v>0.05</v>
      </c>
      <c r="O177" s="3">
        <f t="shared" si="103"/>
        <v>0.05</v>
      </c>
      <c r="P177" s="3">
        <f t="shared" si="103"/>
        <v>0.05</v>
      </c>
      <c r="Q177" s="3">
        <f t="shared" si="103"/>
        <v>0.05</v>
      </c>
      <c r="R177" s="76"/>
      <c r="S177" s="76"/>
      <c r="T177" s="76"/>
      <c r="U177" s="76"/>
      <c r="V177" s="76"/>
      <c r="W177" s="76"/>
    </row>
    <row r="178" spans="1:23">
      <c r="A178" s="84" t="s">
        <v>429</v>
      </c>
      <c r="B178" s="85" t="s">
        <v>428</v>
      </c>
      <c r="C178" s="85" t="s">
        <v>110</v>
      </c>
      <c r="D178" s="84" t="s">
        <v>84</v>
      </c>
      <c r="E178" s="84">
        <f>VLOOKUP(A178,'2a. SI Pop'!$A$5:$E$198,5,FALSE)</f>
        <v>4</v>
      </c>
      <c r="F178" s="84">
        <v>2040</v>
      </c>
      <c r="G178" s="3">
        <f t="shared" ref="G178:Q179" si="104">IF($F178&lt;=G$4,80%,0)</f>
        <v>0</v>
      </c>
      <c r="H178" s="3">
        <f t="shared" si="104"/>
        <v>0</v>
      </c>
      <c r="I178" s="3">
        <f t="shared" si="104"/>
        <v>0</v>
      </c>
      <c r="J178" s="3">
        <f t="shared" si="104"/>
        <v>0</v>
      </c>
      <c r="K178" s="3">
        <f t="shared" si="104"/>
        <v>0</v>
      </c>
      <c r="L178" s="3">
        <f t="shared" si="104"/>
        <v>0</v>
      </c>
      <c r="M178" s="3">
        <f t="shared" si="104"/>
        <v>0</v>
      </c>
      <c r="N178" s="3">
        <f t="shared" si="104"/>
        <v>0</v>
      </c>
      <c r="O178" s="3">
        <f t="shared" si="104"/>
        <v>0</v>
      </c>
      <c r="P178" s="3">
        <f t="shared" si="104"/>
        <v>0</v>
      </c>
      <c r="Q178" s="3">
        <f t="shared" si="104"/>
        <v>0.8</v>
      </c>
      <c r="R178" s="76"/>
      <c r="S178" s="76"/>
      <c r="T178" s="76"/>
      <c r="U178" s="76"/>
      <c r="V178" s="76"/>
      <c r="W178" s="76"/>
    </row>
    <row r="179" spans="1:23">
      <c r="A179" s="84" t="s">
        <v>431</v>
      </c>
      <c r="B179" s="85" t="s">
        <v>430</v>
      </c>
      <c r="C179" s="85" t="s">
        <v>83</v>
      </c>
      <c r="D179" s="84" t="s">
        <v>75</v>
      </c>
      <c r="E179" s="84">
        <f>VLOOKUP(A179,'2a. SI Pop'!$A$5:$E$198,5,FALSE)</f>
        <v>3</v>
      </c>
      <c r="F179" s="84">
        <v>2037</v>
      </c>
      <c r="G179" s="3">
        <f t="shared" si="104"/>
        <v>0</v>
      </c>
      <c r="H179" s="3">
        <f t="shared" si="104"/>
        <v>0</v>
      </c>
      <c r="I179" s="3">
        <f t="shared" si="104"/>
        <v>0</v>
      </c>
      <c r="J179" s="3">
        <f t="shared" si="104"/>
        <v>0</v>
      </c>
      <c r="K179" s="3">
        <f t="shared" si="104"/>
        <v>0</v>
      </c>
      <c r="L179" s="3">
        <f t="shared" si="104"/>
        <v>0</v>
      </c>
      <c r="M179" s="3">
        <f t="shared" si="104"/>
        <v>0</v>
      </c>
      <c r="N179" s="3">
        <f t="shared" si="104"/>
        <v>0.8</v>
      </c>
      <c r="O179" s="3">
        <f t="shared" si="104"/>
        <v>0.8</v>
      </c>
      <c r="P179" s="3">
        <f t="shared" si="104"/>
        <v>0.8</v>
      </c>
      <c r="Q179" s="3">
        <f t="shared" si="104"/>
        <v>0.8</v>
      </c>
      <c r="R179" s="76"/>
      <c r="S179" s="76"/>
      <c r="T179" s="76"/>
      <c r="U179" s="76"/>
      <c r="V179" s="76"/>
      <c r="W179" s="76"/>
    </row>
    <row r="180" spans="1:23">
      <c r="A180" s="84" t="s">
        <v>433</v>
      </c>
      <c r="B180" s="85" t="s">
        <v>432</v>
      </c>
      <c r="C180" s="85" t="s">
        <v>99</v>
      </c>
      <c r="D180" s="84" t="s">
        <v>80</v>
      </c>
      <c r="E180" s="84">
        <f>VLOOKUP(A180,'2a. SI Pop'!$A$5:$E$198,5,FALSE)</f>
        <v>1</v>
      </c>
      <c r="F180" s="84">
        <v>2037</v>
      </c>
      <c r="G180" s="3">
        <f t="shared" ref="G180:Q181" si="105">IF($F180&lt;=G$4,5%,0)</f>
        <v>0</v>
      </c>
      <c r="H180" s="3">
        <f t="shared" si="105"/>
        <v>0</v>
      </c>
      <c r="I180" s="3">
        <f t="shared" si="105"/>
        <v>0</v>
      </c>
      <c r="J180" s="3">
        <f t="shared" si="105"/>
        <v>0</v>
      </c>
      <c r="K180" s="3">
        <f t="shared" si="105"/>
        <v>0</v>
      </c>
      <c r="L180" s="3">
        <f t="shared" si="105"/>
        <v>0</v>
      </c>
      <c r="M180" s="3">
        <f t="shared" si="105"/>
        <v>0</v>
      </c>
      <c r="N180" s="3">
        <f t="shared" si="105"/>
        <v>0.05</v>
      </c>
      <c r="O180" s="3">
        <f t="shared" si="105"/>
        <v>0.05</v>
      </c>
      <c r="P180" s="3">
        <f t="shared" si="105"/>
        <v>0.05</v>
      </c>
      <c r="Q180" s="3">
        <f t="shared" si="105"/>
        <v>0.05</v>
      </c>
      <c r="R180" s="76"/>
      <c r="S180" s="76"/>
      <c r="T180" s="76"/>
      <c r="U180" s="76"/>
      <c r="V180" s="76"/>
      <c r="W180" s="76"/>
    </row>
    <row r="181" spans="1:23">
      <c r="A181" s="84" t="s">
        <v>435</v>
      </c>
      <c r="B181" s="85" t="s">
        <v>434</v>
      </c>
      <c r="C181" s="85" t="s">
        <v>92</v>
      </c>
      <c r="D181" s="84" t="s">
        <v>87</v>
      </c>
      <c r="E181" s="84">
        <f>VLOOKUP(A181,'2a. SI Pop'!$A$5:$E$198,5,FALSE)</f>
        <v>1</v>
      </c>
      <c r="F181" s="84">
        <v>2039</v>
      </c>
      <c r="G181" s="3">
        <f t="shared" si="105"/>
        <v>0</v>
      </c>
      <c r="H181" s="3">
        <f t="shared" si="105"/>
        <v>0</v>
      </c>
      <c r="I181" s="3">
        <f t="shared" si="105"/>
        <v>0</v>
      </c>
      <c r="J181" s="3">
        <f t="shared" si="105"/>
        <v>0</v>
      </c>
      <c r="K181" s="3">
        <f t="shared" si="105"/>
        <v>0</v>
      </c>
      <c r="L181" s="3">
        <f t="shared" si="105"/>
        <v>0</v>
      </c>
      <c r="M181" s="3">
        <f t="shared" si="105"/>
        <v>0</v>
      </c>
      <c r="N181" s="3">
        <f t="shared" si="105"/>
        <v>0</v>
      </c>
      <c r="O181" s="3">
        <f t="shared" si="105"/>
        <v>0</v>
      </c>
      <c r="P181" s="3">
        <f t="shared" si="105"/>
        <v>0.05</v>
      </c>
      <c r="Q181" s="3">
        <f t="shared" si="105"/>
        <v>0.05</v>
      </c>
      <c r="R181" s="76"/>
      <c r="S181" s="76"/>
      <c r="T181" s="76"/>
      <c r="U181" s="76"/>
      <c r="V181" s="76"/>
      <c r="W181" s="76"/>
    </row>
    <row r="182" spans="1:23">
      <c r="A182" s="84" t="s">
        <v>437</v>
      </c>
      <c r="B182" s="85" t="s">
        <v>436</v>
      </c>
      <c r="C182" s="85" t="s">
        <v>74</v>
      </c>
      <c r="D182" s="84" t="s">
        <v>84</v>
      </c>
      <c r="E182" s="84">
        <f>VLOOKUP(A182,'2a. SI Pop'!$A$5:$E$198,5,FALSE)</f>
        <v>3</v>
      </c>
      <c r="F182" s="84">
        <v>2033</v>
      </c>
      <c r="G182" s="3">
        <f t="shared" ref="G182:Q182" si="106">IF($F182&lt;=G$4,80%,0)</f>
        <v>0</v>
      </c>
      <c r="H182" s="3">
        <f t="shared" si="106"/>
        <v>0</v>
      </c>
      <c r="I182" s="3">
        <f t="shared" si="106"/>
        <v>0</v>
      </c>
      <c r="J182" s="3">
        <f t="shared" si="106"/>
        <v>0.8</v>
      </c>
      <c r="K182" s="3">
        <f t="shared" si="106"/>
        <v>0.8</v>
      </c>
      <c r="L182" s="3">
        <f t="shared" si="106"/>
        <v>0.8</v>
      </c>
      <c r="M182" s="3">
        <f t="shared" si="106"/>
        <v>0.8</v>
      </c>
      <c r="N182" s="3">
        <f t="shared" si="106"/>
        <v>0.8</v>
      </c>
      <c r="O182" s="3">
        <f t="shared" si="106"/>
        <v>0.8</v>
      </c>
      <c r="P182" s="3">
        <f t="shared" si="106"/>
        <v>0.8</v>
      </c>
      <c r="Q182" s="3">
        <f t="shared" si="106"/>
        <v>0.8</v>
      </c>
      <c r="R182" s="76"/>
      <c r="S182" s="76"/>
      <c r="T182" s="76"/>
      <c r="U182" s="76"/>
      <c r="V182" s="76"/>
      <c r="W182" s="76"/>
    </row>
    <row r="183" spans="1:23">
      <c r="A183" s="84" t="s">
        <v>439</v>
      </c>
      <c r="B183" s="85" t="s">
        <v>438</v>
      </c>
      <c r="C183" s="85" t="s">
        <v>79</v>
      </c>
      <c r="D183" s="84" t="s">
        <v>80</v>
      </c>
      <c r="E183" s="84">
        <f>VLOOKUP(A183,'2a. SI Pop'!$A$5:$E$198,5,FALSE)</f>
        <v>1</v>
      </c>
      <c r="F183" s="84">
        <v>2030</v>
      </c>
      <c r="G183" s="3">
        <f t="shared" ref="G183:Q184" si="107">IF($F183&lt;=G$4,5%,0)</f>
        <v>0.05</v>
      </c>
      <c r="H183" s="3">
        <f t="shared" si="107"/>
        <v>0.05</v>
      </c>
      <c r="I183" s="3">
        <f t="shared" si="107"/>
        <v>0.05</v>
      </c>
      <c r="J183" s="3">
        <f t="shared" si="107"/>
        <v>0.05</v>
      </c>
      <c r="K183" s="3">
        <f t="shared" si="107"/>
        <v>0.05</v>
      </c>
      <c r="L183" s="3">
        <f t="shared" si="107"/>
        <v>0.05</v>
      </c>
      <c r="M183" s="3">
        <f t="shared" si="107"/>
        <v>0.05</v>
      </c>
      <c r="N183" s="3">
        <f t="shared" si="107"/>
        <v>0.05</v>
      </c>
      <c r="O183" s="3">
        <f t="shared" si="107"/>
        <v>0.05</v>
      </c>
      <c r="P183" s="3">
        <f t="shared" si="107"/>
        <v>0.05</v>
      </c>
      <c r="Q183" s="3">
        <f t="shared" si="107"/>
        <v>0.05</v>
      </c>
      <c r="R183" s="76"/>
      <c r="S183" s="76"/>
      <c r="T183" s="76"/>
      <c r="U183" s="76"/>
      <c r="V183" s="76"/>
      <c r="W183" s="76"/>
    </row>
    <row r="184" spans="1:23">
      <c r="A184" s="84" t="s">
        <v>441</v>
      </c>
      <c r="B184" s="85" t="s">
        <v>440</v>
      </c>
      <c r="C184" s="85" t="s">
        <v>79</v>
      </c>
      <c r="D184" s="84" t="s">
        <v>80</v>
      </c>
      <c r="E184" s="84">
        <f>VLOOKUP(A184,'2a. SI Pop'!$A$5:$E$198,5,FALSE)</f>
        <v>1</v>
      </c>
      <c r="F184" s="84">
        <v>2040</v>
      </c>
      <c r="G184" s="3">
        <f t="shared" si="107"/>
        <v>0</v>
      </c>
      <c r="H184" s="3">
        <f t="shared" si="107"/>
        <v>0</v>
      </c>
      <c r="I184" s="3">
        <f t="shared" si="107"/>
        <v>0</v>
      </c>
      <c r="J184" s="3">
        <f t="shared" si="107"/>
        <v>0</v>
      </c>
      <c r="K184" s="3">
        <f t="shared" si="107"/>
        <v>0</v>
      </c>
      <c r="L184" s="3">
        <f t="shared" si="107"/>
        <v>0</v>
      </c>
      <c r="M184" s="3">
        <f t="shared" si="107"/>
        <v>0</v>
      </c>
      <c r="N184" s="3">
        <f t="shared" si="107"/>
        <v>0</v>
      </c>
      <c r="O184" s="3">
        <f t="shared" si="107"/>
        <v>0</v>
      </c>
      <c r="P184" s="3">
        <f t="shared" si="107"/>
        <v>0</v>
      </c>
      <c r="Q184" s="3">
        <f t="shared" si="107"/>
        <v>0.05</v>
      </c>
      <c r="R184" s="76"/>
      <c r="S184" s="76"/>
      <c r="T184" s="76"/>
      <c r="U184" s="76"/>
      <c r="V184" s="76"/>
      <c r="W184" s="76"/>
    </row>
    <row r="185" spans="1:23">
      <c r="A185" s="84" t="s">
        <v>443</v>
      </c>
      <c r="B185" s="85" t="s">
        <v>442</v>
      </c>
      <c r="C185" s="85" t="s">
        <v>99</v>
      </c>
      <c r="D185" s="84" t="s">
        <v>80</v>
      </c>
      <c r="E185" s="84">
        <f>VLOOKUP(A185,'2a. SI Pop'!$A$5:$E$198,5,FALSE)</f>
        <v>4</v>
      </c>
      <c r="F185" s="84">
        <v>2040</v>
      </c>
      <c r="G185" s="3">
        <f t="shared" ref="G185:Q185" si="108">IF($F185&lt;=G$4,80%,0)</f>
        <v>0</v>
      </c>
      <c r="H185" s="3">
        <f t="shared" si="108"/>
        <v>0</v>
      </c>
      <c r="I185" s="3">
        <f t="shared" si="108"/>
        <v>0</v>
      </c>
      <c r="J185" s="3">
        <f t="shared" si="108"/>
        <v>0</v>
      </c>
      <c r="K185" s="3">
        <f t="shared" si="108"/>
        <v>0</v>
      </c>
      <c r="L185" s="3">
        <f t="shared" si="108"/>
        <v>0</v>
      </c>
      <c r="M185" s="3">
        <f t="shared" si="108"/>
        <v>0</v>
      </c>
      <c r="N185" s="3">
        <f t="shared" si="108"/>
        <v>0</v>
      </c>
      <c r="O185" s="3">
        <f t="shared" si="108"/>
        <v>0</v>
      </c>
      <c r="P185" s="3">
        <f t="shared" si="108"/>
        <v>0</v>
      </c>
      <c r="Q185" s="3">
        <f t="shared" si="108"/>
        <v>0.8</v>
      </c>
      <c r="R185" s="76"/>
      <c r="S185" s="76"/>
      <c r="T185" s="76"/>
      <c r="U185" s="76"/>
      <c r="V185" s="76"/>
      <c r="W185" s="76"/>
    </row>
    <row r="186" spans="1:23">
      <c r="A186" s="84" t="s">
        <v>445</v>
      </c>
      <c r="B186" s="85" t="s">
        <v>444</v>
      </c>
      <c r="C186" s="85" t="s">
        <v>83</v>
      </c>
      <c r="D186" s="84" t="s">
        <v>75</v>
      </c>
      <c r="E186" s="84" t="str">
        <f>VLOOKUP(A186,'2a. SI Pop'!$A$5:$E$198,5,FALSE)</f>
        <v>Key</v>
      </c>
      <c r="F186" s="84">
        <v>2032</v>
      </c>
      <c r="G186" s="3">
        <f t="shared" ref="G186:Q186" si="109">IF($F186&lt;=G$4,80%,0)</f>
        <v>0</v>
      </c>
      <c r="H186" s="3">
        <f t="shared" si="109"/>
        <v>0</v>
      </c>
      <c r="I186" s="3">
        <f t="shared" si="109"/>
        <v>0.8</v>
      </c>
      <c r="J186" s="3">
        <f t="shared" si="109"/>
        <v>0.8</v>
      </c>
      <c r="K186" s="3">
        <f t="shared" si="109"/>
        <v>0.8</v>
      </c>
      <c r="L186" s="3">
        <f t="shared" si="109"/>
        <v>0.8</v>
      </c>
      <c r="M186" s="3">
        <f t="shared" si="109"/>
        <v>0.8</v>
      </c>
      <c r="N186" s="3">
        <f t="shared" si="109"/>
        <v>0.8</v>
      </c>
      <c r="O186" s="3">
        <f t="shared" si="109"/>
        <v>0.8</v>
      </c>
      <c r="P186" s="3">
        <f t="shared" si="109"/>
        <v>0.8</v>
      </c>
      <c r="Q186" s="3">
        <f t="shared" si="109"/>
        <v>0.8</v>
      </c>
      <c r="R186" s="76"/>
      <c r="S186" s="76"/>
      <c r="T186" s="76"/>
      <c r="U186" s="76"/>
      <c r="V186" s="76"/>
      <c r="W186" s="76"/>
    </row>
    <row r="187" spans="1:23">
      <c r="A187" s="84" t="s">
        <v>447</v>
      </c>
      <c r="B187" s="85" t="s">
        <v>446</v>
      </c>
      <c r="C187" s="85" t="s">
        <v>79</v>
      </c>
      <c r="D187" s="84" t="s">
        <v>84</v>
      </c>
      <c r="E187" s="84">
        <f>VLOOKUP(A187,'2a. SI Pop'!$A$5:$E$198,5,FALSE)</f>
        <v>1</v>
      </c>
      <c r="F187" s="84">
        <v>2038</v>
      </c>
      <c r="G187" s="3">
        <f t="shared" ref="G187:Q191" si="110">IF($F187&lt;=G$4,5%,0)</f>
        <v>0</v>
      </c>
      <c r="H187" s="3">
        <f t="shared" si="110"/>
        <v>0</v>
      </c>
      <c r="I187" s="3">
        <f t="shared" si="110"/>
        <v>0</v>
      </c>
      <c r="J187" s="3">
        <f t="shared" si="110"/>
        <v>0</v>
      </c>
      <c r="K187" s="3">
        <f t="shared" si="110"/>
        <v>0</v>
      </c>
      <c r="L187" s="3">
        <f t="shared" si="110"/>
        <v>0</v>
      </c>
      <c r="M187" s="3">
        <f t="shared" si="110"/>
        <v>0</v>
      </c>
      <c r="N187" s="3">
        <f t="shared" si="110"/>
        <v>0</v>
      </c>
      <c r="O187" s="3">
        <f t="shared" si="110"/>
        <v>0.05</v>
      </c>
      <c r="P187" s="3">
        <f t="shared" si="110"/>
        <v>0.05</v>
      </c>
      <c r="Q187" s="3">
        <f t="shared" si="110"/>
        <v>0.05</v>
      </c>
      <c r="R187" s="76"/>
      <c r="S187" s="76"/>
      <c r="T187" s="76"/>
      <c r="U187" s="76"/>
      <c r="V187" s="76"/>
      <c r="W187" s="76"/>
    </row>
    <row r="188" spans="1:23">
      <c r="A188" s="84" t="s">
        <v>449</v>
      </c>
      <c r="B188" s="85" t="s">
        <v>448</v>
      </c>
      <c r="C188" s="85" t="s">
        <v>74</v>
      </c>
      <c r="D188" s="84" t="s">
        <v>87</v>
      </c>
      <c r="E188" s="84">
        <f>VLOOKUP(A188,'2a. SI Pop'!$A$5:$E$198,5,FALSE)</f>
        <v>1</v>
      </c>
      <c r="F188" s="84">
        <v>2032</v>
      </c>
      <c r="G188" s="3">
        <f t="shared" si="110"/>
        <v>0</v>
      </c>
      <c r="H188" s="3">
        <f t="shared" si="110"/>
        <v>0</v>
      </c>
      <c r="I188" s="3">
        <f t="shared" si="110"/>
        <v>0.05</v>
      </c>
      <c r="J188" s="3">
        <f t="shared" si="110"/>
        <v>0.05</v>
      </c>
      <c r="K188" s="3">
        <f t="shared" si="110"/>
        <v>0.05</v>
      </c>
      <c r="L188" s="3">
        <f t="shared" si="110"/>
        <v>0.05</v>
      </c>
      <c r="M188" s="3">
        <f t="shared" si="110"/>
        <v>0.05</v>
      </c>
      <c r="N188" s="3">
        <f t="shared" si="110"/>
        <v>0.05</v>
      </c>
      <c r="O188" s="3">
        <f t="shared" si="110"/>
        <v>0.05</v>
      </c>
      <c r="P188" s="3">
        <f t="shared" si="110"/>
        <v>0.05</v>
      </c>
      <c r="Q188" s="3">
        <f t="shared" si="110"/>
        <v>0.05</v>
      </c>
      <c r="R188" s="76"/>
      <c r="S188" s="76"/>
      <c r="T188" s="76"/>
      <c r="U188" s="76"/>
      <c r="V188" s="76"/>
      <c r="W188" s="76"/>
    </row>
    <row r="189" spans="1:23">
      <c r="A189" s="84" t="s">
        <v>451</v>
      </c>
      <c r="B189" s="85" t="s">
        <v>450</v>
      </c>
      <c r="C189" s="85" t="s">
        <v>79</v>
      </c>
      <c r="D189" s="84" t="s">
        <v>87</v>
      </c>
      <c r="E189" s="84">
        <f>VLOOKUP(A189,'2a. SI Pop'!$A$5:$E$198,5,FALSE)</f>
        <v>1</v>
      </c>
      <c r="F189" s="84">
        <v>2030</v>
      </c>
      <c r="G189" s="3">
        <f t="shared" si="110"/>
        <v>0.05</v>
      </c>
      <c r="H189" s="3">
        <f t="shared" si="110"/>
        <v>0.05</v>
      </c>
      <c r="I189" s="3">
        <f t="shared" si="110"/>
        <v>0.05</v>
      </c>
      <c r="J189" s="3">
        <f t="shared" si="110"/>
        <v>0.05</v>
      </c>
      <c r="K189" s="3">
        <f t="shared" si="110"/>
        <v>0.05</v>
      </c>
      <c r="L189" s="3">
        <f t="shared" si="110"/>
        <v>0.05</v>
      </c>
      <c r="M189" s="3">
        <f t="shared" si="110"/>
        <v>0.05</v>
      </c>
      <c r="N189" s="3">
        <f t="shared" si="110"/>
        <v>0.05</v>
      </c>
      <c r="O189" s="3">
        <f t="shared" si="110"/>
        <v>0.05</v>
      </c>
      <c r="P189" s="3">
        <f t="shared" si="110"/>
        <v>0.05</v>
      </c>
      <c r="Q189" s="3">
        <f t="shared" si="110"/>
        <v>0.05</v>
      </c>
      <c r="R189" s="76"/>
      <c r="S189" s="76"/>
      <c r="T189" s="76"/>
      <c r="U189" s="76"/>
      <c r="V189" s="76"/>
      <c r="W189" s="76"/>
    </row>
    <row r="190" spans="1:23">
      <c r="A190" s="84" t="s">
        <v>453</v>
      </c>
      <c r="B190" s="85" t="s">
        <v>452</v>
      </c>
      <c r="C190" s="85" t="s">
        <v>92</v>
      </c>
      <c r="D190" s="84" t="s">
        <v>87</v>
      </c>
      <c r="E190" s="84" t="str">
        <f>VLOOKUP(A190,'2a. SI Pop'!$A$5:$E$198,5,FALSE)</f>
        <v>Key</v>
      </c>
      <c r="F190" s="84">
        <v>2030</v>
      </c>
      <c r="G190" s="3">
        <f t="shared" si="110"/>
        <v>0.05</v>
      </c>
      <c r="H190" s="3">
        <f t="shared" si="110"/>
        <v>0.05</v>
      </c>
      <c r="I190" s="3">
        <f t="shared" si="110"/>
        <v>0.05</v>
      </c>
      <c r="J190" s="3">
        <f t="shared" si="110"/>
        <v>0.05</v>
      </c>
      <c r="K190" s="3">
        <f t="shared" si="110"/>
        <v>0.05</v>
      </c>
      <c r="L190" s="3">
        <f t="shared" si="110"/>
        <v>0.05</v>
      </c>
      <c r="M190" s="3">
        <f t="shared" si="110"/>
        <v>0.05</v>
      </c>
      <c r="N190" s="3">
        <f t="shared" si="110"/>
        <v>0.05</v>
      </c>
      <c r="O190" s="3">
        <f t="shared" si="110"/>
        <v>0.05</v>
      </c>
      <c r="P190" s="3">
        <f t="shared" si="110"/>
        <v>0.05</v>
      </c>
      <c r="Q190" s="3">
        <f t="shared" si="110"/>
        <v>0.05</v>
      </c>
      <c r="R190" s="76"/>
      <c r="S190" s="76"/>
      <c r="T190" s="76"/>
      <c r="U190" s="76"/>
      <c r="V190" s="76"/>
      <c r="W190" s="76"/>
    </row>
    <row r="191" spans="1:23">
      <c r="A191" s="84" t="s">
        <v>455</v>
      </c>
      <c r="B191" s="85" t="s">
        <v>454</v>
      </c>
      <c r="C191" s="85" t="s">
        <v>92</v>
      </c>
      <c r="D191" s="84" t="s">
        <v>87</v>
      </c>
      <c r="E191" s="84">
        <f>VLOOKUP(A191,'2a. SI Pop'!$A$5:$E$198,5,FALSE)</f>
        <v>1</v>
      </c>
      <c r="F191" s="84">
        <v>2036</v>
      </c>
      <c r="G191" s="3">
        <f t="shared" si="110"/>
        <v>0</v>
      </c>
      <c r="H191" s="3">
        <f t="shared" si="110"/>
        <v>0</v>
      </c>
      <c r="I191" s="3">
        <f t="shared" si="110"/>
        <v>0</v>
      </c>
      <c r="J191" s="3">
        <f t="shared" si="110"/>
        <v>0</v>
      </c>
      <c r="K191" s="3">
        <f t="shared" si="110"/>
        <v>0</v>
      </c>
      <c r="L191" s="3">
        <f t="shared" si="110"/>
        <v>0</v>
      </c>
      <c r="M191" s="3">
        <f t="shared" si="110"/>
        <v>0.05</v>
      </c>
      <c r="N191" s="3">
        <f t="shared" si="110"/>
        <v>0.05</v>
      </c>
      <c r="O191" s="3">
        <f t="shared" si="110"/>
        <v>0.05</v>
      </c>
      <c r="P191" s="3">
        <f t="shared" si="110"/>
        <v>0.05</v>
      </c>
      <c r="Q191" s="3">
        <f t="shared" si="110"/>
        <v>0.05</v>
      </c>
      <c r="R191" s="76"/>
      <c r="S191" s="76"/>
      <c r="T191" s="76"/>
      <c r="U191" s="76"/>
      <c r="V191" s="76"/>
      <c r="W191" s="76"/>
    </row>
    <row r="192" spans="1:23">
      <c r="A192" s="84" t="s">
        <v>457</v>
      </c>
      <c r="B192" s="85" t="s">
        <v>456</v>
      </c>
      <c r="C192" s="85" t="s">
        <v>79</v>
      </c>
      <c r="D192" s="84" t="s">
        <v>84</v>
      </c>
      <c r="E192" s="84">
        <f>VLOOKUP(A192,'2a. SI Pop'!$A$5:$E$198,5,FALSE)</f>
        <v>2</v>
      </c>
      <c r="F192" s="84">
        <v>2039</v>
      </c>
      <c r="G192" s="3">
        <f t="shared" ref="G192:Q192" si="111">IF($F192&lt;=G$4,30%,0)</f>
        <v>0</v>
      </c>
      <c r="H192" s="3">
        <f t="shared" si="111"/>
        <v>0</v>
      </c>
      <c r="I192" s="3">
        <f t="shared" si="111"/>
        <v>0</v>
      </c>
      <c r="J192" s="3">
        <f t="shared" si="111"/>
        <v>0</v>
      </c>
      <c r="K192" s="3">
        <f t="shared" si="111"/>
        <v>0</v>
      </c>
      <c r="L192" s="3">
        <f t="shared" si="111"/>
        <v>0</v>
      </c>
      <c r="M192" s="3">
        <f t="shared" si="111"/>
        <v>0</v>
      </c>
      <c r="N192" s="3">
        <f t="shared" si="111"/>
        <v>0</v>
      </c>
      <c r="O192" s="3">
        <f t="shared" si="111"/>
        <v>0</v>
      </c>
      <c r="P192" s="3">
        <f t="shared" si="111"/>
        <v>0.3</v>
      </c>
      <c r="Q192" s="3">
        <f t="shared" si="111"/>
        <v>0.3</v>
      </c>
      <c r="R192" s="76"/>
      <c r="S192" s="76"/>
      <c r="T192" s="76"/>
      <c r="U192" s="76"/>
      <c r="V192" s="76"/>
      <c r="W192" s="76"/>
    </row>
    <row r="193" spans="1:23">
      <c r="A193" s="84" t="s">
        <v>459</v>
      </c>
      <c r="B193" s="85" t="s">
        <v>458</v>
      </c>
      <c r="C193" s="85" t="s">
        <v>99</v>
      </c>
      <c r="D193" s="84" t="s">
        <v>84</v>
      </c>
      <c r="E193" s="84">
        <f>VLOOKUP(A193,'2a. SI Pop'!$A$5:$E$198,5,FALSE)</f>
        <v>4</v>
      </c>
      <c r="F193" s="84">
        <v>2041</v>
      </c>
      <c r="G193" s="3">
        <f t="shared" ref="G193:Q193" si="112">IF($F193&lt;=G$4,80%,0)</f>
        <v>0</v>
      </c>
      <c r="H193" s="3">
        <f t="shared" si="112"/>
        <v>0</v>
      </c>
      <c r="I193" s="3">
        <f t="shared" si="112"/>
        <v>0</v>
      </c>
      <c r="J193" s="3">
        <f t="shared" si="112"/>
        <v>0</v>
      </c>
      <c r="K193" s="3">
        <f t="shared" si="112"/>
        <v>0</v>
      </c>
      <c r="L193" s="3">
        <f t="shared" si="112"/>
        <v>0</v>
      </c>
      <c r="M193" s="3">
        <f t="shared" si="112"/>
        <v>0</v>
      </c>
      <c r="N193" s="3">
        <f t="shared" si="112"/>
        <v>0</v>
      </c>
      <c r="O193" s="3">
        <f t="shared" si="112"/>
        <v>0</v>
      </c>
      <c r="P193" s="3">
        <f t="shared" si="112"/>
        <v>0</v>
      </c>
      <c r="Q193" s="3">
        <f t="shared" si="112"/>
        <v>0</v>
      </c>
      <c r="R193" s="76"/>
      <c r="S193" s="76"/>
      <c r="T193" s="76"/>
      <c r="U193" s="76"/>
      <c r="V193" s="76"/>
      <c r="W193" s="76"/>
    </row>
    <row r="194" spans="1:23">
      <c r="A194" s="84" t="s">
        <v>461</v>
      </c>
      <c r="B194" s="85" t="s">
        <v>460</v>
      </c>
      <c r="C194" s="85" t="s">
        <v>92</v>
      </c>
      <c r="D194" s="84" t="s">
        <v>80</v>
      </c>
      <c r="E194" s="84">
        <f>VLOOKUP(A194,'2a. SI Pop'!$A$5:$E$198,5,FALSE)</f>
        <v>1</v>
      </c>
      <c r="F194" s="84">
        <v>2036</v>
      </c>
      <c r="G194" s="3">
        <f t="shared" ref="G194:Q194" si="113">IF($F194&lt;=G$4,5%,0)</f>
        <v>0</v>
      </c>
      <c r="H194" s="3">
        <f t="shared" si="113"/>
        <v>0</v>
      </c>
      <c r="I194" s="3">
        <f t="shared" si="113"/>
        <v>0</v>
      </c>
      <c r="J194" s="3">
        <f t="shared" si="113"/>
        <v>0</v>
      </c>
      <c r="K194" s="3">
        <f t="shared" si="113"/>
        <v>0</v>
      </c>
      <c r="L194" s="3">
        <f t="shared" si="113"/>
        <v>0</v>
      </c>
      <c r="M194" s="3">
        <f t="shared" si="113"/>
        <v>0.05</v>
      </c>
      <c r="N194" s="3">
        <f t="shared" si="113"/>
        <v>0.05</v>
      </c>
      <c r="O194" s="3">
        <f t="shared" si="113"/>
        <v>0.05</v>
      </c>
      <c r="P194" s="3">
        <f t="shared" si="113"/>
        <v>0.05</v>
      </c>
      <c r="Q194" s="3">
        <f t="shared" si="113"/>
        <v>0.05</v>
      </c>
      <c r="R194" s="76"/>
      <c r="S194" s="76"/>
      <c r="T194" s="76"/>
      <c r="U194" s="76"/>
      <c r="V194" s="76"/>
      <c r="W194" s="76"/>
    </row>
    <row r="195" spans="1:23">
      <c r="A195" s="84" t="s">
        <v>463</v>
      </c>
      <c r="B195" s="85" t="s">
        <v>462</v>
      </c>
      <c r="C195" s="85" t="s">
        <v>99</v>
      </c>
      <c r="D195" s="84" t="s">
        <v>84</v>
      </c>
      <c r="E195" s="84">
        <f>VLOOKUP(A195,'2a. SI Pop'!$A$5:$E$198,5,FALSE)</f>
        <v>4</v>
      </c>
      <c r="F195" s="84">
        <v>2035</v>
      </c>
      <c r="G195" s="3">
        <f t="shared" ref="G195:Q198" si="114">IF($F195&lt;=G$4,80%,0)</f>
        <v>0</v>
      </c>
      <c r="H195" s="3">
        <f t="shared" si="114"/>
        <v>0</v>
      </c>
      <c r="I195" s="3">
        <f t="shared" si="114"/>
        <v>0</v>
      </c>
      <c r="J195" s="3">
        <f t="shared" si="114"/>
        <v>0</v>
      </c>
      <c r="K195" s="3">
        <f t="shared" si="114"/>
        <v>0</v>
      </c>
      <c r="L195" s="3">
        <f t="shared" si="114"/>
        <v>0.8</v>
      </c>
      <c r="M195" s="3">
        <f t="shared" si="114"/>
        <v>0.8</v>
      </c>
      <c r="N195" s="3">
        <f t="shared" si="114"/>
        <v>0.8</v>
      </c>
      <c r="O195" s="3">
        <f t="shared" si="114"/>
        <v>0.8</v>
      </c>
      <c r="P195" s="3">
        <f t="shared" si="114"/>
        <v>0.8</v>
      </c>
      <c r="Q195" s="3">
        <f t="shared" si="114"/>
        <v>0.8</v>
      </c>
      <c r="R195" s="76"/>
      <c r="S195" s="76"/>
      <c r="T195" s="76"/>
      <c r="U195" s="76"/>
      <c r="V195" s="76"/>
      <c r="W195" s="76"/>
    </row>
    <row r="196" spans="1:23">
      <c r="A196" s="84" t="s">
        <v>465</v>
      </c>
      <c r="B196" s="85" t="s">
        <v>464</v>
      </c>
      <c r="C196" s="85" t="s">
        <v>74</v>
      </c>
      <c r="D196" s="84" t="s">
        <v>75</v>
      </c>
      <c r="E196" s="84">
        <f>VLOOKUP(A196,'2a. SI Pop'!$A$5:$E$198,5,FALSE)</f>
        <v>3</v>
      </c>
      <c r="F196" s="84">
        <v>2031</v>
      </c>
      <c r="G196" s="3">
        <f t="shared" si="114"/>
        <v>0</v>
      </c>
      <c r="H196" s="3">
        <f t="shared" si="114"/>
        <v>0.8</v>
      </c>
      <c r="I196" s="3">
        <f t="shared" si="114"/>
        <v>0.8</v>
      </c>
      <c r="J196" s="3">
        <f t="shared" si="114"/>
        <v>0.8</v>
      </c>
      <c r="K196" s="3">
        <f t="shared" si="114"/>
        <v>0.8</v>
      </c>
      <c r="L196" s="3">
        <f t="shared" si="114"/>
        <v>0.8</v>
      </c>
      <c r="M196" s="3">
        <f t="shared" si="114"/>
        <v>0.8</v>
      </c>
      <c r="N196" s="3">
        <f t="shared" si="114"/>
        <v>0.8</v>
      </c>
      <c r="O196" s="3">
        <f t="shared" si="114"/>
        <v>0.8</v>
      </c>
      <c r="P196" s="3">
        <f t="shared" si="114"/>
        <v>0.8</v>
      </c>
      <c r="Q196" s="3">
        <f t="shared" si="114"/>
        <v>0.8</v>
      </c>
      <c r="R196" s="76"/>
      <c r="S196" s="76"/>
      <c r="T196" s="76"/>
      <c r="U196" s="76"/>
      <c r="V196" s="76"/>
      <c r="W196" s="76"/>
    </row>
    <row r="197" spans="1:23">
      <c r="A197" s="84" t="s">
        <v>467</v>
      </c>
      <c r="B197" s="85" t="s">
        <v>466</v>
      </c>
      <c r="C197" s="85" t="s">
        <v>83</v>
      </c>
      <c r="D197" s="84" t="s">
        <v>84</v>
      </c>
      <c r="E197" s="84">
        <f>VLOOKUP(A197,'2a. SI Pop'!$A$5:$E$198,5,FALSE)</f>
        <v>3</v>
      </c>
      <c r="F197" s="84">
        <v>2033</v>
      </c>
      <c r="G197" s="3">
        <f t="shared" si="114"/>
        <v>0</v>
      </c>
      <c r="H197" s="3">
        <f t="shared" si="114"/>
        <v>0</v>
      </c>
      <c r="I197" s="3">
        <f t="shared" si="114"/>
        <v>0</v>
      </c>
      <c r="J197" s="3">
        <f t="shared" si="114"/>
        <v>0.8</v>
      </c>
      <c r="K197" s="3">
        <f t="shared" si="114"/>
        <v>0.8</v>
      </c>
      <c r="L197" s="3">
        <f t="shared" si="114"/>
        <v>0.8</v>
      </c>
      <c r="M197" s="3">
        <f t="shared" si="114"/>
        <v>0.8</v>
      </c>
      <c r="N197" s="3">
        <f t="shared" si="114"/>
        <v>0.8</v>
      </c>
      <c r="O197" s="3">
        <f t="shared" si="114"/>
        <v>0.8</v>
      </c>
      <c r="P197" s="3">
        <f t="shared" si="114"/>
        <v>0.8</v>
      </c>
      <c r="Q197" s="3">
        <f t="shared" si="114"/>
        <v>0.8</v>
      </c>
      <c r="R197" s="76"/>
      <c r="S197" s="76"/>
      <c r="T197" s="76"/>
      <c r="U197" s="76"/>
      <c r="V197" s="76"/>
      <c r="W197" s="76"/>
    </row>
    <row r="198" spans="1:23">
      <c r="A198" s="84" t="s">
        <v>469</v>
      </c>
      <c r="B198" s="85" t="s">
        <v>468</v>
      </c>
      <c r="C198" s="85" t="s">
        <v>83</v>
      </c>
      <c r="D198" s="84" t="s">
        <v>84</v>
      </c>
      <c r="E198" s="84">
        <f>VLOOKUP(A198,'2a. SI Pop'!$A$5:$E$198,5,FALSE)</f>
        <v>3</v>
      </c>
      <c r="F198" s="84">
        <v>2037</v>
      </c>
      <c r="G198" s="3">
        <f t="shared" si="114"/>
        <v>0</v>
      </c>
      <c r="H198" s="3">
        <f t="shared" si="114"/>
        <v>0</v>
      </c>
      <c r="I198" s="3">
        <f t="shared" si="114"/>
        <v>0</v>
      </c>
      <c r="J198" s="3">
        <f t="shared" si="114"/>
        <v>0</v>
      </c>
      <c r="K198" s="3">
        <f t="shared" si="114"/>
        <v>0</v>
      </c>
      <c r="L198" s="3">
        <f t="shared" si="114"/>
        <v>0</v>
      </c>
      <c r="M198" s="3">
        <f t="shared" si="114"/>
        <v>0</v>
      </c>
      <c r="N198" s="3">
        <f t="shared" si="114"/>
        <v>0.8</v>
      </c>
      <c r="O198" s="3">
        <f t="shared" si="114"/>
        <v>0.8</v>
      </c>
      <c r="P198" s="3">
        <f t="shared" si="114"/>
        <v>0.8</v>
      </c>
      <c r="Q198" s="3">
        <f t="shared" si="114"/>
        <v>0.8</v>
      </c>
      <c r="R198" s="76"/>
      <c r="S198" s="76"/>
      <c r="T198" s="76"/>
      <c r="U198" s="76"/>
      <c r="V198" s="76"/>
      <c r="W198" s="76"/>
    </row>
  </sheetData>
  <autoFilter ref="A4:Q198" xr:uid="{1BE26F4C-1587-7C4D-887A-C69327E2A753}"/>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EC793-2F8D-6A45-AD94-DF3241C17810}">
  <sheetPr>
    <tabColor theme="5" tint="0.39997558519241921"/>
  </sheetPr>
  <dimension ref="A1:W198"/>
  <sheetViews>
    <sheetView zoomScale="85" zoomScaleNormal="85" workbookViewId="0">
      <selection activeCell="J22" sqref="J22"/>
    </sheetView>
  </sheetViews>
  <sheetFormatPr defaultColWidth="10.85546875" defaultRowHeight="15"/>
  <cols>
    <col min="2" max="2" width="11.140625" customWidth="1"/>
    <col min="7" max="17" width="13.7109375" bestFit="1" customWidth="1"/>
  </cols>
  <sheetData>
    <row r="1" spans="1:23">
      <c r="A1" t="s">
        <v>470</v>
      </c>
      <c r="B1" t="s">
        <v>559</v>
      </c>
    </row>
    <row r="2" spans="1:23">
      <c r="A2" t="s">
        <v>471</v>
      </c>
      <c r="B2" t="s">
        <v>560</v>
      </c>
    </row>
    <row r="4" spans="1:23" s="88" customFormat="1">
      <c r="A4" s="86" t="s">
        <v>473</v>
      </c>
      <c r="B4" s="87" t="s">
        <v>64</v>
      </c>
      <c r="C4" s="86" t="s">
        <v>66</v>
      </c>
      <c r="D4" s="86" t="s">
        <v>67</v>
      </c>
      <c r="E4" s="86" t="s">
        <v>68</v>
      </c>
      <c r="F4" s="100" t="s">
        <v>561</v>
      </c>
      <c r="G4" s="100" t="s">
        <v>562</v>
      </c>
      <c r="H4" s="100" t="s">
        <v>563</v>
      </c>
      <c r="I4" s="100" t="s">
        <v>564</v>
      </c>
      <c r="J4" s="100" t="s">
        <v>565</v>
      </c>
    </row>
    <row r="5" spans="1:23">
      <c r="A5" s="84" t="s">
        <v>73</v>
      </c>
      <c r="B5" s="85" t="s">
        <v>72</v>
      </c>
      <c r="C5" s="85" t="s">
        <v>74</v>
      </c>
      <c r="D5" s="84" t="s">
        <v>75</v>
      </c>
      <c r="E5" s="84" t="str">
        <f>VLOOKUP(A5,'2a. SI Pop'!$A$5:$E$198,5,FALSE)</f>
        <v>Key</v>
      </c>
      <c r="F5" s="84">
        <v>2004</v>
      </c>
      <c r="G5" s="84" t="s">
        <v>566</v>
      </c>
      <c r="H5" s="84">
        <v>2014</v>
      </c>
      <c r="I5" s="84">
        <v>2018</v>
      </c>
      <c r="J5" s="84" t="s">
        <v>566</v>
      </c>
      <c r="K5" s="3"/>
      <c r="L5" s="3"/>
      <c r="M5" s="3"/>
      <c r="N5" s="3"/>
      <c r="O5" s="3"/>
      <c r="P5" s="3"/>
      <c r="Q5" s="3"/>
      <c r="R5" s="76"/>
      <c r="S5" s="76"/>
      <c r="T5" s="76"/>
      <c r="U5" s="76"/>
      <c r="V5" s="76"/>
      <c r="W5" s="76"/>
    </row>
    <row r="6" spans="1:23">
      <c r="A6" s="84" t="s">
        <v>78</v>
      </c>
      <c r="B6" s="85" t="s">
        <v>77</v>
      </c>
      <c r="C6" s="85" t="s">
        <v>79</v>
      </c>
      <c r="D6" s="84" t="s">
        <v>80</v>
      </c>
      <c r="E6" s="84">
        <f>VLOOKUP(A6,'2a. SI Pop'!$A$5:$E$198,5,FALSE)</f>
        <v>1</v>
      </c>
      <c r="F6" s="84">
        <v>2001</v>
      </c>
      <c r="G6" s="84">
        <v>2001</v>
      </c>
      <c r="H6" s="84">
        <v>2011</v>
      </c>
      <c r="I6" s="84">
        <v>2019</v>
      </c>
      <c r="J6" s="84" t="s">
        <v>566</v>
      </c>
      <c r="K6" s="3"/>
      <c r="L6" s="3"/>
      <c r="M6" s="3"/>
      <c r="N6" s="3"/>
      <c r="O6" s="3"/>
      <c r="P6" s="3"/>
      <c r="Q6" s="3"/>
      <c r="R6" s="76"/>
      <c r="S6" s="76"/>
      <c r="T6" s="76"/>
      <c r="U6" s="76"/>
      <c r="V6" s="76"/>
      <c r="W6" s="76"/>
    </row>
    <row r="7" spans="1:23">
      <c r="A7" s="84" t="s">
        <v>82</v>
      </c>
      <c r="B7" s="85" t="s">
        <v>81</v>
      </c>
      <c r="C7" s="85" t="s">
        <v>83</v>
      </c>
      <c r="D7" s="84" t="s">
        <v>84</v>
      </c>
      <c r="E7" s="84">
        <f>VLOOKUP(A7,'2a. SI Pop'!$A$5:$E$198,5,FALSE)</f>
        <v>2</v>
      </c>
      <c r="F7" s="84">
        <v>1997</v>
      </c>
      <c r="G7" s="84">
        <v>2014</v>
      </c>
      <c r="H7" s="84">
        <v>2016</v>
      </c>
      <c r="I7" s="84" t="s">
        <v>566</v>
      </c>
      <c r="J7" s="84" t="s">
        <v>566</v>
      </c>
      <c r="K7" s="3"/>
      <c r="L7" s="3"/>
      <c r="M7" s="3"/>
      <c r="N7" s="3"/>
      <c r="O7" s="3"/>
      <c r="P7" s="3"/>
      <c r="Q7" s="3"/>
      <c r="R7" s="76"/>
      <c r="S7" s="76"/>
      <c r="T7" s="76"/>
      <c r="U7" s="76"/>
      <c r="V7" s="76"/>
      <c r="W7" s="76"/>
    </row>
    <row r="8" spans="1:23">
      <c r="A8" s="84" t="s">
        <v>86</v>
      </c>
      <c r="B8" s="85" t="s">
        <v>85</v>
      </c>
      <c r="C8" s="85" t="s">
        <v>79</v>
      </c>
      <c r="D8" s="84" t="s">
        <v>87</v>
      </c>
      <c r="E8" s="84">
        <f>VLOOKUP(A8,'2a. SI Pop'!$A$5:$E$198,5,FALSE)</f>
        <v>1</v>
      </c>
      <c r="F8" s="84">
        <v>1991</v>
      </c>
      <c r="G8" s="84">
        <v>1988</v>
      </c>
      <c r="H8" s="84">
        <v>2007</v>
      </c>
      <c r="I8" s="84" t="s">
        <v>566</v>
      </c>
      <c r="J8" s="84">
        <v>2014</v>
      </c>
      <c r="K8" s="3"/>
      <c r="L8" s="3"/>
      <c r="M8" s="3"/>
      <c r="N8" s="3"/>
      <c r="O8" s="3"/>
      <c r="P8" s="3"/>
      <c r="Q8" s="3"/>
      <c r="R8" s="76"/>
      <c r="S8" s="76"/>
      <c r="T8" s="76"/>
      <c r="U8" s="76"/>
      <c r="V8" s="76"/>
      <c r="W8" s="76"/>
    </row>
    <row r="9" spans="1:23">
      <c r="A9" s="84" t="s">
        <v>89</v>
      </c>
      <c r="B9" s="85" t="s">
        <v>88</v>
      </c>
      <c r="C9" s="85" t="s">
        <v>83</v>
      </c>
      <c r="D9" s="84" t="s">
        <v>84</v>
      </c>
      <c r="E9" s="84">
        <f>VLOOKUP(A9,'2a. SI Pop'!$A$5:$E$198,5,FALSE)</f>
        <v>3</v>
      </c>
      <c r="F9" s="84">
        <v>2015</v>
      </c>
      <c r="G9" s="84">
        <v>2018</v>
      </c>
      <c r="H9" s="84">
        <v>2013</v>
      </c>
      <c r="I9" s="84">
        <v>2014</v>
      </c>
      <c r="J9" s="84" t="s">
        <v>566</v>
      </c>
      <c r="K9" s="3"/>
      <c r="L9" s="3"/>
      <c r="M9" s="3"/>
      <c r="N9" s="3"/>
      <c r="O9" s="3"/>
      <c r="P9" s="3"/>
      <c r="Q9" s="3"/>
      <c r="R9" s="76"/>
      <c r="S9" s="76"/>
      <c r="T9" s="76"/>
      <c r="U9" s="76"/>
      <c r="V9" s="76"/>
      <c r="W9" s="76"/>
    </row>
    <row r="10" spans="1:23">
      <c r="A10" s="84" t="s">
        <v>91</v>
      </c>
      <c r="B10" s="85" t="s">
        <v>90</v>
      </c>
      <c r="C10" s="85" t="s">
        <v>92</v>
      </c>
      <c r="D10" s="84" t="s">
        <v>87</v>
      </c>
      <c r="E10" s="84">
        <f>VLOOKUP(A10,'2a. SI Pop'!$A$5:$E$198,5,FALSE)</f>
        <v>1</v>
      </c>
      <c r="F10" s="84">
        <v>1997</v>
      </c>
      <c r="G10" s="84">
        <v>1988</v>
      </c>
      <c r="H10" s="84" t="s">
        <v>566</v>
      </c>
      <c r="I10" s="84" t="s">
        <v>566</v>
      </c>
      <c r="J10" s="84">
        <v>2018</v>
      </c>
      <c r="K10" s="3"/>
      <c r="L10" s="3"/>
      <c r="M10" s="3"/>
      <c r="N10" s="3"/>
      <c r="O10" s="3"/>
      <c r="P10" s="3"/>
      <c r="Q10" s="3"/>
      <c r="R10" s="76"/>
      <c r="S10" s="76"/>
      <c r="T10" s="76"/>
      <c r="U10" s="76"/>
      <c r="V10" s="76"/>
      <c r="W10" s="76"/>
    </row>
    <row r="11" spans="1:23">
      <c r="A11" s="84" t="s">
        <v>94</v>
      </c>
      <c r="B11" s="85" t="s">
        <v>93</v>
      </c>
      <c r="C11" s="85" t="s">
        <v>92</v>
      </c>
      <c r="D11" s="84" t="s">
        <v>80</v>
      </c>
      <c r="E11" s="84">
        <f>VLOOKUP(A11,'2a. SI Pop'!$A$5:$E$198,5,FALSE)</f>
        <v>1</v>
      </c>
      <c r="F11" s="84">
        <v>1998</v>
      </c>
      <c r="G11" s="84">
        <v>1998</v>
      </c>
      <c r="H11" s="84">
        <v>2012</v>
      </c>
      <c r="I11" s="84">
        <v>2015</v>
      </c>
      <c r="J11" s="84">
        <v>2011</v>
      </c>
      <c r="K11" s="3"/>
      <c r="L11" s="3"/>
      <c r="M11" s="3"/>
      <c r="N11" s="3"/>
      <c r="O11" s="3"/>
      <c r="P11" s="3"/>
      <c r="Q11" s="3"/>
      <c r="R11" s="76"/>
      <c r="S11" s="76"/>
      <c r="T11" s="76"/>
      <c r="U11" s="76"/>
      <c r="V11" s="76"/>
      <c r="W11" s="76"/>
    </row>
    <row r="12" spans="1:23">
      <c r="A12" s="84" t="s">
        <v>96</v>
      </c>
      <c r="B12" s="85" t="s">
        <v>95</v>
      </c>
      <c r="C12" s="85" t="s">
        <v>79</v>
      </c>
      <c r="D12" s="84" t="s">
        <v>80</v>
      </c>
      <c r="E12" s="84">
        <f>VLOOKUP(A12,'2a. SI Pop'!$A$5:$E$198,5,FALSE)</f>
        <v>1</v>
      </c>
      <c r="F12" s="84">
        <v>1986</v>
      </c>
      <c r="G12" s="84">
        <v>2002</v>
      </c>
      <c r="H12" s="84">
        <v>2014</v>
      </c>
      <c r="I12" s="84">
        <v>2012</v>
      </c>
      <c r="J12" s="84">
        <v>2017</v>
      </c>
      <c r="K12" s="3"/>
      <c r="L12" s="3"/>
      <c r="M12" s="3"/>
      <c r="N12" s="3"/>
      <c r="O12" s="3"/>
      <c r="P12" s="3"/>
      <c r="Q12" s="3"/>
      <c r="R12" s="76"/>
      <c r="S12" s="76"/>
      <c r="T12" s="76"/>
      <c r="U12" s="76"/>
      <c r="V12" s="76"/>
      <c r="W12" s="76"/>
    </row>
    <row r="13" spans="1:23">
      <c r="A13" s="84" t="s">
        <v>98</v>
      </c>
      <c r="B13" s="85" t="s">
        <v>97</v>
      </c>
      <c r="C13" s="85" t="s">
        <v>99</v>
      </c>
      <c r="D13" s="84" t="s">
        <v>87</v>
      </c>
      <c r="E13" s="84">
        <f>VLOOKUP(A13,'2a. SI Pop'!$A$5:$E$198,5,FALSE)</f>
        <v>1</v>
      </c>
      <c r="F13" s="84">
        <v>1994</v>
      </c>
      <c r="G13" s="84">
        <v>1989</v>
      </c>
      <c r="H13" s="84">
        <v>2005</v>
      </c>
      <c r="I13" s="84">
        <v>2007</v>
      </c>
      <c r="J13" s="84">
        <v>2007</v>
      </c>
      <c r="K13" s="3"/>
      <c r="L13" s="3"/>
      <c r="M13" s="3"/>
      <c r="N13" s="3"/>
      <c r="O13" s="3"/>
      <c r="P13" s="3"/>
      <c r="Q13" s="3"/>
      <c r="R13" s="76"/>
      <c r="S13" s="76"/>
      <c r="T13" s="76"/>
      <c r="U13" s="76"/>
      <c r="V13" s="76"/>
      <c r="W13" s="76"/>
    </row>
    <row r="14" spans="1:23">
      <c r="A14" s="84" t="s">
        <v>101</v>
      </c>
      <c r="B14" s="85" t="s">
        <v>100</v>
      </c>
      <c r="C14" s="85" t="s">
        <v>79</v>
      </c>
      <c r="D14" s="84" t="s">
        <v>87</v>
      </c>
      <c r="E14" s="84">
        <f>VLOOKUP(A14,'2a. SI Pop'!$A$5:$E$198,5,FALSE)</f>
        <v>1</v>
      </c>
      <c r="F14" s="84">
        <v>1994</v>
      </c>
      <c r="G14" s="84">
        <v>1972</v>
      </c>
      <c r="H14" s="84">
        <v>2014</v>
      </c>
      <c r="I14" s="84">
        <v>2006</v>
      </c>
      <c r="J14" s="84">
        <v>2014</v>
      </c>
      <c r="K14" s="3"/>
      <c r="L14" s="3"/>
      <c r="M14" s="3"/>
      <c r="N14" s="3"/>
      <c r="O14" s="3"/>
      <c r="P14" s="3"/>
      <c r="Q14" s="3"/>
      <c r="R14" s="76"/>
      <c r="S14" s="76"/>
      <c r="T14" s="76"/>
      <c r="U14" s="76"/>
      <c r="V14" s="76"/>
      <c r="W14" s="76"/>
    </row>
    <row r="15" spans="1:23">
      <c r="A15" s="84" t="s">
        <v>103</v>
      </c>
      <c r="B15" s="85" t="s">
        <v>102</v>
      </c>
      <c r="C15" s="85" t="s">
        <v>79</v>
      </c>
      <c r="D15" s="84" t="s">
        <v>80</v>
      </c>
      <c r="E15" s="84">
        <f>VLOOKUP(A15,'2a. SI Pop'!$A$5:$E$198,5,FALSE)</f>
        <v>1</v>
      </c>
      <c r="F15" s="84">
        <v>2001</v>
      </c>
      <c r="G15" s="84">
        <v>2003</v>
      </c>
      <c r="H15" s="84">
        <v>2013</v>
      </c>
      <c r="I15" s="84" t="s">
        <v>566</v>
      </c>
      <c r="J15" s="84" t="s">
        <v>566</v>
      </c>
      <c r="K15" s="3"/>
      <c r="L15" s="3"/>
      <c r="M15" s="3"/>
      <c r="N15" s="3"/>
      <c r="O15" s="3"/>
      <c r="P15" s="3"/>
      <c r="Q15" s="3"/>
      <c r="R15" s="76"/>
      <c r="S15" s="76"/>
      <c r="T15" s="76"/>
      <c r="U15" s="76"/>
      <c r="V15" s="76"/>
      <c r="W15" s="76"/>
    </row>
    <row r="16" spans="1:23">
      <c r="A16" s="84" t="s">
        <v>105</v>
      </c>
      <c r="B16" s="85" t="s">
        <v>104</v>
      </c>
      <c r="C16" s="85" t="s">
        <v>92</v>
      </c>
      <c r="D16" s="84" t="s">
        <v>87</v>
      </c>
      <c r="E16" s="84">
        <f>VLOOKUP(A16,'2a. SI Pop'!$A$5:$E$198,5,FALSE)</f>
        <v>1</v>
      </c>
      <c r="F16" s="84">
        <v>2001</v>
      </c>
      <c r="G16" s="84">
        <v>1991</v>
      </c>
      <c r="H16" s="84">
        <v>2009</v>
      </c>
      <c r="I16" s="84">
        <v>2017</v>
      </c>
      <c r="J16" s="84">
        <v>2015</v>
      </c>
      <c r="K16" s="3"/>
      <c r="L16" s="3"/>
      <c r="M16" s="3"/>
      <c r="N16" s="3"/>
      <c r="O16" s="3"/>
      <c r="P16" s="3"/>
      <c r="Q16" s="3"/>
      <c r="R16" s="76"/>
      <c r="S16" s="76"/>
      <c r="T16" s="76"/>
      <c r="U16" s="76"/>
      <c r="V16" s="76"/>
      <c r="W16" s="76"/>
    </row>
    <row r="17" spans="1:23">
      <c r="A17" s="84" t="s">
        <v>107</v>
      </c>
      <c r="B17" s="85" t="s">
        <v>106</v>
      </c>
      <c r="C17" s="85" t="s">
        <v>74</v>
      </c>
      <c r="D17" s="84" t="s">
        <v>87</v>
      </c>
      <c r="E17" s="84">
        <f>VLOOKUP(A17,'2a. SI Pop'!$A$5:$E$198,5,FALSE)</f>
        <v>1</v>
      </c>
      <c r="F17" s="84">
        <v>1995</v>
      </c>
      <c r="G17" s="84">
        <v>1985</v>
      </c>
      <c r="H17" s="84">
        <v>2008</v>
      </c>
      <c r="I17" s="84">
        <v>2008</v>
      </c>
      <c r="J17" s="84" t="s">
        <v>566</v>
      </c>
      <c r="K17" s="3"/>
      <c r="L17" s="3"/>
      <c r="M17" s="3"/>
      <c r="N17" s="3"/>
      <c r="O17" s="3"/>
      <c r="P17" s="3"/>
      <c r="Q17" s="3"/>
      <c r="R17" s="76"/>
      <c r="S17" s="76"/>
      <c r="T17" s="76"/>
      <c r="U17" s="76"/>
      <c r="V17" s="76"/>
      <c r="W17" s="76"/>
    </row>
    <row r="18" spans="1:23">
      <c r="A18" s="84" t="s">
        <v>109</v>
      </c>
      <c r="B18" s="85" t="s">
        <v>108</v>
      </c>
      <c r="C18" s="85" t="s">
        <v>110</v>
      </c>
      <c r="D18" s="84" t="s">
        <v>84</v>
      </c>
      <c r="E18" s="84" t="str">
        <f>VLOOKUP(A18,'2a. SI Pop'!$A$5:$E$198,5,FALSE)</f>
        <v>Key</v>
      </c>
      <c r="F18" s="84">
        <v>2012</v>
      </c>
      <c r="G18" s="84">
        <v>2012</v>
      </c>
      <c r="H18" s="84">
        <v>2015</v>
      </c>
      <c r="I18" s="84">
        <v>2021</v>
      </c>
      <c r="J18" s="84">
        <v>2022</v>
      </c>
      <c r="K18" s="3"/>
      <c r="L18" s="3"/>
      <c r="M18" s="3"/>
      <c r="N18" s="3"/>
      <c r="O18" s="3"/>
      <c r="P18" s="3"/>
      <c r="Q18" s="3"/>
      <c r="R18" s="76"/>
      <c r="S18" s="76"/>
      <c r="T18" s="76"/>
      <c r="U18" s="76"/>
      <c r="V18" s="76"/>
      <c r="W18" s="76"/>
    </row>
    <row r="19" spans="1:23">
      <c r="A19" s="84" t="s">
        <v>112</v>
      </c>
      <c r="B19" s="85" t="s">
        <v>111</v>
      </c>
      <c r="C19" s="85" t="s">
        <v>92</v>
      </c>
      <c r="D19" s="84" t="s">
        <v>87</v>
      </c>
      <c r="E19" s="84">
        <f>VLOOKUP(A19,'2a. SI Pop'!$A$5:$E$198,5,FALSE)</f>
        <v>1</v>
      </c>
      <c r="F19" s="84">
        <v>1997</v>
      </c>
      <c r="G19" s="84">
        <v>1982</v>
      </c>
      <c r="H19" s="84">
        <v>2009</v>
      </c>
      <c r="I19" s="84" t="s">
        <v>566</v>
      </c>
      <c r="J19" s="84">
        <v>2014</v>
      </c>
      <c r="K19" s="3"/>
      <c r="L19" s="3"/>
      <c r="M19" s="3"/>
      <c r="N19" s="3"/>
      <c r="O19" s="3"/>
      <c r="P19" s="3"/>
      <c r="Q19" s="3"/>
      <c r="R19" s="76"/>
      <c r="S19" s="76"/>
      <c r="T19" s="76"/>
      <c r="U19" s="76"/>
      <c r="V19" s="76"/>
      <c r="W19" s="76"/>
    </row>
    <row r="20" spans="1:23">
      <c r="A20" s="84" t="s">
        <v>114</v>
      </c>
      <c r="B20" s="85" t="s">
        <v>113</v>
      </c>
      <c r="C20" s="85" t="s">
        <v>79</v>
      </c>
      <c r="D20" s="84" t="s">
        <v>80</v>
      </c>
      <c r="E20" s="84">
        <f>VLOOKUP(A20,'2a. SI Pop'!$A$5:$E$198,5,FALSE)</f>
        <v>2</v>
      </c>
      <c r="F20" s="84">
        <v>1987</v>
      </c>
      <c r="G20" s="84">
        <v>1996</v>
      </c>
      <c r="H20" s="84" t="s">
        <v>566</v>
      </c>
      <c r="I20" s="84" t="s">
        <v>566</v>
      </c>
      <c r="J20" s="84" t="s">
        <v>566</v>
      </c>
      <c r="K20" s="3"/>
      <c r="L20" s="3"/>
      <c r="M20" s="3"/>
      <c r="N20" s="3"/>
      <c r="O20" s="3"/>
      <c r="P20" s="3"/>
      <c r="Q20" s="3"/>
      <c r="R20" s="76"/>
      <c r="S20" s="76"/>
      <c r="T20" s="76"/>
      <c r="U20" s="76"/>
      <c r="V20" s="76"/>
      <c r="W20" s="76"/>
    </row>
    <row r="21" spans="1:23">
      <c r="A21" s="84" t="s">
        <v>116</v>
      </c>
      <c r="B21" s="85" t="s">
        <v>115</v>
      </c>
      <c r="C21" s="85" t="s">
        <v>79</v>
      </c>
      <c r="D21" s="84" t="s">
        <v>87</v>
      </c>
      <c r="E21" s="84">
        <f>VLOOKUP(A21,'2a. SI Pop'!$A$5:$E$198,5,FALSE)</f>
        <v>1</v>
      </c>
      <c r="F21" s="84">
        <v>1994</v>
      </c>
      <c r="G21" s="84">
        <v>1985</v>
      </c>
      <c r="H21" s="84">
        <v>2006</v>
      </c>
      <c r="I21" s="84">
        <v>2007</v>
      </c>
      <c r="J21" s="84">
        <v>2011</v>
      </c>
      <c r="K21" s="3"/>
      <c r="L21" s="3"/>
      <c r="M21" s="3"/>
      <c r="N21" s="3"/>
      <c r="O21" s="3"/>
      <c r="P21" s="3"/>
      <c r="Q21" s="3"/>
      <c r="R21" s="76"/>
      <c r="S21" s="76"/>
      <c r="T21" s="76"/>
      <c r="U21" s="76"/>
      <c r="V21" s="76"/>
      <c r="W21" s="76"/>
    </row>
    <row r="22" spans="1:23">
      <c r="A22" s="84" t="s">
        <v>118</v>
      </c>
      <c r="B22" s="85" t="s">
        <v>117</v>
      </c>
      <c r="C22" s="85" t="s">
        <v>92</v>
      </c>
      <c r="D22" s="84" t="s">
        <v>80</v>
      </c>
      <c r="E22" s="84">
        <f>VLOOKUP(A22,'2a. SI Pop'!$A$5:$E$198,5,FALSE)</f>
        <v>1</v>
      </c>
      <c r="F22" s="84">
        <v>2005</v>
      </c>
      <c r="G22" s="84">
        <v>1996</v>
      </c>
      <c r="H22" s="84" t="s">
        <v>566</v>
      </c>
      <c r="I22" s="84" t="s">
        <v>566</v>
      </c>
      <c r="J22" s="84">
        <v>2016</v>
      </c>
      <c r="K22" s="3"/>
      <c r="L22" s="3"/>
      <c r="M22" s="3"/>
      <c r="N22" s="3"/>
      <c r="O22" s="3"/>
      <c r="P22" s="3"/>
      <c r="Q22" s="3"/>
      <c r="R22" s="76"/>
      <c r="S22" s="76"/>
      <c r="T22" s="76"/>
      <c r="U22" s="76"/>
      <c r="V22" s="76"/>
      <c r="W22" s="76"/>
    </row>
    <row r="23" spans="1:23">
      <c r="A23" s="84" t="s">
        <v>120</v>
      </c>
      <c r="B23" s="85" t="s">
        <v>119</v>
      </c>
      <c r="C23" s="85" t="s">
        <v>83</v>
      </c>
      <c r="D23" s="84" t="s">
        <v>84</v>
      </c>
      <c r="E23" s="84">
        <f>VLOOKUP(A23,'2a. SI Pop'!$A$5:$E$198,5,FALSE)</f>
        <v>3</v>
      </c>
      <c r="F23" s="84">
        <v>2022</v>
      </c>
      <c r="G23" s="84">
        <v>2019</v>
      </c>
      <c r="H23" s="84">
        <v>2011</v>
      </c>
      <c r="I23" s="84">
        <v>2019</v>
      </c>
      <c r="J23" s="84">
        <v>2023</v>
      </c>
      <c r="K23" s="3"/>
      <c r="L23" s="3"/>
      <c r="M23" s="3"/>
      <c r="N23" s="3"/>
      <c r="O23" s="3"/>
      <c r="P23" s="3"/>
      <c r="Q23" s="3"/>
      <c r="R23" s="76"/>
      <c r="S23" s="76"/>
      <c r="T23" s="76"/>
      <c r="U23" s="76"/>
      <c r="V23" s="76"/>
      <c r="W23" s="76"/>
    </row>
    <row r="24" spans="1:23">
      <c r="A24" s="84" t="s">
        <v>122</v>
      </c>
      <c r="B24" s="85" t="s">
        <v>121</v>
      </c>
      <c r="C24" s="85" t="s">
        <v>110</v>
      </c>
      <c r="D24" s="84" t="s">
        <v>84</v>
      </c>
      <c r="E24" s="84">
        <f>VLOOKUP(A24,'2a. SI Pop'!$A$5:$E$198,5,FALSE)</f>
        <v>2</v>
      </c>
      <c r="F24" s="84">
        <v>2006</v>
      </c>
      <c r="G24" s="84">
        <v>2006</v>
      </c>
      <c r="H24" s="84">
        <v>2019</v>
      </c>
      <c r="I24" s="84" t="s">
        <v>566</v>
      </c>
      <c r="J24" s="84">
        <v>2009</v>
      </c>
      <c r="K24" s="3"/>
      <c r="L24" s="3"/>
      <c r="M24" s="3"/>
      <c r="N24" s="3"/>
      <c r="O24" s="3"/>
      <c r="P24" s="3"/>
      <c r="Q24" s="3"/>
      <c r="R24" s="76"/>
      <c r="S24" s="76"/>
      <c r="T24" s="76"/>
      <c r="U24" s="76"/>
      <c r="V24" s="76"/>
      <c r="W24" s="76"/>
    </row>
    <row r="25" spans="1:23">
      <c r="A25" s="84" t="s">
        <v>124</v>
      </c>
      <c r="B25" s="85" t="s">
        <v>123</v>
      </c>
      <c r="C25" s="85" t="s">
        <v>92</v>
      </c>
      <c r="D25" s="84" t="s">
        <v>84</v>
      </c>
      <c r="E25" s="84">
        <f>VLOOKUP(A25,'2a. SI Pop'!$A$5:$E$198,5,FALSE)</f>
        <v>2</v>
      </c>
      <c r="F25" s="84">
        <v>2018</v>
      </c>
      <c r="G25" s="84">
        <v>2000</v>
      </c>
      <c r="H25" s="84">
        <v>2014</v>
      </c>
      <c r="I25" s="84">
        <v>2008</v>
      </c>
      <c r="J25" s="84">
        <v>2017</v>
      </c>
      <c r="K25" s="3"/>
      <c r="L25" s="3"/>
      <c r="M25" s="3"/>
      <c r="N25" s="3"/>
      <c r="O25" s="3"/>
      <c r="P25" s="3"/>
      <c r="Q25" s="3"/>
      <c r="R25" s="76"/>
      <c r="S25" s="76"/>
      <c r="T25" s="76"/>
      <c r="U25" s="76"/>
      <c r="V25" s="76"/>
      <c r="W25" s="76"/>
    </row>
    <row r="26" spans="1:23">
      <c r="A26" s="84" t="s">
        <v>126</v>
      </c>
      <c r="B26" s="85" t="s">
        <v>125</v>
      </c>
      <c r="C26" s="85" t="s">
        <v>79</v>
      </c>
      <c r="D26" s="84" t="s">
        <v>80</v>
      </c>
      <c r="E26" s="84">
        <f>VLOOKUP(A26,'2a. SI Pop'!$A$5:$E$198,5,FALSE)</f>
        <v>1</v>
      </c>
      <c r="F26" s="84">
        <v>1971</v>
      </c>
      <c r="G26" s="84">
        <v>1976</v>
      </c>
      <c r="H26" s="84" t="s">
        <v>566</v>
      </c>
      <c r="I26" s="84" t="s">
        <v>566</v>
      </c>
      <c r="J26" s="84" t="s">
        <v>566</v>
      </c>
      <c r="K26" s="3"/>
      <c r="L26" s="3"/>
      <c r="M26" s="3"/>
      <c r="N26" s="3"/>
      <c r="O26" s="3"/>
      <c r="P26" s="3"/>
      <c r="Q26" s="3"/>
      <c r="R26" s="76"/>
      <c r="S26" s="76"/>
      <c r="T26" s="76"/>
      <c r="U26" s="76"/>
      <c r="V26" s="76"/>
      <c r="W26" s="76"/>
    </row>
    <row r="27" spans="1:23">
      <c r="A27" s="84" t="s">
        <v>128</v>
      </c>
      <c r="B27" s="85" t="s">
        <v>127</v>
      </c>
      <c r="C27" s="85" t="s">
        <v>83</v>
      </c>
      <c r="D27" s="84" t="s">
        <v>80</v>
      </c>
      <c r="E27" s="84">
        <f>VLOOKUP(A27,'2a. SI Pop'!$A$5:$E$198,5,FALSE)</f>
        <v>2</v>
      </c>
      <c r="F27" s="84">
        <v>2011</v>
      </c>
      <c r="G27" s="84">
        <v>2016</v>
      </c>
      <c r="H27" s="84">
        <v>2012</v>
      </c>
      <c r="I27" s="84">
        <v>2012</v>
      </c>
      <c r="J27" s="84">
        <v>2015</v>
      </c>
      <c r="K27" s="3"/>
      <c r="L27" s="3"/>
      <c r="M27" s="3"/>
      <c r="N27" s="3"/>
      <c r="O27" s="3"/>
      <c r="P27" s="3"/>
      <c r="Q27" s="3"/>
      <c r="R27" s="76"/>
      <c r="S27" s="76"/>
      <c r="T27" s="76"/>
      <c r="U27" s="76"/>
      <c r="V27" s="76"/>
      <c r="W27" s="76"/>
    </row>
    <row r="28" spans="1:23">
      <c r="A28" s="84" t="s">
        <v>130</v>
      </c>
      <c r="B28" s="85" t="s">
        <v>129</v>
      </c>
      <c r="C28" s="85" t="s">
        <v>92</v>
      </c>
      <c r="D28" s="84" t="s">
        <v>80</v>
      </c>
      <c r="E28" s="84" t="str">
        <f>VLOOKUP(A28,'2a. SI Pop'!$A$5:$E$198,5,FALSE)</f>
        <v>Key</v>
      </c>
      <c r="F28" s="84">
        <v>2004</v>
      </c>
      <c r="G28" s="84">
        <v>2000</v>
      </c>
      <c r="H28" s="84">
        <v>2010</v>
      </c>
      <c r="I28" s="84">
        <v>2006</v>
      </c>
      <c r="J28" s="84">
        <v>2014</v>
      </c>
      <c r="K28" s="3"/>
      <c r="L28" s="3"/>
      <c r="M28" s="3"/>
      <c r="N28" s="3"/>
      <c r="O28" s="3"/>
      <c r="P28" s="3"/>
      <c r="Q28" s="3"/>
      <c r="R28" s="76"/>
      <c r="S28" s="76"/>
      <c r="T28" s="76"/>
      <c r="U28" s="76"/>
      <c r="V28" s="76"/>
      <c r="W28" s="76"/>
    </row>
    <row r="29" spans="1:23">
      <c r="A29" s="84" t="s">
        <v>132</v>
      </c>
      <c r="B29" s="85" t="s">
        <v>131</v>
      </c>
      <c r="C29" s="85" t="s">
        <v>99</v>
      </c>
      <c r="D29" s="84" t="s">
        <v>87</v>
      </c>
      <c r="E29" s="84">
        <f>VLOOKUP(A29,'2a. SI Pop'!$A$5:$E$198,5,FALSE)</f>
        <v>1</v>
      </c>
      <c r="F29" s="84">
        <v>1988</v>
      </c>
      <c r="G29" s="84">
        <v>1984</v>
      </c>
      <c r="H29" s="84" t="s">
        <v>566</v>
      </c>
      <c r="I29" s="84" t="s">
        <v>566</v>
      </c>
      <c r="J29" s="84">
        <v>2012</v>
      </c>
      <c r="K29" s="3"/>
      <c r="L29" s="3"/>
      <c r="M29" s="3"/>
      <c r="N29" s="3"/>
      <c r="O29" s="3"/>
      <c r="P29" s="3"/>
      <c r="Q29" s="3"/>
      <c r="R29" s="76"/>
      <c r="S29" s="76"/>
      <c r="T29" s="76"/>
      <c r="U29" s="76"/>
      <c r="V29" s="76"/>
      <c r="W29" s="76"/>
    </row>
    <row r="30" spans="1:23">
      <c r="A30" s="84" t="s">
        <v>134</v>
      </c>
      <c r="B30" s="85" t="s">
        <v>133</v>
      </c>
      <c r="C30" s="85" t="s">
        <v>79</v>
      </c>
      <c r="D30" s="84" t="s">
        <v>80</v>
      </c>
      <c r="E30" s="84">
        <f>VLOOKUP(A30,'2a. SI Pop'!$A$5:$E$198,5,FALSE)</f>
        <v>1</v>
      </c>
      <c r="F30" s="84">
        <v>1983</v>
      </c>
      <c r="G30" s="84">
        <v>1992</v>
      </c>
      <c r="H30" s="84">
        <v>2010</v>
      </c>
      <c r="I30" s="84">
        <v>2018</v>
      </c>
      <c r="J30" s="84">
        <v>2017</v>
      </c>
      <c r="K30" s="3"/>
      <c r="L30" s="3"/>
      <c r="M30" s="3"/>
      <c r="N30" s="3"/>
      <c r="O30" s="3"/>
      <c r="P30" s="3"/>
      <c r="Q30" s="3"/>
      <c r="R30" s="76"/>
      <c r="S30" s="76"/>
      <c r="T30" s="76"/>
      <c r="U30" s="76"/>
      <c r="V30" s="76"/>
      <c r="W30" s="76"/>
    </row>
    <row r="31" spans="1:23">
      <c r="A31" s="84" t="s">
        <v>136</v>
      </c>
      <c r="B31" s="85" t="s">
        <v>135</v>
      </c>
      <c r="C31" s="85" t="s">
        <v>83</v>
      </c>
      <c r="D31" s="84" t="s">
        <v>75</v>
      </c>
      <c r="E31" s="84">
        <f>VLOOKUP(A31,'2a. SI Pop'!$A$5:$E$198,5,FALSE)</f>
        <v>3</v>
      </c>
      <c r="F31" s="84">
        <v>2014</v>
      </c>
      <c r="G31" s="84">
        <v>2015</v>
      </c>
      <c r="H31" s="84">
        <v>2013</v>
      </c>
      <c r="I31" s="84">
        <v>2013</v>
      </c>
      <c r="J31" s="84" t="s">
        <v>566</v>
      </c>
      <c r="K31" s="3"/>
      <c r="L31" s="3"/>
      <c r="M31" s="3"/>
      <c r="N31" s="3"/>
      <c r="O31" s="3"/>
      <c r="P31" s="3"/>
      <c r="Q31" s="3"/>
      <c r="R31" s="76"/>
      <c r="S31" s="76"/>
      <c r="T31" s="76"/>
      <c r="U31" s="76"/>
      <c r="V31" s="76"/>
      <c r="W31" s="76"/>
    </row>
    <row r="32" spans="1:23">
      <c r="A32" s="84" t="s">
        <v>138</v>
      </c>
      <c r="B32" s="85" t="s">
        <v>137</v>
      </c>
      <c r="C32" s="85" t="s">
        <v>83</v>
      </c>
      <c r="D32" s="84" t="s">
        <v>75</v>
      </c>
      <c r="E32" s="84">
        <f>VLOOKUP(A32,'2a. SI Pop'!$A$5:$E$198,5,FALSE)</f>
        <v>3</v>
      </c>
      <c r="F32" s="84">
        <v>2013</v>
      </c>
      <c r="G32" s="84">
        <v>2017</v>
      </c>
      <c r="H32" s="84">
        <v>2011</v>
      </c>
      <c r="I32" s="84">
        <v>2013</v>
      </c>
      <c r="J32" s="84" t="s">
        <v>566</v>
      </c>
      <c r="K32" s="3"/>
      <c r="L32" s="3"/>
      <c r="M32" s="3"/>
      <c r="N32" s="3"/>
      <c r="O32" s="3"/>
      <c r="P32" s="3"/>
      <c r="Q32" s="3"/>
      <c r="R32" s="76"/>
      <c r="S32" s="76"/>
      <c r="T32" s="76"/>
      <c r="U32" s="76"/>
      <c r="V32" s="76"/>
      <c r="W32" s="76"/>
    </row>
    <row r="33" spans="1:23">
      <c r="A33" s="84" t="s">
        <v>140</v>
      </c>
      <c r="B33" s="85" t="s">
        <v>139</v>
      </c>
      <c r="C33" s="85" t="s">
        <v>99</v>
      </c>
      <c r="D33" s="84" t="s">
        <v>84</v>
      </c>
      <c r="E33" s="84">
        <f>VLOOKUP(A33,'2a. SI Pop'!$A$5:$E$198,5,FALSE)</f>
        <v>4</v>
      </c>
      <c r="F33" s="84">
        <v>2012</v>
      </c>
      <c r="G33" s="84">
        <v>2013</v>
      </c>
      <c r="H33" s="84">
        <v>2015</v>
      </c>
      <c r="I33" s="84" t="s">
        <v>566</v>
      </c>
      <c r="J33" s="84">
        <v>2022</v>
      </c>
      <c r="K33" s="3"/>
      <c r="L33" s="3"/>
      <c r="M33" s="3"/>
      <c r="N33" s="3"/>
      <c r="O33" s="3"/>
      <c r="P33" s="3"/>
      <c r="Q33" s="3"/>
      <c r="R33" s="76"/>
      <c r="S33" s="76"/>
      <c r="T33" s="76"/>
      <c r="U33" s="76"/>
      <c r="V33" s="76"/>
      <c r="W33" s="76"/>
    </row>
    <row r="34" spans="1:23">
      <c r="A34" s="84" t="s">
        <v>142</v>
      </c>
      <c r="B34" s="85" t="s">
        <v>141</v>
      </c>
      <c r="C34" s="85" t="s">
        <v>83</v>
      </c>
      <c r="D34" s="84" t="s">
        <v>84</v>
      </c>
      <c r="E34" s="84">
        <f>VLOOKUP(A34,'2a. SI Pop'!$A$5:$E$198,5,FALSE)</f>
        <v>3</v>
      </c>
      <c r="F34" s="84">
        <v>2019</v>
      </c>
      <c r="G34" s="84">
        <v>2015</v>
      </c>
      <c r="H34" s="84">
        <v>2011</v>
      </c>
      <c r="I34" s="84">
        <v>2014</v>
      </c>
      <c r="J34" s="84">
        <v>2020</v>
      </c>
      <c r="K34" s="3"/>
      <c r="L34" s="3"/>
      <c r="M34" s="3"/>
      <c r="N34" s="3"/>
      <c r="O34" s="3"/>
      <c r="P34" s="3"/>
      <c r="Q34" s="3"/>
      <c r="R34" s="76"/>
      <c r="S34" s="76"/>
      <c r="T34" s="76"/>
      <c r="U34" s="76"/>
      <c r="V34" s="76"/>
      <c r="W34" s="76"/>
    </row>
    <row r="35" spans="1:23">
      <c r="A35" s="84" t="s">
        <v>144</v>
      </c>
      <c r="B35" s="85" t="s">
        <v>143</v>
      </c>
      <c r="C35" s="85" t="s">
        <v>92</v>
      </c>
      <c r="D35" s="84" t="s">
        <v>87</v>
      </c>
      <c r="E35" s="84">
        <f>VLOOKUP(A35,'2a. SI Pop'!$A$5:$E$198,5,FALSE)</f>
        <v>1</v>
      </c>
      <c r="F35" s="84">
        <v>1997</v>
      </c>
      <c r="G35" s="84">
        <v>1979</v>
      </c>
      <c r="H35" s="84">
        <v>2002</v>
      </c>
      <c r="I35" s="84">
        <v>2017</v>
      </c>
      <c r="J35" s="84">
        <v>2009</v>
      </c>
      <c r="K35" s="3"/>
      <c r="L35" s="3"/>
      <c r="M35" s="3"/>
      <c r="N35" s="3"/>
      <c r="O35" s="3"/>
      <c r="P35" s="3"/>
      <c r="Q35" s="3"/>
      <c r="R35" s="76"/>
      <c r="S35" s="76"/>
      <c r="T35" s="76"/>
      <c r="U35" s="76"/>
      <c r="V35" s="76"/>
      <c r="W35" s="76"/>
    </row>
    <row r="36" spans="1:23">
      <c r="A36" s="84" t="s">
        <v>146</v>
      </c>
      <c r="B36" s="85" t="s">
        <v>145</v>
      </c>
      <c r="C36" s="85" t="s">
        <v>83</v>
      </c>
      <c r="D36" s="84" t="s">
        <v>84</v>
      </c>
      <c r="E36" s="84">
        <f>VLOOKUP(A36,'2a. SI Pop'!$A$5:$E$198,5,FALSE)</f>
        <v>2</v>
      </c>
      <c r="F36" s="84">
        <v>2010</v>
      </c>
      <c r="G36" s="84">
        <v>2010</v>
      </c>
      <c r="H36" s="84" t="s">
        <v>566</v>
      </c>
      <c r="I36" s="84" t="s">
        <v>566</v>
      </c>
      <c r="J36" s="84">
        <v>2021</v>
      </c>
      <c r="K36" s="3"/>
      <c r="L36" s="3"/>
      <c r="M36" s="3"/>
      <c r="N36" s="3"/>
      <c r="O36" s="3"/>
      <c r="P36" s="3"/>
      <c r="Q36" s="3"/>
      <c r="R36" s="76"/>
      <c r="S36" s="76"/>
      <c r="T36" s="76"/>
      <c r="U36" s="76"/>
      <c r="V36" s="76"/>
      <c r="W36" s="76"/>
    </row>
    <row r="37" spans="1:23">
      <c r="A37" s="84" t="s">
        <v>148</v>
      </c>
      <c r="B37" s="85" t="s">
        <v>147</v>
      </c>
      <c r="C37" s="85" t="s">
        <v>83</v>
      </c>
      <c r="D37" s="84" t="s">
        <v>75</v>
      </c>
      <c r="E37" s="84">
        <f>VLOOKUP(A37,'2a. SI Pop'!$A$5:$E$198,5,FALSE)</f>
        <v>3</v>
      </c>
      <c r="F37" s="84">
        <v>2022</v>
      </c>
      <c r="G37" s="84">
        <v>2022</v>
      </c>
      <c r="H37" s="84">
        <v>2011</v>
      </c>
      <c r="I37" s="84">
        <v>2021</v>
      </c>
      <c r="J37" s="84">
        <v>2023</v>
      </c>
      <c r="K37" s="3"/>
      <c r="L37" s="3"/>
      <c r="M37" s="3"/>
      <c r="N37" s="3"/>
      <c r="O37" s="3"/>
      <c r="P37" s="3"/>
      <c r="Q37" s="3"/>
      <c r="R37" s="76"/>
      <c r="S37" s="76"/>
      <c r="T37" s="76"/>
      <c r="U37" s="76"/>
      <c r="V37" s="76"/>
      <c r="W37" s="76"/>
    </row>
    <row r="38" spans="1:23">
      <c r="A38" s="84" t="s">
        <v>150</v>
      </c>
      <c r="B38" s="85" t="s">
        <v>149</v>
      </c>
      <c r="C38" s="85" t="s">
        <v>83</v>
      </c>
      <c r="D38" s="84" t="s">
        <v>75</v>
      </c>
      <c r="E38" s="84" t="str">
        <f>VLOOKUP(A38,'2a. SI Pop'!$A$5:$E$198,5,FALSE)</f>
        <v>Key</v>
      </c>
      <c r="F38" s="84" t="s">
        <v>566</v>
      </c>
      <c r="G38" s="84" t="s">
        <v>566</v>
      </c>
      <c r="H38" s="84" t="s">
        <v>566</v>
      </c>
      <c r="I38" s="84">
        <v>2022</v>
      </c>
      <c r="J38" s="84" t="s">
        <v>566</v>
      </c>
      <c r="K38" s="3"/>
      <c r="L38" s="3"/>
      <c r="M38" s="3"/>
      <c r="N38" s="3"/>
      <c r="O38" s="3"/>
      <c r="P38" s="3"/>
      <c r="Q38" s="3"/>
      <c r="R38" s="76"/>
      <c r="S38" s="76"/>
      <c r="T38" s="76"/>
      <c r="U38" s="76"/>
      <c r="V38" s="76"/>
      <c r="W38" s="76"/>
    </row>
    <row r="39" spans="1:23">
      <c r="A39" s="84" t="s">
        <v>152</v>
      </c>
      <c r="B39" s="85" t="s">
        <v>151</v>
      </c>
      <c r="C39" s="85" t="s">
        <v>92</v>
      </c>
      <c r="D39" s="84" t="s">
        <v>87</v>
      </c>
      <c r="E39" s="84">
        <f>VLOOKUP(A39,'2a. SI Pop'!$A$5:$E$198,5,FALSE)</f>
        <v>2</v>
      </c>
      <c r="F39" s="84">
        <v>1992</v>
      </c>
      <c r="G39" s="84">
        <v>1990</v>
      </c>
      <c r="H39" s="84">
        <v>2011</v>
      </c>
      <c r="I39" s="84" t="s">
        <v>566</v>
      </c>
      <c r="J39" s="84">
        <v>2014</v>
      </c>
      <c r="K39" s="3"/>
      <c r="L39" s="3"/>
      <c r="M39" s="3"/>
      <c r="N39" s="3"/>
      <c r="O39" s="3"/>
      <c r="P39" s="3"/>
      <c r="Q39" s="3"/>
      <c r="R39" s="76"/>
      <c r="S39" s="76"/>
      <c r="T39" s="76"/>
      <c r="U39" s="76"/>
      <c r="V39" s="76"/>
      <c r="W39" s="76"/>
    </row>
    <row r="40" spans="1:23">
      <c r="A40" s="84" t="s">
        <v>154</v>
      </c>
      <c r="B40" s="85" t="s">
        <v>153</v>
      </c>
      <c r="C40" s="85" t="s">
        <v>99</v>
      </c>
      <c r="D40" s="84" t="s">
        <v>80</v>
      </c>
      <c r="E40" s="84">
        <f>VLOOKUP(A40,'2a. SI Pop'!$A$5:$E$198,5,FALSE)</f>
        <v>1</v>
      </c>
      <c r="F40" s="84">
        <v>1986</v>
      </c>
      <c r="G40" s="84">
        <v>2008</v>
      </c>
      <c r="H40" s="84" t="s">
        <v>566</v>
      </c>
      <c r="I40" s="84" t="s">
        <v>566</v>
      </c>
      <c r="J40" s="84" t="s">
        <v>566</v>
      </c>
      <c r="K40" s="3"/>
      <c r="L40" s="3"/>
      <c r="M40" s="3"/>
      <c r="N40" s="3"/>
      <c r="O40" s="3"/>
      <c r="P40" s="3"/>
      <c r="Q40" s="3"/>
      <c r="R40" s="76"/>
      <c r="S40" s="76"/>
      <c r="T40" s="76"/>
      <c r="U40" s="76"/>
      <c r="V40" s="76"/>
      <c r="W40" s="76"/>
    </row>
    <row r="41" spans="1:23">
      <c r="A41" s="84" t="s">
        <v>156</v>
      </c>
      <c r="B41" s="85" t="s">
        <v>155</v>
      </c>
      <c r="C41" s="85" t="s">
        <v>92</v>
      </c>
      <c r="D41" s="84" t="s">
        <v>80</v>
      </c>
      <c r="E41" s="84">
        <f>VLOOKUP(A41,'2a. SI Pop'!$A$5:$E$198,5,FALSE)</f>
        <v>2</v>
      </c>
      <c r="F41" s="84">
        <v>1997</v>
      </c>
      <c r="G41" s="84">
        <v>1995</v>
      </c>
      <c r="H41" s="84">
        <v>2011</v>
      </c>
      <c r="I41" s="84">
        <v>2009</v>
      </c>
      <c r="J41" s="84">
        <v>2012</v>
      </c>
      <c r="K41" s="3"/>
      <c r="L41" s="3"/>
      <c r="M41" s="3"/>
      <c r="N41" s="3"/>
      <c r="O41" s="3"/>
      <c r="P41" s="3"/>
      <c r="Q41" s="3"/>
      <c r="R41" s="76"/>
      <c r="S41" s="76"/>
      <c r="T41" s="76"/>
      <c r="U41" s="76"/>
      <c r="V41" s="76"/>
      <c r="W41" s="76"/>
    </row>
    <row r="42" spans="1:23">
      <c r="A42" s="84" t="s">
        <v>158</v>
      </c>
      <c r="B42" s="85" t="s">
        <v>157</v>
      </c>
      <c r="C42" s="85" t="s">
        <v>83</v>
      </c>
      <c r="D42" s="84" t="s">
        <v>84</v>
      </c>
      <c r="E42" s="84">
        <f>VLOOKUP(A42,'2a. SI Pop'!$A$5:$E$198,5,FALSE)</f>
        <v>3</v>
      </c>
      <c r="F42" s="84">
        <v>2021</v>
      </c>
      <c r="G42" s="84">
        <v>2021</v>
      </c>
      <c r="H42" s="84">
        <v>2022</v>
      </c>
      <c r="I42" s="84" t="s">
        <v>566</v>
      </c>
      <c r="J42" s="84" t="s">
        <v>566</v>
      </c>
      <c r="K42" s="3"/>
      <c r="L42" s="3"/>
      <c r="M42" s="3"/>
      <c r="N42" s="3"/>
      <c r="O42" s="3"/>
      <c r="P42" s="3"/>
      <c r="Q42" s="3"/>
      <c r="R42" s="76"/>
      <c r="S42" s="76"/>
      <c r="T42" s="76"/>
      <c r="U42" s="76"/>
      <c r="V42" s="76"/>
      <c r="W42" s="76"/>
    </row>
    <row r="43" spans="1:23">
      <c r="A43" s="84" t="s">
        <v>160</v>
      </c>
      <c r="B43" s="85" t="s">
        <v>159</v>
      </c>
      <c r="C43" s="85" t="s">
        <v>83</v>
      </c>
      <c r="D43" s="84" t="s">
        <v>84</v>
      </c>
      <c r="E43" s="84">
        <f>VLOOKUP(A43,'2a. SI Pop'!$A$5:$E$198,5,FALSE)</f>
        <v>3</v>
      </c>
      <c r="F43" s="84">
        <v>2019</v>
      </c>
      <c r="G43" s="84">
        <v>2019</v>
      </c>
      <c r="H43" s="84">
        <v>2012</v>
      </c>
      <c r="I43" s="84">
        <v>2014</v>
      </c>
      <c r="J43" s="84" t="s">
        <v>566</v>
      </c>
      <c r="K43" s="3"/>
      <c r="L43" s="3"/>
      <c r="M43" s="3"/>
      <c r="N43" s="3"/>
      <c r="O43" s="3"/>
      <c r="P43" s="3"/>
      <c r="Q43" s="3"/>
      <c r="R43" s="76"/>
      <c r="S43" s="76"/>
      <c r="T43" s="76"/>
      <c r="U43" s="76"/>
      <c r="V43" s="76"/>
      <c r="W43" s="76"/>
    </row>
    <row r="44" spans="1:23">
      <c r="A44" s="84" t="s">
        <v>162</v>
      </c>
      <c r="B44" s="85" t="s">
        <v>161</v>
      </c>
      <c r="C44" s="85" t="s">
        <v>99</v>
      </c>
      <c r="D44" s="84" t="e">
        <v>#N/A</v>
      </c>
      <c r="E44" s="84">
        <f>VLOOKUP(A44,'2a. SI Pop'!$A$5:$E$198,5,FALSE)</f>
        <v>1</v>
      </c>
      <c r="F44" s="84">
        <v>1982</v>
      </c>
      <c r="G44" s="84">
        <v>2006</v>
      </c>
      <c r="H44" s="84" t="s">
        <v>566</v>
      </c>
      <c r="I44" s="84" t="s">
        <v>566</v>
      </c>
      <c r="J44" s="84">
        <v>2011</v>
      </c>
      <c r="K44" s="3"/>
      <c r="L44" s="3"/>
      <c r="M44" s="3"/>
      <c r="N44" s="3"/>
      <c r="O44" s="3"/>
      <c r="P44" s="3"/>
      <c r="Q44" s="3"/>
      <c r="R44" s="76"/>
      <c r="S44" s="76"/>
      <c r="T44" s="76"/>
      <c r="U44" s="76"/>
      <c r="V44" s="76"/>
      <c r="W44" s="76"/>
    </row>
    <row r="45" spans="1:23">
      <c r="A45" s="84" t="s">
        <v>164</v>
      </c>
      <c r="B45" s="85" t="s">
        <v>163</v>
      </c>
      <c r="C45" s="85" t="s">
        <v>92</v>
      </c>
      <c r="D45" s="84" t="s">
        <v>80</v>
      </c>
      <c r="E45" s="84">
        <f>VLOOKUP(A45,'2a. SI Pop'!$A$5:$E$198,5,FALSE)</f>
        <v>2</v>
      </c>
      <c r="F45" s="84">
        <v>1992</v>
      </c>
      <c r="G45" s="84">
        <v>1972</v>
      </c>
      <c r="H45" s="84">
        <v>2008</v>
      </c>
      <c r="I45" s="84">
        <v>2019</v>
      </c>
      <c r="J45" s="84">
        <v>2019</v>
      </c>
      <c r="K45" s="3"/>
      <c r="L45" s="3"/>
      <c r="M45" s="3"/>
      <c r="N45" s="3"/>
      <c r="O45" s="3"/>
      <c r="P45" s="3"/>
      <c r="Q45" s="3"/>
      <c r="R45" s="76"/>
      <c r="S45" s="76"/>
      <c r="T45" s="76"/>
      <c r="U45" s="76"/>
      <c r="V45" s="76"/>
      <c r="W45" s="76"/>
    </row>
    <row r="46" spans="1:23">
      <c r="A46" s="84" t="s">
        <v>166</v>
      </c>
      <c r="B46" s="85" t="s">
        <v>165</v>
      </c>
      <c r="C46" s="85" t="s">
        <v>83</v>
      </c>
      <c r="D46" s="84" t="s">
        <v>84</v>
      </c>
      <c r="E46" s="84">
        <f>VLOOKUP(A46,'2a. SI Pop'!$A$5:$E$198,5,FALSE)</f>
        <v>3</v>
      </c>
      <c r="F46" s="84">
        <v>2021</v>
      </c>
      <c r="G46" s="84">
        <v>2018</v>
      </c>
      <c r="H46" s="84">
        <v>2014</v>
      </c>
      <c r="I46" s="84">
        <v>2017</v>
      </c>
      <c r="J46" s="84">
        <v>2019</v>
      </c>
      <c r="K46" s="3"/>
      <c r="L46" s="3"/>
      <c r="M46" s="3"/>
      <c r="N46" s="3"/>
      <c r="O46" s="3"/>
      <c r="P46" s="3"/>
      <c r="Q46" s="3"/>
      <c r="R46" s="76"/>
      <c r="S46" s="76"/>
      <c r="T46" s="76"/>
      <c r="U46" s="76"/>
      <c r="V46" s="76"/>
      <c r="W46" s="76"/>
    </row>
    <row r="47" spans="1:23">
      <c r="A47" s="84" t="s">
        <v>168</v>
      </c>
      <c r="B47" s="85" t="s">
        <v>167</v>
      </c>
      <c r="C47" s="85" t="s">
        <v>79</v>
      </c>
      <c r="D47" s="84" t="s">
        <v>87</v>
      </c>
      <c r="E47" s="84">
        <f>VLOOKUP(A47,'2a. SI Pop'!$A$5:$E$198,5,FALSE)</f>
        <v>1</v>
      </c>
      <c r="F47" s="84">
        <v>1968</v>
      </c>
      <c r="G47" s="84">
        <v>1975</v>
      </c>
      <c r="H47" s="84">
        <v>2019</v>
      </c>
      <c r="I47" s="84" t="s">
        <v>566</v>
      </c>
      <c r="J47" s="84">
        <v>2016</v>
      </c>
      <c r="K47" s="3"/>
      <c r="L47" s="3"/>
      <c r="M47" s="3"/>
      <c r="N47" s="3"/>
      <c r="O47" s="3"/>
      <c r="P47" s="3"/>
      <c r="Q47" s="3"/>
      <c r="R47" s="76"/>
      <c r="S47" s="76"/>
      <c r="T47" s="76"/>
      <c r="U47" s="76"/>
      <c r="V47" s="76"/>
      <c r="W47" s="76"/>
    </row>
    <row r="48" spans="1:23">
      <c r="A48" s="84" t="s">
        <v>170</v>
      </c>
      <c r="B48" s="85" t="s">
        <v>169</v>
      </c>
      <c r="C48" s="85" t="s">
        <v>92</v>
      </c>
      <c r="D48" s="84" t="s">
        <v>80</v>
      </c>
      <c r="E48" s="84">
        <f>VLOOKUP(A48,'2a. SI Pop'!$A$5:$E$198,5,FALSE)</f>
        <v>1</v>
      </c>
      <c r="F48" s="84">
        <v>2004</v>
      </c>
      <c r="G48" s="84">
        <v>1986</v>
      </c>
      <c r="H48" s="84" t="s">
        <v>566</v>
      </c>
      <c r="I48" s="84" t="s">
        <v>566</v>
      </c>
      <c r="J48" s="84" t="s">
        <v>566</v>
      </c>
      <c r="K48" s="3"/>
      <c r="L48" s="3"/>
      <c r="M48" s="3"/>
      <c r="N48" s="3"/>
      <c r="O48" s="3"/>
      <c r="P48" s="3"/>
      <c r="Q48" s="3"/>
      <c r="R48" s="76"/>
      <c r="S48" s="76"/>
      <c r="T48" s="76"/>
      <c r="U48" s="76"/>
      <c r="V48" s="76"/>
      <c r="W48" s="76"/>
    </row>
    <row r="49" spans="1:23">
      <c r="A49" s="84" t="s">
        <v>172</v>
      </c>
      <c r="B49" s="85" t="s">
        <v>171</v>
      </c>
      <c r="C49" s="85" t="s">
        <v>79</v>
      </c>
      <c r="D49" s="84" t="s">
        <v>87</v>
      </c>
      <c r="E49" s="84">
        <f>VLOOKUP(A49,'2a. SI Pop'!$A$5:$E$198,5,FALSE)</f>
        <v>1</v>
      </c>
      <c r="F49" s="84">
        <v>1989</v>
      </c>
      <c r="G49" s="84">
        <v>1974</v>
      </c>
      <c r="H49" s="84">
        <v>2007</v>
      </c>
      <c r="I49" s="84" t="s">
        <v>566</v>
      </c>
      <c r="J49" s="84">
        <v>2016</v>
      </c>
      <c r="K49" s="3"/>
      <c r="L49" s="3"/>
      <c r="M49" s="3"/>
      <c r="N49" s="3"/>
      <c r="O49" s="3"/>
      <c r="P49" s="3"/>
      <c r="Q49" s="3"/>
      <c r="R49" s="76"/>
      <c r="S49" s="76"/>
      <c r="T49" s="76"/>
      <c r="U49" s="76"/>
      <c r="V49" s="76"/>
      <c r="W49" s="76"/>
    </row>
    <row r="50" spans="1:23">
      <c r="A50" s="84" t="s">
        <v>174</v>
      </c>
      <c r="B50" s="85" t="s">
        <v>173</v>
      </c>
      <c r="C50" s="85" t="s">
        <v>79</v>
      </c>
      <c r="D50" s="84" t="s">
        <v>87</v>
      </c>
      <c r="E50" s="84">
        <f>VLOOKUP(A50,'2a. SI Pop'!$A$5:$E$198,5,FALSE)</f>
        <v>1</v>
      </c>
      <c r="F50" s="84">
        <v>1975</v>
      </c>
      <c r="G50" s="84">
        <v>1982</v>
      </c>
      <c r="H50" s="84" t="s">
        <v>566</v>
      </c>
      <c r="I50" s="84" t="s">
        <v>566</v>
      </c>
      <c r="J50" s="84">
        <v>2012</v>
      </c>
      <c r="K50" s="3"/>
      <c r="L50" s="3"/>
      <c r="M50" s="3"/>
      <c r="N50" s="3"/>
      <c r="O50" s="3"/>
      <c r="P50" s="3"/>
      <c r="Q50" s="3"/>
      <c r="R50" s="76"/>
      <c r="S50" s="76"/>
      <c r="T50" s="76"/>
      <c r="U50" s="76"/>
      <c r="V50" s="76"/>
      <c r="W50" s="76"/>
    </row>
    <row r="51" spans="1:23">
      <c r="A51" s="84" t="s">
        <v>176</v>
      </c>
      <c r="B51" s="85" t="s">
        <v>175</v>
      </c>
      <c r="C51" s="85" t="s">
        <v>110</v>
      </c>
      <c r="D51" s="84" t="s">
        <v>75</v>
      </c>
      <c r="E51" s="84">
        <f>VLOOKUP(A51,'2a. SI Pop'!$A$5:$E$198,5,FALSE)</f>
        <v>4</v>
      </c>
      <c r="F51" s="84">
        <v>2008</v>
      </c>
      <c r="G51" s="84">
        <v>2019</v>
      </c>
      <c r="H51" s="84">
        <v>2023</v>
      </c>
      <c r="I51" s="84" t="s">
        <v>566</v>
      </c>
      <c r="J51" s="84">
        <v>2024</v>
      </c>
      <c r="K51" s="3"/>
      <c r="L51" s="3"/>
      <c r="M51" s="3"/>
      <c r="N51" s="3"/>
      <c r="O51" s="3"/>
      <c r="P51" s="3"/>
      <c r="Q51" s="3"/>
      <c r="R51" s="76"/>
      <c r="S51" s="76"/>
      <c r="T51" s="76"/>
      <c r="U51" s="76"/>
      <c r="V51" s="76"/>
      <c r="W51" s="76"/>
    </row>
    <row r="52" spans="1:23">
      <c r="A52" s="84" t="s">
        <v>178</v>
      </c>
      <c r="B52" s="85" t="s">
        <v>177</v>
      </c>
      <c r="C52" s="85" t="s">
        <v>83</v>
      </c>
      <c r="D52" s="84" t="s">
        <v>75</v>
      </c>
      <c r="E52" s="84" t="str">
        <f>VLOOKUP(A52,'2a. SI Pop'!$A$5:$E$198,5,FALSE)</f>
        <v>Key</v>
      </c>
      <c r="F52" s="84">
        <v>2021</v>
      </c>
      <c r="G52" s="84" t="s">
        <v>566</v>
      </c>
      <c r="H52" s="84">
        <v>2013</v>
      </c>
      <c r="I52" s="84">
        <v>2019</v>
      </c>
      <c r="J52" s="84" t="s">
        <v>566</v>
      </c>
      <c r="K52" s="3"/>
      <c r="L52" s="3"/>
      <c r="M52" s="3"/>
      <c r="N52" s="3"/>
      <c r="O52" s="3"/>
      <c r="P52" s="3"/>
      <c r="Q52" s="3"/>
      <c r="R52" s="76"/>
      <c r="S52" s="76"/>
      <c r="T52" s="76"/>
      <c r="U52" s="76"/>
      <c r="V52" s="76"/>
      <c r="W52" s="76"/>
    </row>
    <row r="53" spans="1:23">
      <c r="A53" s="84" t="s">
        <v>180</v>
      </c>
      <c r="B53" s="85" t="s">
        <v>179</v>
      </c>
      <c r="C53" s="85" t="s">
        <v>79</v>
      </c>
      <c r="D53" s="84" t="s">
        <v>87</v>
      </c>
      <c r="E53" s="84">
        <f>VLOOKUP(A53,'2a. SI Pop'!$A$5:$E$198,5,FALSE)</f>
        <v>1</v>
      </c>
      <c r="F53" s="84">
        <v>1987</v>
      </c>
      <c r="G53" s="84">
        <v>1987</v>
      </c>
      <c r="H53" s="84">
        <v>2007</v>
      </c>
      <c r="I53" s="84" t="s">
        <v>566</v>
      </c>
      <c r="J53" s="84">
        <v>2007</v>
      </c>
      <c r="K53" s="3"/>
      <c r="L53" s="3"/>
      <c r="M53" s="3"/>
      <c r="N53" s="3"/>
      <c r="O53" s="3"/>
      <c r="P53" s="3"/>
      <c r="Q53" s="3"/>
      <c r="R53" s="76"/>
      <c r="S53" s="76"/>
      <c r="T53" s="76"/>
      <c r="U53" s="76"/>
      <c r="V53" s="76"/>
      <c r="W53" s="76"/>
    </row>
    <row r="54" spans="1:23">
      <c r="A54" s="84" t="s">
        <v>182</v>
      </c>
      <c r="B54" s="85" t="s">
        <v>181</v>
      </c>
      <c r="C54" s="85" t="s">
        <v>74</v>
      </c>
      <c r="D54" s="84" t="s">
        <v>84</v>
      </c>
      <c r="E54" s="84">
        <f>VLOOKUP(A54,'2a. SI Pop'!$A$5:$E$198,5,FALSE)</f>
        <v>3</v>
      </c>
      <c r="F54" s="84">
        <v>2011</v>
      </c>
      <c r="G54" s="84" t="s">
        <v>566</v>
      </c>
      <c r="H54" s="84">
        <v>2012</v>
      </c>
      <c r="I54" s="84">
        <v>2014</v>
      </c>
      <c r="J54" s="84">
        <v>2023</v>
      </c>
      <c r="K54" s="3"/>
      <c r="L54" s="3"/>
      <c r="M54" s="3"/>
      <c r="N54" s="3"/>
      <c r="O54" s="3"/>
      <c r="P54" s="3"/>
      <c r="Q54" s="3"/>
      <c r="R54" s="76"/>
      <c r="S54" s="76"/>
      <c r="T54" s="76"/>
      <c r="U54" s="76"/>
      <c r="V54" s="76"/>
      <c r="W54" s="76"/>
    </row>
    <row r="55" spans="1:23">
      <c r="A55" s="84" t="s">
        <v>184</v>
      </c>
      <c r="B55" s="85" t="s">
        <v>183</v>
      </c>
      <c r="C55" s="85" t="s">
        <v>92</v>
      </c>
      <c r="D55" s="84" t="s">
        <v>80</v>
      </c>
      <c r="E55" s="84">
        <f>VLOOKUP(A55,'2a. SI Pop'!$A$5:$E$198,5,FALSE)</f>
        <v>2</v>
      </c>
      <c r="F55" s="84">
        <v>2018</v>
      </c>
      <c r="G55" s="84">
        <v>2004</v>
      </c>
      <c r="H55" s="84">
        <v>2013</v>
      </c>
      <c r="I55" s="84">
        <v>2012</v>
      </c>
      <c r="J55" s="84">
        <v>2017</v>
      </c>
      <c r="K55" s="3"/>
      <c r="L55" s="3"/>
      <c r="M55" s="3"/>
      <c r="N55" s="3"/>
      <c r="O55" s="3"/>
      <c r="P55" s="3"/>
      <c r="Q55" s="3"/>
      <c r="R55" s="76"/>
      <c r="S55" s="76"/>
      <c r="T55" s="76"/>
      <c r="U55" s="76"/>
      <c r="V55" s="76"/>
      <c r="W55" s="76"/>
    </row>
    <row r="56" spans="1:23">
      <c r="A56" s="84" t="s">
        <v>184</v>
      </c>
      <c r="B56" s="85" t="s">
        <v>185</v>
      </c>
      <c r="C56" s="85" t="s">
        <v>92</v>
      </c>
      <c r="D56" s="84" t="s">
        <v>80</v>
      </c>
      <c r="E56" s="84">
        <f>VLOOKUP(A56,'2a. SI Pop'!$A$5:$E$198,5,FALSE)</f>
        <v>2</v>
      </c>
      <c r="F56" s="84">
        <v>2018</v>
      </c>
      <c r="G56" s="84">
        <v>2004</v>
      </c>
      <c r="H56" s="84">
        <v>2013</v>
      </c>
      <c r="I56" s="84">
        <v>2012</v>
      </c>
      <c r="J56" s="84">
        <v>2017</v>
      </c>
      <c r="K56" s="3"/>
      <c r="L56" s="3"/>
      <c r="M56" s="3"/>
      <c r="N56" s="3"/>
      <c r="O56" s="3"/>
      <c r="P56" s="3"/>
      <c r="Q56" s="3"/>
      <c r="R56" s="76"/>
      <c r="S56" s="76"/>
      <c r="T56" s="76"/>
      <c r="U56" s="76"/>
      <c r="V56" s="76"/>
      <c r="W56" s="76"/>
    </row>
    <row r="57" spans="1:23">
      <c r="A57" s="84" t="s">
        <v>187</v>
      </c>
      <c r="B57" s="85" t="s">
        <v>186</v>
      </c>
      <c r="C57" s="85" t="s">
        <v>92</v>
      </c>
      <c r="D57" s="84" t="s">
        <v>80</v>
      </c>
      <c r="E57" s="84">
        <f>VLOOKUP(A57,'2a. SI Pop'!$A$5:$E$198,5,FALSE)</f>
        <v>2</v>
      </c>
      <c r="F57" s="84">
        <v>2009</v>
      </c>
      <c r="G57" s="84">
        <v>1997</v>
      </c>
      <c r="H57" s="84">
        <v>2010</v>
      </c>
      <c r="I57" s="84">
        <v>2007</v>
      </c>
      <c r="J57" s="84">
        <v>2014</v>
      </c>
      <c r="K57" s="3"/>
      <c r="L57" s="3"/>
      <c r="M57" s="3"/>
      <c r="N57" s="3"/>
      <c r="O57" s="3"/>
      <c r="P57" s="3"/>
      <c r="Q57" s="3"/>
      <c r="R57" s="76"/>
      <c r="S57" s="76"/>
      <c r="T57" s="76"/>
      <c r="U57" s="76"/>
      <c r="V57" s="76"/>
      <c r="W57" s="76"/>
    </row>
    <row r="58" spans="1:23">
      <c r="A58" s="84" t="s">
        <v>189</v>
      </c>
      <c r="B58" s="85" t="s">
        <v>188</v>
      </c>
      <c r="C58" s="85" t="s">
        <v>74</v>
      </c>
      <c r="D58" s="84" t="s">
        <v>84</v>
      </c>
      <c r="E58" s="84">
        <f>VLOOKUP(A58,'2a. SI Pop'!$A$5:$E$198,5,FALSE)</f>
        <v>2</v>
      </c>
      <c r="F58" s="84">
        <v>1999</v>
      </c>
      <c r="G58" s="84">
        <v>1999</v>
      </c>
      <c r="H58" s="84" t="s">
        <v>566</v>
      </c>
      <c r="I58" s="84" t="s">
        <v>566</v>
      </c>
      <c r="J58" s="84" t="s">
        <v>566</v>
      </c>
      <c r="K58" s="3"/>
      <c r="L58" s="3"/>
      <c r="M58" s="3"/>
      <c r="N58" s="3"/>
      <c r="O58" s="3"/>
      <c r="P58" s="3"/>
      <c r="Q58" s="3"/>
      <c r="R58" s="76"/>
      <c r="S58" s="76"/>
      <c r="T58" s="76"/>
      <c r="U58" s="76"/>
      <c r="V58" s="76"/>
      <c r="W58" s="76"/>
    </row>
    <row r="59" spans="1:23">
      <c r="A59" s="84" t="s">
        <v>191</v>
      </c>
      <c r="B59" s="85" t="s">
        <v>190</v>
      </c>
      <c r="C59" s="85" t="s">
        <v>92</v>
      </c>
      <c r="D59" s="84" t="s">
        <v>84</v>
      </c>
      <c r="E59" s="84">
        <f>VLOOKUP(A59,'2a. SI Pop'!$A$5:$E$198,5,FALSE)</f>
        <v>1</v>
      </c>
      <c r="F59" s="84">
        <v>2000</v>
      </c>
      <c r="G59" s="84">
        <v>1997</v>
      </c>
      <c r="H59" s="84">
        <v>2010</v>
      </c>
      <c r="I59" s="84">
        <v>2006</v>
      </c>
      <c r="J59" s="84">
        <v>2020</v>
      </c>
      <c r="K59" s="3"/>
      <c r="L59" s="3"/>
      <c r="M59" s="3"/>
      <c r="N59" s="3"/>
      <c r="O59" s="3"/>
      <c r="P59" s="3"/>
      <c r="Q59" s="3"/>
      <c r="R59" s="76"/>
      <c r="S59" s="76"/>
      <c r="T59" s="76"/>
      <c r="U59" s="76"/>
      <c r="V59" s="76"/>
      <c r="W59" s="76"/>
    </row>
    <row r="60" spans="1:23">
      <c r="A60" s="84" t="s">
        <v>193</v>
      </c>
      <c r="B60" s="85" t="s">
        <v>192</v>
      </c>
      <c r="C60" s="85" t="s">
        <v>83</v>
      </c>
      <c r="D60" s="84" t="s">
        <v>80</v>
      </c>
      <c r="E60" s="84">
        <f>VLOOKUP(A60,'2a. SI Pop'!$A$5:$E$198,5,FALSE)</f>
        <v>3</v>
      </c>
      <c r="F60" s="84">
        <v>2022</v>
      </c>
      <c r="G60" s="84" t="s">
        <v>566</v>
      </c>
      <c r="H60" s="84" t="s">
        <v>566</v>
      </c>
      <c r="I60" s="84" t="s">
        <v>566</v>
      </c>
      <c r="J60" s="84" t="s">
        <v>566</v>
      </c>
      <c r="K60" s="3"/>
      <c r="L60" s="3"/>
      <c r="M60" s="3"/>
      <c r="N60" s="3"/>
      <c r="O60" s="3"/>
      <c r="P60" s="3"/>
      <c r="Q60" s="3"/>
      <c r="R60" s="76"/>
      <c r="S60" s="76"/>
      <c r="T60" s="76"/>
      <c r="U60" s="76"/>
      <c r="V60" s="76"/>
      <c r="W60" s="76"/>
    </row>
    <row r="61" spans="1:23">
      <c r="A61" s="84" t="s">
        <v>195</v>
      </c>
      <c r="B61" s="85" t="s">
        <v>194</v>
      </c>
      <c r="C61" s="85" t="s">
        <v>83</v>
      </c>
      <c r="D61" s="84" t="s">
        <v>75</v>
      </c>
      <c r="E61" s="84">
        <f>VLOOKUP(A61,'2a. SI Pop'!$A$5:$E$198,5,FALSE)</f>
        <v>3</v>
      </c>
      <c r="F61" s="84">
        <v>2012</v>
      </c>
      <c r="G61" s="84">
        <v>2018</v>
      </c>
      <c r="H61" s="84">
        <v>2015</v>
      </c>
      <c r="I61" s="84">
        <v>2014</v>
      </c>
      <c r="J61" s="84">
        <v>2023</v>
      </c>
      <c r="K61" s="3"/>
      <c r="L61" s="3"/>
      <c r="M61" s="3"/>
      <c r="N61" s="3"/>
      <c r="O61" s="3"/>
      <c r="P61" s="3"/>
      <c r="Q61" s="3"/>
      <c r="R61" s="76"/>
      <c r="S61" s="76"/>
      <c r="T61" s="76"/>
      <c r="U61" s="76"/>
      <c r="V61" s="76"/>
      <c r="W61" s="76"/>
    </row>
    <row r="62" spans="1:23">
      <c r="A62" s="84" t="s">
        <v>197</v>
      </c>
      <c r="B62" s="85" t="s">
        <v>196</v>
      </c>
      <c r="C62" s="85" t="s">
        <v>79</v>
      </c>
      <c r="D62" s="84" t="s">
        <v>87</v>
      </c>
      <c r="E62" s="84">
        <f>VLOOKUP(A62,'2a. SI Pop'!$A$5:$E$198,5,FALSE)</f>
        <v>1</v>
      </c>
      <c r="F62" s="84">
        <v>1994</v>
      </c>
      <c r="G62" s="84">
        <v>1993</v>
      </c>
      <c r="H62" s="84" t="s">
        <v>566</v>
      </c>
      <c r="I62" s="84">
        <v>2014</v>
      </c>
      <c r="J62" s="84">
        <v>2018</v>
      </c>
      <c r="K62" s="3"/>
      <c r="L62" s="3"/>
      <c r="M62" s="3"/>
      <c r="N62" s="3"/>
      <c r="O62" s="3"/>
      <c r="P62" s="3"/>
      <c r="Q62" s="3"/>
      <c r="R62" s="76"/>
      <c r="S62" s="76"/>
      <c r="T62" s="76"/>
      <c r="U62" s="76"/>
      <c r="V62" s="76"/>
      <c r="W62" s="76"/>
    </row>
    <row r="63" spans="1:23">
      <c r="A63" s="84" t="s">
        <v>199</v>
      </c>
      <c r="B63" s="85" t="s">
        <v>198</v>
      </c>
      <c r="C63" s="85" t="s">
        <v>83</v>
      </c>
      <c r="D63" s="84" t="s">
        <v>75</v>
      </c>
      <c r="E63" s="84" t="str">
        <f>VLOOKUP(A63,'2a. SI Pop'!$A$5:$E$198,5,FALSE)</f>
        <v>Key</v>
      </c>
      <c r="F63" s="84">
        <v>2019</v>
      </c>
      <c r="G63" s="84" t="s">
        <v>566</v>
      </c>
      <c r="H63" s="84">
        <v>2011</v>
      </c>
      <c r="I63" s="84">
        <v>2014</v>
      </c>
      <c r="J63" s="84">
        <v>2018</v>
      </c>
      <c r="K63" s="3"/>
      <c r="L63" s="3"/>
      <c r="M63" s="3"/>
      <c r="N63" s="3"/>
      <c r="O63" s="3"/>
      <c r="P63" s="3"/>
      <c r="Q63" s="3"/>
      <c r="R63" s="76"/>
      <c r="S63" s="76"/>
      <c r="T63" s="76"/>
      <c r="U63" s="76"/>
      <c r="V63" s="76"/>
      <c r="W63" s="76"/>
    </row>
    <row r="64" spans="1:23">
      <c r="A64" s="84" t="s">
        <v>201</v>
      </c>
      <c r="B64" s="85" t="s">
        <v>200</v>
      </c>
      <c r="C64" s="85" t="s">
        <v>99</v>
      </c>
      <c r="D64" s="84" t="s">
        <v>80</v>
      </c>
      <c r="E64" s="84">
        <f>VLOOKUP(A64,'2a. SI Pop'!$A$5:$E$198,5,FALSE)</f>
        <v>4</v>
      </c>
      <c r="F64" s="84">
        <v>2003</v>
      </c>
      <c r="G64" s="84">
        <v>2003</v>
      </c>
      <c r="H64" s="84">
        <v>2012</v>
      </c>
      <c r="I64" s="84">
        <v>2012</v>
      </c>
      <c r="J64" s="84">
        <v>2013</v>
      </c>
      <c r="K64" s="3"/>
      <c r="L64" s="3"/>
      <c r="M64" s="3"/>
      <c r="N64" s="3"/>
      <c r="O64" s="3"/>
      <c r="P64" s="3"/>
      <c r="Q64" s="3"/>
      <c r="R64" s="76"/>
      <c r="S64" s="76"/>
      <c r="T64" s="76"/>
      <c r="U64" s="76"/>
      <c r="V64" s="76"/>
      <c r="W64" s="76"/>
    </row>
    <row r="65" spans="1:23">
      <c r="A65" s="84" t="s">
        <v>203</v>
      </c>
      <c r="B65" s="85" t="s">
        <v>202</v>
      </c>
      <c r="C65" s="85" t="s">
        <v>79</v>
      </c>
      <c r="D65" s="84" t="s">
        <v>87</v>
      </c>
      <c r="E65" s="84">
        <f>VLOOKUP(A65,'2a. SI Pop'!$A$5:$E$198,5,FALSE)</f>
        <v>1</v>
      </c>
      <c r="F65" s="84">
        <v>1982</v>
      </c>
      <c r="G65" s="84">
        <v>1975</v>
      </c>
      <c r="H65" s="84">
        <v>2010</v>
      </c>
      <c r="I65" s="84">
        <v>2009</v>
      </c>
      <c r="J65" s="84">
        <v>2013</v>
      </c>
      <c r="K65" s="3"/>
      <c r="L65" s="3"/>
      <c r="M65" s="3"/>
      <c r="N65" s="3"/>
      <c r="O65" s="3"/>
      <c r="P65" s="3"/>
      <c r="Q65" s="3"/>
      <c r="R65" s="76"/>
      <c r="S65" s="76"/>
      <c r="T65" s="76"/>
      <c r="U65" s="76"/>
      <c r="V65" s="76"/>
      <c r="W65" s="76"/>
    </row>
    <row r="66" spans="1:23">
      <c r="A66" s="84" t="s">
        <v>205</v>
      </c>
      <c r="B66" s="85" t="s">
        <v>204</v>
      </c>
      <c r="C66" s="85" t="s">
        <v>79</v>
      </c>
      <c r="D66" s="84" t="s">
        <v>87</v>
      </c>
      <c r="E66" s="84">
        <f>VLOOKUP(A66,'2a. SI Pop'!$A$5:$E$198,5,FALSE)</f>
        <v>1</v>
      </c>
      <c r="F66" s="84">
        <v>1996</v>
      </c>
      <c r="G66" s="84">
        <v>1970</v>
      </c>
      <c r="H66" s="84">
        <v>2006</v>
      </c>
      <c r="I66" s="84" t="s">
        <v>566</v>
      </c>
      <c r="J66" s="84">
        <v>2006</v>
      </c>
      <c r="K66" s="3"/>
      <c r="L66" s="3"/>
      <c r="M66" s="3"/>
      <c r="N66" s="3"/>
      <c r="O66" s="3"/>
      <c r="P66" s="3"/>
      <c r="Q66" s="3"/>
      <c r="R66" s="76"/>
      <c r="S66" s="76"/>
      <c r="T66" s="76"/>
      <c r="U66" s="76"/>
      <c r="V66" s="76"/>
      <c r="W66" s="76"/>
    </row>
    <row r="67" spans="1:23">
      <c r="A67" s="84" t="s">
        <v>207</v>
      </c>
      <c r="B67" s="85" t="s">
        <v>206</v>
      </c>
      <c r="C67" s="85" t="s">
        <v>83</v>
      </c>
      <c r="D67" s="84" t="s">
        <v>80</v>
      </c>
      <c r="E67" s="84">
        <f>VLOOKUP(A67,'2a. SI Pop'!$A$5:$E$198,5,FALSE)</f>
        <v>3</v>
      </c>
      <c r="F67" s="84" t="s">
        <v>566</v>
      </c>
      <c r="G67" s="84" t="s">
        <v>566</v>
      </c>
      <c r="H67" s="84" t="s">
        <v>566</v>
      </c>
      <c r="I67" s="84" t="s">
        <v>566</v>
      </c>
      <c r="J67" s="84" t="s">
        <v>566</v>
      </c>
      <c r="K67" s="3"/>
      <c r="L67" s="3"/>
      <c r="M67" s="3"/>
      <c r="N67" s="3"/>
      <c r="O67" s="3"/>
      <c r="P67" s="3"/>
      <c r="Q67" s="3"/>
      <c r="R67" s="76"/>
      <c r="S67" s="76"/>
      <c r="T67" s="76"/>
      <c r="U67" s="76"/>
      <c r="V67" s="76"/>
      <c r="W67" s="76"/>
    </row>
    <row r="68" spans="1:23">
      <c r="A68" s="84" t="s">
        <v>209</v>
      </c>
      <c r="B68" s="85" t="s">
        <v>208</v>
      </c>
      <c r="C68" s="85" t="s">
        <v>83</v>
      </c>
      <c r="D68" s="84" t="s">
        <v>75</v>
      </c>
      <c r="E68" s="84">
        <f>VLOOKUP(A68,'2a. SI Pop'!$A$5:$E$198,5,FALSE)</f>
        <v>3</v>
      </c>
      <c r="F68" s="84">
        <v>2012</v>
      </c>
      <c r="G68" s="84">
        <v>2016</v>
      </c>
      <c r="H68" s="84">
        <v>2009</v>
      </c>
      <c r="I68" s="84">
        <v>2013</v>
      </c>
      <c r="J68" s="84">
        <v>2019</v>
      </c>
      <c r="K68" s="3"/>
      <c r="L68" s="3"/>
      <c r="M68" s="3"/>
      <c r="N68" s="3"/>
      <c r="O68" s="3"/>
      <c r="P68" s="3"/>
      <c r="Q68" s="3"/>
      <c r="R68" s="76"/>
      <c r="S68" s="76"/>
      <c r="T68" s="76"/>
      <c r="U68" s="76"/>
      <c r="V68" s="76"/>
      <c r="W68" s="76"/>
    </row>
    <row r="69" spans="1:23">
      <c r="A69" s="84" t="s">
        <v>211</v>
      </c>
      <c r="B69" s="85" t="s">
        <v>210</v>
      </c>
      <c r="C69" s="85" t="s">
        <v>79</v>
      </c>
      <c r="D69" s="84" t="s">
        <v>80</v>
      </c>
      <c r="E69" s="84">
        <f>VLOOKUP(A69,'2a. SI Pop'!$A$5:$E$198,5,FALSE)</f>
        <v>1</v>
      </c>
      <c r="F69" s="84">
        <v>1986</v>
      </c>
      <c r="G69" s="84">
        <v>2004</v>
      </c>
      <c r="H69" s="84">
        <v>2014</v>
      </c>
      <c r="I69" s="84">
        <v>2013</v>
      </c>
      <c r="J69" s="84">
        <v>2019</v>
      </c>
      <c r="K69" s="3"/>
      <c r="L69" s="3"/>
      <c r="M69" s="3"/>
      <c r="N69" s="3"/>
      <c r="O69" s="3"/>
      <c r="P69" s="3"/>
      <c r="Q69" s="3"/>
      <c r="R69" s="76"/>
      <c r="S69" s="76"/>
      <c r="T69" s="76"/>
      <c r="U69" s="76"/>
      <c r="V69" s="76"/>
      <c r="W69" s="76"/>
    </row>
    <row r="70" spans="1:23">
      <c r="A70" s="84" t="s">
        <v>213</v>
      </c>
      <c r="B70" s="85" t="s">
        <v>212</v>
      </c>
      <c r="C70" s="85" t="s">
        <v>79</v>
      </c>
      <c r="D70" s="84" t="s">
        <v>87</v>
      </c>
      <c r="E70" s="84">
        <f>VLOOKUP(A70,'2a. SI Pop'!$A$5:$E$198,5,FALSE)</f>
        <v>1</v>
      </c>
      <c r="F70" s="84">
        <v>1991</v>
      </c>
      <c r="G70" s="84">
        <v>1991</v>
      </c>
      <c r="H70" s="84">
        <v>2006</v>
      </c>
      <c r="I70" s="84">
        <v>2013</v>
      </c>
      <c r="J70" s="84">
        <v>2007</v>
      </c>
      <c r="K70" s="3"/>
      <c r="L70" s="3"/>
      <c r="M70" s="3"/>
      <c r="N70" s="3"/>
      <c r="O70" s="3"/>
      <c r="P70" s="3"/>
      <c r="Q70" s="3"/>
      <c r="R70" s="76"/>
      <c r="S70" s="76"/>
      <c r="T70" s="76"/>
      <c r="U70" s="76"/>
      <c r="V70" s="76"/>
      <c r="W70" s="76"/>
    </row>
    <row r="71" spans="1:23">
      <c r="A71" s="84" t="s">
        <v>215</v>
      </c>
      <c r="B71" s="85" t="s">
        <v>214</v>
      </c>
      <c r="C71" s="85" t="s">
        <v>83</v>
      </c>
      <c r="D71" s="84" t="s">
        <v>84</v>
      </c>
      <c r="E71" s="84">
        <f>VLOOKUP(A71,'2a. SI Pop'!$A$5:$E$198,5,FALSE)</f>
        <v>3</v>
      </c>
      <c r="F71" s="84">
        <v>2012</v>
      </c>
      <c r="G71" s="84">
        <v>2013</v>
      </c>
      <c r="H71" s="84">
        <v>2012</v>
      </c>
      <c r="I71" s="84">
        <v>2012</v>
      </c>
      <c r="J71" s="84" t="s">
        <v>566</v>
      </c>
      <c r="K71" s="3"/>
      <c r="L71" s="3"/>
      <c r="M71" s="3"/>
      <c r="N71" s="3"/>
      <c r="O71" s="3"/>
      <c r="P71" s="3"/>
      <c r="Q71" s="3"/>
      <c r="R71" s="76"/>
      <c r="S71" s="76"/>
      <c r="T71" s="76"/>
      <c r="U71" s="76"/>
      <c r="V71" s="76"/>
      <c r="W71" s="76"/>
    </row>
    <row r="72" spans="1:23">
      <c r="A72" s="84" t="s">
        <v>217</v>
      </c>
      <c r="B72" s="85" t="s">
        <v>216</v>
      </c>
      <c r="C72" s="85" t="s">
        <v>79</v>
      </c>
      <c r="D72" s="84" t="s">
        <v>87</v>
      </c>
      <c r="E72" s="84">
        <f>VLOOKUP(A72,'2a. SI Pop'!$A$5:$E$198,5,FALSE)</f>
        <v>1</v>
      </c>
      <c r="F72" s="84">
        <v>1995</v>
      </c>
      <c r="G72" s="84">
        <v>1995</v>
      </c>
      <c r="H72" s="84">
        <v>2006</v>
      </c>
      <c r="I72" s="84">
        <v>2011</v>
      </c>
      <c r="J72" s="84">
        <v>2009</v>
      </c>
      <c r="K72" s="3"/>
      <c r="L72" s="3"/>
      <c r="M72" s="3"/>
      <c r="N72" s="3"/>
      <c r="O72" s="3"/>
      <c r="P72" s="3"/>
      <c r="Q72" s="3"/>
      <c r="R72" s="76"/>
      <c r="S72" s="76"/>
      <c r="T72" s="76"/>
      <c r="U72" s="76"/>
      <c r="V72" s="76"/>
      <c r="W72" s="76"/>
    </row>
    <row r="73" spans="1:23">
      <c r="A73" s="84" t="s">
        <v>219</v>
      </c>
      <c r="B73" s="85" t="s">
        <v>218</v>
      </c>
      <c r="C73" s="85" t="s">
        <v>92</v>
      </c>
      <c r="D73" s="84" t="s">
        <v>80</v>
      </c>
      <c r="E73" s="84">
        <f>VLOOKUP(A73,'2a. SI Pop'!$A$5:$E$198,5,FALSE)</f>
        <v>1</v>
      </c>
      <c r="F73" s="84">
        <v>2000</v>
      </c>
      <c r="G73" s="84">
        <v>1993</v>
      </c>
      <c r="H73" s="84" t="s">
        <v>566</v>
      </c>
      <c r="I73" s="84" t="s">
        <v>566</v>
      </c>
      <c r="J73" s="84">
        <v>2019</v>
      </c>
      <c r="K73" s="3"/>
      <c r="L73" s="3"/>
      <c r="M73" s="3"/>
      <c r="N73" s="3"/>
      <c r="O73" s="3"/>
      <c r="P73" s="3"/>
      <c r="Q73" s="3"/>
      <c r="R73" s="76"/>
      <c r="S73" s="76"/>
      <c r="T73" s="76"/>
      <c r="U73" s="76"/>
      <c r="V73" s="76"/>
      <c r="W73" s="76"/>
    </row>
    <row r="74" spans="1:23">
      <c r="A74" s="84" t="s">
        <v>221</v>
      </c>
      <c r="B74" s="85" t="s">
        <v>220</v>
      </c>
      <c r="C74" s="85" t="s">
        <v>92</v>
      </c>
      <c r="D74" s="84" t="s">
        <v>80</v>
      </c>
      <c r="E74" s="84">
        <f>VLOOKUP(A74,'2a. SI Pop'!$A$5:$E$198,5,FALSE)</f>
        <v>1</v>
      </c>
      <c r="F74" s="84">
        <v>2016</v>
      </c>
      <c r="G74" s="84">
        <v>2001</v>
      </c>
      <c r="H74" s="84">
        <v>2012</v>
      </c>
      <c r="I74" s="84">
        <v>2010</v>
      </c>
      <c r="J74" s="84">
        <v>2018</v>
      </c>
      <c r="K74" s="3"/>
      <c r="L74" s="3"/>
      <c r="M74" s="3"/>
      <c r="N74" s="3"/>
      <c r="O74" s="3"/>
      <c r="P74" s="3"/>
      <c r="Q74" s="3"/>
      <c r="R74" s="76"/>
      <c r="S74" s="76"/>
      <c r="T74" s="76"/>
      <c r="U74" s="76"/>
      <c r="V74" s="76"/>
      <c r="W74" s="76"/>
    </row>
    <row r="75" spans="1:23">
      <c r="A75" s="84" t="s">
        <v>223</v>
      </c>
      <c r="B75" s="85" t="s">
        <v>222</v>
      </c>
      <c r="C75" s="85" t="s">
        <v>83</v>
      </c>
      <c r="D75" s="84" t="s">
        <v>75</v>
      </c>
      <c r="E75" s="84">
        <f>VLOOKUP(A75,'2a. SI Pop'!$A$5:$E$198,5,FALSE)</f>
        <v>3</v>
      </c>
      <c r="F75" s="84">
        <v>2021</v>
      </c>
      <c r="G75" s="84">
        <v>2023</v>
      </c>
      <c r="H75" s="84" t="s">
        <v>566</v>
      </c>
      <c r="I75" s="84" t="s">
        <v>566</v>
      </c>
      <c r="J75" s="84">
        <v>2023</v>
      </c>
      <c r="K75" s="3"/>
      <c r="L75" s="3"/>
      <c r="M75" s="3"/>
      <c r="N75" s="3"/>
      <c r="O75" s="3"/>
      <c r="P75" s="3"/>
      <c r="Q75" s="3"/>
      <c r="R75" s="76"/>
      <c r="S75" s="76"/>
      <c r="T75" s="76"/>
      <c r="U75" s="76"/>
      <c r="V75" s="76"/>
      <c r="W75" s="76"/>
    </row>
    <row r="76" spans="1:23">
      <c r="A76" s="84" t="s">
        <v>225</v>
      </c>
      <c r="B76" s="85" t="s">
        <v>224</v>
      </c>
      <c r="C76" s="85" t="s">
        <v>83</v>
      </c>
      <c r="D76" s="84" t="s">
        <v>75</v>
      </c>
      <c r="E76" s="84">
        <f>VLOOKUP(A76,'2a. SI Pop'!$A$5:$E$198,5,FALSE)</f>
        <v>3</v>
      </c>
      <c r="F76" s="84">
        <v>2021</v>
      </c>
      <c r="G76" s="84">
        <v>2022</v>
      </c>
      <c r="H76" s="84">
        <v>2015</v>
      </c>
      <c r="I76" s="84">
        <v>2012</v>
      </c>
      <c r="J76" s="84" t="s">
        <v>566</v>
      </c>
      <c r="K76" s="3"/>
      <c r="L76" s="3"/>
      <c r="M76" s="3"/>
      <c r="N76" s="3"/>
      <c r="O76" s="3"/>
      <c r="P76" s="3"/>
      <c r="Q76" s="3"/>
      <c r="R76" s="76"/>
      <c r="S76" s="76"/>
      <c r="T76" s="76"/>
      <c r="U76" s="76"/>
      <c r="V76" s="76"/>
      <c r="W76" s="76"/>
    </row>
    <row r="77" spans="1:23">
      <c r="A77" s="84" t="s">
        <v>227</v>
      </c>
      <c r="B77" s="85" t="s">
        <v>226</v>
      </c>
      <c r="C77" s="85" t="s">
        <v>92</v>
      </c>
      <c r="D77" s="84" t="s">
        <v>80</v>
      </c>
      <c r="E77" s="84">
        <f>VLOOKUP(A77,'2a. SI Pop'!$A$5:$E$198,5,FALSE)</f>
        <v>2</v>
      </c>
      <c r="F77" s="84">
        <v>2001</v>
      </c>
      <c r="G77" s="84">
        <v>1995</v>
      </c>
      <c r="H77" s="84">
        <v>2011</v>
      </c>
      <c r="I77" s="84">
        <v>2010</v>
      </c>
      <c r="J77" s="84">
        <v>2017</v>
      </c>
      <c r="K77" s="3"/>
      <c r="L77" s="3"/>
      <c r="M77" s="3"/>
      <c r="N77" s="3"/>
      <c r="O77" s="3"/>
      <c r="P77" s="3"/>
      <c r="Q77" s="3"/>
      <c r="R77" s="76"/>
      <c r="S77" s="76"/>
      <c r="T77" s="76"/>
      <c r="U77" s="76"/>
      <c r="V77" s="76"/>
      <c r="W77" s="76"/>
    </row>
    <row r="78" spans="1:23">
      <c r="A78" s="84" t="s">
        <v>229</v>
      </c>
      <c r="B78" s="85" t="s">
        <v>228</v>
      </c>
      <c r="C78" s="85" t="s">
        <v>92</v>
      </c>
      <c r="D78" s="84" t="s">
        <v>75</v>
      </c>
      <c r="E78" s="84">
        <f>VLOOKUP(A78,'2a. SI Pop'!$A$5:$E$198,5,FALSE)</f>
        <v>2</v>
      </c>
      <c r="F78" s="84">
        <v>2016</v>
      </c>
      <c r="G78" s="84">
        <v>2008</v>
      </c>
      <c r="H78" s="84">
        <v>2018</v>
      </c>
      <c r="I78" s="84">
        <v>2014</v>
      </c>
      <c r="J78" s="84" t="s">
        <v>566</v>
      </c>
      <c r="K78" s="3"/>
      <c r="L78" s="3"/>
      <c r="M78" s="3"/>
      <c r="N78" s="3"/>
      <c r="O78" s="3"/>
      <c r="P78" s="3"/>
      <c r="Q78" s="3"/>
      <c r="R78" s="76"/>
      <c r="S78" s="76"/>
      <c r="T78" s="76"/>
      <c r="U78" s="76"/>
      <c r="V78" s="76"/>
      <c r="W78" s="76"/>
    </row>
    <row r="79" spans="1:23">
      <c r="A79" s="84" t="s">
        <v>231</v>
      </c>
      <c r="B79" s="85" t="s">
        <v>230</v>
      </c>
      <c r="C79" s="85" t="s">
        <v>92</v>
      </c>
      <c r="D79" s="84" t="s">
        <v>84</v>
      </c>
      <c r="E79" s="84">
        <f>VLOOKUP(A79,'2a. SI Pop'!$A$5:$E$198,5,FALSE)</f>
        <v>1</v>
      </c>
      <c r="F79" s="84">
        <v>2018</v>
      </c>
      <c r="G79" s="84">
        <v>1997</v>
      </c>
      <c r="H79" s="84">
        <v>2011</v>
      </c>
      <c r="I79" s="84">
        <v>2009</v>
      </c>
      <c r="J79" s="84">
        <v>2016</v>
      </c>
      <c r="K79" s="3"/>
      <c r="L79" s="3"/>
      <c r="M79" s="3"/>
      <c r="N79" s="3"/>
      <c r="O79" s="3"/>
      <c r="P79" s="3"/>
      <c r="Q79" s="3"/>
      <c r="R79" s="76"/>
      <c r="S79" s="76"/>
      <c r="T79" s="76"/>
      <c r="U79" s="76"/>
      <c r="V79" s="76"/>
      <c r="W79" s="76"/>
    </row>
    <row r="80" spans="1:23">
      <c r="A80" s="84" t="s">
        <v>233</v>
      </c>
      <c r="B80" s="85" t="s">
        <v>232</v>
      </c>
      <c r="C80" s="85" t="s">
        <v>79</v>
      </c>
      <c r="D80" s="84" t="s">
        <v>87</v>
      </c>
      <c r="E80" s="84">
        <f>VLOOKUP(A80,'2a. SI Pop'!$A$5:$E$198,5,FALSE)</f>
        <v>1</v>
      </c>
      <c r="F80" s="84">
        <v>1989</v>
      </c>
      <c r="G80" s="84">
        <v>1989</v>
      </c>
      <c r="H80" s="84">
        <v>2009</v>
      </c>
      <c r="I80" s="84" t="s">
        <v>566</v>
      </c>
      <c r="J80" s="84">
        <v>2014</v>
      </c>
      <c r="K80" s="3"/>
      <c r="L80" s="3"/>
      <c r="M80" s="3"/>
      <c r="N80" s="3"/>
      <c r="O80" s="3"/>
      <c r="P80" s="3"/>
      <c r="Q80" s="3"/>
      <c r="R80" s="76"/>
      <c r="S80" s="76"/>
      <c r="T80" s="76"/>
      <c r="U80" s="76"/>
      <c r="V80" s="76"/>
      <c r="W80" s="76"/>
    </row>
    <row r="81" spans="1:23">
      <c r="A81" s="84" t="s">
        <v>235</v>
      </c>
      <c r="B81" s="85" t="s">
        <v>234</v>
      </c>
      <c r="C81" s="85" t="s">
        <v>79</v>
      </c>
      <c r="D81" s="84" t="s">
        <v>87</v>
      </c>
      <c r="E81" s="84">
        <f>VLOOKUP(A81,'2a. SI Pop'!$A$5:$E$198,5,FALSE)</f>
        <v>1</v>
      </c>
      <c r="F81" s="84">
        <v>1976</v>
      </c>
      <c r="G81" s="84">
        <v>1979</v>
      </c>
      <c r="H81" s="84">
        <v>2011</v>
      </c>
      <c r="I81" s="84" t="s">
        <v>566</v>
      </c>
      <c r="J81" s="84">
        <v>2011</v>
      </c>
      <c r="K81" s="3"/>
      <c r="L81" s="3"/>
      <c r="M81" s="3"/>
      <c r="N81" s="3"/>
      <c r="O81" s="3"/>
      <c r="P81" s="3"/>
      <c r="Q81" s="3"/>
      <c r="R81" s="76"/>
      <c r="S81" s="76"/>
      <c r="T81" s="76"/>
      <c r="U81" s="76"/>
      <c r="V81" s="76"/>
      <c r="W81" s="76"/>
    </row>
    <row r="82" spans="1:23">
      <c r="A82" s="84" t="s">
        <v>237</v>
      </c>
      <c r="B82" s="85" t="s">
        <v>236</v>
      </c>
      <c r="C82" s="85" t="s">
        <v>110</v>
      </c>
      <c r="D82" s="84" t="s">
        <v>84</v>
      </c>
      <c r="E82" s="84" t="str">
        <f>VLOOKUP(A82,'2a. SI Pop'!$A$5:$E$198,5,FALSE)</f>
        <v>Key</v>
      </c>
      <c r="F82" s="84">
        <v>2010</v>
      </c>
      <c r="G82" s="84">
        <v>2018</v>
      </c>
      <c r="H82" s="84" t="s">
        <v>566</v>
      </c>
      <c r="I82" s="84">
        <v>2019</v>
      </c>
      <c r="J82" s="84" t="s">
        <v>566</v>
      </c>
      <c r="K82" s="3"/>
      <c r="L82" s="3"/>
      <c r="M82" s="3"/>
      <c r="N82" s="3"/>
      <c r="O82" s="3"/>
      <c r="P82" s="3"/>
      <c r="Q82" s="3"/>
      <c r="R82" s="76"/>
      <c r="S82" s="76"/>
      <c r="T82" s="76"/>
      <c r="U82" s="76"/>
      <c r="V82" s="76"/>
      <c r="W82" s="76"/>
    </row>
    <row r="83" spans="1:23">
      <c r="A83" s="84" t="s">
        <v>239</v>
      </c>
      <c r="B83" s="85" t="s">
        <v>238</v>
      </c>
      <c r="C83" s="85" t="s">
        <v>110</v>
      </c>
      <c r="D83" s="84" t="s">
        <v>80</v>
      </c>
      <c r="E83" s="84" t="str">
        <f>VLOOKUP(A83,'2a. SI Pop'!$A$5:$E$198,5,FALSE)</f>
        <v>Key</v>
      </c>
      <c r="F83" s="84">
        <v>2002</v>
      </c>
      <c r="G83" s="84">
        <v>2018</v>
      </c>
      <c r="H83" s="84">
        <v>2024</v>
      </c>
      <c r="I83" s="84" t="s">
        <v>566</v>
      </c>
      <c r="J83" s="84" t="s">
        <v>566</v>
      </c>
      <c r="K83" s="3"/>
      <c r="L83" s="3"/>
      <c r="M83" s="3"/>
      <c r="N83" s="3"/>
      <c r="O83" s="3"/>
      <c r="P83" s="3"/>
      <c r="Q83" s="3"/>
      <c r="R83" s="76"/>
      <c r="S83" s="76"/>
      <c r="T83" s="76"/>
      <c r="U83" s="76"/>
      <c r="V83" s="76"/>
      <c r="W83" s="76"/>
    </row>
    <row r="84" spans="1:23">
      <c r="A84" s="84" t="s">
        <v>241</v>
      </c>
      <c r="B84" s="85" t="s">
        <v>240</v>
      </c>
      <c r="C84" s="85" t="s">
        <v>74</v>
      </c>
      <c r="D84" s="84" t="s">
        <v>80</v>
      </c>
      <c r="E84" s="84">
        <f>VLOOKUP(A84,'2a. SI Pop'!$A$5:$E$198,5,FALSE)</f>
        <v>2</v>
      </c>
      <c r="F84" s="84">
        <v>1984</v>
      </c>
      <c r="G84" s="84">
        <v>2004</v>
      </c>
      <c r="H84" s="84" t="s">
        <v>566</v>
      </c>
      <c r="I84" s="84" t="s">
        <v>566</v>
      </c>
      <c r="J84" s="84" t="s">
        <v>566</v>
      </c>
      <c r="K84" s="3"/>
      <c r="L84" s="3"/>
      <c r="M84" s="3"/>
      <c r="N84" s="3"/>
      <c r="O84" s="3"/>
      <c r="P84" s="3"/>
      <c r="Q84" s="3"/>
      <c r="R84" s="76"/>
      <c r="S84" s="76"/>
      <c r="T84" s="76"/>
      <c r="U84" s="76"/>
      <c r="V84" s="76"/>
      <c r="W84" s="76"/>
    </row>
    <row r="85" spans="1:23">
      <c r="A85" s="84" t="s">
        <v>243</v>
      </c>
      <c r="B85" s="85" t="s">
        <v>242</v>
      </c>
      <c r="C85" s="85" t="s">
        <v>74</v>
      </c>
      <c r="D85" s="84" t="s">
        <v>80</v>
      </c>
      <c r="E85" s="84">
        <f>VLOOKUP(A85,'2a. SI Pop'!$A$5:$E$198,5,FALSE)</f>
        <v>2</v>
      </c>
      <c r="F85" s="84">
        <v>1989</v>
      </c>
      <c r="G85" s="84">
        <v>1989</v>
      </c>
      <c r="H85" s="84">
        <v>2017</v>
      </c>
      <c r="I85" s="84">
        <v>2012</v>
      </c>
      <c r="J85" s="84" t="s">
        <v>566</v>
      </c>
      <c r="K85" s="3"/>
      <c r="L85" s="3"/>
      <c r="M85" s="3"/>
      <c r="N85" s="3"/>
      <c r="O85" s="3"/>
      <c r="P85" s="3"/>
      <c r="Q85" s="3"/>
      <c r="R85" s="76"/>
      <c r="S85" s="76"/>
      <c r="T85" s="76"/>
      <c r="U85" s="76"/>
      <c r="V85" s="76"/>
      <c r="W85" s="76"/>
    </row>
    <row r="86" spans="1:23">
      <c r="A86" s="84" t="s">
        <v>245</v>
      </c>
      <c r="B86" s="85" t="s">
        <v>244</v>
      </c>
      <c r="C86" s="85" t="s">
        <v>79</v>
      </c>
      <c r="D86" s="84" t="s">
        <v>87</v>
      </c>
      <c r="E86" s="84">
        <f>VLOOKUP(A86,'2a. SI Pop'!$A$5:$E$198,5,FALSE)</f>
        <v>1</v>
      </c>
      <c r="F86" s="84">
        <v>1992</v>
      </c>
      <c r="G86" s="84">
        <v>1971</v>
      </c>
      <c r="H86" s="84">
        <v>2008</v>
      </c>
      <c r="I86" s="84">
        <v>2016</v>
      </c>
      <c r="J86" s="84">
        <v>2010</v>
      </c>
      <c r="K86" s="3"/>
      <c r="L86" s="3"/>
      <c r="M86" s="3"/>
      <c r="N86" s="3"/>
      <c r="O86" s="3"/>
      <c r="P86" s="3"/>
      <c r="Q86" s="3"/>
      <c r="R86" s="76"/>
      <c r="S86" s="76"/>
      <c r="T86" s="76"/>
      <c r="U86" s="76"/>
      <c r="V86" s="76"/>
      <c r="W86" s="76"/>
    </row>
    <row r="87" spans="1:23">
      <c r="A87" s="84" t="s">
        <v>247</v>
      </c>
      <c r="B87" s="85" t="s">
        <v>246</v>
      </c>
      <c r="C87" s="85" t="s">
        <v>79</v>
      </c>
      <c r="D87" s="84" t="s">
        <v>87</v>
      </c>
      <c r="E87" s="84">
        <f>VLOOKUP(A87,'2a. SI Pop'!$A$5:$E$198,5,FALSE)</f>
        <v>1</v>
      </c>
      <c r="F87" s="84">
        <v>1995</v>
      </c>
      <c r="G87" s="84">
        <v>1995</v>
      </c>
      <c r="H87" s="84">
        <v>2009</v>
      </c>
      <c r="I87" s="84">
        <v>2010</v>
      </c>
      <c r="J87" s="84">
        <v>2010</v>
      </c>
      <c r="K87" s="3"/>
      <c r="L87" s="3"/>
      <c r="M87" s="3"/>
      <c r="N87" s="3"/>
      <c r="O87" s="3"/>
      <c r="P87" s="3"/>
      <c r="Q87" s="3"/>
      <c r="R87" s="76"/>
      <c r="S87" s="76"/>
      <c r="T87" s="76"/>
      <c r="U87" s="76"/>
      <c r="V87" s="76"/>
      <c r="W87" s="76"/>
    </row>
    <row r="88" spans="1:23">
      <c r="A88" s="84" t="s">
        <v>249</v>
      </c>
      <c r="B88" s="85" t="s">
        <v>248</v>
      </c>
      <c r="C88" s="85" t="s">
        <v>79</v>
      </c>
      <c r="D88" s="84" t="s">
        <v>87</v>
      </c>
      <c r="E88" s="84">
        <f>VLOOKUP(A88,'2a. SI Pop'!$A$5:$E$198,5,FALSE)</f>
        <v>1</v>
      </c>
      <c r="F88" s="84">
        <v>2004</v>
      </c>
      <c r="G88" s="84">
        <v>1972</v>
      </c>
      <c r="H88" s="84">
        <v>2005</v>
      </c>
      <c r="I88" s="84">
        <v>2017</v>
      </c>
      <c r="J88" s="84">
        <v>2009</v>
      </c>
      <c r="K88" s="3"/>
      <c r="L88" s="3"/>
      <c r="M88" s="3"/>
      <c r="N88" s="3"/>
      <c r="O88" s="3"/>
      <c r="P88" s="3"/>
      <c r="Q88" s="3"/>
      <c r="R88" s="76"/>
      <c r="S88" s="76"/>
      <c r="T88" s="76"/>
      <c r="U88" s="76"/>
      <c r="V88" s="76"/>
      <c r="W88" s="76"/>
    </row>
    <row r="89" spans="1:23">
      <c r="A89" s="84" t="s">
        <v>251</v>
      </c>
      <c r="B89" s="85" t="s">
        <v>250</v>
      </c>
      <c r="C89" s="85" t="s">
        <v>92</v>
      </c>
      <c r="D89" s="84" t="s">
        <v>80</v>
      </c>
      <c r="E89" s="84">
        <f>VLOOKUP(A89,'2a. SI Pop'!$A$5:$E$198,5,FALSE)</f>
        <v>1</v>
      </c>
      <c r="F89" s="84">
        <v>2002</v>
      </c>
      <c r="G89" s="84">
        <v>1993</v>
      </c>
      <c r="H89" s="84" t="s">
        <v>566</v>
      </c>
      <c r="I89" s="84" t="s">
        <v>566</v>
      </c>
      <c r="J89" s="84">
        <v>2017</v>
      </c>
      <c r="K89" s="3"/>
      <c r="L89" s="3"/>
      <c r="M89" s="3"/>
      <c r="N89" s="3"/>
      <c r="O89" s="3"/>
      <c r="P89" s="3"/>
      <c r="Q89" s="3"/>
      <c r="R89" s="76"/>
      <c r="S89" s="76"/>
      <c r="T89" s="76"/>
      <c r="U89" s="76"/>
      <c r="V89" s="76"/>
      <c r="W89" s="76"/>
    </row>
    <row r="90" spans="1:23">
      <c r="A90" s="84" t="s">
        <v>253</v>
      </c>
      <c r="B90" s="85" t="s">
        <v>252</v>
      </c>
      <c r="C90" s="85" t="s">
        <v>99</v>
      </c>
      <c r="D90" s="84" t="s">
        <v>87</v>
      </c>
      <c r="E90" s="84">
        <f>VLOOKUP(A90,'2a. SI Pop'!$A$5:$E$198,5,FALSE)</f>
        <v>4</v>
      </c>
      <c r="F90" s="84">
        <v>2006</v>
      </c>
      <c r="G90" s="84">
        <v>1995</v>
      </c>
      <c r="H90" s="84">
        <v>2011</v>
      </c>
      <c r="I90" s="84">
        <v>2020</v>
      </c>
      <c r="J90" s="84">
        <v>2011</v>
      </c>
      <c r="K90" s="3"/>
      <c r="L90" s="3"/>
      <c r="M90" s="3"/>
      <c r="N90" s="3"/>
      <c r="O90" s="3"/>
      <c r="P90" s="3"/>
      <c r="Q90" s="3"/>
      <c r="R90" s="76"/>
      <c r="S90" s="76"/>
      <c r="T90" s="76"/>
      <c r="U90" s="76"/>
      <c r="V90" s="76"/>
      <c r="W90" s="76"/>
    </row>
    <row r="91" spans="1:23">
      <c r="A91" s="84" t="s">
        <v>255</v>
      </c>
      <c r="B91" s="85" t="s">
        <v>254</v>
      </c>
      <c r="C91" s="85" t="s">
        <v>74</v>
      </c>
      <c r="D91" s="84" t="s">
        <v>80</v>
      </c>
      <c r="E91" s="84">
        <f>VLOOKUP(A91,'2a. SI Pop'!$A$5:$E$198,5,FALSE)</f>
        <v>2</v>
      </c>
      <c r="F91" s="84">
        <v>1995</v>
      </c>
      <c r="G91" s="84">
        <v>2000</v>
      </c>
      <c r="H91" s="84" t="s">
        <v>566</v>
      </c>
      <c r="I91" s="84">
        <v>2015</v>
      </c>
      <c r="J91" s="84" t="s">
        <v>566</v>
      </c>
      <c r="K91" s="3"/>
      <c r="L91" s="3"/>
      <c r="M91" s="3"/>
      <c r="N91" s="3"/>
      <c r="O91" s="3"/>
      <c r="P91" s="3"/>
      <c r="Q91" s="3"/>
      <c r="R91" s="76"/>
      <c r="S91" s="76"/>
      <c r="T91" s="76"/>
      <c r="U91" s="76"/>
      <c r="V91" s="76"/>
      <c r="W91" s="76"/>
    </row>
    <row r="92" spans="1:23">
      <c r="A92" s="84" t="s">
        <v>257</v>
      </c>
      <c r="B92" s="85" t="s">
        <v>256</v>
      </c>
      <c r="C92" s="85" t="s">
        <v>79</v>
      </c>
      <c r="D92" s="84" t="s">
        <v>80</v>
      </c>
      <c r="E92" s="84">
        <f>VLOOKUP(A92,'2a. SI Pop'!$A$5:$E$198,5,FALSE)</f>
        <v>2</v>
      </c>
      <c r="F92" s="84">
        <v>1995</v>
      </c>
      <c r="G92" s="84">
        <v>2004</v>
      </c>
      <c r="H92" s="84">
        <v>2013</v>
      </c>
      <c r="I92" s="84" t="s">
        <v>566</v>
      </c>
      <c r="J92" s="84" t="s">
        <v>566</v>
      </c>
      <c r="K92" s="3"/>
      <c r="L92" s="3"/>
      <c r="M92" s="3"/>
      <c r="N92" s="3"/>
      <c r="O92" s="3"/>
      <c r="P92" s="3"/>
      <c r="Q92" s="3"/>
      <c r="R92" s="76"/>
      <c r="S92" s="76"/>
      <c r="T92" s="76"/>
      <c r="U92" s="76"/>
      <c r="V92" s="76"/>
      <c r="W92" s="76"/>
    </row>
    <row r="93" spans="1:23">
      <c r="A93" s="84" t="s">
        <v>259</v>
      </c>
      <c r="B93" s="85" t="s">
        <v>258</v>
      </c>
      <c r="C93" s="85" t="s">
        <v>83</v>
      </c>
      <c r="D93" s="84" t="s">
        <v>84</v>
      </c>
      <c r="E93" s="84">
        <f>VLOOKUP(A93,'2a. SI Pop'!$A$5:$E$198,5,FALSE)</f>
        <v>3</v>
      </c>
      <c r="F93" s="84">
        <v>2013</v>
      </c>
      <c r="G93" s="84">
        <v>2017</v>
      </c>
      <c r="H93" s="84">
        <v>2011</v>
      </c>
      <c r="I93" s="84">
        <v>2014</v>
      </c>
      <c r="J93" s="84">
        <v>2019</v>
      </c>
      <c r="K93" s="3"/>
      <c r="L93" s="3"/>
      <c r="M93" s="3"/>
      <c r="N93" s="3"/>
      <c r="O93" s="3"/>
      <c r="P93" s="3"/>
      <c r="Q93" s="3"/>
      <c r="R93" s="76"/>
      <c r="S93" s="76"/>
      <c r="T93" s="76"/>
      <c r="U93" s="76"/>
      <c r="V93" s="76"/>
      <c r="W93" s="76"/>
    </row>
    <row r="94" spans="1:23">
      <c r="A94" s="84" t="s">
        <v>261</v>
      </c>
      <c r="B94" s="85" t="s">
        <v>260</v>
      </c>
      <c r="C94" s="85" t="s">
        <v>99</v>
      </c>
      <c r="D94" s="84" t="s">
        <v>84</v>
      </c>
      <c r="E94" s="84">
        <f>VLOOKUP(A94,'2a. SI Pop'!$A$5:$E$198,5,FALSE)</f>
        <v>4</v>
      </c>
      <c r="F94" s="84">
        <v>2007</v>
      </c>
      <c r="G94" s="84">
        <v>2004</v>
      </c>
      <c r="H94" s="84">
        <v>2013</v>
      </c>
      <c r="I94" s="84">
        <v>2015</v>
      </c>
      <c r="J94" s="84" t="s">
        <v>566</v>
      </c>
      <c r="K94" s="3"/>
      <c r="L94" s="3"/>
      <c r="M94" s="3"/>
      <c r="N94" s="3"/>
      <c r="O94" s="3"/>
      <c r="P94" s="3"/>
      <c r="Q94" s="3"/>
      <c r="R94" s="76"/>
      <c r="S94" s="76"/>
      <c r="T94" s="76"/>
      <c r="U94" s="76"/>
      <c r="V94" s="76"/>
      <c r="W94" s="76"/>
    </row>
    <row r="95" spans="1:23">
      <c r="A95" s="84" t="s">
        <v>263</v>
      </c>
      <c r="B95" s="85" t="s">
        <v>262</v>
      </c>
      <c r="C95" s="85" t="s">
        <v>99</v>
      </c>
      <c r="D95" s="84" t="s">
        <v>87</v>
      </c>
      <c r="E95" s="84">
        <f>VLOOKUP(A95,'2a. SI Pop'!$A$5:$E$198,5,FALSE)</f>
        <v>1</v>
      </c>
      <c r="F95" s="84">
        <v>1997</v>
      </c>
      <c r="G95" s="84">
        <v>1983</v>
      </c>
      <c r="H95" s="84">
        <v>2014</v>
      </c>
      <c r="I95" s="84" t="s">
        <v>566</v>
      </c>
      <c r="J95" s="84">
        <v>2016</v>
      </c>
      <c r="K95" s="3"/>
      <c r="L95" s="3"/>
      <c r="M95" s="3"/>
      <c r="N95" s="3"/>
      <c r="O95" s="3"/>
      <c r="P95" s="3"/>
      <c r="Q95" s="3"/>
      <c r="R95" s="76"/>
      <c r="S95" s="76"/>
      <c r="T95" s="76"/>
      <c r="U95" s="76"/>
      <c r="V95" s="76"/>
      <c r="W95" s="76"/>
    </row>
    <row r="96" spans="1:23">
      <c r="A96" s="84" t="s">
        <v>265</v>
      </c>
      <c r="B96" s="85" t="s">
        <v>264</v>
      </c>
      <c r="C96" s="85" t="s">
        <v>74</v>
      </c>
      <c r="D96" s="84" t="s">
        <v>87</v>
      </c>
      <c r="E96" s="84">
        <f>VLOOKUP(A96,'2a. SI Pop'!$A$5:$E$198,5,FALSE)</f>
        <v>1</v>
      </c>
      <c r="F96" s="84">
        <v>1996</v>
      </c>
      <c r="G96" s="84">
        <v>1987</v>
      </c>
      <c r="H96" s="84">
        <v>2007</v>
      </c>
      <c r="I96" s="84">
        <v>2017</v>
      </c>
      <c r="J96" s="84">
        <v>2021</v>
      </c>
      <c r="K96" s="3"/>
      <c r="L96" s="3"/>
      <c r="M96" s="3"/>
      <c r="N96" s="3"/>
      <c r="O96" s="3"/>
      <c r="P96" s="3"/>
      <c r="Q96" s="3"/>
      <c r="R96" s="76"/>
      <c r="S96" s="76"/>
      <c r="T96" s="76"/>
      <c r="U96" s="76"/>
      <c r="V96" s="76"/>
      <c r="W96" s="76"/>
    </row>
    <row r="97" spans="1:23">
      <c r="A97" s="84" t="s">
        <v>267</v>
      </c>
      <c r="B97" s="85" t="s">
        <v>266</v>
      </c>
      <c r="C97" s="85" t="s">
        <v>79</v>
      </c>
      <c r="D97" s="84" t="s">
        <v>84</v>
      </c>
      <c r="E97" s="84">
        <f>VLOOKUP(A97,'2a. SI Pop'!$A$5:$E$198,5,FALSE)</f>
        <v>1</v>
      </c>
      <c r="F97" s="84">
        <v>1986</v>
      </c>
      <c r="G97" s="84">
        <v>2001</v>
      </c>
      <c r="H97" s="84">
        <v>2016</v>
      </c>
      <c r="I97" s="84">
        <v>2019</v>
      </c>
      <c r="J97" s="84">
        <v>2023</v>
      </c>
      <c r="K97" s="3"/>
      <c r="L97" s="3"/>
      <c r="M97" s="3"/>
      <c r="N97" s="3"/>
      <c r="O97" s="3"/>
      <c r="P97" s="3"/>
      <c r="Q97" s="3"/>
      <c r="R97" s="76"/>
      <c r="S97" s="76"/>
      <c r="T97" s="76"/>
      <c r="U97" s="76"/>
      <c r="V97" s="76"/>
      <c r="W97" s="76"/>
    </row>
    <row r="98" spans="1:23">
      <c r="A98" s="84" t="s">
        <v>269</v>
      </c>
      <c r="B98" s="85" t="s">
        <v>268</v>
      </c>
      <c r="C98" s="85" t="s">
        <v>99</v>
      </c>
      <c r="D98" s="84" t="s">
        <v>84</v>
      </c>
      <c r="E98" s="84">
        <f>VLOOKUP(A98,'2a. SI Pop'!$A$5:$E$198,5,FALSE)</f>
        <v>4</v>
      </c>
      <c r="F98" s="84">
        <v>2017</v>
      </c>
      <c r="G98" s="84">
        <v>2012</v>
      </c>
      <c r="H98" s="84">
        <v>2013</v>
      </c>
      <c r="I98" s="84" t="s">
        <v>566</v>
      </c>
      <c r="J98" s="84">
        <v>2020</v>
      </c>
      <c r="K98" s="3"/>
      <c r="L98" s="3"/>
      <c r="M98" s="3"/>
      <c r="N98" s="3"/>
      <c r="O98" s="3"/>
      <c r="P98" s="3"/>
      <c r="Q98" s="3"/>
      <c r="R98" s="76"/>
      <c r="S98" s="76"/>
      <c r="T98" s="76"/>
      <c r="U98" s="76"/>
      <c r="V98" s="76"/>
      <c r="W98" s="76"/>
    </row>
    <row r="99" spans="1:23">
      <c r="A99" s="84" t="s">
        <v>271</v>
      </c>
      <c r="B99" s="85" t="s">
        <v>270</v>
      </c>
      <c r="C99" s="85" t="s">
        <v>79</v>
      </c>
      <c r="D99" s="84" t="s">
        <v>87</v>
      </c>
      <c r="E99" s="84">
        <f>VLOOKUP(A99,'2a. SI Pop'!$A$5:$E$198,5,FALSE)</f>
        <v>1</v>
      </c>
      <c r="F99" s="84">
        <v>1987</v>
      </c>
      <c r="G99" s="84">
        <v>1993</v>
      </c>
      <c r="H99" s="84">
        <v>2010</v>
      </c>
      <c r="I99" s="84">
        <v>2015</v>
      </c>
      <c r="J99" s="84">
        <v>2010</v>
      </c>
      <c r="K99" s="3"/>
      <c r="L99" s="3"/>
      <c r="M99" s="3"/>
      <c r="N99" s="3"/>
      <c r="O99" s="3"/>
      <c r="P99" s="3"/>
      <c r="Q99" s="3"/>
      <c r="R99" s="76"/>
      <c r="S99" s="76"/>
      <c r="T99" s="76"/>
      <c r="U99" s="76"/>
      <c r="V99" s="76"/>
      <c r="W99" s="76"/>
    </row>
    <row r="100" spans="1:23">
      <c r="A100" s="84" t="s">
        <v>273</v>
      </c>
      <c r="B100" s="85" t="s">
        <v>272</v>
      </c>
      <c r="C100" s="85" t="s">
        <v>74</v>
      </c>
      <c r="D100" s="84" t="s">
        <v>80</v>
      </c>
      <c r="E100" s="84">
        <f>VLOOKUP(A100,'2a. SI Pop'!$A$5:$E$198,5,FALSE)</f>
        <v>2</v>
      </c>
      <c r="F100" s="84">
        <v>1995</v>
      </c>
      <c r="G100" s="84">
        <v>1995</v>
      </c>
      <c r="H100" s="84">
        <v>2015</v>
      </c>
      <c r="I100" s="84" t="s">
        <v>566</v>
      </c>
      <c r="J100" s="84" t="s">
        <v>566</v>
      </c>
      <c r="K100" s="3"/>
      <c r="L100" s="3"/>
      <c r="M100" s="3"/>
      <c r="N100" s="3"/>
      <c r="O100" s="3"/>
      <c r="P100" s="3"/>
      <c r="Q100" s="3"/>
      <c r="R100" s="76"/>
      <c r="S100" s="76"/>
      <c r="T100" s="76"/>
      <c r="U100" s="76"/>
      <c r="V100" s="76"/>
      <c r="W100" s="76"/>
    </row>
    <row r="101" spans="1:23">
      <c r="A101" s="84" t="s">
        <v>275</v>
      </c>
      <c r="B101" s="85" t="s">
        <v>274</v>
      </c>
      <c r="C101" s="85" t="s">
        <v>83</v>
      </c>
      <c r="D101" s="84" t="s">
        <v>84</v>
      </c>
      <c r="E101" s="84">
        <f>VLOOKUP(A101,'2a. SI Pop'!$A$5:$E$198,5,FALSE)</f>
        <v>3</v>
      </c>
      <c r="F101" s="84">
        <v>1981</v>
      </c>
      <c r="G101" s="84">
        <v>2017</v>
      </c>
      <c r="H101" s="84">
        <v>2015</v>
      </c>
      <c r="I101" s="84">
        <v>2017</v>
      </c>
      <c r="J101" s="84">
        <v>2022</v>
      </c>
      <c r="K101" s="3"/>
      <c r="L101" s="3"/>
      <c r="M101" s="3"/>
      <c r="N101" s="3"/>
      <c r="O101" s="3"/>
      <c r="P101" s="3"/>
      <c r="Q101" s="3"/>
      <c r="R101" s="76"/>
      <c r="S101" s="76"/>
      <c r="T101" s="76"/>
      <c r="U101" s="76"/>
      <c r="V101" s="76"/>
      <c r="W101" s="76"/>
    </row>
    <row r="102" spans="1:23">
      <c r="A102" s="84" t="s">
        <v>277</v>
      </c>
      <c r="B102" s="85" t="s">
        <v>276</v>
      </c>
      <c r="C102" s="85" t="s">
        <v>83</v>
      </c>
      <c r="D102" s="84" t="s">
        <v>75</v>
      </c>
      <c r="E102" s="84">
        <f>VLOOKUP(A102,'2a. SI Pop'!$A$5:$E$198,5,FALSE)</f>
        <v>3</v>
      </c>
      <c r="F102" s="84">
        <v>2019</v>
      </c>
      <c r="G102" s="84" t="s">
        <v>566</v>
      </c>
      <c r="H102" s="84">
        <v>2014</v>
      </c>
      <c r="I102" s="84">
        <v>2016</v>
      </c>
      <c r="J102" s="84">
        <v>2019</v>
      </c>
      <c r="K102" s="3"/>
      <c r="L102" s="3"/>
      <c r="M102" s="3"/>
      <c r="N102" s="3"/>
      <c r="O102" s="3"/>
      <c r="P102" s="3"/>
      <c r="Q102" s="3"/>
      <c r="R102" s="76"/>
      <c r="S102" s="76"/>
      <c r="T102" s="76"/>
      <c r="U102" s="76"/>
      <c r="V102" s="76"/>
      <c r="W102" s="76"/>
    </row>
    <row r="103" spans="1:23">
      <c r="A103" s="84" t="s">
        <v>279</v>
      </c>
      <c r="B103" s="85" t="s">
        <v>278</v>
      </c>
      <c r="C103" s="85" t="s">
        <v>74</v>
      </c>
      <c r="D103" s="84" t="s">
        <v>80</v>
      </c>
      <c r="E103" s="84">
        <f>VLOOKUP(A103,'2a. SI Pop'!$A$5:$E$198,5,FALSE)</f>
        <v>2</v>
      </c>
      <c r="F103" s="84">
        <v>1995</v>
      </c>
      <c r="G103" s="84">
        <v>1993</v>
      </c>
      <c r="H103" s="84">
        <v>2013</v>
      </c>
      <c r="I103" s="84">
        <v>2013</v>
      </c>
      <c r="J103" s="84">
        <v>2013</v>
      </c>
      <c r="K103" s="3"/>
      <c r="L103" s="3"/>
      <c r="M103" s="3"/>
      <c r="N103" s="3"/>
      <c r="O103" s="3"/>
      <c r="P103" s="3"/>
      <c r="Q103" s="3"/>
      <c r="R103" s="76"/>
      <c r="S103" s="76"/>
      <c r="T103" s="76"/>
      <c r="U103" s="76"/>
      <c r="V103" s="76"/>
      <c r="W103" s="76"/>
    </row>
    <row r="104" spans="1:23">
      <c r="A104" s="84" t="s">
        <v>281</v>
      </c>
      <c r="B104" s="85" t="s">
        <v>280</v>
      </c>
      <c r="C104" s="85" t="s">
        <v>79</v>
      </c>
      <c r="D104" s="84" t="s">
        <v>87</v>
      </c>
      <c r="E104" s="84">
        <f>VLOOKUP(A104,'2a. SI Pop'!$A$5:$E$198,5,FALSE)</f>
        <v>1</v>
      </c>
      <c r="F104" s="84">
        <v>1992</v>
      </c>
      <c r="G104" s="84">
        <v>1992</v>
      </c>
      <c r="H104" s="84">
        <v>2014</v>
      </c>
      <c r="I104" s="84">
        <v>2018</v>
      </c>
      <c r="J104" s="84">
        <v>2016</v>
      </c>
      <c r="K104" s="3"/>
      <c r="L104" s="3"/>
      <c r="M104" s="3"/>
      <c r="N104" s="3"/>
      <c r="O104" s="3"/>
      <c r="P104" s="3"/>
      <c r="Q104" s="3"/>
      <c r="R104" s="76"/>
      <c r="S104" s="76"/>
      <c r="T104" s="76"/>
      <c r="U104" s="76"/>
      <c r="V104" s="76"/>
      <c r="W104" s="76"/>
    </row>
    <row r="105" spans="1:23">
      <c r="A105" s="84" t="s">
        <v>283</v>
      </c>
      <c r="B105" s="85" t="s">
        <v>282</v>
      </c>
      <c r="C105" s="85" t="s">
        <v>79</v>
      </c>
      <c r="D105" s="84" t="s">
        <v>87</v>
      </c>
      <c r="E105" s="84">
        <f>VLOOKUP(A105,'2a. SI Pop'!$A$5:$E$198,5,FALSE)</f>
        <v>1</v>
      </c>
      <c r="F105" s="84">
        <v>1994</v>
      </c>
      <c r="G105" s="84">
        <v>1986</v>
      </c>
      <c r="H105" s="84">
        <v>2005</v>
      </c>
      <c r="I105" s="84">
        <v>2006</v>
      </c>
      <c r="J105" s="84">
        <v>2008</v>
      </c>
      <c r="K105" s="3"/>
      <c r="L105" s="3"/>
      <c r="M105" s="3"/>
      <c r="N105" s="3"/>
      <c r="O105" s="3"/>
      <c r="P105" s="3"/>
      <c r="Q105" s="3"/>
      <c r="R105" s="76"/>
      <c r="S105" s="76"/>
      <c r="T105" s="76"/>
      <c r="U105" s="76"/>
      <c r="V105" s="76"/>
      <c r="W105" s="76"/>
    </row>
    <row r="106" spans="1:23">
      <c r="A106" s="84" t="s">
        <v>285</v>
      </c>
      <c r="B106" s="85" t="s">
        <v>284</v>
      </c>
      <c r="C106" s="85" t="s">
        <v>79</v>
      </c>
      <c r="D106" s="84" t="s">
        <v>80</v>
      </c>
      <c r="E106" s="84">
        <f>VLOOKUP(A106,'2a. SI Pop'!$A$5:$E$198,5,FALSE)</f>
        <v>1</v>
      </c>
      <c r="F106" s="84">
        <v>1987</v>
      </c>
      <c r="G106" s="84">
        <v>1982</v>
      </c>
      <c r="H106" s="84">
        <v>2019</v>
      </c>
      <c r="I106" s="84">
        <v>2020</v>
      </c>
      <c r="J106" s="84">
        <v>2009</v>
      </c>
      <c r="K106" s="3"/>
      <c r="L106" s="3"/>
      <c r="M106" s="3"/>
      <c r="N106" s="3"/>
      <c r="O106" s="3"/>
      <c r="P106" s="3"/>
      <c r="Q106" s="3"/>
      <c r="R106" s="76"/>
      <c r="S106" s="76"/>
      <c r="T106" s="76"/>
      <c r="U106" s="76"/>
      <c r="V106" s="76"/>
      <c r="W106" s="76"/>
    </row>
    <row r="107" spans="1:23">
      <c r="A107" s="84" t="s">
        <v>287</v>
      </c>
      <c r="B107" s="85" t="s">
        <v>286</v>
      </c>
      <c r="C107" s="85" t="s">
        <v>83</v>
      </c>
      <c r="D107" s="84" t="s">
        <v>75</v>
      </c>
      <c r="E107" s="84">
        <f>VLOOKUP(A107,'2a. SI Pop'!$A$5:$E$198,5,FALSE)</f>
        <v>3</v>
      </c>
      <c r="F107" s="84">
        <v>2021</v>
      </c>
      <c r="G107" s="84">
        <v>2022</v>
      </c>
      <c r="H107" s="84">
        <v>2012</v>
      </c>
      <c r="I107" s="84">
        <v>2014</v>
      </c>
      <c r="J107" s="84">
        <v>2024</v>
      </c>
      <c r="K107" s="3"/>
      <c r="L107" s="3"/>
      <c r="M107" s="3"/>
      <c r="N107" s="3"/>
      <c r="O107" s="3"/>
      <c r="P107" s="3"/>
      <c r="Q107" s="3"/>
      <c r="R107" s="76"/>
      <c r="S107" s="76"/>
      <c r="T107" s="76"/>
      <c r="U107" s="76"/>
      <c r="V107" s="76"/>
      <c r="W107" s="76"/>
    </row>
    <row r="108" spans="1:23">
      <c r="A108" s="84" t="s">
        <v>289</v>
      </c>
      <c r="B108" s="85" t="s">
        <v>288</v>
      </c>
      <c r="C108" s="85" t="s">
        <v>83</v>
      </c>
      <c r="D108" s="84" t="s">
        <v>75</v>
      </c>
      <c r="E108" s="84">
        <f>VLOOKUP(A108,'2a. SI Pop'!$A$5:$E$198,5,FALSE)</f>
        <v>3</v>
      </c>
      <c r="F108" s="84">
        <v>2015</v>
      </c>
      <c r="G108" s="84">
        <v>2017</v>
      </c>
      <c r="H108" s="84">
        <v>2011</v>
      </c>
      <c r="I108" s="84">
        <v>2012</v>
      </c>
      <c r="J108" s="84">
        <v>2019</v>
      </c>
      <c r="K108" s="3"/>
      <c r="L108" s="3"/>
      <c r="M108" s="3"/>
      <c r="N108" s="3"/>
      <c r="O108" s="3"/>
      <c r="P108" s="3"/>
      <c r="Q108" s="3"/>
      <c r="R108" s="76"/>
      <c r="S108" s="76"/>
      <c r="T108" s="76"/>
      <c r="U108" s="76"/>
      <c r="V108" s="76"/>
      <c r="W108" s="76"/>
    </row>
    <row r="109" spans="1:23">
      <c r="A109" s="84" t="s">
        <v>291</v>
      </c>
      <c r="B109" s="85" t="s">
        <v>290</v>
      </c>
      <c r="C109" s="85" t="s">
        <v>99</v>
      </c>
      <c r="D109" s="84" t="s">
        <v>80</v>
      </c>
      <c r="E109" s="84">
        <f>VLOOKUP(A109,'2a. SI Pop'!$A$5:$E$198,5,FALSE)</f>
        <v>2</v>
      </c>
      <c r="F109" s="84">
        <v>2002</v>
      </c>
      <c r="G109" s="84">
        <v>2004</v>
      </c>
      <c r="H109" s="84">
        <v>2020</v>
      </c>
      <c r="I109" s="84" t="s">
        <v>566</v>
      </c>
      <c r="J109" s="84">
        <v>2010</v>
      </c>
      <c r="K109" s="3"/>
      <c r="L109" s="3"/>
      <c r="M109" s="3"/>
      <c r="N109" s="3"/>
      <c r="O109" s="3"/>
      <c r="P109" s="3"/>
      <c r="Q109" s="3"/>
      <c r="R109" s="76"/>
      <c r="S109" s="76"/>
      <c r="T109" s="76"/>
      <c r="U109" s="76"/>
      <c r="V109" s="76"/>
      <c r="W109" s="76"/>
    </row>
    <row r="110" spans="1:23">
      <c r="A110" s="84" t="s">
        <v>293</v>
      </c>
      <c r="B110" s="85" t="s">
        <v>292</v>
      </c>
      <c r="C110" s="85" t="s">
        <v>110</v>
      </c>
      <c r="D110" s="84" t="s">
        <v>80</v>
      </c>
      <c r="E110" s="84">
        <f>VLOOKUP(A110,'2a. SI Pop'!$A$5:$E$198,5,FALSE)</f>
        <v>2</v>
      </c>
      <c r="F110" s="84">
        <v>2007</v>
      </c>
      <c r="G110" s="84">
        <v>2007</v>
      </c>
      <c r="H110" s="84" t="s">
        <v>566</v>
      </c>
      <c r="I110" s="84" t="s">
        <v>566</v>
      </c>
      <c r="J110" s="84">
        <v>2019</v>
      </c>
      <c r="K110" s="3"/>
      <c r="L110" s="3"/>
      <c r="M110" s="3"/>
      <c r="N110" s="3"/>
      <c r="O110" s="3"/>
      <c r="P110" s="3"/>
      <c r="Q110" s="3"/>
      <c r="R110" s="76"/>
      <c r="S110" s="76"/>
      <c r="T110" s="76"/>
      <c r="U110" s="76"/>
      <c r="V110" s="76"/>
      <c r="W110" s="76"/>
    </row>
    <row r="111" spans="1:23">
      <c r="A111" s="84" t="s">
        <v>295</v>
      </c>
      <c r="B111" s="85" t="s">
        <v>294</v>
      </c>
      <c r="C111" s="85" t="s">
        <v>83</v>
      </c>
      <c r="D111" s="84" t="s">
        <v>75</v>
      </c>
      <c r="E111" s="84">
        <f>VLOOKUP(A111,'2a. SI Pop'!$A$5:$E$198,5,FALSE)</f>
        <v>3</v>
      </c>
      <c r="F111" s="84">
        <v>2019</v>
      </c>
      <c r="G111" s="84" t="s">
        <v>566</v>
      </c>
      <c r="H111" s="84">
        <v>2011</v>
      </c>
      <c r="I111" s="84">
        <v>2015</v>
      </c>
      <c r="J111" s="84">
        <v>2023</v>
      </c>
      <c r="K111" s="3"/>
      <c r="L111" s="3"/>
      <c r="M111" s="3"/>
      <c r="N111" s="3"/>
      <c r="O111" s="3"/>
      <c r="P111" s="3"/>
      <c r="Q111" s="3"/>
      <c r="R111" s="76"/>
      <c r="S111" s="76"/>
      <c r="T111" s="76"/>
      <c r="U111" s="76"/>
      <c r="V111" s="76"/>
      <c r="W111" s="76"/>
    </row>
    <row r="112" spans="1:23">
      <c r="A112" s="84" t="s">
        <v>297</v>
      </c>
      <c r="B112" s="85" t="s">
        <v>296</v>
      </c>
      <c r="C112" s="85" t="s">
        <v>79</v>
      </c>
      <c r="D112" s="84" t="s">
        <v>87</v>
      </c>
      <c r="E112" s="84">
        <f>VLOOKUP(A112,'2a. SI Pop'!$A$5:$E$198,5,FALSE)</f>
        <v>1</v>
      </c>
      <c r="F112" s="84">
        <v>1989</v>
      </c>
      <c r="G112" s="84">
        <v>1985</v>
      </c>
      <c r="H112" s="84">
        <v>2020</v>
      </c>
      <c r="I112" s="84" t="s">
        <v>566</v>
      </c>
      <c r="J112" s="84">
        <v>2013</v>
      </c>
      <c r="K112" s="3"/>
      <c r="L112" s="3"/>
      <c r="M112" s="3"/>
      <c r="N112" s="3"/>
      <c r="O112" s="3"/>
      <c r="P112" s="3"/>
      <c r="Q112" s="3"/>
      <c r="R112" s="76"/>
      <c r="S112" s="76"/>
      <c r="T112" s="76"/>
      <c r="U112" s="76"/>
      <c r="V112" s="76"/>
      <c r="W112" s="76"/>
    </row>
    <row r="113" spans="1:23">
      <c r="A113" s="84" t="s">
        <v>299</v>
      </c>
      <c r="B113" s="85" t="s">
        <v>298</v>
      </c>
      <c r="C113" s="85" t="s">
        <v>99</v>
      </c>
      <c r="D113" s="84" t="s">
        <v>80</v>
      </c>
      <c r="E113" s="84">
        <f>VLOOKUP(A113,'2a. SI Pop'!$A$5:$E$198,5,FALSE)</f>
        <v>1</v>
      </c>
      <c r="F113" s="84">
        <v>1998</v>
      </c>
      <c r="G113" s="84">
        <v>1998</v>
      </c>
      <c r="H113" s="84">
        <v>2009</v>
      </c>
      <c r="I113" s="84">
        <v>2009</v>
      </c>
      <c r="J113" s="84">
        <v>2009</v>
      </c>
      <c r="K113" s="3"/>
      <c r="L113" s="3"/>
      <c r="M113" s="3"/>
      <c r="N113" s="3"/>
      <c r="O113" s="3"/>
      <c r="P113" s="3"/>
      <c r="Q113" s="3"/>
      <c r="R113" s="76"/>
      <c r="S113" s="76"/>
      <c r="T113" s="76"/>
      <c r="U113" s="76"/>
      <c r="V113" s="76"/>
      <c r="W113" s="76"/>
    </row>
    <row r="114" spans="1:23">
      <c r="A114" s="84" t="s">
        <v>301</v>
      </c>
      <c r="B114" s="85" t="s">
        <v>300</v>
      </c>
      <c r="C114" s="85" t="s">
        <v>83</v>
      </c>
      <c r="D114" s="84" t="s">
        <v>84</v>
      </c>
      <c r="E114" s="84">
        <f>VLOOKUP(A114,'2a. SI Pop'!$A$5:$E$198,5,FALSE)</f>
        <v>3</v>
      </c>
      <c r="F114" s="84">
        <v>2021</v>
      </c>
      <c r="G114" s="84">
        <v>2018</v>
      </c>
      <c r="H114" s="84">
        <v>2013</v>
      </c>
      <c r="I114" s="84">
        <v>2014</v>
      </c>
      <c r="J114" s="84">
        <v>2021</v>
      </c>
      <c r="K114" s="3"/>
      <c r="L114" s="3"/>
      <c r="M114" s="3"/>
      <c r="N114" s="3"/>
      <c r="O114" s="3"/>
      <c r="P114" s="3"/>
      <c r="Q114" s="3"/>
      <c r="R114" s="76"/>
      <c r="S114" s="76"/>
      <c r="T114" s="76"/>
      <c r="U114" s="76"/>
      <c r="V114" s="76"/>
      <c r="W114" s="76"/>
    </row>
    <row r="115" spans="1:23">
      <c r="A115" s="84" t="s">
        <v>303</v>
      </c>
      <c r="B115" s="85" t="s">
        <v>302</v>
      </c>
      <c r="C115" s="85" t="s">
        <v>83</v>
      </c>
      <c r="D115" s="84" t="s">
        <v>87</v>
      </c>
      <c r="E115" s="84">
        <f>VLOOKUP(A115,'2a. SI Pop'!$A$5:$E$198,5,FALSE)</f>
        <v>1</v>
      </c>
      <c r="F115" s="84">
        <v>2003</v>
      </c>
      <c r="G115" s="84">
        <v>1996</v>
      </c>
      <c r="H115" s="84">
        <v>2016</v>
      </c>
      <c r="I115" s="84">
        <v>2015</v>
      </c>
      <c r="J115" s="84">
        <v>2017</v>
      </c>
      <c r="K115" s="3"/>
      <c r="L115" s="3"/>
      <c r="M115" s="3"/>
      <c r="N115" s="3"/>
      <c r="O115" s="3"/>
      <c r="P115" s="3"/>
      <c r="Q115" s="3"/>
      <c r="R115" s="76"/>
      <c r="S115" s="76"/>
      <c r="T115" s="76"/>
      <c r="U115" s="76"/>
      <c r="V115" s="76"/>
      <c r="W115" s="76"/>
    </row>
    <row r="116" spans="1:23">
      <c r="A116" s="84" t="s">
        <v>305</v>
      </c>
      <c r="B116" s="85" t="s">
        <v>304</v>
      </c>
      <c r="C116" s="85" t="s">
        <v>92</v>
      </c>
      <c r="D116" s="84" t="s">
        <v>80</v>
      </c>
      <c r="E116" s="84">
        <f>VLOOKUP(A116,'2a. SI Pop'!$A$5:$E$198,5,FALSE)</f>
        <v>2</v>
      </c>
      <c r="F116" s="84">
        <v>1993</v>
      </c>
      <c r="G116" s="84">
        <v>1998</v>
      </c>
      <c r="H116" s="84">
        <v>2009</v>
      </c>
      <c r="I116" s="84">
        <v>2007</v>
      </c>
      <c r="J116" s="84">
        <v>2012</v>
      </c>
      <c r="K116" s="3"/>
      <c r="L116" s="3"/>
      <c r="M116" s="3"/>
      <c r="N116" s="3"/>
      <c r="O116" s="3"/>
      <c r="P116" s="3"/>
      <c r="Q116" s="3"/>
      <c r="R116" s="76"/>
      <c r="S116" s="76"/>
      <c r="T116" s="76"/>
      <c r="U116" s="76"/>
      <c r="V116" s="76"/>
      <c r="W116" s="76"/>
    </row>
    <row r="117" spans="1:23">
      <c r="A117" s="84" t="s">
        <v>307</v>
      </c>
      <c r="B117" s="85" t="s">
        <v>306</v>
      </c>
      <c r="C117" s="85" t="s">
        <v>99</v>
      </c>
      <c r="D117" s="84" t="s">
        <v>84</v>
      </c>
      <c r="E117" s="84">
        <f>VLOOKUP(A117,'2a. SI Pop'!$A$5:$E$198,5,FALSE)</f>
        <v>1</v>
      </c>
      <c r="F117" s="84">
        <v>1995</v>
      </c>
      <c r="G117" s="84">
        <v>1982</v>
      </c>
      <c r="H117" s="84">
        <v>2008</v>
      </c>
      <c r="I117" s="84">
        <v>2008</v>
      </c>
      <c r="J117" s="84">
        <v>2010</v>
      </c>
      <c r="K117" s="3"/>
      <c r="L117" s="3"/>
      <c r="M117" s="3"/>
      <c r="N117" s="3"/>
      <c r="O117" s="3"/>
      <c r="P117" s="3"/>
      <c r="Q117" s="3"/>
      <c r="R117" s="76"/>
      <c r="S117" s="76"/>
      <c r="T117" s="76"/>
      <c r="U117" s="76"/>
      <c r="V117" s="76"/>
      <c r="W117" s="76"/>
    </row>
    <row r="118" spans="1:23">
      <c r="A118" s="84" t="s">
        <v>309</v>
      </c>
      <c r="B118" s="85" t="s">
        <v>308</v>
      </c>
      <c r="C118" s="85" t="s">
        <v>79</v>
      </c>
      <c r="D118" s="84" t="s">
        <v>84</v>
      </c>
      <c r="E118" s="84">
        <f>VLOOKUP(A118,'2a. SI Pop'!$A$5:$E$198,5,FALSE)</f>
        <v>1</v>
      </c>
      <c r="F118" s="84">
        <v>2002</v>
      </c>
      <c r="G118" s="84">
        <v>2002</v>
      </c>
      <c r="H118" s="84" t="s">
        <v>566</v>
      </c>
      <c r="I118" s="84" t="s">
        <v>566</v>
      </c>
      <c r="J118" s="84" t="s">
        <v>566</v>
      </c>
      <c r="K118" s="3"/>
      <c r="L118" s="3"/>
      <c r="M118" s="3"/>
      <c r="N118" s="3"/>
      <c r="O118" s="3"/>
      <c r="P118" s="3"/>
      <c r="Q118" s="3"/>
      <c r="R118" s="76"/>
      <c r="S118" s="76"/>
      <c r="T118" s="76"/>
      <c r="U118" s="76"/>
      <c r="V118" s="76"/>
      <c r="W118" s="76"/>
    </row>
    <row r="119" spans="1:23">
      <c r="A119" s="84" t="s">
        <v>311</v>
      </c>
      <c r="B119" s="85" t="s">
        <v>310</v>
      </c>
      <c r="C119" s="85" t="s">
        <v>79</v>
      </c>
      <c r="D119" s="84" t="s">
        <v>87</v>
      </c>
      <c r="E119" s="84">
        <f>VLOOKUP(A119,'2a. SI Pop'!$A$5:$E$198,5,FALSE)</f>
        <v>1</v>
      </c>
      <c r="F119" s="84">
        <v>1996</v>
      </c>
      <c r="G119" s="84">
        <v>1970</v>
      </c>
      <c r="H119" s="84" t="s">
        <v>566</v>
      </c>
      <c r="I119" s="84" t="s">
        <v>566</v>
      </c>
      <c r="J119" s="84">
        <v>2006</v>
      </c>
      <c r="K119" s="3"/>
      <c r="L119" s="3"/>
      <c r="M119" s="3"/>
      <c r="N119" s="3"/>
      <c r="O119" s="3"/>
      <c r="P119" s="3"/>
      <c r="Q119" s="3"/>
      <c r="R119" s="76"/>
      <c r="S119" s="76"/>
      <c r="T119" s="76"/>
      <c r="U119" s="76"/>
      <c r="V119" s="76"/>
      <c r="W119" s="76"/>
    </row>
    <row r="120" spans="1:23">
      <c r="A120" s="84" t="s">
        <v>313</v>
      </c>
      <c r="B120" s="85" t="s">
        <v>312</v>
      </c>
      <c r="C120" s="85" t="s">
        <v>99</v>
      </c>
      <c r="D120" s="84" t="s">
        <v>84</v>
      </c>
      <c r="E120" s="84">
        <f>VLOOKUP(A120,'2a. SI Pop'!$A$5:$E$198,5,FALSE)</f>
        <v>2</v>
      </c>
      <c r="F120" s="84">
        <v>1989</v>
      </c>
      <c r="G120" s="84">
        <v>2009</v>
      </c>
      <c r="H120" s="84">
        <v>2019</v>
      </c>
      <c r="I120" s="84" t="s">
        <v>566</v>
      </c>
      <c r="J120" s="84">
        <v>2021</v>
      </c>
      <c r="K120" s="3"/>
      <c r="L120" s="3"/>
      <c r="M120" s="3"/>
      <c r="N120" s="3"/>
      <c r="O120" s="3"/>
      <c r="P120" s="3"/>
      <c r="Q120" s="3"/>
      <c r="R120" s="76"/>
      <c r="S120" s="76"/>
      <c r="T120" s="76"/>
      <c r="U120" s="76"/>
      <c r="V120" s="76"/>
      <c r="W120" s="76"/>
    </row>
    <row r="121" spans="1:23">
      <c r="A121" s="84" t="s">
        <v>315</v>
      </c>
      <c r="B121" s="85" t="s">
        <v>314</v>
      </c>
      <c r="C121" s="85" t="s">
        <v>79</v>
      </c>
      <c r="D121" s="84" t="s">
        <v>80</v>
      </c>
      <c r="E121" s="84">
        <f>VLOOKUP(A121,'2a. SI Pop'!$A$5:$E$198,5,FALSE)</f>
        <v>1</v>
      </c>
      <c r="F121" s="84">
        <v>1994</v>
      </c>
      <c r="G121" s="84">
        <v>1994</v>
      </c>
      <c r="H121" s="84" t="s">
        <v>566</v>
      </c>
      <c r="I121" s="84" t="s">
        <v>566</v>
      </c>
      <c r="J121" s="84" t="s">
        <v>566</v>
      </c>
      <c r="K121" s="3"/>
      <c r="L121" s="3"/>
      <c r="M121" s="3"/>
      <c r="N121" s="3"/>
      <c r="O121" s="3"/>
      <c r="P121" s="3"/>
      <c r="Q121" s="3"/>
      <c r="R121" s="76"/>
      <c r="S121" s="76"/>
      <c r="T121" s="76"/>
      <c r="U121" s="76"/>
      <c r="V121" s="76"/>
      <c r="W121" s="76"/>
    </row>
    <row r="122" spans="1:23">
      <c r="A122" s="84" t="s">
        <v>317</v>
      </c>
      <c r="B122" s="85" t="s">
        <v>316</v>
      </c>
      <c r="C122" s="85" t="s">
        <v>74</v>
      </c>
      <c r="D122" s="84" t="s">
        <v>84</v>
      </c>
      <c r="E122" s="84">
        <f>VLOOKUP(A122,'2a. SI Pop'!$A$5:$E$198,5,FALSE)</f>
        <v>3</v>
      </c>
      <c r="F122" s="84">
        <v>2014</v>
      </c>
      <c r="G122" s="84">
        <v>2003</v>
      </c>
      <c r="H122" s="84">
        <v>2010</v>
      </c>
      <c r="I122" s="84">
        <v>2010</v>
      </c>
      <c r="J122" s="84">
        <v>2021</v>
      </c>
      <c r="K122" s="3"/>
      <c r="L122" s="3"/>
      <c r="M122" s="3"/>
      <c r="N122" s="3"/>
      <c r="O122" s="3"/>
      <c r="P122" s="3"/>
      <c r="Q122" s="3"/>
      <c r="R122" s="76"/>
      <c r="S122" s="76"/>
      <c r="T122" s="76"/>
      <c r="U122" s="76"/>
      <c r="V122" s="76"/>
      <c r="W122" s="76"/>
    </row>
    <row r="123" spans="1:23">
      <c r="A123" s="84" t="s">
        <v>319</v>
      </c>
      <c r="B123" s="85" t="s">
        <v>318</v>
      </c>
      <c r="C123" s="85" t="s">
        <v>83</v>
      </c>
      <c r="D123" s="84" t="s">
        <v>75</v>
      </c>
      <c r="E123" s="84" t="str">
        <f>VLOOKUP(A123,'2a. SI Pop'!$A$5:$E$198,5,FALSE)</f>
        <v>Key</v>
      </c>
      <c r="F123" s="84">
        <v>2015</v>
      </c>
      <c r="G123" s="84">
        <v>2018</v>
      </c>
      <c r="H123" s="84">
        <v>2013</v>
      </c>
      <c r="I123" s="84">
        <v>2015</v>
      </c>
      <c r="J123" s="84">
        <v>2021</v>
      </c>
      <c r="K123" s="3"/>
      <c r="L123" s="3"/>
      <c r="M123" s="3"/>
      <c r="N123" s="3"/>
      <c r="O123" s="3"/>
      <c r="P123" s="3"/>
      <c r="Q123" s="3"/>
      <c r="R123" s="76"/>
      <c r="S123" s="76"/>
      <c r="T123" s="76"/>
      <c r="U123" s="76"/>
      <c r="V123" s="76"/>
      <c r="W123" s="76"/>
    </row>
    <row r="124" spans="1:23">
      <c r="A124" s="84" t="s">
        <v>321</v>
      </c>
      <c r="B124" s="85" t="s">
        <v>320</v>
      </c>
      <c r="C124" s="85" t="s">
        <v>110</v>
      </c>
      <c r="D124" s="84" t="s">
        <v>84</v>
      </c>
      <c r="E124" s="84">
        <f>VLOOKUP(A124,'2a. SI Pop'!$A$5:$E$198,5,FALSE)</f>
        <v>4</v>
      </c>
      <c r="F124" s="84">
        <v>2012</v>
      </c>
      <c r="G124" s="84">
        <v>2015</v>
      </c>
      <c r="H124" s="84">
        <v>2016</v>
      </c>
      <c r="I124" s="84">
        <v>2020</v>
      </c>
      <c r="J124" s="84">
        <v>2020</v>
      </c>
      <c r="K124" s="3"/>
      <c r="L124" s="3"/>
      <c r="M124" s="3"/>
      <c r="N124" s="3"/>
      <c r="O124" s="3"/>
      <c r="P124" s="3"/>
      <c r="Q124" s="3"/>
      <c r="R124" s="76"/>
      <c r="S124" s="76"/>
      <c r="T124" s="76"/>
      <c r="U124" s="76"/>
      <c r="V124" s="76"/>
      <c r="W124" s="76"/>
    </row>
    <row r="125" spans="1:23">
      <c r="A125" s="84" t="s">
        <v>323</v>
      </c>
      <c r="B125" s="85" t="s">
        <v>322</v>
      </c>
      <c r="C125" s="85" t="s">
        <v>83</v>
      </c>
      <c r="D125" s="84" t="s">
        <v>80</v>
      </c>
      <c r="E125" s="84">
        <f>VLOOKUP(A125,'2a. SI Pop'!$A$5:$E$198,5,FALSE)</f>
        <v>3</v>
      </c>
      <c r="F125" s="84">
        <v>2017</v>
      </c>
      <c r="G125" s="84">
        <v>2016</v>
      </c>
      <c r="H125" s="84">
        <v>2014</v>
      </c>
      <c r="I125" s="84">
        <v>2014</v>
      </c>
      <c r="J125" s="84">
        <v>2022</v>
      </c>
      <c r="K125" s="3"/>
      <c r="L125" s="3"/>
      <c r="M125" s="3"/>
      <c r="N125" s="3"/>
      <c r="O125" s="3"/>
      <c r="P125" s="3"/>
      <c r="Q125" s="3"/>
      <c r="R125" s="76"/>
      <c r="S125" s="76"/>
      <c r="T125" s="76"/>
      <c r="U125" s="76"/>
      <c r="V125" s="76"/>
      <c r="W125" s="76"/>
    </row>
    <row r="126" spans="1:23">
      <c r="A126" s="84" t="s">
        <v>325</v>
      </c>
      <c r="B126" s="85" t="s">
        <v>324</v>
      </c>
      <c r="C126" s="85" t="s">
        <v>99</v>
      </c>
      <c r="D126" s="84" t="s">
        <v>87</v>
      </c>
      <c r="E126" s="84">
        <f>VLOOKUP(A126,'2a. SI Pop'!$A$5:$E$198,5,FALSE)</f>
        <v>1</v>
      </c>
      <c r="F126" s="84">
        <v>2005</v>
      </c>
      <c r="G126" s="84">
        <v>2006</v>
      </c>
      <c r="H126" s="84" t="s">
        <v>566</v>
      </c>
      <c r="I126" s="84" t="s">
        <v>566</v>
      </c>
      <c r="J126" s="84" t="s">
        <v>566</v>
      </c>
      <c r="K126" s="3"/>
      <c r="L126" s="3"/>
      <c r="M126" s="3"/>
      <c r="N126" s="3"/>
      <c r="O126" s="3"/>
      <c r="P126" s="3"/>
      <c r="Q126" s="3"/>
      <c r="R126" s="76"/>
      <c r="S126" s="76"/>
      <c r="T126" s="76"/>
      <c r="U126" s="76"/>
      <c r="V126" s="76"/>
      <c r="W126" s="76"/>
    </row>
    <row r="127" spans="1:23">
      <c r="A127" s="84" t="s">
        <v>327</v>
      </c>
      <c r="B127" s="85" t="s">
        <v>326</v>
      </c>
      <c r="C127" s="85" t="s">
        <v>110</v>
      </c>
      <c r="D127" s="84" t="s">
        <v>84</v>
      </c>
      <c r="E127" s="84">
        <f>VLOOKUP(A127,'2a. SI Pop'!$A$5:$E$198,5,FALSE)</f>
        <v>4</v>
      </c>
      <c r="F127" s="84">
        <v>2015</v>
      </c>
      <c r="G127" s="84">
        <v>2013</v>
      </c>
      <c r="H127" s="84">
        <v>2015</v>
      </c>
      <c r="I127" s="84">
        <v>2020</v>
      </c>
      <c r="J127" s="84" t="s">
        <v>566</v>
      </c>
      <c r="K127" s="3"/>
      <c r="L127" s="3"/>
      <c r="M127" s="3"/>
      <c r="N127" s="3"/>
      <c r="O127" s="3"/>
      <c r="P127" s="3"/>
      <c r="Q127" s="3"/>
      <c r="R127" s="76"/>
      <c r="S127" s="76"/>
      <c r="T127" s="76"/>
      <c r="U127" s="76"/>
      <c r="V127" s="76"/>
      <c r="W127" s="76"/>
    </row>
    <row r="128" spans="1:23">
      <c r="A128" s="84" t="s">
        <v>329</v>
      </c>
      <c r="B128" s="85" t="s">
        <v>328</v>
      </c>
      <c r="C128" s="85" t="s">
        <v>79</v>
      </c>
      <c r="D128" s="84" t="s">
        <v>87</v>
      </c>
      <c r="E128" s="84">
        <f>VLOOKUP(A128,'2a. SI Pop'!$A$5:$E$198,5,FALSE)</f>
        <v>1</v>
      </c>
      <c r="F128" s="84">
        <v>1987</v>
      </c>
      <c r="G128" s="84">
        <v>1974</v>
      </c>
      <c r="H128" s="84">
        <v>2006</v>
      </c>
      <c r="I128" s="84" t="s">
        <v>566</v>
      </c>
      <c r="J128" s="84">
        <v>2010</v>
      </c>
      <c r="K128" s="3"/>
      <c r="L128" s="3"/>
      <c r="M128" s="3"/>
      <c r="N128" s="3"/>
      <c r="O128" s="3"/>
      <c r="P128" s="3"/>
      <c r="Q128" s="3"/>
      <c r="R128" s="76"/>
      <c r="S128" s="76"/>
      <c r="T128" s="76"/>
      <c r="U128" s="76"/>
      <c r="V128" s="76"/>
      <c r="W128" s="76"/>
    </row>
    <row r="129" spans="1:23">
      <c r="A129" s="84" t="s">
        <v>331</v>
      </c>
      <c r="B129" s="85" t="s">
        <v>330</v>
      </c>
      <c r="C129" s="85" t="s">
        <v>99</v>
      </c>
      <c r="D129" s="84" t="s">
        <v>87</v>
      </c>
      <c r="E129" s="84">
        <f>VLOOKUP(A129,'2a. SI Pop'!$A$5:$E$198,5,FALSE)</f>
        <v>1</v>
      </c>
      <c r="F129" s="84">
        <v>1992</v>
      </c>
      <c r="G129" s="84">
        <v>1970</v>
      </c>
      <c r="H129" s="84">
        <v>2008</v>
      </c>
      <c r="I129" s="84">
        <v>2014</v>
      </c>
      <c r="J129" s="84">
        <v>2008</v>
      </c>
      <c r="K129" s="3"/>
      <c r="L129" s="3"/>
      <c r="M129" s="3"/>
      <c r="N129" s="3"/>
      <c r="O129" s="3"/>
      <c r="P129" s="3"/>
      <c r="Q129" s="3"/>
      <c r="R129" s="76"/>
      <c r="S129" s="76"/>
      <c r="T129" s="76"/>
      <c r="U129" s="76"/>
      <c r="V129" s="76"/>
      <c r="W129" s="76"/>
    </row>
    <row r="130" spans="1:23">
      <c r="A130" s="84" t="s">
        <v>333</v>
      </c>
      <c r="B130" s="85" t="s">
        <v>332</v>
      </c>
      <c r="C130" s="85" t="s">
        <v>92</v>
      </c>
      <c r="D130" s="84" t="s">
        <v>84</v>
      </c>
      <c r="E130" s="84">
        <f>VLOOKUP(A130,'2a. SI Pop'!$A$5:$E$198,5,FALSE)</f>
        <v>2</v>
      </c>
      <c r="F130" s="84">
        <v>2017</v>
      </c>
      <c r="G130" s="84">
        <v>1980</v>
      </c>
      <c r="H130" s="84">
        <v>2010</v>
      </c>
      <c r="I130" s="84">
        <v>2006</v>
      </c>
      <c r="J130" s="84" t="s">
        <v>566</v>
      </c>
      <c r="K130" s="3"/>
      <c r="L130" s="3"/>
      <c r="M130" s="3"/>
      <c r="N130" s="3"/>
      <c r="O130" s="3"/>
      <c r="P130" s="3"/>
      <c r="Q130" s="3"/>
      <c r="R130" s="76"/>
      <c r="S130" s="76"/>
      <c r="T130" s="76"/>
      <c r="U130" s="76"/>
      <c r="V130" s="76"/>
      <c r="W130" s="76"/>
    </row>
    <row r="131" spans="1:23">
      <c r="A131" s="84" t="s">
        <v>335</v>
      </c>
      <c r="B131" s="85" t="s">
        <v>334</v>
      </c>
      <c r="C131" s="85" t="s">
        <v>83</v>
      </c>
      <c r="D131" s="84" t="s">
        <v>75</v>
      </c>
      <c r="E131" s="84">
        <f>VLOOKUP(A131,'2a. SI Pop'!$A$5:$E$198,5,FALSE)</f>
        <v>3</v>
      </c>
      <c r="F131" s="84">
        <v>2014</v>
      </c>
      <c r="G131" s="84" t="s">
        <v>566</v>
      </c>
      <c r="H131" s="84">
        <v>2014</v>
      </c>
      <c r="I131" s="84">
        <v>2014</v>
      </c>
      <c r="J131" s="84" t="s">
        <v>566</v>
      </c>
      <c r="K131" s="3"/>
      <c r="L131" s="3"/>
      <c r="M131" s="3"/>
      <c r="N131" s="3"/>
      <c r="O131" s="3"/>
      <c r="P131" s="3"/>
      <c r="Q131" s="3"/>
      <c r="R131" s="76"/>
      <c r="S131" s="76"/>
      <c r="T131" s="76"/>
      <c r="U131" s="76"/>
      <c r="V131" s="76"/>
      <c r="W131" s="76"/>
    </row>
    <row r="132" spans="1:23">
      <c r="A132" s="84" t="s">
        <v>337</v>
      </c>
      <c r="B132" s="85" t="s">
        <v>336</v>
      </c>
      <c r="C132" s="85" t="s">
        <v>83</v>
      </c>
      <c r="D132" s="84" t="s">
        <v>84</v>
      </c>
      <c r="E132" s="84" t="str">
        <f>VLOOKUP(A132,'2a. SI Pop'!$A$5:$E$198,5,FALSE)</f>
        <v>Key</v>
      </c>
      <c r="F132" s="84">
        <v>2020</v>
      </c>
      <c r="G132" s="84" t="s">
        <v>566</v>
      </c>
      <c r="H132" s="84">
        <v>2017</v>
      </c>
      <c r="I132" s="84">
        <v>2021</v>
      </c>
      <c r="J132" s="84">
        <v>2023</v>
      </c>
      <c r="K132" s="3"/>
      <c r="L132" s="3"/>
      <c r="M132" s="3"/>
      <c r="N132" s="3"/>
      <c r="O132" s="3"/>
      <c r="P132" s="3"/>
      <c r="Q132" s="3"/>
      <c r="R132" s="76"/>
      <c r="S132" s="76"/>
      <c r="T132" s="76"/>
      <c r="U132" s="76"/>
      <c r="V132" s="76"/>
      <c r="W132" s="76"/>
    </row>
    <row r="133" spans="1:23">
      <c r="A133" s="84" t="s">
        <v>339</v>
      </c>
      <c r="B133" s="85" t="s">
        <v>338</v>
      </c>
      <c r="C133" s="85" t="s">
        <v>99</v>
      </c>
      <c r="D133" s="84" t="e">
        <v>#N/A</v>
      </c>
      <c r="E133" s="84">
        <f>VLOOKUP(A133,'2a. SI Pop'!$A$5:$E$198,5,FALSE)</f>
        <v>1</v>
      </c>
      <c r="F133" s="84">
        <v>1975</v>
      </c>
      <c r="G133" s="84">
        <v>1980</v>
      </c>
      <c r="H133" s="84">
        <v>2009</v>
      </c>
      <c r="I133" s="84">
        <v>2016</v>
      </c>
      <c r="J133" s="84">
        <v>2019</v>
      </c>
      <c r="K133" s="3"/>
      <c r="L133" s="3"/>
      <c r="M133" s="3"/>
      <c r="N133" s="3"/>
      <c r="O133" s="3"/>
      <c r="P133" s="3"/>
      <c r="Q133" s="3"/>
      <c r="R133" s="76"/>
      <c r="S133" s="76"/>
      <c r="T133" s="76"/>
      <c r="U133" s="76"/>
      <c r="V133" s="76"/>
      <c r="W133" s="76"/>
    </row>
    <row r="134" spans="1:23">
      <c r="A134" s="84" t="s">
        <v>341</v>
      </c>
      <c r="B134" s="85" t="s">
        <v>340</v>
      </c>
      <c r="C134" s="85" t="s">
        <v>79</v>
      </c>
      <c r="D134" s="84" t="s">
        <v>87</v>
      </c>
      <c r="E134" s="84">
        <f>VLOOKUP(A134,'2a. SI Pop'!$A$5:$E$198,5,FALSE)</f>
        <v>1</v>
      </c>
      <c r="F134" s="84">
        <v>1983</v>
      </c>
      <c r="G134" s="84">
        <v>1978</v>
      </c>
      <c r="H134" s="84">
        <v>2006</v>
      </c>
      <c r="I134" s="84">
        <v>2014</v>
      </c>
      <c r="J134" s="84">
        <v>2009</v>
      </c>
      <c r="K134" s="3"/>
      <c r="L134" s="3"/>
      <c r="M134" s="3"/>
      <c r="N134" s="3"/>
      <c r="O134" s="3"/>
      <c r="P134" s="3"/>
      <c r="Q134" s="3"/>
      <c r="R134" s="76"/>
      <c r="S134" s="76"/>
      <c r="T134" s="76"/>
      <c r="U134" s="76"/>
      <c r="V134" s="76"/>
      <c r="W134" s="76"/>
    </row>
    <row r="135" spans="1:23">
      <c r="A135" s="84" t="s">
        <v>343</v>
      </c>
      <c r="B135" s="85" t="s">
        <v>342</v>
      </c>
      <c r="C135" s="85" t="s">
        <v>74</v>
      </c>
      <c r="D135" s="84" t="s">
        <v>87</v>
      </c>
      <c r="E135" s="84">
        <f>VLOOKUP(A135,'2a. SI Pop'!$A$5:$E$198,5,FALSE)</f>
        <v>1</v>
      </c>
      <c r="F135" s="84">
        <v>1994</v>
      </c>
      <c r="G135" s="84">
        <v>1994</v>
      </c>
      <c r="H135" s="84">
        <v>2008</v>
      </c>
      <c r="I135" s="84" t="s">
        <v>566</v>
      </c>
      <c r="J135" s="84" t="s">
        <v>566</v>
      </c>
      <c r="K135" s="3"/>
      <c r="L135" s="3"/>
      <c r="M135" s="3"/>
      <c r="N135" s="3"/>
      <c r="O135" s="3"/>
      <c r="P135" s="3"/>
      <c r="Q135" s="3"/>
      <c r="R135" s="76"/>
      <c r="S135" s="76"/>
      <c r="T135" s="76"/>
      <c r="U135" s="76"/>
      <c r="V135" s="76"/>
      <c r="W135" s="76"/>
    </row>
    <row r="136" spans="1:23">
      <c r="A136" s="84" t="s">
        <v>345</v>
      </c>
      <c r="B136" s="85" t="s">
        <v>344</v>
      </c>
      <c r="C136" s="85" t="s">
        <v>74</v>
      </c>
      <c r="D136" s="84" t="s">
        <v>84</v>
      </c>
      <c r="E136" s="84" t="str">
        <f>VLOOKUP(A136,'2a. SI Pop'!$A$5:$E$198,5,FALSE)</f>
        <v>Key</v>
      </c>
      <c r="F136" s="84">
        <v>2009</v>
      </c>
      <c r="G136" s="84">
        <v>2021</v>
      </c>
      <c r="H136" s="84">
        <v>2014</v>
      </c>
      <c r="I136" s="84">
        <v>2018</v>
      </c>
      <c r="J136" s="84" t="s">
        <v>566</v>
      </c>
      <c r="K136" s="3"/>
      <c r="L136" s="3"/>
      <c r="M136" s="3"/>
      <c r="N136" s="3"/>
      <c r="O136" s="3"/>
      <c r="P136" s="3"/>
      <c r="Q136" s="3"/>
      <c r="R136" s="76"/>
      <c r="S136" s="76"/>
      <c r="T136" s="76"/>
      <c r="U136" s="76"/>
      <c r="V136" s="76"/>
      <c r="W136" s="76"/>
    </row>
    <row r="137" spans="1:23">
      <c r="A137" s="84" t="s">
        <v>347</v>
      </c>
      <c r="B137" s="85" t="s">
        <v>346</v>
      </c>
      <c r="C137" s="85" t="s">
        <v>99</v>
      </c>
      <c r="D137" s="84" t="s">
        <v>87</v>
      </c>
      <c r="E137" s="84">
        <f>VLOOKUP(A137,'2a. SI Pop'!$A$5:$E$198,5,FALSE)</f>
        <v>1</v>
      </c>
      <c r="F137" s="84">
        <v>1995</v>
      </c>
      <c r="G137" s="84">
        <v>1986</v>
      </c>
      <c r="H137" s="84">
        <v>2008</v>
      </c>
      <c r="I137" s="84">
        <v>2008</v>
      </c>
      <c r="J137" s="84">
        <v>2008</v>
      </c>
      <c r="K137" s="3"/>
      <c r="L137" s="3"/>
      <c r="M137" s="3"/>
      <c r="N137" s="3"/>
      <c r="O137" s="3"/>
      <c r="P137" s="3"/>
      <c r="Q137" s="3"/>
      <c r="R137" s="76"/>
      <c r="S137" s="76"/>
      <c r="T137" s="76"/>
      <c r="U137" s="76"/>
      <c r="V137" s="76"/>
      <c r="W137" s="76"/>
    </row>
    <row r="138" spans="1:23">
      <c r="A138" s="84" t="s">
        <v>349</v>
      </c>
      <c r="B138" s="85" t="s">
        <v>348</v>
      </c>
      <c r="C138" s="85" t="s">
        <v>92</v>
      </c>
      <c r="D138" s="84" t="s">
        <v>87</v>
      </c>
      <c r="E138" s="84">
        <f>VLOOKUP(A138,'2a. SI Pop'!$A$5:$E$198,5,FALSE)</f>
        <v>1</v>
      </c>
      <c r="F138" s="84">
        <v>1992</v>
      </c>
      <c r="G138" s="84">
        <v>1984</v>
      </c>
      <c r="H138" s="84">
        <v>2010</v>
      </c>
      <c r="I138" s="84">
        <v>2006</v>
      </c>
      <c r="J138" s="84">
        <v>2008</v>
      </c>
      <c r="K138" s="3"/>
      <c r="L138" s="3"/>
      <c r="M138" s="3"/>
      <c r="N138" s="3"/>
      <c r="O138" s="3"/>
      <c r="P138" s="3"/>
      <c r="Q138" s="3"/>
      <c r="R138" s="76"/>
      <c r="S138" s="76"/>
      <c r="T138" s="76"/>
      <c r="U138" s="76"/>
      <c r="V138" s="76"/>
      <c r="W138" s="76"/>
    </row>
    <row r="139" spans="1:23">
      <c r="A139" s="84" t="s">
        <v>351</v>
      </c>
      <c r="B139" s="85" t="s">
        <v>350</v>
      </c>
      <c r="C139" s="85" t="s">
        <v>99</v>
      </c>
      <c r="D139" s="84" t="s">
        <v>84</v>
      </c>
      <c r="E139" s="84">
        <f>VLOOKUP(A139,'2a. SI Pop'!$A$5:$E$198,5,FALSE)</f>
        <v>4</v>
      </c>
      <c r="F139" s="84">
        <v>2016</v>
      </c>
      <c r="G139" s="84">
        <v>2015</v>
      </c>
      <c r="H139" s="84">
        <v>2013</v>
      </c>
      <c r="I139" s="84" t="s">
        <v>566</v>
      </c>
      <c r="J139" s="84" t="s">
        <v>566</v>
      </c>
      <c r="K139" s="3"/>
      <c r="L139" s="3"/>
      <c r="M139" s="3"/>
      <c r="N139" s="3"/>
      <c r="O139" s="3"/>
      <c r="P139" s="3"/>
      <c r="Q139" s="3"/>
      <c r="R139" s="76"/>
      <c r="S139" s="76"/>
      <c r="T139" s="76"/>
      <c r="U139" s="76"/>
      <c r="V139" s="76"/>
      <c r="W139" s="76"/>
    </row>
    <row r="140" spans="1:23">
      <c r="A140" s="84" t="s">
        <v>353</v>
      </c>
      <c r="B140" s="85" t="s">
        <v>352</v>
      </c>
      <c r="C140" s="85" t="s">
        <v>92</v>
      </c>
      <c r="D140" s="84" t="s">
        <v>80</v>
      </c>
      <c r="E140" s="84">
        <f>VLOOKUP(A140,'2a. SI Pop'!$A$5:$E$198,5,FALSE)</f>
        <v>1</v>
      </c>
      <c r="F140" s="84">
        <v>2004</v>
      </c>
      <c r="G140" s="84">
        <v>2002</v>
      </c>
      <c r="H140" s="84">
        <v>2012</v>
      </c>
      <c r="I140" s="84">
        <v>2010</v>
      </c>
      <c r="J140" s="84">
        <v>2013</v>
      </c>
      <c r="K140" s="3"/>
      <c r="L140" s="3"/>
      <c r="M140" s="3"/>
      <c r="N140" s="3"/>
      <c r="O140" s="3"/>
      <c r="P140" s="3"/>
      <c r="Q140" s="3"/>
      <c r="R140" s="76"/>
      <c r="S140" s="76"/>
      <c r="T140" s="76"/>
      <c r="U140" s="76"/>
      <c r="V140" s="76"/>
      <c r="W140" s="76"/>
    </row>
    <row r="141" spans="1:23">
      <c r="A141" s="84" t="s">
        <v>355</v>
      </c>
      <c r="B141" s="85" t="s">
        <v>354</v>
      </c>
      <c r="C141" s="85" t="s">
        <v>92</v>
      </c>
      <c r="D141" s="84" t="s">
        <v>80</v>
      </c>
      <c r="E141" s="84">
        <f>VLOOKUP(A141,'2a. SI Pop'!$A$5:$E$198,5,FALSE)</f>
        <v>2</v>
      </c>
      <c r="F141" s="84">
        <v>2007</v>
      </c>
      <c r="G141" s="84">
        <v>2003</v>
      </c>
      <c r="H141" s="84">
        <v>2009</v>
      </c>
      <c r="I141" s="84">
        <v>2009</v>
      </c>
      <c r="J141" s="84">
        <v>2015</v>
      </c>
      <c r="K141" s="3"/>
      <c r="L141" s="3"/>
      <c r="M141" s="3"/>
      <c r="N141" s="3"/>
      <c r="O141" s="3"/>
      <c r="P141" s="3"/>
      <c r="Q141" s="3"/>
      <c r="R141" s="76"/>
      <c r="S141" s="76"/>
      <c r="T141" s="76"/>
      <c r="U141" s="76"/>
      <c r="V141" s="76"/>
      <c r="W141" s="76"/>
    </row>
    <row r="142" spans="1:23">
      <c r="A142" s="84" t="s">
        <v>357</v>
      </c>
      <c r="B142" s="85" t="s">
        <v>356</v>
      </c>
      <c r="C142" s="85" t="s">
        <v>99</v>
      </c>
      <c r="D142" s="84" t="s">
        <v>84</v>
      </c>
      <c r="E142" s="84" t="str">
        <f>VLOOKUP(A142,'2a. SI Pop'!$A$5:$E$198,5,FALSE)</f>
        <v>Key</v>
      </c>
      <c r="F142" s="84">
        <v>2010</v>
      </c>
      <c r="G142" s="84">
        <v>2010</v>
      </c>
      <c r="H142" s="84">
        <v>2020</v>
      </c>
      <c r="I142" s="84" t="s">
        <v>566</v>
      </c>
      <c r="J142" s="84" t="s">
        <v>566</v>
      </c>
      <c r="K142" s="3"/>
      <c r="L142" s="3"/>
      <c r="M142" s="3"/>
      <c r="N142" s="3"/>
      <c r="O142" s="3"/>
      <c r="P142" s="3"/>
      <c r="Q142" s="3"/>
      <c r="R142" s="76"/>
      <c r="S142" s="76"/>
      <c r="T142" s="76"/>
      <c r="U142" s="76"/>
      <c r="V142" s="76"/>
      <c r="W142" s="76"/>
    </row>
    <row r="143" spans="1:23">
      <c r="A143" s="84" t="s">
        <v>359</v>
      </c>
      <c r="B143" s="85" t="s">
        <v>358</v>
      </c>
      <c r="C143" s="85" t="s">
        <v>79</v>
      </c>
      <c r="D143" s="84" t="s">
        <v>87</v>
      </c>
      <c r="E143" s="84">
        <f>VLOOKUP(A143,'2a. SI Pop'!$A$5:$E$198,5,FALSE)</f>
        <v>1</v>
      </c>
      <c r="F143" s="84">
        <v>1991</v>
      </c>
      <c r="G143" s="84">
        <v>1988</v>
      </c>
      <c r="H143" s="84">
        <v>2017</v>
      </c>
      <c r="I143" s="84" t="s">
        <v>566</v>
      </c>
      <c r="J143" s="84" t="s">
        <v>566</v>
      </c>
      <c r="K143" s="3"/>
      <c r="L143" s="3"/>
      <c r="M143" s="3"/>
      <c r="N143" s="3"/>
      <c r="O143" s="3"/>
      <c r="P143" s="3"/>
      <c r="Q143" s="3"/>
      <c r="R143" s="76"/>
      <c r="S143" s="76"/>
      <c r="T143" s="76"/>
      <c r="U143" s="76"/>
      <c r="V143" s="76"/>
      <c r="W143" s="76"/>
    </row>
    <row r="144" spans="1:23">
      <c r="A144" s="84" t="s">
        <v>361</v>
      </c>
      <c r="B144" s="85" t="s">
        <v>360</v>
      </c>
      <c r="C144" s="85" t="s">
        <v>79</v>
      </c>
      <c r="D144" s="84" t="s">
        <v>87</v>
      </c>
      <c r="E144" s="84">
        <f>VLOOKUP(A144,'2a. SI Pop'!$A$5:$E$198,5,FALSE)</f>
        <v>1</v>
      </c>
      <c r="F144" s="84">
        <v>1990</v>
      </c>
      <c r="G144" s="84">
        <v>1984</v>
      </c>
      <c r="H144" s="84">
        <v>2015</v>
      </c>
      <c r="I144" s="84" t="s">
        <v>566</v>
      </c>
      <c r="J144" s="84">
        <v>2008</v>
      </c>
      <c r="K144" s="3"/>
      <c r="L144" s="3"/>
      <c r="M144" s="3"/>
      <c r="N144" s="3"/>
      <c r="O144" s="3"/>
      <c r="P144" s="3"/>
      <c r="Q144" s="3"/>
      <c r="R144" s="76"/>
      <c r="S144" s="76"/>
      <c r="T144" s="76"/>
      <c r="U144" s="76"/>
      <c r="V144" s="76"/>
      <c r="W144" s="76"/>
    </row>
    <row r="145" spans="1:23">
      <c r="A145" s="84" t="s">
        <v>363</v>
      </c>
      <c r="B145" s="85" t="s">
        <v>362</v>
      </c>
      <c r="C145" s="85" t="s">
        <v>74</v>
      </c>
      <c r="D145" s="84" t="s">
        <v>87</v>
      </c>
      <c r="E145" s="84">
        <f>VLOOKUP(A145,'2a. SI Pop'!$A$5:$E$198,5,FALSE)</f>
        <v>1</v>
      </c>
      <c r="F145" s="84">
        <v>1996</v>
      </c>
      <c r="G145" s="84">
        <v>1992</v>
      </c>
      <c r="H145" s="84">
        <v>2005</v>
      </c>
      <c r="I145" s="84">
        <v>2009</v>
      </c>
      <c r="J145" s="84">
        <v>2020</v>
      </c>
      <c r="K145" s="3"/>
      <c r="L145" s="3"/>
      <c r="M145" s="3"/>
      <c r="N145" s="3"/>
      <c r="O145" s="3"/>
      <c r="P145" s="3"/>
      <c r="Q145" s="3"/>
      <c r="R145" s="76"/>
      <c r="S145" s="76"/>
      <c r="T145" s="76"/>
      <c r="U145" s="76"/>
      <c r="V145" s="76"/>
      <c r="W145" s="76"/>
    </row>
    <row r="146" spans="1:23">
      <c r="A146" s="84" t="s">
        <v>365</v>
      </c>
      <c r="B146" s="85" t="s">
        <v>364</v>
      </c>
      <c r="C146" s="85" t="s">
        <v>79</v>
      </c>
      <c r="D146" s="84" t="s">
        <v>87</v>
      </c>
      <c r="E146" s="84">
        <f>VLOOKUP(A146,'2a. SI Pop'!$A$5:$E$198,5,FALSE)</f>
        <v>2</v>
      </c>
      <c r="F146" s="84">
        <v>1979</v>
      </c>
      <c r="G146" s="84">
        <v>2002</v>
      </c>
      <c r="H146" s="84">
        <v>2017</v>
      </c>
      <c r="I146" s="84" t="s">
        <v>566</v>
      </c>
      <c r="J146" s="84" t="s">
        <v>566</v>
      </c>
      <c r="K146" s="3"/>
      <c r="L146" s="3"/>
      <c r="M146" s="3"/>
      <c r="N146" s="3"/>
      <c r="O146" s="3"/>
      <c r="P146" s="3"/>
      <c r="Q146" s="3"/>
      <c r="R146" s="76"/>
      <c r="S146" s="76"/>
      <c r="T146" s="76"/>
      <c r="U146" s="76"/>
      <c r="V146" s="76"/>
      <c r="W146" s="76"/>
    </row>
    <row r="147" spans="1:23">
      <c r="A147" s="84" t="s">
        <v>367</v>
      </c>
      <c r="B147" s="85" t="s">
        <v>366</v>
      </c>
      <c r="C147" s="85" t="s">
        <v>79</v>
      </c>
      <c r="D147" s="84" t="s">
        <v>80</v>
      </c>
      <c r="E147" s="84">
        <f>VLOOKUP(A147,'2a. SI Pop'!$A$5:$E$198,5,FALSE)</f>
        <v>2</v>
      </c>
      <c r="F147" s="84">
        <v>1987</v>
      </c>
      <c r="G147" s="84">
        <v>2000</v>
      </c>
      <c r="H147" s="84">
        <v>2014</v>
      </c>
      <c r="I147" s="84" t="s">
        <v>566</v>
      </c>
      <c r="J147" s="84" t="s">
        <v>566</v>
      </c>
      <c r="K147" s="3"/>
      <c r="L147" s="3"/>
      <c r="M147" s="3"/>
      <c r="N147" s="3"/>
      <c r="O147" s="3"/>
      <c r="P147" s="3"/>
      <c r="Q147" s="3"/>
      <c r="R147" s="76"/>
      <c r="S147" s="76"/>
      <c r="T147" s="76"/>
      <c r="U147" s="76"/>
      <c r="V147" s="76"/>
      <c r="W147" s="76"/>
    </row>
    <row r="148" spans="1:23">
      <c r="A148" s="84" t="s">
        <v>369</v>
      </c>
      <c r="B148" s="85" t="s">
        <v>368</v>
      </c>
      <c r="C148" s="85" t="s">
        <v>83</v>
      </c>
      <c r="D148" s="84" t="s">
        <v>75</v>
      </c>
      <c r="E148" s="84">
        <f>VLOOKUP(A148,'2a. SI Pop'!$A$5:$E$198,5,FALSE)</f>
        <v>3</v>
      </c>
      <c r="F148" s="84">
        <v>2014</v>
      </c>
      <c r="G148" s="84">
        <v>2014</v>
      </c>
      <c r="H148" s="84">
        <v>2009</v>
      </c>
      <c r="I148" s="84">
        <v>2012</v>
      </c>
      <c r="J148" s="84">
        <v>2011</v>
      </c>
      <c r="K148" s="3"/>
      <c r="L148" s="3"/>
      <c r="M148" s="3"/>
      <c r="N148" s="3"/>
      <c r="O148" s="3"/>
      <c r="P148" s="3"/>
      <c r="Q148" s="3"/>
      <c r="R148" s="76"/>
      <c r="S148" s="76"/>
      <c r="T148" s="76"/>
      <c r="U148" s="76"/>
      <c r="V148" s="76"/>
      <c r="W148" s="76"/>
    </row>
    <row r="149" spans="1:23">
      <c r="A149" s="84" t="s">
        <v>371</v>
      </c>
      <c r="B149" s="85" t="s">
        <v>370</v>
      </c>
      <c r="C149" s="85" t="s">
        <v>92</v>
      </c>
      <c r="D149" s="84" t="s">
        <v>87</v>
      </c>
      <c r="E149" s="84">
        <f>VLOOKUP(A149,'2a. SI Pop'!$A$5:$E$198,5,FALSE)</f>
        <v>1</v>
      </c>
      <c r="F149" s="84">
        <v>1997</v>
      </c>
      <c r="G149" s="84">
        <v>1987</v>
      </c>
      <c r="H149" s="84" t="s">
        <v>566</v>
      </c>
      <c r="I149" s="84" t="s">
        <v>566</v>
      </c>
      <c r="J149" s="84">
        <v>2019</v>
      </c>
      <c r="K149" s="3"/>
      <c r="L149" s="3"/>
      <c r="M149" s="3"/>
      <c r="N149" s="3"/>
      <c r="O149" s="3"/>
      <c r="P149" s="3"/>
      <c r="Q149" s="3"/>
      <c r="R149" s="76"/>
      <c r="S149" s="76"/>
      <c r="T149" s="76"/>
      <c r="U149" s="76"/>
      <c r="V149" s="76"/>
      <c r="W149" s="76"/>
    </row>
    <row r="150" spans="1:23">
      <c r="A150" s="84" t="s">
        <v>373</v>
      </c>
      <c r="B150" s="85" t="s">
        <v>372</v>
      </c>
      <c r="C150" s="85" t="s">
        <v>92</v>
      </c>
      <c r="D150" s="84" t="s">
        <v>80</v>
      </c>
      <c r="E150" s="84">
        <f>VLOOKUP(A150,'2a. SI Pop'!$A$5:$E$198,5,FALSE)</f>
        <v>1</v>
      </c>
      <c r="F150" s="84">
        <v>1991</v>
      </c>
      <c r="G150" s="84">
        <v>1986</v>
      </c>
      <c r="H150" s="84" t="s">
        <v>566</v>
      </c>
      <c r="I150" s="84" t="s">
        <v>566</v>
      </c>
      <c r="J150" s="84">
        <v>2019</v>
      </c>
      <c r="K150" s="3"/>
      <c r="L150" s="3"/>
      <c r="M150" s="3"/>
      <c r="N150" s="3"/>
      <c r="O150" s="3"/>
      <c r="P150" s="3"/>
      <c r="Q150" s="3"/>
      <c r="R150" s="76"/>
      <c r="S150" s="76"/>
      <c r="T150" s="76"/>
      <c r="U150" s="76"/>
      <c r="V150" s="76"/>
      <c r="W150" s="76"/>
    </row>
    <row r="151" spans="1:23">
      <c r="A151" s="84" t="s">
        <v>375</v>
      </c>
      <c r="B151" s="85" t="s">
        <v>374</v>
      </c>
      <c r="C151" s="85" t="s">
        <v>92</v>
      </c>
      <c r="D151" s="84" t="s">
        <v>80</v>
      </c>
      <c r="E151" s="84">
        <f>VLOOKUP(A151,'2a. SI Pop'!$A$5:$E$198,5,FALSE)</f>
        <v>1</v>
      </c>
      <c r="F151" s="84">
        <v>1997</v>
      </c>
      <c r="G151" s="84">
        <v>1991</v>
      </c>
      <c r="H151" s="84" t="s">
        <v>566</v>
      </c>
      <c r="I151" s="84" t="s">
        <v>566</v>
      </c>
      <c r="J151" s="84">
        <v>2017</v>
      </c>
      <c r="K151" s="3"/>
      <c r="L151" s="3"/>
      <c r="M151" s="3"/>
      <c r="N151" s="3"/>
      <c r="O151" s="3"/>
      <c r="P151" s="3"/>
      <c r="Q151" s="3"/>
      <c r="R151" s="76"/>
      <c r="S151" s="76"/>
      <c r="T151" s="76"/>
      <c r="U151" s="76"/>
      <c r="V151" s="76"/>
      <c r="W151" s="76"/>
    </row>
    <row r="152" spans="1:23">
      <c r="A152" s="84" t="s">
        <v>377</v>
      </c>
      <c r="B152" s="85" t="s">
        <v>376</v>
      </c>
      <c r="C152" s="85" t="s">
        <v>99</v>
      </c>
      <c r="D152" s="84" t="s">
        <v>80</v>
      </c>
      <c r="E152" s="84">
        <f>VLOOKUP(A152,'2a. SI Pop'!$A$5:$E$198,5,FALSE)</f>
        <v>2</v>
      </c>
      <c r="F152" s="84">
        <v>2005</v>
      </c>
      <c r="G152" s="84">
        <v>2004</v>
      </c>
      <c r="H152" s="84">
        <v>2020</v>
      </c>
      <c r="I152" s="84">
        <v>2021</v>
      </c>
      <c r="J152" s="84">
        <v>2021</v>
      </c>
      <c r="K152" s="3"/>
      <c r="L152" s="3"/>
      <c r="M152" s="3"/>
      <c r="N152" s="3"/>
      <c r="O152" s="3"/>
      <c r="P152" s="3"/>
      <c r="Q152" s="3"/>
      <c r="R152" s="76"/>
      <c r="S152" s="76"/>
      <c r="T152" s="76"/>
      <c r="U152" s="76"/>
      <c r="V152" s="76"/>
      <c r="W152" s="76"/>
    </row>
    <row r="153" spans="1:23">
      <c r="A153" s="84" t="s">
        <v>379</v>
      </c>
      <c r="B153" s="85" t="s">
        <v>378</v>
      </c>
      <c r="C153" s="85" t="s">
        <v>79</v>
      </c>
      <c r="D153" s="84" t="s">
        <v>87</v>
      </c>
      <c r="E153" s="84">
        <f>VLOOKUP(A153,'2a. SI Pop'!$A$5:$E$198,5,FALSE)</f>
        <v>1</v>
      </c>
      <c r="F153" s="84">
        <v>2001</v>
      </c>
      <c r="G153" s="84">
        <v>1995</v>
      </c>
      <c r="H153" s="84">
        <v>2016</v>
      </c>
      <c r="I153" s="84" t="s">
        <v>566</v>
      </c>
      <c r="J153" s="84">
        <v>2008</v>
      </c>
      <c r="K153" s="3"/>
      <c r="L153" s="3"/>
      <c r="M153" s="3"/>
      <c r="N153" s="3"/>
      <c r="O153" s="3"/>
      <c r="P153" s="3"/>
      <c r="Q153" s="3"/>
      <c r="R153" s="76"/>
      <c r="S153" s="76"/>
      <c r="T153" s="76"/>
      <c r="U153" s="76"/>
      <c r="V153" s="76"/>
      <c r="W153" s="76"/>
    </row>
    <row r="154" spans="1:23">
      <c r="A154" s="84" t="s">
        <v>381</v>
      </c>
      <c r="B154" s="85" t="s">
        <v>380</v>
      </c>
      <c r="C154" s="85" t="s">
        <v>83</v>
      </c>
      <c r="D154" s="84" t="s">
        <v>84</v>
      </c>
      <c r="E154" s="84">
        <f>VLOOKUP(A154,'2a. SI Pop'!$A$5:$E$198,5,FALSE)</f>
        <v>3</v>
      </c>
      <c r="F154" s="84">
        <v>2013</v>
      </c>
      <c r="G154" s="84">
        <v>2016</v>
      </c>
      <c r="H154" s="84">
        <v>2012</v>
      </c>
      <c r="I154" s="84">
        <v>2016</v>
      </c>
      <c r="J154" s="84">
        <v>2021</v>
      </c>
      <c r="K154" s="3"/>
      <c r="L154" s="3"/>
      <c r="M154" s="3"/>
      <c r="N154" s="3"/>
      <c r="O154" s="3"/>
      <c r="P154" s="3"/>
      <c r="Q154" s="3"/>
      <c r="R154" s="76"/>
      <c r="S154" s="76"/>
      <c r="T154" s="76"/>
      <c r="U154" s="76"/>
      <c r="V154" s="76"/>
      <c r="W154" s="76"/>
    </row>
    <row r="155" spans="1:23">
      <c r="A155" s="84" t="s">
        <v>383</v>
      </c>
      <c r="B155" s="85" t="s">
        <v>382</v>
      </c>
      <c r="C155" s="85" t="s">
        <v>74</v>
      </c>
      <c r="D155" s="84" t="s">
        <v>87</v>
      </c>
      <c r="E155" s="84">
        <f>VLOOKUP(A155,'2a. SI Pop'!$A$5:$E$198,5,FALSE)</f>
        <v>1</v>
      </c>
      <c r="F155" s="84">
        <v>1991</v>
      </c>
      <c r="G155" s="84">
        <v>1982</v>
      </c>
      <c r="H155" s="84">
        <v>2009</v>
      </c>
      <c r="I155" s="84">
        <v>2013</v>
      </c>
      <c r="J155" s="84">
        <v>2022</v>
      </c>
      <c r="K155" s="3"/>
      <c r="L155" s="3"/>
      <c r="M155" s="3"/>
      <c r="N155" s="3"/>
      <c r="O155" s="3"/>
      <c r="P155" s="3"/>
      <c r="Q155" s="3"/>
      <c r="R155" s="76"/>
      <c r="S155" s="76"/>
      <c r="T155" s="76"/>
      <c r="U155" s="76"/>
      <c r="V155" s="76"/>
      <c r="W155" s="76"/>
    </row>
    <row r="156" spans="1:23">
      <c r="A156" s="84" t="s">
        <v>385</v>
      </c>
      <c r="B156" s="85" t="s">
        <v>384</v>
      </c>
      <c r="C156" s="85" t="s">
        <v>83</v>
      </c>
      <c r="D156" s="84" t="s">
        <v>84</v>
      </c>
      <c r="E156" s="84">
        <f>VLOOKUP(A156,'2a. SI Pop'!$A$5:$E$198,5,FALSE)</f>
        <v>3</v>
      </c>
      <c r="F156" s="84">
        <v>2014</v>
      </c>
      <c r="G156" s="84">
        <v>2013</v>
      </c>
      <c r="H156" s="84">
        <v>2013</v>
      </c>
      <c r="I156" s="84">
        <v>2014</v>
      </c>
      <c r="J156" s="84">
        <v>2018</v>
      </c>
      <c r="K156" s="3"/>
      <c r="L156" s="3"/>
      <c r="M156" s="3"/>
      <c r="N156" s="3"/>
      <c r="O156" s="3"/>
      <c r="P156" s="3"/>
      <c r="Q156" s="3"/>
      <c r="R156" s="76"/>
      <c r="S156" s="76"/>
      <c r="T156" s="76"/>
      <c r="U156" s="76"/>
      <c r="V156" s="76"/>
      <c r="W156" s="76"/>
    </row>
    <row r="157" spans="1:23">
      <c r="A157" s="84" t="s">
        <v>387</v>
      </c>
      <c r="B157" s="85" t="s">
        <v>386</v>
      </c>
      <c r="C157" s="85" t="s">
        <v>79</v>
      </c>
      <c r="D157" s="84" t="s">
        <v>80</v>
      </c>
      <c r="E157" s="84">
        <f>VLOOKUP(A157,'2a. SI Pop'!$A$5:$E$198,5,FALSE)</f>
        <v>1</v>
      </c>
      <c r="F157" s="84">
        <v>1994</v>
      </c>
      <c r="G157" s="84">
        <v>1994</v>
      </c>
      <c r="H157" s="84">
        <v>2018</v>
      </c>
      <c r="I157" s="84" t="s">
        <v>566</v>
      </c>
      <c r="J157" s="84" t="s">
        <v>566</v>
      </c>
      <c r="K157" s="3"/>
      <c r="L157" s="3"/>
      <c r="M157" s="3"/>
      <c r="N157" s="3"/>
      <c r="O157" s="3"/>
      <c r="P157" s="3"/>
      <c r="Q157" s="3"/>
      <c r="R157" s="76"/>
      <c r="S157" s="76"/>
      <c r="T157" s="76"/>
      <c r="U157" s="76"/>
      <c r="V157" s="76"/>
      <c r="W157" s="76"/>
    </row>
    <row r="158" spans="1:23">
      <c r="A158" s="84" t="s">
        <v>389</v>
      </c>
      <c r="B158" s="85" t="s">
        <v>388</v>
      </c>
      <c r="C158" s="85" t="s">
        <v>83</v>
      </c>
      <c r="D158" s="84" t="s">
        <v>87</v>
      </c>
      <c r="E158" s="84">
        <f>VLOOKUP(A158,'2a. SI Pop'!$A$5:$E$198,5,FALSE)</f>
        <v>1</v>
      </c>
      <c r="F158" s="84">
        <v>1989</v>
      </c>
      <c r="G158" s="84">
        <v>1980</v>
      </c>
      <c r="H158" s="84">
        <v>2018</v>
      </c>
      <c r="I158" s="84">
        <v>2017</v>
      </c>
      <c r="J158" s="84">
        <v>2014</v>
      </c>
      <c r="K158" s="3"/>
      <c r="L158" s="3"/>
      <c r="M158" s="3"/>
      <c r="N158" s="3"/>
      <c r="O158" s="3"/>
      <c r="P158" s="3"/>
      <c r="Q158" s="3"/>
      <c r="R158" s="76"/>
      <c r="S158" s="76"/>
      <c r="T158" s="76"/>
      <c r="U158" s="76"/>
      <c r="V158" s="76"/>
      <c r="W158" s="76"/>
    </row>
    <row r="159" spans="1:23">
      <c r="A159" s="84" t="s">
        <v>391</v>
      </c>
      <c r="B159" s="85" t="s">
        <v>390</v>
      </c>
      <c r="C159" s="85" t="s">
        <v>83</v>
      </c>
      <c r="D159" s="84" t="s">
        <v>75</v>
      </c>
      <c r="E159" s="84">
        <f>VLOOKUP(A159,'2a. SI Pop'!$A$5:$E$198,5,FALSE)</f>
        <v>3</v>
      </c>
      <c r="F159" s="84">
        <v>2015</v>
      </c>
      <c r="G159" s="84">
        <v>2019</v>
      </c>
      <c r="H159" s="84">
        <v>2011</v>
      </c>
      <c r="I159" s="84">
        <v>2014</v>
      </c>
      <c r="J159" s="84">
        <v>2021</v>
      </c>
      <c r="K159" s="3"/>
      <c r="L159" s="3"/>
      <c r="M159" s="3"/>
      <c r="N159" s="3"/>
      <c r="O159" s="3"/>
      <c r="P159" s="3"/>
      <c r="Q159" s="3"/>
      <c r="R159" s="76"/>
      <c r="S159" s="76"/>
      <c r="T159" s="76"/>
      <c r="U159" s="76"/>
      <c r="V159" s="76"/>
      <c r="W159" s="76"/>
    </row>
    <row r="160" spans="1:23">
      <c r="A160" s="84" t="s">
        <v>393</v>
      </c>
      <c r="B160" s="85" t="s">
        <v>392</v>
      </c>
      <c r="C160" s="85" t="s">
        <v>99</v>
      </c>
      <c r="D160" s="84" t="s">
        <v>87</v>
      </c>
      <c r="E160" s="84">
        <f>VLOOKUP(A160,'2a. SI Pop'!$A$5:$E$198,5,FALSE)</f>
        <v>1</v>
      </c>
      <c r="F160" s="84">
        <v>1998</v>
      </c>
      <c r="G160" s="84">
        <v>1982</v>
      </c>
      <c r="H160" s="84">
        <v>2009</v>
      </c>
      <c r="I160" s="84" t="s">
        <v>566</v>
      </c>
      <c r="J160" s="84">
        <v>2010</v>
      </c>
      <c r="K160" s="3"/>
      <c r="L160" s="3"/>
      <c r="M160" s="3"/>
      <c r="N160" s="3"/>
      <c r="O160" s="3"/>
      <c r="P160" s="3"/>
      <c r="Q160" s="3"/>
      <c r="R160" s="76"/>
      <c r="S160" s="76"/>
      <c r="T160" s="76"/>
      <c r="U160" s="76"/>
      <c r="V160" s="76"/>
      <c r="W160" s="76"/>
    </row>
    <row r="161" spans="1:23">
      <c r="A161" s="84" t="s">
        <v>395</v>
      </c>
      <c r="B161" s="85" t="s">
        <v>394</v>
      </c>
      <c r="C161" s="85" t="s">
        <v>79</v>
      </c>
      <c r="D161" s="84" t="s">
        <v>87</v>
      </c>
      <c r="E161" s="84">
        <f>VLOOKUP(A161,'2a. SI Pop'!$A$5:$E$198,5,FALSE)</f>
        <v>1</v>
      </c>
      <c r="F161" s="84">
        <v>1977</v>
      </c>
      <c r="G161" s="84">
        <v>1985</v>
      </c>
      <c r="H161" s="84">
        <v>2009</v>
      </c>
      <c r="I161" s="84" t="s">
        <v>566</v>
      </c>
      <c r="J161" s="84" t="s">
        <v>566</v>
      </c>
      <c r="K161" s="3"/>
      <c r="L161" s="3"/>
      <c r="M161" s="3"/>
      <c r="N161" s="3"/>
      <c r="O161" s="3"/>
      <c r="P161" s="3"/>
      <c r="Q161" s="3"/>
      <c r="R161" s="76"/>
      <c r="S161" s="76"/>
      <c r="T161" s="76"/>
      <c r="U161" s="76"/>
      <c r="V161" s="76"/>
      <c r="W161" s="76"/>
    </row>
    <row r="162" spans="1:23">
      <c r="A162" s="84" t="s">
        <v>397</v>
      </c>
      <c r="B162" s="85" t="s">
        <v>396</v>
      </c>
      <c r="C162" s="85" t="s">
        <v>79</v>
      </c>
      <c r="D162" s="84" t="s">
        <v>87</v>
      </c>
      <c r="E162" s="84">
        <f>VLOOKUP(A162,'2a. SI Pop'!$A$5:$E$198,5,FALSE)</f>
        <v>1</v>
      </c>
      <c r="F162" s="84">
        <v>1974</v>
      </c>
      <c r="G162" s="84">
        <v>1972</v>
      </c>
      <c r="H162" s="84">
        <v>2015</v>
      </c>
      <c r="I162" s="84" t="s">
        <v>566</v>
      </c>
      <c r="J162" s="84">
        <v>2009</v>
      </c>
      <c r="K162" s="3"/>
      <c r="L162" s="3"/>
      <c r="M162" s="3"/>
      <c r="N162" s="3"/>
      <c r="O162" s="3"/>
      <c r="P162" s="3"/>
      <c r="Q162" s="3"/>
      <c r="R162" s="76"/>
      <c r="S162" s="76"/>
      <c r="T162" s="76"/>
      <c r="U162" s="76"/>
      <c r="V162" s="76"/>
      <c r="W162" s="76"/>
    </row>
    <row r="163" spans="1:23">
      <c r="A163" s="84" t="s">
        <v>399</v>
      </c>
      <c r="B163" s="85" t="s">
        <v>398</v>
      </c>
      <c r="C163" s="85" t="s">
        <v>74</v>
      </c>
      <c r="D163" s="84" t="s">
        <v>75</v>
      </c>
      <c r="E163" s="84">
        <f>VLOOKUP(A163,'2a. SI Pop'!$A$5:$E$198,5,FALSE)</f>
        <v>3</v>
      </c>
      <c r="F163" s="84">
        <v>2021</v>
      </c>
      <c r="G163" s="84" t="s">
        <v>566</v>
      </c>
      <c r="H163" s="84" t="s">
        <v>566</v>
      </c>
      <c r="I163" s="84" t="s">
        <v>566</v>
      </c>
      <c r="J163" s="84" t="s">
        <v>566</v>
      </c>
      <c r="K163" s="3"/>
      <c r="L163" s="3"/>
      <c r="M163" s="3"/>
      <c r="N163" s="3"/>
      <c r="O163" s="3"/>
      <c r="P163" s="3"/>
      <c r="Q163" s="3"/>
      <c r="R163" s="76"/>
      <c r="S163" s="76"/>
      <c r="T163" s="76"/>
      <c r="U163" s="76"/>
      <c r="V163" s="76"/>
      <c r="W163" s="76"/>
    </row>
    <row r="164" spans="1:23">
      <c r="A164" s="84" t="s">
        <v>401</v>
      </c>
      <c r="B164" s="85" t="s">
        <v>400</v>
      </c>
      <c r="C164" s="85" t="s">
        <v>99</v>
      </c>
      <c r="D164" s="84" t="s">
        <v>84</v>
      </c>
      <c r="E164" s="84">
        <f>VLOOKUP(A164,'2a. SI Pop'!$A$5:$E$198,5,FALSE)</f>
        <v>4</v>
      </c>
      <c r="F164" s="84">
        <v>2018</v>
      </c>
      <c r="G164" s="84">
        <v>2013</v>
      </c>
      <c r="H164" s="84">
        <v>2015</v>
      </c>
      <c r="I164" s="84">
        <v>2020</v>
      </c>
      <c r="J164" s="84">
        <v>2019</v>
      </c>
      <c r="K164" s="3"/>
      <c r="L164" s="3"/>
      <c r="M164" s="3"/>
      <c r="N164" s="3"/>
      <c r="O164" s="3"/>
      <c r="P164" s="3"/>
      <c r="Q164" s="3"/>
      <c r="R164" s="76"/>
      <c r="S164" s="76"/>
      <c r="T164" s="76"/>
      <c r="U164" s="76"/>
      <c r="V164" s="76"/>
      <c r="W164" s="76"/>
    </row>
    <row r="165" spans="1:23">
      <c r="A165" s="84" t="s">
        <v>403</v>
      </c>
      <c r="B165" s="85" t="s">
        <v>402</v>
      </c>
      <c r="C165" s="85" t="s">
        <v>83</v>
      </c>
      <c r="D165" s="84" t="s">
        <v>80</v>
      </c>
      <c r="E165" s="84" t="str">
        <f>VLOOKUP(A165,'2a. SI Pop'!$A$5:$E$198,5,FALSE)</f>
        <v>Key</v>
      </c>
      <c r="F165" s="84">
        <v>1994</v>
      </c>
      <c r="G165" s="84" t="s">
        <v>566</v>
      </c>
      <c r="H165" s="84">
        <v>2009</v>
      </c>
      <c r="I165" s="84">
        <v>2009</v>
      </c>
      <c r="J165" s="84">
        <v>2014</v>
      </c>
      <c r="K165" s="3"/>
      <c r="L165" s="3"/>
      <c r="M165" s="3"/>
      <c r="N165" s="3"/>
      <c r="O165" s="3"/>
      <c r="P165" s="3"/>
      <c r="Q165" s="3"/>
      <c r="R165" s="76"/>
      <c r="S165" s="76"/>
      <c r="T165" s="76"/>
      <c r="U165" s="76"/>
      <c r="V165" s="76"/>
      <c r="W165" s="76"/>
    </row>
    <row r="166" spans="1:23">
      <c r="A166" s="84" t="s">
        <v>405</v>
      </c>
      <c r="B166" s="85" t="s">
        <v>404</v>
      </c>
      <c r="C166" s="85" t="s">
        <v>79</v>
      </c>
      <c r="D166" s="84" t="s">
        <v>87</v>
      </c>
      <c r="E166" s="84">
        <f>VLOOKUP(A166,'2a. SI Pop'!$A$5:$E$198,5,FALSE)</f>
        <v>1</v>
      </c>
      <c r="F166" s="84">
        <v>1996</v>
      </c>
      <c r="G166" s="84">
        <v>1978</v>
      </c>
      <c r="H166" s="84">
        <v>2016</v>
      </c>
      <c r="I166" s="84" t="s">
        <v>566</v>
      </c>
      <c r="J166" s="84">
        <v>2007</v>
      </c>
      <c r="K166" s="3"/>
      <c r="L166" s="3"/>
      <c r="M166" s="3"/>
      <c r="N166" s="3"/>
      <c r="O166" s="3"/>
      <c r="P166" s="3"/>
      <c r="Q166" s="3"/>
      <c r="R166" s="76"/>
      <c r="S166" s="76"/>
      <c r="T166" s="76"/>
      <c r="U166" s="76"/>
      <c r="V166" s="76"/>
      <c r="W166" s="76"/>
    </row>
    <row r="167" spans="1:23">
      <c r="A167" s="84" t="s">
        <v>407</v>
      </c>
      <c r="B167" s="85" t="s">
        <v>406</v>
      </c>
      <c r="C167" s="85" t="s">
        <v>110</v>
      </c>
      <c r="D167" s="84" t="s">
        <v>84</v>
      </c>
      <c r="E167" s="84">
        <f>VLOOKUP(A167,'2a. SI Pop'!$A$5:$E$198,5,FALSE)</f>
        <v>2</v>
      </c>
      <c r="F167" s="84">
        <v>2001</v>
      </c>
      <c r="G167" s="84">
        <v>2001</v>
      </c>
      <c r="H167" s="84" t="s">
        <v>566</v>
      </c>
      <c r="I167" s="84" t="s">
        <v>566</v>
      </c>
      <c r="J167" s="84">
        <v>2017</v>
      </c>
      <c r="K167" s="3"/>
      <c r="L167" s="3"/>
      <c r="M167" s="3"/>
      <c r="N167" s="3"/>
      <c r="O167" s="3"/>
      <c r="P167" s="3"/>
      <c r="Q167" s="3"/>
      <c r="R167" s="76"/>
      <c r="S167" s="76"/>
      <c r="T167" s="76"/>
      <c r="U167" s="76"/>
      <c r="V167" s="76"/>
      <c r="W167" s="76"/>
    </row>
    <row r="168" spans="1:23">
      <c r="A168" s="84" t="s">
        <v>409</v>
      </c>
      <c r="B168" s="85" t="s">
        <v>408</v>
      </c>
      <c r="C168" s="85" t="s">
        <v>74</v>
      </c>
      <c r="D168" s="84" t="s">
        <v>75</v>
      </c>
      <c r="E168" s="84">
        <f>VLOOKUP(A168,'2a. SI Pop'!$A$5:$E$198,5,FALSE)</f>
        <v>3</v>
      </c>
      <c r="F168" s="84">
        <v>2012</v>
      </c>
      <c r="G168" s="84" t="s">
        <v>566</v>
      </c>
      <c r="H168" s="84">
        <v>2013</v>
      </c>
      <c r="I168" s="84">
        <v>2011</v>
      </c>
      <c r="J168" s="84" t="s">
        <v>566</v>
      </c>
      <c r="K168" s="3"/>
      <c r="L168" s="3"/>
      <c r="M168" s="3"/>
      <c r="N168" s="3"/>
      <c r="O168" s="3"/>
      <c r="P168" s="3"/>
      <c r="Q168" s="3"/>
      <c r="R168" s="76"/>
      <c r="S168" s="76"/>
      <c r="T168" s="76"/>
      <c r="U168" s="76"/>
      <c r="V168" s="76"/>
      <c r="W168" s="76"/>
    </row>
    <row r="169" spans="1:23">
      <c r="A169" s="84" t="s">
        <v>411</v>
      </c>
      <c r="B169" s="85" t="s">
        <v>410</v>
      </c>
      <c r="C169" s="85" t="s">
        <v>74</v>
      </c>
      <c r="D169" s="84" t="s">
        <v>75</v>
      </c>
      <c r="E169" s="84">
        <f>VLOOKUP(A169,'2a. SI Pop'!$A$5:$E$198,5,FALSE)</f>
        <v>3</v>
      </c>
      <c r="F169" s="84" t="s">
        <v>566</v>
      </c>
      <c r="G169" s="84" t="s">
        <v>566</v>
      </c>
      <c r="H169" s="84" t="s">
        <v>566</v>
      </c>
      <c r="I169" s="84" t="s">
        <v>566</v>
      </c>
      <c r="J169" s="84" t="s">
        <v>566</v>
      </c>
      <c r="K169" s="3"/>
      <c r="L169" s="3"/>
      <c r="M169" s="3"/>
      <c r="N169" s="3"/>
      <c r="O169" s="3"/>
      <c r="P169" s="3"/>
      <c r="Q169" s="3"/>
      <c r="R169" s="76"/>
      <c r="S169" s="76"/>
      <c r="T169" s="76"/>
      <c r="U169" s="76"/>
      <c r="V169" s="76"/>
      <c r="W169" s="76"/>
    </row>
    <row r="170" spans="1:23">
      <c r="A170" s="84" t="s">
        <v>413</v>
      </c>
      <c r="B170" s="85" t="s">
        <v>412</v>
      </c>
      <c r="C170" s="85" t="s">
        <v>92</v>
      </c>
      <c r="D170" s="84" t="s">
        <v>80</v>
      </c>
      <c r="E170" s="84">
        <f>VLOOKUP(A170,'2a. SI Pop'!$A$5:$E$198,5,FALSE)</f>
        <v>1</v>
      </c>
      <c r="F170" s="84">
        <v>2005</v>
      </c>
      <c r="G170" s="84">
        <v>1993</v>
      </c>
      <c r="H170" s="84" t="s">
        <v>566</v>
      </c>
      <c r="I170" s="84" t="s">
        <v>566</v>
      </c>
      <c r="J170" s="84">
        <v>2013</v>
      </c>
      <c r="K170" s="3"/>
      <c r="L170" s="3"/>
      <c r="M170" s="3"/>
      <c r="N170" s="3"/>
      <c r="O170" s="3"/>
      <c r="P170" s="3"/>
      <c r="Q170" s="3"/>
      <c r="R170" s="76"/>
      <c r="S170" s="76"/>
      <c r="T170" s="76"/>
      <c r="U170" s="76"/>
      <c r="V170" s="76"/>
      <c r="W170" s="76"/>
    </row>
    <row r="171" spans="1:23">
      <c r="A171" s="84" t="s">
        <v>415</v>
      </c>
      <c r="B171" s="85" t="s">
        <v>414</v>
      </c>
      <c r="C171" s="85" t="s">
        <v>83</v>
      </c>
      <c r="D171" s="84" t="s">
        <v>84</v>
      </c>
      <c r="E171" s="84">
        <f>VLOOKUP(A171,'2a. SI Pop'!$A$5:$E$198,5,FALSE)</f>
        <v>3</v>
      </c>
      <c r="F171" s="84">
        <v>1995</v>
      </c>
      <c r="G171" s="84">
        <v>2016</v>
      </c>
      <c r="H171" s="84">
        <v>2014</v>
      </c>
      <c r="I171" s="84">
        <v>2015</v>
      </c>
      <c r="J171" s="84">
        <v>2022</v>
      </c>
      <c r="K171" s="3"/>
      <c r="L171" s="3"/>
      <c r="M171" s="3"/>
      <c r="N171" s="3"/>
      <c r="O171" s="3"/>
      <c r="P171" s="3"/>
      <c r="Q171" s="3"/>
      <c r="R171" s="76"/>
      <c r="S171" s="76"/>
      <c r="T171" s="76"/>
      <c r="U171" s="76"/>
      <c r="V171" s="76"/>
      <c r="W171" s="76"/>
    </row>
    <row r="172" spans="1:23">
      <c r="A172" s="84" t="s">
        <v>417</v>
      </c>
      <c r="B172" s="85" t="s">
        <v>416</v>
      </c>
      <c r="C172" s="85" t="s">
        <v>79</v>
      </c>
      <c r="D172" s="84" t="s">
        <v>87</v>
      </c>
      <c r="E172" s="84">
        <f>VLOOKUP(A172,'2a. SI Pop'!$A$5:$E$198,5,FALSE)</f>
        <v>1</v>
      </c>
      <c r="F172" s="84">
        <v>1982</v>
      </c>
      <c r="G172" s="84">
        <v>1982</v>
      </c>
      <c r="H172" s="84">
        <v>2009</v>
      </c>
      <c r="I172" s="84">
        <v>2019</v>
      </c>
      <c r="J172" s="84">
        <v>2010</v>
      </c>
      <c r="K172" s="3"/>
      <c r="L172" s="3"/>
      <c r="M172" s="3"/>
      <c r="N172" s="3"/>
      <c r="O172" s="3"/>
      <c r="P172" s="3"/>
      <c r="Q172" s="3"/>
      <c r="R172" s="76"/>
      <c r="S172" s="76"/>
      <c r="T172" s="76"/>
      <c r="U172" s="76"/>
      <c r="V172" s="76"/>
      <c r="W172" s="76"/>
    </row>
    <row r="173" spans="1:23">
      <c r="A173" s="84" t="s">
        <v>419</v>
      </c>
      <c r="B173" s="85" t="s">
        <v>418</v>
      </c>
      <c r="C173" s="85" t="s">
        <v>79</v>
      </c>
      <c r="D173" s="84" t="s">
        <v>87</v>
      </c>
      <c r="E173" s="84">
        <f>VLOOKUP(A173,'2a. SI Pop'!$A$5:$E$198,5,FALSE)</f>
        <v>1</v>
      </c>
      <c r="F173" s="84">
        <v>1996</v>
      </c>
      <c r="G173" s="84">
        <v>1973</v>
      </c>
      <c r="H173" s="84">
        <v>2006</v>
      </c>
      <c r="I173" s="84" t="s">
        <v>566</v>
      </c>
      <c r="J173" s="84">
        <v>2006</v>
      </c>
      <c r="K173" s="3"/>
      <c r="L173" s="3"/>
      <c r="M173" s="3"/>
      <c r="N173" s="3"/>
      <c r="O173" s="3"/>
      <c r="P173" s="3"/>
      <c r="Q173" s="3"/>
      <c r="R173" s="76"/>
      <c r="S173" s="76"/>
      <c r="T173" s="76"/>
      <c r="U173" s="76"/>
      <c r="V173" s="76"/>
      <c r="W173" s="76"/>
    </row>
    <row r="174" spans="1:23">
      <c r="A174" s="84" t="s">
        <v>421</v>
      </c>
      <c r="B174" s="85" t="s">
        <v>420</v>
      </c>
      <c r="C174" s="85" t="s">
        <v>74</v>
      </c>
      <c r="D174" s="84" t="s">
        <v>75</v>
      </c>
      <c r="E174" s="84">
        <f>VLOOKUP(A174,'2a. SI Pop'!$A$5:$E$198,5,FALSE)</f>
        <v>2</v>
      </c>
      <c r="F174" s="84">
        <v>1993</v>
      </c>
      <c r="G174" s="84">
        <v>1999</v>
      </c>
      <c r="H174" s="84" t="s">
        <v>566</v>
      </c>
      <c r="I174" s="84" t="s">
        <v>566</v>
      </c>
      <c r="J174" s="84" t="s">
        <v>566</v>
      </c>
      <c r="K174" s="3"/>
      <c r="L174" s="3"/>
      <c r="M174" s="3"/>
      <c r="N174" s="3"/>
      <c r="O174" s="3"/>
      <c r="P174" s="3"/>
      <c r="Q174" s="3"/>
      <c r="R174" s="76"/>
      <c r="S174" s="76"/>
      <c r="T174" s="76"/>
      <c r="U174" s="76"/>
      <c r="V174" s="76"/>
      <c r="W174" s="76"/>
    </row>
    <row r="175" spans="1:23">
      <c r="A175" s="84" t="s">
        <v>423</v>
      </c>
      <c r="B175" s="85" t="s">
        <v>422</v>
      </c>
      <c r="C175" s="85" t="s">
        <v>83</v>
      </c>
      <c r="D175" s="84" t="s">
        <v>84</v>
      </c>
      <c r="E175" s="84" t="str">
        <f>VLOOKUP(A175,'2a. SI Pop'!$A$5:$E$198,5,FALSE)</f>
        <v>Key</v>
      </c>
      <c r="F175" s="84">
        <v>2014</v>
      </c>
      <c r="G175" s="84">
        <v>2014</v>
      </c>
      <c r="H175" s="84">
        <v>2013</v>
      </c>
      <c r="I175" s="84">
        <v>2013</v>
      </c>
      <c r="J175" s="84">
        <v>2018</v>
      </c>
      <c r="K175" s="3"/>
      <c r="L175" s="3"/>
      <c r="M175" s="3"/>
      <c r="N175" s="3"/>
      <c r="O175" s="3"/>
      <c r="P175" s="3"/>
      <c r="Q175" s="3"/>
      <c r="R175" s="76"/>
      <c r="S175" s="76"/>
      <c r="T175" s="76"/>
      <c r="U175" s="76"/>
      <c r="V175" s="76"/>
      <c r="W175" s="76"/>
    </row>
    <row r="176" spans="1:23">
      <c r="A176" s="84" t="s">
        <v>425</v>
      </c>
      <c r="B176" s="85" t="s">
        <v>424</v>
      </c>
      <c r="C176" s="85" t="s">
        <v>79</v>
      </c>
      <c r="D176" s="84" t="s">
        <v>75</v>
      </c>
      <c r="E176" s="84">
        <f>VLOOKUP(A176,'2a. SI Pop'!$A$5:$E$198,5,FALSE)</f>
        <v>2</v>
      </c>
      <c r="F176" s="84">
        <v>1986</v>
      </c>
      <c r="G176" s="84">
        <v>2009</v>
      </c>
      <c r="H176" s="84">
        <v>2022</v>
      </c>
      <c r="I176" s="84">
        <v>2015</v>
      </c>
      <c r="J176" s="84" t="s">
        <v>566</v>
      </c>
      <c r="K176" s="3"/>
      <c r="L176" s="3"/>
      <c r="M176" s="3"/>
      <c r="N176" s="3"/>
      <c r="O176" s="3"/>
      <c r="P176" s="3"/>
      <c r="Q176" s="3"/>
      <c r="R176" s="76"/>
      <c r="S176" s="76"/>
      <c r="T176" s="76"/>
      <c r="U176" s="76"/>
      <c r="V176" s="76"/>
      <c r="W176" s="76"/>
    </row>
    <row r="177" spans="1:23">
      <c r="A177" s="84" t="s">
        <v>427</v>
      </c>
      <c r="B177" s="85" t="s">
        <v>426</v>
      </c>
      <c r="C177" s="85" t="s">
        <v>110</v>
      </c>
      <c r="D177" s="84" t="s">
        <v>80</v>
      </c>
      <c r="E177" s="84">
        <f>VLOOKUP(A177,'2a. SI Pop'!$A$5:$E$198,5,FALSE)</f>
        <v>1</v>
      </c>
      <c r="F177" s="84">
        <v>1996</v>
      </c>
      <c r="G177" s="84">
        <v>1997</v>
      </c>
      <c r="H177" s="84" t="s">
        <v>566</v>
      </c>
      <c r="I177" s="84">
        <v>2020</v>
      </c>
      <c r="J177" s="84">
        <v>2017</v>
      </c>
      <c r="K177" s="3"/>
      <c r="L177" s="3"/>
      <c r="M177" s="3"/>
      <c r="N177" s="3"/>
      <c r="O177" s="3"/>
      <c r="P177" s="3"/>
      <c r="Q177" s="3"/>
      <c r="R177" s="76"/>
      <c r="S177" s="76"/>
      <c r="T177" s="76"/>
      <c r="U177" s="76"/>
      <c r="V177" s="76"/>
      <c r="W177" s="76"/>
    </row>
    <row r="178" spans="1:23">
      <c r="A178" s="84" t="s">
        <v>429</v>
      </c>
      <c r="B178" s="85" t="s">
        <v>428</v>
      </c>
      <c r="C178" s="85" t="s">
        <v>110</v>
      </c>
      <c r="D178" s="84" t="s">
        <v>84</v>
      </c>
      <c r="E178" s="84">
        <f>VLOOKUP(A178,'2a. SI Pop'!$A$5:$E$198,5,FALSE)</f>
        <v>4</v>
      </c>
      <c r="F178" s="84">
        <v>2016</v>
      </c>
      <c r="G178" s="84">
        <v>2016</v>
      </c>
      <c r="H178" s="84">
        <v>2021</v>
      </c>
      <c r="I178" s="84">
        <v>2019</v>
      </c>
      <c r="J178" s="84">
        <v>2022</v>
      </c>
      <c r="K178" s="3"/>
      <c r="L178" s="3"/>
      <c r="M178" s="3"/>
      <c r="N178" s="3"/>
      <c r="O178" s="3"/>
      <c r="P178" s="3"/>
      <c r="Q178" s="3"/>
      <c r="R178" s="76"/>
      <c r="S178" s="76"/>
      <c r="T178" s="76"/>
      <c r="U178" s="76"/>
      <c r="V178" s="76"/>
      <c r="W178" s="76"/>
    </row>
    <row r="179" spans="1:23">
      <c r="A179" s="84" t="s">
        <v>431</v>
      </c>
      <c r="B179" s="85" t="s">
        <v>430</v>
      </c>
      <c r="C179" s="85" t="s">
        <v>83</v>
      </c>
      <c r="D179" s="84" t="s">
        <v>75</v>
      </c>
      <c r="E179" s="84">
        <f>VLOOKUP(A179,'2a. SI Pop'!$A$5:$E$198,5,FALSE)</f>
        <v>3</v>
      </c>
      <c r="F179" s="84">
        <v>2019</v>
      </c>
      <c r="G179" s="84">
        <v>2018</v>
      </c>
      <c r="H179" s="84">
        <v>2014</v>
      </c>
      <c r="I179" s="84">
        <v>2014</v>
      </c>
      <c r="J179" s="84">
        <v>2022</v>
      </c>
      <c r="K179" s="3"/>
      <c r="L179" s="3"/>
      <c r="M179" s="3"/>
      <c r="N179" s="3"/>
      <c r="O179" s="3"/>
      <c r="P179" s="3"/>
      <c r="Q179" s="3"/>
      <c r="R179" s="76"/>
      <c r="S179" s="76"/>
      <c r="T179" s="76"/>
      <c r="U179" s="76"/>
      <c r="V179" s="76"/>
      <c r="W179" s="76"/>
    </row>
    <row r="180" spans="1:23">
      <c r="A180" s="84" t="s">
        <v>433</v>
      </c>
      <c r="B180" s="85" t="s">
        <v>432</v>
      </c>
      <c r="C180" s="85" t="s">
        <v>99</v>
      </c>
      <c r="D180" s="84" t="s">
        <v>80</v>
      </c>
      <c r="E180" s="84">
        <f>VLOOKUP(A180,'2a. SI Pop'!$A$5:$E$198,5,FALSE)</f>
        <v>1</v>
      </c>
      <c r="F180" s="84">
        <v>2002</v>
      </c>
      <c r="G180" s="84">
        <v>2002</v>
      </c>
      <c r="H180" s="84">
        <v>2021</v>
      </c>
      <c r="I180" s="84">
        <v>2021</v>
      </c>
      <c r="J180" s="84">
        <v>2021</v>
      </c>
      <c r="K180" s="3"/>
      <c r="L180" s="3"/>
      <c r="M180" s="3"/>
      <c r="N180" s="3"/>
      <c r="O180" s="3"/>
      <c r="P180" s="3"/>
      <c r="Q180" s="3"/>
      <c r="R180" s="76"/>
      <c r="S180" s="76"/>
      <c r="T180" s="76"/>
      <c r="U180" s="76"/>
      <c r="V180" s="76"/>
      <c r="W180" s="76"/>
    </row>
    <row r="181" spans="1:23">
      <c r="A181" s="84" t="s">
        <v>435</v>
      </c>
      <c r="B181" s="85" t="s">
        <v>434</v>
      </c>
      <c r="C181" s="85" t="s">
        <v>92</v>
      </c>
      <c r="D181" s="84" t="s">
        <v>87</v>
      </c>
      <c r="E181" s="84">
        <f>VLOOKUP(A181,'2a. SI Pop'!$A$5:$E$198,5,FALSE)</f>
        <v>1</v>
      </c>
      <c r="F181" s="84">
        <v>2001</v>
      </c>
      <c r="G181" s="84">
        <v>1984</v>
      </c>
      <c r="H181" s="84">
        <v>2012</v>
      </c>
      <c r="I181" s="84" t="s">
        <v>566</v>
      </c>
      <c r="J181" s="84">
        <v>2012</v>
      </c>
      <c r="K181" s="3"/>
      <c r="L181" s="3"/>
      <c r="M181" s="3"/>
      <c r="N181" s="3"/>
      <c r="O181" s="3"/>
      <c r="P181" s="3"/>
      <c r="Q181" s="3"/>
      <c r="R181" s="76"/>
      <c r="S181" s="76"/>
      <c r="T181" s="76"/>
      <c r="U181" s="76"/>
      <c r="V181" s="76"/>
      <c r="W181" s="76"/>
    </row>
    <row r="182" spans="1:23">
      <c r="A182" s="84" t="s">
        <v>437</v>
      </c>
      <c r="B182" s="85" t="s">
        <v>436</v>
      </c>
      <c r="C182" s="85" t="s">
        <v>74</v>
      </c>
      <c r="D182" s="84" t="s">
        <v>84</v>
      </c>
      <c r="E182" s="84">
        <f>VLOOKUP(A182,'2a. SI Pop'!$A$5:$E$198,5,FALSE)</f>
        <v>3</v>
      </c>
      <c r="F182" s="84">
        <v>1981</v>
      </c>
      <c r="G182" s="84">
        <v>2012</v>
      </c>
      <c r="H182" s="84">
        <v>2019</v>
      </c>
      <c r="I182" s="84" t="s">
        <v>566</v>
      </c>
      <c r="J182" s="84" t="s">
        <v>566</v>
      </c>
      <c r="K182" s="3"/>
      <c r="L182" s="3"/>
      <c r="M182" s="3"/>
      <c r="N182" s="3"/>
      <c r="O182" s="3"/>
      <c r="P182" s="3"/>
      <c r="Q182" s="3"/>
      <c r="R182" s="76"/>
      <c r="S182" s="76"/>
      <c r="T182" s="76"/>
      <c r="U182" s="76"/>
      <c r="V182" s="76"/>
      <c r="W182" s="76"/>
    </row>
    <row r="183" spans="1:23">
      <c r="A183" s="84" t="s">
        <v>439</v>
      </c>
      <c r="B183" s="85" t="s">
        <v>438</v>
      </c>
      <c r="C183" s="85" t="s">
        <v>79</v>
      </c>
      <c r="D183" s="84" t="s">
        <v>80</v>
      </c>
      <c r="E183" s="84">
        <f>VLOOKUP(A183,'2a. SI Pop'!$A$5:$E$198,5,FALSE)</f>
        <v>1</v>
      </c>
      <c r="F183" s="84">
        <v>1998</v>
      </c>
      <c r="G183" s="84">
        <v>2006</v>
      </c>
      <c r="H183" s="84">
        <v>2008</v>
      </c>
      <c r="I183" s="84" t="s">
        <v>566</v>
      </c>
      <c r="J183" s="84" t="s">
        <v>566</v>
      </c>
      <c r="K183" s="3"/>
      <c r="L183" s="3"/>
      <c r="M183" s="3"/>
      <c r="N183" s="3"/>
      <c r="O183" s="3"/>
      <c r="P183" s="3"/>
      <c r="Q183" s="3"/>
      <c r="R183" s="76"/>
      <c r="S183" s="76"/>
      <c r="T183" s="76"/>
      <c r="U183" s="76"/>
      <c r="V183" s="76"/>
      <c r="W183" s="76"/>
    </row>
    <row r="184" spans="1:23">
      <c r="A184" s="84" t="s">
        <v>441</v>
      </c>
      <c r="B184" s="85" t="s">
        <v>440</v>
      </c>
      <c r="C184" s="85" t="s">
        <v>79</v>
      </c>
      <c r="D184" s="84" t="s">
        <v>80</v>
      </c>
      <c r="E184" s="84">
        <f>VLOOKUP(A184,'2a. SI Pop'!$A$5:$E$198,5,FALSE)</f>
        <v>1</v>
      </c>
      <c r="F184" s="84">
        <v>1988</v>
      </c>
      <c r="G184" s="84">
        <v>2007</v>
      </c>
      <c r="H184" s="84">
        <v>2019</v>
      </c>
      <c r="I184" s="84">
        <v>2019</v>
      </c>
      <c r="J184" s="84">
        <v>2016</v>
      </c>
      <c r="K184" s="3"/>
      <c r="L184" s="3"/>
      <c r="M184" s="3"/>
      <c r="N184" s="3"/>
      <c r="O184" s="3"/>
      <c r="P184" s="3"/>
      <c r="Q184" s="3"/>
      <c r="R184" s="76"/>
      <c r="S184" s="76"/>
      <c r="T184" s="76"/>
      <c r="U184" s="76"/>
      <c r="V184" s="76"/>
      <c r="W184" s="76"/>
    </row>
    <row r="185" spans="1:23">
      <c r="A185" s="84" t="s">
        <v>443</v>
      </c>
      <c r="B185" s="85" t="s">
        <v>442</v>
      </c>
      <c r="C185" s="85" t="s">
        <v>99</v>
      </c>
      <c r="D185" s="84" t="s">
        <v>80</v>
      </c>
      <c r="E185" s="84">
        <f>VLOOKUP(A185,'2a. SI Pop'!$A$5:$E$198,5,FALSE)</f>
        <v>4</v>
      </c>
      <c r="F185" s="84">
        <v>2005</v>
      </c>
      <c r="G185" s="84">
        <v>2005</v>
      </c>
      <c r="H185" s="84" t="s">
        <v>566</v>
      </c>
      <c r="I185" s="84" t="s">
        <v>566</v>
      </c>
      <c r="J185" s="84">
        <v>2021</v>
      </c>
      <c r="K185" s="3"/>
      <c r="L185" s="3"/>
      <c r="M185" s="3"/>
      <c r="N185" s="3"/>
      <c r="O185" s="3"/>
      <c r="P185" s="3"/>
      <c r="Q185" s="3"/>
      <c r="R185" s="76"/>
      <c r="S185" s="76"/>
      <c r="T185" s="76"/>
      <c r="U185" s="76"/>
      <c r="V185" s="76"/>
      <c r="W185" s="76"/>
    </row>
    <row r="186" spans="1:23">
      <c r="A186" s="84" t="s">
        <v>445</v>
      </c>
      <c r="B186" s="85" t="s">
        <v>444</v>
      </c>
      <c r="C186" s="85" t="s">
        <v>83</v>
      </c>
      <c r="D186" s="84" t="s">
        <v>75</v>
      </c>
      <c r="E186" s="84" t="str">
        <f>VLOOKUP(A186,'2a. SI Pop'!$A$5:$E$198,5,FALSE)</f>
        <v>Key</v>
      </c>
      <c r="F186" s="84">
        <v>2021</v>
      </c>
      <c r="G186" s="84">
        <v>2019</v>
      </c>
      <c r="H186" s="84">
        <v>2014</v>
      </c>
      <c r="I186" s="84">
        <v>2018</v>
      </c>
      <c r="J186" s="84">
        <v>2015</v>
      </c>
      <c r="K186" s="3"/>
      <c r="L186" s="3"/>
      <c r="M186" s="3"/>
      <c r="N186" s="3"/>
      <c r="O186" s="3"/>
      <c r="P186" s="3"/>
      <c r="Q186" s="3"/>
      <c r="R186" s="76"/>
      <c r="S186" s="76"/>
      <c r="T186" s="76"/>
      <c r="U186" s="76"/>
      <c r="V186" s="76"/>
      <c r="W186" s="76"/>
    </row>
    <row r="187" spans="1:23">
      <c r="A187" s="84" t="s">
        <v>447</v>
      </c>
      <c r="B187" s="85" t="s">
        <v>446</v>
      </c>
      <c r="C187" s="85" t="s">
        <v>79</v>
      </c>
      <c r="D187" s="84" t="s">
        <v>84</v>
      </c>
      <c r="E187" s="84">
        <f>VLOOKUP(A187,'2a. SI Pop'!$A$5:$E$198,5,FALSE)</f>
        <v>1</v>
      </c>
      <c r="F187" s="84">
        <v>2001</v>
      </c>
      <c r="G187" s="84">
        <v>2003</v>
      </c>
      <c r="H187" s="84" t="s">
        <v>566</v>
      </c>
      <c r="I187" s="84" t="s">
        <v>566</v>
      </c>
      <c r="J187" s="84" t="s">
        <v>566</v>
      </c>
      <c r="K187" s="3"/>
      <c r="L187" s="3"/>
      <c r="M187" s="3"/>
      <c r="N187" s="3"/>
      <c r="O187" s="3"/>
      <c r="P187" s="3"/>
      <c r="Q187" s="3"/>
      <c r="R187" s="76"/>
      <c r="S187" s="76"/>
      <c r="T187" s="76"/>
      <c r="U187" s="76"/>
      <c r="V187" s="76"/>
      <c r="W187" s="76"/>
    </row>
    <row r="188" spans="1:23">
      <c r="A188" s="84" t="s">
        <v>449</v>
      </c>
      <c r="B188" s="85" t="s">
        <v>448</v>
      </c>
      <c r="C188" s="85" t="s">
        <v>74</v>
      </c>
      <c r="D188" s="84" t="s">
        <v>87</v>
      </c>
      <c r="E188" s="84">
        <f>VLOOKUP(A188,'2a. SI Pop'!$A$5:$E$198,5,FALSE)</f>
        <v>1</v>
      </c>
      <c r="F188" s="84">
        <v>1985</v>
      </c>
      <c r="G188" s="84">
        <v>1985</v>
      </c>
      <c r="H188" s="84">
        <v>2007</v>
      </c>
      <c r="I188" s="84">
        <v>2014</v>
      </c>
      <c r="J188" s="84">
        <v>2018</v>
      </c>
      <c r="K188" s="3"/>
      <c r="L188" s="3"/>
      <c r="M188" s="3"/>
      <c r="N188" s="3"/>
      <c r="O188" s="3"/>
      <c r="P188" s="3"/>
      <c r="Q188" s="3"/>
      <c r="R188" s="76"/>
      <c r="S188" s="76"/>
      <c r="T188" s="76"/>
      <c r="U188" s="76"/>
      <c r="V188" s="76"/>
      <c r="W188" s="76"/>
    </row>
    <row r="189" spans="1:23">
      <c r="A189" s="84" t="s">
        <v>451</v>
      </c>
      <c r="B189" s="85" t="s">
        <v>450</v>
      </c>
      <c r="C189" s="85" t="s">
        <v>79</v>
      </c>
      <c r="D189" s="84" t="s">
        <v>87</v>
      </c>
      <c r="E189" s="84">
        <f>VLOOKUP(A189,'2a. SI Pop'!$A$5:$E$198,5,FALSE)</f>
        <v>1</v>
      </c>
      <c r="F189" s="84">
        <v>1996</v>
      </c>
      <c r="G189" s="84">
        <v>1970</v>
      </c>
      <c r="H189" s="84">
        <v>2006</v>
      </c>
      <c r="I189" s="84">
        <v>2013</v>
      </c>
      <c r="J189" s="84">
        <v>2008</v>
      </c>
      <c r="K189" s="3"/>
      <c r="L189" s="3"/>
      <c r="M189" s="3"/>
      <c r="N189" s="3"/>
      <c r="O189" s="3"/>
      <c r="P189" s="3"/>
      <c r="Q189" s="3"/>
      <c r="R189" s="76"/>
      <c r="S189" s="76"/>
      <c r="T189" s="76"/>
      <c r="U189" s="76"/>
      <c r="V189" s="76"/>
      <c r="W189" s="76"/>
    </row>
    <row r="190" spans="1:23">
      <c r="A190" s="84" t="s">
        <v>453</v>
      </c>
      <c r="B190" s="85" t="s">
        <v>452</v>
      </c>
      <c r="C190" s="85" t="s">
        <v>92</v>
      </c>
      <c r="D190" s="84" t="s">
        <v>87</v>
      </c>
      <c r="E190" s="84" t="str">
        <f>VLOOKUP(A190,'2a. SI Pop'!$A$5:$E$198,5,FALSE)</f>
        <v>Key</v>
      </c>
      <c r="F190" s="84">
        <v>1989</v>
      </c>
      <c r="G190" s="84">
        <v>1969</v>
      </c>
      <c r="H190" s="84">
        <v>2000</v>
      </c>
      <c r="I190" s="84">
        <v>2006</v>
      </c>
      <c r="J190" s="84">
        <v>2006</v>
      </c>
      <c r="K190" s="3"/>
      <c r="L190" s="3"/>
      <c r="M190" s="3"/>
      <c r="N190" s="3"/>
      <c r="O190" s="3"/>
      <c r="P190" s="3"/>
      <c r="Q190" s="3"/>
      <c r="R190" s="76"/>
      <c r="S190" s="76"/>
      <c r="T190" s="76"/>
      <c r="U190" s="76"/>
      <c r="V190" s="76"/>
      <c r="W190" s="76"/>
    </row>
    <row r="191" spans="1:23">
      <c r="A191" s="84" t="s">
        <v>455</v>
      </c>
      <c r="B191" s="85" t="s">
        <v>454</v>
      </c>
      <c r="C191" s="85" t="s">
        <v>92</v>
      </c>
      <c r="D191" s="84" t="s">
        <v>87</v>
      </c>
      <c r="E191" s="84">
        <f>VLOOKUP(A191,'2a. SI Pop'!$A$5:$E$198,5,FALSE)</f>
        <v>1</v>
      </c>
      <c r="F191" s="84">
        <v>1992</v>
      </c>
      <c r="G191" s="84">
        <v>1982</v>
      </c>
      <c r="H191" s="84">
        <v>2008</v>
      </c>
      <c r="I191" s="84" t="s">
        <v>566</v>
      </c>
      <c r="J191" s="84">
        <v>2013</v>
      </c>
      <c r="K191" s="3"/>
      <c r="L191" s="3"/>
      <c r="M191" s="3"/>
      <c r="N191" s="3"/>
      <c r="O191" s="3"/>
      <c r="P191" s="3"/>
      <c r="Q191" s="3"/>
      <c r="R191" s="76"/>
      <c r="S191" s="76"/>
      <c r="T191" s="76"/>
      <c r="U191" s="76"/>
      <c r="V191" s="76"/>
      <c r="W191" s="76"/>
    </row>
    <row r="192" spans="1:23">
      <c r="A192" s="84" t="s">
        <v>457</v>
      </c>
      <c r="B192" s="85" t="s">
        <v>456</v>
      </c>
      <c r="C192" s="85" t="s">
        <v>79</v>
      </c>
      <c r="D192" s="84" t="s">
        <v>84</v>
      </c>
      <c r="E192" s="84">
        <f>VLOOKUP(A192,'2a. SI Pop'!$A$5:$E$198,5,FALSE)</f>
        <v>2</v>
      </c>
      <c r="F192" s="84">
        <v>1986</v>
      </c>
      <c r="G192" s="84">
        <v>2006</v>
      </c>
      <c r="H192" s="84">
        <v>2015</v>
      </c>
      <c r="I192" s="84">
        <v>2014</v>
      </c>
      <c r="J192" s="84">
        <v>2019</v>
      </c>
      <c r="K192" s="3"/>
      <c r="L192" s="3"/>
      <c r="M192" s="3"/>
      <c r="N192" s="3"/>
      <c r="O192" s="3"/>
      <c r="P192" s="3"/>
      <c r="Q192" s="3"/>
      <c r="R192" s="76"/>
      <c r="S192" s="76"/>
      <c r="T192" s="76"/>
      <c r="U192" s="76"/>
      <c r="V192" s="76"/>
      <c r="W192" s="76"/>
    </row>
    <row r="193" spans="1:23">
      <c r="A193" s="84" t="s">
        <v>459</v>
      </c>
      <c r="B193" s="85" t="s">
        <v>458</v>
      </c>
      <c r="C193" s="85" t="s">
        <v>99</v>
      </c>
      <c r="D193" s="84" t="s">
        <v>84</v>
      </c>
      <c r="E193" s="84">
        <f>VLOOKUP(A193,'2a. SI Pop'!$A$5:$E$198,5,FALSE)</f>
        <v>4</v>
      </c>
      <c r="F193" s="84" t="s">
        <v>566</v>
      </c>
      <c r="G193" s="84">
        <v>2015</v>
      </c>
      <c r="H193" s="84" t="s">
        <v>566</v>
      </c>
      <c r="I193" s="84" t="s">
        <v>566</v>
      </c>
      <c r="J193" s="84">
        <v>2021</v>
      </c>
      <c r="K193" s="3"/>
      <c r="L193" s="3"/>
      <c r="M193" s="3"/>
      <c r="N193" s="3"/>
      <c r="O193" s="3"/>
      <c r="P193" s="3"/>
      <c r="Q193" s="3"/>
      <c r="R193" s="76"/>
      <c r="S193" s="76"/>
      <c r="T193" s="76"/>
      <c r="U193" s="76"/>
      <c r="V193" s="76"/>
      <c r="W193" s="76"/>
    </row>
    <row r="194" spans="1:23">
      <c r="A194" s="84" t="s">
        <v>461</v>
      </c>
      <c r="B194" s="85" t="s">
        <v>460</v>
      </c>
      <c r="C194" s="85" t="s">
        <v>92</v>
      </c>
      <c r="D194" s="84" t="s">
        <v>80</v>
      </c>
      <c r="E194" s="84">
        <f>VLOOKUP(A194,'2a. SI Pop'!$A$5:$E$198,5,FALSE)</f>
        <v>1</v>
      </c>
      <c r="F194" s="84">
        <v>2009</v>
      </c>
      <c r="G194" s="84">
        <v>1998</v>
      </c>
      <c r="H194" s="84">
        <v>2014</v>
      </c>
      <c r="I194" s="84">
        <v>2006</v>
      </c>
      <c r="J194" s="84" t="s">
        <v>566</v>
      </c>
      <c r="K194" s="3"/>
      <c r="L194" s="3"/>
      <c r="M194" s="3"/>
      <c r="N194" s="3"/>
      <c r="O194" s="3"/>
      <c r="P194" s="3"/>
      <c r="Q194" s="3"/>
      <c r="R194" s="76"/>
      <c r="S194" s="76"/>
      <c r="T194" s="76"/>
      <c r="U194" s="76"/>
      <c r="V194" s="76"/>
      <c r="W194" s="76"/>
    </row>
    <row r="195" spans="1:23">
      <c r="A195" s="84" t="s">
        <v>463</v>
      </c>
      <c r="B195" s="85" t="s">
        <v>462</v>
      </c>
      <c r="C195" s="85" t="s">
        <v>99</v>
      </c>
      <c r="D195" s="84" t="s">
        <v>84</v>
      </c>
      <c r="E195" s="84">
        <f>VLOOKUP(A195,'2a. SI Pop'!$A$5:$E$198,5,FALSE)</f>
        <v>4</v>
      </c>
      <c r="F195" s="84">
        <v>2006</v>
      </c>
      <c r="G195" s="84">
        <v>2015</v>
      </c>
      <c r="H195" s="84">
        <v>2025</v>
      </c>
      <c r="I195" s="84" t="s">
        <v>566</v>
      </c>
      <c r="J195" s="84" t="s">
        <v>566</v>
      </c>
      <c r="K195" s="3"/>
      <c r="L195" s="3"/>
      <c r="M195" s="3"/>
      <c r="N195" s="3"/>
      <c r="O195" s="3"/>
      <c r="P195" s="3"/>
      <c r="Q195" s="3"/>
      <c r="R195" s="76"/>
      <c r="S195" s="76"/>
      <c r="T195" s="76"/>
      <c r="U195" s="76"/>
      <c r="V195" s="76"/>
      <c r="W195" s="76"/>
    </row>
    <row r="196" spans="1:23">
      <c r="A196" s="84" t="s">
        <v>465</v>
      </c>
      <c r="B196" s="85" t="s">
        <v>464</v>
      </c>
      <c r="C196" s="85" t="s">
        <v>74</v>
      </c>
      <c r="D196" s="84" t="s">
        <v>75</v>
      </c>
      <c r="E196" s="84">
        <f>VLOOKUP(A196,'2a. SI Pop'!$A$5:$E$198,5,FALSE)</f>
        <v>3</v>
      </c>
      <c r="F196" s="84">
        <v>2004</v>
      </c>
      <c r="G196" s="84">
        <v>2015</v>
      </c>
      <c r="H196" s="84">
        <v>2011</v>
      </c>
      <c r="I196" s="84">
        <v>2012</v>
      </c>
      <c r="J196" s="84" t="s">
        <v>566</v>
      </c>
      <c r="K196" s="3"/>
      <c r="L196" s="3"/>
      <c r="M196" s="3"/>
      <c r="N196" s="3"/>
      <c r="O196" s="3"/>
      <c r="P196" s="3"/>
      <c r="Q196" s="3"/>
      <c r="R196" s="76"/>
      <c r="S196" s="76"/>
      <c r="T196" s="76"/>
      <c r="U196" s="76"/>
      <c r="V196" s="76"/>
      <c r="W196" s="76"/>
    </row>
    <row r="197" spans="1:23">
      <c r="A197" s="84" t="s">
        <v>467</v>
      </c>
      <c r="B197" s="85" t="s">
        <v>466</v>
      </c>
      <c r="C197" s="85" t="s">
        <v>83</v>
      </c>
      <c r="D197" s="84" t="s">
        <v>84</v>
      </c>
      <c r="E197" s="84">
        <f>VLOOKUP(A197,'2a. SI Pop'!$A$5:$E$198,5,FALSE)</f>
        <v>3</v>
      </c>
      <c r="F197" s="84">
        <v>2013</v>
      </c>
      <c r="G197" s="84">
        <v>2017</v>
      </c>
      <c r="H197" s="84">
        <v>2013</v>
      </c>
      <c r="I197" s="84">
        <v>2013</v>
      </c>
      <c r="J197" s="84">
        <v>2019</v>
      </c>
      <c r="K197" s="3"/>
      <c r="L197" s="3"/>
      <c r="M197" s="3"/>
      <c r="N197" s="3"/>
      <c r="O197" s="3"/>
      <c r="P197" s="3"/>
      <c r="Q197" s="3"/>
      <c r="R197" s="76"/>
      <c r="S197" s="76"/>
      <c r="T197" s="76"/>
      <c r="U197" s="76"/>
      <c r="V197" s="76"/>
      <c r="W197" s="76"/>
    </row>
    <row r="198" spans="1:23">
      <c r="A198" s="84" t="s">
        <v>469</v>
      </c>
      <c r="B198" s="85" t="s">
        <v>468</v>
      </c>
      <c r="C198" s="85" t="s">
        <v>83</v>
      </c>
      <c r="D198" s="84" t="s">
        <v>84</v>
      </c>
      <c r="E198" s="84">
        <f>VLOOKUP(A198,'2a. SI Pop'!$A$5:$E$198,5,FALSE)</f>
        <v>3</v>
      </c>
      <c r="F198" s="84">
        <v>2015</v>
      </c>
      <c r="G198" s="84">
        <v>2015</v>
      </c>
      <c r="H198" s="84">
        <v>2012</v>
      </c>
      <c r="I198" s="84">
        <v>2014</v>
      </c>
      <c r="J198" s="84">
        <v>2018</v>
      </c>
      <c r="K198" s="3"/>
      <c r="L198" s="3"/>
      <c r="M198" s="3"/>
      <c r="N198" s="3"/>
      <c r="O198" s="3"/>
      <c r="P198" s="3"/>
      <c r="Q198" s="3"/>
      <c r="R198" s="76"/>
      <c r="S198" s="76"/>
      <c r="T198" s="76"/>
      <c r="U198" s="76"/>
      <c r="V198" s="76"/>
      <c r="W198" s="76"/>
    </row>
  </sheetData>
  <autoFilter ref="A4:Q198" xr:uid="{1BE26F4C-1587-7C4D-887A-C69327E2A753}"/>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98F86-0710-7C4D-B272-3CE836CFCD82}">
  <sheetPr>
    <tabColor theme="5" tint="0.39997558519241921"/>
  </sheetPr>
  <dimension ref="A1:T198"/>
  <sheetViews>
    <sheetView zoomScale="85" zoomScaleNormal="85" workbookViewId="0">
      <selection activeCell="B2" sqref="B2"/>
    </sheetView>
  </sheetViews>
  <sheetFormatPr defaultColWidth="10.85546875" defaultRowHeight="15"/>
  <cols>
    <col min="2" max="2" width="11.140625" customWidth="1"/>
    <col min="6" max="10" width="13.42578125" bestFit="1" customWidth="1"/>
    <col min="11" max="14" width="13.7109375" bestFit="1" customWidth="1"/>
  </cols>
  <sheetData>
    <row r="1" spans="1:20">
      <c r="A1" t="s">
        <v>470</v>
      </c>
      <c r="B1" t="s">
        <v>567</v>
      </c>
    </row>
    <row r="2" spans="1:20">
      <c r="A2" t="s">
        <v>471</v>
      </c>
      <c r="B2" t="s">
        <v>568</v>
      </c>
    </row>
    <row r="4" spans="1:20" s="88" customFormat="1">
      <c r="A4" s="86" t="s">
        <v>473</v>
      </c>
      <c r="B4" s="87" t="s">
        <v>64</v>
      </c>
      <c r="C4" s="86" t="s">
        <v>66</v>
      </c>
      <c r="D4" s="86" t="s">
        <v>67</v>
      </c>
      <c r="E4" s="86" t="s">
        <v>68</v>
      </c>
      <c r="F4" s="100" t="s">
        <v>569</v>
      </c>
      <c r="G4" s="100" t="s">
        <v>570</v>
      </c>
      <c r="H4" s="100" t="s">
        <v>571</v>
      </c>
      <c r="I4" s="100" t="s">
        <v>572</v>
      </c>
      <c r="J4" s="100"/>
    </row>
    <row r="5" spans="1:20">
      <c r="A5" s="84" t="s">
        <v>73</v>
      </c>
      <c r="B5" s="85" t="s">
        <v>72</v>
      </c>
      <c r="C5" s="85" t="s">
        <v>74</v>
      </c>
      <c r="D5" s="84" t="s">
        <v>75</v>
      </c>
      <c r="E5" s="84" t="str">
        <f>VLOOKUP(A5,'2a. SI Pop'!$A$5:$E$198,5,FALSE)</f>
        <v>Key</v>
      </c>
      <c r="F5" s="84">
        <v>212</v>
      </c>
      <c r="G5" s="84">
        <v>314.98257911520898</v>
      </c>
      <c r="H5" s="84">
        <v>1256.23074481765</v>
      </c>
      <c r="I5" s="84">
        <v>970.61</v>
      </c>
      <c r="J5" s="3"/>
      <c r="K5" s="3"/>
      <c r="L5" s="3"/>
      <c r="M5" s="3"/>
      <c r="N5" s="3"/>
      <c r="O5" s="76"/>
      <c r="P5" s="76"/>
      <c r="Q5" s="76"/>
      <c r="R5" s="76"/>
      <c r="S5" s="76"/>
      <c r="T5" s="76"/>
    </row>
    <row r="6" spans="1:20">
      <c r="A6" s="84" t="s">
        <v>78</v>
      </c>
      <c r="B6" s="85" t="s">
        <v>77</v>
      </c>
      <c r="C6" s="85" t="s">
        <v>79</v>
      </c>
      <c r="D6" s="84" t="s">
        <v>80</v>
      </c>
      <c r="E6" s="84">
        <f>VLOOKUP(A6,'2a. SI Pop'!$A$5:$E$198,5,FALSE)</f>
        <v>1</v>
      </c>
      <c r="F6" s="84">
        <v>482</v>
      </c>
      <c r="G6" s="84">
        <v>34.922590012952</v>
      </c>
      <c r="H6" s="84">
        <v>1.3927116539414499</v>
      </c>
      <c r="I6" s="84">
        <v>0</v>
      </c>
      <c r="J6" s="3"/>
      <c r="K6" s="3"/>
      <c r="L6" s="3"/>
      <c r="M6" s="3"/>
      <c r="N6" s="3"/>
      <c r="O6" s="76"/>
      <c r="P6" s="76"/>
      <c r="Q6" s="76"/>
      <c r="R6" s="76"/>
      <c r="S6" s="76"/>
      <c r="T6" s="76"/>
    </row>
    <row r="7" spans="1:20">
      <c r="A7" s="84" t="s">
        <v>82</v>
      </c>
      <c r="B7" s="85" t="s">
        <v>81</v>
      </c>
      <c r="C7" s="85" t="s">
        <v>83</v>
      </c>
      <c r="D7" s="84" t="s">
        <v>84</v>
      </c>
      <c r="E7" s="84">
        <f>VLOOKUP(A7,'2a. SI Pop'!$A$5:$E$198,5,FALSE)</f>
        <v>2</v>
      </c>
      <c r="F7" s="84">
        <v>2585</v>
      </c>
      <c r="G7" s="84">
        <v>142.47056796290201</v>
      </c>
      <c r="H7" s="84">
        <v>88.4599947356201</v>
      </c>
      <c r="I7" s="84">
        <v>628.20000000000005</v>
      </c>
      <c r="J7" s="3"/>
      <c r="K7" s="3"/>
      <c r="L7" s="3"/>
      <c r="M7" s="3"/>
      <c r="N7" s="3"/>
      <c r="O7" s="76"/>
      <c r="P7" s="76"/>
      <c r="Q7" s="76"/>
      <c r="R7" s="76"/>
      <c r="S7" s="76"/>
      <c r="T7" s="76"/>
    </row>
    <row r="8" spans="1:20">
      <c r="A8" s="84" t="s">
        <v>86</v>
      </c>
      <c r="B8" s="85" t="s">
        <v>85</v>
      </c>
      <c r="C8" s="85" t="s">
        <v>79</v>
      </c>
      <c r="D8" s="84" t="s">
        <v>87</v>
      </c>
      <c r="E8" s="84">
        <f>VLOOKUP(A8,'2a. SI Pop'!$A$5:$E$198,5,FALSE)</f>
        <v>1</v>
      </c>
      <c r="F8" s="84">
        <v>0</v>
      </c>
      <c r="G8" s="84">
        <v>6.4061511929734805E-2</v>
      </c>
      <c r="H8" s="84">
        <v>0</v>
      </c>
      <c r="I8" s="84" t="s">
        <v>573</v>
      </c>
      <c r="J8" s="3"/>
      <c r="K8" s="3"/>
      <c r="L8" s="3"/>
      <c r="M8" s="3"/>
      <c r="N8" s="3"/>
      <c r="O8" s="76"/>
      <c r="P8" s="76"/>
      <c r="Q8" s="76"/>
      <c r="R8" s="76"/>
      <c r="S8" s="76"/>
      <c r="T8" s="76"/>
    </row>
    <row r="9" spans="1:20">
      <c r="A9" s="84" t="s">
        <v>89</v>
      </c>
      <c r="B9" s="85" t="s">
        <v>88</v>
      </c>
      <c r="C9" s="85" t="s">
        <v>83</v>
      </c>
      <c r="D9" s="84" t="s">
        <v>84</v>
      </c>
      <c r="E9" s="84">
        <f>VLOOKUP(A9,'2a. SI Pop'!$A$5:$E$198,5,FALSE)</f>
        <v>3</v>
      </c>
      <c r="F9" s="84">
        <v>2980</v>
      </c>
      <c r="G9" s="84">
        <v>749.58664740230802</v>
      </c>
      <c r="H9" s="84">
        <v>1061.4654575996301</v>
      </c>
      <c r="I9" s="84">
        <v>872.73</v>
      </c>
      <c r="J9" s="3"/>
      <c r="K9" s="3"/>
      <c r="L9" s="3"/>
      <c r="M9" s="3"/>
      <c r="N9" s="3"/>
      <c r="O9" s="76"/>
      <c r="P9" s="76"/>
      <c r="Q9" s="76"/>
      <c r="R9" s="76"/>
      <c r="S9" s="76"/>
      <c r="T9" s="76"/>
    </row>
    <row r="10" spans="1:20">
      <c r="A10" s="84" t="s">
        <v>91</v>
      </c>
      <c r="B10" s="85" t="s">
        <v>90</v>
      </c>
      <c r="C10" s="85" t="s">
        <v>92</v>
      </c>
      <c r="D10" s="84" t="s">
        <v>87</v>
      </c>
      <c r="E10" s="84">
        <f>VLOOKUP(A10,'2a. SI Pop'!$A$5:$E$198,5,FALSE)</f>
        <v>1</v>
      </c>
      <c r="F10" s="84">
        <v>0</v>
      </c>
      <c r="G10" s="84">
        <v>3.19259182940956E-2</v>
      </c>
      <c r="H10" s="84">
        <v>0</v>
      </c>
      <c r="I10" s="84" t="s">
        <v>573</v>
      </c>
      <c r="J10" s="3"/>
      <c r="K10" s="3"/>
      <c r="L10" s="3"/>
      <c r="M10" s="3"/>
      <c r="N10" s="3"/>
      <c r="O10" s="76"/>
      <c r="P10" s="76"/>
      <c r="Q10" s="76"/>
      <c r="R10" s="76"/>
      <c r="S10" s="76"/>
      <c r="T10" s="76"/>
    </row>
    <row r="11" spans="1:20">
      <c r="A11" s="84" t="s">
        <v>94</v>
      </c>
      <c r="B11" s="85" t="s">
        <v>93</v>
      </c>
      <c r="C11" s="85" t="s">
        <v>92</v>
      </c>
      <c r="D11" s="84" t="s">
        <v>80</v>
      </c>
      <c r="E11" s="84">
        <f>VLOOKUP(A11,'2a. SI Pop'!$A$5:$E$198,5,FALSE)</f>
        <v>1</v>
      </c>
      <c r="F11" s="84">
        <v>127</v>
      </c>
      <c r="G11" s="84">
        <v>0.20037981240560501</v>
      </c>
      <c r="H11" s="84">
        <v>5.1595230492848899E-2</v>
      </c>
      <c r="I11" s="84">
        <v>0</v>
      </c>
      <c r="J11" s="3"/>
      <c r="K11" s="3"/>
      <c r="L11" s="3"/>
      <c r="M11" s="3"/>
      <c r="N11" s="3"/>
      <c r="O11" s="76"/>
      <c r="P11" s="76"/>
      <c r="Q11" s="76"/>
      <c r="R11" s="76"/>
      <c r="S11" s="76"/>
      <c r="T11" s="76"/>
    </row>
    <row r="12" spans="1:20">
      <c r="A12" s="84" t="s">
        <v>96</v>
      </c>
      <c r="B12" s="85" t="s">
        <v>95</v>
      </c>
      <c r="C12" s="85" t="s">
        <v>79</v>
      </c>
      <c r="D12" s="84" t="s">
        <v>80</v>
      </c>
      <c r="E12" s="84">
        <f>VLOOKUP(A12,'2a. SI Pop'!$A$5:$E$198,5,FALSE)</f>
        <v>1</v>
      </c>
      <c r="F12" s="84">
        <v>7</v>
      </c>
      <c r="G12" s="84">
        <v>0.26587487319638398</v>
      </c>
      <c r="H12" s="84">
        <v>4.7370543870346596E-3</v>
      </c>
      <c r="I12" s="84">
        <v>0</v>
      </c>
      <c r="J12" s="3"/>
      <c r="K12" s="3"/>
      <c r="L12" s="3"/>
      <c r="M12" s="3"/>
      <c r="N12" s="3"/>
      <c r="O12" s="76"/>
      <c r="P12" s="76"/>
      <c r="Q12" s="76"/>
      <c r="R12" s="76"/>
      <c r="S12" s="76"/>
      <c r="T12" s="76"/>
    </row>
    <row r="13" spans="1:20">
      <c r="A13" s="84" t="s">
        <v>98</v>
      </c>
      <c r="B13" s="85" t="s">
        <v>97</v>
      </c>
      <c r="C13" s="85" t="s">
        <v>99</v>
      </c>
      <c r="D13" s="84" t="s">
        <v>87</v>
      </c>
      <c r="E13" s="84">
        <f>VLOOKUP(A13,'2a. SI Pop'!$A$5:$E$198,5,FALSE)</f>
        <v>1</v>
      </c>
      <c r="F13" s="84">
        <v>285</v>
      </c>
      <c r="G13" s="84">
        <v>1.04145968641955</v>
      </c>
      <c r="H13" s="84">
        <v>9.0849455643886204E-2</v>
      </c>
      <c r="I13" s="84">
        <v>0</v>
      </c>
      <c r="J13" s="3"/>
      <c r="K13" s="3"/>
      <c r="L13" s="3"/>
      <c r="M13" s="3"/>
      <c r="N13" s="3"/>
      <c r="O13" s="76"/>
      <c r="P13" s="76"/>
      <c r="Q13" s="76"/>
      <c r="R13" s="76"/>
      <c r="S13" s="76"/>
      <c r="T13" s="76"/>
    </row>
    <row r="14" spans="1:20">
      <c r="A14" s="84" t="s">
        <v>101</v>
      </c>
      <c r="B14" s="85" t="s">
        <v>100</v>
      </c>
      <c r="C14" s="85" t="s">
        <v>79</v>
      </c>
      <c r="D14" s="84" t="s">
        <v>87</v>
      </c>
      <c r="E14" s="84">
        <f>VLOOKUP(A14,'2a. SI Pop'!$A$5:$E$198,5,FALSE)</f>
        <v>1</v>
      </c>
      <c r="F14" s="84">
        <v>151</v>
      </c>
      <c r="G14" s="84">
        <v>2.9653008993155399</v>
      </c>
      <c r="H14" s="84">
        <v>1.63197694386676E-2</v>
      </c>
      <c r="I14" s="84">
        <v>4.2596999999999996</v>
      </c>
      <c r="J14" s="3"/>
      <c r="K14" s="3"/>
      <c r="L14" s="3"/>
      <c r="M14" s="3"/>
      <c r="N14" s="3"/>
      <c r="O14" s="76"/>
      <c r="P14" s="76"/>
      <c r="Q14" s="76"/>
      <c r="R14" s="76"/>
      <c r="S14" s="76"/>
      <c r="T14" s="76"/>
    </row>
    <row r="15" spans="1:20">
      <c r="A15" s="84" t="s">
        <v>103</v>
      </c>
      <c r="B15" s="85" t="s">
        <v>102</v>
      </c>
      <c r="C15" s="85" t="s">
        <v>79</v>
      </c>
      <c r="D15" s="84" t="s">
        <v>80</v>
      </c>
      <c r="E15" s="84">
        <f>VLOOKUP(A15,'2a. SI Pop'!$A$5:$E$198,5,FALSE)</f>
        <v>1</v>
      </c>
      <c r="F15" s="84">
        <v>261</v>
      </c>
      <c r="G15" s="84">
        <v>5.0522498804548999</v>
      </c>
      <c r="H15" s="84">
        <v>0.58498473368512005</v>
      </c>
      <c r="I15" s="84">
        <v>0</v>
      </c>
      <c r="J15" s="3"/>
      <c r="K15" s="3"/>
      <c r="L15" s="3"/>
      <c r="M15" s="3"/>
      <c r="N15" s="3"/>
      <c r="O15" s="76"/>
      <c r="P15" s="76"/>
      <c r="Q15" s="76"/>
      <c r="R15" s="76"/>
      <c r="S15" s="76"/>
      <c r="T15" s="76"/>
    </row>
    <row r="16" spans="1:20">
      <c r="A16" s="84" t="s">
        <v>105</v>
      </c>
      <c r="B16" s="85" t="s">
        <v>104</v>
      </c>
      <c r="C16" s="85" t="s">
        <v>92</v>
      </c>
      <c r="D16" s="84" t="s">
        <v>87</v>
      </c>
      <c r="E16" s="84">
        <f>VLOOKUP(A16,'2a. SI Pop'!$A$5:$E$198,5,FALSE)</f>
        <v>1</v>
      </c>
      <c r="F16" s="84">
        <v>3</v>
      </c>
      <c r="G16" s="84">
        <v>1.0539777556212599</v>
      </c>
      <c r="H16" s="84">
        <v>4.7223993949963797E-4</v>
      </c>
      <c r="I16" s="84">
        <v>0</v>
      </c>
      <c r="J16" s="3"/>
      <c r="K16" s="3"/>
      <c r="L16" s="3"/>
      <c r="M16" s="3"/>
      <c r="N16" s="3"/>
      <c r="O16" s="76"/>
      <c r="P16" s="76"/>
      <c r="Q16" s="76"/>
      <c r="R16" s="76"/>
      <c r="S16" s="76"/>
      <c r="T16" s="76"/>
    </row>
    <row r="17" spans="1:20">
      <c r="A17" s="84" t="s">
        <v>107</v>
      </c>
      <c r="B17" s="85" t="s">
        <v>106</v>
      </c>
      <c r="C17" s="85" t="s">
        <v>74</v>
      </c>
      <c r="D17" s="84" t="s">
        <v>87</v>
      </c>
      <c r="E17" s="84">
        <f>VLOOKUP(A17,'2a. SI Pop'!$A$5:$E$198,5,FALSE)</f>
        <v>1</v>
      </c>
      <c r="F17" s="84">
        <v>3</v>
      </c>
      <c r="G17" s="84">
        <v>37.132774333844999</v>
      </c>
      <c r="H17" s="84">
        <v>0.48716342469145002</v>
      </c>
      <c r="I17" s="84">
        <v>0</v>
      </c>
      <c r="J17" s="3"/>
      <c r="K17" s="3"/>
      <c r="L17" s="3"/>
      <c r="M17" s="3"/>
      <c r="N17" s="3"/>
      <c r="O17" s="76"/>
      <c r="P17" s="76"/>
      <c r="Q17" s="76"/>
      <c r="R17" s="76"/>
      <c r="S17" s="76"/>
      <c r="T17" s="76"/>
    </row>
    <row r="18" spans="1:20">
      <c r="A18" s="84" t="s">
        <v>109</v>
      </c>
      <c r="B18" s="85" t="s">
        <v>108</v>
      </c>
      <c r="C18" s="85" t="s">
        <v>110</v>
      </c>
      <c r="D18" s="84" t="s">
        <v>84</v>
      </c>
      <c r="E18" s="84" t="str">
        <f>VLOOKUP(A18,'2a. SI Pop'!$A$5:$E$198,5,FALSE)</f>
        <v>Key</v>
      </c>
      <c r="F18" s="84">
        <v>5479</v>
      </c>
      <c r="G18" s="84">
        <v>114.31174944432701</v>
      </c>
      <c r="H18" s="84">
        <v>351.233123323651</v>
      </c>
      <c r="I18" s="84">
        <v>4755.5</v>
      </c>
      <c r="J18" s="3"/>
      <c r="K18" s="3"/>
      <c r="L18" s="3"/>
      <c r="M18" s="3"/>
      <c r="N18" s="3"/>
      <c r="O18" s="76"/>
      <c r="P18" s="76"/>
      <c r="Q18" s="76"/>
      <c r="R18" s="76"/>
      <c r="S18" s="76"/>
      <c r="T18" s="76"/>
    </row>
    <row r="19" spans="1:20">
      <c r="A19" s="84" t="s">
        <v>112</v>
      </c>
      <c r="B19" s="85" t="s">
        <v>111</v>
      </c>
      <c r="C19" s="85" t="s">
        <v>92</v>
      </c>
      <c r="D19" s="84" t="s">
        <v>87</v>
      </c>
      <c r="E19" s="84">
        <f>VLOOKUP(A19,'2a. SI Pop'!$A$5:$E$198,5,FALSE)</f>
        <v>1</v>
      </c>
      <c r="F19" s="84">
        <v>0</v>
      </c>
      <c r="G19" s="84">
        <v>2.7341516575402802E-2</v>
      </c>
      <c r="H19" s="84">
        <v>0</v>
      </c>
      <c r="I19" s="84">
        <v>0</v>
      </c>
      <c r="J19" s="3"/>
      <c r="K19" s="3"/>
      <c r="L19" s="3"/>
      <c r="M19" s="3"/>
      <c r="N19" s="3"/>
      <c r="O19" s="76"/>
      <c r="P19" s="76"/>
      <c r="Q19" s="76"/>
      <c r="R19" s="76"/>
      <c r="S19" s="76"/>
      <c r="T19" s="76"/>
    </row>
    <row r="20" spans="1:20">
      <c r="A20" s="84" t="s">
        <v>114</v>
      </c>
      <c r="B20" s="85" t="s">
        <v>113</v>
      </c>
      <c r="C20" s="85" t="s">
        <v>79</v>
      </c>
      <c r="D20" s="84" t="s">
        <v>80</v>
      </c>
      <c r="E20" s="84">
        <f>VLOOKUP(A20,'2a. SI Pop'!$A$5:$E$198,5,FALSE)</f>
        <v>2</v>
      </c>
      <c r="F20" s="84">
        <v>191</v>
      </c>
      <c r="G20" s="84">
        <v>3.3016383693420801</v>
      </c>
      <c r="H20" s="84">
        <v>8.4151328437706598E-3</v>
      </c>
      <c r="I20" s="84">
        <v>0</v>
      </c>
      <c r="J20" s="3"/>
      <c r="K20" s="3"/>
      <c r="L20" s="3"/>
      <c r="M20" s="3"/>
      <c r="N20" s="3"/>
      <c r="O20" s="76"/>
      <c r="P20" s="76"/>
      <c r="Q20" s="76"/>
      <c r="R20" s="76"/>
      <c r="S20" s="76"/>
      <c r="T20" s="76"/>
    </row>
    <row r="21" spans="1:20">
      <c r="A21" s="84" t="s">
        <v>116</v>
      </c>
      <c r="B21" s="85" t="s">
        <v>115</v>
      </c>
      <c r="C21" s="85" t="s">
        <v>79</v>
      </c>
      <c r="D21" s="84" t="s">
        <v>87</v>
      </c>
      <c r="E21" s="84">
        <f>VLOOKUP(A21,'2a. SI Pop'!$A$5:$E$198,5,FALSE)</f>
        <v>1</v>
      </c>
      <c r="F21" s="84">
        <v>481</v>
      </c>
      <c r="G21" s="84">
        <v>6.3077084034346003</v>
      </c>
      <c r="H21" s="84">
        <v>2.5437275428894499E-2</v>
      </c>
      <c r="I21" s="84">
        <v>1.2278</v>
      </c>
      <c r="J21" s="3"/>
      <c r="K21" s="3"/>
      <c r="L21" s="3"/>
      <c r="M21" s="3"/>
      <c r="N21" s="3"/>
      <c r="O21" s="76"/>
      <c r="P21" s="76"/>
      <c r="Q21" s="76"/>
      <c r="R21" s="76"/>
      <c r="S21" s="76"/>
      <c r="T21" s="76"/>
    </row>
    <row r="22" spans="1:20">
      <c r="A22" s="84" t="s">
        <v>118</v>
      </c>
      <c r="B22" s="85" t="s">
        <v>117</v>
      </c>
      <c r="C22" s="85" t="s">
        <v>92</v>
      </c>
      <c r="D22" s="84" t="s">
        <v>80</v>
      </c>
      <c r="E22" s="84">
        <f>VLOOKUP(A22,'2a. SI Pop'!$A$5:$E$198,5,FALSE)</f>
        <v>1</v>
      </c>
      <c r="F22" s="84">
        <v>0</v>
      </c>
      <c r="G22" s="84">
        <v>5.3432643562584203E-2</v>
      </c>
      <c r="H22" s="84">
        <v>0</v>
      </c>
      <c r="I22" s="84">
        <v>0</v>
      </c>
      <c r="J22" s="3"/>
      <c r="K22" s="3"/>
      <c r="L22" s="3"/>
      <c r="M22" s="3"/>
      <c r="N22" s="3"/>
      <c r="O22" s="76"/>
      <c r="P22" s="76"/>
      <c r="Q22" s="76"/>
      <c r="R22" s="76"/>
      <c r="S22" s="76"/>
      <c r="T22" s="76"/>
    </row>
    <row r="23" spans="1:20">
      <c r="A23" s="84" t="s">
        <v>120</v>
      </c>
      <c r="B23" s="85" t="s">
        <v>119</v>
      </c>
      <c r="C23" s="85" t="s">
        <v>83</v>
      </c>
      <c r="D23" s="84" t="s">
        <v>84</v>
      </c>
      <c r="E23" s="84">
        <f>VLOOKUP(A23,'2a. SI Pop'!$A$5:$E$198,5,FALSE)</f>
        <v>3</v>
      </c>
      <c r="F23" s="84">
        <v>483</v>
      </c>
      <c r="G23" s="84">
        <v>1648.8100599668101</v>
      </c>
      <c r="H23" s="84">
        <v>2489.2110123324801</v>
      </c>
      <c r="I23" s="84">
        <v>908.12</v>
      </c>
      <c r="J23" s="3"/>
      <c r="K23" s="3"/>
      <c r="L23" s="3"/>
      <c r="M23" s="3"/>
      <c r="N23" s="3"/>
      <c r="O23" s="76"/>
      <c r="P23" s="76"/>
      <c r="Q23" s="76"/>
      <c r="R23" s="76"/>
      <c r="S23" s="76"/>
      <c r="T23" s="76"/>
    </row>
    <row r="24" spans="1:20">
      <c r="A24" s="84" t="s">
        <v>122</v>
      </c>
      <c r="B24" s="85" t="s">
        <v>121</v>
      </c>
      <c r="C24" s="85" t="s">
        <v>110</v>
      </c>
      <c r="D24" s="84" t="s">
        <v>84</v>
      </c>
      <c r="E24" s="84">
        <f>VLOOKUP(A24,'2a. SI Pop'!$A$5:$E$198,5,FALSE)</f>
        <v>2</v>
      </c>
      <c r="F24" s="84">
        <v>0</v>
      </c>
      <c r="G24" s="84">
        <v>6.5048677522722702</v>
      </c>
      <c r="H24" s="84">
        <v>0.43542697285890097</v>
      </c>
      <c r="I24" s="84">
        <v>0</v>
      </c>
      <c r="J24" s="3"/>
      <c r="K24" s="3"/>
      <c r="L24" s="3"/>
      <c r="M24" s="3"/>
      <c r="N24" s="3"/>
      <c r="O24" s="76"/>
      <c r="P24" s="76"/>
      <c r="Q24" s="76"/>
      <c r="R24" s="76"/>
      <c r="S24" s="76"/>
      <c r="T24" s="76"/>
    </row>
    <row r="25" spans="1:20">
      <c r="A25" s="84" t="s">
        <v>124</v>
      </c>
      <c r="B25" s="85" t="s">
        <v>123</v>
      </c>
      <c r="C25" s="85" t="s">
        <v>92</v>
      </c>
      <c r="D25" s="84" t="s">
        <v>84</v>
      </c>
      <c r="E25" s="84">
        <f>VLOOKUP(A25,'2a. SI Pop'!$A$5:$E$198,5,FALSE)</f>
        <v>2</v>
      </c>
      <c r="F25" s="84">
        <v>0</v>
      </c>
      <c r="G25" s="84">
        <v>1.0893085968866701E-3</v>
      </c>
      <c r="H25" s="84">
        <v>0</v>
      </c>
      <c r="I25" s="84">
        <v>0</v>
      </c>
      <c r="J25" s="3"/>
      <c r="K25" s="3"/>
      <c r="L25" s="3"/>
      <c r="M25" s="3"/>
      <c r="N25" s="3"/>
      <c r="O25" s="76"/>
      <c r="P25" s="76"/>
      <c r="Q25" s="76"/>
      <c r="R25" s="76"/>
      <c r="S25" s="76"/>
      <c r="T25" s="76"/>
    </row>
    <row r="26" spans="1:20">
      <c r="A26" s="84" t="s">
        <v>126</v>
      </c>
      <c r="B26" s="85" t="s">
        <v>125</v>
      </c>
      <c r="C26" s="85" t="s">
        <v>79</v>
      </c>
      <c r="D26" s="84" t="s">
        <v>80</v>
      </c>
      <c r="E26" s="84">
        <f>VLOOKUP(A26,'2a. SI Pop'!$A$5:$E$198,5,FALSE)</f>
        <v>1</v>
      </c>
      <c r="F26" s="84">
        <v>1401</v>
      </c>
      <c r="G26" s="84">
        <v>79.941821106577294</v>
      </c>
      <c r="H26" s="84">
        <v>1.93159275104916</v>
      </c>
      <c r="I26" s="84">
        <v>3.3234999999999998E-7</v>
      </c>
      <c r="J26" s="3"/>
      <c r="K26" s="3"/>
      <c r="L26" s="3"/>
      <c r="M26" s="3"/>
      <c r="N26" s="3"/>
      <c r="O26" s="76"/>
      <c r="P26" s="76"/>
      <c r="Q26" s="76"/>
      <c r="R26" s="76"/>
      <c r="S26" s="76"/>
      <c r="T26" s="76"/>
    </row>
    <row r="27" spans="1:20">
      <c r="A27" s="84" t="s">
        <v>128</v>
      </c>
      <c r="B27" s="85" t="s">
        <v>127</v>
      </c>
      <c r="C27" s="85" t="s">
        <v>83</v>
      </c>
      <c r="D27" s="84" t="s">
        <v>80</v>
      </c>
      <c r="E27" s="84">
        <f>VLOOKUP(A27,'2a. SI Pop'!$A$5:$E$198,5,FALSE)</f>
        <v>2</v>
      </c>
      <c r="F27" s="84">
        <v>0</v>
      </c>
      <c r="G27" s="84">
        <v>78.407398870916893</v>
      </c>
      <c r="H27" s="84">
        <v>11.073407142998001</v>
      </c>
      <c r="I27" s="84">
        <v>50.496000000000002</v>
      </c>
      <c r="J27" s="3"/>
      <c r="K27" s="3"/>
      <c r="L27" s="3"/>
      <c r="M27" s="3"/>
      <c r="N27" s="3"/>
      <c r="O27" s="76"/>
      <c r="P27" s="76"/>
      <c r="Q27" s="76"/>
      <c r="R27" s="76"/>
      <c r="S27" s="76"/>
      <c r="T27" s="76"/>
    </row>
    <row r="28" spans="1:20">
      <c r="A28" s="84" t="s">
        <v>130</v>
      </c>
      <c r="B28" s="85" t="s">
        <v>129</v>
      </c>
      <c r="C28" s="85" t="s">
        <v>92</v>
      </c>
      <c r="D28" s="84" t="s">
        <v>80</v>
      </c>
      <c r="E28" s="84" t="str">
        <f>VLOOKUP(A28,'2a. SI Pop'!$A$5:$E$198,5,FALSE)</f>
        <v>Key</v>
      </c>
      <c r="F28" s="84">
        <v>20901</v>
      </c>
      <c r="G28" s="84">
        <v>6.41981977102615</v>
      </c>
      <c r="H28" s="84">
        <v>0.41745324279148299</v>
      </c>
      <c r="I28" s="84">
        <v>0</v>
      </c>
      <c r="J28" s="3"/>
      <c r="K28" s="3"/>
      <c r="L28" s="3"/>
      <c r="M28" s="3"/>
      <c r="N28" s="3"/>
      <c r="O28" s="76"/>
      <c r="P28" s="76"/>
      <c r="Q28" s="76"/>
      <c r="R28" s="76"/>
      <c r="S28" s="76"/>
      <c r="T28" s="76"/>
    </row>
    <row r="29" spans="1:20">
      <c r="A29" s="84" t="s">
        <v>132</v>
      </c>
      <c r="B29" s="85" t="s">
        <v>131</v>
      </c>
      <c r="C29" s="85" t="s">
        <v>99</v>
      </c>
      <c r="D29" s="84" t="s">
        <v>87</v>
      </c>
      <c r="E29" s="84">
        <f>VLOOKUP(A29,'2a. SI Pop'!$A$5:$E$198,5,FALSE)</f>
        <v>1</v>
      </c>
      <c r="F29" s="84">
        <v>1</v>
      </c>
      <c r="G29" s="84">
        <v>8.7001893841809605E-2</v>
      </c>
      <c r="H29" s="84">
        <v>0</v>
      </c>
      <c r="I29" s="84">
        <v>0</v>
      </c>
      <c r="J29" s="3"/>
      <c r="K29" s="3"/>
      <c r="L29" s="3"/>
      <c r="M29" s="3"/>
      <c r="N29" s="3"/>
      <c r="O29" s="76"/>
      <c r="P29" s="76"/>
      <c r="Q29" s="76"/>
      <c r="R29" s="76"/>
      <c r="S29" s="76"/>
      <c r="T29" s="76"/>
    </row>
    <row r="30" spans="1:20">
      <c r="A30" s="84" t="s">
        <v>134</v>
      </c>
      <c r="B30" s="85" t="s">
        <v>133</v>
      </c>
      <c r="C30" s="85" t="s">
        <v>79</v>
      </c>
      <c r="D30" s="84" t="s">
        <v>80</v>
      </c>
      <c r="E30" s="84">
        <f>VLOOKUP(A30,'2a. SI Pop'!$A$5:$E$198,5,FALSE)</f>
        <v>1</v>
      </c>
      <c r="F30" s="84">
        <v>1247</v>
      </c>
      <c r="G30" s="84">
        <v>29.751860808252701</v>
      </c>
      <c r="H30" s="84">
        <v>1.13152262001096E-2</v>
      </c>
      <c r="I30" s="84">
        <v>0</v>
      </c>
      <c r="J30" s="3"/>
      <c r="K30" s="3"/>
      <c r="L30" s="3"/>
      <c r="M30" s="3"/>
      <c r="N30" s="3"/>
      <c r="O30" s="76"/>
      <c r="P30" s="76"/>
      <c r="Q30" s="76"/>
      <c r="R30" s="76"/>
      <c r="S30" s="76"/>
      <c r="T30" s="76"/>
    </row>
    <row r="31" spans="1:20">
      <c r="A31" s="84" t="s">
        <v>136</v>
      </c>
      <c r="B31" s="85" t="s">
        <v>135</v>
      </c>
      <c r="C31" s="85" t="s">
        <v>83</v>
      </c>
      <c r="D31" s="84" t="s">
        <v>75</v>
      </c>
      <c r="E31" s="84">
        <f>VLOOKUP(A31,'2a. SI Pop'!$A$5:$E$198,5,FALSE)</f>
        <v>3</v>
      </c>
      <c r="F31" s="84">
        <v>691</v>
      </c>
      <c r="G31" s="84">
        <v>515.562360280951</v>
      </c>
      <c r="H31" s="84">
        <v>2297.2304679822</v>
      </c>
      <c r="I31" s="84">
        <v>855.26</v>
      </c>
      <c r="J31" s="3"/>
      <c r="K31" s="3"/>
      <c r="L31" s="3"/>
      <c r="M31" s="3"/>
      <c r="N31" s="3"/>
      <c r="O31" s="76"/>
      <c r="P31" s="76"/>
      <c r="Q31" s="76"/>
      <c r="R31" s="76"/>
      <c r="S31" s="76"/>
      <c r="T31" s="76"/>
    </row>
    <row r="32" spans="1:20">
      <c r="A32" s="84" t="s">
        <v>138</v>
      </c>
      <c r="B32" s="85" t="s">
        <v>137</v>
      </c>
      <c r="C32" s="85" t="s">
        <v>83</v>
      </c>
      <c r="D32" s="84" t="s">
        <v>75</v>
      </c>
      <c r="E32" s="84">
        <f>VLOOKUP(A32,'2a. SI Pop'!$A$5:$E$198,5,FALSE)</f>
        <v>3</v>
      </c>
      <c r="F32" s="84">
        <v>106</v>
      </c>
      <c r="G32" s="84">
        <v>146.036681108453</v>
      </c>
      <c r="H32" s="84">
        <v>233.09957675083001</v>
      </c>
      <c r="I32" s="84">
        <v>278.43</v>
      </c>
      <c r="J32" s="3"/>
      <c r="K32" s="3"/>
      <c r="L32" s="3"/>
      <c r="M32" s="3"/>
      <c r="N32" s="3"/>
      <c r="O32" s="76"/>
      <c r="P32" s="76"/>
      <c r="Q32" s="76"/>
      <c r="R32" s="76"/>
      <c r="S32" s="76"/>
      <c r="T32" s="76"/>
    </row>
    <row r="33" spans="1:20">
      <c r="A33" s="84" t="s">
        <v>140</v>
      </c>
      <c r="B33" s="85" t="s">
        <v>139</v>
      </c>
      <c r="C33" s="85" t="s">
        <v>99</v>
      </c>
      <c r="D33" s="84" t="s">
        <v>84</v>
      </c>
      <c r="E33" s="84">
        <f>VLOOKUP(A33,'2a. SI Pop'!$A$5:$E$198,5,FALSE)</f>
        <v>4</v>
      </c>
      <c r="F33" s="84">
        <v>676</v>
      </c>
      <c r="G33" s="84">
        <v>235.77048753173801</v>
      </c>
      <c r="H33" s="84">
        <v>121.42957754053</v>
      </c>
      <c r="I33" s="84">
        <v>838.43</v>
      </c>
      <c r="J33" s="3"/>
      <c r="K33" s="3"/>
      <c r="L33" s="3"/>
      <c r="M33" s="3"/>
      <c r="N33" s="3"/>
      <c r="O33" s="76"/>
      <c r="P33" s="76"/>
      <c r="Q33" s="76"/>
      <c r="R33" s="76"/>
      <c r="S33" s="76"/>
      <c r="T33" s="76"/>
    </row>
    <row r="34" spans="1:20">
      <c r="A34" s="84" t="s">
        <v>142</v>
      </c>
      <c r="B34" s="85" t="s">
        <v>141</v>
      </c>
      <c r="C34" s="85" t="s">
        <v>83</v>
      </c>
      <c r="D34" s="84" t="s">
        <v>84</v>
      </c>
      <c r="E34" s="84">
        <f>VLOOKUP(A34,'2a. SI Pop'!$A$5:$E$198,5,FALSE)</f>
        <v>3</v>
      </c>
      <c r="F34" s="84">
        <v>2849</v>
      </c>
      <c r="G34" s="84">
        <v>557.06836627707901</v>
      </c>
      <c r="H34" s="84">
        <v>2320.6064259629002</v>
      </c>
      <c r="I34" s="84">
        <v>807.2</v>
      </c>
      <c r="J34" s="3"/>
      <c r="K34" s="3"/>
      <c r="L34" s="3"/>
      <c r="M34" s="3"/>
      <c r="N34" s="3"/>
      <c r="O34" s="76"/>
      <c r="P34" s="76"/>
      <c r="Q34" s="76"/>
      <c r="R34" s="76"/>
      <c r="S34" s="76"/>
      <c r="T34" s="76"/>
    </row>
    <row r="35" spans="1:20">
      <c r="A35" s="84" t="s">
        <v>144</v>
      </c>
      <c r="B35" s="85" t="s">
        <v>143</v>
      </c>
      <c r="C35" s="85" t="s">
        <v>92</v>
      </c>
      <c r="D35" s="84" t="s">
        <v>87</v>
      </c>
      <c r="E35" s="84">
        <f>VLOOKUP(A35,'2a. SI Pop'!$A$5:$E$198,5,FALSE)</f>
        <v>1</v>
      </c>
      <c r="F35" s="84">
        <v>113</v>
      </c>
      <c r="G35" s="84">
        <v>0.41520941476113099</v>
      </c>
      <c r="H35" s="84">
        <v>9.1015753859914103E-2</v>
      </c>
      <c r="I35" s="84">
        <v>4.9812000000000003E-10</v>
      </c>
      <c r="J35" s="3"/>
      <c r="K35" s="3"/>
      <c r="L35" s="3"/>
      <c r="M35" s="3"/>
      <c r="N35" s="3"/>
      <c r="O35" s="76"/>
      <c r="P35" s="76"/>
      <c r="Q35" s="76"/>
      <c r="R35" s="76"/>
      <c r="S35" s="76"/>
      <c r="T35" s="76"/>
    </row>
    <row r="36" spans="1:20">
      <c r="A36" s="84" t="s">
        <v>146</v>
      </c>
      <c r="B36" s="85" t="s">
        <v>145</v>
      </c>
      <c r="C36" s="85" t="s">
        <v>83</v>
      </c>
      <c r="D36" s="84" t="s">
        <v>84</v>
      </c>
      <c r="E36" s="84">
        <f>VLOOKUP(A36,'2a. SI Pop'!$A$5:$E$198,5,FALSE)</f>
        <v>2</v>
      </c>
      <c r="F36" s="84">
        <v>1</v>
      </c>
      <c r="G36" s="84">
        <v>59.891403253277602</v>
      </c>
      <c r="H36" s="84">
        <v>1.56745069372403</v>
      </c>
      <c r="I36" s="84">
        <v>6.1661999999999999</v>
      </c>
      <c r="J36" s="3"/>
      <c r="K36" s="3"/>
      <c r="L36" s="3"/>
      <c r="M36" s="3"/>
      <c r="N36" s="3"/>
      <c r="O36" s="76"/>
      <c r="P36" s="76"/>
      <c r="Q36" s="76"/>
      <c r="R36" s="76"/>
      <c r="S36" s="76"/>
      <c r="T36" s="76"/>
    </row>
    <row r="37" spans="1:20">
      <c r="A37" s="84" t="s">
        <v>148</v>
      </c>
      <c r="B37" s="85" t="s">
        <v>147</v>
      </c>
      <c r="C37" s="85" t="s">
        <v>83</v>
      </c>
      <c r="D37" s="84" t="s">
        <v>75</v>
      </c>
      <c r="E37" s="84">
        <f>VLOOKUP(A37,'2a. SI Pop'!$A$5:$E$198,5,FALSE)</f>
        <v>3</v>
      </c>
      <c r="F37" s="84">
        <v>1815</v>
      </c>
      <c r="G37" s="84">
        <v>1040.6962842873399</v>
      </c>
      <c r="H37" s="84">
        <v>567.31429420010295</v>
      </c>
      <c r="I37" s="84">
        <v>164.3</v>
      </c>
      <c r="J37" s="3"/>
      <c r="K37" s="3"/>
      <c r="L37" s="3"/>
      <c r="M37" s="3"/>
      <c r="N37" s="3"/>
      <c r="O37" s="76"/>
      <c r="P37" s="76"/>
      <c r="Q37" s="76"/>
      <c r="R37" s="76"/>
      <c r="S37" s="76"/>
      <c r="T37" s="76"/>
    </row>
    <row r="38" spans="1:20">
      <c r="A38" s="84" t="s">
        <v>150</v>
      </c>
      <c r="B38" s="85" t="s">
        <v>149</v>
      </c>
      <c r="C38" s="85" t="s">
        <v>83</v>
      </c>
      <c r="D38" s="84" t="s">
        <v>75</v>
      </c>
      <c r="E38" s="84" t="str">
        <f>VLOOKUP(A38,'2a. SI Pop'!$A$5:$E$198,5,FALSE)</f>
        <v>Key</v>
      </c>
      <c r="F38" s="84">
        <v>1925</v>
      </c>
      <c r="G38" s="84">
        <v>1087.8878053916901</v>
      </c>
      <c r="H38" s="84">
        <v>2778.1665099183701</v>
      </c>
      <c r="I38" s="84">
        <v>576.16</v>
      </c>
      <c r="J38" s="3"/>
      <c r="K38" s="3"/>
      <c r="L38" s="3"/>
      <c r="M38" s="3"/>
      <c r="N38" s="3"/>
      <c r="O38" s="76"/>
      <c r="P38" s="76"/>
      <c r="Q38" s="76"/>
      <c r="R38" s="76"/>
      <c r="S38" s="76"/>
      <c r="T38" s="76"/>
    </row>
    <row r="39" spans="1:20">
      <c r="A39" s="84" t="s">
        <v>152</v>
      </c>
      <c r="B39" s="85" t="s">
        <v>151</v>
      </c>
      <c r="C39" s="85" t="s">
        <v>92</v>
      </c>
      <c r="D39" s="84" t="s">
        <v>87</v>
      </c>
      <c r="E39" s="84">
        <f>VLOOKUP(A39,'2a. SI Pop'!$A$5:$E$198,5,FALSE)</f>
        <v>2</v>
      </c>
      <c r="F39" s="84">
        <v>11</v>
      </c>
      <c r="G39" s="84">
        <v>5.4973099428914297E-2</v>
      </c>
      <c r="H39" s="84">
        <v>2.5534432555091399E-2</v>
      </c>
      <c r="I39" s="84">
        <v>4.5859999999999998E-4</v>
      </c>
      <c r="J39" s="3"/>
      <c r="K39" s="3"/>
      <c r="L39" s="3"/>
      <c r="M39" s="3"/>
      <c r="N39" s="3"/>
      <c r="O39" s="76"/>
      <c r="P39" s="76"/>
      <c r="Q39" s="76"/>
      <c r="R39" s="76"/>
      <c r="S39" s="76"/>
      <c r="T39" s="76"/>
    </row>
    <row r="40" spans="1:20">
      <c r="A40" s="84" t="s">
        <v>154</v>
      </c>
      <c r="B40" s="85" t="s">
        <v>153</v>
      </c>
      <c r="C40" s="85" t="s">
        <v>99</v>
      </c>
      <c r="D40" s="84" t="s">
        <v>80</v>
      </c>
      <c r="E40" s="84">
        <f>VLOOKUP(A40,'2a. SI Pop'!$A$5:$E$198,5,FALSE)</f>
        <v>1</v>
      </c>
      <c r="F40" s="84">
        <v>3098</v>
      </c>
      <c r="G40" s="84">
        <v>61.482822235102603</v>
      </c>
      <c r="H40" s="84">
        <v>686.36799711292099</v>
      </c>
      <c r="I40" s="84">
        <v>7.1701999999999998E-3</v>
      </c>
      <c r="J40" s="3"/>
      <c r="K40" s="3"/>
      <c r="L40" s="3"/>
      <c r="M40" s="3"/>
      <c r="N40" s="3"/>
      <c r="O40" s="76"/>
      <c r="P40" s="76"/>
      <c r="Q40" s="76"/>
      <c r="R40" s="76"/>
      <c r="S40" s="76"/>
      <c r="T40" s="76"/>
    </row>
    <row r="41" spans="1:20">
      <c r="A41" s="84" t="s">
        <v>156</v>
      </c>
      <c r="B41" s="85" t="s">
        <v>155</v>
      </c>
      <c r="C41" s="85" t="s">
        <v>92</v>
      </c>
      <c r="D41" s="84" t="s">
        <v>80</v>
      </c>
      <c r="E41" s="84">
        <f>VLOOKUP(A41,'2a. SI Pop'!$A$5:$E$198,5,FALSE)</f>
        <v>2</v>
      </c>
      <c r="F41" s="84">
        <v>244</v>
      </c>
      <c r="G41" s="84">
        <v>0.50862186025713296</v>
      </c>
      <c r="H41" s="84">
        <v>5.8409620879067099E-2</v>
      </c>
      <c r="I41" s="84">
        <v>0</v>
      </c>
      <c r="J41" s="3"/>
      <c r="K41" s="3"/>
      <c r="L41" s="3"/>
      <c r="M41" s="3"/>
      <c r="N41" s="3"/>
      <c r="O41" s="76"/>
      <c r="P41" s="76"/>
      <c r="Q41" s="76"/>
      <c r="R41" s="76"/>
      <c r="S41" s="76"/>
      <c r="T41" s="76"/>
    </row>
    <row r="42" spans="1:20">
      <c r="A42" s="84" t="s">
        <v>158</v>
      </c>
      <c r="B42" s="85" t="s">
        <v>157</v>
      </c>
      <c r="C42" s="85" t="s">
        <v>83</v>
      </c>
      <c r="D42" s="84" t="s">
        <v>84</v>
      </c>
      <c r="E42" s="84">
        <f>VLOOKUP(A42,'2a. SI Pop'!$A$5:$E$198,5,FALSE)</f>
        <v>3</v>
      </c>
      <c r="F42" s="84">
        <v>64</v>
      </c>
      <c r="G42" s="84">
        <v>976.36673977810301</v>
      </c>
      <c r="H42" s="84">
        <v>38.574053060236899</v>
      </c>
      <c r="I42" s="84">
        <v>21.516999999999999</v>
      </c>
      <c r="J42" s="3"/>
      <c r="K42" s="3"/>
      <c r="L42" s="3"/>
      <c r="M42" s="3"/>
      <c r="N42" s="3"/>
      <c r="O42" s="76"/>
      <c r="P42" s="76"/>
      <c r="Q42" s="76"/>
      <c r="R42" s="76"/>
      <c r="S42" s="76"/>
      <c r="T42" s="76"/>
    </row>
    <row r="43" spans="1:20">
      <c r="A43" s="84" t="s">
        <v>160</v>
      </c>
      <c r="B43" s="85" t="s">
        <v>159</v>
      </c>
      <c r="C43" s="85" t="s">
        <v>83</v>
      </c>
      <c r="D43" s="84" t="s">
        <v>84</v>
      </c>
      <c r="E43" s="84">
        <f>VLOOKUP(A43,'2a. SI Pop'!$A$5:$E$198,5,FALSE)</f>
        <v>3</v>
      </c>
      <c r="F43" s="84">
        <v>70</v>
      </c>
      <c r="G43" s="84">
        <v>1774.8890183425599</v>
      </c>
      <c r="H43" s="84">
        <v>156.10237764654499</v>
      </c>
      <c r="I43" s="84">
        <v>127.57</v>
      </c>
      <c r="J43" s="3"/>
      <c r="K43" s="3"/>
      <c r="L43" s="3"/>
      <c r="M43" s="3"/>
      <c r="N43" s="3"/>
      <c r="O43" s="76"/>
      <c r="P43" s="76"/>
      <c r="Q43" s="76"/>
      <c r="R43" s="76"/>
      <c r="S43" s="76"/>
      <c r="T43" s="76"/>
    </row>
    <row r="44" spans="1:20">
      <c r="A44" s="84" t="s">
        <v>162</v>
      </c>
      <c r="B44" s="85" t="s">
        <v>161</v>
      </c>
      <c r="C44" s="85" t="s">
        <v>99</v>
      </c>
      <c r="D44" s="84" t="e">
        <v>#N/A</v>
      </c>
      <c r="E44" s="84">
        <f>VLOOKUP(A44,'2a. SI Pop'!$A$5:$E$198,5,FALSE)</f>
        <v>1</v>
      </c>
      <c r="F44" s="84">
        <v>0</v>
      </c>
      <c r="G44" s="84">
        <v>364.85674786351399</v>
      </c>
      <c r="H44" s="84">
        <v>2.7218547944444501E-2</v>
      </c>
      <c r="I44" s="84" t="s">
        <v>573</v>
      </c>
      <c r="J44" s="3"/>
      <c r="K44" s="3"/>
      <c r="L44" s="3"/>
      <c r="M44" s="3"/>
      <c r="N44" s="3"/>
      <c r="O44" s="76"/>
      <c r="P44" s="76"/>
      <c r="Q44" s="76"/>
      <c r="R44" s="76"/>
      <c r="S44" s="76"/>
      <c r="T44" s="76"/>
    </row>
    <row r="45" spans="1:20">
      <c r="A45" s="84" t="s">
        <v>164</v>
      </c>
      <c r="B45" s="85" t="s">
        <v>163</v>
      </c>
      <c r="C45" s="85" t="s">
        <v>92</v>
      </c>
      <c r="D45" s="84" t="s">
        <v>80</v>
      </c>
      <c r="E45" s="84">
        <f>VLOOKUP(A45,'2a. SI Pop'!$A$5:$E$198,5,FALSE)</f>
        <v>2</v>
      </c>
      <c r="F45" s="84">
        <v>10</v>
      </c>
      <c r="G45" s="84">
        <v>0.42472333536152002</v>
      </c>
      <c r="H45" s="84">
        <v>5.8529433004343798E-3</v>
      </c>
      <c r="I45" s="84">
        <v>0</v>
      </c>
      <c r="J45" s="3"/>
      <c r="K45" s="3"/>
      <c r="L45" s="3"/>
      <c r="M45" s="3"/>
      <c r="N45" s="3"/>
      <c r="O45" s="76"/>
      <c r="P45" s="76"/>
      <c r="Q45" s="76"/>
      <c r="R45" s="76"/>
      <c r="S45" s="76"/>
      <c r="T45" s="76"/>
    </row>
    <row r="46" spans="1:20">
      <c r="A46" s="84" t="s">
        <v>166</v>
      </c>
      <c r="B46" s="85" t="s">
        <v>165</v>
      </c>
      <c r="C46" s="85" t="s">
        <v>83</v>
      </c>
      <c r="D46" s="84" t="s">
        <v>84</v>
      </c>
      <c r="E46" s="84">
        <f>VLOOKUP(A46,'2a. SI Pop'!$A$5:$E$198,5,FALSE)</f>
        <v>3</v>
      </c>
      <c r="F46" s="84">
        <v>392</v>
      </c>
      <c r="G46" s="84">
        <v>117.035280051988</v>
      </c>
      <c r="H46" s="84">
        <v>220.50999732531901</v>
      </c>
      <c r="I46" s="84">
        <v>782.77</v>
      </c>
      <c r="J46" s="3"/>
      <c r="K46" s="3"/>
      <c r="L46" s="3"/>
      <c r="M46" s="3"/>
      <c r="N46" s="3"/>
      <c r="O46" s="76"/>
      <c r="P46" s="76"/>
      <c r="Q46" s="76"/>
      <c r="R46" s="76"/>
      <c r="S46" s="76"/>
      <c r="T46" s="76"/>
    </row>
    <row r="47" spans="1:20">
      <c r="A47" s="84" t="s">
        <v>168</v>
      </c>
      <c r="B47" s="85" t="s">
        <v>167</v>
      </c>
      <c r="C47" s="85" t="s">
        <v>79</v>
      </c>
      <c r="D47" s="84" t="s">
        <v>87</v>
      </c>
      <c r="E47" s="84">
        <f>VLOOKUP(A47,'2a. SI Pop'!$A$5:$E$198,5,FALSE)</f>
        <v>1</v>
      </c>
      <c r="F47" s="84">
        <v>52</v>
      </c>
      <c r="G47" s="84">
        <v>0.468052301816064</v>
      </c>
      <c r="H47" s="84">
        <v>3.9296701120553196E-3</v>
      </c>
      <c r="I47" s="84">
        <v>3.0549999999999998E-12</v>
      </c>
      <c r="J47" s="3"/>
      <c r="K47" s="3"/>
      <c r="L47" s="3"/>
      <c r="M47" s="3"/>
      <c r="N47" s="3"/>
      <c r="O47" s="76"/>
      <c r="P47" s="76"/>
      <c r="Q47" s="76"/>
      <c r="R47" s="76"/>
      <c r="S47" s="76"/>
      <c r="T47" s="76"/>
    </row>
    <row r="48" spans="1:20">
      <c r="A48" s="84" t="s">
        <v>170</v>
      </c>
      <c r="B48" s="85" t="s">
        <v>169</v>
      </c>
      <c r="C48" s="85" t="s">
        <v>92</v>
      </c>
      <c r="D48" s="84" t="s">
        <v>80</v>
      </c>
      <c r="E48" s="84">
        <f>VLOOKUP(A48,'2a. SI Pop'!$A$5:$E$198,5,FALSE)</f>
        <v>1</v>
      </c>
      <c r="F48" s="84">
        <v>1</v>
      </c>
      <c r="G48" s="84">
        <v>1.7353346921088999E-2</v>
      </c>
      <c r="H48" s="84">
        <v>1.7324501548180601E-2</v>
      </c>
      <c r="I48" s="84">
        <v>0</v>
      </c>
      <c r="J48" s="3"/>
      <c r="K48" s="3"/>
      <c r="L48" s="3"/>
      <c r="M48" s="3"/>
      <c r="N48" s="3"/>
      <c r="O48" s="76"/>
      <c r="P48" s="76"/>
      <c r="Q48" s="76"/>
      <c r="R48" s="76"/>
      <c r="S48" s="76"/>
      <c r="T48" s="76"/>
    </row>
    <row r="49" spans="1:20">
      <c r="A49" s="84" t="s">
        <v>172</v>
      </c>
      <c r="B49" s="85" t="s">
        <v>171</v>
      </c>
      <c r="C49" s="85" t="s">
        <v>79</v>
      </c>
      <c r="D49" s="84" t="s">
        <v>87</v>
      </c>
      <c r="E49" s="84">
        <f>VLOOKUP(A49,'2a. SI Pop'!$A$5:$E$198,5,FALSE)</f>
        <v>1</v>
      </c>
      <c r="F49" s="84">
        <v>6</v>
      </c>
      <c r="G49" s="84">
        <v>0.91303509583027798</v>
      </c>
      <c r="H49" s="84">
        <v>5.3854173067548299E-3</v>
      </c>
      <c r="I49" s="84">
        <v>9.3583E-3</v>
      </c>
      <c r="J49" s="3"/>
      <c r="K49" s="3"/>
      <c r="L49" s="3"/>
      <c r="M49" s="3"/>
      <c r="N49" s="3"/>
      <c r="O49" s="76"/>
      <c r="P49" s="76"/>
      <c r="Q49" s="76"/>
      <c r="R49" s="76"/>
      <c r="S49" s="76"/>
      <c r="T49" s="76"/>
    </row>
    <row r="50" spans="1:20">
      <c r="A50" s="84" t="s">
        <v>174</v>
      </c>
      <c r="B50" s="85" t="s">
        <v>173</v>
      </c>
      <c r="C50" s="85" t="s">
        <v>79</v>
      </c>
      <c r="D50" s="84" t="s">
        <v>87</v>
      </c>
      <c r="E50" s="84">
        <f>VLOOKUP(A50,'2a. SI Pop'!$A$5:$E$198,5,FALSE)</f>
        <v>1</v>
      </c>
      <c r="F50" s="84">
        <v>577</v>
      </c>
      <c r="G50" s="84">
        <v>10.5528160550551</v>
      </c>
      <c r="H50" s="84">
        <v>8.9897569546069402E-3</v>
      </c>
      <c r="I50" s="84">
        <v>2.4386000000000001</v>
      </c>
      <c r="J50" s="3"/>
      <c r="K50" s="3"/>
      <c r="L50" s="3"/>
      <c r="M50" s="3"/>
      <c r="N50" s="3"/>
      <c r="O50" s="76"/>
      <c r="P50" s="76"/>
      <c r="Q50" s="76"/>
      <c r="R50" s="76"/>
      <c r="S50" s="76"/>
      <c r="T50" s="76"/>
    </row>
    <row r="51" spans="1:20">
      <c r="A51" s="84" t="s">
        <v>176</v>
      </c>
      <c r="B51" s="85" t="s">
        <v>175</v>
      </c>
      <c r="C51" s="85" t="s">
        <v>110</v>
      </c>
      <c r="D51" s="84" t="s">
        <v>75</v>
      </c>
      <c r="E51" s="84">
        <f>VLOOKUP(A51,'2a. SI Pop'!$A$5:$E$198,5,FALSE)</f>
        <v>4</v>
      </c>
      <c r="F51" s="84">
        <v>0</v>
      </c>
      <c r="G51" s="84">
        <v>62.290595779421501</v>
      </c>
      <c r="H51" s="84">
        <v>37.412223600442402</v>
      </c>
      <c r="I51" s="84">
        <v>364.11</v>
      </c>
      <c r="J51" s="3"/>
      <c r="K51" s="3"/>
      <c r="L51" s="3"/>
      <c r="M51" s="3"/>
      <c r="N51" s="3"/>
      <c r="O51" s="76"/>
      <c r="P51" s="76"/>
      <c r="Q51" s="76"/>
      <c r="R51" s="76"/>
      <c r="S51" s="76"/>
      <c r="T51" s="76"/>
    </row>
    <row r="52" spans="1:20">
      <c r="A52" s="84" t="s">
        <v>178</v>
      </c>
      <c r="B52" s="85" t="s">
        <v>177</v>
      </c>
      <c r="C52" s="85" t="s">
        <v>83</v>
      </c>
      <c r="D52" s="84" t="s">
        <v>75</v>
      </c>
      <c r="E52" s="84" t="str">
        <f>VLOOKUP(A52,'2a. SI Pop'!$A$5:$E$198,5,FALSE)</f>
        <v>Key</v>
      </c>
      <c r="F52" s="84">
        <v>18467</v>
      </c>
      <c r="G52" s="84">
        <v>661.37590415721195</v>
      </c>
      <c r="H52" s="84">
        <v>6607.02281742594</v>
      </c>
      <c r="I52" s="84">
        <v>3468.5</v>
      </c>
      <c r="J52" s="3"/>
      <c r="K52" s="3"/>
      <c r="L52" s="3"/>
      <c r="M52" s="3"/>
      <c r="N52" s="3"/>
      <c r="O52" s="76"/>
      <c r="P52" s="76"/>
      <c r="Q52" s="76"/>
      <c r="R52" s="76"/>
      <c r="S52" s="76"/>
      <c r="T52" s="76"/>
    </row>
    <row r="53" spans="1:20">
      <c r="A53" s="84" t="s">
        <v>180</v>
      </c>
      <c r="B53" s="85" t="s">
        <v>179</v>
      </c>
      <c r="C53" s="85" t="s">
        <v>79</v>
      </c>
      <c r="D53" s="84" t="s">
        <v>87</v>
      </c>
      <c r="E53" s="84">
        <f>VLOOKUP(A53,'2a. SI Pop'!$A$5:$E$198,5,FALSE)</f>
        <v>1</v>
      </c>
      <c r="F53" s="84">
        <v>15</v>
      </c>
      <c r="G53" s="84">
        <v>0.520102455541405</v>
      </c>
      <c r="H53" s="84">
        <v>1.8178558883729799E-2</v>
      </c>
      <c r="I53" s="84">
        <v>0</v>
      </c>
      <c r="J53" s="3"/>
      <c r="K53" s="3"/>
      <c r="L53" s="3"/>
      <c r="M53" s="3"/>
      <c r="N53" s="3"/>
      <c r="O53" s="76"/>
      <c r="P53" s="76"/>
      <c r="Q53" s="76"/>
      <c r="R53" s="76"/>
      <c r="S53" s="76"/>
      <c r="T53" s="76"/>
    </row>
    <row r="54" spans="1:20">
      <c r="A54" s="84" t="s">
        <v>182</v>
      </c>
      <c r="B54" s="85" t="s">
        <v>181</v>
      </c>
      <c r="C54" s="85" t="s">
        <v>74</v>
      </c>
      <c r="D54" s="84" t="s">
        <v>84</v>
      </c>
      <c r="E54" s="84">
        <f>VLOOKUP(A54,'2a. SI Pop'!$A$5:$E$198,5,FALSE)</f>
        <v>3</v>
      </c>
      <c r="F54" s="84">
        <v>9.0000000000000002E-6</v>
      </c>
      <c r="G54" s="84">
        <v>162.88488126089399</v>
      </c>
      <c r="H54" s="84">
        <v>13.8301918705952</v>
      </c>
      <c r="I54" s="84">
        <v>13.866</v>
      </c>
      <c r="J54" s="3"/>
      <c r="K54" s="3"/>
      <c r="L54" s="3"/>
      <c r="M54" s="3"/>
      <c r="N54" s="3"/>
      <c r="O54" s="76"/>
      <c r="P54" s="76"/>
      <c r="Q54" s="76"/>
      <c r="R54" s="76"/>
      <c r="S54" s="76"/>
      <c r="T54" s="76"/>
    </row>
    <row r="55" spans="1:20">
      <c r="A55" s="84" t="s">
        <v>184</v>
      </c>
      <c r="B55" s="85" t="s">
        <v>183</v>
      </c>
      <c r="C55" s="85" t="s">
        <v>92</v>
      </c>
      <c r="D55" s="84" t="s">
        <v>80</v>
      </c>
      <c r="E55" s="84">
        <f>VLOOKUP(A55,'2a. SI Pop'!$A$5:$E$198,5,FALSE)</f>
        <v>2</v>
      </c>
      <c r="F55" s="84">
        <v>0</v>
      </c>
      <c r="G55" s="84">
        <v>9.4654481886949193E-2</v>
      </c>
      <c r="H55" s="84">
        <v>0</v>
      </c>
      <c r="I55" s="84" t="s">
        <v>573</v>
      </c>
      <c r="J55" s="3"/>
      <c r="K55" s="3"/>
      <c r="L55" s="3"/>
      <c r="M55" s="3"/>
      <c r="N55" s="3"/>
      <c r="O55" s="76"/>
      <c r="P55" s="76"/>
      <c r="Q55" s="76"/>
      <c r="R55" s="76"/>
      <c r="S55" s="76"/>
      <c r="T55" s="76"/>
    </row>
    <row r="56" spans="1:20">
      <c r="A56" s="84" t="s">
        <v>184</v>
      </c>
      <c r="B56" s="85" t="s">
        <v>185</v>
      </c>
      <c r="C56" s="85" t="s">
        <v>92</v>
      </c>
      <c r="D56" s="84" t="s">
        <v>80</v>
      </c>
      <c r="E56" s="84">
        <f>VLOOKUP(A56,'2a. SI Pop'!$A$5:$E$198,5,FALSE)</f>
        <v>2</v>
      </c>
      <c r="F56" s="84">
        <v>0</v>
      </c>
      <c r="G56" s="84">
        <v>9.4654481886949193E-2</v>
      </c>
      <c r="H56" s="84">
        <v>0</v>
      </c>
      <c r="I56" s="84" t="s">
        <v>573</v>
      </c>
      <c r="J56" s="3"/>
      <c r="K56" s="3"/>
      <c r="L56" s="3"/>
      <c r="M56" s="3"/>
      <c r="N56" s="3"/>
      <c r="O56" s="76"/>
      <c r="P56" s="76"/>
      <c r="Q56" s="76"/>
      <c r="R56" s="76"/>
      <c r="S56" s="76"/>
      <c r="T56" s="76"/>
    </row>
    <row r="57" spans="1:20">
      <c r="A57" s="84" t="s">
        <v>187</v>
      </c>
      <c r="B57" s="85" t="s">
        <v>186</v>
      </c>
      <c r="C57" s="85" t="s">
        <v>92</v>
      </c>
      <c r="D57" s="84" t="s">
        <v>80</v>
      </c>
      <c r="E57" s="84">
        <f>VLOOKUP(A57,'2a. SI Pop'!$A$5:$E$198,5,FALSE)</f>
        <v>2</v>
      </c>
      <c r="F57" s="84">
        <v>9.0000000000000002E-6</v>
      </c>
      <c r="G57" s="84">
        <v>9.0602181098293501E-4</v>
      </c>
      <c r="H57" s="84">
        <v>0</v>
      </c>
      <c r="I57" s="84">
        <v>0</v>
      </c>
      <c r="J57" s="3"/>
      <c r="K57" s="3"/>
      <c r="L57" s="3"/>
      <c r="M57" s="3"/>
      <c r="N57" s="3"/>
      <c r="O57" s="76"/>
      <c r="P57" s="76"/>
      <c r="Q57" s="76"/>
      <c r="R57" s="76"/>
      <c r="S57" s="76"/>
      <c r="T57" s="76"/>
    </row>
    <row r="58" spans="1:20">
      <c r="A58" s="84" t="s">
        <v>189</v>
      </c>
      <c r="B58" s="85" t="s">
        <v>188</v>
      </c>
      <c r="C58" s="85" t="s">
        <v>74</v>
      </c>
      <c r="D58" s="84" t="s">
        <v>84</v>
      </c>
      <c r="E58" s="84">
        <f>VLOOKUP(A58,'2a. SI Pop'!$A$5:$E$198,5,FALSE)</f>
        <v>2</v>
      </c>
      <c r="F58" s="84">
        <v>130</v>
      </c>
      <c r="G58" s="84">
        <v>59.043924454298399</v>
      </c>
      <c r="H58" s="84">
        <v>68.503561459102201</v>
      </c>
      <c r="I58" s="84">
        <v>0</v>
      </c>
      <c r="J58" s="3"/>
      <c r="K58" s="3"/>
      <c r="L58" s="3"/>
      <c r="M58" s="3"/>
      <c r="N58" s="3"/>
      <c r="O58" s="76"/>
      <c r="P58" s="76"/>
      <c r="Q58" s="76"/>
      <c r="R58" s="76"/>
      <c r="S58" s="76"/>
      <c r="T58" s="76"/>
    </row>
    <row r="59" spans="1:20">
      <c r="A59" s="84" t="s">
        <v>191</v>
      </c>
      <c r="B59" s="85" t="s">
        <v>190</v>
      </c>
      <c r="C59" s="85" t="s">
        <v>92</v>
      </c>
      <c r="D59" s="84" t="s">
        <v>84</v>
      </c>
      <c r="E59" s="84">
        <f>VLOOKUP(A59,'2a. SI Pop'!$A$5:$E$198,5,FALSE)</f>
        <v>1</v>
      </c>
      <c r="F59" s="84">
        <v>0</v>
      </c>
      <c r="G59" s="84">
        <v>1.1175991143964101E-2</v>
      </c>
      <c r="H59" s="84">
        <v>0</v>
      </c>
      <c r="I59" s="84">
        <v>0</v>
      </c>
      <c r="J59" s="3"/>
      <c r="K59" s="3"/>
      <c r="L59" s="3"/>
      <c r="M59" s="3"/>
      <c r="N59" s="3"/>
      <c r="O59" s="76"/>
      <c r="P59" s="76"/>
      <c r="Q59" s="76"/>
      <c r="R59" s="76"/>
      <c r="S59" s="76"/>
      <c r="T59" s="76"/>
    </row>
    <row r="60" spans="1:20">
      <c r="A60" s="84" t="s">
        <v>193</v>
      </c>
      <c r="B60" s="85" t="s">
        <v>192</v>
      </c>
      <c r="C60" s="85" t="s">
        <v>83</v>
      </c>
      <c r="D60" s="84" t="s">
        <v>80</v>
      </c>
      <c r="E60" s="84">
        <f>VLOOKUP(A60,'2a. SI Pop'!$A$5:$E$198,5,FALSE)</f>
        <v>3</v>
      </c>
      <c r="F60" s="84">
        <v>47</v>
      </c>
      <c r="G60" s="84">
        <v>1595.9262993806501</v>
      </c>
      <c r="H60" s="84">
        <v>20.108774072591</v>
      </c>
      <c r="I60" s="84">
        <v>27.946000000000002</v>
      </c>
      <c r="J60" s="3"/>
      <c r="K60" s="3"/>
      <c r="L60" s="3"/>
      <c r="M60" s="3"/>
      <c r="N60" s="3"/>
      <c r="O60" s="76"/>
      <c r="P60" s="76"/>
      <c r="Q60" s="76"/>
      <c r="R60" s="76"/>
      <c r="S60" s="76"/>
      <c r="T60" s="76"/>
    </row>
    <row r="61" spans="1:20">
      <c r="A61" s="84" t="s">
        <v>195</v>
      </c>
      <c r="B61" s="85" t="s">
        <v>194</v>
      </c>
      <c r="C61" s="85" t="s">
        <v>83</v>
      </c>
      <c r="D61" s="84" t="s">
        <v>75</v>
      </c>
      <c r="E61" s="84">
        <f>VLOOKUP(A61,'2a. SI Pop'!$A$5:$E$198,5,FALSE)</f>
        <v>3</v>
      </c>
      <c r="F61" s="84">
        <v>5</v>
      </c>
      <c r="G61" s="84">
        <v>99.330293302904394</v>
      </c>
      <c r="H61" s="84">
        <v>62.633134558332102</v>
      </c>
      <c r="I61" s="84">
        <v>184.23</v>
      </c>
      <c r="J61" s="3"/>
      <c r="K61" s="3"/>
      <c r="L61" s="3"/>
      <c r="M61" s="3"/>
      <c r="N61" s="3"/>
      <c r="O61" s="76"/>
      <c r="P61" s="76"/>
      <c r="Q61" s="76"/>
      <c r="R61" s="76"/>
      <c r="S61" s="76"/>
      <c r="T61" s="76"/>
    </row>
    <row r="62" spans="1:20">
      <c r="A62" s="84" t="s">
        <v>197</v>
      </c>
      <c r="B62" s="85" t="s">
        <v>196</v>
      </c>
      <c r="C62" s="85" t="s">
        <v>79</v>
      </c>
      <c r="D62" s="84" t="s">
        <v>87</v>
      </c>
      <c r="E62" s="84">
        <f>VLOOKUP(A62,'2a. SI Pop'!$A$5:$E$198,5,FALSE)</f>
        <v>1</v>
      </c>
      <c r="F62" s="84">
        <v>27</v>
      </c>
      <c r="G62" s="84">
        <v>3.6579409080391998</v>
      </c>
      <c r="H62" s="84">
        <v>1.1469368088093501E-3</v>
      </c>
      <c r="I62" s="84">
        <v>0</v>
      </c>
      <c r="J62" s="3"/>
      <c r="K62" s="3"/>
      <c r="L62" s="3"/>
      <c r="M62" s="3"/>
      <c r="N62" s="3"/>
      <c r="O62" s="76"/>
      <c r="P62" s="76"/>
      <c r="Q62" s="76"/>
      <c r="R62" s="76"/>
      <c r="S62" s="76"/>
      <c r="T62" s="76"/>
    </row>
    <row r="63" spans="1:20">
      <c r="A63" s="84" t="s">
        <v>199</v>
      </c>
      <c r="B63" s="85" t="s">
        <v>198</v>
      </c>
      <c r="C63" s="85" t="s">
        <v>83</v>
      </c>
      <c r="D63" s="84" t="s">
        <v>75</v>
      </c>
      <c r="E63" s="84" t="str">
        <f>VLOOKUP(A63,'2a. SI Pop'!$A$5:$E$198,5,FALSE)</f>
        <v>Key</v>
      </c>
      <c r="F63" s="84">
        <v>3610</v>
      </c>
      <c r="G63" s="84">
        <v>218.999828722166</v>
      </c>
      <c r="H63" s="84">
        <v>2402.63377898617</v>
      </c>
      <c r="I63" s="84">
        <v>3249.3</v>
      </c>
      <c r="J63" s="3"/>
      <c r="K63" s="3"/>
      <c r="L63" s="3"/>
      <c r="M63" s="3"/>
      <c r="N63" s="3"/>
      <c r="O63" s="76"/>
      <c r="P63" s="76"/>
      <c r="Q63" s="76"/>
      <c r="R63" s="76"/>
      <c r="S63" s="76"/>
      <c r="T63" s="76"/>
    </row>
    <row r="64" spans="1:20">
      <c r="A64" s="84" t="s">
        <v>201</v>
      </c>
      <c r="B64" s="85" t="s">
        <v>200</v>
      </c>
      <c r="C64" s="85" t="s">
        <v>99</v>
      </c>
      <c r="D64" s="84" t="s">
        <v>80</v>
      </c>
      <c r="E64" s="84">
        <f>VLOOKUP(A64,'2a. SI Pop'!$A$5:$E$198,5,FALSE)</f>
        <v>4</v>
      </c>
      <c r="F64" s="84">
        <v>30</v>
      </c>
      <c r="G64" s="84">
        <v>131.64058665978899</v>
      </c>
      <c r="H64" s="84">
        <v>1.5951316980036401</v>
      </c>
      <c r="I64" s="84">
        <v>1.7067E-3</v>
      </c>
      <c r="J64" s="3"/>
      <c r="K64" s="3"/>
      <c r="L64" s="3"/>
      <c r="M64" s="3"/>
      <c r="N64" s="3"/>
      <c r="O64" s="76"/>
      <c r="P64" s="76"/>
      <c r="Q64" s="76"/>
      <c r="R64" s="76"/>
      <c r="S64" s="76"/>
      <c r="T64" s="76"/>
    </row>
    <row r="65" spans="1:20">
      <c r="A65" s="84" t="s">
        <v>203</v>
      </c>
      <c r="B65" s="85" t="s">
        <v>202</v>
      </c>
      <c r="C65" s="85" t="s">
        <v>79</v>
      </c>
      <c r="D65" s="84" t="s">
        <v>87</v>
      </c>
      <c r="E65" s="84">
        <f>VLOOKUP(A65,'2a. SI Pop'!$A$5:$E$198,5,FALSE)</f>
        <v>1</v>
      </c>
      <c r="F65" s="84">
        <v>12</v>
      </c>
      <c r="G65" s="84">
        <v>0.28764427750925797</v>
      </c>
      <c r="H65" s="84">
        <v>5.6458996120105796E-3</v>
      </c>
      <c r="I65" s="84">
        <v>0</v>
      </c>
      <c r="J65" s="3"/>
      <c r="K65" s="3"/>
      <c r="L65" s="3"/>
      <c r="M65" s="3"/>
      <c r="N65" s="3"/>
      <c r="O65" s="76"/>
      <c r="P65" s="76"/>
      <c r="Q65" s="76"/>
      <c r="R65" s="76"/>
      <c r="S65" s="76"/>
      <c r="T65" s="76"/>
    </row>
    <row r="66" spans="1:20">
      <c r="A66" s="84" t="s">
        <v>205</v>
      </c>
      <c r="B66" s="85" t="s">
        <v>204</v>
      </c>
      <c r="C66" s="85" t="s">
        <v>79</v>
      </c>
      <c r="D66" s="84" t="s">
        <v>87</v>
      </c>
      <c r="E66" s="84">
        <f>VLOOKUP(A66,'2a. SI Pop'!$A$5:$E$198,5,FALSE)</f>
        <v>1</v>
      </c>
      <c r="F66" s="84">
        <v>2637</v>
      </c>
      <c r="G66" s="84">
        <v>6.1327627747474001</v>
      </c>
      <c r="H66" s="84">
        <v>0.19215692334357101</v>
      </c>
      <c r="I66" s="84">
        <v>0</v>
      </c>
      <c r="J66" s="3"/>
      <c r="K66" s="3"/>
      <c r="L66" s="3"/>
      <c r="M66" s="3"/>
      <c r="N66" s="3"/>
      <c r="O66" s="76"/>
      <c r="P66" s="76"/>
      <c r="Q66" s="76"/>
      <c r="R66" s="76"/>
      <c r="S66" s="76"/>
      <c r="T66" s="76"/>
    </row>
    <row r="67" spans="1:20">
      <c r="A67" s="84" t="s">
        <v>207</v>
      </c>
      <c r="B67" s="85" t="s">
        <v>206</v>
      </c>
      <c r="C67" s="85" t="s">
        <v>83</v>
      </c>
      <c r="D67" s="84" t="s">
        <v>80</v>
      </c>
      <c r="E67" s="84">
        <f>VLOOKUP(A67,'2a. SI Pop'!$A$5:$E$198,5,FALSE)</f>
        <v>3</v>
      </c>
      <c r="F67" s="84">
        <v>2</v>
      </c>
      <c r="G67" s="84">
        <v>948.39560711021602</v>
      </c>
      <c r="H67" s="84">
        <v>20.222479705984501</v>
      </c>
      <c r="I67" s="84">
        <v>51.033999999999999</v>
      </c>
      <c r="J67" s="3"/>
      <c r="K67" s="3"/>
      <c r="L67" s="3"/>
      <c r="M67" s="3"/>
      <c r="N67" s="3"/>
      <c r="O67" s="76"/>
      <c r="P67" s="76"/>
      <c r="Q67" s="76"/>
      <c r="R67" s="76"/>
      <c r="S67" s="76"/>
      <c r="T67" s="76"/>
    </row>
    <row r="68" spans="1:20">
      <c r="A68" s="84" t="s">
        <v>209</v>
      </c>
      <c r="B68" s="85" t="s">
        <v>208</v>
      </c>
      <c r="C68" s="85" t="s">
        <v>83</v>
      </c>
      <c r="D68" s="84" t="s">
        <v>75</v>
      </c>
      <c r="E68" s="84">
        <f>VLOOKUP(A68,'2a. SI Pop'!$A$5:$E$198,5,FALSE)</f>
        <v>3</v>
      </c>
      <c r="F68" s="84">
        <v>2</v>
      </c>
      <c r="G68" s="84">
        <v>143.45459313573201</v>
      </c>
      <c r="H68" s="84">
        <v>30.117201496743899</v>
      </c>
      <c r="I68" s="84">
        <v>65.055999999999997</v>
      </c>
      <c r="J68" s="3"/>
      <c r="K68" s="3"/>
      <c r="L68" s="3"/>
      <c r="M68" s="3"/>
      <c r="N68" s="3"/>
      <c r="O68" s="76"/>
      <c r="P68" s="76"/>
      <c r="Q68" s="76"/>
      <c r="R68" s="76"/>
      <c r="S68" s="76"/>
      <c r="T68" s="76"/>
    </row>
    <row r="69" spans="1:20">
      <c r="A69" s="84" t="s">
        <v>211</v>
      </c>
      <c r="B69" s="85" t="s">
        <v>210</v>
      </c>
      <c r="C69" s="85" t="s">
        <v>79</v>
      </c>
      <c r="D69" s="84" t="s">
        <v>80</v>
      </c>
      <c r="E69" s="84">
        <f>VLOOKUP(A69,'2a. SI Pop'!$A$5:$E$198,5,FALSE)</f>
        <v>1</v>
      </c>
      <c r="F69" s="84">
        <v>3920</v>
      </c>
      <c r="G69" s="84">
        <v>211.38164561823501</v>
      </c>
      <c r="H69" s="84">
        <v>6.4356226391519703E-3</v>
      </c>
      <c r="I69" s="84">
        <v>0</v>
      </c>
      <c r="J69" s="3"/>
      <c r="K69" s="3"/>
      <c r="L69" s="3"/>
      <c r="M69" s="3"/>
      <c r="N69" s="3"/>
      <c r="O69" s="76"/>
      <c r="P69" s="76"/>
      <c r="Q69" s="76"/>
      <c r="R69" s="76"/>
      <c r="S69" s="76"/>
      <c r="T69" s="76"/>
    </row>
    <row r="70" spans="1:20">
      <c r="A70" s="84" t="s">
        <v>213</v>
      </c>
      <c r="B70" s="85" t="s">
        <v>212</v>
      </c>
      <c r="C70" s="85" t="s">
        <v>79</v>
      </c>
      <c r="D70" s="84" t="s">
        <v>87</v>
      </c>
      <c r="E70" s="84">
        <f>VLOOKUP(A70,'2a. SI Pop'!$A$5:$E$198,5,FALSE)</f>
        <v>1</v>
      </c>
      <c r="F70" s="84">
        <v>507</v>
      </c>
      <c r="G70" s="84">
        <v>1.0205176359994901</v>
      </c>
      <c r="H70" s="84">
        <v>0.67453115230781102</v>
      </c>
      <c r="I70" s="84">
        <v>0</v>
      </c>
      <c r="J70" s="3"/>
      <c r="K70" s="3"/>
      <c r="L70" s="3"/>
      <c r="M70" s="3"/>
      <c r="N70" s="3"/>
      <c r="O70" s="76"/>
      <c r="P70" s="76"/>
      <c r="Q70" s="76"/>
      <c r="R70" s="76"/>
      <c r="S70" s="76"/>
      <c r="T70" s="76"/>
    </row>
    <row r="71" spans="1:20">
      <c r="A71" s="84" t="s">
        <v>215</v>
      </c>
      <c r="B71" s="85" t="s">
        <v>214</v>
      </c>
      <c r="C71" s="85" t="s">
        <v>83</v>
      </c>
      <c r="D71" s="84" t="s">
        <v>84</v>
      </c>
      <c r="E71" s="84">
        <f>VLOOKUP(A71,'2a. SI Pop'!$A$5:$E$198,5,FALSE)</f>
        <v>3</v>
      </c>
      <c r="F71" s="84">
        <v>1420</v>
      </c>
      <c r="G71" s="84">
        <v>363.79736987027798</v>
      </c>
      <c r="H71" s="84">
        <v>587.43071977962597</v>
      </c>
      <c r="I71" s="84">
        <v>939.37</v>
      </c>
      <c r="J71" s="3"/>
      <c r="K71" s="3"/>
      <c r="L71" s="3"/>
      <c r="M71" s="3"/>
      <c r="N71" s="3"/>
      <c r="O71" s="76"/>
      <c r="P71" s="76"/>
      <c r="Q71" s="76"/>
      <c r="R71" s="76"/>
      <c r="S71" s="76"/>
      <c r="T71" s="76"/>
    </row>
    <row r="72" spans="1:20">
      <c r="A72" s="84" t="s">
        <v>217</v>
      </c>
      <c r="B72" s="85" t="s">
        <v>216</v>
      </c>
      <c r="C72" s="85" t="s">
        <v>79</v>
      </c>
      <c r="D72" s="84" t="s">
        <v>87</v>
      </c>
      <c r="E72" s="84">
        <f>VLOOKUP(A72,'2a. SI Pop'!$A$5:$E$198,5,FALSE)</f>
        <v>1</v>
      </c>
      <c r="F72" s="84">
        <v>45</v>
      </c>
      <c r="G72" s="84">
        <v>0.54233673729051801</v>
      </c>
      <c r="H72" s="84">
        <v>1.0287066400294399E-2</v>
      </c>
      <c r="I72" s="84">
        <v>0.1157</v>
      </c>
      <c r="J72" s="3"/>
      <c r="K72" s="3"/>
      <c r="L72" s="3"/>
      <c r="M72" s="3"/>
      <c r="N72" s="3"/>
      <c r="O72" s="76"/>
      <c r="P72" s="76"/>
      <c r="Q72" s="76"/>
      <c r="R72" s="76"/>
      <c r="S72" s="76"/>
      <c r="T72" s="76"/>
    </row>
    <row r="73" spans="1:20">
      <c r="A73" s="84" t="s">
        <v>219</v>
      </c>
      <c r="B73" s="85" t="s">
        <v>218</v>
      </c>
      <c r="C73" s="85" t="s">
        <v>92</v>
      </c>
      <c r="D73" s="84" t="s">
        <v>80</v>
      </c>
      <c r="E73" s="84">
        <f>VLOOKUP(A73,'2a. SI Pop'!$A$5:$E$198,5,FALSE)</f>
        <v>1</v>
      </c>
      <c r="F73" s="84">
        <v>0</v>
      </c>
      <c r="G73" s="84">
        <v>3.6875935248934698E-2</v>
      </c>
      <c r="H73" s="84">
        <v>0</v>
      </c>
      <c r="I73" s="84">
        <v>0</v>
      </c>
      <c r="J73" s="3"/>
      <c r="K73" s="3"/>
      <c r="L73" s="3"/>
      <c r="M73" s="3"/>
      <c r="N73" s="3"/>
      <c r="O73" s="76"/>
      <c r="P73" s="76"/>
      <c r="Q73" s="76"/>
      <c r="R73" s="76"/>
      <c r="S73" s="76"/>
      <c r="T73" s="76"/>
    </row>
    <row r="74" spans="1:20">
      <c r="A74" s="84" t="s">
        <v>221</v>
      </c>
      <c r="B74" s="85" t="s">
        <v>220</v>
      </c>
      <c r="C74" s="85" t="s">
        <v>92</v>
      </c>
      <c r="D74" s="84" t="s">
        <v>80</v>
      </c>
      <c r="E74" s="84">
        <f>VLOOKUP(A74,'2a. SI Pop'!$A$5:$E$198,5,FALSE)</f>
        <v>1</v>
      </c>
      <c r="F74" s="84">
        <v>0</v>
      </c>
      <c r="G74" s="84">
        <v>1.29060283636049E-2</v>
      </c>
      <c r="H74" s="84">
        <v>0</v>
      </c>
      <c r="I74" s="84">
        <v>0</v>
      </c>
      <c r="J74" s="3"/>
      <c r="K74" s="3"/>
      <c r="L74" s="3"/>
      <c r="M74" s="3"/>
      <c r="N74" s="3"/>
      <c r="O74" s="76"/>
      <c r="P74" s="76"/>
      <c r="Q74" s="76"/>
      <c r="R74" s="76"/>
      <c r="S74" s="76"/>
      <c r="T74" s="76"/>
    </row>
    <row r="75" spans="1:20">
      <c r="A75" s="84" t="s">
        <v>223</v>
      </c>
      <c r="B75" s="85" t="s">
        <v>222</v>
      </c>
      <c r="C75" s="85" t="s">
        <v>83</v>
      </c>
      <c r="D75" s="84" t="s">
        <v>75</v>
      </c>
      <c r="E75" s="84">
        <f>VLOOKUP(A75,'2a. SI Pop'!$A$5:$E$198,5,FALSE)</f>
        <v>3</v>
      </c>
      <c r="F75" s="84">
        <v>1208</v>
      </c>
      <c r="G75" s="84">
        <v>542.23663299543603</v>
      </c>
      <c r="H75" s="84">
        <v>1137.7676535063199</v>
      </c>
      <c r="I75" s="84">
        <v>443.64</v>
      </c>
      <c r="J75" s="3"/>
      <c r="K75" s="3"/>
      <c r="L75" s="3"/>
      <c r="M75" s="3"/>
      <c r="N75" s="3"/>
      <c r="O75" s="76"/>
      <c r="P75" s="76"/>
      <c r="Q75" s="76"/>
      <c r="R75" s="76"/>
      <c r="S75" s="76"/>
      <c r="T75" s="76"/>
    </row>
    <row r="76" spans="1:20">
      <c r="A76" s="84" t="s">
        <v>225</v>
      </c>
      <c r="B76" s="85" t="s">
        <v>224</v>
      </c>
      <c r="C76" s="85" t="s">
        <v>83</v>
      </c>
      <c r="D76" s="84" t="s">
        <v>75</v>
      </c>
      <c r="E76" s="84">
        <f>VLOOKUP(A76,'2a. SI Pop'!$A$5:$E$198,5,FALSE)</f>
        <v>3</v>
      </c>
      <c r="F76" s="84">
        <v>9.0000000000000002E-6</v>
      </c>
      <c r="G76" s="84">
        <v>1671.7499574515</v>
      </c>
      <c r="H76" s="84">
        <v>579.82077469569799</v>
      </c>
      <c r="I76" s="84">
        <v>69.028000000000006</v>
      </c>
      <c r="J76" s="3"/>
      <c r="K76" s="3"/>
      <c r="L76" s="3"/>
      <c r="M76" s="3"/>
      <c r="N76" s="3"/>
      <c r="O76" s="76"/>
      <c r="P76" s="76"/>
      <c r="Q76" s="76"/>
      <c r="R76" s="76"/>
      <c r="S76" s="76"/>
      <c r="T76" s="76"/>
    </row>
    <row r="77" spans="1:20">
      <c r="A77" s="84" t="s">
        <v>227</v>
      </c>
      <c r="B77" s="85" t="s">
        <v>226</v>
      </c>
      <c r="C77" s="85" t="s">
        <v>92</v>
      </c>
      <c r="D77" s="84" t="s">
        <v>80</v>
      </c>
      <c r="E77" s="84">
        <f>VLOOKUP(A77,'2a. SI Pop'!$A$5:$E$198,5,FALSE)</f>
        <v>2</v>
      </c>
      <c r="F77" s="84">
        <v>0</v>
      </c>
      <c r="G77" s="84">
        <v>4.96958166360328E-2</v>
      </c>
      <c r="H77" s="84">
        <v>0</v>
      </c>
      <c r="I77" s="84">
        <v>0</v>
      </c>
      <c r="J77" s="3"/>
      <c r="K77" s="3"/>
      <c r="L77" s="3"/>
      <c r="M77" s="3"/>
      <c r="N77" s="3"/>
      <c r="O77" s="76"/>
      <c r="P77" s="76"/>
      <c r="Q77" s="76"/>
      <c r="R77" s="76"/>
      <c r="S77" s="76"/>
      <c r="T77" s="76"/>
    </row>
    <row r="78" spans="1:20">
      <c r="A78" s="84" t="s">
        <v>229</v>
      </c>
      <c r="B78" s="85" t="s">
        <v>228</v>
      </c>
      <c r="C78" s="85" t="s">
        <v>92</v>
      </c>
      <c r="D78" s="84" t="s">
        <v>75</v>
      </c>
      <c r="E78" s="84">
        <f>VLOOKUP(A78,'2a. SI Pop'!$A$5:$E$198,5,FALSE)</f>
        <v>2</v>
      </c>
      <c r="F78" s="84">
        <v>0</v>
      </c>
      <c r="G78" s="84">
        <v>7.0335700036831095E-2</v>
      </c>
      <c r="H78" s="84">
        <v>0</v>
      </c>
      <c r="I78" s="84">
        <v>0</v>
      </c>
      <c r="J78" s="3"/>
      <c r="K78" s="3"/>
      <c r="L78" s="3"/>
      <c r="M78" s="3"/>
      <c r="N78" s="3"/>
      <c r="O78" s="76"/>
      <c r="P78" s="76"/>
      <c r="Q78" s="76"/>
      <c r="R78" s="76"/>
      <c r="S78" s="76"/>
      <c r="T78" s="76"/>
    </row>
    <row r="79" spans="1:20">
      <c r="A79" s="84" t="s">
        <v>231</v>
      </c>
      <c r="B79" s="85" t="s">
        <v>230</v>
      </c>
      <c r="C79" s="85" t="s">
        <v>92</v>
      </c>
      <c r="D79" s="84" t="s">
        <v>84</v>
      </c>
      <c r="E79" s="84">
        <f>VLOOKUP(A79,'2a. SI Pop'!$A$5:$E$198,5,FALSE)</f>
        <v>1</v>
      </c>
      <c r="F79" s="84">
        <v>0</v>
      </c>
      <c r="G79" s="84">
        <v>1.52334196831775E-2</v>
      </c>
      <c r="H79" s="84">
        <v>0</v>
      </c>
      <c r="I79" s="84">
        <v>0</v>
      </c>
      <c r="J79" s="3"/>
      <c r="K79" s="3"/>
      <c r="L79" s="3"/>
      <c r="M79" s="3"/>
      <c r="N79" s="3"/>
      <c r="O79" s="76"/>
      <c r="P79" s="76"/>
      <c r="Q79" s="76"/>
      <c r="R79" s="76"/>
      <c r="S79" s="76"/>
      <c r="T79" s="76"/>
    </row>
    <row r="80" spans="1:20">
      <c r="A80" s="84" t="s">
        <v>233</v>
      </c>
      <c r="B80" s="85" t="s">
        <v>232</v>
      </c>
      <c r="C80" s="85" t="s">
        <v>79</v>
      </c>
      <c r="D80" s="84" t="s">
        <v>87</v>
      </c>
      <c r="E80" s="84">
        <f>VLOOKUP(A80,'2a. SI Pop'!$A$5:$E$198,5,FALSE)</f>
        <v>1</v>
      </c>
      <c r="F80" s="84">
        <v>23</v>
      </c>
      <c r="G80" s="84">
        <v>0.45607488833736598</v>
      </c>
      <c r="H80" s="84">
        <v>1.4772402122607199E-2</v>
      </c>
      <c r="I80" s="84">
        <v>0</v>
      </c>
      <c r="J80" s="3"/>
      <c r="K80" s="3"/>
      <c r="L80" s="3"/>
      <c r="M80" s="3"/>
      <c r="N80" s="3"/>
      <c r="O80" s="76"/>
      <c r="P80" s="76"/>
      <c r="Q80" s="76"/>
      <c r="R80" s="76"/>
      <c r="S80" s="76"/>
      <c r="T80" s="76"/>
    </row>
    <row r="81" spans="1:20">
      <c r="A81" s="84" t="s">
        <v>235</v>
      </c>
      <c r="B81" s="85" t="s">
        <v>234</v>
      </c>
      <c r="C81" s="85" t="s">
        <v>79</v>
      </c>
      <c r="D81" s="84" t="s">
        <v>87</v>
      </c>
      <c r="E81" s="84">
        <f>VLOOKUP(A81,'2a. SI Pop'!$A$5:$E$198,5,FALSE)</f>
        <v>1</v>
      </c>
      <c r="F81" s="84">
        <v>9</v>
      </c>
      <c r="G81" s="84">
        <v>4.0600641005412204</v>
      </c>
      <c r="H81" s="84">
        <v>2.9734730703534902E-4</v>
      </c>
      <c r="I81" s="84">
        <v>0</v>
      </c>
      <c r="J81" s="3"/>
      <c r="K81" s="3"/>
      <c r="L81" s="3"/>
      <c r="M81" s="3"/>
      <c r="N81" s="3"/>
      <c r="O81" s="76"/>
      <c r="P81" s="76"/>
      <c r="Q81" s="76"/>
      <c r="R81" s="76"/>
      <c r="S81" s="76"/>
      <c r="T81" s="76"/>
    </row>
    <row r="82" spans="1:20">
      <c r="A82" s="84" t="s">
        <v>237</v>
      </c>
      <c r="B82" s="85" t="s">
        <v>236</v>
      </c>
      <c r="C82" s="85" t="s">
        <v>110</v>
      </c>
      <c r="D82" s="84" t="s">
        <v>84</v>
      </c>
      <c r="E82" s="84" t="str">
        <f>VLOOKUP(A82,'2a. SI Pop'!$A$5:$E$198,5,FALSE)</f>
        <v>Key</v>
      </c>
      <c r="F82" s="84">
        <v>10708</v>
      </c>
      <c r="G82" s="84">
        <v>182.540438526884</v>
      </c>
      <c r="H82" s="84">
        <v>4855.6447892210599</v>
      </c>
      <c r="I82" s="84">
        <v>40506</v>
      </c>
      <c r="J82" s="3"/>
      <c r="K82" s="3"/>
      <c r="L82" s="3"/>
      <c r="M82" s="3"/>
      <c r="N82" s="3"/>
      <c r="O82" s="76"/>
      <c r="P82" s="76"/>
      <c r="Q82" s="76"/>
      <c r="R82" s="76"/>
      <c r="S82" s="76"/>
      <c r="T82" s="76"/>
    </row>
    <row r="83" spans="1:20">
      <c r="A83" s="84" t="s">
        <v>239</v>
      </c>
      <c r="B83" s="85" t="s">
        <v>238</v>
      </c>
      <c r="C83" s="85" t="s">
        <v>110</v>
      </c>
      <c r="D83" s="84" t="s">
        <v>80</v>
      </c>
      <c r="E83" s="84" t="str">
        <f>VLOOKUP(A83,'2a. SI Pop'!$A$5:$E$198,5,FALSE)</f>
        <v>Key</v>
      </c>
      <c r="F83" s="84">
        <v>1822</v>
      </c>
      <c r="G83" s="84">
        <v>159.97038285226401</v>
      </c>
      <c r="H83" s="84">
        <v>713.07040791056897</v>
      </c>
      <c r="I83" s="84">
        <v>5126.6000000000004</v>
      </c>
      <c r="J83" s="3"/>
      <c r="K83" s="3"/>
      <c r="L83" s="3"/>
      <c r="M83" s="3"/>
      <c r="N83" s="3"/>
      <c r="O83" s="76"/>
      <c r="P83" s="76"/>
      <c r="Q83" s="76"/>
      <c r="R83" s="76"/>
      <c r="S83" s="76"/>
      <c r="T83" s="76"/>
    </row>
    <row r="84" spans="1:20">
      <c r="A84" s="84" t="s">
        <v>241</v>
      </c>
      <c r="B84" s="85" t="s">
        <v>240</v>
      </c>
      <c r="C84" s="85" t="s">
        <v>74</v>
      </c>
      <c r="D84" s="84" t="s">
        <v>80</v>
      </c>
      <c r="E84" s="84">
        <f>VLOOKUP(A84,'2a. SI Pop'!$A$5:$E$198,5,FALSE)</f>
        <v>2</v>
      </c>
      <c r="F84" s="84">
        <v>16</v>
      </c>
      <c r="G84" s="84">
        <v>87.840900142946595</v>
      </c>
      <c r="H84" s="84">
        <v>71.324736536536903</v>
      </c>
      <c r="I84" s="84">
        <v>0</v>
      </c>
      <c r="J84" s="3"/>
      <c r="K84" s="3"/>
      <c r="L84" s="3"/>
      <c r="M84" s="3"/>
      <c r="N84" s="3"/>
      <c r="O84" s="76"/>
      <c r="P84" s="76"/>
      <c r="Q84" s="76"/>
      <c r="R84" s="76"/>
      <c r="S84" s="76"/>
      <c r="T84" s="76"/>
    </row>
    <row r="85" spans="1:20">
      <c r="A85" s="84" t="s">
        <v>243</v>
      </c>
      <c r="B85" s="85" t="s">
        <v>242</v>
      </c>
      <c r="C85" s="85" t="s">
        <v>74</v>
      </c>
      <c r="D85" s="84" t="s">
        <v>80</v>
      </c>
      <c r="E85" s="84">
        <f>VLOOKUP(A85,'2a. SI Pop'!$A$5:$E$198,5,FALSE)</f>
        <v>2</v>
      </c>
      <c r="F85" s="84">
        <v>3619</v>
      </c>
      <c r="G85" s="84">
        <v>303.076430862726</v>
      </c>
      <c r="H85" s="84">
        <v>157.205514939018</v>
      </c>
      <c r="I85" s="84">
        <v>0</v>
      </c>
      <c r="J85" s="3"/>
      <c r="K85" s="3"/>
      <c r="L85" s="3"/>
      <c r="M85" s="3"/>
      <c r="N85" s="3"/>
      <c r="O85" s="76"/>
      <c r="P85" s="76"/>
      <c r="Q85" s="76"/>
      <c r="R85" s="76"/>
      <c r="S85" s="76"/>
      <c r="T85" s="76"/>
    </row>
    <row r="86" spans="1:20">
      <c r="A86" s="84" t="s">
        <v>245</v>
      </c>
      <c r="B86" s="85" t="s">
        <v>244</v>
      </c>
      <c r="C86" s="85" t="s">
        <v>79</v>
      </c>
      <c r="D86" s="84" t="s">
        <v>87</v>
      </c>
      <c r="E86" s="84">
        <f>VLOOKUP(A86,'2a. SI Pop'!$A$5:$E$198,5,FALSE)</f>
        <v>1</v>
      </c>
      <c r="F86" s="84">
        <v>73</v>
      </c>
      <c r="G86" s="84">
        <v>2.4413252048246901</v>
      </c>
      <c r="H86" s="84">
        <v>8.3677971015646193E-3</v>
      </c>
      <c r="I86" s="84">
        <v>2.4067000000000002E-2</v>
      </c>
      <c r="J86" s="3"/>
      <c r="K86" s="3"/>
      <c r="L86" s="3"/>
      <c r="M86" s="3"/>
      <c r="N86" s="3"/>
      <c r="O86" s="76"/>
      <c r="P86" s="76"/>
      <c r="Q86" s="76"/>
      <c r="R86" s="76"/>
      <c r="S86" s="76"/>
      <c r="T86" s="76"/>
    </row>
    <row r="87" spans="1:20">
      <c r="A87" s="84" t="s">
        <v>247</v>
      </c>
      <c r="B87" s="85" t="s">
        <v>246</v>
      </c>
      <c r="C87" s="85" t="s">
        <v>79</v>
      </c>
      <c r="D87" s="84" t="s">
        <v>87</v>
      </c>
      <c r="E87" s="84">
        <f>VLOOKUP(A87,'2a. SI Pop'!$A$5:$E$198,5,FALSE)</f>
        <v>1</v>
      </c>
      <c r="F87" s="84">
        <v>1028</v>
      </c>
      <c r="G87" s="84">
        <v>21.0715517041914</v>
      </c>
      <c r="H87" s="84">
        <v>1.39220129651278E-2</v>
      </c>
      <c r="I87" s="84">
        <v>0</v>
      </c>
      <c r="J87" s="3"/>
      <c r="K87" s="3"/>
      <c r="L87" s="3"/>
      <c r="M87" s="3"/>
      <c r="N87" s="3"/>
      <c r="O87" s="76"/>
      <c r="P87" s="76"/>
      <c r="Q87" s="76"/>
      <c r="R87" s="76"/>
      <c r="S87" s="76"/>
      <c r="T87" s="76"/>
    </row>
    <row r="88" spans="1:20">
      <c r="A88" s="84" t="s">
        <v>249</v>
      </c>
      <c r="B88" s="85" t="s">
        <v>248</v>
      </c>
      <c r="C88" s="85" t="s">
        <v>79</v>
      </c>
      <c r="D88" s="84" t="s">
        <v>87</v>
      </c>
      <c r="E88" s="84">
        <f>VLOOKUP(A88,'2a. SI Pop'!$A$5:$E$198,5,FALSE)</f>
        <v>1</v>
      </c>
      <c r="F88" s="84">
        <v>1619</v>
      </c>
      <c r="G88" s="84">
        <v>4.4160931518125697</v>
      </c>
      <c r="H88" s="84">
        <v>0.19167902835568101</v>
      </c>
      <c r="I88" s="84">
        <v>1.2772000000000001E-5</v>
      </c>
      <c r="J88" s="3"/>
      <c r="K88" s="3"/>
      <c r="L88" s="3"/>
      <c r="M88" s="3"/>
      <c r="N88" s="3"/>
      <c r="O88" s="76"/>
      <c r="P88" s="76"/>
      <c r="Q88" s="76"/>
      <c r="R88" s="76"/>
      <c r="S88" s="76"/>
      <c r="T88" s="76"/>
    </row>
    <row r="89" spans="1:20">
      <c r="A89" s="84" t="s">
        <v>251</v>
      </c>
      <c r="B89" s="85" t="s">
        <v>250</v>
      </c>
      <c r="C89" s="85" t="s">
        <v>92</v>
      </c>
      <c r="D89" s="84" t="s">
        <v>80</v>
      </c>
      <c r="E89" s="84">
        <f>VLOOKUP(A89,'2a. SI Pop'!$A$5:$E$198,5,FALSE)</f>
        <v>1</v>
      </c>
      <c r="F89" s="84">
        <v>0</v>
      </c>
      <c r="G89" s="84">
        <v>3.6290511899061198E-2</v>
      </c>
      <c r="H89" s="84">
        <v>0</v>
      </c>
      <c r="I89" s="84">
        <v>0</v>
      </c>
      <c r="J89" s="3"/>
      <c r="K89" s="3"/>
      <c r="L89" s="3"/>
      <c r="M89" s="3"/>
      <c r="N89" s="3"/>
      <c r="O89" s="76"/>
      <c r="P89" s="76"/>
      <c r="Q89" s="76"/>
      <c r="R89" s="76"/>
      <c r="S89" s="76"/>
      <c r="T89" s="76"/>
    </row>
    <row r="90" spans="1:20">
      <c r="A90" s="84" t="s">
        <v>253</v>
      </c>
      <c r="B90" s="85" t="s">
        <v>252</v>
      </c>
      <c r="C90" s="85" t="s">
        <v>99</v>
      </c>
      <c r="D90" s="84" t="s">
        <v>87</v>
      </c>
      <c r="E90" s="84">
        <f>VLOOKUP(A90,'2a. SI Pop'!$A$5:$E$198,5,FALSE)</f>
        <v>4</v>
      </c>
      <c r="F90" s="84">
        <v>812</v>
      </c>
      <c r="G90" s="84">
        <v>1.0316094646890299</v>
      </c>
      <c r="H90" s="84">
        <v>0.74144761719977204</v>
      </c>
      <c r="I90" s="84">
        <v>2.3955999999999999E-3</v>
      </c>
      <c r="J90" s="3"/>
      <c r="K90" s="3"/>
      <c r="L90" s="3"/>
      <c r="M90" s="3"/>
      <c r="N90" s="3"/>
      <c r="O90" s="76"/>
      <c r="P90" s="76"/>
      <c r="Q90" s="76"/>
      <c r="R90" s="76"/>
      <c r="S90" s="76"/>
      <c r="T90" s="76"/>
    </row>
    <row r="91" spans="1:20">
      <c r="A91" s="84" t="s">
        <v>255</v>
      </c>
      <c r="B91" s="85" t="s">
        <v>254</v>
      </c>
      <c r="C91" s="85" t="s">
        <v>74</v>
      </c>
      <c r="D91" s="84" t="s">
        <v>80</v>
      </c>
      <c r="E91" s="84">
        <f>VLOOKUP(A91,'2a. SI Pop'!$A$5:$E$198,5,FALSE)</f>
        <v>2</v>
      </c>
      <c r="F91" s="84">
        <v>45</v>
      </c>
      <c r="G91" s="84">
        <v>518.47375818603405</v>
      </c>
      <c r="H91" s="84">
        <v>53.085010856373799</v>
      </c>
      <c r="I91" s="84">
        <v>0</v>
      </c>
      <c r="J91" s="3"/>
      <c r="K91" s="3"/>
      <c r="L91" s="3"/>
      <c r="M91" s="3"/>
      <c r="N91" s="3"/>
      <c r="O91" s="76"/>
      <c r="P91" s="76"/>
      <c r="Q91" s="76"/>
      <c r="R91" s="76"/>
      <c r="S91" s="76"/>
      <c r="T91" s="76"/>
    </row>
    <row r="92" spans="1:20">
      <c r="A92" s="84" t="s">
        <v>257</v>
      </c>
      <c r="B92" s="85" t="s">
        <v>256</v>
      </c>
      <c r="C92" s="85" t="s">
        <v>79</v>
      </c>
      <c r="D92" s="84" t="s">
        <v>80</v>
      </c>
      <c r="E92" s="84">
        <f>VLOOKUP(A92,'2a. SI Pop'!$A$5:$E$198,5,FALSE)</f>
        <v>2</v>
      </c>
      <c r="F92" s="84">
        <v>13326</v>
      </c>
      <c r="G92" s="84">
        <v>96.282854111036798</v>
      </c>
      <c r="H92" s="84">
        <v>3.2440447330813298E-2</v>
      </c>
      <c r="I92" s="84">
        <v>0</v>
      </c>
      <c r="J92" s="3"/>
      <c r="K92" s="3"/>
      <c r="L92" s="3"/>
      <c r="M92" s="3"/>
      <c r="N92" s="3"/>
      <c r="O92" s="76"/>
      <c r="P92" s="76"/>
      <c r="Q92" s="76"/>
      <c r="R92" s="76"/>
      <c r="S92" s="76"/>
      <c r="T92" s="76"/>
    </row>
    <row r="93" spans="1:20">
      <c r="A93" s="84" t="s">
        <v>259</v>
      </c>
      <c r="B93" s="85" t="s">
        <v>258</v>
      </c>
      <c r="C93" s="85" t="s">
        <v>83</v>
      </c>
      <c r="D93" s="84" t="s">
        <v>84</v>
      </c>
      <c r="E93" s="84">
        <f>VLOOKUP(A93,'2a. SI Pop'!$A$5:$E$198,5,FALSE)</f>
        <v>3</v>
      </c>
      <c r="F93" s="84">
        <v>439</v>
      </c>
      <c r="G93" s="84">
        <v>210.056487717126</v>
      </c>
      <c r="H93" s="84">
        <v>446.94860947220297</v>
      </c>
      <c r="I93" s="84">
        <v>3259.8</v>
      </c>
      <c r="J93" s="3"/>
      <c r="K93" s="3"/>
      <c r="L93" s="3"/>
      <c r="M93" s="3"/>
      <c r="N93" s="3"/>
      <c r="O93" s="76"/>
      <c r="P93" s="76"/>
      <c r="Q93" s="76"/>
      <c r="R93" s="76"/>
      <c r="S93" s="76"/>
      <c r="T93" s="76"/>
    </row>
    <row r="94" spans="1:20">
      <c r="A94" s="84" t="s">
        <v>261</v>
      </c>
      <c r="B94" s="85" t="s">
        <v>260</v>
      </c>
      <c r="C94" s="85" t="s">
        <v>99</v>
      </c>
      <c r="D94" s="84" t="s">
        <v>84</v>
      </c>
      <c r="E94" s="84">
        <f>VLOOKUP(A94,'2a. SI Pop'!$A$5:$E$198,5,FALSE)</f>
        <v>4</v>
      </c>
      <c r="F94" s="84">
        <v>0</v>
      </c>
      <c r="G94" s="84">
        <v>817.54199163328997</v>
      </c>
      <c r="H94" s="84">
        <v>3.9135316368498398</v>
      </c>
      <c r="I94" s="84" t="s">
        <v>573</v>
      </c>
      <c r="J94" s="3"/>
      <c r="K94" s="3"/>
      <c r="L94" s="3"/>
      <c r="M94" s="3"/>
      <c r="N94" s="3"/>
      <c r="O94" s="76"/>
      <c r="P94" s="76"/>
      <c r="Q94" s="76"/>
      <c r="R94" s="76"/>
      <c r="S94" s="76"/>
      <c r="T94" s="76"/>
    </row>
    <row r="95" spans="1:20">
      <c r="A95" s="84" t="s">
        <v>263</v>
      </c>
      <c r="B95" s="85" t="s">
        <v>262</v>
      </c>
      <c r="C95" s="85" t="s">
        <v>99</v>
      </c>
      <c r="D95" s="84" t="s">
        <v>87</v>
      </c>
      <c r="E95" s="84">
        <f>VLOOKUP(A95,'2a. SI Pop'!$A$5:$E$198,5,FALSE)</f>
        <v>1</v>
      </c>
      <c r="F95" s="84">
        <v>191</v>
      </c>
      <c r="G95" s="84">
        <v>0.62892322062433204</v>
      </c>
      <c r="H95" s="84">
        <v>0.11855016101810401</v>
      </c>
      <c r="I95" s="84">
        <v>0</v>
      </c>
      <c r="J95" s="3"/>
      <c r="K95" s="3"/>
      <c r="L95" s="3"/>
      <c r="M95" s="3"/>
      <c r="N95" s="3"/>
      <c r="O95" s="76"/>
      <c r="P95" s="76"/>
      <c r="Q95" s="76"/>
      <c r="R95" s="76"/>
      <c r="S95" s="76"/>
      <c r="T95" s="76"/>
    </row>
    <row r="96" spans="1:20">
      <c r="A96" s="84" t="s">
        <v>265</v>
      </c>
      <c r="B96" s="85" t="s">
        <v>264</v>
      </c>
      <c r="C96" s="85" t="s">
        <v>74</v>
      </c>
      <c r="D96" s="84" t="s">
        <v>87</v>
      </c>
      <c r="E96" s="84">
        <f>VLOOKUP(A96,'2a. SI Pop'!$A$5:$E$198,5,FALSE)</f>
        <v>1</v>
      </c>
      <c r="F96" s="84">
        <v>12</v>
      </c>
      <c r="G96" s="84">
        <v>101.4235470747</v>
      </c>
      <c r="H96" s="84">
        <v>5.29666515647499E-3</v>
      </c>
      <c r="I96" s="84">
        <v>0</v>
      </c>
      <c r="J96" s="3"/>
      <c r="K96" s="3"/>
      <c r="L96" s="3"/>
      <c r="M96" s="3"/>
      <c r="N96" s="3"/>
      <c r="O96" s="76"/>
      <c r="P96" s="76"/>
      <c r="Q96" s="76"/>
      <c r="R96" s="76"/>
      <c r="S96" s="76"/>
      <c r="T96" s="76"/>
    </row>
    <row r="97" spans="1:20">
      <c r="A97" s="84" t="s">
        <v>267</v>
      </c>
      <c r="B97" s="85" t="s">
        <v>266</v>
      </c>
      <c r="C97" s="85" t="s">
        <v>79</v>
      </c>
      <c r="D97" s="84" t="s">
        <v>84</v>
      </c>
      <c r="E97" s="84">
        <f>VLOOKUP(A97,'2a. SI Pop'!$A$5:$E$198,5,FALSE)</f>
        <v>1</v>
      </c>
      <c r="F97" s="84">
        <v>2303</v>
      </c>
      <c r="G97" s="84">
        <v>65.800408713607695</v>
      </c>
      <c r="H97" s="84">
        <v>2.41948776414635E-2</v>
      </c>
      <c r="I97" s="84">
        <v>0</v>
      </c>
      <c r="J97" s="3"/>
      <c r="K97" s="3"/>
      <c r="L97" s="3"/>
      <c r="M97" s="3"/>
      <c r="N97" s="3"/>
      <c r="O97" s="76"/>
      <c r="P97" s="76"/>
      <c r="Q97" s="76"/>
      <c r="R97" s="76"/>
      <c r="S97" s="76"/>
      <c r="T97" s="76"/>
    </row>
    <row r="98" spans="1:20">
      <c r="A98" s="84" t="s">
        <v>269</v>
      </c>
      <c r="B98" s="85" t="s">
        <v>268</v>
      </c>
      <c r="C98" s="85" t="s">
        <v>99</v>
      </c>
      <c r="D98" s="84" t="s">
        <v>84</v>
      </c>
      <c r="E98" s="84">
        <f>VLOOKUP(A98,'2a. SI Pop'!$A$5:$E$198,5,FALSE)</f>
        <v>4</v>
      </c>
      <c r="F98" s="84">
        <v>1121</v>
      </c>
      <c r="G98" s="84">
        <v>559.16273853627399</v>
      </c>
      <c r="H98" s="84">
        <v>152.60236189583699</v>
      </c>
      <c r="I98" s="84">
        <v>354.5</v>
      </c>
      <c r="J98" s="3"/>
      <c r="K98" s="3"/>
      <c r="L98" s="3"/>
      <c r="M98" s="3"/>
      <c r="N98" s="3"/>
      <c r="O98" s="76"/>
      <c r="P98" s="76"/>
      <c r="Q98" s="76"/>
      <c r="R98" s="76"/>
      <c r="S98" s="76"/>
      <c r="T98" s="76"/>
    </row>
    <row r="99" spans="1:20">
      <c r="A99" s="84" t="s">
        <v>271</v>
      </c>
      <c r="B99" s="85" t="s">
        <v>270</v>
      </c>
      <c r="C99" s="85" t="s">
        <v>79</v>
      </c>
      <c r="D99" s="84" t="s">
        <v>87</v>
      </c>
      <c r="E99" s="84">
        <f>VLOOKUP(A99,'2a. SI Pop'!$A$5:$E$198,5,FALSE)</f>
        <v>1</v>
      </c>
      <c r="F99" s="84">
        <v>2</v>
      </c>
      <c r="G99" s="84">
        <v>0.106214048049231</v>
      </c>
      <c r="H99" s="84">
        <v>7.1628503444258904E-2</v>
      </c>
      <c r="I99" s="84">
        <v>2.9985999999999999E-10</v>
      </c>
      <c r="J99" s="3"/>
      <c r="K99" s="3"/>
      <c r="L99" s="3"/>
      <c r="M99" s="3"/>
      <c r="N99" s="3"/>
      <c r="O99" s="76"/>
      <c r="P99" s="76"/>
      <c r="Q99" s="76"/>
      <c r="R99" s="76"/>
      <c r="S99" s="76"/>
      <c r="T99" s="76"/>
    </row>
    <row r="100" spans="1:20">
      <c r="A100" s="84" t="s">
        <v>273</v>
      </c>
      <c r="B100" s="85" t="s">
        <v>272</v>
      </c>
      <c r="C100" s="85" t="s">
        <v>74</v>
      </c>
      <c r="D100" s="84" t="s">
        <v>80</v>
      </c>
      <c r="E100" s="84">
        <f>VLOOKUP(A100,'2a. SI Pop'!$A$5:$E$198,5,FALSE)</f>
        <v>2</v>
      </c>
      <c r="F100" s="84">
        <v>1046</v>
      </c>
      <c r="G100" s="84">
        <v>420.21332039730299</v>
      </c>
      <c r="H100" s="84">
        <v>16.7376045459784</v>
      </c>
      <c r="I100" s="84">
        <v>0</v>
      </c>
      <c r="J100" s="3"/>
      <c r="K100" s="3"/>
      <c r="L100" s="3"/>
      <c r="M100" s="3"/>
      <c r="N100" s="3"/>
      <c r="O100" s="76"/>
      <c r="P100" s="76"/>
      <c r="Q100" s="76"/>
      <c r="R100" s="76"/>
      <c r="S100" s="76"/>
      <c r="T100" s="76"/>
    </row>
    <row r="101" spans="1:20">
      <c r="A101" s="84" t="s">
        <v>275</v>
      </c>
      <c r="B101" s="85" t="s">
        <v>274</v>
      </c>
      <c r="C101" s="85" t="s">
        <v>83</v>
      </c>
      <c r="D101" s="84" t="s">
        <v>84</v>
      </c>
      <c r="E101" s="84">
        <f>VLOOKUP(A101,'2a. SI Pop'!$A$5:$E$198,5,FALSE)</f>
        <v>3</v>
      </c>
      <c r="F101" s="84">
        <v>10</v>
      </c>
      <c r="G101" s="84">
        <v>71.627529885857697</v>
      </c>
      <c r="H101" s="84">
        <v>14.5163060766042</v>
      </c>
      <c r="I101" s="84">
        <v>66.989000000000004</v>
      </c>
      <c r="J101" s="3"/>
      <c r="K101" s="3"/>
      <c r="L101" s="3"/>
      <c r="M101" s="3"/>
      <c r="N101" s="3"/>
      <c r="O101" s="76"/>
      <c r="P101" s="76"/>
      <c r="Q101" s="76"/>
      <c r="R101" s="76"/>
      <c r="S101" s="76"/>
      <c r="T101" s="76"/>
    </row>
    <row r="102" spans="1:20">
      <c r="A102" s="84" t="s">
        <v>277</v>
      </c>
      <c r="B102" s="85" t="s">
        <v>276</v>
      </c>
      <c r="C102" s="85" t="s">
        <v>83</v>
      </c>
      <c r="D102" s="84" t="s">
        <v>75</v>
      </c>
      <c r="E102" s="84">
        <f>VLOOKUP(A102,'2a. SI Pop'!$A$5:$E$198,5,FALSE)</f>
        <v>3</v>
      </c>
      <c r="F102" s="84">
        <v>1044</v>
      </c>
      <c r="G102" s="84">
        <v>635.41618244839106</v>
      </c>
      <c r="H102" s="84">
        <v>222.96564742077101</v>
      </c>
      <c r="I102" s="84">
        <v>169.06</v>
      </c>
      <c r="J102" s="3"/>
      <c r="K102" s="3"/>
      <c r="L102" s="3"/>
      <c r="M102" s="3"/>
      <c r="N102" s="3"/>
      <c r="O102" s="76"/>
      <c r="P102" s="76"/>
      <c r="Q102" s="76"/>
      <c r="R102" s="76"/>
      <c r="S102" s="76"/>
      <c r="T102" s="76"/>
    </row>
    <row r="103" spans="1:20">
      <c r="A103" s="84" t="s">
        <v>279</v>
      </c>
      <c r="B103" s="85" t="s">
        <v>278</v>
      </c>
      <c r="C103" s="85" t="s">
        <v>74</v>
      </c>
      <c r="D103" s="84" t="s">
        <v>80</v>
      </c>
      <c r="E103" s="84">
        <f>VLOOKUP(A103,'2a. SI Pop'!$A$5:$E$198,5,FALSE)</f>
        <v>2</v>
      </c>
      <c r="F103" s="84">
        <v>188</v>
      </c>
      <c r="G103" s="84">
        <v>7.5072200266038598</v>
      </c>
      <c r="H103" s="84">
        <v>0.39490213120901302</v>
      </c>
      <c r="I103" s="84">
        <v>0</v>
      </c>
      <c r="J103" s="3"/>
      <c r="K103" s="3"/>
      <c r="L103" s="3"/>
      <c r="M103" s="3"/>
      <c r="N103" s="3"/>
      <c r="O103" s="76"/>
      <c r="P103" s="76"/>
      <c r="Q103" s="76"/>
      <c r="R103" s="76"/>
      <c r="S103" s="76"/>
      <c r="T103" s="76"/>
    </row>
    <row r="104" spans="1:20">
      <c r="A104" s="84" t="s">
        <v>281</v>
      </c>
      <c r="B104" s="85" t="s">
        <v>280</v>
      </c>
      <c r="C104" s="85" t="s">
        <v>79</v>
      </c>
      <c r="D104" s="84" t="s">
        <v>87</v>
      </c>
      <c r="E104" s="84">
        <f>VLOOKUP(A104,'2a. SI Pop'!$A$5:$E$198,5,FALSE)</f>
        <v>1</v>
      </c>
      <c r="F104" s="84">
        <v>832</v>
      </c>
      <c r="G104" s="84">
        <v>52.158245737258</v>
      </c>
      <c r="H104" s="84">
        <v>4.77639340005768E-3</v>
      </c>
      <c r="I104" s="84">
        <v>1.1937000000000001E-12</v>
      </c>
      <c r="J104" s="3"/>
      <c r="K104" s="3"/>
      <c r="L104" s="3"/>
      <c r="M104" s="3"/>
      <c r="N104" s="3"/>
      <c r="O104" s="76"/>
      <c r="P104" s="76"/>
      <c r="Q104" s="76"/>
      <c r="R104" s="76"/>
      <c r="S104" s="76"/>
      <c r="T104" s="76"/>
    </row>
    <row r="105" spans="1:20">
      <c r="A105" s="84" t="s">
        <v>283</v>
      </c>
      <c r="B105" s="85" t="s">
        <v>282</v>
      </c>
      <c r="C105" s="85" t="s">
        <v>79</v>
      </c>
      <c r="D105" s="84" t="s">
        <v>87</v>
      </c>
      <c r="E105" s="84">
        <f>VLOOKUP(A105,'2a. SI Pop'!$A$5:$E$198,5,FALSE)</f>
        <v>1</v>
      </c>
      <c r="F105" s="84">
        <v>24</v>
      </c>
      <c r="G105" s="84">
        <v>7.5606827771686298</v>
      </c>
      <c r="H105" s="84">
        <v>7.6380440184127402E-3</v>
      </c>
      <c r="I105" s="84">
        <v>0.45976</v>
      </c>
      <c r="J105" s="3"/>
      <c r="K105" s="3"/>
      <c r="L105" s="3"/>
      <c r="M105" s="3"/>
      <c r="N105" s="3"/>
      <c r="O105" s="76"/>
      <c r="P105" s="76"/>
      <c r="Q105" s="76"/>
      <c r="R105" s="76"/>
      <c r="S105" s="76"/>
      <c r="T105" s="76"/>
    </row>
    <row r="106" spans="1:20">
      <c r="A106" s="84" t="s">
        <v>285</v>
      </c>
      <c r="B106" s="85" t="s">
        <v>284</v>
      </c>
      <c r="C106" s="85" t="s">
        <v>79</v>
      </c>
      <c r="D106" s="84" t="s">
        <v>80</v>
      </c>
      <c r="E106" s="84">
        <f>VLOOKUP(A106,'2a. SI Pop'!$A$5:$E$198,5,FALSE)</f>
        <v>1</v>
      </c>
      <c r="F106" s="84">
        <v>1884</v>
      </c>
      <c r="G106" s="84">
        <v>170.45048545019199</v>
      </c>
      <c r="H106" s="84">
        <v>3.0903162231814201</v>
      </c>
      <c r="I106" s="84">
        <v>0</v>
      </c>
      <c r="J106" s="3"/>
      <c r="K106" s="3"/>
      <c r="L106" s="3"/>
      <c r="M106" s="3"/>
      <c r="N106" s="3"/>
      <c r="O106" s="76"/>
      <c r="P106" s="76"/>
      <c r="Q106" s="76"/>
      <c r="R106" s="76"/>
      <c r="S106" s="76"/>
      <c r="T106" s="76"/>
    </row>
    <row r="107" spans="1:20">
      <c r="A107" s="84" t="s">
        <v>287</v>
      </c>
      <c r="B107" s="85" t="s">
        <v>286</v>
      </c>
      <c r="C107" s="85" t="s">
        <v>83</v>
      </c>
      <c r="D107" s="84" t="s">
        <v>75</v>
      </c>
      <c r="E107" s="84">
        <f>VLOOKUP(A107,'2a. SI Pop'!$A$5:$E$198,5,FALSE)</f>
        <v>3</v>
      </c>
      <c r="F107" s="84">
        <v>213291</v>
      </c>
      <c r="G107" s="84">
        <v>1259.88122397242</v>
      </c>
      <c r="H107" s="84">
        <v>2278.53338861664</v>
      </c>
      <c r="I107" s="84">
        <v>555.46</v>
      </c>
      <c r="J107" s="3"/>
      <c r="K107" s="3"/>
      <c r="L107" s="3"/>
      <c r="M107" s="3"/>
      <c r="N107" s="3"/>
      <c r="O107" s="76"/>
      <c r="P107" s="76"/>
      <c r="Q107" s="76"/>
      <c r="R107" s="76"/>
      <c r="S107" s="76"/>
      <c r="T107" s="76"/>
    </row>
    <row r="108" spans="1:20">
      <c r="A108" s="84" t="s">
        <v>289</v>
      </c>
      <c r="B108" s="85" t="s">
        <v>288</v>
      </c>
      <c r="C108" s="85" t="s">
        <v>83</v>
      </c>
      <c r="D108" s="84" t="s">
        <v>75</v>
      </c>
      <c r="E108" s="84">
        <f>VLOOKUP(A108,'2a. SI Pop'!$A$5:$E$198,5,FALSE)</f>
        <v>3</v>
      </c>
      <c r="F108" s="84">
        <v>53</v>
      </c>
      <c r="G108" s="84">
        <v>112.534865951946</v>
      </c>
      <c r="H108" s="84">
        <v>211.81549774918099</v>
      </c>
      <c r="I108" s="84">
        <v>684.99</v>
      </c>
      <c r="J108" s="3"/>
      <c r="K108" s="3"/>
      <c r="L108" s="3"/>
      <c r="M108" s="3"/>
      <c r="N108" s="3"/>
      <c r="O108" s="76"/>
      <c r="P108" s="76"/>
      <c r="Q108" s="76"/>
      <c r="R108" s="76"/>
      <c r="S108" s="76"/>
      <c r="T108" s="76"/>
    </row>
    <row r="109" spans="1:20">
      <c r="A109" s="84" t="s">
        <v>291</v>
      </c>
      <c r="B109" s="85" t="s">
        <v>290</v>
      </c>
      <c r="C109" s="85" t="s">
        <v>99</v>
      </c>
      <c r="D109" s="84" t="s">
        <v>80</v>
      </c>
      <c r="E109" s="84">
        <f>VLOOKUP(A109,'2a. SI Pop'!$A$5:$E$198,5,FALSE)</f>
        <v>2</v>
      </c>
      <c r="F109" s="84">
        <v>1077</v>
      </c>
      <c r="G109" s="84">
        <v>292.85012938262901</v>
      </c>
      <c r="H109" s="84">
        <v>64.754217875590697</v>
      </c>
      <c r="I109" s="84">
        <v>8.9324E-8</v>
      </c>
      <c r="J109" s="3"/>
      <c r="K109" s="3"/>
      <c r="L109" s="3"/>
      <c r="M109" s="3"/>
      <c r="N109" s="3"/>
      <c r="O109" s="76"/>
      <c r="P109" s="76"/>
      <c r="Q109" s="76"/>
      <c r="R109" s="76"/>
      <c r="S109" s="76"/>
      <c r="T109" s="76"/>
    </row>
    <row r="110" spans="1:20">
      <c r="A110" s="84" t="s">
        <v>293</v>
      </c>
      <c r="B110" s="85" t="s">
        <v>292</v>
      </c>
      <c r="C110" s="85" t="s">
        <v>110</v>
      </c>
      <c r="D110" s="84" t="s">
        <v>80</v>
      </c>
      <c r="E110" s="84">
        <f>VLOOKUP(A110,'2a. SI Pop'!$A$5:$E$198,5,FALSE)</f>
        <v>2</v>
      </c>
      <c r="F110" s="84">
        <v>0</v>
      </c>
      <c r="G110" s="84">
        <v>118.262284790761</v>
      </c>
      <c r="H110" s="84">
        <v>1.5489979182179401</v>
      </c>
      <c r="I110" s="84">
        <v>0</v>
      </c>
      <c r="J110" s="3"/>
      <c r="K110" s="3"/>
      <c r="L110" s="3"/>
      <c r="M110" s="3"/>
      <c r="N110" s="3"/>
      <c r="O110" s="76"/>
      <c r="P110" s="76"/>
      <c r="Q110" s="76"/>
      <c r="R110" s="76"/>
      <c r="S110" s="76"/>
      <c r="T110" s="76"/>
    </row>
    <row r="111" spans="1:20">
      <c r="A111" s="84" t="s">
        <v>295</v>
      </c>
      <c r="B111" s="85" t="s">
        <v>294</v>
      </c>
      <c r="C111" s="85" t="s">
        <v>83</v>
      </c>
      <c r="D111" s="84" t="s">
        <v>75</v>
      </c>
      <c r="E111" s="84">
        <f>VLOOKUP(A111,'2a. SI Pop'!$A$5:$E$198,5,FALSE)</f>
        <v>3</v>
      </c>
      <c r="F111" s="84">
        <v>852</v>
      </c>
      <c r="G111" s="84">
        <v>687.62364956393799</v>
      </c>
      <c r="H111" s="84">
        <v>2727.22122731339</v>
      </c>
      <c r="I111" s="84">
        <v>617.51</v>
      </c>
      <c r="J111" s="3"/>
      <c r="K111" s="3"/>
      <c r="L111" s="3"/>
      <c r="M111" s="3"/>
      <c r="N111" s="3"/>
      <c r="O111" s="76"/>
      <c r="P111" s="76"/>
      <c r="Q111" s="76"/>
      <c r="R111" s="76"/>
      <c r="S111" s="76"/>
      <c r="T111" s="76"/>
    </row>
    <row r="112" spans="1:20">
      <c r="A112" s="84" t="s">
        <v>297</v>
      </c>
      <c r="B112" s="85" t="s">
        <v>296</v>
      </c>
      <c r="C112" s="85" t="s">
        <v>79</v>
      </c>
      <c r="D112" s="84" t="s">
        <v>87</v>
      </c>
      <c r="E112" s="84">
        <f>VLOOKUP(A112,'2a. SI Pop'!$A$5:$E$198,5,FALSE)</f>
        <v>1</v>
      </c>
      <c r="F112" s="84">
        <v>32</v>
      </c>
      <c r="G112" s="84">
        <v>13.667835737190901</v>
      </c>
      <c r="H112" s="84">
        <v>2.7460187877416799E-3</v>
      </c>
      <c r="I112" s="84">
        <v>3.4518000000000001E-3</v>
      </c>
      <c r="J112" s="3"/>
      <c r="K112" s="3"/>
      <c r="L112" s="3"/>
      <c r="M112" s="3"/>
      <c r="N112" s="3"/>
      <c r="O112" s="76"/>
      <c r="P112" s="76"/>
      <c r="Q112" s="76"/>
      <c r="R112" s="76"/>
      <c r="S112" s="76"/>
      <c r="T112" s="76"/>
    </row>
    <row r="113" spans="1:20">
      <c r="A113" s="84" t="s">
        <v>299</v>
      </c>
      <c r="B113" s="85" t="s">
        <v>298</v>
      </c>
      <c r="C113" s="85" t="s">
        <v>99</v>
      </c>
      <c r="D113" s="84" t="s">
        <v>80</v>
      </c>
      <c r="E113" s="84">
        <f>VLOOKUP(A113,'2a. SI Pop'!$A$5:$E$198,5,FALSE)</f>
        <v>1</v>
      </c>
      <c r="F113" s="84">
        <v>0</v>
      </c>
      <c r="G113" s="84">
        <v>942.88121366165399</v>
      </c>
      <c r="H113" s="84">
        <v>0.86964733054451304</v>
      </c>
      <c r="I113" s="84" t="s">
        <v>573</v>
      </c>
      <c r="J113" s="3"/>
      <c r="K113" s="3"/>
      <c r="L113" s="3"/>
      <c r="M113" s="3"/>
      <c r="N113" s="3"/>
      <c r="O113" s="76"/>
      <c r="P113" s="76"/>
      <c r="Q113" s="76"/>
      <c r="R113" s="76"/>
      <c r="S113" s="76"/>
      <c r="T113" s="76"/>
    </row>
    <row r="114" spans="1:20">
      <c r="A114" s="84" t="s">
        <v>301</v>
      </c>
      <c r="B114" s="85" t="s">
        <v>300</v>
      </c>
      <c r="C114" s="85" t="s">
        <v>83</v>
      </c>
      <c r="D114" s="84" t="s">
        <v>84</v>
      </c>
      <c r="E114" s="84">
        <f>VLOOKUP(A114,'2a. SI Pop'!$A$5:$E$198,5,FALSE)</f>
        <v>3</v>
      </c>
      <c r="F114" s="84">
        <v>161</v>
      </c>
      <c r="G114" s="84">
        <v>201.21360435497999</v>
      </c>
      <c r="H114" s="84">
        <v>47.6940044229123</v>
      </c>
      <c r="I114" s="84">
        <v>111.68</v>
      </c>
      <c r="J114" s="3"/>
      <c r="K114" s="3"/>
      <c r="L114" s="3"/>
      <c r="M114" s="3"/>
      <c r="N114" s="3"/>
      <c r="O114" s="76"/>
      <c r="P114" s="76"/>
      <c r="Q114" s="76"/>
      <c r="R114" s="76"/>
      <c r="S114" s="76"/>
      <c r="T114" s="76"/>
    </row>
    <row r="115" spans="1:20">
      <c r="A115" s="84" t="s">
        <v>303</v>
      </c>
      <c r="B115" s="85" t="s">
        <v>302</v>
      </c>
      <c r="C115" s="85" t="s">
        <v>83</v>
      </c>
      <c r="D115" s="84" t="s">
        <v>87</v>
      </c>
      <c r="E115" s="84">
        <f>VLOOKUP(A115,'2a. SI Pop'!$A$5:$E$198,5,FALSE)</f>
        <v>1</v>
      </c>
      <c r="F115" s="84">
        <v>9.0000000000000002E-6</v>
      </c>
      <c r="G115" s="84">
        <v>263.87864467631402</v>
      </c>
      <c r="H115" s="84">
        <v>1.3809255413257599E-3</v>
      </c>
      <c r="I115" s="84">
        <v>0</v>
      </c>
      <c r="J115" s="3"/>
      <c r="K115" s="3"/>
      <c r="L115" s="3"/>
      <c r="M115" s="3"/>
      <c r="N115" s="3"/>
      <c r="O115" s="76"/>
      <c r="P115" s="76"/>
      <c r="Q115" s="76"/>
      <c r="R115" s="76"/>
      <c r="S115" s="76"/>
      <c r="T115" s="76"/>
    </row>
    <row r="116" spans="1:20">
      <c r="A116" s="84" t="s">
        <v>305</v>
      </c>
      <c r="B116" s="85" t="s">
        <v>304</v>
      </c>
      <c r="C116" s="85" t="s">
        <v>92</v>
      </c>
      <c r="D116" s="84" t="s">
        <v>80</v>
      </c>
      <c r="E116" s="84">
        <f>VLOOKUP(A116,'2a. SI Pop'!$A$5:$E$198,5,FALSE)</f>
        <v>2</v>
      </c>
      <c r="F116" s="84">
        <v>9.0000000000000002E-6</v>
      </c>
      <c r="G116" s="84">
        <v>3.2373280874691702E-3</v>
      </c>
      <c r="H116" s="84">
        <v>6.5079503918290399E-3</v>
      </c>
      <c r="I116" s="84">
        <v>0</v>
      </c>
      <c r="J116" s="3"/>
      <c r="K116" s="3"/>
      <c r="L116" s="3"/>
      <c r="M116" s="3"/>
      <c r="N116" s="3"/>
      <c r="O116" s="76"/>
      <c r="P116" s="76"/>
      <c r="Q116" s="76"/>
      <c r="R116" s="76"/>
      <c r="S116" s="76"/>
      <c r="T116" s="76"/>
    </row>
    <row r="117" spans="1:20">
      <c r="A117" s="84" t="s">
        <v>307</v>
      </c>
      <c r="B117" s="85" t="s">
        <v>306</v>
      </c>
      <c r="C117" s="85" t="s">
        <v>99</v>
      </c>
      <c r="D117" s="84" t="s">
        <v>84</v>
      </c>
      <c r="E117" s="84">
        <f>VLOOKUP(A117,'2a. SI Pop'!$A$5:$E$198,5,FALSE)</f>
        <v>1</v>
      </c>
      <c r="F117" s="84">
        <v>0</v>
      </c>
      <c r="G117" s="84">
        <v>139.12061689627399</v>
      </c>
      <c r="H117" s="84">
        <v>0.28931595444963298</v>
      </c>
      <c r="I117" s="84">
        <v>4.4882999999999999E-9</v>
      </c>
      <c r="J117" s="3"/>
      <c r="K117" s="3"/>
      <c r="L117" s="3"/>
      <c r="M117" s="3"/>
      <c r="N117" s="3"/>
      <c r="O117" s="76"/>
      <c r="P117" s="76"/>
      <c r="Q117" s="76"/>
      <c r="R117" s="76"/>
      <c r="S117" s="76"/>
      <c r="T117" s="76"/>
    </row>
    <row r="118" spans="1:20">
      <c r="A118" s="84" t="s">
        <v>309</v>
      </c>
      <c r="B118" s="85" t="s">
        <v>308</v>
      </c>
      <c r="C118" s="85" t="s">
        <v>79</v>
      </c>
      <c r="D118" s="84" t="s">
        <v>84</v>
      </c>
      <c r="E118" s="84">
        <f>VLOOKUP(A118,'2a. SI Pop'!$A$5:$E$198,5,FALSE)</f>
        <v>1</v>
      </c>
      <c r="F118" s="84">
        <v>89</v>
      </c>
      <c r="G118" s="84">
        <v>2.4596639745940299</v>
      </c>
      <c r="H118" s="84">
        <v>4.3313238940434796E-3</v>
      </c>
      <c r="I118" s="84">
        <v>0</v>
      </c>
      <c r="J118" s="3"/>
      <c r="K118" s="3"/>
      <c r="L118" s="3"/>
      <c r="M118" s="3"/>
      <c r="N118" s="3"/>
      <c r="O118" s="76"/>
      <c r="P118" s="76"/>
      <c r="Q118" s="76"/>
      <c r="R118" s="76"/>
      <c r="S118" s="76"/>
      <c r="T118" s="76"/>
    </row>
    <row r="119" spans="1:20">
      <c r="A119" s="84" t="s">
        <v>311</v>
      </c>
      <c r="B119" s="85" t="s">
        <v>310</v>
      </c>
      <c r="C119" s="85" t="s">
        <v>79</v>
      </c>
      <c r="D119" s="84" t="s">
        <v>87</v>
      </c>
      <c r="E119" s="84">
        <f>VLOOKUP(A119,'2a. SI Pop'!$A$5:$E$198,5,FALSE)</f>
        <v>1</v>
      </c>
      <c r="F119" s="84">
        <v>9.0000000000000002E-6</v>
      </c>
      <c r="G119" s="84">
        <v>8.2623014129150393E-2</v>
      </c>
      <c r="H119" s="84">
        <v>0</v>
      </c>
      <c r="I119" s="84" t="s">
        <v>573</v>
      </c>
      <c r="J119" s="3"/>
      <c r="K119" s="3"/>
      <c r="L119" s="3"/>
      <c r="M119" s="3"/>
      <c r="N119" s="3"/>
      <c r="O119" s="76"/>
      <c r="P119" s="76"/>
      <c r="Q119" s="76"/>
      <c r="R119" s="76"/>
      <c r="S119" s="76"/>
      <c r="T119" s="76"/>
    </row>
    <row r="120" spans="1:20">
      <c r="A120" s="84" t="s">
        <v>313</v>
      </c>
      <c r="B120" s="85" t="s">
        <v>312</v>
      </c>
      <c r="C120" s="85" t="s">
        <v>99</v>
      </c>
      <c r="D120" s="84" t="s">
        <v>84</v>
      </c>
      <c r="E120" s="84">
        <f>VLOOKUP(A120,'2a. SI Pop'!$A$5:$E$198,5,FALSE)</f>
        <v>2</v>
      </c>
      <c r="F120" s="84">
        <v>2</v>
      </c>
      <c r="G120" s="84">
        <v>0.120594347324235</v>
      </c>
      <c r="H120" s="84">
        <v>6.1873949379296798E-3</v>
      </c>
      <c r="I120" s="84">
        <v>0.19922999999999999</v>
      </c>
      <c r="J120" s="3"/>
      <c r="K120" s="3"/>
      <c r="L120" s="3"/>
      <c r="M120" s="3"/>
      <c r="N120" s="3"/>
      <c r="O120" s="76"/>
      <c r="P120" s="76"/>
      <c r="Q120" s="76"/>
      <c r="R120" s="76"/>
      <c r="S120" s="76"/>
      <c r="T120" s="76"/>
    </row>
    <row r="121" spans="1:20">
      <c r="A121" s="84" t="s">
        <v>315</v>
      </c>
      <c r="B121" s="85" t="s">
        <v>314</v>
      </c>
      <c r="C121" s="85" t="s">
        <v>79</v>
      </c>
      <c r="D121" s="84" t="s">
        <v>80</v>
      </c>
      <c r="E121" s="84">
        <f>VLOOKUP(A121,'2a. SI Pop'!$A$5:$E$198,5,FALSE)</f>
        <v>1</v>
      </c>
      <c r="F121" s="84">
        <v>0</v>
      </c>
      <c r="G121" s="84">
        <v>0.27071336337242602</v>
      </c>
      <c r="H121" s="84">
        <v>0</v>
      </c>
      <c r="I121" s="84">
        <v>0</v>
      </c>
      <c r="J121" s="3"/>
      <c r="K121" s="3"/>
      <c r="L121" s="3"/>
      <c r="M121" s="3"/>
      <c r="N121" s="3"/>
      <c r="O121" s="76"/>
      <c r="P121" s="76"/>
      <c r="Q121" s="76"/>
      <c r="R121" s="76"/>
      <c r="S121" s="76"/>
      <c r="T121" s="76"/>
    </row>
    <row r="122" spans="1:20">
      <c r="A122" s="84" t="s">
        <v>317</v>
      </c>
      <c r="B122" s="85" t="s">
        <v>316</v>
      </c>
      <c r="C122" s="85" t="s">
        <v>74</v>
      </c>
      <c r="D122" s="84" t="s">
        <v>84</v>
      </c>
      <c r="E122" s="84">
        <f>VLOOKUP(A122,'2a. SI Pop'!$A$5:$E$198,5,FALSE)</f>
        <v>3</v>
      </c>
      <c r="F122" s="84">
        <v>12</v>
      </c>
      <c r="G122" s="84">
        <v>330.82543080117398</v>
      </c>
      <c r="H122" s="84">
        <v>348.11717231953997</v>
      </c>
      <c r="I122" s="84">
        <v>0</v>
      </c>
      <c r="J122" s="3"/>
      <c r="K122" s="3"/>
      <c r="L122" s="3"/>
      <c r="M122" s="3"/>
      <c r="N122" s="3"/>
      <c r="O122" s="76"/>
      <c r="P122" s="76"/>
      <c r="Q122" s="76"/>
      <c r="R122" s="76"/>
      <c r="S122" s="76"/>
      <c r="T122" s="76"/>
    </row>
    <row r="123" spans="1:20">
      <c r="A123" s="84" t="s">
        <v>319</v>
      </c>
      <c r="B123" s="85" t="s">
        <v>318</v>
      </c>
      <c r="C123" s="85" t="s">
        <v>83</v>
      </c>
      <c r="D123" s="84" t="s">
        <v>75</v>
      </c>
      <c r="E123" s="84" t="str">
        <f>VLOOKUP(A123,'2a. SI Pop'!$A$5:$E$198,5,FALSE)</f>
        <v>Key</v>
      </c>
      <c r="F123" s="84">
        <v>917</v>
      </c>
      <c r="G123" s="84">
        <v>181.435078580142</v>
      </c>
      <c r="H123" s="84">
        <v>639.63848080135006</v>
      </c>
      <c r="I123" s="84">
        <v>321.58</v>
      </c>
      <c r="J123" s="3"/>
      <c r="K123" s="3"/>
      <c r="L123" s="3"/>
      <c r="M123" s="3"/>
      <c r="N123" s="3"/>
      <c r="O123" s="76"/>
      <c r="P123" s="76"/>
      <c r="Q123" s="76"/>
      <c r="R123" s="76"/>
      <c r="S123" s="76"/>
      <c r="T123" s="76"/>
    </row>
    <row r="124" spans="1:20">
      <c r="A124" s="84" t="s">
        <v>321</v>
      </c>
      <c r="B124" s="85" t="s">
        <v>320</v>
      </c>
      <c r="C124" s="85" t="s">
        <v>110</v>
      </c>
      <c r="D124" s="84" t="s">
        <v>84</v>
      </c>
      <c r="E124" s="84">
        <f>VLOOKUP(A124,'2a. SI Pop'!$A$5:$E$198,5,FALSE)</f>
        <v>4</v>
      </c>
      <c r="F124" s="84">
        <v>5244</v>
      </c>
      <c r="G124" s="84">
        <v>199.592799790436</v>
      </c>
      <c r="H124" s="84">
        <v>641.25885788682001</v>
      </c>
      <c r="I124" s="84">
        <v>1162</v>
      </c>
      <c r="J124" s="3"/>
      <c r="K124" s="3"/>
      <c r="L124" s="3"/>
      <c r="M124" s="3"/>
      <c r="N124" s="3"/>
      <c r="O124" s="76"/>
      <c r="P124" s="76"/>
      <c r="Q124" s="76"/>
      <c r="R124" s="76"/>
      <c r="S124" s="76"/>
      <c r="T124" s="76"/>
    </row>
    <row r="125" spans="1:20">
      <c r="A125" s="84" t="s">
        <v>323</v>
      </c>
      <c r="B125" s="85" t="s">
        <v>322</v>
      </c>
      <c r="C125" s="85" t="s">
        <v>83</v>
      </c>
      <c r="D125" s="84" t="s">
        <v>80</v>
      </c>
      <c r="E125" s="84">
        <f>VLOOKUP(A125,'2a. SI Pop'!$A$5:$E$198,5,FALSE)</f>
        <v>3</v>
      </c>
      <c r="F125" s="84">
        <v>19</v>
      </c>
      <c r="G125" s="84">
        <v>7.4763550443595204</v>
      </c>
      <c r="H125" s="84">
        <v>0.94444769867816003</v>
      </c>
      <c r="I125" s="84">
        <v>65.180999999999997</v>
      </c>
      <c r="J125" s="3"/>
      <c r="K125" s="3"/>
      <c r="L125" s="3"/>
      <c r="M125" s="3"/>
      <c r="N125" s="3"/>
      <c r="O125" s="76"/>
      <c r="P125" s="76"/>
      <c r="Q125" s="76"/>
      <c r="R125" s="76"/>
      <c r="S125" s="76"/>
      <c r="T125" s="76"/>
    </row>
    <row r="126" spans="1:20">
      <c r="A126" s="84" t="s">
        <v>325</v>
      </c>
      <c r="B126" s="85" t="s">
        <v>324</v>
      </c>
      <c r="C126" s="85" t="s">
        <v>99</v>
      </c>
      <c r="D126" s="84" t="s">
        <v>87</v>
      </c>
      <c r="E126" s="84">
        <f>VLOOKUP(A126,'2a. SI Pop'!$A$5:$E$198,5,FALSE)</f>
        <v>1</v>
      </c>
      <c r="F126" s="84">
        <v>0</v>
      </c>
      <c r="G126" s="84">
        <v>156.52246954566499</v>
      </c>
      <c r="H126" s="84">
        <v>3.0592853520440801E-2</v>
      </c>
      <c r="I126" s="84" t="s">
        <v>573</v>
      </c>
      <c r="J126" s="3"/>
      <c r="K126" s="3"/>
      <c r="L126" s="3"/>
      <c r="M126" s="3"/>
      <c r="N126" s="3"/>
      <c r="O126" s="76"/>
      <c r="P126" s="76"/>
      <c r="Q126" s="76"/>
      <c r="R126" s="76"/>
      <c r="S126" s="76"/>
      <c r="T126" s="76"/>
    </row>
    <row r="127" spans="1:20">
      <c r="A127" s="84" t="s">
        <v>327</v>
      </c>
      <c r="B127" s="85" t="s">
        <v>326</v>
      </c>
      <c r="C127" s="85" t="s">
        <v>110</v>
      </c>
      <c r="D127" s="84" t="s">
        <v>84</v>
      </c>
      <c r="E127" s="84">
        <f>VLOOKUP(A127,'2a. SI Pop'!$A$5:$E$198,5,FALSE)</f>
        <v>4</v>
      </c>
      <c r="F127" s="84">
        <v>431</v>
      </c>
      <c r="G127" s="84">
        <v>512.13050226390499</v>
      </c>
      <c r="H127" s="84">
        <v>664.64279027411601</v>
      </c>
      <c r="I127" s="84">
        <v>138.65</v>
      </c>
      <c r="J127" s="3"/>
      <c r="K127" s="3"/>
      <c r="L127" s="3"/>
      <c r="M127" s="3"/>
      <c r="N127" s="3"/>
      <c r="O127" s="76"/>
      <c r="P127" s="76"/>
      <c r="Q127" s="76"/>
      <c r="R127" s="76"/>
      <c r="S127" s="76"/>
      <c r="T127" s="76"/>
    </row>
    <row r="128" spans="1:20">
      <c r="A128" s="84" t="s">
        <v>329</v>
      </c>
      <c r="B128" s="85" t="s">
        <v>328</v>
      </c>
      <c r="C128" s="85" t="s">
        <v>79</v>
      </c>
      <c r="D128" s="84" t="s">
        <v>87</v>
      </c>
      <c r="E128" s="84">
        <f>VLOOKUP(A128,'2a. SI Pop'!$A$5:$E$198,5,FALSE)</f>
        <v>1</v>
      </c>
      <c r="F128" s="84">
        <v>84</v>
      </c>
      <c r="G128" s="84">
        <v>0.47616505150249899</v>
      </c>
      <c r="H128" s="84">
        <v>2.5405033780743401E-2</v>
      </c>
      <c r="I128" s="84">
        <v>0</v>
      </c>
      <c r="J128" s="3"/>
      <c r="K128" s="3"/>
      <c r="L128" s="3"/>
      <c r="M128" s="3"/>
      <c r="N128" s="3"/>
      <c r="O128" s="76"/>
      <c r="P128" s="76"/>
      <c r="Q128" s="76"/>
      <c r="R128" s="76"/>
      <c r="S128" s="76"/>
      <c r="T128" s="76"/>
    </row>
    <row r="129" spans="1:20">
      <c r="A129" s="84" t="s">
        <v>331</v>
      </c>
      <c r="B129" s="85" t="s">
        <v>330</v>
      </c>
      <c r="C129" s="85" t="s">
        <v>99</v>
      </c>
      <c r="D129" s="84" t="s">
        <v>87</v>
      </c>
      <c r="E129" s="84">
        <f>VLOOKUP(A129,'2a. SI Pop'!$A$5:$E$198,5,FALSE)</f>
        <v>1</v>
      </c>
      <c r="F129" s="84">
        <v>2231</v>
      </c>
      <c r="G129" s="84">
        <v>51.038196773982698</v>
      </c>
      <c r="H129" s="84">
        <v>6.1772357858724302E-3</v>
      </c>
      <c r="I129" s="84">
        <v>0</v>
      </c>
      <c r="J129" s="3"/>
      <c r="K129" s="3"/>
      <c r="L129" s="3"/>
      <c r="M129" s="3"/>
      <c r="N129" s="3"/>
      <c r="O129" s="76"/>
      <c r="P129" s="76"/>
      <c r="Q129" s="76"/>
      <c r="R129" s="76"/>
      <c r="S129" s="76"/>
      <c r="T129" s="76"/>
    </row>
    <row r="130" spans="1:20">
      <c r="A130" s="84" t="s">
        <v>333</v>
      </c>
      <c r="B130" s="85" t="s">
        <v>332</v>
      </c>
      <c r="C130" s="85" t="s">
        <v>92</v>
      </c>
      <c r="D130" s="84" t="s">
        <v>84</v>
      </c>
      <c r="E130" s="84">
        <f>VLOOKUP(A130,'2a. SI Pop'!$A$5:$E$198,5,FALSE)</f>
        <v>2</v>
      </c>
      <c r="F130" s="84">
        <v>0</v>
      </c>
      <c r="G130" s="84">
        <v>1.21524533714724E-2</v>
      </c>
      <c r="H130" s="84">
        <v>0</v>
      </c>
      <c r="I130" s="84">
        <v>0</v>
      </c>
      <c r="J130" s="3"/>
      <c r="K130" s="3"/>
      <c r="L130" s="3"/>
      <c r="M130" s="3"/>
      <c r="N130" s="3"/>
      <c r="O130" s="76"/>
      <c r="P130" s="76"/>
      <c r="Q130" s="76"/>
      <c r="R130" s="76"/>
      <c r="S130" s="76"/>
      <c r="T130" s="76"/>
    </row>
    <row r="131" spans="1:20">
      <c r="A131" s="84" t="s">
        <v>335</v>
      </c>
      <c r="B131" s="85" t="s">
        <v>334</v>
      </c>
      <c r="C131" s="85" t="s">
        <v>83</v>
      </c>
      <c r="D131" s="84" t="s">
        <v>75</v>
      </c>
      <c r="E131" s="84">
        <f>VLOOKUP(A131,'2a. SI Pop'!$A$5:$E$198,5,FALSE)</f>
        <v>3</v>
      </c>
      <c r="F131" s="84">
        <v>2568</v>
      </c>
      <c r="G131" s="84">
        <v>2027.9340713660199</v>
      </c>
      <c r="H131" s="84">
        <v>10904.256202009299</v>
      </c>
      <c r="I131" s="84">
        <v>946.01</v>
      </c>
      <c r="J131" s="3"/>
      <c r="K131" s="3"/>
      <c r="L131" s="3"/>
      <c r="M131" s="3"/>
      <c r="N131" s="3"/>
      <c r="O131" s="76"/>
      <c r="P131" s="76"/>
      <c r="Q131" s="76"/>
      <c r="R131" s="76"/>
      <c r="S131" s="76"/>
      <c r="T131" s="76"/>
    </row>
    <row r="132" spans="1:20">
      <c r="A132" s="84" t="s">
        <v>337</v>
      </c>
      <c r="B132" s="85" t="s">
        <v>336</v>
      </c>
      <c r="C132" s="85" t="s">
        <v>83</v>
      </c>
      <c r="D132" s="84" t="s">
        <v>84</v>
      </c>
      <c r="E132" s="84" t="str">
        <f>VLOOKUP(A132,'2a. SI Pop'!$A$5:$E$198,5,FALSE)</f>
        <v>Key</v>
      </c>
      <c r="F132" s="84">
        <v>28302</v>
      </c>
      <c r="G132" s="84">
        <v>355.43768801587998</v>
      </c>
      <c r="H132" s="84">
        <v>6759.9881691219098</v>
      </c>
      <c r="I132" s="84">
        <v>8477.5</v>
      </c>
      <c r="J132" s="3"/>
      <c r="K132" s="3"/>
      <c r="L132" s="3"/>
      <c r="M132" s="3"/>
      <c r="N132" s="3"/>
      <c r="O132" s="76"/>
      <c r="P132" s="76"/>
      <c r="Q132" s="76"/>
      <c r="R132" s="76"/>
      <c r="S132" s="76"/>
      <c r="T132" s="76"/>
    </row>
    <row r="133" spans="1:20">
      <c r="A133" s="84" t="s">
        <v>339</v>
      </c>
      <c r="B133" s="85" t="s">
        <v>338</v>
      </c>
      <c r="C133" s="85" t="s">
        <v>99</v>
      </c>
      <c r="D133" s="84" t="e">
        <v>#N/A</v>
      </c>
      <c r="E133" s="84">
        <f>VLOOKUP(A133,'2a. SI Pop'!$A$5:$E$198,5,FALSE)</f>
        <v>1</v>
      </c>
      <c r="F133" s="84">
        <v>0</v>
      </c>
      <c r="G133" s="84">
        <v>312.31232686934499</v>
      </c>
      <c r="H133" s="84">
        <v>5.1439130668766197E-3</v>
      </c>
      <c r="I133" s="84" t="s">
        <v>573</v>
      </c>
      <c r="J133" s="3"/>
      <c r="K133" s="3"/>
      <c r="L133" s="3"/>
      <c r="M133" s="3"/>
      <c r="N133" s="3"/>
      <c r="O133" s="76"/>
      <c r="P133" s="76"/>
      <c r="Q133" s="76"/>
      <c r="R133" s="76"/>
      <c r="S133" s="76"/>
      <c r="T133" s="76"/>
    </row>
    <row r="134" spans="1:20">
      <c r="A134" s="84" t="s">
        <v>341</v>
      </c>
      <c r="B134" s="85" t="s">
        <v>340</v>
      </c>
      <c r="C134" s="85" t="s">
        <v>79</v>
      </c>
      <c r="D134" s="84" t="s">
        <v>87</v>
      </c>
      <c r="E134" s="84">
        <f>VLOOKUP(A134,'2a. SI Pop'!$A$5:$E$198,5,FALSE)</f>
        <v>1</v>
      </c>
      <c r="F134" s="84">
        <v>17</v>
      </c>
      <c r="G134" s="84">
        <v>0.52606119378665295</v>
      </c>
      <c r="H134" s="84">
        <v>1.09377604817271E-2</v>
      </c>
      <c r="I134" s="84">
        <v>3.3032999999999999E-4</v>
      </c>
      <c r="J134" s="3"/>
      <c r="K134" s="3"/>
      <c r="L134" s="3"/>
      <c r="M134" s="3"/>
      <c r="N134" s="3"/>
      <c r="O134" s="76"/>
      <c r="P134" s="76"/>
      <c r="Q134" s="76"/>
      <c r="R134" s="76"/>
      <c r="S134" s="76"/>
      <c r="T134" s="76"/>
    </row>
    <row r="135" spans="1:20">
      <c r="A135" s="84" t="s">
        <v>343</v>
      </c>
      <c r="B135" s="85" t="s">
        <v>342</v>
      </c>
      <c r="C135" s="85" t="s">
        <v>74</v>
      </c>
      <c r="D135" s="84" t="s">
        <v>87</v>
      </c>
      <c r="E135" s="84">
        <f>VLOOKUP(A135,'2a. SI Pop'!$A$5:$E$198,5,FALSE)</f>
        <v>1</v>
      </c>
      <c r="F135" s="84">
        <v>21</v>
      </c>
      <c r="G135" s="84">
        <v>8.9724648681786299</v>
      </c>
      <c r="H135" s="84">
        <v>0.22991019356657499</v>
      </c>
      <c r="I135" s="84">
        <v>0</v>
      </c>
      <c r="J135" s="3"/>
      <c r="K135" s="3"/>
      <c r="L135" s="3"/>
      <c r="M135" s="3"/>
      <c r="N135" s="3"/>
      <c r="O135" s="76"/>
      <c r="P135" s="76"/>
      <c r="Q135" s="76"/>
      <c r="R135" s="76"/>
      <c r="S135" s="76"/>
      <c r="T135" s="76"/>
    </row>
    <row r="136" spans="1:20">
      <c r="A136" s="84" t="s">
        <v>345</v>
      </c>
      <c r="B136" s="85" t="s">
        <v>344</v>
      </c>
      <c r="C136" s="85" t="s">
        <v>74</v>
      </c>
      <c r="D136" s="84" t="s">
        <v>84</v>
      </c>
      <c r="E136" s="84" t="str">
        <f>VLOOKUP(A136,'2a. SI Pop'!$A$5:$E$198,5,FALSE)</f>
        <v>Key</v>
      </c>
      <c r="F136" s="84">
        <v>2066</v>
      </c>
      <c r="G136" s="84">
        <v>166.30680897702101</v>
      </c>
      <c r="H136" s="84">
        <v>2798.6836586117402</v>
      </c>
      <c r="I136" s="84">
        <v>2677.2</v>
      </c>
      <c r="J136" s="3"/>
      <c r="K136" s="3"/>
      <c r="L136" s="3"/>
      <c r="M136" s="3"/>
      <c r="N136" s="3"/>
      <c r="O136" s="76"/>
      <c r="P136" s="76"/>
      <c r="Q136" s="76"/>
      <c r="R136" s="76"/>
      <c r="S136" s="76"/>
      <c r="T136" s="76"/>
    </row>
    <row r="137" spans="1:20">
      <c r="A137" s="84" t="s">
        <v>347</v>
      </c>
      <c r="B137" s="85" t="s">
        <v>346</v>
      </c>
      <c r="C137" s="85" t="s">
        <v>99</v>
      </c>
      <c r="D137" s="84" t="s">
        <v>87</v>
      </c>
      <c r="E137" s="84">
        <f>VLOOKUP(A137,'2a. SI Pop'!$A$5:$E$198,5,FALSE)</f>
        <v>1</v>
      </c>
      <c r="F137" s="84">
        <v>0</v>
      </c>
      <c r="G137" s="84">
        <v>414.82234866128698</v>
      </c>
      <c r="H137" s="84">
        <v>4.3538927560150001E-2</v>
      </c>
      <c r="I137" s="84" t="s">
        <v>573</v>
      </c>
      <c r="J137" s="3"/>
      <c r="K137" s="3"/>
      <c r="L137" s="3"/>
      <c r="M137" s="3"/>
      <c r="N137" s="3"/>
      <c r="O137" s="76"/>
      <c r="P137" s="76"/>
      <c r="Q137" s="76"/>
      <c r="R137" s="76"/>
      <c r="S137" s="76"/>
      <c r="T137" s="76"/>
    </row>
    <row r="138" spans="1:20">
      <c r="A138" s="84" t="s">
        <v>349</v>
      </c>
      <c r="B138" s="85" t="s">
        <v>348</v>
      </c>
      <c r="C138" s="85" t="s">
        <v>92</v>
      </c>
      <c r="D138" s="84" t="s">
        <v>87</v>
      </c>
      <c r="E138" s="84">
        <f>VLOOKUP(A138,'2a. SI Pop'!$A$5:$E$198,5,FALSE)</f>
        <v>1</v>
      </c>
      <c r="F138" s="84">
        <v>0</v>
      </c>
      <c r="G138" s="84">
        <v>1.1151731735071E-2</v>
      </c>
      <c r="H138" s="84">
        <v>0</v>
      </c>
      <c r="I138" s="84">
        <v>0</v>
      </c>
      <c r="J138" s="3"/>
      <c r="K138" s="3"/>
      <c r="L138" s="3"/>
      <c r="M138" s="3"/>
      <c r="N138" s="3"/>
      <c r="O138" s="76"/>
      <c r="P138" s="76"/>
      <c r="Q138" s="76"/>
      <c r="R138" s="76"/>
      <c r="S138" s="76"/>
      <c r="T138" s="76"/>
    </row>
    <row r="139" spans="1:20">
      <c r="A139" s="84" t="s">
        <v>351</v>
      </c>
      <c r="B139" s="85" t="s">
        <v>350</v>
      </c>
      <c r="C139" s="85" t="s">
        <v>99</v>
      </c>
      <c r="D139" s="84" t="s">
        <v>84</v>
      </c>
      <c r="E139" s="84">
        <f>VLOOKUP(A139,'2a. SI Pop'!$A$5:$E$198,5,FALSE)</f>
        <v>4</v>
      </c>
      <c r="F139" s="84">
        <v>1</v>
      </c>
      <c r="G139" s="84">
        <v>811.78149251282196</v>
      </c>
      <c r="H139" s="84">
        <v>563.05707852022795</v>
      </c>
      <c r="I139" s="84">
        <v>454.04</v>
      </c>
      <c r="J139" s="3"/>
      <c r="K139" s="3"/>
      <c r="L139" s="3"/>
      <c r="M139" s="3"/>
      <c r="N139" s="3"/>
      <c r="O139" s="76"/>
      <c r="P139" s="76"/>
      <c r="Q139" s="76"/>
      <c r="R139" s="76"/>
      <c r="S139" s="76"/>
      <c r="T139" s="76"/>
    </row>
    <row r="140" spans="1:20">
      <c r="A140" s="84" t="s">
        <v>353</v>
      </c>
      <c r="B140" s="85" t="s">
        <v>352</v>
      </c>
      <c r="C140" s="85" t="s">
        <v>92</v>
      </c>
      <c r="D140" s="84" t="s">
        <v>80</v>
      </c>
      <c r="E140" s="84">
        <f>VLOOKUP(A140,'2a. SI Pop'!$A$5:$E$198,5,FALSE)</f>
        <v>1</v>
      </c>
      <c r="F140" s="84">
        <v>0</v>
      </c>
      <c r="G140" s="84">
        <v>1.3556921366156299E-2</v>
      </c>
      <c r="H140" s="84">
        <v>0</v>
      </c>
      <c r="I140" s="84">
        <v>0</v>
      </c>
      <c r="J140" s="3"/>
      <c r="K140" s="3"/>
      <c r="L140" s="3"/>
      <c r="M140" s="3"/>
      <c r="N140" s="3"/>
      <c r="O140" s="76"/>
      <c r="P140" s="76"/>
      <c r="Q140" s="76"/>
      <c r="R140" s="76"/>
      <c r="S140" s="76"/>
      <c r="T140" s="76"/>
    </row>
    <row r="141" spans="1:20">
      <c r="A141" s="84" t="s">
        <v>355</v>
      </c>
      <c r="B141" s="85" t="s">
        <v>354</v>
      </c>
      <c r="C141" s="85" t="s">
        <v>92</v>
      </c>
      <c r="D141" s="84" t="s">
        <v>80</v>
      </c>
      <c r="E141" s="84">
        <f>VLOOKUP(A141,'2a. SI Pop'!$A$5:$E$198,5,FALSE)</f>
        <v>2</v>
      </c>
      <c r="F141" s="84">
        <v>2</v>
      </c>
      <c r="G141" s="84">
        <v>1.1815923478835399E-2</v>
      </c>
      <c r="H141" s="84">
        <v>5.2560028255040801E-3</v>
      </c>
      <c r="I141" s="84">
        <v>0</v>
      </c>
      <c r="J141" s="3"/>
      <c r="K141" s="3"/>
      <c r="L141" s="3"/>
      <c r="M141" s="3"/>
      <c r="N141" s="3"/>
      <c r="O141" s="76"/>
      <c r="P141" s="76"/>
      <c r="Q141" s="76"/>
      <c r="R141" s="76"/>
      <c r="S141" s="76"/>
      <c r="T141" s="76"/>
    </row>
    <row r="142" spans="1:20">
      <c r="A142" s="84" t="s">
        <v>357</v>
      </c>
      <c r="B142" s="85" t="s">
        <v>356</v>
      </c>
      <c r="C142" s="85" t="s">
        <v>99</v>
      </c>
      <c r="D142" s="84" t="s">
        <v>84</v>
      </c>
      <c r="E142" s="84" t="str">
        <f>VLOOKUP(A142,'2a. SI Pop'!$A$5:$E$198,5,FALSE)</f>
        <v>Key</v>
      </c>
      <c r="F142" s="84">
        <v>48375</v>
      </c>
      <c r="G142" s="84">
        <v>537.10041034202095</v>
      </c>
      <c r="H142" s="84">
        <v>2588.4185363105498</v>
      </c>
      <c r="I142" s="84">
        <v>2417</v>
      </c>
      <c r="J142" s="3"/>
      <c r="K142" s="3"/>
      <c r="L142" s="3"/>
      <c r="M142" s="3"/>
      <c r="N142" s="3"/>
      <c r="O142" s="76"/>
      <c r="P142" s="76"/>
      <c r="Q142" s="76"/>
      <c r="R142" s="76"/>
      <c r="S142" s="76"/>
      <c r="T142" s="76"/>
    </row>
    <row r="143" spans="1:20">
      <c r="A143" s="84" t="s">
        <v>359</v>
      </c>
      <c r="B143" s="85" t="s">
        <v>358</v>
      </c>
      <c r="C143" s="85" t="s">
        <v>79</v>
      </c>
      <c r="D143" s="84" t="s">
        <v>87</v>
      </c>
      <c r="E143" s="84">
        <f>VLOOKUP(A143,'2a. SI Pop'!$A$5:$E$198,5,FALSE)</f>
        <v>1</v>
      </c>
      <c r="F143" s="84">
        <v>1367</v>
      </c>
      <c r="G143" s="84">
        <v>5.9778363165123798</v>
      </c>
      <c r="H143" s="84">
        <v>4.4662427499980298E-2</v>
      </c>
      <c r="I143" s="84">
        <v>1.4200000000000001E-4</v>
      </c>
      <c r="J143" s="3"/>
      <c r="K143" s="3"/>
      <c r="L143" s="3"/>
      <c r="M143" s="3"/>
      <c r="N143" s="3"/>
      <c r="O143" s="76"/>
      <c r="P143" s="76"/>
      <c r="Q143" s="76"/>
      <c r="R143" s="76"/>
      <c r="S143" s="76"/>
      <c r="T143" s="76"/>
    </row>
    <row r="144" spans="1:20">
      <c r="A144" s="84" t="s">
        <v>361</v>
      </c>
      <c r="B144" s="85" t="s">
        <v>360</v>
      </c>
      <c r="C144" s="85" t="s">
        <v>79</v>
      </c>
      <c r="D144" s="84" t="s">
        <v>87</v>
      </c>
      <c r="E144" s="84">
        <f>VLOOKUP(A144,'2a. SI Pop'!$A$5:$E$198,5,FALSE)</f>
        <v>1</v>
      </c>
      <c r="F144" s="84">
        <v>10</v>
      </c>
      <c r="G144" s="84">
        <v>0.18803663414966601</v>
      </c>
      <c r="H144" s="84">
        <v>1.0188608395734201E-2</v>
      </c>
      <c r="I144" s="84">
        <v>1.3217999999999999E-5</v>
      </c>
      <c r="J144" s="3"/>
      <c r="K144" s="3"/>
      <c r="L144" s="3"/>
      <c r="M144" s="3"/>
      <c r="N144" s="3"/>
      <c r="O144" s="76"/>
      <c r="P144" s="76"/>
      <c r="Q144" s="76"/>
      <c r="R144" s="76"/>
      <c r="S144" s="76"/>
      <c r="T144" s="76"/>
    </row>
    <row r="145" spans="1:20">
      <c r="A145" s="84" t="s">
        <v>363</v>
      </c>
      <c r="B145" s="85" t="s">
        <v>362</v>
      </c>
      <c r="C145" s="85" t="s">
        <v>74</v>
      </c>
      <c r="D145" s="84" t="s">
        <v>87</v>
      </c>
      <c r="E145" s="84">
        <f>VLOOKUP(A145,'2a. SI Pop'!$A$5:$E$198,5,FALSE)</f>
        <v>1</v>
      </c>
      <c r="F145" s="84">
        <v>17</v>
      </c>
      <c r="G145" s="84">
        <v>34.326481794494804</v>
      </c>
      <c r="H145" s="84">
        <v>0.48716212337846398</v>
      </c>
      <c r="I145" s="84">
        <v>0</v>
      </c>
      <c r="J145" s="3"/>
      <c r="K145" s="3"/>
      <c r="L145" s="3"/>
      <c r="M145" s="3"/>
      <c r="N145" s="3"/>
      <c r="O145" s="76"/>
      <c r="P145" s="76"/>
      <c r="Q145" s="76"/>
      <c r="R145" s="76"/>
      <c r="S145" s="76"/>
      <c r="T145" s="76"/>
    </row>
    <row r="146" spans="1:20">
      <c r="A146" s="84" t="s">
        <v>365</v>
      </c>
      <c r="B146" s="85" t="s">
        <v>364</v>
      </c>
      <c r="C146" s="85" t="s">
        <v>79</v>
      </c>
      <c r="D146" s="84" t="s">
        <v>87</v>
      </c>
      <c r="E146" s="84">
        <f>VLOOKUP(A146,'2a. SI Pop'!$A$5:$E$198,5,FALSE)</f>
        <v>2</v>
      </c>
      <c r="F146" s="84">
        <v>1734</v>
      </c>
      <c r="G146" s="84">
        <v>9.3762277416614008</v>
      </c>
      <c r="H146" s="84">
        <v>0.146092299023411</v>
      </c>
      <c r="I146" s="84">
        <v>0</v>
      </c>
      <c r="J146" s="3"/>
      <c r="K146" s="3"/>
      <c r="L146" s="3"/>
      <c r="M146" s="3"/>
      <c r="N146" s="3"/>
      <c r="O146" s="76"/>
      <c r="P146" s="76"/>
      <c r="Q146" s="76"/>
      <c r="R146" s="76"/>
      <c r="S146" s="76"/>
      <c r="T146" s="76"/>
    </row>
    <row r="147" spans="1:20">
      <c r="A147" s="84" t="s">
        <v>367</v>
      </c>
      <c r="B147" s="85" t="s">
        <v>366</v>
      </c>
      <c r="C147" s="85" t="s">
        <v>79</v>
      </c>
      <c r="D147" s="84" t="s">
        <v>80</v>
      </c>
      <c r="E147" s="84">
        <f>VLOOKUP(A147,'2a. SI Pop'!$A$5:$E$198,5,FALSE)</f>
        <v>2</v>
      </c>
      <c r="F147" s="84">
        <v>4171</v>
      </c>
      <c r="G147" s="84">
        <v>3.9564570183562799</v>
      </c>
      <c r="H147" s="84">
        <v>0.44752302369920099</v>
      </c>
      <c r="I147" s="84">
        <v>0</v>
      </c>
      <c r="J147" s="3"/>
      <c r="K147" s="3"/>
      <c r="L147" s="3"/>
      <c r="M147" s="3"/>
      <c r="N147" s="3"/>
      <c r="O147" s="76"/>
      <c r="P147" s="76"/>
      <c r="Q147" s="76"/>
      <c r="R147" s="76"/>
      <c r="S147" s="76"/>
      <c r="T147" s="76"/>
    </row>
    <row r="148" spans="1:20">
      <c r="A148" s="84" t="s">
        <v>369</v>
      </c>
      <c r="B148" s="85" t="s">
        <v>368</v>
      </c>
      <c r="C148" s="85" t="s">
        <v>83</v>
      </c>
      <c r="D148" s="84" t="s">
        <v>75</v>
      </c>
      <c r="E148" s="84">
        <f>VLOOKUP(A148,'2a. SI Pop'!$A$5:$E$198,5,FALSE)</f>
        <v>3</v>
      </c>
      <c r="F148" s="84">
        <v>67</v>
      </c>
      <c r="G148" s="84">
        <v>207.991390431805</v>
      </c>
      <c r="H148" s="84">
        <v>211.03140618122799</v>
      </c>
      <c r="I148" s="84">
        <v>407.6</v>
      </c>
      <c r="J148" s="3"/>
      <c r="K148" s="3"/>
      <c r="L148" s="3"/>
      <c r="M148" s="3"/>
      <c r="N148" s="3"/>
      <c r="O148" s="76"/>
      <c r="P148" s="76"/>
      <c r="Q148" s="76"/>
      <c r="R148" s="76"/>
      <c r="S148" s="76"/>
      <c r="T148" s="76"/>
    </row>
    <row r="149" spans="1:20">
      <c r="A149" s="84" t="s">
        <v>371</v>
      </c>
      <c r="B149" s="85" t="s">
        <v>370</v>
      </c>
      <c r="C149" s="85" t="s">
        <v>92</v>
      </c>
      <c r="D149" s="84" t="s">
        <v>87</v>
      </c>
      <c r="E149" s="84">
        <f>VLOOKUP(A149,'2a. SI Pop'!$A$5:$E$198,5,FALSE)</f>
        <v>1</v>
      </c>
      <c r="F149" s="84">
        <v>0</v>
      </c>
      <c r="G149" s="84">
        <v>3.3935043016016603E-2</v>
      </c>
      <c r="H149" s="84">
        <v>0</v>
      </c>
      <c r="I149" s="84" t="s">
        <v>573</v>
      </c>
      <c r="J149" s="3"/>
      <c r="K149" s="3"/>
      <c r="L149" s="3"/>
      <c r="M149" s="3"/>
      <c r="N149" s="3"/>
      <c r="O149" s="76"/>
      <c r="P149" s="76"/>
      <c r="Q149" s="76"/>
      <c r="R149" s="76"/>
      <c r="S149" s="76"/>
      <c r="T149" s="76"/>
    </row>
    <row r="150" spans="1:20">
      <c r="A150" s="84" t="s">
        <v>373</v>
      </c>
      <c r="B150" s="85" t="s">
        <v>372</v>
      </c>
      <c r="C150" s="85" t="s">
        <v>92</v>
      </c>
      <c r="D150" s="84" t="s">
        <v>80</v>
      </c>
      <c r="E150" s="84">
        <f>VLOOKUP(A150,'2a. SI Pop'!$A$5:$E$198,5,FALSE)</f>
        <v>1</v>
      </c>
      <c r="F150" s="84">
        <v>1</v>
      </c>
      <c r="G150" s="84">
        <v>1.2147420795361401</v>
      </c>
      <c r="H150" s="84">
        <v>3.6345216960041699E-4</v>
      </c>
      <c r="I150" s="84">
        <v>0</v>
      </c>
      <c r="J150" s="3"/>
      <c r="K150" s="3"/>
      <c r="L150" s="3"/>
      <c r="M150" s="3"/>
      <c r="N150" s="3"/>
      <c r="O150" s="76"/>
      <c r="P150" s="76"/>
      <c r="Q150" s="76"/>
      <c r="R150" s="76"/>
      <c r="S150" s="76"/>
      <c r="T150" s="76"/>
    </row>
    <row r="151" spans="1:20">
      <c r="A151" s="84" t="s">
        <v>375</v>
      </c>
      <c r="B151" s="85" t="s">
        <v>374</v>
      </c>
      <c r="C151" s="85" t="s">
        <v>92</v>
      </c>
      <c r="D151" s="84" t="s">
        <v>80</v>
      </c>
      <c r="E151" s="84">
        <f>VLOOKUP(A151,'2a. SI Pop'!$A$5:$E$198,5,FALSE)</f>
        <v>1</v>
      </c>
      <c r="F151" s="84">
        <v>9.0000000000000002E-6</v>
      </c>
      <c r="G151" s="84">
        <v>3.7228984450859502E-2</v>
      </c>
      <c r="H151" s="84">
        <v>0</v>
      </c>
      <c r="I151" s="84">
        <v>0</v>
      </c>
      <c r="J151" s="3"/>
      <c r="K151" s="3"/>
      <c r="L151" s="3"/>
      <c r="M151" s="3"/>
      <c r="N151" s="3"/>
      <c r="O151" s="76"/>
      <c r="P151" s="76"/>
      <c r="Q151" s="76"/>
      <c r="R151" s="76"/>
      <c r="S151" s="76"/>
      <c r="T151" s="76"/>
    </row>
    <row r="152" spans="1:20">
      <c r="A152" s="84" t="s">
        <v>377</v>
      </c>
      <c r="B152" s="85" t="s">
        <v>376</v>
      </c>
      <c r="C152" s="85" t="s">
        <v>99</v>
      </c>
      <c r="D152" s="84" t="s">
        <v>80</v>
      </c>
      <c r="E152" s="84">
        <f>VLOOKUP(A152,'2a. SI Pop'!$A$5:$E$198,5,FALSE)</f>
        <v>2</v>
      </c>
      <c r="F152" s="84">
        <v>47</v>
      </c>
      <c r="G152" s="84">
        <v>2712.6752739959302</v>
      </c>
      <c r="H152" s="84">
        <v>7.7428623860960704</v>
      </c>
      <c r="I152" s="84">
        <v>0</v>
      </c>
      <c r="J152" s="3"/>
      <c r="K152" s="3"/>
      <c r="L152" s="3"/>
      <c r="M152" s="3"/>
      <c r="N152" s="3"/>
      <c r="O152" s="76"/>
      <c r="P152" s="76"/>
      <c r="Q152" s="76"/>
      <c r="R152" s="76"/>
      <c r="S152" s="76"/>
      <c r="T152" s="76"/>
    </row>
    <row r="153" spans="1:20">
      <c r="A153" s="84" t="s">
        <v>379</v>
      </c>
      <c r="B153" s="85" t="s">
        <v>378</v>
      </c>
      <c r="C153" s="85" t="s">
        <v>79</v>
      </c>
      <c r="D153" s="84" t="s">
        <v>87</v>
      </c>
      <c r="E153" s="84">
        <f>VLOOKUP(A153,'2a. SI Pop'!$A$5:$E$198,5,FALSE)</f>
        <v>1</v>
      </c>
      <c r="F153" s="84">
        <v>11</v>
      </c>
      <c r="G153" s="84">
        <v>9.5364911378017003E-2</v>
      </c>
      <c r="H153" s="84">
        <v>0</v>
      </c>
      <c r="I153" s="84" t="s">
        <v>573</v>
      </c>
      <c r="J153" s="3"/>
      <c r="K153" s="3"/>
      <c r="L153" s="3"/>
      <c r="M153" s="3"/>
      <c r="N153" s="3"/>
      <c r="O153" s="76"/>
      <c r="P153" s="76"/>
      <c r="Q153" s="76"/>
      <c r="R153" s="76"/>
      <c r="S153" s="76"/>
      <c r="T153" s="76"/>
    </row>
    <row r="154" spans="1:20">
      <c r="A154" s="84" t="s">
        <v>381</v>
      </c>
      <c r="B154" s="85" t="s">
        <v>380</v>
      </c>
      <c r="C154" s="85" t="s">
        <v>83</v>
      </c>
      <c r="D154" s="84" t="s">
        <v>84</v>
      </c>
      <c r="E154" s="84">
        <f>VLOOKUP(A154,'2a. SI Pop'!$A$5:$E$198,5,FALSE)</f>
        <v>3</v>
      </c>
      <c r="F154" s="84">
        <v>3</v>
      </c>
      <c r="G154" s="84">
        <v>76.202108358386099</v>
      </c>
      <c r="H154" s="84">
        <v>0.89475992755295897</v>
      </c>
      <c r="I154" s="84">
        <v>5.7035</v>
      </c>
      <c r="J154" s="3"/>
      <c r="K154" s="3"/>
      <c r="L154" s="3"/>
      <c r="M154" s="3"/>
      <c r="N154" s="3"/>
      <c r="O154" s="76"/>
      <c r="P154" s="76"/>
      <c r="Q154" s="76"/>
      <c r="R154" s="76"/>
      <c r="S154" s="76"/>
      <c r="T154" s="76"/>
    </row>
    <row r="155" spans="1:20">
      <c r="A155" s="84" t="s">
        <v>383</v>
      </c>
      <c r="B155" s="85" t="s">
        <v>382</v>
      </c>
      <c r="C155" s="85" t="s">
        <v>74</v>
      </c>
      <c r="D155" s="84" t="s">
        <v>87</v>
      </c>
      <c r="E155" s="84">
        <f>VLOOKUP(A155,'2a. SI Pop'!$A$5:$E$198,5,FALSE)</f>
        <v>1</v>
      </c>
      <c r="F155" s="84">
        <v>1035</v>
      </c>
      <c r="G155" s="84">
        <v>66.384868699739101</v>
      </c>
      <c r="H155" s="84">
        <v>14.222947862983601</v>
      </c>
      <c r="I155" s="84">
        <v>5.6940999999999999E-13</v>
      </c>
      <c r="J155" s="3"/>
      <c r="K155" s="3"/>
      <c r="L155" s="3"/>
      <c r="M155" s="3"/>
      <c r="N155" s="3"/>
      <c r="O155" s="76"/>
      <c r="P155" s="76"/>
      <c r="Q155" s="76"/>
      <c r="R155" s="76"/>
      <c r="S155" s="76"/>
      <c r="T155" s="76"/>
    </row>
    <row r="156" spans="1:20">
      <c r="A156" s="84" t="s">
        <v>385</v>
      </c>
      <c r="B156" s="85" t="s">
        <v>384</v>
      </c>
      <c r="C156" s="85" t="s">
        <v>83</v>
      </c>
      <c r="D156" s="84" t="s">
        <v>84</v>
      </c>
      <c r="E156" s="84">
        <f>VLOOKUP(A156,'2a. SI Pop'!$A$5:$E$198,5,FALSE)</f>
        <v>3</v>
      </c>
      <c r="F156" s="84">
        <v>285</v>
      </c>
      <c r="G156" s="84">
        <v>731.47077867052496</v>
      </c>
      <c r="H156" s="84">
        <v>673.73482594814504</v>
      </c>
      <c r="I156" s="84">
        <v>94.075999999999993</v>
      </c>
      <c r="J156" s="3"/>
      <c r="K156" s="3"/>
      <c r="L156" s="3"/>
      <c r="M156" s="3"/>
      <c r="N156" s="3"/>
      <c r="O156" s="76"/>
      <c r="P156" s="76"/>
      <c r="Q156" s="76"/>
      <c r="R156" s="76"/>
      <c r="S156" s="76"/>
      <c r="T156" s="76"/>
    </row>
    <row r="157" spans="1:20">
      <c r="A157" s="84" t="s">
        <v>387</v>
      </c>
      <c r="B157" s="85" t="s">
        <v>386</v>
      </c>
      <c r="C157" s="85" t="s">
        <v>79</v>
      </c>
      <c r="D157" s="84" t="s">
        <v>80</v>
      </c>
      <c r="E157" s="84">
        <f>VLOOKUP(A157,'2a. SI Pop'!$A$5:$E$198,5,FALSE)</f>
        <v>1</v>
      </c>
      <c r="F157" s="84">
        <v>21</v>
      </c>
      <c r="G157" s="84">
        <v>0.34137686422187402</v>
      </c>
      <c r="H157" s="84">
        <v>1.6086549320541401E-2</v>
      </c>
      <c r="I157" s="84">
        <v>0</v>
      </c>
      <c r="J157" s="3"/>
      <c r="K157" s="3"/>
      <c r="L157" s="3"/>
      <c r="M157" s="3"/>
      <c r="N157" s="3"/>
      <c r="O157" s="76"/>
      <c r="P157" s="76"/>
      <c r="Q157" s="76"/>
      <c r="R157" s="76"/>
      <c r="S157" s="76"/>
      <c r="T157" s="76"/>
    </row>
    <row r="158" spans="1:20">
      <c r="A158" s="84" t="s">
        <v>389</v>
      </c>
      <c r="B158" s="85" t="s">
        <v>388</v>
      </c>
      <c r="C158" s="85" t="s">
        <v>83</v>
      </c>
      <c r="D158" s="84" t="s">
        <v>87</v>
      </c>
      <c r="E158" s="84">
        <f>VLOOKUP(A158,'2a. SI Pop'!$A$5:$E$198,5,FALSE)</f>
        <v>1</v>
      </c>
      <c r="F158" s="84">
        <v>0</v>
      </c>
      <c r="G158" s="84">
        <v>270.67964579522697</v>
      </c>
      <c r="H158" s="84">
        <v>0.28077792975188198</v>
      </c>
      <c r="I158" s="84" t="s">
        <v>573</v>
      </c>
      <c r="J158" s="3"/>
      <c r="K158" s="3"/>
      <c r="L158" s="3"/>
      <c r="M158" s="3"/>
      <c r="N158" s="3"/>
      <c r="O158" s="76"/>
      <c r="P158" s="76"/>
      <c r="Q158" s="76"/>
      <c r="R158" s="76"/>
      <c r="S158" s="76"/>
      <c r="T158" s="76"/>
    </row>
    <row r="159" spans="1:20">
      <c r="A159" s="84" t="s">
        <v>391</v>
      </c>
      <c r="B159" s="85" t="s">
        <v>390</v>
      </c>
      <c r="C159" s="85" t="s">
        <v>83</v>
      </c>
      <c r="D159" s="84" t="s">
        <v>75</v>
      </c>
      <c r="E159" s="84">
        <f>VLOOKUP(A159,'2a. SI Pop'!$A$5:$E$198,5,FALSE)</f>
        <v>3</v>
      </c>
      <c r="F159" s="84">
        <v>23</v>
      </c>
      <c r="G159" s="84">
        <v>110.972447780392</v>
      </c>
      <c r="H159" s="84">
        <v>54.811940328541098</v>
      </c>
      <c r="I159" s="84">
        <v>237.02</v>
      </c>
      <c r="J159" s="3"/>
      <c r="K159" s="3"/>
      <c r="L159" s="3"/>
      <c r="M159" s="3"/>
      <c r="N159" s="3"/>
      <c r="O159" s="76"/>
      <c r="P159" s="76"/>
      <c r="Q159" s="76"/>
      <c r="R159" s="76"/>
      <c r="S159" s="76"/>
      <c r="T159" s="76"/>
    </row>
    <row r="160" spans="1:20">
      <c r="A160" s="84" t="s">
        <v>393</v>
      </c>
      <c r="B160" s="85" t="s">
        <v>392</v>
      </c>
      <c r="C160" s="85" t="s">
        <v>99</v>
      </c>
      <c r="D160" s="84" t="s">
        <v>87</v>
      </c>
      <c r="E160" s="84">
        <f>VLOOKUP(A160,'2a. SI Pop'!$A$5:$E$198,5,FALSE)</f>
        <v>1</v>
      </c>
      <c r="F160" s="84">
        <v>162</v>
      </c>
      <c r="G160" s="84">
        <v>2.89691350211818</v>
      </c>
      <c r="H160" s="84">
        <v>5.0990057358884597E-3</v>
      </c>
      <c r="I160" s="84">
        <v>0</v>
      </c>
      <c r="J160" s="3"/>
      <c r="K160" s="3"/>
      <c r="L160" s="3"/>
      <c r="M160" s="3"/>
      <c r="N160" s="3"/>
      <c r="O160" s="76"/>
      <c r="P160" s="76"/>
      <c r="Q160" s="76"/>
      <c r="R160" s="76"/>
      <c r="S160" s="76"/>
      <c r="T160" s="76"/>
    </row>
    <row r="161" spans="1:20">
      <c r="A161" s="84" t="s">
        <v>395</v>
      </c>
      <c r="B161" s="85" t="s">
        <v>394</v>
      </c>
      <c r="C161" s="85" t="s">
        <v>79</v>
      </c>
      <c r="D161" s="84" t="s">
        <v>87</v>
      </c>
      <c r="E161" s="84">
        <f>VLOOKUP(A161,'2a. SI Pop'!$A$5:$E$198,5,FALSE)</f>
        <v>1</v>
      </c>
      <c r="F161" s="84">
        <v>312</v>
      </c>
      <c r="G161" s="84">
        <v>11.032793525268101</v>
      </c>
      <c r="H161" s="84">
        <v>0.28936059532645197</v>
      </c>
      <c r="I161" s="84">
        <v>0</v>
      </c>
      <c r="J161" s="3"/>
      <c r="K161" s="3"/>
      <c r="L161" s="3"/>
      <c r="M161" s="3"/>
      <c r="N161" s="3"/>
      <c r="O161" s="76"/>
      <c r="P161" s="76"/>
      <c r="Q161" s="76"/>
      <c r="R161" s="76"/>
      <c r="S161" s="76"/>
      <c r="T161" s="76"/>
    </row>
    <row r="162" spans="1:20">
      <c r="A162" s="84" t="s">
        <v>397</v>
      </c>
      <c r="B162" s="85" t="s">
        <v>396</v>
      </c>
      <c r="C162" s="85" t="s">
        <v>79</v>
      </c>
      <c r="D162" s="84" t="s">
        <v>87</v>
      </c>
      <c r="E162" s="84">
        <f>VLOOKUP(A162,'2a. SI Pop'!$A$5:$E$198,5,FALSE)</f>
        <v>1</v>
      </c>
      <c r="F162" s="84">
        <v>48</v>
      </c>
      <c r="G162" s="84">
        <v>1.6371294224192601</v>
      </c>
      <c r="H162" s="84">
        <v>2.26712030758416E-3</v>
      </c>
      <c r="I162" s="84">
        <v>3.3611999999999997E-4</v>
      </c>
      <c r="J162" s="3"/>
      <c r="K162" s="3"/>
      <c r="L162" s="3"/>
      <c r="M162" s="3"/>
      <c r="N162" s="3"/>
      <c r="O162" s="76"/>
      <c r="P162" s="76"/>
      <c r="Q162" s="76"/>
      <c r="R162" s="76"/>
      <c r="S162" s="76"/>
      <c r="T162" s="76"/>
    </row>
    <row r="163" spans="1:20">
      <c r="A163" s="84" t="s">
        <v>399</v>
      </c>
      <c r="B163" s="85" t="s">
        <v>398</v>
      </c>
      <c r="C163" s="85" t="s">
        <v>74</v>
      </c>
      <c r="D163" s="84" t="s">
        <v>75</v>
      </c>
      <c r="E163" s="84">
        <f>VLOOKUP(A163,'2a. SI Pop'!$A$5:$E$198,5,FALSE)</f>
        <v>3</v>
      </c>
      <c r="F163" s="84">
        <v>4504</v>
      </c>
      <c r="G163" s="84">
        <v>848.51917940408396</v>
      </c>
      <c r="H163" s="84">
        <v>7436.6202700365502</v>
      </c>
      <c r="I163" s="84">
        <v>249.51</v>
      </c>
      <c r="J163" s="3"/>
      <c r="K163" s="3"/>
      <c r="L163" s="3"/>
      <c r="M163" s="3"/>
      <c r="N163" s="3"/>
      <c r="O163" s="76"/>
      <c r="P163" s="76"/>
      <c r="Q163" s="76"/>
      <c r="R163" s="76"/>
      <c r="S163" s="76"/>
      <c r="T163" s="76"/>
    </row>
    <row r="164" spans="1:20">
      <c r="A164" s="84" t="s">
        <v>401</v>
      </c>
      <c r="B164" s="85" t="s">
        <v>400</v>
      </c>
      <c r="C164" s="85" t="s">
        <v>99</v>
      </c>
      <c r="D164" s="84" t="s">
        <v>84</v>
      </c>
      <c r="E164" s="84">
        <f>VLOOKUP(A164,'2a. SI Pop'!$A$5:$E$198,5,FALSE)</f>
        <v>4</v>
      </c>
      <c r="F164" s="84">
        <v>0</v>
      </c>
      <c r="G164" s="84">
        <v>288.44605890530403</v>
      </c>
      <c r="H164" s="84">
        <v>8.9015168144683905</v>
      </c>
      <c r="I164" s="84">
        <v>34.679000000000002</v>
      </c>
      <c r="J164" s="3"/>
      <c r="K164" s="3"/>
      <c r="L164" s="3"/>
      <c r="M164" s="3"/>
      <c r="N164" s="3"/>
      <c r="O164" s="76"/>
      <c r="P164" s="76"/>
      <c r="Q164" s="76"/>
      <c r="R164" s="76"/>
      <c r="S164" s="76"/>
      <c r="T164" s="76"/>
    </row>
    <row r="165" spans="1:20">
      <c r="A165" s="84" t="s">
        <v>403</v>
      </c>
      <c r="B165" s="85" t="s">
        <v>402</v>
      </c>
      <c r="C165" s="85" t="s">
        <v>83</v>
      </c>
      <c r="D165" s="84" t="s">
        <v>80</v>
      </c>
      <c r="E165" s="84" t="str">
        <f>VLOOKUP(A165,'2a. SI Pop'!$A$5:$E$198,5,FALSE)</f>
        <v>Key</v>
      </c>
      <c r="F165" s="84">
        <v>95</v>
      </c>
      <c r="G165" s="84">
        <v>365.61051560876803</v>
      </c>
      <c r="H165" s="84">
        <v>501.38603935597598</v>
      </c>
      <c r="I165" s="84">
        <v>363.33</v>
      </c>
      <c r="J165" s="3"/>
      <c r="K165" s="3"/>
      <c r="L165" s="3"/>
      <c r="M165" s="3"/>
      <c r="N165" s="3"/>
      <c r="O165" s="76"/>
      <c r="P165" s="76"/>
      <c r="Q165" s="76"/>
      <c r="R165" s="76"/>
      <c r="S165" s="76"/>
      <c r="T165" s="76"/>
    </row>
    <row r="166" spans="1:20">
      <c r="A166" s="84" t="s">
        <v>405</v>
      </c>
      <c r="B166" s="85" t="s">
        <v>404</v>
      </c>
      <c r="C166" s="85" t="s">
        <v>79</v>
      </c>
      <c r="D166" s="84" t="s">
        <v>87</v>
      </c>
      <c r="E166" s="84">
        <f>VLOOKUP(A166,'2a. SI Pop'!$A$5:$E$198,5,FALSE)</f>
        <v>1</v>
      </c>
      <c r="F166" s="84">
        <v>292</v>
      </c>
      <c r="G166" s="84">
        <v>0.88448072907217301</v>
      </c>
      <c r="H166" s="84">
        <v>3.88275989095615E-2</v>
      </c>
      <c r="I166" s="84">
        <v>0.77085999999999999</v>
      </c>
      <c r="J166" s="3"/>
      <c r="K166" s="3"/>
      <c r="L166" s="3"/>
      <c r="M166" s="3"/>
      <c r="N166" s="3"/>
      <c r="O166" s="76"/>
      <c r="P166" s="76"/>
      <c r="Q166" s="76"/>
      <c r="R166" s="76"/>
      <c r="S166" s="76"/>
      <c r="T166" s="76"/>
    </row>
    <row r="167" spans="1:20">
      <c r="A167" s="84" t="s">
        <v>407</v>
      </c>
      <c r="B167" s="85" t="s">
        <v>406</v>
      </c>
      <c r="C167" s="85" t="s">
        <v>110</v>
      </c>
      <c r="D167" s="84" t="s">
        <v>84</v>
      </c>
      <c r="E167" s="84">
        <f>VLOOKUP(A167,'2a. SI Pop'!$A$5:$E$198,5,FALSE)</f>
        <v>2</v>
      </c>
      <c r="F167" s="84">
        <v>49</v>
      </c>
      <c r="G167" s="84">
        <v>107.361253736805</v>
      </c>
      <c r="H167" s="84">
        <v>34.645057755726299</v>
      </c>
      <c r="I167" s="84">
        <v>0</v>
      </c>
      <c r="J167" s="3"/>
      <c r="K167" s="3"/>
      <c r="L167" s="3"/>
      <c r="M167" s="3"/>
      <c r="N167" s="3"/>
      <c r="O167" s="76"/>
      <c r="P167" s="76"/>
      <c r="Q167" s="76"/>
      <c r="R167" s="76"/>
      <c r="S167" s="76"/>
      <c r="T167" s="76"/>
    </row>
    <row r="168" spans="1:20">
      <c r="A168" s="84" t="s">
        <v>409</v>
      </c>
      <c r="B168" s="85" t="s">
        <v>408</v>
      </c>
      <c r="C168" s="85" t="s">
        <v>74</v>
      </c>
      <c r="D168" s="84" t="s">
        <v>75</v>
      </c>
      <c r="E168" s="84">
        <f>VLOOKUP(A168,'2a. SI Pop'!$A$5:$E$198,5,FALSE)</f>
        <v>3</v>
      </c>
      <c r="F168" s="84">
        <v>3555</v>
      </c>
      <c r="G168" s="84">
        <v>223.981178741181</v>
      </c>
      <c r="H168" s="84">
        <v>711.92095910917806</v>
      </c>
      <c r="I168" s="84">
        <v>865.95</v>
      </c>
      <c r="J168" s="3"/>
      <c r="K168" s="3"/>
      <c r="L168" s="3"/>
      <c r="M168" s="3"/>
      <c r="N168" s="3"/>
      <c r="O168" s="76"/>
      <c r="P168" s="76"/>
      <c r="Q168" s="76"/>
      <c r="R168" s="76"/>
      <c r="S168" s="76"/>
      <c r="T168" s="76"/>
    </row>
    <row r="169" spans="1:20">
      <c r="A169" s="84" t="s">
        <v>411</v>
      </c>
      <c r="B169" s="85" t="s">
        <v>410</v>
      </c>
      <c r="C169" s="85" t="s">
        <v>74</v>
      </c>
      <c r="D169" s="84" t="s">
        <v>75</v>
      </c>
      <c r="E169" s="84">
        <f>VLOOKUP(A169,'2a. SI Pop'!$A$5:$E$198,5,FALSE)</f>
        <v>3</v>
      </c>
      <c r="F169" s="84">
        <v>1472</v>
      </c>
      <c r="G169" s="84">
        <v>309.772918235053</v>
      </c>
      <c r="H169" s="84">
        <v>253.20548675842801</v>
      </c>
      <c r="I169" s="84" t="s">
        <v>573</v>
      </c>
      <c r="J169" s="3"/>
      <c r="K169" s="3"/>
      <c r="L169" s="3"/>
      <c r="M169" s="3"/>
      <c r="N169" s="3"/>
      <c r="O169" s="76"/>
      <c r="P169" s="76"/>
      <c r="Q169" s="76"/>
      <c r="R169" s="76"/>
      <c r="S169" s="76"/>
      <c r="T169" s="76"/>
    </row>
    <row r="170" spans="1:20">
      <c r="A170" s="84" t="s">
        <v>413</v>
      </c>
      <c r="B170" s="85" t="s">
        <v>412</v>
      </c>
      <c r="C170" s="85" t="s">
        <v>92</v>
      </c>
      <c r="D170" s="84" t="s">
        <v>80</v>
      </c>
      <c r="E170" s="84">
        <f>VLOOKUP(A170,'2a. SI Pop'!$A$5:$E$198,5,FALSE)</f>
        <v>1</v>
      </c>
      <c r="F170" s="84">
        <v>0</v>
      </c>
      <c r="G170" s="84">
        <v>4.7722780240083203E-2</v>
      </c>
      <c r="H170" s="84">
        <v>0</v>
      </c>
      <c r="I170" s="84">
        <v>0</v>
      </c>
      <c r="J170" s="3"/>
      <c r="K170" s="3"/>
      <c r="L170" s="3"/>
      <c r="M170" s="3"/>
      <c r="N170" s="3"/>
      <c r="O170" s="76"/>
      <c r="P170" s="76"/>
      <c r="Q170" s="76"/>
      <c r="R170" s="76"/>
      <c r="S170" s="76"/>
      <c r="T170" s="76"/>
    </row>
    <row r="171" spans="1:20">
      <c r="A171" s="84" t="s">
        <v>415</v>
      </c>
      <c r="B171" s="85" t="s">
        <v>414</v>
      </c>
      <c r="C171" s="85" t="s">
        <v>83</v>
      </c>
      <c r="D171" s="84" t="s">
        <v>84</v>
      </c>
      <c r="E171" s="84">
        <f>VLOOKUP(A171,'2a. SI Pop'!$A$5:$E$198,5,FALSE)</f>
        <v>3</v>
      </c>
      <c r="F171" s="84">
        <v>0</v>
      </c>
      <c r="G171" s="84">
        <v>101.847718040365</v>
      </c>
      <c r="H171" s="84">
        <v>8.0169108718960302</v>
      </c>
      <c r="I171" s="84">
        <v>41</v>
      </c>
      <c r="J171" s="3"/>
      <c r="K171" s="3"/>
      <c r="L171" s="3"/>
      <c r="M171" s="3"/>
      <c r="N171" s="3"/>
      <c r="O171" s="76"/>
      <c r="P171" s="76"/>
      <c r="Q171" s="76"/>
      <c r="R171" s="76"/>
      <c r="S171" s="76"/>
      <c r="T171" s="76"/>
    </row>
    <row r="172" spans="1:20">
      <c r="A172" s="84" t="s">
        <v>417</v>
      </c>
      <c r="B172" s="85" t="s">
        <v>416</v>
      </c>
      <c r="C172" s="85" t="s">
        <v>79</v>
      </c>
      <c r="D172" s="84" t="s">
        <v>87</v>
      </c>
      <c r="E172" s="84">
        <f>VLOOKUP(A172,'2a. SI Pop'!$A$5:$E$198,5,FALSE)</f>
        <v>1</v>
      </c>
      <c r="F172" s="84">
        <v>20</v>
      </c>
      <c r="G172" s="84">
        <v>0.33402813172338802</v>
      </c>
      <c r="H172" s="84">
        <v>1.13624571160716E-2</v>
      </c>
      <c r="I172" s="84">
        <v>0</v>
      </c>
      <c r="J172" s="3"/>
      <c r="K172" s="3"/>
      <c r="L172" s="3"/>
      <c r="M172" s="3"/>
      <c r="N172" s="3"/>
      <c r="O172" s="76"/>
      <c r="P172" s="76"/>
      <c r="Q172" s="76"/>
      <c r="R172" s="76"/>
      <c r="S172" s="76"/>
      <c r="T172" s="76"/>
    </row>
    <row r="173" spans="1:20">
      <c r="A173" s="84" t="s">
        <v>419</v>
      </c>
      <c r="B173" s="85" t="s">
        <v>418</v>
      </c>
      <c r="C173" s="85" t="s">
        <v>79</v>
      </c>
      <c r="D173" s="84" t="s">
        <v>87</v>
      </c>
      <c r="E173" s="84">
        <f>VLOOKUP(A173,'2a. SI Pop'!$A$5:$E$198,5,FALSE)</f>
        <v>1</v>
      </c>
      <c r="F173" s="84">
        <v>229</v>
      </c>
      <c r="G173" s="84">
        <v>4.6822073376449396</v>
      </c>
      <c r="H173" s="84">
        <v>9.1920306530373606E-3</v>
      </c>
      <c r="I173" s="84">
        <v>0.28489999999999999</v>
      </c>
      <c r="J173" s="3"/>
      <c r="K173" s="3"/>
      <c r="L173" s="3"/>
      <c r="M173" s="3"/>
      <c r="N173" s="3"/>
      <c r="O173" s="76"/>
      <c r="P173" s="76"/>
      <c r="Q173" s="76"/>
      <c r="R173" s="76"/>
      <c r="S173" s="76"/>
      <c r="T173" s="76"/>
    </row>
    <row r="174" spans="1:20">
      <c r="A174" s="84" t="s">
        <v>421</v>
      </c>
      <c r="B174" s="85" t="s">
        <v>420</v>
      </c>
      <c r="C174" s="85" t="s">
        <v>74</v>
      </c>
      <c r="D174" s="84" t="s">
        <v>75</v>
      </c>
      <c r="E174" s="84">
        <f>VLOOKUP(A174,'2a. SI Pop'!$A$5:$E$198,5,FALSE)</f>
        <v>2</v>
      </c>
      <c r="F174" s="84">
        <v>27</v>
      </c>
      <c r="G174" s="84">
        <v>17.563228399438501</v>
      </c>
      <c r="H174" s="84">
        <v>5.1349010932018597</v>
      </c>
      <c r="I174" s="84">
        <v>0</v>
      </c>
      <c r="J174" s="3"/>
      <c r="K174" s="3"/>
      <c r="L174" s="3"/>
      <c r="M174" s="3"/>
      <c r="N174" s="3"/>
      <c r="O174" s="76"/>
      <c r="P174" s="76"/>
      <c r="Q174" s="76"/>
      <c r="R174" s="76"/>
      <c r="S174" s="76"/>
      <c r="T174" s="76"/>
    </row>
    <row r="175" spans="1:20">
      <c r="A175" s="84" t="s">
        <v>423</v>
      </c>
      <c r="B175" s="85" t="s">
        <v>422</v>
      </c>
      <c r="C175" s="85" t="s">
        <v>83</v>
      </c>
      <c r="D175" s="84" t="s">
        <v>84</v>
      </c>
      <c r="E175" s="84" t="str">
        <f>VLOOKUP(A175,'2a. SI Pop'!$A$5:$E$198,5,FALSE)</f>
        <v>Key</v>
      </c>
      <c r="F175" s="84">
        <v>270</v>
      </c>
      <c r="G175" s="84">
        <v>551.41116814152099</v>
      </c>
      <c r="H175" s="84">
        <v>3293.2778277401999</v>
      </c>
      <c r="I175" s="84">
        <v>2000.7</v>
      </c>
      <c r="J175" s="3"/>
      <c r="K175" s="3"/>
      <c r="L175" s="3"/>
      <c r="M175" s="3"/>
      <c r="N175" s="3"/>
      <c r="O175" s="76"/>
      <c r="P175" s="76"/>
      <c r="Q175" s="76"/>
      <c r="R175" s="76"/>
      <c r="S175" s="76"/>
      <c r="T175" s="76"/>
    </row>
    <row r="176" spans="1:20">
      <c r="A176" s="84" t="s">
        <v>425</v>
      </c>
      <c r="B176" s="85" t="s">
        <v>424</v>
      </c>
      <c r="C176" s="85" t="s">
        <v>79</v>
      </c>
      <c r="D176" s="84" t="s">
        <v>75</v>
      </c>
      <c r="E176" s="84">
        <f>VLOOKUP(A176,'2a. SI Pop'!$A$5:$E$198,5,FALSE)</f>
        <v>2</v>
      </c>
      <c r="F176" s="84">
        <v>7</v>
      </c>
      <c r="G176" s="84">
        <v>0.126931916421097</v>
      </c>
      <c r="H176" s="84">
        <v>4.0066306882184897E-2</v>
      </c>
      <c r="I176" s="84">
        <v>4.0074E-6</v>
      </c>
      <c r="J176" s="3"/>
      <c r="K176" s="3"/>
      <c r="L176" s="3"/>
      <c r="M176" s="3"/>
      <c r="N176" s="3"/>
      <c r="O176" s="76"/>
      <c r="P176" s="76"/>
      <c r="Q176" s="76"/>
      <c r="R176" s="76"/>
      <c r="S176" s="76"/>
      <c r="T176" s="76"/>
    </row>
    <row r="177" spans="1:20">
      <c r="A177" s="84" t="s">
        <v>427</v>
      </c>
      <c r="B177" s="85" t="s">
        <v>426</v>
      </c>
      <c r="C177" s="85" t="s">
        <v>110</v>
      </c>
      <c r="D177" s="84" t="s">
        <v>80</v>
      </c>
      <c r="E177" s="84">
        <f>VLOOKUP(A177,'2a. SI Pop'!$A$5:$E$198,5,FALSE)</f>
        <v>1</v>
      </c>
      <c r="F177" s="84">
        <v>5373</v>
      </c>
      <c r="G177" s="84">
        <v>139.653964100374</v>
      </c>
      <c r="H177" s="84">
        <v>104.294369228336</v>
      </c>
      <c r="I177" s="84">
        <v>11.2</v>
      </c>
      <c r="J177" s="3"/>
      <c r="K177" s="3"/>
      <c r="L177" s="3"/>
      <c r="M177" s="3"/>
      <c r="N177" s="3"/>
      <c r="O177" s="76"/>
      <c r="P177" s="76"/>
      <c r="Q177" s="76"/>
      <c r="R177" s="76"/>
      <c r="S177" s="76"/>
      <c r="T177" s="76"/>
    </row>
    <row r="178" spans="1:20">
      <c r="A178" s="84" t="s">
        <v>429</v>
      </c>
      <c r="B178" s="85" t="s">
        <v>428</v>
      </c>
      <c r="C178" s="85" t="s">
        <v>110</v>
      </c>
      <c r="D178" s="84" t="s">
        <v>84</v>
      </c>
      <c r="E178" s="84">
        <f>VLOOKUP(A178,'2a. SI Pop'!$A$5:$E$198,5,FALSE)</f>
        <v>4</v>
      </c>
      <c r="F178" s="84">
        <v>33</v>
      </c>
      <c r="G178" s="84">
        <v>213.15852814356401</v>
      </c>
      <c r="H178" s="84">
        <v>11.880382129292</v>
      </c>
      <c r="I178" s="84">
        <v>56.347999999999999</v>
      </c>
      <c r="J178" s="3"/>
      <c r="K178" s="3"/>
      <c r="L178" s="3"/>
      <c r="M178" s="3"/>
      <c r="N178" s="3"/>
      <c r="O178" s="76"/>
      <c r="P178" s="76"/>
      <c r="Q178" s="76"/>
      <c r="R178" s="76"/>
      <c r="S178" s="76"/>
      <c r="T178" s="76"/>
    </row>
    <row r="179" spans="1:20">
      <c r="A179" s="84" t="s">
        <v>431</v>
      </c>
      <c r="B179" s="85" t="s">
        <v>430</v>
      </c>
      <c r="C179" s="85" t="s">
        <v>83</v>
      </c>
      <c r="D179" s="84" t="s">
        <v>75</v>
      </c>
      <c r="E179" s="84">
        <f>VLOOKUP(A179,'2a. SI Pop'!$A$5:$E$198,5,FALSE)</f>
        <v>3</v>
      </c>
      <c r="F179" s="84">
        <v>151</v>
      </c>
      <c r="G179" s="84">
        <v>183.25216850755999</v>
      </c>
      <c r="H179" s="84">
        <v>59.560187168346701</v>
      </c>
      <c r="I179" s="84">
        <v>225.44</v>
      </c>
      <c r="J179" s="3"/>
      <c r="K179" s="3"/>
      <c r="L179" s="3"/>
      <c r="M179" s="3"/>
      <c r="N179" s="3"/>
      <c r="O179" s="76"/>
      <c r="P179" s="76"/>
      <c r="Q179" s="76"/>
      <c r="R179" s="76"/>
      <c r="S179" s="76"/>
      <c r="T179" s="76"/>
    </row>
    <row r="180" spans="1:20">
      <c r="A180" s="84" t="s">
        <v>433</v>
      </c>
      <c r="B180" s="85" t="s">
        <v>432</v>
      </c>
      <c r="C180" s="85" t="s">
        <v>99</v>
      </c>
      <c r="D180" s="84" t="s">
        <v>80</v>
      </c>
      <c r="E180" s="84">
        <f>VLOOKUP(A180,'2a. SI Pop'!$A$5:$E$198,5,FALSE)</f>
        <v>1</v>
      </c>
      <c r="F180" s="84">
        <v>34</v>
      </c>
      <c r="G180" s="84">
        <v>1079.6607132751601</v>
      </c>
      <c r="H180" s="84">
        <v>1.4022517548601701</v>
      </c>
      <c r="I180" s="84">
        <v>1.6724999999999999E-8</v>
      </c>
      <c r="J180" s="3"/>
      <c r="K180" s="3"/>
      <c r="L180" s="3"/>
      <c r="M180" s="3"/>
      <c r="N180" s="3"/>
      <c r="O180" s="76"/>
      <c r="P180" s="76"/>
      <c r="Q180" s="76"/>
      <c r="R180" s="76"/>
      <c r="S180" s="76"/>
      <c r="T180" s="76"/>
    </row>
    <row r="181" spans="1:20">
      <c r="A181" s="84" t="s">
        <v>435</v>
      </c>
      <c r="B181" s="85" t="s">
        <v>434</v>
      </c>
      <c r="C181" s="85" t="s">
        <v>92</v>
      </c>
      <c r="D181" s="84" t="s">
        <v>87</v>
      </c>
      <c r="E181" s="84">
        <f>VLOOKUP(A181,'2a. SI Pop'!$A$5:$E$198,5,FALSE)</f>
        <v>1</v>
      </c>
      <c r="F181" s="84">
        <v>0</v>
      </c>
      <c r="G181" s="84">
        <v>3.5484787879060203E-2</v>
      </c>
      <c r="H181" s="84">
        <v>0</v>
      </c>
      <c r="I181" s="84">
        <v>0</v>
      </c>
      <c r="J181" s="3"/>
      <c r="K181" s="3"/>
      <c r="L181" s="3"/>
      <c r="M181" s="3"/>
      <c r="N181" s="3"/>
      <c r="O181" s="76"/>
      <c r="P181" s="76"/>
      <c r="Q181" s="76"/>
      <c r="R181" s="76"/>
      <c r="S181" s="76"/>
      <c r="T181" s="76"/>
    </row>
    <row r="182" spans="1:20">
      <c r="A182" s="84" t="s">
        <v>437</v>
      </c>
      <c r="B182" s="85" t="s">
        <v>436</v>
      </c>
      <c r="C182" s="85" t="s">
        <v>74</v>
      </c>
      <c r="D182" s="84" t="s">
        <v>84</v>
      </c>
      <c r="E182" s="84">
        <f>VLOOKUP(A182,'2a. SI Pop'!$A$5:$E$198,5,FALSE)</f>
        <v>3</v>
      </c>
      <c r="F182" s="84">
        <v>4674</v>
      </c>
      <c r="G182" s="84">
        <v>201.99982294137601</v>
      </c>
      <c r="H182" s="84">
        <v>29.645145842677</v>
      </c>
      <c r="I182" s="84">
        <v>5.7183999999999999</v>
      </c>
      <c r="J182" s="3"/>
      <c r="K182" s="3"/>
      <c r="L182" s="3"/>
      <c r="M182" s="3"/>
      <c r="N182" s="3"/>
      <c r="O182" s="76"/>
      <c r="P182" s="76"/>
      <c r="Q182" s="76"/>
      <c r="R182" s="76"/>
      <c r="S182" s="76"/>
      <c r="T182" s="76"/>
    </row>
    <row r="183" spans="1:20">
      <c r="A183" s="84" t="s">
        <v>439</v>
      </c>
      <c r="B183" s="85" t="s">
        <v>438</v>
      </c>
      <c r="C183" s="85" t="s">
        <v>79</v>
      </c>
      <c r="D183" s="84" t="s">
        <v>80</v>
      </c>
      <c r="E183" s="84">
        <f>VLOOKUP(A183,'2a. SI Pop'!$A$5:$E$198,5,FALSE)</f>
        <v>1</v>
      </c>
      <c r="F183" s="84">
        <v>2892</v>
      </c>
      <c r="G183" s="84">
        <v>210.82492567158801</v>
      </c>
      <c r="H183" s="84">
        <v>146.982623733011</v>
      </c>
      <c r="I183" s="84">
        <v>5.1597999999999998E-4</v>
      </c>
      <c r="J183" s="3"/>
      <c r="K183" s="3"/>
      <c r="L183" s="3"/>
      <c r="M183" s="3"/>
      <c r="N183" s="3"/>
      <c r="O183" s="76"/>
      <c r="P183" s="76"/>
      <c r="Q183" s="76"/>
      <c r="R183" s="76"/>
      <c r="S183" s="76"/>
      <c r="T183" s="76"/>
    </row>
    <row r="184" spans="1:20">
      <c r="A184" s="84" t="s">
        <v>441</v>
      </c>
      <c r="B184" s="85" t="s">
        <v>440</v>
      </c>
      <c r="C184" s="85" t="s">
        <v>79</v>
      </c>
      <c r="D184" s="84" t="s">
        <v>80</v>
      </c>
      <c r="E184" s="84">
        <f>VLOOKUP(A184,'2a. SI Pop'!$A$5:$E$198,5,FALSE)</f>
        <v>1</v>
      </c>
      <c r="F184" s="84">
        <v>0</v>
      </c>
      <c r="G184" s="84">
        <v>0.279352406495609</v>
      </c>
      <c r="H184" s="84">
        <v>0</v>
      </c>
      <c r="I184" s="84">
        <v>0</v>
      </c>
      <c r="J184" s="3"/>
      <c r="K184" s="3"/>
      <c r="L184" s="3"/>
      <c r="M184" s="3"/>
      <c r="N184" s="3"/>
      <c r="O184" s="76"/>
      <c r="P184" s="76"/>
      <c r="Q184" s="76"/>
      <c r="R184" s="76"/>
      <c r="S184" s="76"/>
      <c r="T184" s="76"/>
    </row>
    <row r="185" spans="1:20">
      <c r="A185" s="84" t="s">
        <v>443</v>
      </c>
      <c r="B185" s="85" t="s">
        <v>442</v>
      </c>
      <c r="C185" s="85" t="s">
        <v>99</v>
      </c>
      <c r="D185" s="84" t="s">
        <v>80</v>
      </c>
      <c r="E185" s="84">
        <f>VLOOKUP(A185,'2a. SI Pop'!$A$5:$E$198,5,FALSE)</f>
        <v>4</v>
      </c>
      <c r="F185" s="84">
        <v>0</v>
      </c>
      <c r="G185" s="84">
        <v>816.78190748408804</v>
      </c>
      <c r="H185" s="84">
        <v>0.14386378601142799</v>
      </c>
      <c r="I185" s="84" t="s">
        <v>573</v>
      </c>
      <c r="J185" s="3"/>
      <c r="K185" s="3"/>
      <c r="L185" s="3"/>
      <c r="M185" s="3"/>
      <c r="N185" s="3"/>
      <c r="O185" s="76"/>
      <c r="P185" s="76"/>
      <c r="Q185" s="76"/>
      <c r="R185" s="76"/>
      <c r="S185" s="76"/>
      <c r="T185" s="76"/>
    </row>
    <row r="186" spans="1:20">
      <c r="A186" s="84" t="s">
        <v>445</v>
      </c>
      <c r="B186" s="85" t="s">
        <v>444</v>
      </c>
      <c r="C186" s="85" t="s">
        <v>83</v>
      </c>
      <c r="D186" s="84" t="s">
        <v>75</v>
      </c>
      <c r="E186" s="84" t="str">
        <f>VLOOKUP(A186,'2a. SI Pop'!$A$5:$E$198,5,FALSE)</f>
        <v>Key</v>
      </c>
      <c r="F186" s="84">
        <v>895</v>
      </c>
      <c r="G186" s="84">
        <v>1705.94777924871</v>
      </c>
      <c r="H186" s="84">
        <v>4305.23166948771</v>
      </c>
      <c r="I186" s="84">
        <v>1719</v>
      </c>
      <c r="J186" s="3"/>
      <c r="K186" s="3"/>
      <c r="L186" s="3"/>
      <c r="M186" s="3"/>
      <c r="N186" s="3"/>
      <c r="O186" s="76"/>
      <c r="P186" s="76"/>
      <c r="Q186" s="76"/>
      <c r="R186" s="76"/>
      <c r="S186" s="76"/>
      <c r="T186" s="76"/>
    </row>
    <row r="187" spans="1:20">
      <c r="A187" s="84" t="s">
        <v>447</v>
      </c>
      <c r="B187" s="85" t="s">
        <v>446</v>
      </c>
      <c r="C187" s="85" t="s">
        <v>79</v>
      </c>
      <c r="D187" s="84" t="s">
        <v>84</v>
      </c>
      <c r="E187" s="84">
        <f>VLOOKUP(A187,'2a. SI Pop'!$A$5:$E$198,5,FALSE)</f>
        <v>1</v>
      </c>
      <c r="F187" s="84">
        <v>57332</v>
      </c>
      <c r="G187" s="84">
        <v>246.32856890845599</v>
      </c>
      <c r="H187" s="84">
        <v>9.6663395404563701E-2</v>
      </c>
      <c r="I187" s="84">
        <v>0</v>
      </c>
      <c r="J187" s="3"/>
      <c r="K187" s="3"/>
      <c r="L187" s="3"/>
      <c r="M187" s="3"/>
      <c r="N187" s="3"/>
      <c r="O187" s="76"/>
      <c r="P187" s="76"/>
      <c r="Q187" s="76"/>
      <c r="R187" s="76"/>
      <c r="S187" s="76"/>
      <c r="T187" s="76"/>
    </row>
    <row r="188" spans="1:20">
      <c r="A188" s="84" t="s">
        <v>449</v>
      </c>
      <c r="B188" s="85" t="s">
        <v>448</v>
      </c>
      <c r="C188" s="85" t="s">
        <v>74</v>
      </c>
      <c r="D188" s="84" t="s">
        <v>87</v>
      </c>
      <c r="E188" s="84">
        <f>VLOOKUP(A188,'2a. SI Pop'!$A$5:$E$198,5,FALSE)</f>
        <v>1</v>
      </c>
      <c r="F188" s="84">
        <v>186</v>
      </c>
      <c r="G188" s="84">
        <v>10.9934008286092</v>
      </c>
      <c r="H188" s="84">
        <v>0.38804870509728701</v>
      </c>
      <c r="I188" s="84">
        <v>0</v>
      </c>
      <c r="J188" s="3"/>
      <c r="K188" s="3"/>
      <c r="L188" s="3"/>
      <c r="M188" s="3"/>
      <c r="N188" s="3"/>
      <c r="O188" s="76"/>
      <c r="P188" s="76"/>
      <c r="Q188" s="76"/>
      <c r="R188" s="76"/>
      <c r="S188" s="76"/>
      <c r="T188" s="76"/>
    </row>
    <row r="189" spans="1:20">
      <c r="A189" s="84" t="s">
        <v>451</v>
      </c>
      <c r="B189" s="85" t="s">
        <v>450</v>
      </c>
      <c r="C189" s="85" t="s">
        <v>79</v>
      </c>
      <c r="D189" s="84" t="s">
        <v>87</v>
      </c>
      <c r="E189" s="84">
        <f>VLOOKUP(A189,'2a. SI Pop'!$A$5:$E$198,5,FALSE)</f>
        <v>1</v>
      </c>
      <c r="F189" s="84">
        <v>882</v>
      </c>
      <c r="G189" s="84">
        <v>1.4531570229472199</v>
      </c>
      <c r="H189" s="84">
        <v>0.92792351165657205</v>
      </c>
      <c r="I189" s="84">
        <v>0</v>
      </c>
      <c r="J189" s="3"/>
      <c r="K189" s="3"/>
      <c r="L189" s="3"/>
      <c r="M189" s="3"/>
      <c r="N189" s="3"/>
      <c r="O189" s="76"/>
      <c r="P189" s="76"/>
      <c r="Q189" s="76"/>
      <c r="R189" s="76"/>
      <c r="S189" s="76"/>
      <c r="T189" s="76"/>
    </row>
    <row r="190" spans="1:20">
      <c r="A190" s="84" t="s">
        <v>453</v>
      </c>
      <c r="B190" s="85" t="s">
        <v>452</v>
      </c>
      <c r="C190" s="85" t="s">
        <v>92</v>
      </c>
      <c r="D190" s="84" t="s">
        <v>87</v>
      </c>
      <c r="E190" s="84" t="str">
        <f>VLOOKUP(A190,'2a. SI Pop'!$A$5:$E$198,5,FALSE)</f>
        <v>Key</v>
      </c>
      <c r="F190" s="84">
        <v>1282</v>
      </c>
      <c r="G190" s="84">
        <v>0.39139337674580299</v>
      </c>
      <c r="H190" s="84">
        <v>0.553970896712913</v>
      </c>
      <c r="I190" s="84">
        <v>0</v>
      </c>
      <c r="J190" s="3"/>
      <c r="K190" s="3"/>
      <c r="L190" s="3"/>
      <c r="M190" s="3"/>
      <c r="N190" s="3"/>
      <c r="O190" s="76"/>
      <c r="P190" s="76"/>
      <c r="Q190" s="76"/>
      <c r="R190" s="76"/>
      <c r="S190" s="76"/>
      <c r="T190" s="76"/>
    </row>
    <row r="191" spans="1:20">
      <c r="A191" s="84" t="s">
        <v>455</v>
      </c>
      <c r="B191" s="85" t="s">
        <v>454</v>
      </c>
      <c r="C191" s="85" t="s">
        <v>92</v>
      </c>
      <c r="D191" s="84" t="s">
        <v>87</v>
      </c>
      <c r="E191" s="84">
        <f>VLOOKUP(A191,'2a. SI Pop'!$A$5:$E$198,5,FALSE)</f>
        <v>1</v>
      </c>
      <c r="F191" s="84">
        <v>9</v>
      </c>
      <c r="G191" s="84">
        <v>0.52652024713803802</v>
      </c>
      <c r="H191" s="84">
        <v>5.9554143152627196E-3</v>
      </c>
      <c r="I191" s="84">
        <v>0</v>
      </c>
      <c r="J191" s="3"/>
      <c r="K191" s="3"/>
      <c r="L191" s="3"/>
      <c r="M191" s="3"/>
      <c r="N191" s="3"/>
      <c r="O191" s="76"/>
      <c r="P191" s="76"/>
      <c r="Q191" s="76"/>
      <c r="R191" s="76"/>
      <c r="S191" s="76"/>
      <c r="T191" s="76"/>
    </row>
    <row r="192" spans="1:20">
      <c r="A192" s="84" t="s">
        <v>457</v>
      </c>
      <c r="B192" s="85" t="s">
        <v>456</v>
      </c>
      <c r="C192" s="85" t="s">
        <v>79</v>
      </c>
      <c r="D192" s="84" t="s">
        <v>84</v>
      </c>
      <c r="E192" s="84">
        <f>VLOOKUP(A192,'2a. SI Pop'!$A$5:$E$198,5,FALSE)</f>
        <v>2</v>
      </c>
      <c r="F192" s="84">
        <v>1750</v>
      </c>
      <c r="G192" s="84">
        <v>1.7035764458460401</v>
      </c>
      <c r="H192" s="84">
        <v>0.288031685593999</v>
      </c>
      <c r="I192" s="84">
        <v>0</v>
      </c>
      <c r="J192" s="3"/>
      <c r="K192" s="3"/>
      <c r="L192" s="3"/>
      <c r="M192" s="3"/>
      <c r="N192" s="3"/>
      <c r="O192" s="76"/>
      <c r="P192" s="76"/>
      <c r="Q192" s="76"/>
      <c r="R192" s="76"/>
      <c r="S192" s="76"/>
      <c r="T192" s="76"/>
    </row>
    <row r="193" spans="1:20">
      <c r="A193" s="84" t="s">
        <v>459</v>
      </c>
      <c r="B193" s="85" t="s">
        <v>458</v>
      </c>
      <c r="C193" s="85" t="s">
        <v>99</v>
      </c>
      <c r="D193" s="84" t="s">
        <v>84</v>
      </c>
      <c r="E193" s="84">
        <f>VLOOKUP(A193,'2a. SI Pop'!$A$5:$E$198,5,FALSE)</f>
        <v>4</v>
      </c>
      <c r="F193" s="84">
        <v>9.0000000000000002E-6</v>
      </c>
      <c r="G193" s="84">
        <v>662.27313484055901</v>
      </c>
      <c r="H193" s="84">
        <v>5.09458206044342</v>
      </c>
      <c r="I193" s="84">
        <v>15.753</v>
      </c>
      <c r="J193" s="3"/>
      <c r="K193" s="3"/>
      <c r="L193" s="3"/>
      <c r="M193" s="3"/>
      <c r="N193" s="3"/>
      <c r="O193" s="76"/>
      <c r="P193" s="76"/>
      <c r="Q193" s="76"/>
      <c r="R193" s="76"/>
      <c r="S193" s="76"/>
      <c r="T193" s="76"/>
    </row>
    <row r="194" spans="1:20">
      <c r="A194" s="84" t="s">
        <v>461</v>
      </c>
      <c r="B194" s="85" t="s">
        <v>460</v>
      </c>
      <c r="C194" s="85" t="s">
        <v>92</v>
      </c>
      <c r="D194" s="84" t="s">
        <v>80</v>
      </c>
      <c r="E194" s="84">
        <f>VLOOKUP(A194,'2a. SI Pop'!$A$5:$E$198,5,FALSE)</f>
        <v>1</v>
      </c>
      <c r="F194" s="84">
        <v>548</v>
      </c>
      <c r="G194" s="84">
        <v>2.0801634481795999</v>
      </c>
      <c r="H194" s="84">
        <v>4.2342104822776401E-2</v>
      </c>
      <c r="I194" s="84">
        <v>0</v>
      </c>
      <c r="J194" s="3"/>
      <c r="K194" s="3"/>
      <c r="L194" s="3"/>
      <c r="M194" s="3"/>
      <c r="N194" s="3"/>
      <c r="O194" s="76"/>
      <c r="P194" s="76"/>
      <c r="Q194" s="76"/>
      <c r="R194" s="76"/>
      <c r="S194" s="76"/>
      <c r="T194" s="76"/>
    </row>
    <row r="195" spans="1:20">
      <c r="A195" s="84" t="s">
        <v>463</v>
      </c>
      <c r="B195" s="85" t="s">
        <v>462</v>
      </c>
      <c r="C195" s="85" t="s">
        <v>99</v>
      </c>
      <c r="D195" s="84" t="s">
        <v>84</v>
      </c>
      <c r="E195" s="84">
        <f>VLOOKUP(A195,'2a. SI Pop'!$A$5:$E$198,5,FALSE)</f>
        <v>4</v>
      </c>
      <c r="F195" s="84">
        <v>5654</v>
      </c>
      <c r="G195" s="84">
        <v>102.67271337243901</v>
      </c>
      <c r="H195" s="84">
        <v>211.77866598015299</v>
      </c>
      <c r="I195" s="84">
        <v>3601.5</v>
      </c>
      <c r="J195" s="3"/>
      <c r="K195" s="3"/>
      <c r="L195" s="3"/>
      <c r="M195" s="3"/>
      <c r="N195" s="3"/>
      <c r="O195" s="76"/>
      <c r="P195" s="76"/>
      <c r="Q195" s="76"/>
      <c r="R195" s="76"/>
      <c r="S195" s="76"/>
      <c r="T195" s="76"/>
    </row>
    <row r="196" spans="1:20">
      <c r="A196" s="84" t="s">
        <v>465</v>
      </c>
      <c r="B196" s="85" t="s">
        <v>464</v>
      </c>
      <c r="C196" s="85" t="s">
        <v>74</v>
      </c>
      <c r="D196" s="84" t="s">
        <v>75</v>
      </c>
      <c r="E196" s="84">
        <f>VLOOKUP(A196,'2a. SI Pop'!$A$5:$E$198,5,FALSE)</f>
        <v>3</v>
      </c>
      <c r="F196" s="84">
        <v>9335</v>
      </c>
      <c r="G196" s="84">
        <v>307.855853186155</v>
      </c>
      <c r="H196" s="84">
        <v>449.66658356816299</v>
      </c>
      <c r="I196" s="84">
        <v>216.93</v>
      </c>
      <c r="J196" s="3"/>
      <c r="K196" s="3"/>
      <c r="L196" s="3"/>
      <c r="M196" s="3"/>
      <c r="N196" s="3"/>
      <c r="O196" s="76"/>
      <c r="P196" s="76"/>
      <c r="Q196" s="76"/>
      <c r="R196" s="76"/>
      <c r="S196" s="76"/>
      <c r="T196" s="76"/>
    </row>
    <row r="197" spans="1:20">
      <c r="A197" s="84" t="s">
        <v>467</v>
      </c>
      <c r="B197" s="85" t="s">
        <v>466</v>
      </c>
      <c r="C197" s="85" t="s">
        <v>83</v>
      </c>
      <c r="D197" s="84" t="s">
        <v>84</v>
      </c>
      <c r="E197" s="84">
        <f>VLOOKUP(A197,'2a. SI Pop'!$A$5:$E$198,5,FALSE)</f>
        <v>3</v>
      </c>
      <c r="F197" s="84">
        <v>124</v>
      </c>
      <c r="G197" s="84">
        <v>156.62154129157</v>
      </c>
      <c r="H197" s="84">
        <v>156.292915641474</v>
      </c>
      <c r="I197" s="84">
        <v>1117.9000000000001</v>
      </c>
      <c r="J197" s="3"/>
      <c r="K197" s="3"/>
      <c r="L197" s="3"/>
      <c r="M197" s="3"/>
      <c r="N197" s="3"/>
      <c r="O197" s="76"/>
      <c r="P197" s="76"/>
      <c r="Q197" s="76"/>
      <c r="R197" s="76"/>
      <c r="S197" s="76"/>
      <c r="T197" s="76"/>
    </row>
    <row r="198" spans="1:20">
      <c r="A198" s="84" t="s">
        <v>469</v>
      </c>
      <c r="B198" s="85" t="s">
        <v>468</v>
      </c>
      <c r="C198" s="85" t="s">
        <v>83</v>
      </c>
      <c r="D198" s="84" t="s">
        <v>84</v>
      </c>
      <c r="E198" s="84">
        <f>VLOOKUP(A198,'2a. SI Pop'!$A$5:$E$198,5,FALSE)</f>
        <v>3</v>
      </c>
      <c r="F198" s="84">
        <v>3</v>
      </c>
      <c r="G198" s="84">
        <v>247.04345556733099</v>
      </c>
      <c r="H198" s="84">
        <v>413.07232650517801</v>
      </c>
      <c r="I198" s="84">
        <v>424.84</v>
      </c>
      <c r="J198" s="3"/>
      <c r="K198" s="3"/>
      <c r="L198" s="3"/>
      <c r="M198" s="3"/>
      <c r="N198" s="3"/>
      <c r="O198" s="76"/>
      <c r="P198" s="76"/>
      <c r="Q198" s="76"/>
      <c r="R198" s="76"/>
      <c r="S198" s="76"/>
      <c r="T198" s="76"/>
    </row>
  </sheetData>
  <autoFilter ref="A4:N198" xr:uid="{1BE26F4C-1587-7C4D-887A-C69327E2A753}"/>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C00F8-F98C-5743-BDA1-1138B14373A4}">
  <sheetPr>
    <tabColor theme="5" tint="0.39997558519241921"/>
  </sheetPr>
  <dimension ref="A1:Q198"/>
  <sheetViews>
    <sheetView zoomScale="85" zoomScaleNormal="85" workbookViewId="0">
      <selection activeCell="H22" sqref="H22"/>
    </sheetView>
  </sheetViews>
  <sheetFormatPr defaultColWidth="10.85546875" defaultRowHeight="15"/>
  <cols>
    <col min="2" max="2" width="11.140625" customWidth="1"/>
    <col min="6" max="8" width="13.42578125" bestFit="1" customWidth="1"/>
    <col min="9" max="11" width="13.7109375" bestFit="1" customWidth="1"/>
  </cols>
  <sheetData>
    <row r="1" spans="1:17">
      <c r="A1" t="s">
        <v>470</v>
      </c>
      <c r="B1" t="s">
        <v>574</v>
      </c>
    </row>
    <row r="2" spans="1:17">
      <c r="A2" t="s">
        <v>471</v>
      </c>
      <c r="B2" t="s">
        <v>575</v>
      </c>
    </row>
    <row r="4" spans="1:17" s="88" customFormat="1">
      <c r="A4" s="86" t="s">
        <v>473</v>
      </c>
      <c r="B4" s="87" t="s">
        <v>64</v>
      </c>
      <c r="C4" s="86" t="s">
        <v>66</v>
      </c>
      <c r="D4" s="86" t="s">
        <v>67</v>
      </c>
      <c r="E4" s="86" t="s">
        <v>68</v>
      </c>
      <c r="F4" s="86" t="s">
        <v>576</v>
      </c>
      <c r="G4" s="86" t="s">
        <v>577</v>
      </c>
      <c r="H4" s="86" t="s">
        <v>578</v>
      </c>
    </row>
    <row r="5" spans="1:17">
      <c r="A5" s="84" t="s">
        <v>73</v>
      </c>
      <c r="B5" s="85" t="s">
        <v>72</v>
      </c>
      <c r="C5" s="85" t="s">
        <v>74</v>
      </c>
      <c r="D5" s="84" t="s">
        <v>75</v>
      </c>
      <c r="E5" s="84" t="str">
        <f>VLOOKUP(A5,'2a. SI Pop'!$A$5:$E$198,5,FALSE)</f>
        <v>Key</v>
      </c>
      <c r="F5" s="84" t="s">
        <v>579</v>
      </c>
      <c r="G5" s="84" t="s">
        <v>75</v>
      </c>
      <c r="H5" s="101">
        <v>5.3935321540393977</v>
      </c>
      <c r="I5" s="3"/>
      <c r="J5" s="3"/>
      <c r="K5" s="3"/>
      <c r="L5" s="76"/>
      <c r="M5" s="76"/>
      <c r="N5" s="76"/>
      <c r="O5" s="76"/>
      <c r="P5" s="76"/>
      <c r="Q5" s="76"/>
    </row>
    <row r="6" spans="1:17">
      <c r="A6" s="84" t="s">
        <v>78</v>
      </c>
      <c r="B6" s="85" t="s">
        <v>77</v>
      </c>
      <c r="C6" s="85" t="s">
        <v>79</v>
      </c>
      <c r="D6" s="84" t="s">
        <v>80</v>
      </c>
      <c r="E6" s="84">
        <f>VLOOKUP(A6,'2a. SI Pop'!$A$5:$E$198,5,FALSE)</f>
        <v>1</v>
      </c>
      <c r="F6" s="84" t="s">
        <v>580</v>
      </c>
      <c r="G6" s="84" t="s">
        <v>80</v>
      </c>
      <c r="H6" s="101">
        <v>100</v>
      </c>
      <c r="I6" s="3"/>
      <c r="J6" s="3"/>
      <c r="K6" s="3"/>
      <c r="L6" s="76"/>
      <c r="M6" s="76"/>
      <c r="N6" s="76"/>
      <c r="O6" s="76"/>
      <c r="P6" s="76"/>
      <c r="Q6" s="76"/>
    </row>
    <row r="7" spans="1:17">
      <c r="A7" s="84" t="s">
        <v>82</v>
      </c>
      <c r="B7" s="85" t="s">
        <v>81</v>
      </c>
      <c r="C7" s="85" t="s">
        <v>83</v>
      </c>
      <c r="D7" s="84" t="s">
        <v>84</v>
      </c>
      <c r="E7" s="84">
        <f>VLOOKUP(A7,'2a. SI Pop'!$A$5:$E$198,5,FALSE)</f>
        <v>2</v>
      </c>
      <c r="F7" s="84" t="s">
        <v>580</v>
      </c>
      <c r="G7" s="84" t="s">
        <v>84</v>
      </c>
      <c r="H7" s="101">
        <v>100</v>
      </c>
      <c r="I7" s="3"/>
      <c r="J7" s="3"/>
      <c r="K7" s="3"/>
      <c r="L7" s="76"/>
      <c r="M7" s="76"/>
      <c r="N7" s="76"/>
      <c r="O7" s="76"/>
      <c r="P7" s="76"/>
      <c r="Q7" s="76"/>
    </row>
    <row r="8" spans="1:17">
      <c r="A8" s="84" t="s">
        <v>86</v>
      </c>
      <c r="B8" s="85" t="s">
        <v>85</v>
      </c>
      <c r="C8" s="85" t="s">
        <v>79</v>
      </c>
      <c r="D8" s="84" t="s">
        <v>87</v>
      </c>
      <c r="E8" s="84">
        <f>VLOOKUP(A8,'2a. SI Pop'!$A$5:$E$198,5,FALSE)</f>
        <v>1</v>
      </c>
      <c r="F8" s="84" t="s">
        <v>580</v>
      </c>
      <c r="G8" s="84" t="s">
        <v>87</v>
      </c>
      <c r="H8" s="101">
        <v>100</v>
      </c>
      <c r="I8" s="3"/>
      <c r="J8" s="3"/>
      <c r="K8" s="3"/>
      <c r="L8" s="76"/>
      <c r="M8" s="76"/>
      <c r="N8" s="76"/>
      <c r="O8" s="76"/>
      <c r="P8" s="76"/>
      <c r="Q8" s="76"/>
    </row>
    <row r="9" spans="1:17">
      <c r="A9" s="84" t="s">
        <v>89</v>
      </c>
      <c r="B9" s="85" t="s">
        <v>88</v>
      </c>
      <c r="C9" s="85" t="s">
        <v>83</v>
      </c>
      <c r="D9" s="84" t="s">
        <v>84</v>
      </c>
      <c r="E9" s="84">
        <f>VLOOKUP(A9,'2a. SI Pop'!$A$5:$E$198,5,FALSE)</f>
        <v>3</v>
      </c>
      <c r="F9" s="84" t="s">
        <v>581</v>
      </c>
      <c r="G9" s="84" t="s">
        <v>84</v>
      </c>
      <c r="H9" s="101">
        <v>34.981714151524507</v>
      </c>
      <c r="I9" s="3"/>
      <c r="J9" s="3"/>
      <c r="K9" s="3"/>
      <c r="L9" s="76"/>
      <c r="M9" s="76"/>
      <c r="N9" s="76"/>
      <c r="O9" s="76"/>
      <c r="P9" s="76"/>
      <c r="Q9" s="76"/>
    </row>
    <row r="10" spans="1:17">
      <c r="A10" s="84" t="s">
        <v>91</v>
      </c>
      <c r="B10" s="85" t="s">
        <v>90</v>
      </c>
      <c r="C10" s="85" t="s">
        <v>92</v>
      </c>
      <c r="D10" s="84" t="s">
        <v>87</v>
      </c>
      <c r="E10" s="84">
        <f>VLOOKUP(A10,'2a. SI Pop'!$A$5:$E$198,5,FALSE)</f>
        <v>1</v>
      </c>
      <c r="F10" s="84" t="s">
        <v>580</v>
      </c>
      <c r="G10" s="84" t="s">
        <v>87</v>
      </c>
      <c r="H10" s="101" t="s">
        <v>582</v>
      </c>
      <c r="I10" s="3"/>
      <c r="J10" s="3"/>
      <c r="K10" s="3"/>
      <c r="L10" s="76"/>
      <c r="M10" s="76"/>
      <c r="N10" s="76"/>
      <c r="O10" s="76"/>
      <c r="P10" s="76"/>
      <c r="Q10" s="76"/>
    </row>
    <row r="11" spans="1:17">
      <c r="A11" s="84" t="s">
        <v>94</v>
      </c>
      <c r="B11" s="85" t="s">
        <v>93</v>
      </c>
      <c r="C11" s="85" t="s">
        <v>92</v>
      </c>
      <c r="D11" s="84" t="s">
        <v>80</v>
      </c>
      <c r="E11" s="84">
        <f>VLOOKUP(A11,'2a. SI Pop'!$A$5:$E$198,5,FALSE)</f>
        <v>1</v>
      </c>
      <c r="F11" s="84" t="s">
        <v>580</v>
      </c>
      <c r="G11" s="84" t="s">
        <v>80</v>
      </c>
      <c r="H11" s="101">
        <v>100</v>
      </c>
      <c r="I11" s="3"/>
      <c r="J11" s="3"/>
      <c r="K11" s="3"/>
      <c r="L11" s="76"/>
      <c r="M11" s="76"/>
      <c r="N11" s="76"/>
      <c r="O11" s="76"/>
      <c r="P11" s="76"/>
      <c r="Q11" s="76"/>
    </row>
    <row r="12" spans="1:17">
      <c r="A12" s="84" t="s">
        <v>96</v>
      </c>
      <c r="B12" s="85" t="s">
        <v>95</v>
      </c>
      <c r="C12" s="85" t="s">
        <v>79</v>
      </c>
      <c r="D12" s="84" t="s">
        <v>80</v>
      </c>
      <c r="E12" s="84">
        <f>VLOOKUP(A12,'2a. SI Pop'!$A$5:$E$198,5,FALSE)</f>
        <v>1</v>
      </c>
      <c r="F12" s="84" t="s">
        <v>581</v>
      </c>
      <c r="G12" s="84" t="s">
        <v>80</v>
      </c>
      <c r="H12" s="101">
        <v>80</v>
      </c>
      <c r="I12" s="3"/>
      <c r="J12" s="3"/>
      <c r="K12" s="3"/>
      <c r="L12" s="76"/>
      <c r="M12" s="76"/>
      <c r="N12" s="76"/>
      <c r="O12" s="76"/>
      <c r="P12" s="76"/>
      <c r="Q12" s="76"/>
    </row>
    <row r="13" spans="1:17">
      <c r="A13" s="84" t="s">
        <v>98</v>
      </c>
      <c r="B13" s="85" t="s">
        <v>97</v>
      </c>
      <c r="C13" s="85" t="s">
        <v>99</v>
      </c>
      <c r="D13" s="84" t="s">
        <v>87</v>
      </c>
      <c r="E13" s="84">
        <f>VLOOKUP(A13,'2a. SI Pop'!$A$5:$E$198,5,FALSE)</f>
        <v>1</v>
      </c>
      <c r="F13" s="84" t="s">
        <v>580</v>
      </c>
      <c r="G13" s="84" t="s">
        <v>87</v>
      </c>
      <c r="H13" s="101">
        <v>100</v>
      </c>
      <c r="I13" s="3"/>
      <c r="J13" s="3"/>
      <c r="K13" s="3"/>
      <c r="L13" s="76"/>
      <c r="M13" s="76"/>
      <c r="N13" s="76"/>
      <c r="O13" s="76"/>
      <c r="P13" s="76"/>
      <c r="Q13" s="76"/>
    </row>
    <row r="14" spans="1:17">
      <c r="A14" s="84" t="s">
        <v>101</v>
      </c>
      <c r="B14" s="85" t="s">
        <v>100</v>
      </c>
      <c r="C14" s="85" t="s">
        <v>79</v>
      </c>
      <c r="D14" s="84" t="s">
        <v>87</v>
      </c>
      <c r="E14" s="84">
        <f>VLOOKUP(A14,'2a. SI Pop'!$A$5:$E$198,5,FALSE)</f>
        <v>1</v>
      </c>
      <c r="F14" s="84" t="s">
        <v>580</v>
      </c>
      <c r="G14" s="84" t="s">
        <v>87</v>
      </c>
      <c r="H14" s="101" t="s">
        <v>582</v>
      </c>
      <c r="I14" s="3"/>
      <c r="J14" s="3"/>
      <c r="K14" s="3"/>
      <c r="L14" s="76"/>
      <c r="M14" s="76"/>
      <c r="N14" s="76"/>
      <c r="O14" s="76"/>
      <c r="P14" s="76"/>
      <c r="Q14" s="76"/>
    </row>
    <row r="15" spans="1:17">
      <c r="A15" s="84" t="s">
        <v>103</v>
      </c>
      <c r="B15" s="85" t="s">
        <v>102</v>
      </c>
      <c r="C15" s="85" t="s">
        <v>79</v>
      </c>
      <c r="D15" s="84" t="s">
        <v>80</v>
      </c>
      <c r="E15" s="84">
        <f>VLOOKUP(A15,'2a. SI Pop'!$A$5:$E$198,5,FALSE)</f>
        <v>1</v>
      </c>
      <c r="F15" s="84" t="s">
        <v>581</v>
      </c>
      <c r="G15" s="84" t="s">
        <v>80</v>
      </c>
      <c r="H15" s="101">
        <v>95.591835945244256</v>
      </c>
      <c r="I15" s="3"/>
      <c r="J15" s="3"/>
      <c r="K15" s="3"/>
      <c r="L15" s="76"/>
      <c r="M15" s="76"/>
      <c r="N15" s="76"/>
      <c r="O15" s="76"/>
      <c r="P15" s="76"/>
      <c r="Q15" s="76"/>
    </row>
    <row r="16" spans="1:17">
      <c r="A16" s="84" t="s">
        <v>105</v>
      </c>
      <c r="B16" s="85" t="s">
        <v>104</v>
      </c>
      <c r="C16" s="85" t="s">
        <v>92</v>
      </c>
      <c r="D16" s="84" t="s">
        <v>87</v>
      </c>
      <c r="E16" s="84">
        <f>VLOOKUP(A16,'2a. SI Pop'!$A$5:$E$198,5,FALSE)</f>
        <v>1</v>
      </c>
      <c r="F16" s="84" t="s">
        <v>580</v>
      </c>
      <c r="G16" s="84" t="s">
        <v>87</v>
      </c>
      <c r="H16" s="101">
        <v>100</v>
      </c>
      <c r="I16" s="3"/>
      <c r="J16" s="3"/>
      <c r="K16" s="3"/>
      <c r="L16" s="76"/>
      <c r="M16" s="76"/>
      <c r="N16" s="76"/>
      <c r="O16" s="76"/>
      <c r="P16" s="76"/>
      <c r="Q16" s="76"/>
    </row>
    <row r="17" spans="1:17">
      <c r="A17" s="84" t="s">
        <v>107</v>
      </c>
      <c r="B17" s="85" t="s">
        <v>106</v>
      </c>
      <c r="C17" s="85" t="s">
        <v>74</v>
      </c>
      <c r="D17" s="84" t="s">
        <v>87</v>
      </c>
      <c r="E17" s="84">
        <f>VLOOKUP(A17,'2a. SI Pop'!$A$5:$E$198,5,FALSE)</f>
        <v>1</v>
      </c>
      <c r="F17" s="84" t="s">
        <v>580</v>
      </c>
      <c r="G17" s="84" t="s">
        <v>87</v>
      </c>
      <c r="H17" s="101">
        <v>87.873584494643865</v>
      </c>
      <c r="I17" s="3"/>
      <c r="J17" s="3"/>
      <c r="K17" s="3"/>
      <c r="L17" s="76"/>
      <c r="M17" s="76"/>
      <c r="N17" s="76"/>
      <c r="O17" s="76"/>
      <c r="P17" s="76"/>
      <c r="Q17" s="76"/>
    </row>
    <row r="18" spans="1:17">
      <c r="A18" s="84" t="s">
        <v>109</v>
      </c>
      <c r="B18" s="85" t="s">
        <v>108</v>
      </c>
      <c r="C18" s="85" t="s">
        <v>110</v>
      </c>
      <c r="D18" s="84" t="s">
        <v>84</v>
      </c>
      <c r="E18" s="84" t="str">
        <f>VLOOKUP(A18,'2a. SI Pop'!$A$5:$E$198,5,FALSE)</f>
        <v>Key</v>
      </c>
      <c r="F18" s="84" t="s">
        <v>581</v>
      </c>
      <c r="G18" s="84" t="s">
        <v>84</v>
      </c>
      <c r="H18" s="101">
        <v>27.02304526403098</v>
      </c>
      <c r="I18" s="3"/>
      <c r="J18" s="3"/>
      <c r="K18" s="3"/>
      <c r="L18" s="76"/>
      <c r="M18" s="76"/>
      <c r="N18" s="76"/>
      <c r="O18" s="76"/>
      <c r="P18" s="76"/>
      <c r="Q18" s="76"/>
    </row>
    <row r="19" spans="1:17">
      <c r="A19" s="84" t="s">
        <v>112</v>
      </c>
      <c r="B19" s="85" t="s">
        <v>111</v>
      </c>
      <c r="C19" s="85" t="s">
        <v>92</v>
      </c>
      <c r="D19" s="84" t="s">
        <v>87</v>
      </c>
      <c r="E19" s="84">
        <f>VLOOKUP(A19,'2a. SI Pop'!$A$5:$E$198,5,FALSE)</f>
        <v>1</v>
      </c>
      <c r="F19" s="84" t="s">
        <v>580</v>
      </c>
      <c r="G19" s="84" t="s">
        <v>87</v>
      </c>
      <c r="H19" s="101">
        <v>100</v>
      </c>
      <c r="I19" s="3"/>
      <c r="J19" s="3"/>
      <c r="K19" s="3"/>
      <c r="L19" s="76"/>
      <c r="M19" s="76"/>
      <c r="N19" s="76"/>
      <c r="O19" s="76"/>
      <c r="P19" s="76"/>
      <c r="Q19" s="76"/>
    </row>
    <row r="20" spans="1:17">
      <c r="A20" s="84" t="s">
        <v>114</v>
      </c>
      <c r="B20" s="85" t="s">
        <v>113</v>
      </c>
      <c r="C20" s="85" t="s">
        <v>79</v>
      </c>
      <c r="D20" s="84" t="s">
        <v>80</v>
      </c>
      <c r="E20" s="84">
        <f>VLOOKUP(A20,'2a. SI Pop'!$A$5:$E$198,5,FALSE)</f>
        <v>2</v>
      </c>
      <c r="F20" s="84" t="s">
        <v>580</v>
      </c>
      <c r="G20" s="84" t="s">
        <v>80</v>
      </c>
      <c r="H20" s="101">
        <v>58.188564771217258</v>
      </c>
      <c r="I20" s="3"/>
      <c r="J20" s="3"/>
      <c r="K20" s="3"/>
      <c r="L20" s="76"/>
      <c r="M20" s="76"/>
      <c r="N20" s="76"/>
      <c r="O20" s="76"/>
      <c r="P20" s="76"/>
      <c r="Q20" s="76"/>
    </row>
    <row r="21" spans="1:17">
      <c r="A21" s="84" t="s">
        <v>116</v>
      </c>
      <c r="B21" s="85" t="s">
        <v>115</v>
      </c>
      <c r="C21" s="85" t="s">
        <v>79</v>
      </c>
      <c r="D21" s="84" t="s">
        <v>87</v>
      </c>
      <c r="E21" s="84">
        <f>VLOOKUP(A21,'2a. SI Pop'!$A$5:$E$198,5,FALSE)</f>
        <v>1</v>
      </c>
      <c r="F21" s="84" t="s">
        <v>580</v>
      </c>
      <c r="G21" s="84" t="s">
        <v>87</v>
      </c>
      <c r="H21" s="101" t="s">
        <v>582</v>
      </c>
      <c r="I21" s="3"/>
      <c r="J21" s="3"/>
      <c r="K21" s="3"/>
      <c r="L21" s="76"/>
      <c r="M21" s="76"/>
      <c r="N21" s="76"/>
      <c r="O21" s="76"/>
      <c r="P21" s="76"/>
      <c r="Q21" s="76"/>
    </row>
    <row r="22" spans="1:17">
      <c r="A22" s="84" t="s">
        <v>118</v>
      </c>
      <c r="B22" s="85" t="s">
        <v>117</v>
      </c>
      <c r="C22" s="85" t="s">
        <v>92</v>
      </c>
      <c r="D22" s="84" t="s">
        <v>80</v>
      </c>
      <c r="E22" s="84">
        <f>VLOOKUP(A22,'2a. SI Pop'!$A$5:$E$198,5,FALSE)</f>
        <v>1</v>
      </c>
      <c r="F22" s="84" t="s">
        <v>580</v>
      </c>
      <c r="G22" s="84" t="s">
        <v>80</v>
      </c>
      <c r="H22" s="101">
        <v>100</v>
      </c>
      <c r="I22" s="3"/>
      <c r="J22" s="3"/>
      <c r="K22" s="3"/>
      <c r="L22" s="76"/>
      <c r="M22" s="76"/>
      <c r="N22" s="76"/>
      <c r="O22" s="76"/>
      <c r="P22" s="76"/>
      <c r="Q22" s="76"/>
    </row>
    <row r="23" spans="1:17">
      <c r="A23" s="84" t="s">
        <v>120</v>
      </c>
      <c r="B23" s="85" t="s">
        <v>119</v>
      </c>
      <c r="C23" s="85" t="s">
        <v>83</v>
      </c>
      <c r="D23" s="84" t="s">
        <v>84</v>
      </c>
      <c r="E23" s="84">
        <f>VLOOKUP(A23,'2a. SI Pop'!$A$5:$E$198,5,FALSE)</f>
        <v>3</v>
      </c>
      <c r="F23" s="84" t="s">
        <v>583</v>
      </c>
      <c r="G23" s="84" t="s">
        <v>84</v>
      </c>
      <c r="H23" s="101">
        <v>31</v>
      </c>
      <c r="I23" s="3"/>
      <c r="J23" s="3"/>
      <c r="K23" s="3"/>
      <c r="L23" s="76"/>
      <c r="M23" s="76"/>
      <c r="N23" s="76"/>
      <c r="O23" s="76"/>
      <c r="P23" s="76"/>
      <c r="Q23" s="76"/>
    </row>
    <row r="24" spans="1:17">
      <c r="A24" s="84" t="s">
        <v>122</v>
      </c>
      <c r="B24" s="85" t="s">
        <v>121</v>
      </c>
      <c r="C24" s="85" t="s">
        <v>110</v>
      </c>
      <c r="D24" s="84" t="s">
        <v>84</v>
      </c>
      <c r="E24" s="84">
        <f>VLOOKUP(A24,'2a. SI Pop'!$A$5:$E$198,5,FALSE)</f>
        <v>2</v>
      </c>
      <c r="F24" s="84" t="s">
        <v>581</v>
      </c>
      <c r="G24" s="84" t="s">
        <v>84</v>
      </c>
      <c r="H24" s="101">
        <v>40.004785859959128</v>
      </c>
      <c r="I24" s="3"/>
      <c r="J24" s="3"/>
      <c r="K24" s="3"/>
      <c r="L24" s="76"/>
      <c r="M24" s="76"/>
      <c r="N24" s="76"/>
      <c r="O24" s="76"/>
      <c r="P24" s="76"/>
      <c r="Q24" s="76"/>
    </row>
    <row r="25" spans="1:17">
      <c r="A25" s="84" t="s">
        <v>124</v>
      </c>
      <c r="B25" s="85" t="s">
        <v>123</v>
      </c>
      <c r="C25" s="85" t="s">
        <v>92</v>
      </c>
      <c r="D25" s="84" t="s">
        <v>84</v>
      </c>
      <c r="E25" s="84">
        <f>VLOOKUP(A25,'2a. SI Pop'!$A$5:$E$198,5,FALSE)</f>
        <v>2</v>
      </c>
      <c r="F25" s="84" t="s">
        <v>581</v>
      </c>
      <c r="G25" s="84" t="s">
        <v>84</v>
      </c>
      <c r="H25" s="101">
        <v>74.70494575276301</v>
      </c>
      <c r="I25" s="3"/>
      <c r="J25" s="3"/>
      <c r="K25" s="3"/>
      <c r="L25" s="76"/>
      <c r="M25" s="76"/>
      <c r="N25" s="76"/>
      <c r="O25" s="76"/>
      <c r="P25" s="76"/>
      <c r="Q25" s="76"/>
    </row>
    <row r="26" spans="1:17">
      <c r="A26" s="84" t="s">
        <v>126</v>
      </c>
      <c r="B26" s="85" t="s">
        <v>125</v>
      </c>
      <c r="C26" s="85" t="s">
        <v>79</v>
      </c>
      <c r="D26" s="84" t="s">
        <v>80</v>
      </c>
      <c r="E26" s="84">
        <f>VLOOKUP(A26,'2a. SI Pop'!$A$5:$E$198,5,FALSE)</f>
        <v>1</v>
      </c>
      <c r="F26" s="84" t="s">
        <v>580</v>
      </c>
      <c r="G26" s="84" t="s">
        <v>80</v>
      </c>
      <c r="H26" s="101">
        <v>100</v>
      </c>
      <c r="I26" s="3"/>
      <c r="J26" s="3"/>
      <c r="K26" s="3"/>
      <c r="L26" s="76"/>
      <c r="M26" s="76"/>
      <c r="N26" s="76"/>
      <c r="O26" s="76"/>
      <c r="P26" s="76"/>
      <c r="Q26" s="76"/>
    </row>
    <row r="27" spans="1:17">
      <c r="A27" s="84" t="s">
        <v>128</v>
      </c>
      <c r="B27" s="85" t="s">
        <v>127</v>
      </c>
      <c r="C27" s="85" t="s">
        <v>83</v>
      </c>
      <c r="D27" s="84" t="s">
        <v>80</v>
      </c>
      <c r="E27" s="84">
        <f>VLOOKUP(A27,'2a. SI Pop'!$A$5:$E$198,5,FALSE)</f>
        <v>2</v>
      </c>
      <c r="F27" s="84" t="s">
        <v>580</v>
      </c>
      <c r="G27" s="84" t="s">
        <v>80</v>
      </c>
      <c r="H27" s="101">
        <v>100</v>
      </c>
      <c r="I27" s="3"/>
      <c r="J27" s="3"/>
      <c r="K27" s="3"/>
      <c r="L27" s="76"/>
      <c r="M27" s="76"/>
      <c r="N27" s="76"/>
      <c r="O27" s="76"/>
      <c r="P27" s="76"/>
      <c r="Q27" s="76"/>
    </row>
    <row r="28" spans="1:17">
      <c r="A28" s="84" t="s">
        <v>130</v>
      </c>
      <c r="B28" s="85" t="s">
        <v>129</v>
      </c>
      <c r="C28" s="85" t="s">
        <v>92</v>
      </c>
      <c r="D28" s="84" t="s">
        <v>80</v>
      </c>
      <c r="E28" s="84" t="str">
        <f>VLOOKUP(A28,'2a. SI Pop'!$A$5:$E$198,5,FALSE)</f>
        <v>Key</v>
      </c>
      <c r="F28" s="84" t="s">
        <v>580</v>
      </c>
      <c r="G28" s="84" t="s">
        <v>80</v>
      </c>
      <c r="H28" s="101">
        <v>87.62651293511135</v>
      </c>
      <c r="I28" s="3"/>
      <c r="J28" s="3"/>
      <c r="K28" s="3"/>
      <c r="L28" s="76"/>
      <c r="M28" s="76"/>
      <c r="N28" s="76"/>
      <c r="O28" s="76"/>
      <c r="P28" s="76"/>
      <c r="Q28" s="76"/>
    </row>
    <row r="29" spans="1:17">
      <c r="A29" s="84" t="s">
        <v>132</v>
      </c>
      <c r="B29" s="85" t="s">
        <v>131</v>
      </c>
      <c r="C29" s="85" t="s">
        <v>99</v>
      </c>
      <c r="D29" s="84" t="s">
        <v>87</v>
      </c>
      <c r="E29" s="84">
        <f>VLOOKUP(A29,'2a. SI Pop'!$A$5:$E$198,5,FALSE)</f>
        <v>1</v>
      </c>
      <c r="F29" s="84" t="s">
        <v>580</v>
      </c>
      <c r="G29" s="84" t="s">
        <v>87</v>
      </c>
      <c r="H29" s="101">
        <v>100</v>
      </c>
      <c r="I29" s="3"/>
      <c r="J29" s="3"/>
      <c r="K29" s="3"/>
      <c r="L29" s="76"/>
      <c r="M29" s="76"/>
      <c r="N29" s="76"/>
      <c r="O29" s="76"/>
      <c r="P29" s="76"/>
      <c r="Q29" s="76"/>
    </row>
    <row r="30" spans="1:17">
      <c r="A30" s="84" t="s">
        <v>134</v>
      </c>
      <c r="B30" s="85" t="s">
        <v>133</v>
      </c>
      <c r="C30" s="85" t="s">
        <v>79</v>
      </c>
      <c r="D30" s="84" t="s">
        <v>80</v>
      </c>
      <c r="E30" s="84">
        <f>VLOOKUP(A30,'2a. SI Pop'!$A$5:$E$198,5,FALSE)</f>
        <v>1</v>
      </c>
      <c r="F30" s="84" t="s">
        <v>580</v>
      </c>
      <c r="G30" s="84" t="s">
        <v>80</v>
      </c>
      <c r="H30" s="101">
        <v>100</v>
      </c>
      <c r="I30" s="3"/>
      <c r="J30" s="3"/>
      <c r="K30" s="3"/>
      <c r="L30" s="76"/>
      <c r="M30" s="76"/>
      <c r="N30" s="76"/>
      <c r="O30" s="76"/>
      <c r="P30" s="76"/>
      <c r="Q30" s="76"/>
    </row>
    <row r="31" spans="1:17">
      <c r="A31" s="84" t="s">
        <v>136</v>
      </c>
      <c r="B31" s="85" t="s">
        <v>135</v>
      </c>
      <c r="C31" s="85" t="s">
        <v>83</v>
      </c>
      <c r="D31" s="84" t="s">
        <v>75</v>
      </c>
      <c r="E31" s="84">
        <f>VLOOKUP(A31,'2a. SI Pop'!$A$5:$E$198,5,FALSE)</f>
        <v>3</v>
      </c>
      <c r="F31" s="84" t="s">
        <v>583</v>
      </c>
      <c r="G31" s="84" t="s">
        <v>75</v>
      </c>
      <c r="H31" s="101">
        <v>17.999999999999982</v>
      </c>
      <c r="I31" s="3"/>
      <c r="J31" s="3"/>
      <c r="K31" s="3"/>
      <c r="L31" s="76"/>
      <c r="M31" s="76"/>
      <c r="N31" s="76"/>
      <c r="O31" s="76"/>
      <c r="P31" s="76"/>
      <c r="Q31" s="76"/>
    </row>
    <row r="32" spans="1:17">
      <c r="A32" s="84" t="s">
        <v>138</v>
      </c>
      <c r="B32" s="85" t="s">
        <v>137</v>
      </c>
      <c r="C32" s="85" t="s">
        <v>83</v>
      </c>
      <c r="D32" s="84" t="s">
        <v>75</v>
      </c>
      <c r="E32" s="84">
        <f>VLOOKUP(A32,'2a. SI Pop'!$A$5:$E$198,5,FALSE)</f>
        <v>3</v>
      </c>
      <c r="F32" s="84" t="s">
        <v>579</v>
      </c>
      <c r="G32" s="84" t="s">
        <v>75</v>
      </c>
      <c r="H32" s="101">
        <v>5.3138778187171214</v>
      </c>
      <c r="I32" s="3"/>
      <c r="J32" s="3"/>
      <c r="K32" s="3"/>
      <c r="L32" s="76"/>
      <c r="M32" s="76"/>
      <c r="N32" s="76"/>
      <c r="O32" s="76"/>
      <c r="P32" s="76"/>
      <c r="Q32" s="76"/>
    </row>
    <row r="33" spans="1:17">
      <c r="A33" s="84" t="s">
        <v>140</v>
      </c>
      <c r="B33" s="85" t="s">
        <v>139</v>
      </c>
      <c r="C33" s="85" t="s">
        <v>99</v>
      </c>
      <c r="D33" s="84" t="s">
        <v>84</v>
      </c>
      <c r="E33" s="84">
        <f>VLOOKUP(A33,'2a. SI Pop'!$A$5:$E$198,5,FALSE)</f>
        <v>4</v>
      </c>
      <c r="F33" s="84" t="s">
        <v>581</v>
      </c>
      <c r="G33" s="84" t="s">
        <v>84</v>
      </c>
      <c r="H33" s="101">
        <v>28.146829650507943</v>
      </c>
      <c r="I33" s="3"/>
      <c r="J33" s="3"/>
      <c r="K33" s="3"/>
      <c r="L33" s="76"/>
      <c r="M33" s="76"/>
      <c r="N33" s="76"/>
      <c r="O33" s="76"/>
      <c r="P33" s="76"/>
      <c r="Q33" s="76"/>
    </row>
    <row r="34" spans="1:17">
      <c r="A34" s="84" t="s">
        <v>142</v>
      </c>
      <c r="B34" s="85" t="s">
        <v>141</v>
      </c>
      <c r="C34" s="85" t="s">
        <v>83</v>
      </c>
      <c r="D34" s="84" t="s">
        <v>84</v>
      </c>
      <c r="E34" s="84">
        <f>VLOOKUP(A34,'2a. SI Pop'!$A$5:$E$198,5,FALSE)</f>
        <v>3</v>
      </c>
      <c r="F34" s="84" t="s">
        <v>584</v>
      </c>
      <c r="G34" s="84" t="s">
        <v>84</v>
      </c>
      <c r="H34" s="101">
        <v>32.641863799715843</v>
      </c>
      <c r="I34" s="3"/>
      <c r="J34" s="3"/>
      <c r="K34" s="3"/>
      <c r="L34" s="76"/>
      <c r="M34" s="76"/>
      <c r="N34" s="76"/>
      <c r="O34" s="76"/>
      <c r="P34" s="76"/>
      <c r="Q34" s="76"/>
    </row>
    <row r="35" spans="1:17">
      <c r="A35" s="84" t="s">
        <v>144</v>
      </c>
      <c r="B35" s="85" t="s">
        <v>143</v>
      </c>
      <c r="C35" s="85" t="s">
        <v>92</v>
      </c>
      <c r="D35" s="84" t="s">
        <v>87</v>
      </c>
      <c r="E35" s="84">
        <f>VLOOKUP(A35,'2a. SI Pop'!$A$5:$E$198,5,FALSE)</f>
        <v>1</v>
      </c>
      <c r="F35" s="84" t="s">
        <v>580</v>
      </c>
      <c r="G35" s="84" t="s">
        <v>87</v>
      </c>
      <c r="H35" s="101" t="s">
        <v>582</v>
      </c>
      <c r="I35" s="3"/>
      <c r="J35" s="3"/>
      <c r="K35" s="3"/>
      <c r="L35" s="76"/>
      <c r="M35" s="76"/>
      <c r="N35" s="76"/>
      <c r="O35" s="76"/>
      <c r="P35" s="76"/>
      <c r="Q35" s="76"/>
    </row>
    <row r="36" spans="1:17">
      <c r="A36" s="84" t="s">
        <v>146</v>
      </c>
      <c r="B36" s="85" t="s">
        <v>145</v>
      </c>
      <c r="C36" s="85" t="s">
        <v>83</v>
      </c>
      <c r="D36" s="84" t="s">
        <v>84</v>
      </c>
      <c r="E36" s="84">
        <f>VLOOKUP(A36,'2a. SI Pop'!$A$5:$E$198,5,FALSE)</f>
        <v>2</v>
      </c>
      <c r="F36" s="84" t="s">
        <v>580</v>
      </c>
      <c r="G36" s="84" t="s">
        <v>84</v>
      </c>
      <c r="H36" s="101">
        <v>100</v>
      </c>
      <c r="I36" s="3"/>
      <c r="J36" s="3"/>
      <c r="K36" s="3"/>
      <c r="L36" s="76"/>
      <c r="M36" s="76"/>
      <c r="N36" s="76"/>
      <c r="O36" s="76"/>
      <c r="P36" s="76"/>
      <c r="Q36" s="76"/>
    </row>
    <row r="37" spans="1:17">
      <c r="A37" s="84" t="s">
        <v>148</v>
      </c>
      <c r="B37" s="85" t="s">
        <v>147</v>
      </c>
      <c r="C37" s="85" t="s">
        <v>83</v>
      </c>
      <c r="D37" s="84" t="s">
        <v>75</v>
      </c>
      <c r="E37" s="84">
        <f>VLOOKUP(A37,'2a. SI Pop'!$A$5:$E$198,5,FALSE)</f>
        <v>3</v>
      </c>
      <c r="F37" s="84" t="s">
        <v>584</v>
      </c>
      <c r="G37" s="84" t="s">
        <v>75</v>
      </c>
      <c r="H37" s="101">
        <v>4.4267011556296643</v>
      </c>
      <c r="I37" s="3"/>
      <c r="J37" s="3"/>
      <c r="K37" s="3"/>
      <c r="L37" s="76"/>
      <c r="M37" s="76"/>
      <c r="N37" s="76"/>
      <c r="O37" s="76"/>
      <c r="P37" s="76"/>
      <c r="Q37" s="76"/>
    </row>
    <row r="38" spans="1:17">
      <c r="A38" s="84" t="s">
        <v>150</v>
      </c>
      <c r="B38" s="85" t="s">
        <v>149</v>
      </c>
      <c r="C38" s="85" t="s">
        <v>83</v>
      </c>
      <c r="D38" s="84" t="s">
        <v>75</v>
      </c>
      <c r="E38" s="84" t="str">
        <f>VLOOKUP(A38,'2a. SI Pop'!$A$5:$E$198,5,FALSE)</f>
        <v>Key</v>
      </c>
      <c r="F38" s="84" t="s">
        <v>579</v>
      </c>
      <c r="G38" s="84" t="s">
        <v>75</v>
      </c>
      <c r="H38" s="101">
        <v>15.818807196821801</v>
      </c>
      <c r="I38" s="3"/>
      <c r="J38" s="3"/>
      <c r="K38" s="3"/>
      <c r="L38" s="76"/>
      <c r="M38" s="76"/>
      <c r="N38" s="76"/>
      <c r="O38" s="76"/>
      <c r="P38" s="76"/>
      <c r="Q38" s="76"/>
    </row>
    <row r="39" spans="1:17">
      <c r="A39" s="84" t="s">
        <v>152</v>
      </c>
      <c r="B39" s="85" t="s">
        <v>151</v>
      </c>
      <c r="C39" s="85" t="s">
        <v>92</v>
      </c>
      <c r="D39" s="84" t="s">
        <v>87</v>
      </c>
      <c r="E39" s="84">
        <f>VLOOKUP(A39,'2a. SI Pop'!$A$5:$E$198,5,FALSE)</f>
        <v>2</v>
      </c>
      <c r="F39" s="84" t="s">
        <v>580</v>
      </c>
      <c r="G39" s="84" t="s">
        <v>87</v>
      </c>
      <c r="H39" s="101">
        <v>100</v>
      </c>
      <c r="I39" s="3"/>
      <c r="J39" s="3"/>
      <c r="K39" s="3"/>
      <c r="L39" s="76"/>
      <c r="M39" s="76"/>
      <c r="N39" s="76"/>
      <c r="O39" s="76"/>
      <c r="P39" s="76"/>
      <c r="Q39" s="76"/>
    </row>
    <row r="40" spans="1:17">
      <c r="A40" s="84" t="s">
        <v>154</v>
      </c>
      <c r="B40" s="85" t="s">
        <v>153</v>
      </c>
      <c r="C40" s="85" t="s">
        <v>99</v>
      </c>
      <c r="D40" s="84" t="s">
        <v>80</v>
      </c>
      <c r="E40" s="84">
        <f>VLOOKUP(A40,'2a. SI Pop'!$A$5:$E$198,5,FALSE)</f>
        <v>1</v>
      </c>
      <c r="F40" s="84" t="s">
        <v>580</v>
      </c>
      <c r="G40" s="84" t="s">
        <v>80</v>
      </c>
      <c r="H40" s="101">
        <v>100</v>
      </c>
      <c r="I40" s="3"/>
      <c r="J40" s="3"/>
      <c r="K40" s="3"/>
      <c r="L40" s="76"/>
      <c r="M40" s="76"/>
      <c r="N40" s="76"/>
      <c r="O40" s="76"/>
      <c r="P40" s="76"/>
      <c r="Q40" s="76"/>
    </row>
    <row r="41" spans="1:17">
      <c r="A41" s="84" t="s">
        <v>156</v>
      </c>
      <c r="B41" s="85" t="s">
        <v>155</v>
      </c>
      <c r="C41" s="85" t="s">
        <v>92</v>
      </c>
      <c r="D41" s="84" t="s">
        <v>80</v>
      </c>
      <c r="E41" s="84">
        <f>VLOOKUP(A41,'2a. SI Pop'!$A$5:$E$198,5,FALSE)</f>
        <v>2</v>
      </c>
      <c r="F41" s="84" t="s">
        <v>580</v>
      </c>
      <c r="G41" s="84" t="s">
        <v>80</v>
      </c>
      <c r="H41" s="101">
        <v>100</v>
      </c>
      <c r="I41" s="3"/>
      <c r="J41" s="3"/>
      <c r="K41" s="3"/>
      <c r="L41" s="76"/>
      <c r="M41" s="76"/>
      <c r="N41" s="76"/>
      <c r="O41" s="76"/>
      <c r="P41" s="76"/>
      <c r="Q41" s="76"/>
    </row>
    <row r="42" spans="1:17">
      <c r="A42" s="84" t="s">
        <v>158</v>
      </c>
      <c r="B42" s="85" t="s">
        <v>157</v>
      </c>
      <c r="C42" s="85" t="s">
        <v>83</v>
      </c>
      <c r="D42" s="84" t="s">
        <v>84</v>
      </c>
      <c r="E42" s="84">
        <f>VLOOKUP(A42,'2a. SI Pop'!$A$5:$E$198,5,FALSE)</f>
        <v>3</v>
      </c>
      <c r="F42" s="84" t="s">
        <v>583</v>
      </c>
      <c r="G42" s="84" t="s">
        <v>84</v>
      </c>
      <c r="H42" s="101">
        <v>7.59493670886076</v>
      </c>
      <c r="I42" s="3"/>
      <c r="J42" s="3"/>
      <c r="K42" s="3"/>
      <c r="L42" s="76"/>
      <c r="M42" s="76"/>
      <c r="N42" s="76"/>
      <c r="O42" s="76"/>
      <c r="P42" s="76"/>
      <c r="Q42" s="76"/>
    </row>
    <row r="43" spans="1:17">
      <c r="A43" s="84" t="s">
        <v>160</v>
      </c>
      <c r="B43" s="85" t="s">
        <v>159</v>
      </c>
      <c r="C43" s="85" t="s">
        <v>83</v>
      </c>
      <c r="D43" s="84" t="s">
        <v>84</v>
      </c>
      <c r="E43" s="84">
        <f>VLOOKUP(A43,'2a. SI Pop'!$A$5:$E$198,5,FALSE)</f>
        <v>3</v>
      </c>
      <c r="F43" s="84" t="s">
        <v>583</v>
      </c>
      <c r="G43" s="84" t="s">
        <v>84</v>
      </c>
      <c r="H43" s="101">
        <v>78.370499375307375</v>
      </c>
      <c r="I43" s="3"/>
      <c r="J43" s="3"/>
      <c r="K43" s="3"/>
      <c r="L43" s="76"/>
      <c r="M43" s="76"/>
      <c r="N43" s="76"/>
      <c r="O43" s="76"/>
      <c r="P43" s="76"/>
      <c r="Q43" s="76"/>
    </row>
    <row r="44" spans="1:17">
      <c r="A44" s="84" t="s">
        <v>162</v>
      </c>
      <c r="B44" s="85" t="s">
        <v>161</v>
      </c>
      <c r="C44" s="85" t="s">
        <v>99</v>
      </c>
      <c r="D44" s="84" t="e">
        <v>#N/A</v>
      </c>
      <c r="E44" s="84">
        <f>VLOOKUP(A44,'2a. SI Pop'!$A$5:$E$198,5,FALSE)</f>
        <v>1</v>
      </c>
      <c r="F44" s="84" t="s">
        <v>580</v>
      </c>
      <c r="G44" s="84" t="e">
        <v>#N/A</v>
      </c>
      <c r="H44" s="101">
        <v>0</v>
      </c>
      <c r="I44" s="3"/>
      <c r="J44" s="3"/>
      <c r="K44" s="3"/>
      <c r="L44" s="76"/>
      <c r="M44" s="76"/>
      <c r="N44" s="76"/>
      <c r="O44" s="76"/>
      <c r="P44" s="76"/>
      <c r="Q44" s="76"/>
    </row>
    <row r="45" spans="1:17">
      <c r="A45" s="84" t="s">
        <v>164</v>
      </c>
      <c r="B45" s="85" t="s">
        <v>163</v>
      </c>
      <c r="C45" s="85" t="s">
        <v>92</v>
      </c>
      <c r="D45" s="84" t="s">
        <v>80</v>
      </c>
      <c r="E45" s="84">
        <f>VLOOKUP(A45,'2a. SI Pop'!$A$5:$E$198,5,FALSE)</f>
        <v>2</v>
      </c>
      <c r="F45" s="84" t="s">
        <v>580</v>
      </c>
      <c r="G45" s="84" t="s">
        <v>80</v>
      </c>
      <c r="H45" s="101">
        <v>100</v>
      </c>
      <c r="I45" s="3"/>
      <c r="J45" s="3"/>
      <c r="K45" s="3"/>
      <c r="L45" s="76"/>
      <c r="M45" s="76"/>
      <c r="N45" s="76"/>
      <c r="O45" s="76"/>
      <c r="P45" s="76"/>
      <c r="Q45" s="76"/>
    </row>
    <row r="46" spans="1:17">
      <c r="A46" s="84" t="s">
        <v>166</v>
      </c>
      <c r="B46" s="85" t="s">
        <v>165</v>
      </c>
      <c r="C46" s="85" t="s">
        <v>83</v>
      </c>
      <c r="D46" s="84" t="s">
        <v>84</v>
      </c>
      <c r="E46" s="84">
        <f>VLOOKUP(A46,'2a. SI Pop'!$A$5:$E$198,5,FALSE)</f>
        <v>3</v>
      </c>
      <c r="F46" s="84" t="s">
        <v>581</v>
      </c>
      <c r="G46" s="84" t="s">
        <v>84</v>
      </c>
      <c r="H46" s="101">
        <v>54.203482915290543</v>
      </c>
      <c r="I46" s="3"/>
      <c r="J46" s="3"/>
      <c r="K46" s="3"/>
      <c r="L46" s="76"/>
      <c r="M46" s="76"/>
      <c r="N46" s="76"/>
      <c r="O46" s="76"/>
      <c r="P46" s="76"/>
      <c r="Q46" s="76"/>
    </row>
    <row r="47" spans="1:17">
      <c r="A47" s="84" t="s">
        <v>168</v>
      </c>
      <c r="B47" s="85" t="s">
        <v>167</v>
      </c>
      <c r="C47" s="85" t="s">
        <v>79</v>
      </c>
      <c r="D47" s="84" t="s">
        <v>87</v>
      </c>
      <c r="E47" s="84">
        <f>VLOOKUP(A47,'2a. SI Pop'!$A$5:$E$198,5,FALSE)</f>
        <v>1</v>
      </c>
      <c r="F47" s="84" t="s">
        <v>580</v>
      </c>
      <c r="G47" s="84" t="s">
        <v>87</v>
      </c>
      <c r="H47" s="101">
        <v>100</v>
      </c>
      <c r="I47" s="3"/>
      <c r="J47" s="3"/>
      <c r="K47" s="3"/>
      <c r="L47" s="76"/>
      <c r="M47" s="76"/>
      <c r="N47" s="76"/>
      <c r="O47" s="76"/>
      <c r="P47" s="76"/>
      <c r="Q47" s="76"/>
    </row>
    <row r="48" spans="1:17">
      <c r="A48" s="84" t="s">
        <v>170</v>
      </c>
      <c r="B48" s="85" t="s">
        <v>169</v>
      </c>
      <c r="C48" s="85" t="s">
        <v>92</v>
      </c>
      <c r="D48" s="84" t="s">
        <v>80</v>
      </c>
      <c r="E48" s="84">
        <f>VLOOKUP(A48,'2a. SI Pop'!$A$5:$E$198,5,FALSE)</f>
        <v>1</v>
      </c>
      <c r="F48" s="84" t="s">
        <v>581</v>
      </c>
      <c r="G48" s="84" t="s">
        <v>80</v>
      </c>
      <c r="H48" s="101">
        <v>98.85501870397529</v>
      </c>
      <c r="I48" s="3"/>
      <c r="J48" s="3"/>
      <c r="K48" s="3"/>
      <c r="L48" s="76"/>
      <c r="M48" s="76"/>
      <c r="N48" s="76"/>
      <c r="O48" s="76"/>
      <c r="P48" s="76"/>
      <c r="Q48" s="76"/>
    </row>
    <row r="49" spans="1:17">
      <c r="A49" s="84" t="s">
        <v>172</v>
      </c>
      <c r="B49" s="85" t="s">
        <v>171</v>
      </c>
      <c r="C49" s="85" t="s">
        <v>79</v>
      </c>
      <c r="D49" s="84" t="s">
        <v>87</v>
      </c>
      <c r="E49" s="84">
        <f>VLOOKUP(A49,'2a. SI Pop'!$A$5:$E$198,5,FALSE)</f>
        <v>1</v>
      </c>
      <c r="F49" s="84" t="s">
        <v>580</v>
      </c>
      <c r="G49" s="84" t="s">
        <v>87</v>
      </c>
      <c r="H49" s="101">
        <v>15.397856497231452</v>
      </c>
      <c r="I49" s="3"/>
      <c r="J49" s="3"/>
      <c r="K49" s="3"/>
      <c r="L49" s="76"/>
      <c r="M49" s="76"/>
      <c r="N49" s="76"/>
      <c r="O49" s="76"/>
      <c r="P49" s="76"/>
      <c r="Q49" s="76"/>
    </row>
    <row r="50" spans="1:17">
      <c r="A50" s="84" t="s">
        <v>174</v>
      </c>
      <c r="B50" s="85" t="s">
        <v>173</v>
      </c>
      <c r="C50" s="85" t="s">
        <v>79</v>
      </c>
      <c r="D50" s="84" t="s">
        <v>87</v>
      </c>
      <c r="E50" s="84">
        <f>VLOOKUP(A50,'2a. SI Pop'!$A$5:$E$198,5,FALSE)</f>
        <v>1</v>
      </c>
      <c r="F50" s="84" t="s">
        <v>580</v>
      </c>
      <c r="G50" s="84" t="s">
        <v>87</v>
      </c>
      <c r="H50" s="101" t="s">
        <v>582</v>
      </c>
      <c r="I50" s="3"/>
      <c r="J50" s="3"/>
      <c r="K50" s="3"/>
      <c r="L50" s="76"/>
      <c r="M50" s="76"/>
      <c r="N50" s="76"/>
      <c r="O50" s="76"/>
      <c r="P50" s="76"/>
      <c r="Q50" s="76"/>
    </row>
    <row r="51" spans="1:17">
      <c r="A51" s="84" t="s">
        <v>176</v>
      </c>
      <c r="B51" s="85" t="s">
        <v>175</v>
      </c>
      <c r="C51" s="85" t="s">
        <v>110</v>
      </c>
      <c r="D51" s="84" t="s">
        <v>75</v>
      </c>
      <c r="E51" s="84">
        <f>VLOOKUP(A51,'2a. SI Pop'!$A$5:$E$198,5,FALSE)</f>
        <v>4</v>
      </c>
      <c r="F51" s="84" t="s">
        <v>579</v>
      </c>
      <c r="G51" s="84" t="s">
        <v>75</v>
      </c>
      <c r="H51" s="101">
        <v>21.702048408425537</v>
      </c>
      <c r="I51" s="3"/>
      <c r="J51" s="3"/>
      <c r="K51" s="3"/>
      <c r="L51" s="76"/>
      <c r="M51" s="76"/>
      <c r="N51" s="76"/>
      <c r="O51" s="76"/>
      <c r="P51" s="76"/>
      <c r="Q51" s="76"/>
    </row>
    <row r="52" spans="1:17">
      <c r="A52" s="84" t="s">
        <v>178</v>
      </c>
      <c r="B52" s="85" t="s">
        <v>177</v>
      </c>
      <c r="C52" s="85" t="s">
        <v>83</v>
      </c>
      <c r="D52" s="84" t="s">
        <v>75</v>
      </c>
      <c r="E52" s="84" t="str">
        <f>VLOOKUP(A52,'2a. SI Pop'!$A$5:$E$198,5,FALSE)</f>
        <v>Key</v>
      </c>
      <c r="F52" s="84" t="s">
        <v>579</v>
      </c>
      <c r="G52" s="84" t="s">
        <v>75</v>
      </c>
      <c r="H52" s="101">
        <v>6.4241366999152199</v>
      </c>
      <c r="I52" s="3"/>
      <c r="J52" s="3"/>
      <c r="K52" s="3"/>
      <c r="L52" s="76"/>
      <c r="M52" s="76"/>
      <c r="N52" s="76"/>
      <c r="O52" s="76"/>
      <c r="P52" s="76"/>
      <c r="Q52" s="76"/>
    </row>
    <row r="53" spans="1:17">
      <c r="A53" s="84" t="s">
        <v>180</v>
      </c>
      <c r="B53" s="85" t="s">
        <v>179</v>
      </c>
      <c r="C53" s="85" t="s">
        <v>79</v>
      </c>
      <c r="D53" s="84" t="s">
        <v>87</v>
      </c>
      <c r="E53" s="84">
        <f>VLOOKUP(A53,'2a. SI Pop'!$A$5:$E$198,5,FALSE)</f>
        <v>1</v>
      </c>
      <c r="F53" s="84" t="s">
        <v>580</v>
      </c>
      <c r="G53" s="84" t="s">
        <v>87</v>
      </c>
      <c r="H53" s="101" t="s">
        <v>582</v>
      </c>
      <c r="I53" s="3"/>
      <c r="J53" s="3"/>
      <c r="K53" s="3"/>
      <c r="L53" s="76"/>
      <c r="M53" s="76"/>
      <c r="N53" s="76"/>
      <c r="O53" s="76"/>
      <c r="P53" s="76"/>
      <c r="Q53" s="76"/>
    </row>
    <row r="54" spans="1:17">
      <c r="A54" s="84" t="s">
        <v>182</v>
      </c>
      <c r="B54" s="85" t="s">
        <v>181</v>
      </c>
      <c r="C54" s="85" t="s">
        <v>74</v>
      </c>
      <c r="D54" s="84" t="s">
        <v>84</v>
      </c>
      <c r="E54" s="84">
        <f>VLOOKUP(A54,'2a. SI Pop'!$A$5:$E$198,5,FALSE)</f>
        <v>3</v>
      </c>
      <c r="F54" s="84" t="s">
        <v>581</v>
      </c>
      <c r="G54" s="84" t="s">
        <v>84</v>
      </c>
      <c r="H54" s="101">
        <v>8.3333333333333321</v>
      </c>
      <c r="I54" s="3"/>
      <c r="J54" s="3"/>
      <c r="K54" s="3"/>
      <c r="L54" s="76"/>
      <c r="M54" s="76"/>
      <c r="N54" s="76"/>
      <c r="O54" s="76"/>
      <c r="P54" s="76"/>
      <c r="Q54" s="76"/>
    </row>
    <row r="55" spans="1:17">
      <c r="A55" s="84" t="s">
        <v>184</v>
      </c>
      <c r="B55" s="85" t="s">
        <v>183</v>
      </c>
      <c r="C55" s="85" t="s">
        <v>92</v>
      </c>
      <c r="D55" s="84" t="s">
        <v>80</v>
      </c>
      <c r="E55" s="84">
        <f>VLOOKUP(A55,'2a. SI Pop'!$A$5:$E$198,5,FALSE)</f>
        <v>2</v>
      </c>
      <c r="F55" s="84" t="s">
        <v>580</v>
      </c>
      <c r="G55" s="84" t="s">
        <v>80</v>
      </c>
      <c r="H55" s="101">
        <v>100</v>
      </c>
      <c r="I55" s="3"/>
      <c r="J55" s="3"/>
      <c r="K55" s="3"/>
      <c r="L55" s="76"/>
      <c r="M55" s="76"/>
      <c r="N55" s="76"/>
      <c r="O55" s="76"/>
      <c r="P55" s="76"/>
      <c r="Q55" s="76"/>
    </row>
    <row r="56" spans="1:17">
      <c r="A56" s="84" t="s">
        <v>184</v>
      </c>
      <c r="B56" s="85" t="s">
        <v>185</v>
      </c>
      <c r="C56" s="85" t="s">
        <v>92</v>
      </c>
      <c r="D56" s="84" t="s">
        <v>80</v>
      </c>
      <c r="E56" s="84">
        <f>VLOOKUP(A56,'2a. SI Pop'!$A$5:$E$198,5,FALSE)</f>
        <v>2</v>
      </c>
      <c r="F56" s="84" t="s">
        <v>580</v>
      </c>
      <c r="G56" s="84" t="s">
        <v>80</v>
      </c>
      <c r="H56" s="101">
        <v>100</v>
      </c>
      <c r="I56" s="3"/>
      <c r="J56" s="3"/>
      <c r="K56" s="3"/>
      <c r="L56" s="76"/>
      <c r="M56" s="76"/>
      <c r="N56" s="76"/>
      <c r="O56" s="76"/>
      <c r="P56" s="76"/>
      <c r="Q56" s="76"/>
    </row>
    <row r="57" spans="1:17">
      <c r="A57" s="84" t="s">
        <v>187</v>
      </c>
      <c r="B57" s="85" t="s">
        <v>186</v>
      </c>
      <c r="C57" s="85" t="s">
        <v>92</v>
      </c>
      <c r="D57" s="84" t="s">
        <v>80</v>
      </c>
      <c r="E57" s="84">
        <f>VLOOKUP(A57,'2a. SI Pop'!$A$5:$E$198,5,FALSE)</f>
        <v>2</v>
      </c>
      <c r="F57" s="84" t="s">
        <v>580</v>
      </c>
      <c r="G57" s="84" t="s">
        <v>80</v>
      </c>
      <c r="H57" s="101">
        <v>99.076176784919156</v>
      </c>
      <c r="I57" s="3"/>
      <c r="J57" s="3"/>
      <c r="K57" s="3"/>
      <c r="L57" s="76"/>
      <c r="M57" s="76"/>
      <c r="N57" s="76"/>
      <c r="O57" s="76"/>
      <c r="P57" s="76"/>
      <c r="Q57" s="76"/>
    </row>
    <row r="58" spans="1:17">
      <c r="A58" s="84" t="s">
        <v>189</v>
      </c>
      <c r="B58" s="85" t="s">
        <v>188</v>
      </c>
      <c r="C58" s="85" t="s">
        <v>74</v>
      </c>
      <c r="D58" s="84" t="s">
        <v>84</v>
      </c>
      <c r="E58" s="84">
        <f>VLOOKUP(A58,'2a. SI Pop'!$A$5:$E$198,5,FALSE)</f>
        <v>2</v>
      </c>
      <c r="F58" s="84" t="s">
        <v>580</v>
      </c>
      <c r="G58" s="84" t="s">
        <v>84</v>
      </c>
      <c r="H58" s="101">
        <v>100</v>
      </c>
      <c r="I58" s="3"/>
      <c r="J58" s="3"/>
      <c r="K58" s="3"/>
      <c r="L58" s="76"/>
      <c r="M58" s="76"/>
      <c r="N58" s="76"/>
      <c r="O58" s="76"/>
      <c r="P58" s="76"/>
      <c r="Q58" s="76"/>
    </row>
    <row r="59" spans="1:17">
      <c r="A59" s="84" t="s">
        <v>191</v>
      </c>
      <c r="B59" s="85" t="s">
        <v>190</v>
      </c>
      <c r="C59" s="85" t="s">
        <v>92</v>
      </c>
      <c r="D59" s="84" t="s">
        <v>84</v>
      </c>
      <c r="E59" s="84">
        <f>VLOOKUP(A59,'2a. SI Pop'!$A$5:$E$198,5,FALSE)</f>
        <v>1</v>
      </c>
      <c r="F59" s="84" t="s">
        <v>580</v>
      </c>
      <c r="G59" s="84" t="s">
        <v>84</v>
      </c>
      <c r="H59" s="101">
        <v>89.681219893132933</v>
      </c>
      <c r="I59" s="3"/>
      <c r="J59" s="3"/>
      <c r="K59" s="3"/>
      <c r="L59" s="76"/>
      <c r="M59" s="76"/>
      <c r="N59" s="76"/>
      <c r="O59" s="76"/>
      <c r="P59" s="76"/>
      <c r="Q59" s="76"/>
    </row>
    <row r="60" spans="1:17">
      <c r="A60" s="84" t="s">
        <v>193</v>
      </c>
      <c r="B60" s="85" t="s">
        <v>192</v>
      </c>
      <c r="C60" s="85" t="s">
        <v>83</v>
      </c>
      <c r="D60" s="84" t="s">
        <v>80</v>
      </c>
      <c r="E60" s="84">
        <f>VLOOKUP(A60,'2a. SI Pop'!$A$5:$E$198,5,FALSE)</f>
        <v>3</v>
      </c>
      <c r="F60" s="84" t="s">
        <v>580</v>
      </c>
      <c r="G60" s="84" t="s">
        <v>80</v>
      </c>
      <c r="H60" s="101">
        <v>100</v>
      </c>
      <c r="I60" s="3"/>
      <c r="J60" s="3"/>
      <c r="K60" s="3"/>
      <c r="L60" s="76"/>
      <c r="M60" s="76"/>
      <c r="N60" s="76"/>
      <c r="O60" s="76"/>
      <c r="P60" s="76"/>
      <c r="Q60" s="76"/>
    </row>
    <row r="61" spans="1:17">
      <c r="A61" s="84" t="s">
        <v>195</v>
      </c>
      <c r="B61" s="85" t="s">
        <v>194</v>
      </c>
      <c r="C61" s="85" t="s">
        <v>83</v>
      </c>
      <c r="D61" s="84" t="s">
        <v>75</v>
      </c>
      <c r="E61" s="84">
        <f>VLOOKUP(A61,'2a. SI Pop'!$A$5:$E$198,5,FALSE)</f>
        <v>3</v>
      </c>
      <c r="F61" s="84" t="s">
        <v>579</v>
      </c>
      <c r="G61" s="84" t="s">
        <v>75</v>
      </c>
      <c r="H61" s="101">
        <v>13.219797372280869</v>
      </c>
      <c r="I61" s="3"/>
      <c r="J61" s="3"/>
      <c r="K61" s="3"/>
      <c r="L61" s="76"/>
      <c r="M61" s="76"/>
      <c r="N61" s="76"/>
      <c r="O61" s="76"/>
      <c r="P61" s="76"/>
      <c r="Q61" s="76"/>
    </row>
    <row r="62" spans="1:17">
      <c r="A62" s="84" t="s">
        <v>197</v>
      </c>
      <c r="B62" s="85" t="s">
        <v>196</v>
      </c>
      <c r="C62" s="85" t="s">
        <v>79</v>
      </c>
      <c r="D62" s="84" t="s">
        <v>87</v>
      </c>
      <c r="E62" s="84">
        <f>VLOOKUP(A62,'2a. SI Pop'!$A$5:$E$198,5,FALSE)</f>
        <v>1</v>
      </c>
      <c r="F62" s="84" t="s">
        <v>580</v>
      </c>
      <c r="G62" s="84" t="s">
        <v>87</v>
      </c>
      <c r="H62" s="101">
        <v>100</v>
      </c>
      <c r="I62" s="3"/>
      <c r="J62" s="3"/>
      <c r="K62" s="3"/>
      <c r="L62" s="76"/>
      <c r="M62" s="76"/>
      <c r="N62" s="76"/>
      <c r="O62" s="76"/>
      <c r="P62" s="76"/>
      <c r="Q62" s="76"/>
    </row>
    <row r="63" spans="1:17">
      <c r="A63" s="84" t="s">
        <v>199</v>
      </c>
      <c r="B63" s="85" t="s">
        <v>198</v>
      </c>
      <c r="C63" s="85" t="s">
        <v>83</v>
      </c>
      <c r="D63" s="84" t="s">
        <v>75</v>
      </c>
      <c r="E63" s="84" t="str">
        <f>VLOOKUP(A63,'2a. SI Pop'!$A$5:$E$198,5,FALSE)</f>
        <v>Key</v>
      </c>
      <c r="F63" s="84" t="s">
        <v>583</v>
      </c>
      <c r="G63" s="84" t="s">
        <v>75</v>
      </c>
      <c r="H63" s="101">
        <v>14.752474572462514</v>
      </c>
      <c r="I63" s="3"/>
      <c r="J63" s="3"/>
      <c r="K63" s="3"/>
      <c r="L63" s="76"/>
      <c r="M63" s="76"/>
      <c r="N63" s="76"/>
      <c r="O63" s="76"/>
      <c r="P63" s="76"/>
      <c r="Q63" s="76"/>
    </row>
    <row r="64" spans="1:17">
      <c r="A64" s="84" t="s">
        <v>201</v>
      </c>
      <c r="B64" s="85" t="s">
        <v>200</v>
      </c>
      <c r="C64" s="85" t="s">
        <v>99</v>
      </c>
      <c r="D64" s="84" t="s">
        <v>80</v>
      </c>
      <c r="E64" s="84">
        <f>VLOOKUP(A64,'2a. SI Pop'!$A$5:$E$198,5,FALSE)</f>
        <v>4</v>
      </c>
      <c r="F64" s="84" t="s">
        <v>580</v>
      </c>
      <c r="G64" s="84" t="s">
        <v>80</v>
      </c>
      <c r="H64" s="101">
        <v>93.000000000000028</v>
      </c>
      <c r="I64" s="3"/>
      <c r="J64" s="3"/>
      <c r="K64" s="3"/>
      <c r="L64" s="76"/>
      <c r="M64" s="76"/>
      <c r="N64" s="76"/>
      <c r="O64" s="76"/>
      <c r="P64" s="76"/>
      <c r="Q64" s="76"/>
    </row>
    <row r="65" spans="1:17">
      <c r="A65" s="84" t="s">
        <v>203</v>
      </c>
      <c r="B65" s="85" t="s">
        <v>202</v>
      </c>
      <c r="C65" s="85" t="s">
        <v>79</v>
      </c>
      <c r="D65" s="84" t="s">
        <v>87</v>
      </c>
      <c r="E65" s="84">
        <f>VLOOKUP(A65,'2a. SI Pop'!$A$5:$E$198,5,FALSE)</f>
        <v>1</v>
      </c>
      <c r="F65" s="84" t="s">
        <v>580</v>
      </c>
      <c r="G65" s="84" t="s">
        <v>87</v>
      </c>
      <c r="H65" s="101">
        <v>100</v>
      </c>
      <c r="I65" s="3"/>
      <c r="J65" s="3"/>
      <c r="K65" s="3"/>
      <c r="L65" s="76"/>
      <c r="M65" s="76"/>
      <c r="N65" s="76"/>
      <c r="O65" s="76"/>
      <c r="P65" s="76"/>
      <c r="Q65" s="76"/>
    </row>
    <row r="66" spans="1:17">
      <c r="A66" s="84" t="s">
        <v>205</v>
      </c>
      <c r="B66" s="85" t="s">
        <v>204</v>
      </c>
      <c r="C66" s="85" t="s">
        <v>79</v>
      </c>
      <c r="D66" s="84" t="s">
        <v>87</v>
      </c>
      <c r="E66" s="84">
        <f>VLOOKUP(A66,'2a. SI Pop'!$A$5:$E$198,5,FALSE)</f>
        <v>1</v>
      </c>
      <c r="F66" s="84" t="s">
        <v>580</v>
      </c>
      <c r="G66" s="84" t="s">
        <v>87</v>
      </c>
      <c r="H66" s="101" t="s">
        <v>582</v>
      </c>
      <c r="I66" s="3"/>
      <c r="J66" s="3"/>
      <c r="K66" s="3"/>
      <c r="L66" s="76"/>
      <c r="M66" s="76"/>
      <c r="N66" s="76"/>
      <c r="O66" s="76"/>
      <c r="P66" s="76"/>
      <c r="Q66" s="76"/>
    </row>
    <row r="67" spans="1:17">
      <c r="A67" s="84" t="s">
        <v>207</v>
      </c>
      <c r="B67" s="85" t="s">
        <v>206</v>
      </c>
      <c r="C67" s="85" t="s">
        <v>83</v>
      </c>
      <c r="D67" s="84" t="s">
        <v>80</v>
      </c>
      <c r="E67" s="84">
        <f>VLOOKUP(A67,'2a. SI Pop'!$A$5:$E$198,5,FALSE)</f>
        <v>3</v>
      </c>
      <c r="F67" s="84" t="s">
        <v>580</v>
      </c>
      <c r="G67" s="84" t="s">
        <v>80</v>
      </c>
      <c r="H67" s="101">
        <v>100</v>
      </c>
      <c r="I67" s="3"/>
      <c r="J67" s="3"/>
      <c r="K67" s="3"/>
      <c r="L67" s="76"/>
      <c r="M67" s="76"/>
      <c r="N67" s="76"/>
      <c r="O67" s="76"/>
      <c r="P67" s="76"/>
      <c r="Q67" s="76"/>
    </row>
    <row r="68" spans="1:17">
      <c r="A68" s="84" t="s">
        <v>209</v>
      </c>
      <c r="B68" s="85" t="s">
        <v>208</v>
      </c>
      <c r="C68" s="85" t="s">
        <v>83</v>
      </c>
      <c r="D68" s="84" t="s">
        <v>75</v>
      </c>
      <c r="E68" s="84">
        <f>VLOOKUP(A68,'2a. SI Pop'!$A$5:$E$198,5,FALSE)</f>
        <v>3</v>
      </c>
      <c r="F68" s="84" t="s">
        <v>579</v>
      </c>
      <c r="G68" s="84" t="s">
        <v>75</v>
      </c>
      <c r="H68" s="101">
        <v>39.280253923237836</v>
      </c>
      <c r="I68" s="3"/>
      <c r="J68" s="3"/>
      <c r="K68" s="3"/>
      <c r="L68" s="76"/>
      <c r="M68" s="76"/>
      <c r="N68" s="76"/>
      <c r="O68" s="76"/>
      <c r="P68" s="76"/>
      <c r="Q68" s="76"/>
    </row>
    <row r="69" spans="1:17">
      <c r="A69" s="84" t="s">
        <v>211</v>
      </c>
      <c r="B69" s="85" t="s">
        <v>210</v>
      </c>
      <c r="C69" s="85" t="s">
        <v>79</v>
      </c>
      <c r="D69" s="84" t="s">
        <v>80</v>
      </c>
      <c r="E69" s="84">
        <f>VLOOKUP(A69,'2a. SI Pop'!$A$5:$E$198,5,FALSE)</f>
        <v>1</v>
      </c>
      <c r="F69" s="84" t="s">
        <v>581</v>
      </c>
      <c r="G69" s="84" t="s">
        <v>80</v>
      </c>
      <c r="H69" s="101">
        <v>91.141000985916037</v>
      </c>
      <c r="I69" s="3"/>
      <c r="J69" s="3"/>
      <c r="K69" s="3"/>
      <c r="L69" s="76"/>
      <c r="M69" s="76"/>
      <c r="N69" s="76"/>
      <c r="O69" s="76"/>
      <c r="P69" s="76"/>
      <c r="Q69" s="76"/>
    </row>
    <row r="70" spans="1:17">
      <c r="A70" s="84" t="s">
        <v>213</v>
      </c>
      <c r="B70" s="85" t="s">
        <v>212</v>
      </c>
      <c r="C70" s="85" t="s">
        <v>79</v>
      </c>
      <c r="D70" s="84" t="s">
        <v>87</v>
      </c>
      <c r="E70" s="84">
        <f>VLOOKUP(A70,'2a. SI Pop'!$A$5:$E$198,5,FALSE)</f>
        <v>1</v>
      </c>
      <c r="F70" s="84" t="s">
        <v>580</v>
      </c>
      <c r="G70" s="84" t="s">
        <v>87</v>
      </c>
      <c r="H70" s="101" t="s">
        <v>582</v>
      </c>
      <c r="I70" s="3"/>
      <c r="J70" s="3"/>
      <c r="K70" s="3"/>
      <c r="L70" s="76"/>
      <c r="M70" s="76"/>
      <c r="N70" s="76"/>
      <c r="O70" s="76"/>
      <c r="P70" s="76"/>
      <c r="Q70" s="76"/>
    </row>
    <row r="71" spans="1:17">
      <c r="A71" s="84" t="s">
        <v>215</v>
      </c>
      <c r="B71" s="85" t="s">
        <v>214</v>
      </c>
      <c r="C71" s="85" t="s">
        <v>83</v>
      </c>
      <c r="D71" s="84" t="s">
        <v>84</v>
      </c>
      <c r="E71" s="84">
        <f>VLOOKUP(A71,'2a. SI Pop'!$A$5:$E$198,5,FALSE)</f>
        <v>3</v>
      </c>
      <c r="F71" s="84" t="s">
        <v>581</v>
      </c>
      <c r="G71" s="84" t="s">
        <v>84</v>
      </c>
      <c r="H71" s="101">
        <v>35.502290805142117</v>
      </c>
      <c r="I71" s="3"/>
      <c r="J71" s="3"/>
      <c r="K71" s="3"/>
      <c r="L71" s="76"/>
      <c r="M71" s="76"/>
      <c r="N71" s="76"/>
      <c r="O71" s="76"/>
      <c r="P71" s="76"/>
      <c r="Q71" s="76"/>
    </row>
    <row r="72" spans="1:17">
      <c r="A72" s="84" t="s">
        <v>217</v>
      </c>
      <c r="B72" s="85" t="s">
        <v>216</v>
      </c>
      <c r="C72" s="85" t="s">
        <v>79</v>
      </c>
      <c r="D72" s="84" t="s">
        <v>87</v>
      </c>
      <c r="E72" s="84">
        <f>VLOOKUP(A72,'2a. SI Pop'!$A$5:$E$198,5,FALSE)</f>
        <v>1</v>
      </c>
      <c r="F72" s="84" t="s">
        <v>580</v>
      </c>
      <c r="G72" s="84" t="s">
        <v>87</v>
      </c>
      <c r="H72" s="101" t="s">
        <v>582</v>
      </c>
      <c r="I72" s="3"/>
      <c r="J72" s="3"/>
      <c r="K72" s="3"/>
      <c r="L72" s="76"/>
      <c r="M72" s="76"/>
      <c r="N72" s="76"/>
      <c r="O72" s="76"/>
      <c r="P72" s="76"/>
      <c r="Q72" s="76"/>
    </row>
    <row r="73" spans="1:17">
      <c r="A73" s="84" t="s">
        <v>219</v>
      </c>
      <c r="B73" s="85" t="s">
        <v>218</v>
      </c>
      <c r="C73" s="85" t="s">
        <v>92</v>
      </c>
      <c r="D73" s="84" t="s">
        <v>80</v>
      </c>
      <c r="E73" s="84">
        <f>VLOOKUP(A73,'2a. SI Pop'!$A$5:$E$198,5,FALSE)</f>
        <v>1</v>
      </c>
      <c r="F73" s="84" t="s">
        <v>580</v>
      </c>
      <c r="G73" s="84" t="s">
        <v>80</v>
      </c>
      <c r="H73" s="101">
        <v>100</v>
      </c>
      <c r="I73" s="3"/>
      <c r="J73" s="3"/>
      <c r="K73" s="3"/>
      <c r="L73" s="76"/>
      <c r="M73" s="76"/>
      <c r="N73" s="76"/>
      <c r="O73" s="76"/>
      <c r="P73" s="76"/>
      <c r="Q73" s="76"/>
    </row>
    <row r="74" spans="1:17">
      <c r="A74" s="84" t="s">
        <v>221</v>
      </c>
      <c r="B74" s="85" t="s">
        <v>220</v>
      </c>
      <c r="C74" s="85" t="s">
        <v>92</v>
      </c>
      <c r="D74" s="84" t="s">
        <v>80</v>
      </c>
      <c r="E74" s="84">
        <f>VLOOKUP(A74,'2a. SI Pop'!$A$5:$E$198,5,FALSE)</f>
        <v>1</v>
      </c>
      <c r="F74" s="84" t="s">
        <v>580</v>
      </c>
      <c r="G74" s="84" t="s">
        <v>80</v>
      </c>
      <c r="H74" s="101">
        <v>100</v>
      </c>
      <c r="I74" s="3"/>
      <c r="J74" s="3"/>
      <c r="K74" s="3"/>
      <c r="L74" s="76"/>
      <c r="M74" s="76"/>
      <c r="N74" s="76"/>
      <c r="O74" s="76"/>
      <c r="P74" s="76"/>
      <c r="Q74" s="76"/>
    </row>
    <row r="75" spans="1:17">
      <c r="A75" s="84" t="s">
        <v>223</v>
      </c>
      <c r="B75" s="85" t="s">
        <v>222</v>
      </c>
      <c r="C75" s="85" t="s">
        <v>83</v>
      </c>
      <c r="D75" s="84" t="s">
        <v>75</v>
      </c>
      <c r="E75" s="84">
        <f>VLOOKUP(A75,'2a. SI Pop'!$A$5:$E$198,5,FALSE)</f>
        <v>3</v>
      </c>
      <c r="F75" s="84" t="s">
        <v>583</v>
      </c>
      <c r="G75" s="84" t="s">
        <v>75</v>
      </c>
      <c r="H75" s="101">
        <v>16.481575480675037</v>
      </c>
      <c r="I75" s="3"/>
      <c r="J75" s="3"/>
      <c r="K75" s="3"/>
      <c r="L75" s="76"/>
      <c r="M75" s="76"/>
      <c r="N75" s="76"/>
      <c r="O75" s="76"/>
      <c r="P75" s="76"/>
      <c r="Q75" s="76"/>
    </row>
    <row r="76" spans="1:17">
      <c r="A76" s="84" t="s">
        <v>225</v>
      </c>
      <c r="B76" s="85" t="s">
        <v>224</v>
      </c>
      <c r="C76" s="85" t="s">
        <v>83</v>
      </c>
      <c r="D76" s="84" t="s">
        <v>75</v>
      </c>
      <c r="E76" s="84">
        <f>VLOOKUP(A76,'2a. SI Pop'!$A$5:$E$198,5,FALSE)</f>
        <v>3</v>
      </c>
      <c r="F76" s="84" t="s">
        <v>583</v>
      </c>
      <c r="G76" s="84" t="s">
        <v>75</v>
      </c>
      <c r="H76" s="101">
        <v>3.2076377914458063</v>
      </c>
      <c r="I76" s="3"/>
      <c r="J76" s="3"/>
      <c r="K76" s="3"/>
      <c r="L76" s="76"/>
      <c r="M76" s="76"/>
      <c r="N76" s="76"/>
      <c r="O76" s="76"/>
      <c r="P76" s="76"/>
      <c r="Q76" s="76"/>
    </row>
    <row r="77" spans="1:17">
      <c r="A77" s="84" t="s">
        <v>227</v>
      </c>
      <c r="B77" s="85" t="s">
        <v>226</v>
      </c>
      <c r="C77" s="85" t="s">
        <v>92</v>
      </c>
      <c r="D77" s="84" t="s">
        <v>80</v>
      </c>
      <c r="E77" s="84">
        <f>VLOOKUP(A77,'2a. SI Pop'!$A$5:$E$198,5,FALSE)</f>
        <v>2</v>
      </c>
      <c r="F77" s="84" t="s">
        <v>581</v>
      </c>
      <c r="G77" s="84" t="s">
        <v>80</v>
      </c>
      <c r="H77" s="101">
        <v>100</v>
      </c>
      <c r="I77" s="3"/>
      <c r="J77" s="3"/>
      <c r="K77" s="3"/>
      <c r="L77" s="76"/>
      <c r="M77" s="76"/>
      <c r="N77" s="76"/>
      <c r="O77" s="76"/>
      <c r="P77" s="76"/>
      <c r="Q77" s="76"/>
    </row>
    <row r="78" spans="1:17">
      <c r="A78" s="84" t="s">
        <v>229</v>
      </c>
      <c r="B78" s="85" t="s">
        <v>228</v>
      </c>
      <c r="C78" s="85" t="s">
        <v>92</v>
      </c>
      <c r="D78" s="84" t="s">
        <v>75</v>
      </c>
      <c r="E78" s="84">
        <f>VLOOKUP(A78,'2a. SI Pop'!$A$5:$E$198,5,FALSE)</f>
        <v>2</v>
      </c>
      <c r="F78" s="84" t="s">
        <v>579</v>
      </c>
      <c r="G78" s="84" t="s">
        <v>75</v>
      </c>
      <c r="H78" s="101" t="s">
        <v>582</v>
      </c>
      <c r="I78" s="3"/>
      <c r="J78" s="3"/>
      <c r="K78" s="3"/>
      <c r="L78" s="76"/>
      <c r="M78" s="76"/>
      <c r="N78" s="76"/>
      <c r="O78" s="76"/>
      <c r="P78" s="76"/>
      <c r="Q78" s="76"/>
    </row>
    <row r="79" spans="1:17">
      <c r="A79" s="84" t="s">
        <v>231</v>
      </c>
      <c r="B79" s="85" t="s">
        <v>230</v>
      </c>
      <c r="C79" s="85" t="s">
        <v>92</v>
      </c>
      <c r="D79" s="84" t="s">
        <v>84</v>
      </c>
      <c r="E79" s="84">
        <f>VLOOKUP(A79,'2a. SI Pop'!$A$5:$E$198,5,FALSE)</f>
        <v>1</v>
      </c>
      <c r="F79" s="84" t="s">
        <v>581</v>
      </c>
      <c r="G79" s="84" t="s">
        <v>84</v>
      </c>
      <c r="H79" s="101">
        <v>88.400419568366544</v>
      </c>
      <c r="I79" s="3"/>
      <c r="J79" s="3"/>
      <c r="K79" s="3"/>
      <c r="L79" s="76"/>
      <c r="M79" s="76"/>
      <c r="N79" s="76"/>
      <c r="O79" s="76"/>
      <c r="P79" s="76"/>
      <c r="Q79" s="76"/>
    </row>
    <row r="80" spans="1:17">
      <c r="A80" s="84" t="s">
        <v>233</v>
      </c>
      <c r="B80" s="85" t="s">
        <v>232</v>
      </c>
      <c r="C80" s="85" t="s">
        <v>79</v>
      </c>
      <c r="D80" s="84" t="s">
        <v>87</v>
      </c>
      <c r="E80" s="84">
        <f>VLOOKUP(A80,'2a. SI Pop'!$A$5:$E$198,5,FALSE)</f>
        <v>1</v>
      </c>
      <c r="F80" s="84" t="s">
        <v>580</v>
      </c>
      <c r="G80" s="84" t="s">
        <v>87</v>
      </c>
      <c r="H80" s="101">
        <v>100</v>
      </c>
      <c r="I80" s="3"/>
      <c r="J80" s="3"/>
      <c r="K80" s="3"/>
      <c r="L80" s="76"/>
      <c r="M80" s="76"/>
      <c r="N80" s="76"/>
      <c r="O80" s="76"/>
      <c r="P80" s="76"/>
      <c r="Q80" s="76"/>
    </row>
    <row r="81" spans="1:17">
      <c r="A81" s="84" t="s">
        <v>235</v>
      </c>
      <c r="B81" s="85" t="s">
        <v>234</v>
      </c>
      <c r="C81" s="85" t="s">
        <v>79</v>
      </c>
      <c r="D81" s="84" t="s">
        <v>87</v>
      </c>
      <c r="E81" s="84">
        <f>VLOOKUP(A81,'2a. SI Pop'!$A$5:$E$198,5,FALSE)</f>
        <v>1</v>
      </c>
      <c r="F81" s="84" t="s">
        <v>580</v>
      </c>
      <c r="G81" s="84" t="s">
        <v>87</v>
      </c>
      <c r="H81" s="101">
        <v>100</v>
      </c>
      <c r="I81" s="3"/>
      <c r="J81" s="3"/>
      <c r="K81" s="3"/>
      <c r="L81" s="76"/>
      <c r="M81" s="76"/>
      <c r="N81" s="76"/>
      <c r="O81" s="76"/>
      <c r="P81" s="76"/>
      <c r="Q81" s="76"/>
    </row>
    <row r="82" spans="1:17">
      <c r="A82" s="84" t="s">
        <v>237</v>
      </c>
      <c r="B82" s="85" t="s">
        <v>236</v>
      </c>
      <c r="C82" s="85" t="s">
        <v>110</v>
      </c>
      <c r="D82" s="84" t="s">
        <v>84</v>
      </c>
      <c r="E82" s="84" t="str">
        <f>VLOOKUP(A82,'2a. SI Pop'!$A$5:$E$198,5,FALSE)</f>
        <v>Key</v>
      </c>
      <c r="F82" s="84" t="s">
        <v>581</v>
      </c>
      <c r="G82" s="84" t="s">
        <v>84</v>
      </c>
      <c r="H82" s="101">
        <v>49.876252606093466</v>
      </c>
      <c r="I82" s="3"/>
      <c r="J82" s="3"/>
      <c r="K82" s="3"/>
      <c r="L82" s="76"/>
      <c r="M82" s="76"/>
      <c r="N82" s="76"/>
      <c r="O82" s="76"/>
      <c r="P82" s="76"/>
      <c r="Q82" s="76"/>
    </row>
    <row r="83" spans="1:17">
      <c r="A83" s="84" t="s">
        <v>239</v>
      </c>
      <c r="B83" s="85" t="s">
        <v>238</v>
      </c>
      <c r="C83" s="85" t="s">
        <v>110</v>
      </c>
      <c r="D83" s="84" t="s">
        <v>80</v>
      </c>
      <c r="E83" s="84" t="str">
        <f>VLOOKUP(A83,'2a. SI Pop'!$A$5:$E$198,5,FALSE)</f>
        <v>Key</v>
      </c>
      <c r="F83" s="84" t="s">
        <v>581</v>
      </c>
      <c r="G83" s="84" t="s">
        <v>80</v>
      </c>
      <c r="H83" s="101">
        <v>90.45116394578649</v>
      </c>
      <c r="I83" s="3"/>
      <c r="J83" s="3"/>
      <c r="K83" s="3"/>
      <c r="L83" s="76"/>
      <c r="M83" s="76"/>
      <c r="N83" s="76"/>
      <c r="O83" s="76"/>
      <c r="P83" s="76"/>
      <c r="Q83" s="76"/>
    </row>
    <row r="84" spans="1:17">
      <c r="A84" s="84" t="s">
        <v>241</v>
      </c>
      <c r="B84" s="85" t="s">
        <v>240</v>
      </c>
      <c r="C84" s="85" t="s">
        <v>74</v>
      </c>
      <c r="D84" s="84" t="s">
        <v>80</v>
      </c>
      <c r="E84" s="84">
        <f>VLOOKUP(A84,'2a. SI Pop'!$A$5:$E$198,5,FALSE)</f>
        <v>2</v>
      </c>
      <c r="F84" s="84" t="s">
        <v>580</v>
      </c>
      <c r="G84" s="84" t="s">
        <v>80</v>
      </c>
      <c r="H84" s="101">
        <v>100</v>
      </c>
      <c r="I84" s="3"/>
      <c r="J84" s="3"/>
      <c r="K84" s="3"/>
      <c r="L84" s="76"/>
      <c r="M84" s="76"/>
      <c r="N84" s="76"/>
      <c r="O84" s="76"/>
      <c r="P84" s="76"/>
      <c r="Q84" s="76"/>
    </row>
    <row r="85" spans="1:17">
      <c r="A85" s="84" t="s">
        <v>243</v>
      </c>
      <c r="B85" s="85" t="s">
        <v>242</v>
      </c>
      <c r="C85" s="85" t="s">
        <v>74</v>
      </c>
      <c r="D85" s="84" t="s">
        <v>80</v>
      </c>
      <c r="E85" s="84">
        <f>VLOOKUP(A85,'2a. SI Pop'!$A$5:$E$198,5,FALSE)</f>
        <v>2</v>
      </c>
      <c r="F85" s="84" t="s">
        <v>580</v>
      </c>
      <c r="G85" s="84" t="s">
        <v>80</v>
      </c>
      <c r="H85" s="101">
        <v>99.761422518235022</v>
      </c>
      <c r="I85" s="3"/>
      <c r="J85" s="3"/>
      <c r="K85" s="3"/>
      <c r="L85" s="76"/>
      <c r="M85" s="76"/>
      <c r="N85" s="76"/>
      <c r="O85" s="76"/>
      <c r="P85" s="76"/>
      <c r="Q85" s="76"/>
    </row>
    <row r="86" spans="1:17">
      <c r="A86" s="84" t="s">
        <v>245</v>
      </c>
      <c r="B86" s="85" t="s">
        <v>244</v>
      </c>
      <c r="C86" s="85" t="s">
        <v>79</v>
      </c>
      <c r="D86" s="84" t="s">
        <v>87</v>
      </c>
      <c r="E86" s="84">
        <f>VLOOKUP(A86,'2a. SI Pop'!$A$5:$E$198,5,FALSE)</f>
        <v>1</v>
      </c>
      <c r="F86" s="84" t="s">
        <v>580</v>
      </c>
      <c r="G86" s="84" t="s">
        <v>87</v>
      </c>
      <c r="H86" s="101">
        <v>100</v>
      </c>
      <c r="I86" s="3"/>
      <c r="J86" s="3"/>
      <c r="K86" s="3"/>
      <c r="L86" s="76"/>
      <c r="M86" s="76"/>
      <c r="N86" s="76"/>
      <c r="O86" s="76"/>
      <c r="P86" s="76"/>
      <c r="Q86" s="76"/>
    </row>
    <row r="87" spans="1:17">
      <c r="A87" s="84" t="s">
        <v>247</v>
      </c>
      <c r="B87" s="85" t="s">
        <v>246</v>
      </c>
      <c r="C87" s="85" t="s">
        <v>79</v>
      </c>
      <c r="D87" s="84" t="s">
        <v>87</v>
      </c>
      <c r="E87" s="84">
        <f>VLOOKUP(A87,'2a. SI Pop'!$A$5:$E$198,5,FALSE)</f>
        <v>1</v>
      </c>
      <c r="F87" s="84" t="s">
        <v>580</v>
      </c>
      <c r="G87" s="84" t="s">
        <v>87</v>
      </c>
      <c r="H87" s="101" t="s">
        <v>582</v>
      </c>
      <c r="I87" s="3"/>
      <c r="J87" s="3"/>
      <c r="K87" s="3"/>
      <c r="L87" s="76"/>
      <c r="M87" s="76"/>
      <c r="N87" s="76"/>
      <c r="O87" s="76"/>
      <c r="P87" s="76"/>
      <c r="Q87" s="76"/>
    </row>
    <row r="88" spans="1:17">
      <c r="A88" s="84" t="s">
        <v>249</v>
      </c>
      <c r="B88" s="85" t="s">
        <v>248</v>
      </c>
      <c r="C88" s="85" t="s">
        <v>79</v>
      </c>
      <c r="D88" s="84" t="s">
        <v>87</v>
      </c>
      <c r="E88" s="84">
        <f>VLOOKUP(A88,'2a. SI Pop'!$A$5:$E$198,5,FALSE)</f>
        <v>1</v>
      </c>
      <c r="F88" s="84" t="s">
        <v>580</v>
      </c>
      <c r="G88" s="84" t="s">
        <v>87</v>
      </c>
      <c r="H88" s="101" t="s">
        <v>582</v>
      </c>
      <c r="I88" s="3"/>
      <c r="J88" s="3"/>
      <c r="K88" s="3"/>
      <c r="L88" s="76"/>
      <c r="M88" s="76"/>
      <c r="N88" s="76"/>
      <c r="O88" s="76"/>
      <c r="P88" s="76"/>
      <c r="Q88" s="76"/>
    </row>
    <row r="89" spans="1:17">
      <c r="A89" s="84" t="s">
        <v>251</v>
      </c>
      <c r="B89" s="85" t="s">
        <v>250</v>
      </c>
      <c r="C89" s="85" t="s">
        <v>92</v>
      </c>
      <c r="D89" s="84" t="s">
        <v>80</v>
      </c>
      <c r="E89" s="84">
        <f>VLOOKUP(A89,'2a. SI Pop'!$A$5:$E$198,5,FALSE)</f>
        <v>1</v>
      </c>
      <c r="F89" s="84" t="s">
        <v>580</v>
      </c>
      <c r="G89" s="84" t="s">
        <v>80</v>
      </c>
      <c r="H89" s="101">
        <v>100</v>
      </c>
      <c r="I89" s="3"/>
      <c r="J89" s="3"/>
      <c r="K89" s="3"/>
      <c r="L89" s="76"/>
      <c r="M89" s="76"/>
      <c r="N89" s="76"/>
      <c r="O89" s="76"/>
      <c r="P89" s="76"/>
      <c r="Q89" s="76"/>
    </row>
    <row r="90" spans="1:17">
      <c r="A90" s="84" t="s">
        <v>253</v>
      </c>
      <c r="B90" s="85" t="s">
        <v>252</v>
      </c>
      <c r="C90" s="85" t="s">
        <v>99</v>
      </c>
      <c r="D90" s="84" t="s">
        <v>87</v>
      </c>
      <c r="E90" s="84">
        <f>VLOOKUP(A90,'2a. SI Pop'!$A$5:$E$198,5,FALSE)</f>
        <v>4</v>
      </c>
      <c r="F90" s="84" t="s">
        <v>580</v>
      </c>
      <c r="G90" s="84" t="s">
        <v>87</v>
      </c>
      <c r="H90" s="101" t="s">
        <v>582</v>
      </c>
      <c r="I90" s="3"/>
      <c r="J90" s="3"/>
      <c r="K90" s="3"/>
      <c r="L90" s="76"/>
      <c r="M90" s="76"/>
      <c r="N90" s="76"/>
      <c r="O90" s="76"/>
      <c r="P90" s="76"/>
      <c r="Q90" s="76"/>
    </row>
    <row r="91" spans="1:17">
      <c r="A91" s="84" t="s">
        <v>255</v>
      </c>
      <c r="B91" s="85" t="s">
        <v>254</v>
      </c>
      <c r="C91" s="85" t="s">
        <v>74</v>
      </c>
      <c r="D91" s="84" t="s">
        <v>80</v>
      </c>
      <c r="E91" s="84">
        <f>VLOOKUP(A91,'2a. SI Pop'!$A$5:$E$198,5,FALSE)</f>
        <v>2</v>
      </c>
      <c r="F91" s="84" t="s">
        <v>580</v>
      </c>
      <c r="G91" s="84" t="s">
        <v>80</v>
      </c>
      <c r="H91" s="101">
        <v>100</v>
      </c>
      <c r="I91" s="3"/>
      <c r="J91" s="3"/>
      <c r="K91" s="3"/>
      <c r="L91" s="76"/>
      <c r="M91" s="76"/>
      <c r="N91" s="76"/>
      <c r="O91" s="76"/>
      <c r="P91" s="76"/>
      <c r="Q91" s="76"/>
    </row>
    <row r="92" spans="1:17">
      <c r="A92" s="84" t="s">
        <v>257</v>
      </c>
      <c r="B92" s="85" t="s">
        <v>256</v>
      </c>
      <c r="C92" s="85" t="s">
        <v>79</v>
      </c>
      <c r="D92" s="84" t="s">
        <v>80</v>
      </c>
      <c r="E92" s="84">
        <f>VLOOKUP(A92,'2a. SI Pop'!$A$5:$E$198,5,FALSE)</f>
        <v>2</v>
      </c>
      <c r="F92" s="84" t="s">
        <v>580</v>
      </c>
      <c r="G92" s="84" t="s">
        <v>80</v>
      </c>
      <c r="H92" s="101">
        <v>100</v>
      </c>
      <c r="I92" s="3"/>
      <c r="J92" s="3"/>
      <c r="K92" s="3"/>
      <c r="L92" s="76"/>
      <c r="M92" s="76"/>
      <c r="N92" s="76"/>
      <c r="O92" s="76"/>
      <c r="P92" s="76"/>
      <c r="Q92" s="76"/>
    </row>
    <row r="93" spans="1:17">
      <c r="A93" s="84" t="s">
        <v>259</v>
      </c>
      <c r="B93" s="85" t="s">
        <v>258</v>
      </c>
      <c r="C93" s="85" t="s">
        <v>83</v>
      </c>
      <c r="D93" s="84" t="s">
        <v>84</v>
      </c>
      <c r="E93" s="84">
        <f>VLOOKUP(A93,'2a. SI Pop'!$A$5:$E$198,5,FALSE)</f>
        <v>3</v>
      </c>
      <c r="F93" s="84" t="s">
        <v>581</v>
      </c>
      <c r="G93" s="84" t="s">
        <v>84</v>
      </c>
      <c r="H93" s="101">
        <v>23.09327036599764</v>
      </c>
      <c r="I93" s="3"/>
      <c r="J93" s="3"/>
      <c r="K93" s="3"/>
      <c r="L93" s="76"/>
      <c r="M93" s="76"/>
      <c r="N93" s="76"/>
      <c r="O93" s="76"/>
      <c r="P93" s="76"/>
      <c r="Q93" s="76"/>
    </row>
    <row r="94" spans="1:17">
      <c r="A94" s="84" t="s">
        <v>261</v>
      </c>
      <c r="B94" s="85" t="s">
        <v>260</v>
      </c>
      <c r="C94" s="85" t="s">
        <v>99</v>
      </c>
      <c r="D94" s="84" t="s">
        <v>84</v>
      </c>
      <c r="E94" s="84">
        <f>VLOOKUP(A94,'2a. SI Pop'!$A$5:$E$198,5,FALSE)</f>
        <v>4</v>
      </c>
      <c r="F94" s="84" t="s">
        <v>581</v>
      </c>
      <c r="G94" s="84" t="s">
        <v>84</v>
      </c>
      <c r="H94" s="101" t="s">
        <v>582</v>
      </c>
      <c r="I94" s="3"/>
      <c r="J94" s="3"/>
      <c r="K94" s="3"/>
      <c r="L94" s="76"/>
      <c r="M94" s="76"/>
      <c r="N94" s="76"/>
      <c r="O94" s="76"/>
      <c r="P94" s="76"/>
      <c r="Q94" s="76"/>
    </row>
    <row r="95" spans="1:17">
      <c r="A95" s="84" t="s">
        <v>263</v>
      </c>
      <c r="B95" s="85" t="s">
        <v>262</v>
      </c>
      <c r="C95" s="85" t="s">
        <v>99</v>
      </c>
      <c r="D95" s="84" t="s">
        <v>87</v>
      </c>
      <c r="E95" s="84">
        <f>VLOOKUP(A95,'2a. SI Pop'!$A$5:$E$198,5,FALSE)</f>
        <v>1</v>
      </c>
      <c r="F95" s="84" t="s">
        <v>580</v>
      </c>
      <c r="G95" s="84" t="s">
        <v>87</v>
      </c>
      <c r="H95" s="101">
        <v>46.00760456273764</v>
      </c>
      <c r="I95" s="3"/>
      <c r="J95" s="3"/>
      <c r="K95" s="3"/>
      <c r="L95" s="76"/>
      <c r="M95" s="76"/>
      <c r="N95" s="76"/>
      <c r="O95" s="76"/>
      <c r="P95" s="76"/>
      <c r="Q95" s="76"/>
    </row>
    <row r="96" spans="1:17">
      <c r="A96" s="84" t="s">
        <v>265</v>
      </c>
      <c r="B96" s="85" t="s">
        <v>264</v>
      </c>
      <c r="C96" s="85" t="s">
        <v>74</v>
      </c>
      <c r="D96" s="84" t="s">
        <v>87</v>
      </c>
      <c r="E96" s="84">
        <f>VLOOKUP(A96,'2a. SI Pop'!$A$5:$E$198,5,FALSE)</f>
        <v>1</v>
      </c>
      <c r="F96" s="84" t="s">
        <v>580</v>
      </c>
      <c r="G96" s="84" t="s">
        <v>87</v>
      </c>
      <c r="H96" s="101" t="s">
        <v>582</v>
      </c>
      <c r="I96" s="3"/>
      <c r="J96" s="3"/>
      <c r="K96" s="3"/>
      <c r="L96" s="76"/>
      <c r="M96" s="76"/>
      <c r="N96" s="76"/>
      <c r="O96" s="76"/>
      <c r="P96" s="76"/>
      <c r="Q96" s="76"/>
    </row>
    <row r="97" spans="1:17">
      <c r="A97" s="84" t="s">
        <v>267</v>
      </c>
      <c r="B97" s="85" t="s">
        <v>266</v>
      </c>
      <c r="C97" s="85" t="s">
        <v>79</v>
      </c>
      <c r="D97" s="84" t="s">
        <v>84</v>
      </c>
      <c r="E97" s="84">
        <f>VLOOKUP(A97,'2a. SI Pop'!$A$5:$E$198,5,FALSE)</f>
        <v>1</v>
      </c>
      <c r="F97" s="84" t="s">
        <v>583</v>
      </c>
      <c r="G97" s="84" t="s">
        <v>84</v>
      </c>
      <c r="H97" s="101">
        <v>35.759364974168186</v>
      </c>
      <c r="I97" s="3"/>
      <c r="J97" s="3"/>
      <c r="K97" s="3"/>
      <c r="L97" s="76"/>
      <c r="M97" s="76"/>
      <c r="N97" s="76"/>
      <c r="O97" s="76"/>
      <c r="P97" s="76"/>
      <c r="Q97" s="76"/>
    </row>
    <row r="98" spans="1:17">
      <c r="A98" s="84" t="s">
        <v>269</v>
      </c>
      <c r="B98" s="85" t="s">
        <v>268</v>
      </c>
      <c r="C98" s="85" t="s">
        <v>99</v>
      </c>
      <c r="D98" s="84" t="s">
        <v>84</v>
      </c>
      <c r="E98" s="84">
        <f>VLOOKUP(A98,'2a. SI Pop'!$A$5:$E$198,5,FALSE)</f>
        <v>4</v>
      </c>
      <c r="F98" s="84" t="s">
        <v>581</v>
      </c>
      <c r="G98" s="84" t="s">
        <v>84</v>
      </c>
      <c r="H98" s="101">
        <v>23.197588480510205</v>
      </c>
      <c r="I98" s="3"/>
      <c r="J98" s="3"/>
      <c r="K98" s="3"/>
      <c r="L98" s="76"/>
      <c r="M98" s="76"/>
      <c r="N98" s="76"/>
      <c r="O98" s="76"/>
      <c r="P98" s="76"/>
      <c r="Q98" s="76"/>
    </row>
    <row r="99" spans="1:17">
      <c r="A99" s="84" t="s">
        <v>271</v>
      </c>
      <c r="B99" s="85" t="s">
        <v>270</v>
      </c>
      <c r="C99" s="85" t="s">
        <v>79</v>
      </c>
      <c r="D99" s="84" t="s">
        <v>87</v>
      </c>
      <c r="E99" s="84">
        <f>VLOOKUP(A99,'2a. SI Pop'!$A$5:$E$198,5,FALSE)</f>
        <v>1</v>
      </c>
      <c r="F99" s="84" t="s">
        <v>580</v>
      </c>
      <c r="G99" s="84" t="s">
        <v>87</v>
      </c>
      <c r="H99" s="101">
        <v>100</v>
      </c>
      <c r="I99" s="3"/>
      <c r="J99" s="3"/>
      <c r="K99" s="3"/>
      <c r="L99" s="76"/>
      <c r="M99" s="76"/>
      <c r="N99" s="76"/>
      <c r="O99" s="76"/>
      <c r="P99" s="76"/>
      <c r="Q99" s="76"/>
    </row>
    <row r="100" spans="1:17">
      <c r="A100" s="84" t="s">
        <v>273</v>
      </c>
      <c r="B100" s="85" t="s">
        <v>272</v>
      </c>
      <c r="C100" s="85" t="s">
        <v>74</v>
      </c>
      <c r="D100" s="84" t="s">
        <v>80</v>
      </c>
      <c r="E100" s="84">
        <f>VLOOKUP(A100,'2a. SI Pop'!$A$5:$E$198,5,FALSE)</f>
        <v>2</v>
      </c>
      <c r="F100" s="84" t="s">
        <v>580</v>
      </c>
      <c r="G100" s="84" t="s">
        <v>80</v>
      </c>
      <c r="H100" s="101">
        <v>52.434782608695606</v>
      </c>
      <c r="I100" s="3"/>
      <c r="J100" s="3"/>
      <c r="K100" s="3"/>
      <c r="L100" s="76"/>
      <c r="M100" s="76"/>
      <c r="N100" s="76"/>
      <c r="O100" s="76"/>
      <c r="P100" s="76"/>
      <c r="Q100" s="76"/>
    </row>
    <row r="101" spans="1:17">
      <c r="A101" s="84" t="s">
        <v>275</v>
      </c>
      <c r="B101" s="85" t="s">
        <v>274</v>
      </c>
      <c r="C101" s="85" t="s">
        <v>83</v>
      </c>
      <c r="D101" s="84" t="s">
        <v>84</v>
      </c>
      <c r="E101" s="84">
        <f>VLOOKUP(A101,'2a. SI Pop'!$A$5:$E$198,5,FALSE)</f>
        <v>3</v>
      </c>
      <c r="F101" s="84" t="s">
        <v>584</v>
      </c>
      <c r="G101" s="84" t="s">
        <v>84</v>
      </c>
      <c r="H101" s="101">
        <v>53.711726100455593</v>
      </c>
      <c r="I101" s="3"/>
      <c r="J101" s="3"/>
      <c r="K101" s="3"/>
      <c r="L101" s="76"/>
      <c r="M101" s="76"/>
      <c r="N101" s="76"/>
      <c r="O101" s="76"/>
      <c r="P101" s="76"/>
      <c r="Q101" s="76"/>
    </row>
    <row r="102" spans="1:17">
      <c r="A102" s="84" t="s">
        <v>277</v>
      </c>
      <c r="B102" s="85" t="s">
        <v>276</v>
      </c>
      <c r="C102" s="85" t="s">
        <v>83</v>
      </c>
      <c r="D102" s="84" t="s">
        <v>75</v>
      </c>
      <c r="E102" s="84">
        <f>VLOOKUP(A102,'2a. SI Pop'!$A$5:$E$198,5,FALSE)</f>
        <v>3</v>
      </c>
      <c r="F102" s="84" t="s">
        <v>579</v>
      </c>
      <c r="G102" s="84" t="s">
        <v>75</v>
      </c>
      <c r="H102" s="101" t="s">
        <v>582</v>
      </c>
      <c r="I102" s="3"/>
      <c r="J102" s="3"/>
      <c r="K102" s="3"/>
      <c r="L102" s="76"/>
      <c r="M102" s="76"/>
      <c r="N102" s="76"/>
      <c r="O102" s="76"/>
      <c r="P102" s="76"/>
      <c r="Q102" s="76"/>
    </row>
    <row r="103" spans="1:17">
      <c r="A103" s="84" t="s">
        <v>279</v>
      </c>
      <c r="B103" s="85" t="s">
        <v>278</v>
      </c>
      <c r="C103" s="85" t="s">
        <v>74</v>
      </c>
      <c r="D103" s="84" t="s">
        <v>80</v>
      </c>
      <c r="E103" s="84">
        <f>VLOOKUP(A103,'2a. SI Pop'!$A$5:$E$198,5,FALSE)</f>
        <v>2</v>
      </c>
      <c r="F103" s="84" t="s">
        <v>580</v>
      </c>
      <c r="G103" s="84" t="s">
        <v>80</v>
      </c>
      <c r="H103" s="101" t="s">
        <v>582</v>
      </c>
      <c r="I103" s="3"/>
      <c r="J103" s="3"/>
      <c r="K103" s="3"/>
      <c r="L103" s="76"/>
      <c r="M103" s="76"/>
      <c r="N103" s="76"/>
      <c r="O103" s="76"/>
      <c r="P103" s="76"/>
      <c r="Q103" s="76"/>
    </row>
    <row r="104" spans="1:17">
      <c r="A104" s="84" t="s">
        <v>281</v>
      </c>
      <c r="B104" s="85" t="s">
        <v>280</v>
      </c>
      <c r="C104" s="85" t="s">
        <v>79</v>
      </c>
      <c r="D104" s="84" t="s">
        <v>87</v>
      </c>
      <c r="E104" s="84">
        <f>VLOOKUP(A104,'2a. SI Pop'!$A$5:$E$198,5,FALSE)</f>
        <v>1</v>
      </c>
      <c r="F104" s="84" t="s">
        <v>580</v>
      </c>
      <c r="G104" s="84" t="s">
        <v>87</v>
      </c>
      <c r="H104" s="101">
        <v>100</v>
      </c>
      <c r="I104" s="3"/>
      <c r="J104" s="3"/>
      <c r="K104" s="3"/>
      <c r="L104" s="76"/>
      <c r="M104" s="76"/>
      <c r="N104" s="76"/>
      <c r="O104" s="76"/>
      <c r="P104" s="76"/>
      <c r="Q104" s="76"/>
    </row>
    <row r="105" spans="1:17">
      <c r="A105" s="84" t="s">
        <v>283</v>
      </c>
      <c r="B105" s="85" t="s">
        <v>282</v>
      </c>
      <c r="C105" s="85" t="s">
        <v>79</v>
      </c>
      <c r="D105" s="84" t="s">
        <v>87</v>
      </c>
      <c r="E105" s="84">
        <f>VLOOKUP(A105,'2a. SI Pop'!$A$5:$E$198,5,FALSE)</f>
        <v>1</v>
      </c>
      <c r="F105" s="84" t="s">
        <v>580</v>
      </c>
      <c r="G105" s="84" t="s">
        <v>87</v>
      </c>
      <c r="H105" s="101" t="s">
        <v>582</v>
      </c>
      <c r="I105" s="3"/>
      <c r="J105" s="3"/>
      <c r="K105" s="3"/>
      <c r="L105" s="76"/>
      <c r="M105" s="76"/>
      <c r="N105" s="76"/>
      <c r="O105" s="76"/>
      <c r="P105" s="76"/>
      <c r="Q105" s="76"/>
    </row>
    <row r="106" spans="1:17">
      <c r="A106" s="84" t="s">
        <v>285</v>
      </c>
      <c r="B106" s="85" t="s">
        <v>284</v>
      </c>
      <c r="C106" s="85" t="s">
        <v>79</v>
      </c>
      <c r="D106" s="84" t="s">
        <v>80</v>
      </c>
      <c r="E106" s="84">
        <f>VLOOKUP(A106,'2a. SI Pop'!$A$5:$E$198,5,FALSE)</f>
        <v>1</v>
      </c>
      <c r="F106" s="84" t="s">
        <v>580</v>
      </c>
      <c r="G106" s="84" t="s">
        <v>80</v>
      </c>
      <c r="H106" s="101">
        <v>100</v>
      </c>
      <c r="I106" s="3"/>
      <c r="J106" s="3"/>
      <c r="K106" s="3"/>
      <c r="L106" s="76"/>
      <c r="M106" s="76"/>
      <c r="N106" s="76"/>
      <c r="O106" s="76"/>
      <c r="P106" s="76"/>
      <c r="Q106" s="76"/>
    </row>
    <row r="107" spans="1:17">
      <c r="A107" s="84" t="s">
        <v>287</v>
      </c>
      <c r="B107" s="85" t="s">
        <v>286</v>
      </c>
      <c r="C107" s="85" t="s">
        <v>83</v>
      </c>
      <c r="D107" s="84" t="s">
        <v>75</v>
      </c>
      <c r="E107" s="84">
        <f>VLOOKUP(A107,'2a. SI Pop'!$A$5:$E$198,5,FALSE)</f>
        <v>3</v>
      </c>
      <c r="F107" s="84" t="s">
        <v>579</v>
      </c>
      <c r="G107" s="84" t="s">
        <v>75</v>
      </c>
      <c r="H107" s="101">
        <v>4.1324856511377162</v>
      </c>
      <c r="I107" s="3"/>
      <c r="J107" s="3"/>
      <c r="K107" s="3"/>
      <c r="L107" s="76"/>
      <c r="M107" s="76"/>
      <c r="N107" s="76"/>
      <c r="O107" s="76"/>
      <c r="P107" s="76"/>
      <c r="Q107" s="76"/>
    </row>
    <row r="108" spans="1:17">
      <c r="A108" s="84" t="s">
        <v>289</v>
      </c>
      <c r="B108" s="85" t="s">
        <v>288</v>
      </c>
      <c r="C108" s="85" t="s">
        <v>83</v>
      </c>
      <c r="D108" s="84" t="s">
        <v>75</v>
      </c>
      <c r="E108" s="84">
        <f>VLOOKUP(A108,'2a. SI Pop'!$A$5:$E$198,5,FALSE)</f>
        <v>3</v>
      </c>
      <c r="F108" s="84" t="s">
        <v>579</v>
      </c>
      <c r="G108" s="84" t="s">
        <v>75</v>
      </c>
      <c r="H108" s="101">
        <v>5.0373741091444444</v>
      </c>
      <c r="I108" s="3"/>
      <c r="J108" s="3"/>
      <c r="K108" s="3"/>
      <c r="L108" s="76"/>
      <c r="M108" s="76"/>
      <c r="N108" s="76"/>
      <c r="O108" s="76"/>
      <c r="P108" s="76"/>
      <c r="Q108" s="76"/>
    </row>
    <row r="109" spans="1:17">
      <c r="A109" s="84" t="s">
        <v>291</v>
      </c>
      <c r="B109" s="85" t="s">
        <v>290</v>
      </c>
      <c r="C109" s="85" t="s">
        <v>99</v>
      </c>
      <c r="D109" s="84" t="s">
        <v>80</v>
      </c>
      <c r="E109" s="84">
        <f>VLOOKUP(A109,'2a. SI Pop'!$A$5:$E$198,5,FALSE)</f>
        <v>2</v>
      </c>
      <c r="F109" s="84" t="s">
        <v>580</v>
      </c>
      <c r="G109" s="84" t="s">
        <v>80</v>
      </c>
      <c r="H109" s="101" t="s">
        <v>582</v>
      </c>
      <c r="I109" s="3"/>
      <c r="J109" s="3"/>
      <c r="K109" s="3"/>
      <c r="L109" s="76"/>
      <c r="M109" s="76"/>
      <c r="N109" s="76"/>
      <c r="O109" s="76"/>
      <c r="P109" s="76"/>
      <c r="Q109" s="76"/>
    </row>
    <row r="110" spans="1:17">
      <c r="A110" s="84" t="s">
        <v>293</v>
      </c>
      <c r="B110" s="85" t="s">
        <v>292</v>
      </c>
      <c r="C110" s="85" t="s">
        <v>110</v>
      </c>
      <c r="D110" s="84" t="s">
        <v>80</v>
      </c>
      <c r="E110" s="84">
        <f>VLOOKUP(A110,'2a. SI Pop'!$A$5:$E$198,5,FALSE)</f>
        <v>2</v>
      </c>
      <c r="F110" s="84" t="s">
        <v>580</v>
      </c>
      <c r="G110" s="84" t="s">
        <v>80</v>
      </c>
      <c r="H110" s="101">
        <v>100</v>
      </c>
      <c r="I110" s="3"/>
      <c r="J110" s="3"/>
      <c r="K110" s="3"/>
      <c r="L110" s="76"/>
      <c r="M110" s="76"/>
      <c r="N110" s="76"/>
      <c r="O110" s="76"/>
      <c r="P110" s="76"/>
      <c r="Q110" s="76"/>
    </row>
    <row r="111" spans="1:17">
      <c r="A111" s="84" t="s">
        <v>295</v>
      </c>
      <c r="B111" s="85" t="s">
        <v>294</v>
      </c>
      <c r="C111" s="85" t="s">
        <v>83</v>
      </c>
      <c r="D111" s="84" t="s">
        <v>75</v>
      </c>
      <c r="E111" s="84">
        <f>VLOOKUP(A111,'2a. SI Pop'!$A$5:$E$198,5,FALSE)</f>
        <v>3</v>
      </c>
      <c r="F111" s="84" t="s">
        <v>583</v>
      </c>
      <c r="G111" s="84" t="s">
        <v>75</v>
      </c>
      <c r="H111" s="101">
        <v>13.597427889188882</v>
      </c>
      <c r="I111" s="3"/>
      <c r="J111" s="3"/>
      <c r="K111" s="3"/>
      <c r="L111" s="76"/>
      <c r="M111" s="76"/>
      <c r="N111" s="76"/>
      <c r="O111" s="76"/>
      <c r="P111" s="76"/>
      <c r="Q111" s="76"/>
    </row>
    <row r="112" spans="1:17">
      <c r="A112" s="84" t="s">
        <v>297</v>
      </c>
      <c r="B112" s="85" t="s">
        <v>296</v>
      </c>
      <c r="C112" s="85" t="s">
        <v>79</v>
      </c>
      <c r="D112" s="84" t="s">
        <v>87</v>
      </c>
      <c r="E112" s="84">
        <f>VLOOKUP(A112,'2a. SI Pop'!$A$5:$E$198,5,FALSE)</f>
        <v>1</v>
      </c>
      <c r="F112" s="84" t="s">
        <v>580</v>
      </c>
      <c r="G112" s="84" t="s">
        <v>87</v>
      </c>
      <c r="H112" s="101" t="s">
        <v>582</v>
      </c>
      <c r="I112" s="3"/>
      <c r="J112" s="3"/>
      <c r="K112" s="3"/>
      <c r="L112" s="76"/>
      <c r="M112" s="76"/>
      <c r="N112" s="76"/>
      <c r="O112" s="76"/>
      <c r="P112" s="76"/>
      <c r="Q112" s="76"/>
    </row>
    <row r="113" spans="1:17">
      <c r="A113" s="84" t="s">
        <v>299</v>
      </c>
      <c r="B113" s="85" t="s">
        <v>298</v>
      </c>
      <c r="C113" s="85" t="s">
        <v>99</v>
      </c>
      <c r="D113" s="84" t="s">
        <v>80</v>
      </c>
      <c r="E113" s="84">
        <f>VLOOKUP(A113,'2a. SI Pop'!$A$5:$E$198,5,FALSE)</f>
        <v>1</v>
      </c>
      <c r="F113" s="84" t="s">
        <v>580</v>
      </c>
      <c r="G113" s="84" t="s">
        <v>80</v>
      </c>
      <c r="H113" s="101">
        <v>2.3076923076923079</v>
      </c>
      <c r="I113" s="3"/>
      <c r="J113" s="3"/>
      <c r="K113" s="3"/>
      <c r="L113" s="76"/>
      <c r="M113" s="76"/>
      <c r="N113" s="76"/>
      <c r="O113" s="76"/>
      <c r="P113" s="76"/>
      <c r="Q113" s="76"/>
    </row>
    <row r="114" spans="1:17">
      <c r="A114" s="84" t="s">
        <v>301</v>
      </c>
      <c r="B114" s="85" t="s">
        <v>300</v>
      </c>
      <c r="C114" s="85" t="s">
        <v>83</v>
      </c>
      <c r="D114" s="84" t="s">
        <v>84</v>
      </c>
      <c r="E114" s="84">
        <f>VLOOKUP(A114,'2a. SI Pop'!$A$5:$E$198,5,FALSE)</f>
        <v>3</v>
      </c>
      <c r="F114" s="84" t="s">
        <v>584</v>
      </c>
      <c r="G114" s="84" t="s">
        <v>84</v>
      </c>
      <c r="H114" s="101">
        <v>11.971649574256254</v>
      </c>
      <c r="I114" s="3"/>
      <c r="J114" s="3"/>
      <c r="K114" s="3"/>
      <c r="L114" s="76"/>
      <c r="M114" s="76"/>
      <c r="N114" s="76"/>
      <c r="O114" s="76"/>
      <c r="P114" s="76"/>
      <c r="Q114" s="76"/>
    </row>
    <row r="115" spans="1:17">
      <c r="A115" s="84" t="s">
        <v>303</v>
      </c>
      <c r="B115" s="85" t="s">
        <v>302</v>
      </c>
      <c r="C115" s="85" t="s">
        <v>83</v>
      </c>
      <c r="D115" s="84" t="s">
        <v>87</v>
      </c>
      <c r="E115" s="84">
        <f>VLOOKUP(A115,'2a. SI Pop'!$A$5:$E$198,5,FALSE)</f>
        <v>1</v>
      </c>
      <c r="F115" s="84" t="s">
        <v>580</v>
      </c>
      <c r="G115" s="84" t="s">
        <v>87</v>
      </c>
      <c r="H115" s="101">
        <v>97.999986494799955</v>
      </c>
      <c r="I115" s="3"/>
      <c r="J115" s="3"/>
      <c r="K115" s="3"/>
      <c r="L115" s="76"/>
      <c r="M115" s="76"/>
      <c r="N115" s="76"/>
      <c r="O115" s="76"/>
      <c r="P115" s="76"/>
      <c r="Q115" s="76"/>
    </row>
    <row r="116" spans="1:17">
      <c r="A116" s="84" t="s">
        <v>305</v>
      </c>
      <c r="B116" s="85" t="s">
        <v>304</v>
      </c>
      <c r="C116" s="85" t="s">
        <v>92</v>
      </c>
      <c r="D116" s="84" t="s">
        <v>80</v>
      </c>
      <c r="E116" s="84">
        <f>VLOOKUP(A116,'2a. SI Pop'!$A$5:$E$198,5,FALSE)</f>
        <v>2</v>
      </c>
      <c r="F116" s="84" t="s">
        <v>580</v>
      </c>
      <c r="G116" s="84" t="s">
        <v>80</v>
      </c>
      <c r="H116" s="101">
        <v>100</v>
      </c>
      <c r="I116" s="3"/>
      <c r="J116" s="3"/>
      <c r="K116" s="3"/>
      <c r="L116" s="76"/>
      <c r="M116" s="76"/>
      <c r="N116" s="76"/>
      <c r="O116" s="76"/>
      <c r="P116" s="76"/>
      <c r="Q116" s="76"/>
    </row>
    <row r="117" spans="1:17">
      <c r="A117" s="84" t="s">
        <v>307</v>
      </c>
      <c r="B117" s="85" t="s">
        <v>306</v>
      </c>
      <c r="C117" s="85" t="s">
        <v>99</v>
      </c>
      <c r="D117" s="84" t="s">
        <v>84</v>
      </c>
      <c r="E117" s="84">
        <f>VLOOKUP(A117,'2a. SI Pop'!$A$5:$E$198,5,FALSE)</f>
        <v>1</v>
      </c>
      <c r="F117" s="84" t="s">
        <v>580</v>
      </c>
      <c r="G117" s="84" t="s">
        <v>84</v>
      </c>
      <c r="H117" s="101" t="s">
        <v>582</v>
      </c>
      <c r="I117" s="3"/>
      <c r="J117" s="3"/>
      <c r="K117" s="3"/>
      <c r="L117" s="76"/>
      <c r="M117" s="76"/>
      <c r="N117" s="76"/>
      <c r="O117" s="76"/>
      <c r="P117" s="76"/>
      <c r="Q117" s="76"/>
    </row>
    <row r="118" spans="1:17">
      <c r="A118" s="84" t="s">
        <v>309</v>
      </c>
      <c r="B118" s="85" t="s">
        <v>308</v>
      </c>
      <c r="C118" s="85" t="s">
        <v>79</v>
      </c>
      <c r="D118" s="84" t="s">
        <v>84</v>
      </c>
      <c r="E118" s="84">
        <f>VLOOKUP(A118,'2a. SI Pop'!$A$5:$E$198,5,FALSE)</f>
        <v>1</v>
      </c>
      <c r="F118" s="84" t="s">
        <v>581</v>
      </c>
      <c r="G118" s="84" t="s">
        <v>84</v>
      </c>
      <c r="H118" s="101">
        <v>92.691934586042223</v>
      </c>
      <c r="I118" s="3"/>
      <c r="J118" s="3"/>
      <c r="K118" s="3"/>
      <c r="L118" s="76"/>
      <c r="M118" s="76"/>
      <c r="N118" s="76"/>
      <c r="O118" s="76"/>
      <c r="P118" s="76"/>
      <c r="Q118" s="76"/>
    </row>
    <row r="119" spans="1:17">
      <c r="A119" s="84" t="s">
        <v>311</v>
      </c>
      <c r="B119" s="85" t="s">
        <v>310</v>
      </c>
      <c r="C119" s="85" t="s">
        <v>79</v>
      </c>
      <c r="D119" s="84" t="s">
        <v>87</v>
      </c>
      <c r="E119" s="84">
        <f>VLOOKUP(A119,'2a. SI Pop'!$A$5:$E$198,5,FALSE)</f>
        <v>1</v>
      </c>
      <c r="F119" s="84" t="s">
        <v>580</v>
      </c>
      <c r="G119" s="84" t="s">
        <v>87</v>
      </c>
      <c r="H119" s="101" t="s">
        <v>582</v>
      </c>
      <c r="I119" s="3"/>
      <c r="J119" s="3"/>
      <c r="K119" s="3"/>
      <c r="L119" s="76"/>
      <c r="M119" s="76"/>
      <c r="N119" s="76"/>
      <c r="O119" s="76"/>
      <c r="P119" s="76"/>
      <c r="Q119" s="76"/>
    </row>
    <row r="120" spans="1:17">
      <c r="A120" s="84" t="s">
        <v>313</v>
      </c>
      <c r="B120" s="85" t="s">
        <v>312</v>
      </c>
      <c r="C120" s="85" t="s">
        <v>99</v>
      </c>
      <c r="D120" s="84" t="s">
        <v>84</v>
      </c>
      <c r="E120" s="84">
        <f>VLOOKUP(A120,'2a. SI Pop'!$A$5:$E$198,5,FALSE)</f>
        <v>2</v>
      </c>
      <c r="F120" s="84" t="s">
        <v>581</v>
      </c>
      <c r="G120" s="84" t="s">
        <v>84</v>
      </c>
      <c r="H120" s="101">
        <v>99.489917017849834</v>
      </c>
      <c r="I120" s="3"/>
      <c r="J120" s="3"/>
      <c r="K120" s="3"/>
      <c r="L120" s="76"/>
      <c r="M120" s="76"/>
      <c r="N120" s="76"/>
      <c r="O120" s="76"/>
      <c r="P120" s="76"/>
      <c r="Q120" s="76"/>
    </row>
    <row r="121" spans="1:17">
      <c r="A121" s="84" t="s">
        <v>315</v>
      </c>
      <c r="B121" s="85" t="s">
        <v>314</v>
      </c>
      <c r="C121" s="85" t="s">
        <v>79</v>
      </c>
      <c r="D121" s="84" t="s">
        <v>80</v>
      </c>
      <c r="E121" s="84">
        <f>VLOOKUP(A121,'2a. SI Pop'!$A$5:$E$198,5,FALSE)</f>
        <v>1</v>
      </c>
      <c r="F121" s="84" t="s">
        <v>580</v>
      </c>
      <c r="G121" s="84" t="s">
        <v>80</v>
      </c>
      <c r="H121" s="101">
        <v>100</v>
      </c>
      <c r="I121" s="3"/>
      <c r="J121" s="3"/>
      <c r="K121" s="3"/>
      <c r="L121" s="76"/>
      <c r="M121" s="76"/>
      <c r="N121" s="76"/>
      <c r="O121" s="76"/>
      <c r="P121" s="76"/>
      <c r="Q121" s="76"/>
    </row>
    <row r="122" spans="1:17">
      <c r="A122" s="84" t="s">
        <v>317</v>
      </c>
      <c r="B122" s="85" t="s">
        <v>316</v>
      </c>
      <c r="C122" s="85" t="s">
        <v>74</v>
      </c>
      <c r="D122" s="84" t="s">
        <v>84</v>
      </c>
      <c r="E122" s="84">
        <f>VLOOKUP(A122,'2a. SI Pop'!$A$5:$E$198,5,FALSE)</f>
        <v>3</v>
      </c>
      <c r="F122" s="84" t="s">
        <v>580</v>
      </c>
      <c r="G122" s="84" t="s">
        <v>84</v>
      </c>
      <c r="H122" s="101">
        <v>100</v>
      </c>
      <c r="I122" s="3"/>
      <c r="J122" s="3"/>
      <c r="K122" s="3"/>
      <c r="L122" s="76"/>
      <c r="M122" s="76"/>
      <c r="N122" s="76"/>
      <c r="O122" s="76"/>
      <c r="P122" s="76"/>
      <c r="Q122" s="76"/>
    </row>
    <row r="123" spans="1:17">
      <c r="A123" s="84" t="s">
        <v>319</v>
      </c>
      <c r="B123" s="85" t="s">
        <v>318</v>
      </c>
      <c r="C123" s="85" t="s">
        <v>83</v>
      </c>
      <c r="D123" s="84" t="s">
        <v>75</v>
      </c>
      <c r="E123" s="84" t="str">
        <f>VLOOKUP(A123,'2a. SI Pop'!$A$5:$E$198,5,FALSE)</f>
        <v>Key</v>
      </c>
      <c r="F123" s="84" t="s">
        <v>579</v>
      </c>
      <c r="G123" s="84" t="s">
        <v>75</v>
      </c>
      <c r="H123" s="101">
        <v>22.558748959859244</v>
      </c>
      <c r="I123" s="3"/>
      <c r="J123" s="3"/>
      <c r="K123" s="3"/>
      <c r="L123" s="76"/>
      <c r="M123" s="76"/>
      <c r="N123" s="76"/>
      <c r="O123" s="76"/>
      <c r="P123" s="76"/>
      <c r="Q123" s="76"/>
    </row>
    <row r="124" spans="1:17">
      <c r="A124" s="84" t="s">
        <v>321</v>
      </c>
      <c r="B124" s="85" t="s">
        <v>320</v>
      </c>
      <c r="C124" s="85" t="s">
        <v>110</v>
      </c>
      <c r="D124" s="84" t="s">
        <v>84</v>
      </c>
      <c r="E124" s="84">
        <f>VLOOKUP(A124,'2a. SI Pop'!$A$5:$E$198,5,FALSE)</f>
        <v>4</v>
      </c>
      <c r="F124" s="84" t="s">
        <v>584</v>
      </c>
      <c r="G124" s="84" t="s">
        <v>84</v>
      </c>
      <c r="H124" s="101">
        <v>6.428797028951176</v>
      </c>
      <c r="I124" s="3"/>
      <c r="J124" s="3"/>
      <c r="K124" s="3"/>
      <c r="L124" s="76"/>
      <c r="M124" s="76"/>
      <c r="N124" s="76"/>
      <c r="O124" s="76"/>
      <c r="P124" s="76"/>
      <c r="Q124" s="76"/>
    </row>
    <row r="125" spans="1:17">
      <c r="A125" s="84" t="s">
        <v>323</v>
      </c>
      <c r="B125" s="85" t="s">
        <v>322</v>
      </c>
      <c r="C125" s="85" t="s">
        <v>83</v>
      </c>
      <c r="D125" s="84" t="s">
        <v>80</v>
      </c>
      <c r="E125" s="84">
        <f>VLOOKUP(A125,'2a. SI Pop'!$A$5:$E$198,5,FALSE)</f>
        <v>3</v>
      </c>
      <c r="F125" s="84" t="s">
        <v>580</v>
      </c>
      <c r="G125" s="84" t="s">
        <v>80</v>
      </c>
      <c r="H125" s="101">
        <v>100</v>
      </c>
      <c r="I125" s="3"/>
      <c r="J125" s="3"/>
      <c r="K125" s="3"/>
      <c r="L125" s="76"/>
      <c r="M125" s="76"/>
      <c r="N125" s="76"/>
      <c r="O125" s="76"/>
      <c r="P125" s="76"/>
      <c r="Q125" s="76"/>
    </row>
    <row r="126" spans="1:17">
      <c r="A126" s="84" t="s">
        <v>325</v>
      </c>
      <c r="B126" s="85" t="s">
        <v>324</v>
      </c>
      <c r="C126" s="85" t="s">
        <v>99</v>
      </c>
      <c r="D126" s="84" t="s">
        <v>87</v>
      </c>
      <c r="E126" s="84">
        <f>VLOOKUP(A126,'2a. SI Pop'!$A$5:$E$198,5,FALSE)</f>
        <v>1</v>
      </c>
      <c r="F126" s="84" t="s">
        <v>580</v>
      </c>
      <c r="G126" s="84" t="s">
        <v>87</v>
      </c>
      <c r="H126" s="101" t="s">
        <v>582</v>
      </c>
      <c r="I126" s="3"/>
      <c r="J126" s="3"/>
      <c r="K126" s="3"/>
      <c r="L126" s="76"/>
      <c r="M126" s="76"/>
      <c r="N126" s="76"/>
      <c r="O126" s="76"/>
      <c r="P126" s="76"/>
      <c r="Q126" s="76"/>
    </row>
    <row r="127" spans="1:17">
      <c r="A127" s="84" t="s">
        <v>327</v>
      </c>
      <c r="B127" s="85" t="s">
        <v>326</v>
      </c>
      <c r="C127" s="85" t="s">
        <v>110</v>
      </c>
      <c r="D127" s="84" t="s">
        <v>84</v>
      </c>
      <c r="E127" s="84">
        <f>VLOOKUP(A127,'2a. SI Pop'!$A$5:$E$198,5,FALSE)</f>
        <v>4</v>
      </c>
      <c r="F127" s="84" t="s">
        <v>584</v>
      </c>
      <c r="G127" s="84" t="s">
        <v>84</v>
      </c>
      <c r="H127" s="101">
        <v>22.217529383245544</v>
      </c>
      <c r="I127" s="3"/>
      <c r="J127" s="3"/>
      <c r="K127" s="3"/>
      <c r="L127" s="76"/>
      <c r="M127" s="76"/>
      <c r="N127" s="76"/>
      <c r="O127" s="76"/>
      <c r="P127" s="76"/>
      <c r="Q127" s="76"/>
    </row>
    <row r="128" spans="1:17">
      <c r="A128" s="84" t="s">
        <v>329</v>
      </c>
      <c r="B128" s="85" t="s">
        <v>328</v>
      </c>
      <c r="C128" s="85" t="s">
        <v>79</v>
      </c>
      <c r="D128" s="84" t="s">
        <v>87</v>
      </c>
      <c r="E128" s="84">
        <f>VLOOKUP(A128,'2a. SI Pop'!$A$5:$E$198,5,FALSE)</f>
        <v>1</v>
      </c>
      <c r="F128" s="84" t="s">
        <v>580</v>
      </c>
      <c r="G128" s="84" t="s">
        <v>87</v>
      </c>
      <c r="H128" s="101">
        <v>100</v>
      </c>
      <c r="I128" s="3"/>
      <c r="J128" s="3"/>
      <c r="K128" s="3"/>
      <c r="L128" s="76"/>
      <c r="M128" s="76"/>
      <c r="N128" s="76"/>
      <c r="O128" s="76"/>
      <c r="P128" s="76"/>
      <c r="Q128" s="76"/>
    </row>
    <row r="129" spans="1:17">
      <c r="A129" s="84" t="s">
        <v>331</v>
      </c>
      <c r="B129" s="85" t="s">
        <v>330</v>
      </c>
      <c r="C129" s="85" t="s">
        <v>99</v>
      </c>
      <c r="D129" s="84" t="s">
        <v>87</v>
      </c>
      <c r="E129" s="84">
        <f>VLOOKUP(A129,'2a. SI Pop'!$A$5:$E$198,5,FALSE)</f>
        <v>1</v>
      </c>
      <c r="F129" s="84" t="s">
        <v>580</v>
      </c>
      <c r="G129" s="84" t="s">
        <v>87</v>
      </c>
      <c r="H129" s="101">
        <v>100</v>
      </c>
      <c r="I129" s="3"/>
      <c r="J129" s="3"/>
      <c r="K129" s="3"/>
      <c r="L129" s="76"/>
      <c r="M129" s="76"/>
      <c r="N129" s="76"/>
      <c r="O129" s="76"/>
      <c r="P129" s="76"/>
      <c r="Q129" s="76"/>
    </row>
    <row r="130" spans="1:17">
      <c r="A130" s="84" t="s">
        <v>333</v>
      </c>
      <c r="B130" s="85" t="s">
        <v>332</v>
      </c>
      <c r="C130" s="85" t="s">
        <v>92</v>
      </c>
      <c r="D130" s="84" t="s">
        <v>84</v>
      </c>
      <c r="E130" s="84">
        <f>VLOOKUP(A130,'2a. SI Pop'!$A$5:$E$198,5,FALSE)</f>
        <v>2</v>
      </c>
      <c r="F130" s="84" t="s">
        <v>581</v>
      </c>
      <c r="G130" s="84" t="s">
        <v>84</v>
      </c>
      <c r="H130" s="101">
        <v>58.367934902173488</v>
      </c>
      <c r="I130" s="3"/>
      <c r="J130" s="3"/>
      <c r="K130" s="3"/>
      <c r="L130" s="76"/>
      <c r="M130" s="76"/>
      <c r="N130" s="76"/>
      <c r="O130" s="76"/>
      <c r="P130" s="76"/>
      <c r="Q130" s="76"/>
    </row>
    <row r="131" spans="1:17">
      <c r="A131" s="84" t="s">
        <v>335</v>
      </c>
      <c r="B131" s="85" t="s">
        <v>334</v>
      </c>
      <c r="C131" s="85" t="s">
        <v>83</v>
      </c>
      <c r="D131" s="84" t="s">
        <v>75</v>
      </c>
      <c r="E131" s="84">
        <f>VLOOKUP(A131,'2a. SI Pop'!$A$5:$E$198,5,FALSE)</f>
        <v>3</v>
      </c>
      <c r="F131" s="84" t="s">
        <v>579</v>
      </c>
      <c r="G131" s="84" t="s">
        <v>75</v>
      </c>
      <c r="H131" s="101">
        <v>16.269557214439111</v>
      </c>
      <c r="I131" s="3"/>
      <c r="J131" s="3"/>
      <c r="K131" s="3"/>
      <c r="L131" s="76"/>
      <c r="M131" s="76"/>
      <c r="N131" s="76"/>
      <c r="O131" s="76"/>
      <c r="P131" s="76"/>
      <c r="Q131" s="76"/>
    </row>
    <row r="132" spans="1:17">
      <c r="A132" s="84" t="s">
        <v>337</v>
      </c>
      <c r="B132" s="85" t="s">
        <v>336</v>
      </c>
      <c r="C132" s="85" t="s">
        <v>83</v>
      </c>
      <c r="D132" s="84" t="s">
        <v>84</v>
      </c>
      <c r="E132" s="84" t="str">
        <f>VLOOKUP(A132,'2a. SI Pop'!$A$5:$E$198,5,FALSE)</f>
        <v>Key</v>
      </c>
      <c r="F132" s="84" t="s">
        <v>581</v>
      </c>
      <c r="G132" s="84" t="s">
        <v>84</v>
      </c>
      <c r="H132" s="101">
        <v>28.436018957345972</v>
      </c>
      <c r="I132" s="3"/>
      <c r="J132" s="3"/>
      <c r="K132" s="3"/>
      <c r="L132" s="76"/>
      <c r="M132" s="76"/>
      <c r="N132" s="76"/>
      <c r="O132" s="76"/>
      <c r="P132" s="76"/>
      <c r="Q132" s="76"/>
    </row>
    <row r="133" spans="1:17">
      <c r="A133" s="84" t="s">
        <v>339</v>
      </c>
      <c r="B133" s="85" t="s">
        <v>338</v>
      </c>
      <c r="C133" s="85" t="s">
        <v>99</v>
      </c>
      <c r="D133" s="84" t="e">
        <v>#N/A</v>
      </c>
      <c r="E133" s="84">
        <f>VLOOKUP(A133,'2a. SI Pop'!$A$5:$E$198,5,FALSE)</f>
        <v>1</v>
      </c>
      <c r="F133" s="84" t="s">
        <v>580</v>
      </c>
      <c r="G133" s="84" t="e">
        <v>#N/A</v>
      </c>
      <c r="H133" s="101">
        <v>0</v>
      </c>
      <c r="I133" s="3"/>
      <c r="J133" s="3"/>
      <c r="K133" s="3"/>
      <c r="L133" s="76"/>
      <c r="M133" s="76"/>
      <c r="N133" s="76"/>
      <c r="O133" s="76"/>
      <c r="P133" s="76"/>
      <c r="Q133" s="76"/>
    </row>
    <row r="134" spans="1:17">
      <c r="A134" s="84" t="s">
        <v>341</v>
      </c>
      <c r="B134" s="85" t="s">
        <v>340</v>
      </c>
      <c r="C134" s="85" t="s">
        <v>79</v>
      </c>
      <c r="D134" s="84" t="s">
        <v>87</v>
      </c>
      <c r="E134" s="84">
        <f>VLOOKUP(A134,'2a. SI Pop'!$A$5:$E$198,5,FALSE)</f>
        <v>1</v>
      </c>
      <c r="F134" s="84" t="s">
        <v>580</v>
      </c>
      <c r="G134" s="84" t="s">
        <v>87</v>
      </c>
      <c r="H134" s="101">
        <v>100</v>
      </c>
      <c r="I134" s="3"/>
      <c r="J134" s="3"/>
      <c r="K134" s="3"/>
      <c r="L134" s="76"/>
      <c r="M134" s="76"/>
      <c r="N134" s="76"/>
      <c r="O134" s="76"/>
      <c r="P134" s="76"/>
      <c r="Q134" s="76"/>
    </row>
    <row r="135" spans="1:17">
      <c r="A135" s="84" t="s">
        <v>343</v>
      </c>
      <c r="B135" s="85" t="s">
        <v>342</v>
      </c>
      <c r="C135" s="85" t="s">
        <v>74</v>
      </c>
      <c r="D135" s="84" t="s">
        <v>87</v>
      </c>
      <c r="E135" s="84">
        <f>VLOOKUP(A135,'2a. SI Pop'!$A$5:$E$198,5,FALSE)</f>
        <v>1</v>
      </c>
      <c r="F135" s="84" t="s">
        <v>580</v>
      </c>
      <c r="G135" s="84" t="s">
        <v>87</v>
      </c>
      <c r="H135" s="101" t="s">
        <v>582</v>
      </c>
      <c r="I135" s="3"/>
      <c r="J135" s="3"/>
      <c r="K135" s="3"/>
      <c r="L135" s="76"/>
      <c r="M135" s="76"/>
      <c r="N135" s="76"/>
      <c r="O135" s="76"/>
      <c r="P135" s="76"/>
      <c r="Q135" s="76"/>
    </row>
    <row r="136" spans="1:17">
      <c r="A136" s="84" t="s">
        <v>345</v>
      </c>
      <c r="B136" s="85" t="s">
        <v>344</v>
      </c>
      <c r="C136" s="85" t="s">
        <v>74</v>
      </c>
      <c r="D136" s="84" t="s">
        <v>84</v>
      </c>
      <c r="E136" s="84" t="str">
        <f>VLOOKUP(A136,'2a. SI Pop'!$A$5:$E$198,5,FALSE)</f>
        <v>Key</v>
      </c>
      <c r="F136" s="84" t="s">
        <v>584</v>
      </c>
      <c r="G136" s="84" t="s">
        <v>84</v>
      </c>
      <c r="H136" s="101">
        <v>25.317141295124028</v>
      </c>
      <c r="I136" s="3"/>
      <c r="J136" s="3"/>
      <c r="K136" s="3"/>
      <c r="L136" s="76"/>
      <c r="M136" s="76"/>
      <c r="N136" s="76"/>
      <c r="O136" s="76"/>
      <c r="P136" s="76"/>
      <c r="Q136" s="76"/>
    </row>
    <row r="137" spans="1:17">
      <c r="A137" s="84" t="s">
        <v>347</v>
      </c>
      <c r="B137" s="85" t="s">
        <v>346</v>
      </c>
      <c r="C137" s="85" t="s">
        <v>99</v>
      </c>
      <c r="D137" s="84" t="s">
        <v>87</v>
      </c>
      <c r="E137" s="84">
        <f>VLOOKUP(A137,'2a. SI Pop'!$A$5:$E$198,5,FALSE)</f>
        <v>1</v>
      </c>
      <c r="F137" s="84" t="s">
        <v>580</v>
      </c>
      <c r="G137" s="84" t="s">
        <v>87</v>
      </c>
      <c r="H137" s="101" t="s">
        <v>582</v>
      </c>
      <c r="I137" s="3"/>
      <c r="J137" s="3"/>
      <c r="K137" s="3"/>
      <c r="L137" s="76"/>
      <c r="M137" s="76"/>
      <c r="N137" s="76"/>
      <c r="O137" s="76"/>
      <c r="P137" s="76"/>
      <c r="Q137" s="76"/>
    </row>
    <row r="138" spans="1:17">
      <c r="A138" s="84" t="s">
        <v>349</v>
      </c>
      <c r="B138" s="85" t="s">
        <v>348</v>
      </c>
      <c r="C138" s="85" t="s">
        <v>92</v>
      </c>
      <c r="D138" s="84" t="s">
        <v>87</v>
      </c>
      <c r="E138" s="84">
        <f>VLOOKUP(A138,'2a. SI Pop'!$A$5:$E$198,5,FALSE)</f>
        <v>1</v>
      </c>
      <c r="F138" s="84" t="s">
        <v>580</v>
      </c>
      <c r="G138" s="84" t="s">
        <v>87</v>
      </c>
      <c r="H138" s="101">
        <v>99.978499921922463</v>
      </c>
      <c r="I138" s="3"/>
      <c r="J138" s="3"/>
      <c r="K138" s="3"/>
      <c r="L138" s="76"/>
      <c r="M138" s="76"/>
      <c r="N138" s="76"/>
      <c r="O138" s="76"/>
      <c r="P138" s="76"/>
      <c r="Q138" s="76"/>
    </row>
    <row r="139" spans="1:17">
      <c r="A139" s="84" t="s">
        <v>351</v>
      </c>
      <c r="B139" s="85" t="s">
        <v>350</v>
      </c>
      <c r="C139" s="85" t="s">
        <v>99</v>
      </c>
      <c r="D139" s="84" t="s">
        <v>84</v>
      </c>
      <c r="E139" s="84">
        <f>VLOOKUP(A139,'2a. SI Pop'!$A$5:$E$198,5,FALSE)</f>
        <v>4</v>
      </c>
      <c r="F139" s="84" t="s">
        <v>581</v>
      </c>
      <c r="G139" s="84" t="s">
        <v>84</v>
      </c>
      <c r="H139" s="101">
        <v>40.885544133167464</v>
      </c>
      <c r="I139" s="3"/>
      <c r="J139" s="3"/>
      <c r="K139" s="3"/>
      <c r="L139" s="76"/>
      <c r="M139" s="76"/>
      <c r="N139" s="76"/>
      <c r="O139" s="76"/>
      <c r="P139" s="76"/>
      <c r="Q139" s="76"/>
    </row>
    <row r="140" spans="1:17">
      <c r="A140" s="84" t="s">
        <v>353</v>
      </c>
      <c r="B140" s="85" t="s">
        <v>352</v>
      </c>
      <c r="C140" s="85" t="s">
        <v>92</v>
      </c>
      <c r="D140" s="84" t="s">
        <v>80</v>
      </c>
      <c r="E140" s="84">
        <f>VLOOKUP(A140,'2a. SI Pop'!$A$5:$E$198,5,FALSE)</f>
        <v>1</v>
      </c>
      <c r="F140" s="84" t="s">
        <v>580</v>
      </c>
      <c r="G140" s="84" t="s">
        <v>80</v>
      </c>
      <c r="H140" s="101">
        <v>100</v>
      </c>
      <c r="I140" s="3"/>
      <c r="J140" s="3"/>
      <c r="K140" s="3"/>
      <c r="L140" s="76"/>
      <c r="M140" s="76"/>
      <c r="N140" s="76"/>
      <c r="O140" s="76"/>
      <c r="P140" s="76"/>
      <c r="Q140" s="76"/>
    </row>
    <row r="141" spans="1:17">
      <c r="A141" s="84" t="s">
        <v>355</v>
      </c>
      <c r="B141" s="85" t="s">
        <v>354</v>
      </c>
      <c r="C141" s="85" t="s">
        <v>92</v>
      </c>
      <c r="D141" s="84" t="s">
        <v>80</v>
      </c>
      <c r="E141" s="84">
        <f>VLOOKUP(A141,'2a. SI Pop'!$A$5:$E$198,5,FALSE)</f>
        <v>2</v>
      </c>
      <c r="F141" s="84" t="s">
        <v>580</v>
      </c>
      <c r="G141" s="84" t="s">
        <v>80</v>
      </c>
      <c r="H141" s="101">
        <v>100</v>
      </c>
      <c r="I141" s="3"/>
      <c r="J141" s="3"/>
      <c r="K141" s="3"/>
      <c r="L141" s="76"/>
      <c r="M141" s="76"/>
      <c r="N141" s="76"/>
      <c r="O141" s="76"/>
      <c r="P141" s="76"/>
      <c r="Q141" s="76"/>
    </row>
    <row r="142" spans="1:17">
      <c r="A142" s="84" t="s">
        <v>357</v>
      </c>
      <c r="B142" s="85" t="s">
        <v>356</v>
      </c>
      <c r="C142" s="85" t="s">
        <v>99</v>
      </c>
      <c r="D142" s="84" t="s">
        <v>84</v>
      </c>
      <c r="E142" s="84" t="str">
        <f>VLOOKUP(A142,'2a. SI Pop'!$A$5:$E$198,5,FALSE)</f>
        <v>Key</v>
      </c>
      <c r="F142" s="84" t="s">
        <v>580</v>
      </c>
      <c r="G142" s="84" t="s">
        <v>84</v>
      </c>
      <c r="H142" s="101">
        <v>100</v>
      </c>
      <c r="I142" s="3"/>
      <c r="J142" s="3"/>
      <c r="K142" s="3"/>
      <c r="L142" s="76"/>
      <c r="M142" s="76"/>
      <c r="N142" s="76"/>
      <c r="O142" s="76"/>
      <c r="P142" s="76"/>
      <c r="Q142" s="76"/>
    </row>
    <row r="143" spans="1:17">
      <c r="A143" s="84" t="s">
        <v>359</v>
      </c>
      <c r="B143" s="85" t="s">
        <v>358</v>
      </c>
      <c r="C143" s="85" t="s">
        <v>79</v>
      </c>
      <c r="D143" s="84" t="s">
        <v>87</v>
      </c>
      <c r="E143" s="84">
        <f>VLOOKUP(A143,'2a. SI Pop'!$A$5:$E$198,5,FALSE)</f>
        <v>1</v>
      </c>
      <c r="F143" s="84" t="s">
        <v>580</v>
      </c>
      <c r="G143" s="84" t="s">
        <v>87</v>
      </c>
      <c r="H143" s="101">
        <v>79.365079365079424</v>
      </c>
      <c r="I143" s="3"/>
      <c r="J143" s="3"/>
      <c r="K143" s="3"/>
      <c r="L143" s="76"/>
      <c r="M143" s="76"/>
      <c r="N143" s="76"/>
      <c r="O143" s="76"/>
      <c r="P143" s="76"/>
      <c r="Q143" s="76"/>
    </row>
    <row r="144" spans="1:17">
      <c r="A144" s="84" t="s">
        <v>361</v>
      </c>
      <c r="B144" s="85" t="s">
        <v>360</v>
      </c>
      <c r="C144" s="85" t="s">
        <v>79</v>
      </c>
      <c r="D144" s="84" t="s">
        <v>87</v>
      </c>
      <c r="E144" s="84">
        <f>VLOOKUP(A144,'2a. SI Pop'!$A$5:$E$198,5,FALSE)</f>
        <v>1</v>
      </c>
      <c r="F144" s="84" t="s">
        <v>580</v>
      </c>
      <c r="G144" s="84" t="s">
        <v>87</v>
      </c>
      <c r="H144" s="101">
        <v>100</v>
      </c>
      <c r="I144" s="3"/>
      <c r="J144" s="3"/>
      <c r="K144" s="3"/>
      <c r="L144" s="76"/>
      <c r="M144" s="76"/>
      <c r="N144" s="76"/>
      <c r="O144" s="76"/>
      <c r="P144" s="76"/>
      <c r="Q144" s="76"/>
    </row>
    <row r="145" spans="1:17">
      <c r="A145" s="84" t="s">
        <v>363</v>
      </c>
      <c r="B145" s="85" t="s">
        <v>362</v>
      </c>
      <c r="C145" s="85" t="s">
        <v>74</v>
      </c>
      <c r="D145" s="84" t="s">
        <v>87</v>
      </c>
      <c r="E145" s="84">
        <f>VLOOKUP(A145,'2a. SI Pop'!$A$5:$E$198,5,FALSE)</f>
        <v>1</v>
      </c>
      <c r="F145" s="84" t="s">
        <v>580</v>
      </c>
      <c r="G145" s="84" t="s">
        <v>87</v>
      </c>
      <c r="H145" s="101">
        <v>100</v>
      </c>
      <c r="I145" s="3"/>
      <c r="J145" s="3"/>
      <c r="K145" s="3"/>
      <c r="L145" s="76"/>
      <c r="M145" s="76"/>
      <c r="N145" s="76"/>
      <c r="O145" s="76"/>
      <c r="P145" s="76"/>
      <c r="Q145" s="76"/>
    </row>
    <row r="146" spans="1:17">
      <c r="A146" s="84" t="s">
        <v>365</v>
      </c>
      <c r="B146" s="85" t="s">
        <v>364</v>
      </c>
      <c r="C146" s="85" t="s">
        <v>79</v>
      </c>
      <c r="D146" s="84" t="s">
        <v>87</v>
      </c>
      <c r="E146" s="84">
        <f>VLOOKUP(A146,'2a. SI Pop'!$A$5:$E$198,5,FALSE)</f>
        <v>2</v>
      </c>
      <c r="F146" s="84" t="s">
        <v>580</v>
      </c>
      <c r="G146" s="84" t="s">
        <v>87</v>
      </c>
      <c r="H146" s="101">
        <v>100</v>
      </c>
      <c r="I146" s="3"/>
      <c r="J146" s="3"/>
      <c r="K146" s="3"/>
      <c r="L146" s="76"/>
      <c r="M146" s="76"/>
      <c r="N146" s="76"/>
      <c r="O146" s="76"/>
      <c r="P146" s="76"/>
      <c r="Q146" s="76"/>
    </row>
    <row r="147" spans="1:17">
      <c r="A147" s="84" t="s">
        <v>367</v>
      </c>
      <c r="B147" s="85" t="s">
        <v>366</v>
      </c>
      <c r="C147" s="85" t="s">
        <v>79</v>
      </c>
      <c r="D147" s="84" t="s">
        <v>80</v>
      </c>
      <c r="E147" s="84">
        <f>VLOOKUP(A147,'2a. SI Pop'!$A$5:$E$198,5,FALSE)</f>
        <v>2</v>
      </c>
      <c r="F147" s="84" t="s">
        <v>580</v>
      </c>
      <c r="G147" s="84" t="s">
        <v>80</v>
      </c>
      <c r="H147" s="101" t="s">
        <v>582</v>
      </c>
      <c r="I147" s="3"/>
      <c r="J147" s="3"/>
      <c r="K147" s="3"/>
      <c r="L147" s="76"/>
      <c r="M147" s="76"/>
      <c r="N147" s="76"/>
      <c r="O147" s="76"/>
      <c r="P147" s="76"/>
      <c r="Q147" s="76"/>
    </row>
    <row r="148" spans="1:17">
      <c r="A148" s="84" t="s">
        <v>369</v>
      </c>
      <c r="B148" s="85" t="s">
        <v>368</v>
      </c>
      <c r="C148" s="85" t="s">
        <v>83</v>
      </c>
      <c r="D148" s="84" t="s">
        <v>75</v>
      </c>
      <c r="E148" s="84">
        <f>VLOOKUP(A148,'2a. SI Pop'!$A$5:$E$198,5,FALSE)</f>
        <v>3</v>
      </c>
      <c r="F148" s="84" t="s">
        <v>583</v>
      </c>
      <c r="G148" s="84" t="s">
        <v>75</v>
      </c>
      <c r="H148" s="101">
        <v>10.55978238633851</v>
      </c>
      <c r="I148" s="3"/>
      <c r="J148" s="3"/>
      <c r="K148" s="3"/>
      <c r="L148" s="76"/>
      <c r="M148" s="76"/>
      <c r="N148" s="76"/>
      <c r="O148" s="76"/>
      <c r="P148" s="76"/>
      <c r="Q148" s="76"/>
    </row>
    <row r="149" spans="1:17">
      <c r="A149" s="84" t="s">
        <v>371</v>
      </c>
      <c r="B149" s="85" t="s">
        <v>370</v>
      </c>
      <c r="C149" s="85" t="s">
        <v>92</v>
      </c>
      <c r="D149" s="84" t="s">
        <v>87</v>
      </c>
      <c r="E149" s="84">
        <f>VLOOKUP(A149,'2a. SI Pop'!$A$5:$E$198,5,FALSE)</f>
        <v>1</v>
      </c>
      <c r="F149" s="84" t="s">
        <v>580</v>
      </c>
      <c r="G149" s="84" t="s">
        <v>87</v>
      </c>
      <c r="H149" s="101">
        <v>100</v>
      </c>
      <c r="I149" s="3"/>
      <c r="J149" s="3"/>
      <c r="K149" s="3"/>
      <c r="L149" s="76"/>
      <c r="M149" s="76"/>
      <c r="N149" s="76"/>
      <c r="O149" s="76"/>
      <c r="P149" s="76"/>
      <c r="Q149" s="76"/>
    </row>
    <row r="150" spans="1:17">
      <c r="A150" s="84" t="s">
        <v>373</v>
      </c>
      <c r="B150" s="85" t="s">
        <v>372</v>
      </c>
      <c r="C150" s="85" t="s">
        <v>92</v>
      </c>
      <c r="D150" s="84" t="s">
        <v>80</v>
      </c>
      <c r="E150" s="84">
        <f>VLOOKUP(A150,'2a. SI Pop'!$A$5:$E$198,5,FALSE)</f>
        <v>1</v>
      </c>
      <c r="F150" s="84" t="s">
        <v>580</v>
      </c>
      <c r="G150" s="84" t="s">
        <v>80</v>
      </c>
      <c r="H150" s="101">
        <v>100</v>
      </c>
      <c r="I150" s="3"/>
      <c r="J150" s="3"/>
      <c r="K150" s="3"/>
      <c r="L150" s="76"/>
      <c r="M150" s="76"/>
      <c r="N150" s="76"/>
      <c r="O150" s="76"/>
      <c r="P150" s="76"/>
      <c r="Q150" s="76"/>
    </row>
    <row r="151" spans="1:17">
      <c r="A151" s="84" t="s">
        <v>375</v>
      </c>
      <c r="B151" s="85" t="s">
        <v>374</v>
      </c>
      <c r="C151" s="85" t="s">
        <v>92</v>
      </c>
      <c r="D151" s="84" t="s">
        <v>80</v>
      </c>
      <c r="E151" s="84">
        <f>VLOOKUP(A151,'2a. SI Pop'!$A$5:$E$198,5,FALSE)</f>
        <v>1</v>
      </c>
      <c r="F151" s="84" t="s">
        <v>580</v>
      </c>
      <c r="G151" s="84" t="s">
        <v>80</v>
      </c>
      <c r="H151" s="101">
        <v>100</v>
      </c>
      <c r="I151" s="3"/>
      <c r="J151" s="3"/>
      <c r="K151" s="3"/>
      <c r="L151" s="76"/>
      <c r="M151" s="76"/>
      <c r="N151" s="76"/>
      <c r="O151" s="76"/>
      <c r="P151" s="76"/>
      <c r="Q151" s="76"/>
    </row>
    <row r="152" spans="1:17">
      <c r="A152" s="84" t="s">
        <v>377</v>
      </c>
      <c r="B152" s="85" t="s">
        <v>376</v>
      </c>
      <c r="C152" s="85" t="s">
        <v>99</v>
      </c>
      <c r="D152" s="84" t="s">
        <v>80</v>
      </c>
      <c r="E152" s="84">
        <f>VLOOKUP(A152,'2a. SI Pop'!$A$5:$E$198,5,FALSE)</f>
        <v>2</v>
      </c>
      <c r="F152" s="84" t="s">
        <v>580</v>
      </c>
      <c r="G152" s="84" t="s">
        <v>80</v>
      </c>
      <c r="H152" s="101" t="s">
        <v>582</v>
      </c>
      <c r="I152" s="3"/>
      <c r="J152" s="3"/>
      <c r="K152" s="3"/>
      <c r="L152" s="76"/>
      <c r="M152" s="76"/>
      <c r="N152" s="76"/>
      <c r="O152" s="76"/>
      <c r="P152" s="76"/>
      <c r="Q152" s="76"/>
    </row>
    <row r="153" spans="1:17">
      <c r="A153" s="84" t="s">
        <v>379</v>
      </c>
      <c r="B153" s="85" t="s">
        <v>378</v>
      </c>
      <c r="C153" s="85" t="s">
        <v>79</v>
      </c>
      <c r="D153" s="84" t="s">
        <v>87</v>
      </c>
      <c r="E153" s="84">
        <f>VLOOKUP(A153,'2a. SI Pop'!$A$5:$E$198,5,FALSE)</f>
        <v>1</v>
      </c>
      <c r="F153" s="84" t="s">
        <v>580</v>
      </c>
      <c r="G153" s="84" t="s">
        <v>87</v>
      </c>
      <c r="H153" s="101" t="s">
        <v>582</v>
      </c>
      <c r="I153" s="3"/>
      <c r="J153" s="3"/>
      <c r="K153" s="3"/>
      <c r="L153" s="76"/>
      <c r="M153" s="76"/>
      <c r="N153" s="76"/>
      <c r="O153" s="76"/>
      <c r="P153" s="76"/>
      <c r="Q153" s="76"/>
    </row>
    <row r="154" spans="1:17">
      <c r="A154" s="84" t="s">
        <v>381</v>
      </c>
      <c r="B154" s="85" t="s">
        <v>380</v>
      </c>
      <c r="C154" s="85" t="s">
        <v>83</v>
      </c>
      <c r="D154" s="84" t="s">
        <v>84</v>
      </c>
      <c r="E154" s="84">
        <f>VLOOKUP(A154,'2a. SI Pop'!$A$5:$E$198,5,FALSE)</f>
        <v>3</v>
      </c>
      <c r="F154" s="84" t="s">
        <v>581</v>
      </c>
      <c r="G154" s="84" t="s">
        <v>84</v>
      </c>
      <c r="H154" s="101">
        <v>10.108336938908826</v>
      </c>
      <c r="I154" s="3"/>
      <c r="J154" s="3"/>
      <c r="K154" s="3"/>
      <c r="L154" s="76"/>
      <c r="M154" s="76"/>
      <c r="N154" s="76"/>
      <c r="O154" s="76"/>
      <c r="P154" s="76"/>
      <c r="Q154" s="76"/>
    </row>
    <row r="155" spans="1:17">
      <c r="A155" s="84" t="s">
        <v>383</v>
      </c>
      <c r="B155" s="85" t="s">
        <v>382</v>
      </c>
      <c r="C155" s="85" t="s">
        <v>74</v>
      </c>
      <c r="D155" s="84" t="s">
        <v>87</v>
      </c>
      <c r="E155" s="84">
        <f>VLOOKUP(A155,'2a. SI Pop'!$A$5:$E$198,5,FALSE)</f>
        <v>1</v>
      </c>
      <c r="F155" s="84" t="s">
        <v>580</v>
      </c>
      <c r="G155" s="84" t="s">
        <v>87</v>
      </c>
      <c r="H155" s="101" t="s">
        <v>582</v>
      </c>
      <c r="I155" s="3"/>
      <c r="J155" s="3"/>
      <c r="K155" s="3"/>
      <c r="L155" s="76"/>
      <c r="M155" s="76"/>
      <c r="N155" s="76"/>
      <c r="O155" s="76"/>
      <c r="P155" s="76"/>
      <c r="Q155" s="76"/>
    </row>
    <row r="156" spans="1:17">
      <c r="A156" s="84" t="s">
        <v>385</v>
      </c>
      <c r="B156" s="85" t="s">
        <v>384</v>
      </c>
      <c r="C156" s="85" t="s">
        <v>83</v>
      </c>
      <c r="D156" s="84" t="s">
        <v>84</v>
      </c>
      <c r="E156" s="84">
        <f>VLOOKUP(A156,'2a. SI Pop'!$A$5:$E$198,5,FALSE)</f>
        <v>3</v>
      </c>
      <c r="F156" s="84" t="s">
        <v>584</v>
      </c>
      <c r="G156" s="84" t="s">
        <v>84</v>
      </c>
      <c r="H156" s="101">
        <v>13.042485897812137</v>
      </c>
      <c r="I156" s="3"/>
      <c r="J156" s="3"/>
      <c r="K156" s="3"/>
      <c r="L156" s="76"/>
      <c r="M156" s="76"/>
      <c r="N156" s="76"/>
      <c r="O156" s="76"/>
      <c r="P156" s="76"/>
      <c r="Q156" s="76"/>
    </row>
    <row r="157" spans="1:17">
      <c r="A157" s="84" t="s">
        <v>387</v>
      </c>
      <c r="B157" s="85" t="s">
        <v>386</v>
      </c>
      <c r="C157" s="85" t="s">
        <v>79</v>
      </c>
      <c r="D157" s="84" t="s">
        <v>80</v>
      </c>
      <c r="E157" s="84">
        <f>VLOOKUP(A157,'2a. SI Pop'!$A$5:$E$198,5,FALSE)</f>
        <v>1</v>
      </c>
      <c r="F157" s="84" t="s">
        <v>580</v>
      </c>
      <c r="G157" s="84" t="s">
        <v>80</v>
      </c>
      <c r="H157" s="101" t="s">
        <v>582</v>
      </c>
      <c r="I157" s="3"/>
      <c r="J157" s="3"/>
      <c r="K157" s="3"/>
      <c r="L157" s="76"/>
      <c r="M157" s="76"/>
      <c r="N157" s="76"/>
      <c r="O157" s="76"/>
      <c r="P157" s="76"/>
      <c r="Q157" s="76"/>
    </row>
    <row r="158" spans="1:17">
      <c r="A158" s="84" t="s">
        <v>389</v>
      </c>
      <c r="B158" s="85" t="s">
        <v>388</v>
      </c>
      <c r="C158" s="85" t="s">
        <v>83</v>
      </c>
      <c r="D158" s="84" t="s">
        <v>87</v>
      </c>
      <c r="E158" s="84">
        <f>VLOOKUP(A158,'2a. SI Pop'!$A$5:$E$198,5,FALSE)</f>
        <v>1</v>
      </c>
      <c r="F158" s="84" t="s">
        <v>580</v>
      </c>
      <c r="G158" s="84" t="s">
        <v>87</v>
      </c>
      <c r="H158" s="101">
        <v>100</v>
      </c>
      <c r="I158" s="3"/>
      <c r="J158" s="3"/>
      <c r="K158" s="3"/>
      <c r="L158" s="76"/>
      <c r="M158" s="76"/>
      <c r="N158" s="76"/>
      <c r="O158" s="76"/>
      <c r="P158" s="76"/>
      <c r="Q158" s="76"/>
    </row>
    <row r="159" spans="1:17">
      <c r="A159" s="84" t="s">
        <v>391</v>
      </c>
      <c r="B159" s="85" t="s">
        <v>390</v>
      </c>
      <c r="C159" s="85" t="s">
        <v>83</v>
      </c>
      <c r="D159" s="84" t="s">
        <v>75</v>
      </c>
      <c r="E159" s="84">
        <f>VLOOKUP(A159,'2a. SI Pop'!$A$5:$E$198,5,FALSE)</f>
        <v>3</v>
      </c>
      <c r="F159" s="84" t="s">
        <v>579</v>
      </c>
      <c r="G159" s="84" t="s">
        <v>75</v>
      </c>
      <c r="H159" s="101">
        <v>6.8532021628250295</v>
      </c>
      <c r="I159" s="3"/>
      <c r="J159" s="3"/>
      <c r="K159" s="3"/>
      <c r="L159" s="76"/>
      <c r="M159" s="76"/>
      <c r="N159" s="76"/>
      <c r="O159" s="76"/>
      <c r="P159" s="76"/>
      <c r="Q159" s="76"/>
    </row>
    <row r="160" spans="1:17">
      <c r="A160" s="84" t="s">
        <v>393</v>
      </c>
      <c r="B160" s="85" t="s">
        <v>392</v>
      </c>
      <c r="C160" s="85" t="s">
        <v>99</v>
      </c>
      <c r="D160" s="84" t="s">
        <v>87</v>
      </c>
      <c r="E160" s="84">
        <f>VLOOKUP(A160,'2a. SI Pop'!$A$5:$E$198,5,FALSE)</f>
        <v>1</v>
      </c>
      <c r="F160" s="84" t="s">
        <v>580</v>
      </c>
      <c r="G160" s="84" t="s">
        <v>87</v>
      </c>
      <c r="H160" s="101" t="s">
        <v>582</v>
      </c>
      <c r="I160" s="3"/>
      <c r="J160" s="3"/>
      <c r="K160" s="3"/>
      <c r="L160" s="76"/>
      <c r="M160" s="76"/>
      <c r="N160" s="76"/>
      <c r="O160" s="76"/>
      <c r="P160" s="76"/>
      <c r="Q160" s="76"/>
    </row>
    <row r="161" spans="1:17">
      <c r="A161" s="84" t="s">
        <v>395</v>
      </c>
      <c r="B161" s="85" t="s">
        <v>394</v>
      </c>
      <c r="C161" s="85" t="s">
        <v>79</v>
      </c>
      <c r="D161" s="84" t="s">
        <v>87</v>
      </c>
      <c r="E161" s="84">
        <f>VLOOKUP(A161,'2a. SI Pop'!$A$5:$E$198,5,FALSE)</f>
        <v>1</v>
      </c>
      <c r="F161" s="84" t="s">
        <v>580</v>
      </c>
      <c r="G161" s="84" t="s">
        <v>87</v>
      </c>
      <c r="H161" s="101">
        <v>90.475434359764591</v>
      </c>
      <c r="I161" s="3"/>
      <c r="J161" s="3"/>
      <c r="K161" s="3"/>
      <c r="L161" s="76"/>
      <c r="M161" s="76"/>
      <c r="N161" s="76"/>
      <c r="O161" s="76"/>
      <c r="P161" s="76"/>
      <c r="Q161" s="76"/>
    </row>
    <row r="162" spans="1:17">
      <c r="A162" s="84" t="s">
        <v>397</v>
      </c>
      <c r="B162" s="85" t="s">
        <v>396</v>
      </c>
      <c r="C162" s="85" t="s">
        <v>79</v>
      </c>
      <c r="D162" s="84" t="s">
        <v>87</v>
      </c>
      <c r="E162" s="84">
        <f>VLOOKUP(A162,'2a. SI Pop'!$A$5:$E$198,5,FALSE)</f>
        <v>1</v>
      </c>
      <c r="F162" s="84" t="s">
        <v>580</v>
      </c>
      <c r="G162" s="84" t="s">
        <v>87</v>
      </c>
      <c r="H162" s="101" t="s">
        <v>582</v>
      </c>
      <c r="I162" s="3"/>
      <c r="J162" s="3"/>
      <c r="K162" s="3"/>
      <c r="L162" s="76"/>
      <c r="M162" s="76"/>
      <c r="N162" s="76"/>
      <c r="O162" s="76"/>
      <c r="P162" s="76"/>
      <c r="Q162" s="76"/>
    </row>
    <row r="163" spans="1:17">
      <c r="A163" s="84" t="s">
        <v>399</v>
      </c>
      <c r="B163" s="85" t="s">
        <v>398</v>
      </c>
      <c r="C163" s="85" t="s">
        <v>74</v>
      </c>
      <c r="D163" s="84" t="s">
        <v>75</v>
      </c>
      <c r="E163" s="84">
        <f>VLOOKUP(A163,'2a. SI Pop'!$A$5:$E$198,5,FALSE)</f>
        <v>3</v>
      </c>
      <c r="F163" s="84" t="s">
        <v>579</v>
      </c>
      <c r="G163" s="84" t="s">
        <v>75</v>
      </c>
      <c r="H163" s="101" t="s">
        <v>582</v>
      </c>
      <c r="I163" s="3"/>
      <c r="J163" s="3"/>
      <c r="K163" s="3"/>
      <c r="L163" s="76"/>
      <c r="M163" s="76"/>
      <c r="N163" s="76"/>
      <c r="O163" s="76"/>
      <c r="P163" s="76"/>
      <c r="Q163" s="76"/>
    </row>
    <row r="164" spans="1:17">
      <c r="A164" s="84" t="s">
        <v>401</v>
      </c>
      <c r="B164" s="85" t="s">
        <v>400</v>
      </c>
      <c r="C164" s="85" t="s">
        <v>99</v>
      </c>
      <c r="D164" s="84" t="s">
        <v>84</v>
      </c>
      <c r="E164" s="84">
        <f>VLOOKUP(A164,'2a. SI Pop'!$A$5:$E$198,5,FALSE)</f>
        <v>4</v>
      </c>
      <c r="F164" s="84" t="s">
        <v>581</v>
      </c>
      <c r="G164" s="84" t="s">
        <v>84</v>
      </c>
      <c r="H164" s="101">
        <v>34.226291981173667</v>
      </c>
      <c r="I164" s="3"/>
      <c r="J164" s="3"/>
      <c r="K164" s="3"/>
      <c r="L164" s="76"/>
      <c r="M164" s="76"/>
      <c r="N164" s="76"/>
      <c r="O164" s="76"/>
      <c r="P164" s="76"/>
      <c r="Q164" s="76"/>
    </row>
    <row r="165" spans="1:17">
      <c r="A165" s="84" t="s">
        <v>403</v>
      </c>
      <c r="B165" s="85" t="s">
        <v>402</v>
      </c>
      <c r="C165" s="85" t="s">
        <v>83</v>
      </c>
      <c r="D165" s="84" t="s">
        <v>80</v>
      </c>
      <c r="E165" s="84" t="str">
        <f>VLOOKUP(A165,'2a. SI Pop'!$A$5:$E$198,5,FALSE)</f>
        <v>Key</v>
      </c>
      <c r="F165" s="84" t="s">
        <v>580</v>
      </c>
      <c r="G165" s="84" t="s">
        <v>80</v>
      </c>
      <c r="H165" s="101">
        <v>100</v>
      </c>
      <c r="I165" s="3"/>
      <c r="J165" s="3"/>
      <c r="K165" s="3"/>
      <c r="L165" s="76"/>
      <c r="M165" s="76"/>
      <c r="N165" s="76"/>
      <c r="O165" s="76"/>
      <c r="P165" s="76"/>
      <c r="Q165" s="76"/>
    </row>
    <row r="166" spans="1:17">
      <c r="A166" s="84" t="s">
        <v>405</v>
      </c>
      <c r="B166" s="85" t="s">
        <v>404</v>
      </c>
      <c r="C166" s="85" t="s">
        <v>79</v>
      </c>
      <c r="D166" s="84" t="s">
        <v>87</v>
      </c>
      <c r="E166" s="84">
        <f>VLOOKUP(A166,'2a. SI Pop'!$A$5:$E$198,5,FALSE)</f>
        <v>1</v>
      </c>
      <c r="F166" s="84" t="s">
        <v>580</v>
      </c>
      <c r="G166" s="84" t="s">
        <v>87</v>
      </c>
      <c r="H166" s="101" t="s">
        <v>582</v>
      </c>
      <c r="I166" s="3"/>
      <c r="J166" s="3"/>
      <c r="K166" s="3"/>
      <c r="L166" s="76"/>
      <c r="M166" s="76"/>
      <c r="N166" s="76"/>
      <c r="O166" s="76"/>
      <c r="P166" s="76"/>
      <c r="Q166" s="76"/>
    </row>
    <row r="167" spans="1:17">
      <c r="A167" s="84" t="s">
        <v>407</v>
      </c>
      <c r="B167" s="85" t="s">
        <v>406</v>
      </c>
      <c r="C167" s="85" t="s">
        <v>110</v>
      </c>
      <c r="D167" s="84" t="s">
        <v>84</v>
      </c>
      <c r="E167" s="84">
        <f>VLOOKUP(A167,'2a. SI Pop'!$A$5:$E$198,5,FALSE)</f>
        <v>2</v>
      </c>
      <c r="F167" s="84" t="s">
        <v>581</v>
      </c>
      <c r="G167" s="84" t="s">
        <v>84</v>
      </c>
      <c r="H167" s="101">
        <v>81.499999999999943</v>
      </c>
      <c r="I167" s="3"/>
      <c r="J167" s="3"/>
      <c r="K167" s="3"/>
      <c r="L167" s="76"/>
      <c r="M167" s="76"/>
      <c r="N167" s="76"/>
      <c r="O167" s="76"/>
      <c r="P167" s="76"/>
      <c r="Q167" s="76"/>
    </row>
    <row r="168" spans="1:17">
      <c r="A168" s="84" t="s">
        <v>409</v>
      </c>
      <c r="B168" s="85" t="s">
        <v>408</v>
      </c>
      <c r="C168" s="85" t="s">
        <v>74</v>
      </c>
      <c r="D168" s="84" t="s">
        <v>75</v>
      </c>
      <c r="E168" s="84">
        <f>VLOOKUP(A168,'2a. SI Pop'!$A$5:$E$198,5,FALSE)</f>
        <v>3</v>
      </c>
      <c r="F168" s="84" t="s">
        <v>583</v>
      </c>
      <c r="G168" s="84" t="s">
        <v>75</v>
      </c>
      <c r="H168" s="101">
        <v>10.855002994895328</v>
      </c>
      <c r="I168" s="3"/>
      <c r="J168" s="3"/>
      <c r="K168" s="3"/>
      <c r="L168" s="76"/>
      <c r="M168" s="76"/>
      <c r="N168" s="76"/>
      <c r="O168" s="76"/>
      <c r="P168" s="76"/>
      <c r="Q168" s="76"/>
    </row>
    <row r="169" spans="1:17">
      <c r="A169" s="84" t="s">
        <v>411</v>
      </c>
      <c r="B169" s="85" t="s">
        <v>410</v>
      </c>
      <c r="C169" s="85" t="s">
        <v>74</v>
      </c>
      <c r="D169" s="84" t="s">
        <v>75</v>
      </c>
      <c r="E169" s="84">
        <f>VLOOKUP(A169,'2a. SI Pop'!$A$5:$E$198,5,FALSE)</f>
        <v>3</v>
      </c>
      <c r="F169" s="84" t="s">
        <v>579</v>
      </c>
      <c r="G169" s="84" t="s">
        <v>75</v>
      </c>
      <c r="H169" s="101">
        <v>7.7538461538461538</v>
      </c>
      <c r="I169" s="3"/>
      <c r="J169" s="3"/>
      <c r="K169" s="3"/>
      <c r="L169" s="76"/>
      <c r="M169" s="76"/>
      <c r="N169" s="76"/>
      <c r="O169" s="76"/>
      <c r="P169" s="76"/>
      <c r="Q169" s="76"/>
    </row>
    <row r="170" spans="1:17">
      <c r="A170" s="84" t="s">
        <v>413</v>
      </c>
      <c r="B170" s="85" t="s">
        <v>412</v>
      </c>
      <c r="C170" s="85" t="s">
        <v>92</v>
      </c>
      <c r="D170" s="84" t="s">
        <v>80</v>
      </c>
      <c r="E170" s="84">
        <f>VLOOKUP(A170,'2a. SI Pop'!$A$5:$E$198,5,FALSE)</f>
        <v>1</v>
      </c>
      <c r="F170" s="84" t="s">
        <v>580</v>
      </c>
      <c r="G170" s="84" t="s">
        <v>80</v>
      </c>
      <c r="H170" s="101">
        <v>100</v>
      </c>
      <c r="I170" s="3"/>
      <c r="J170" s="3"/>
      <c r="K170" s="3"/>
      <c r="L170" s="76"/>
      <c r="M170" s="76"/>
      <c r="N170" s="76"/>
      <c r="O170" s="76"/>
      <c r="P170" s="76"/>
      <c r="Q170" s="76"/>
    </row>
    <row r="171" spans="1:17">
      <c r="A171" s="84" t="s">
        <v>415</v>
      </c>
      <c r="B171" s="85" t="s">
        <v>414</v>
      </c>
      <c r="C171" s="85" t="s">
        <v>83</v>
      </c>
      <c r="D171" s="84" t="s">
        <v>84</v>
      </c>
      <c r="E171" s="84">
        <f>VLOOKUP(A171,'2a. SI Pop'!$A$5:$E$198,5,FALSE)</f>
        <v>3</v>
      </c>
      <c r="F171" s="84" t="s">
        <v>580</v>
      </c>
      <c r="G171" s="84" t="s">
        <v>84</v>
      </c>
      <c r="H171" s="101">
        <v>95.296621569074418</v>
      </c>
      <c r="I171" s="3"/>
      <c r="J171" s="3"/>
      <c r="K171" s="3"/>
      <c r="L171" s="76"/>
      <c r="M171" s="76"/>
      <c r="N171" s="76"/>
      <c r="O171" s="76"/>
      <c r="P171" s="76"/>
      <c r="Q171" s="76"/>
    </row>
    <row r="172" spans="1:17">
      <c r="A172" s="84" t="s">
        <v>417</v>
      </c>
      <c r="B172" s="85" t="s">
        <v>416</v>
      </c>
      <c r="C172" s="85" t="s">
        <v>79</v>
      </c>
      <c r="D172" s="84" t="s">
        <v>87</v>
      </c>
      <c r="E172" s="84">
        <f>VLOOKUP(A172,'2a. SI Pop'!$A$5:$E$198,5,FALSE)</f>
        <v>1</v>
      </c>
      <c r="F172" s="84" t="s">
        <v>580</v>
      </c>
      <c r="G172" s="84" t="s">
        <v>87</v>
      </c>
      <c r="H172" s="101" t="s">
        <v>582</v>
      </c>
      <c r="I172" s="3"/>
      <c r="J172" s="3"/>
      <c r="K172" s="3"/>
      <c r="L172" s="76"/>
      <c r="M172" s="76"/>
      <c r="N172" s="76"/>
      <c r="O172" s="76"/>
      <c r="P172" s="76"/>
      <c r="Q172" s="76"/>
    </row>
    <row r="173" spans="1:17">
      <c r="A173" s="84" t="s">
        <v>419</v>
      </c>
      <c r="B173" s="85" t="s">
        <v>418</v>
      </c>
      <c r="C173" s="85" t="s">
        <v>79</v>
      </c>
      <c r="D173" s="84" t="s">
        <v>87</v>
      </c>
      <c r="E173" s="84">
        <f>VLOOKUP(A173,'2a. SI Pop'!$A$5:$E$198,5,FALSE)</f>
        <v>1</v>
      </c>
      <c r="F173" s="84" t="s">
        <v>580</v>
      </c>
      <c r="G173" s="84" t="s">
        <v>87</v>
      </c>
      <c r="H173" s="101" t="s">
        <v>582</v>
      </c>
      <c r="I173" s="3"/>
      <c r="J173" s="3"/>
      <c r="K173" s="3"/>
      <c r="L173" s="76"/>
      <c r="M173" s="76"/>
      <c r="N173" s="76"/>
      <c r="O173" s="76"/>
      <c r="P173" s="76"/>
      <c r="Q173" s="76"/>
    </row>
    <row r="174" spans="1:17">
      <c r="A174" s="84" t="s">
        <v>421</v>
      </c>
      <c r="B174" s="85" t="s">
        <v>420</v>
      </c>
      <c r="C174" s="85" t="s">
        <v>74</v>
      </c>
      <c r="D174" s="84" t="s">
        <v>75</v>
      </c>
      <c r="E174" s="84">
        <f>VLOOKUP(A174,'2a. SI Pop'!$A$5:$E$198,5,FALSE)</f>
        <v>2</v>
      </c>
      <c r="F174" s="84" t="s">
        <v>579</v>
      </c>
      <c r="G174" s="84" t="s">
        <v>75</v>
      </c>
      <c r="H174" s="101">
        <v>52.631578947368418</v>
      </c>
      <c r="I174" s="3"/>
      <c r="J174" s="3"/>
      <c r="K174" s="3"/>
      <c r="L174" s="76"/>
      <c r="M174" s="76"/>
      <c r="N174" s="76"/>
      <c r="O174" s="76"/>
      <c r="P174" s="76"/>
      <c r="Q174" s="76"/>
    </row>
    <row r="175" spans="1:17">
      <c r="A175" s="84" t="s">
        <v>423</v>
      </c>
      <c r="B175" s="85" t="s">
        <v>422</v>
      </c>
      <c r="C175" s="85" t="s">
        <v>83</v>
      </c>
      <c r="D175" s="84" t="s">
        <v>84</v>
      </c>
      <c r="E175" s="84" t="str">
        <f>VLOOKUP(A175,'2a. SI Pop'!$A$5:$E$198,5,FALSE)</f>
        <v>Key</v>
      </c>
      <c r="F175" s="84" t="s">
        <v>583</v>
      </c>
      <c r="G175" s="84" t="s">
        <v>84</v>
      </c>
      <c r="H175" s="101">
        <v>16.544261542490943</v>
      </c>
      <c r="I175" s="3"/>
      <c r="J175" s="3"/>
      <c r="K175" s="3"/>
      <c r="L175" s="76"/>
      <c r="M175" s="76"/>
      <c r="N175" s="76"/>
      <c r="O175" s="76"/>
      <c r="P175" s="76"/>
      <c r="Q175" s="76"/>
    </row>
    <row r="176" spans="1:17">
      <c r="A176" s="84" t="s">
        <v>425</v>
      </c>
      <c r="B176" s="85" t="s">
        <v>424</v>
      </c>
      <c r="C176" s="85" t="s">
        <v>79</v>
      </c>
      <c r="D176" s="84" t="s">
        <v>75</v>
      </c>
      <c r="E176" s="84">
        <f>VLOOKUP(A176,'2a. SI Pop'!$A$5:$E$198,5,FALSE)</f>
        <v>2</v>
      </c>
      <c r="F176" s="84" t="s">
        <v>583</v>
      </c>
      <c r="G176" s="84" t="s">
        <v>75</v>
      </c>
      <c r="H176" s="101">
        <v>17.177622387623074</v>
      </c>
      <c r="I176" s="3"/>
      <c r="J176" s="3"/>
      <c r="K176" s="3"/>
      <c r="L176" s="76"/>
      <c r="M176" s="76"/>
      <c r="N176" s="76"/>
      <c r="O176" s="76"/>
      <c r="P176" s="76"/>
      <c r="Q176" s="76"/>
    </row>
    <row r="177" spans="1:17">
      <c r="A177" s="84" t="s">
        <v>427</v>
      </c>
      <c r="B177" s="85" t="s">
        <v>426</v>
      </c>
      <c r="C177" s="85" t="s">
        <v>110</v>
      </c>
      <c r="D177" s="84" t="s">
        <v>80</v>
      </c>
      <c r="E177" s="84">
        <f>VLOOKUP(A177,'2a. SI Pop'!$A$5:$E$198,5,FALSE)</f>
        <v>1</v>
      </c>
      <c r="F177" s="84" t="s">
        <v>580</v>
      </c>
      <c r="G177" s="84" t="s">
        <v>80</v>
      </c>
      <c r="H177" s="101">
        <v>100</v>
      </c>
      <c r="I177" s="3"/>
      <c r="J177" s="3"/>
      <c r="K177" s="3"/>
      <c r="L177" s="76"/>
      <c r="M177" s="76"/>
      <c r="N177" s="76"/>
      <c r="O177" s="76"/>
      <c r="P177" s="76"/>
      <c r="Q177" s="76"/>
    </row>
    <row r="178" spans="1:17">
      <c r="A178" s="84" t="s">
        <v>429</v>
      </c>
      <c r="B178" s="85" t="s">
        <v>428</v>
      </c>
      <c r="C178" s="85" t="s">
        <v>110</v>
      </c>
      <c r="D178" s="84" t="s">
        <v>84</v>
      </c>
      <c r="E178" s="84">
        <f>VLOOKUP(A178,'2a. SI Pop'!$A$5:$E$198,5,FALSE)</f>
        <v>4</v>
      </c>
      <c r="F178" s="84" t="s">
        <v>581</v>
      </c>
      <c r="G178" s="84" t="s">
        <v>84</v>
      </c>
      <c r="H178" s="101">
        <v>75.623540401681453</v>
      </c>
      <c r="I178" s="3"/>
      <c r="J178" s="3"/>
      <c r="K178" s="3"/>
      <c r="L178" s="76"/>
      <c r="M178" s="76"/>
      <c r="N178" s="76"/>
      <c r="O178" s="76"/>
      <c r="P178" s="76"/>
      <c r="Q178" s="76"/>
    </row>
    <row r="179" spans="1:17">
      <c r="A179" s="84" t="s">
        <v>431</v>
      </c>
      <c r="B179" s="85" t="s">
        <v>430</v>
      </c>
      <c r="C179" s="85" t="s">
        <v>83</v>
      </c>
      <c r="D179" s="84" t="s">
        <v>75</v>
      </c>
      <c r="E179" s="84">
        <f>VLOOKUP(A179,'2a. SI Pop'!$A$5:$E$198,5,FALSE)</f>
        <v>3</v>
      </c>
      <c r="F179" s="84" t="s">
        <v>583</v>
      </c>
      <c r="G179" s="84" t="s">
        <v>75</v>
      </c>
      <c r="H179" s="101">
        <v>9.4075068648250557</v>
      </c>
      <c r="I179" s="3"/>
      <c r="J179" s="3"/>
      <c r="K179" s="3"/>
      <c r="L179" s="76"/>
      <c r="M179" s="76"/>
      <c r="N179" s="76"/>
      <c r="O179" s="76"/>
      <c r="P179" s="76"/>
      <c r="Q179" s="76"/>
    </row>
    <row r="180" spans="1:17">
      <c r="A180" s="84" t="s">
        <v>433</v>
      </c>
      <c r="B180" s="85" t="s">
        <v>432</v>
      </c>
      <c r="C180" s="85" t="s">
        <v>99</v>
      </c>
      <c r="D180" s="84" t="s">
        <v>80</v>
      </c>
      <c r="E180" s="84">
        <f>VLOOKUP(A180,'2a. SI Pop'!$A$5:$E$198,5,FALSE)</f>
        <v>1</v>
      </c>
      <c r="F180" s="84" t="s">
        <v>580</v>
      </c>
      <c r="G180" s="84" t="s">
        <v>80</v>
      </c>
      <c r="H180" s="101">
        <v>98.901098901098862</v>
      </c>
      <c r="I180" s="3"/>
      <c r="J180" s="3"/>
      <c r="K180" s="3"/>
      <c r="L180" s="76"/>
      <c r="M180" s="76"/>
      <c r="N180" s="76"/>
      <c r="O180" s="76"/>
      <c r="P180" s="76"/>
      <c r="Q180" s="76"/>
    </row>
    <row r="181" spans="1:17">
      <c r="A181" s="84" t="s">
        <v>435</v>
      </c>
      <c r="B181" s="85" t="s">
        <v>434</v>
      </c>
      <c r="C181" s="85" t="s">
        <v>92</v>
      </c>
      <c r="D181" s="84" t="s">
        <v>87</v>
      </c>
      <c r="E181" s="84">
        <f>VLOOKUP(A181,'2a. SI Pop'!$A$5:$E$198,5,FALSE)</f>
        <v>1</v>
      </c>
      <c r="F181" s="84" t="s">
        <v>580</v>
      </c>
      <c r="G181" s="84" t="s">
        <v>87</v>
      </c>
      <c r="H181" s="101">
        <v>100</v>
      </c>
      <c r="I181" s="3"/>
      <c r="J181" s="3"/>
      <c r="K181" s="3"/>
      <c r="L181" s="76"/>
      <c r="M181" s="76"/>
      <c r="N181" s="76"/>
      <c r="O181" s="76"/>
      <c r="P181" s="76"/>
      <c r="Q181" s="76"/>
    </row>
    <row r="182" spans="1:17">
      <c r="A182" s="84" t="s">
        <v>437</v>
      </c>
      <c r="B182" s="85" t="s">
        <v>436</v>
      </c>
      <c r="C182" s="85" t="s">
        <v>74</v>
      </c>
      <c r="D182" s="84" t="s">
        <v>84</v>
      </c>
      <c r="E182" s="84">
        <f>VLOOKUP(A182,'2a. SI Pop'!$A$5:$E$198,5,FALSE)</f>
        <v>3</v>
      </c>
      <c r="F182" s="84" t="s">
        <v>580</v>
      </c>
      <c r="G182" s="84" t="s">
        <v>84</v>
      </c>
      <c r="H182" s="101">
        <v>100</v>
      </c>
      <c r="I182" s="3"/>
      <c r="J182" s="3"/>
      <c r="K182" s="3"/>
      <c r="L182" s="76"/>
      <c r="M182" s="76"/>
      <c r="N182" s="76"/>
      <c r="O182" s="76"/>
      <c r="P182" s="76"/>
      <c r="Q182" s="76"/>
    </row>
    <row r="183" spans="1:17">
      <c r="A183" s="84" t="s">
        <v>439</v>
      </c>
      <c r="B183" s="85" t="s">
        <v>438</v>
      </c>
      <c r="C183" s="85" t="s">
        <v>79</v>
      </c>
      <c r="D183" s="84" t="s">
        <v>80</v>
      </c>
      <c r="E183" s="84">
        <f>VLOOKUP(A183,'2a. SI Pop'!$A$5:$E$198,5,FALSE)</f>
        <v>1</v>
      </c>
      <c r="F183" s="84" t="s">
        <v>580</v>
      </c>
      <c r="G183" s="84" t="s">
        <v>80</v>
      </c>
      <c r="H183" s="101">
        <v>100</v>
      </c>
      <c r="I183" s="3"/>
      <c r="J183" s="3"/>
      <c r="K183" s="3"/>
      <c r="L183" s="76"/>
      <c r="M183" s="76"/>
      <c r="N183" s="76"/>
      <c r="O183" s="76"/>
      <c r="P183" s="76"/>
      <c r="Q183" s="76"/>
    </row>
    <row r="184" spans="1:17">
      <c r="A184" s="84" t="s">
        <v>441</v>
      </c>
      <c r="B184" s="85" t="s">
        <v>440</v>
      </c>
      <c r="C184" s="85" t="s">
        <v>79</v>
      </c>
      <c r="D184" s="84" t="s">
        <v>80</v>
      </c>
      <c r="E184" s="84">
        <f>VLOOKUP(A184,'2a. SI Pop'!$A$5:$E$198,5,FALSE)</f>
        <v>1</v>
      </c>
      <c r="F184" s="84" t="s">
        <v>580</v>
      </c>
      <c r="G184" s="84" t="s">
        <v>80</v>
      </c>
      <c r="H184" s="101">
        <v>100</v>
      </c>
      <c r="I184" s="3"/>
      <c r="J184" s="3"/>
      <c r="K184" s="3"/>
      <c r="L184" s="76"/>
      <c r="M184" s="76"/>
      <c r="N184" s="76"/>
      <c r="O184" s="76"/>
      <c r="P184" s="76"/>
      <c r="Q184" s="76"/>
    </row>
    <row r="185" spans="1:17">
      <c r="A185" s="84" t="s">
        <v>443</v>
      </c>
      <c r="B185" s="85" t="s">
        <v>442</v>
      </c>
      <c r="C185" s="85" t="s">
        <v>99</v>
      </c>
      <c r="D185" s="84" t="s">
        <v>80</v>
      </c>
      <c r="E185" s="84">
        <f>VLOOKUP(A185,'2a. SI Pop'!$A$5:$E$198,5,FALSE)</f>
        <v>4</v>
      </c>
      <c r="F185" s="84" t="s">
        <v>580</v>
      </c>
      <c r="G185" s="84" t="s">
        <v>80</v>
      </c>
      <c r="H185" s="101" t="s">
        <v>582</v>
      </c>
      <c r="I185" s="3"/>
      <c r="J185" s="3"/>
      <c r="K185" s="3"/>
      <c r="L185" s="76"/>
      <c r="M185" s="76"/>
      <c r="N185" s="76"/>
      <c r="O185" s="76"/>
      <c r="P185" s="76"/>
      <c r="Q185" s="76"/>
    </row>
    <row r="186" spans="1:17">
      <c r="A186" s="84" t="s">
        <v>445</v>
      </c>
      <c r="B186" s="85" t="s">
        <v>444</v>
      </c>
      <c r="C186" s="85" t="s">
        <v>83</v>
      </c>
      <c r="D186" s="84" t="s">
        <v>75</v>
      </c>
      <c r="E186" s="84" t="str">
        <f>VLOOKUP(A186,'2a. SI Pop'!$A$5:$E$198,5,FALSE)</f>
        <v>Key</v>
      </c>
      <c r="F186" s="84" t="s">
        <v>579</v>
      </c>
      <c r="G186" s="84" t="s">
        <v>75</v>
      </c>
      <c r="H186" s="101">
        <v>6.2179089797876346</v>
      </c>
      <c r="I186" s="3"/>
      <c r="J186" s="3"/>
      <c r="K186" s="3"/>
      <c r="L186" s="76"/>
      <c r="M186" s="76"/>
      <c r="N186" s="76"/>
      <c r="O186" s="76"/>
      <c r="P186" s="76"/>
      <c r="Q186" s="76"/>
    </row>
    <row r="187" spans="1:17">
      <c r="A187" s="84" t="s">
        <v>447</v>
      </c>
      <c r="B187" s="85" t="s">
        <v>446</v>
      </c>
      <c r="C187" s="85" t="s">
        <v>79</v>
      </c>
      <c r="D187" s="84" t="s">
        <v>84</v>
      </c>
      <c r="E187" s="84">
        <f>VLOOKUP(A187,'2a. SI Pop'!$A$5:$E$198,5,FALSE)</f>
        <v>1</v>
      </c>
      <c r="F187" s="84" t="s">
        <v>580</v>
      </c>
      <c r="G187" s="84" t="s">
        <v>84</v>
      </c>
      <c r="H187" s="101">
        <v>100</v>
      </c>
      <c r="I187" s="3"/>
      <c r="J187" s="3"/>
      <c r="K187" s="3"/>
      <c r="L187" s="76"/>
      <c r="M187" s="76"/>
      <c r="N187" s="76"/>
      <c r="O187" s="76"/>
      <c r="P187" s="76"/>
      <c r="Q187" s="76"/>
    </row>
    <row r="188" spans="1:17">
      <c r="A188" s="84" t="s">
        <v>449</v>
      </c>
      <c r="B188" s="85" t="s">
        <v>448</v>
      </c>
      <c r="C188" s="85" t="s">
        <v>74</v>
      </c>
      <c r="D188" s="84" t="s">
        <v>87</v>
      </c>
      <c r="E188" s="84">
        <f>VLOOKUP(A188,'2a. SI Pop'!$A$5:$E$198,5,FALSE)</f>
        <v>1</v>
      </c>
      <c r="F188" s="84" t="s">
        <v>580</v>
      </c>
      <c r="G188" s="84" t="s">
        <v>87</v>
      </c>
      <c r="H188" s="101" t="s">
        <v>582</v>
      </c>
      <c r="I188" s="3"/>
      <c r="J188" s="3"/>
      <c r="K188" s="3"/>
      <c r="L188" s="76"/>
      <c r="M188" s="76"/>
      <c r="N188" s="76"/>
      <c r="O188" s="76"/>
      <c r="P188" s="76"/>
      <c r="Q188" s="76"/>
    </row>
    <row r="189" spans="1:17">
      <c r="A189" s="84" t="s">
        <v>451</v>
      </c>
      <c r="B189" s="85" t="s">
        <v>450</v>
      </c>
      <c r="C189" s="85" t="s">
        <v>79</v>
      </c>
      <c r="D189" s="84" t="s">
        <v>87</v>
      </c>
      <c r="E189" s="84">
        <f>VLOOKUP(A189,'2a. SI Pop'!$A$5:$E$198,5,FALSE)</f>
        <v>1</v>
      </c>
      <c r="F189" s="84" t="s">
        <v>580</v>
      </c>
      <c r="G189" s="84" t="s">
        <v>87</v>
      </c>
      <c r="H189" s="101" t="s">
        <v>582</v>
      </c>
      <c r="I189" s="3"/>
      <c r="J189" s="3"/>
      <c r="K189" s="3"/>
      <c r="L189" s="76"/>
      <c r="M189" s="76"/>
      <c r="N189" s="76"/>
      <c r="O189" s="76"/>
      <c r="P189" s="76"/>
      <c r="Q189" s="76"/>
    </row>
    <row r="190" spans="1:17">
      <c r="A190" s="84" t="s">
        <v>453</v>
      </c>
      <c r="B190" s="85" t="s">
        <v>452</v>
      </c>
      <c r="C190" s="85" t="s">
        <v>92</v>
      </c>
      <c r="D190" s="84" t="s">
        <v>87</v>
      </c>
      <c r="E190" s="84" t="str">
        <f>VLOOKUP(A190,'2a. SI Pop'!$A$5:$E$198,5,FALSE)</f>
        <v>Key</v>
      </c>
      <c r="F190" s="84" t="s">
        <v>580</v>
      </c>
      <c r="G190" s="84" t="s">
        <v>87</v>
      </c>
      <c r="H190" s="101" t="s">
        <v>582</v>
      </c>
      <c r="I190" s="3"/>
      <c r="J190" s="3"/>
      <c r="K190" s="3"/>
      <c r="L190" s="76"/>
      <c r="M190" s="76"/>
      <c r="N190" s="76"/>
      <c r="O190" s="76"/>
      <c r="P190" s="76"/>
      <c r="Q190" s="76"/>
    </row>
    <row r="191" spans="1:17">
      <c r="A191" s="84" t="s">
        <v>455</v>
      </c>
      <c r="B191" s="85" t="s">
        <v>454</v>
      </c>
      <c r="C191" s="85" t="s">
        <v>92</v>
      </c>
      <c r="D191" s="84" t="s">
        <v>87</v>
      </c>
      <c r="E191" s="84">
        <f>VLOOKUP(A191,'2a. SI Pop'!$A$5:$E$198,5,FALSE)</f>
        <v>1</v>
      </c>
      <c r="F191" s="84" t="s">
        <v>580</v>
      </c>
      <c r="G191" s="84" t="s">
        <v>87</v>
      </c>
      <c r="H191" s="101">
        <v>100</v>
      </c>
      <c r="I191" s="3"/>
      <c r="J191" s="3"/>
      <c r="K191" s="3"/>
      <c r="L191" s="76"/>
      <c r="M191" s="76"/>
      <c r="N191" s="76"/>
      <c r="O191" s="76"/>
      <c r="P191" s="76"/>
      <c r="Q191" s="76"/>
    </row>
    <row r="192" spans="1:17">
      <c r="A192" s="84" t="s">
        <v>457</v>
      </c>
      <c r="B192" s="85" t="s">
        <v>456</v>
      </c>
      <c r="C192" s="85" t="s">
        <v>79</v>
      </c>
      <c r="D192" s="84" t="s">
        <v>84</v>
      </c>
      <c r="E192" s="84">
        <f>VLOOKUP(A192,'2a. SI Pop'!$A$5:$E$198,5,FALSE)</f>
        <v>2</v>
      </c>
      <c r="F192" s="84" t="s">
        <v>581</v>
      </c>
      <c r="G192" s="84" t="s">
        <v>84</v>
      </c>
      <c r="H192" s="101">
        <v>44.225777720148869</v>
      </c>
      <c r="I192" s="3"/>
      <c r="J192" s="3"/>
      <c r="K192" s="3"/>
      <c r="L192" s="76"/>
      <c r="M192" s="76"/>
      <c r="N192" s="76"/>
      <c r="O192" s="76"/>
      <c r="P192" s="76"/>
      <c r="Q192" s="76"/>
    </row>
    <row r="193" spans="1:17">
      <c r="A193" s="84" t="s">
        <v>459</v>
      </c>
      <c r="B193" s="85" t="s">
        <v>458</v>
      </c>
      <c r="C193" s="85" t="s">
        <v>99</v>
      </c>
      <c r="D193" s="84" t="s">
        <v>84</v>
      </c>
      <c r="E193" s="84">
        <f>VLOOKUP(A193,'2a. SI Pop'!$A$5:$E$198,5,FALSE)</f>
        <v>4</v>
      </c>
      <c r="F193" s="84" t="s">
        <v>580</v>
      </c>
      <c r="G193" s="84" t="s">
        <v>84</v>
      </c>
      <c r="H193" s="101">
        <v>19.130434782608781</v>
      </c>
      <c r="I193" s="3"/>
      <c r="J193" s="3"/>
      <c r="K193" s="3"/>
      <c r="L193" s="76"/>
      <c r="M193" s="76"/>
      <c r="N193" s="76"/>
      <c r="O193" s="76"/>
      <c r="P193" s="76"/>
      <c r="Q193" s="76"/>
    </row>
    <row r="194" spans="1:17">
      <c r="A194" s="84" t="s">
        <v>461</v>
      </c>
      <c r="B194" s="85" t="s">
        <v>460</v>
      </c>
      <c r="C194" s="85" t="s">
        <v>92</v>
      </c>
      <c r="D194" s="84" t="s">
        <v>80</v>
      </c>
      <c r="E194" s="84">
        <f>VLOOKUP(A194,'2a. SI Pop'!$A$5:$E$198,5,FALSE)</f>
        <v>1</v>
      </c>
      <c r="F194" s="84" t="s">
        <v>580</v>
      </c>
      <c r="G194" s="84" t="s">
        <v>80</v>
      </c>
      <c r="H194" s="101">
        <v>100</v>
      </c>
      <c r="I194" s="3"/>
      <c r="J194" s="3"/>
      <c r="K194" s="3"/>
      <c r="L194" s="76"/>
      <c r="M194" s="76"/>
      <c r="N194" s="76"/>
      <c r="O194" s="76"/>
      <c r="P194" s="76"/>
      <c r="Q194" s="76"/>
    </row>
    <row r="195" spans="1:17">
      <c r="A195" s="84" t="s">
        <v>463</v>
      </c>
      <c r="B195" s="85" t="s">
        <v>462</v>
      </c>
      <c r="C195" s="85" t="s">
        <v>99</v>
      </c>
      <c r="D195" s="84" t="s">
        <v>84</v>
      </c>
      <c r="E195" s="84">
        <f>VLOOKUP(A195,'2a. SI Pop'!$A$5:$E$198,5,FALSE)</f>
        <v>4</v>
      </c>
      <c r="F195" s="84" t="s">
        <v>581</v>
      </c>
      <c r="G195" s="84" t="s">
        <v>84</v>
      </c>
      <c r="H195" s="101">
        <v>57.500000000000142</v>
      </c>
      <c r="I195" s="3"/>
      <c r="J195" s="3"/>
      <c r="K195" s="3"/>
      <c r="L195" s="76"/>
      <c r="M195" s="76"/>
      <c r="N195" s="76"/>
      <c r="O195" s="76"/>
      <c r="P195" s="76"/>
      <c r="Q195" s="76"/>
    </row>
    <row r="196" spans="1:17">
      <c r="A196" s="84" t="s">
        <v>465</v>
      </c>
      <c r="B196" s="85" t="s">
        <v>464</v>
      </c>
      <c r="C196" s="85" t="s">
        <v>74</v>
      </c>
      <c r="D196" s="84" t="s">
        <v>75</v>
      </c>
      <c r="E196" s="84">
        <f>VLOOKUP(A196,'2a. SI Pop'!$A$5:$E$198,5,FALSE)</f>
        <v>3</v>
      </c>
      <c r="F196" s="84" t="s">
        <v>583</v>
      </c>
      <c r="G196" s="84" t="s">
        <v>75</v>
      </c>
      <c r="H196" s="101">
        <v>3.0730323122373995</v>
      </c>
      <c r="I196" s="3"/>
      <c r="J196" s="3"/>
      <c r="K196" s="3"/>
      <c r="L196" s="76"/>
      <c r="M196" s="76"/>
      <c r="N196" s="76"/>
      <c r="O196" s="76"/>
      <c r="P196" s="76"/>
      <c r="Q196" s="76"/>
    </row>
    <row r="197" spans="1:17">
      <c r="A197" s="84" t="s">
        <v>467</v>
      </c>
      <c r="B197" s="85" t="s">
        <v>466</v>
      </c>
      <c r="C197" s="85" t="s">
        <v>83</v>
      </c>
      <c r="D197" s="84" t="s">
        <v>84</v>
      </c>
      <c r="E197" s="84">
        <f>VLOOKUP(A197,'2a. SI Pop'!$A$5:$E$198,5,FALSE)</f>
        <v>3</v>
      </c>
      <c r="F197" s="84" t="s">
        <v>583</v>
      </c>
      <c r="G197" s="84" t="s">
        <v>84</v>
      </c>
      <c r="H197" s="101">
        <v>12.87945714920475</v>
      </c>
      <c r="I197" s="3"/>
      <c r="J197" s="3"/>
      <c r="K197" s="3"/>
      <c r="L197" s="76"/>
      <c r="M197" s="76"/>
      <c r="N197" s="76"/>
      <c r="O197" s="76"/>
      <c r="P197" s="76"/>
      <c r="Q197" s="76"/>
    </row>
    <row r="198" spans="1:17">
      <c r="A198" s="84" t="s">
        <v>469</v>
      </c>
      <c r="B198" s="85" t="s">
        <v>468</v>
      </c>
      <c r="C198" s="85" t="s">
        <v>83</v>
      </c>
      <c r="D198" s="84" t="s">
        <v>84</v>
      </c>
      <c r="E198" s="84">
        <f>VLOOKUP(A198,'2a. SI Pop'!$A$5:$E$198,5,FALSE)</f>
        <v>3</v>
      </c>
      <c r="F198" s="84" t="s">
        <v>581</v>
      </c>
      <c r="G198" s="84" t="s">
        <v>84</v>
      </c>
      <c r="H198" s="101">
        <v>4.1254960214257883</v>
      </c>
      <c r="I198" s="3"/>
      <c r="J198" s="3"/>
      <c r="K198" s="3"/>
      <c r="L198" s="76"/>
      <c r="M198" s="76"/>
      <c r="N198" s="76"/>
      <c r="O198" s="76"/>
      <c r="P198" s="76"/>
      <c r="Q198" s="76"/>
    </row>
  </sheetData>
  <autoFilter ref="A4:K198" xr:uid="{1BE26F4C-1587-7C4D-887A-C69327E2A753}"/>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BAD91-3AA6-C640-AD51-FCB32F3CB258}">
  <sheetPr>
    <tabColor theme="5" tint="0.39997558519241921"/>
  </sheetPr>
  <dimension ref="A1:AI204"/>
  <sheetViews>
    <sheetView zoomScale="107" workbookViewId="0">
      <pane xSplit="5" ySplit="3" topLeftCell="O193" activePane="bottomRight" state="frozen"/>
      <selection pane="bottomRight" activeCell="H22" sqref="H22"/>
      <selection pane="bottomLeft" activeCell="H22" sqref="H22"/>
      <selection pane="topRight" activeCell="H22" sqref="H22"/>
    </sheetView>
  </sheetViews>
  <sheetFormatPr defaultColWidth="11.140625" defaultRowHeight="15.95" outlineLevelCol="1"/>
  <cols>
    <col min="1" max="2" width="11.140625" style="102"/>
    <col min="3" max="3" width="10.85546875" style="102" customWidth="1" outlineLevel="1"/>
    <col min="4" max="4" width="19.85546875" style="102" customWidth="1" outlineLevel="1"/>
    <col min="5" max="5" width="13.85546875" style="102" customWidth="1" outlineLevel="1"/>
    <col min="6" max="10" width="11.140625" style="129"/>
    <col min="11" max="15" width="11.140625" style="102"/>
    <col min="16" max="16" width="11.140625" style="121"/>
    <col min="17" max="18" width="10.85546875" style="102" customWidth="1"/>
    <col min="19" max="24" width="10.85546875" style="109" customWidth="1"/>
    <col min="25" max="25" width="11.140625" style="107"/>
    <col min="26" max="26" width="24.140625" style="109" customWidth="1"/>
    <col min="27" max="28" width="11" style="109" customWidth="1"/>
    <col min="29" max="30" width="12.85546875" style="109" customWidth="1"/>
    <col min="31" max="31" width="14.85546875" style="111" customWidth="1"/>
    <col min="32" max="33" width="11.140625" style="108"/>
    <col min="34" max="34" width="12.140625" style="108" bestFit="1" customWidth="1"/>
    <col min="35" max="16384" width="11.140625" style="109"/>
  </cols>
  <sheetData>
    <row r="1" spans="1:34">
      <c r="F1" s="145" t="s">
        <v>585</v>
      </c>
      <c r="G1" s="145"/>
      <c r="H1" s="145"/>
      <c r="I1" s="145"/>
      <c r="J1" s="145"/>
      <c r="K1" s="145"/>
      <c r="L1" s="145"/>
      <c r="M1" s="145"/>
      <c r="N1" s="145"/>
      <c r="O1" s="145"/>
      <c r="P1" s="145"/>
      <c r="Q1" s="104" t="s">
        <v>586</v>
      </c>
      <c r="R1" s="105"/>
      <c r="S1" s="146" t="s">
        <v>587</v>
      </c>
      <c r="T1" s="146"/>
      <c r="U1" s="146" t="s">
        <v>588</v>
      </c>
      <c r="V1" s="146"/>
      <c r="W1" s="146" t="s">
        <v>589</v>
      </c>
      <c r="X1" s="146"/>
      <c r="Z1" s="147" t="s">
        <v>590</v>
      </c>
      <c r="AA1" s="147"/>
      <c r="AB1" s="147"/>
      <c r="AC1" s="147"/>
      <c r="AD1" s="147"/>
      <c r="AE1" s="147"/>
    </row>
    <row r="2" spans="1:34">
      <c r="B2" s="102" t="s">
        <v>591</v>
      </c>
      <c r="F2" s="110" t="s">
        <v>560</v>
      </c>
      <c r="G2" s="110"/>
      <c r="H2" s="110"/>
      <c r="I2" s="110"/>
      <c r="J2" s="110"/>
      <c r="K2" s="110"/>
      <c r="L2" s="110"/>
      <c r="M2" s="110"/>
      <c r="N2" s="110"/>
      <c r="O2" s="110"/>
      <c r="P2" s="110"/>
      <c r="Q2" s="104" t="s">
        <v>560</v>
      </c>
      <c r="R2" s="104"/>
      <c r="S2" s="146" t="s">
        <v>592</v>
      </c>
      <c r="T2" s="146"/>
      <c r="U2" s="146"/>
      <c r="V2" s="146"/>
      <c r="W2" s="146" t="s">
        <v>593</v>
      </c>
      <c r="X2" s="146"/>
      <c r="Z2" s="111" t="s">
        <v>594</v>
      </c>
      <c r="AA2" s="111"/>
      <c r="AB2" s="111"/>
      <c r="AC2" s="112" t="s">
        <v>595</v>
      </c>
      <c r="AD2" s="111"/>
    </row>
    <row r="3" spans="1:34" s="119" customFormat="1">
      <c r="A3" s="113" t="s">
        <v>473</v>
      </c>
      <c r="B3" s="114" t="s">
        <v>64</v>
      </c>
      <c r="C3" s="113" t="s">
        <v>66</v>
      </c>
      <c r="D3" s="113" t="s">
        <v>67</v>
      </c>
      <c r="E3" s="113" t="s">
        <v>68</v>
      </c>
      <c r="F3" s="103" t="s">
        <v>561</v>
      </c>
      <c r="G3" s="103" t="s">
        <v>562</v>
      </c>
      <c r="H3" s="103" t="s">
        <v>563</v>
      </c>
      <c r="I3" s="103" t="s">
        <v>564</v>
      </c>
      <c r="J3" s="103" t="s">
        <v>565</v>
      </c>
      <c r="K3" s="110" t="str">
        <f>F3</f>
        <v>MCV2</v>
      </c>
      <c r="L3" s="110" t="str">
        <f t="shared" ref="L3:N3" si="0">G3</f>
        <v>Rubella</v>
      </c>
      <c r="M3" s="110" t="str">
        <f t="shared" si="0"/>
        <v>PCV</v>
      </c>
      <c r="N3" s="110" t="str">
        <f t="shared" si="0"/>
        <v>Rota</v>
      </c>
      <c r="O3" s="110" t="s">
        <v>565</v>
      </c>
      <c r="P3" s="115" t="s">
        <v>596</v>
      </c>
      <c r="Q3" s="104" t="s">
        <v>597</v>
      </c>
      <c r="R3" s="104" t="s">
        <v>598</v>
      </c>
      <c r="S3" s="116" t="s">
        <v>597</v>
      </c>
      <c r="T3" s="116" t="s">
        <v>599</v>
      </c>
      <c r="U3" s="116" t="s">
        <v>597</v>
      </c>
      <c r="V3" s="116" t="s">
        <v>600</v>
      </c>
      <c r="W3" s="116" t="s">
        <v>562</v>
      </c>
      <c r="X3" s="116" t="s">
        <v>601</v>
      </c>
      <c r="Y3" s="116" t="s">
        <v>602</v>
      </c>
      <c r="Z3" s="117" t="s">
        <v>576</v>
      </c>
      <c r="AA3" s="117" t="s">
        <v>603</v>
      </c>
      <c r="AB3" s="117" t="s">
        <v>577</v>
      </c>
      <c r="AC3" s="111" t="s">
        <v>578</v>
      </c>
      <c r="AD3" s="111" t="s">
        <v>604</v>
      </c>
      <c r="AE3" s="117" t="s">
        <v>605</v>
      </c>
      <c r="AF3" s="118" t="s">
        <v>606</v>
      </c>
      <c r="AG3" s="118" t="s">
        <v>607</v>
      </c>
      <c r="AH3" s="118" t="s">
        <v>608</v>
      </c>
    </row>
    <row r="4" spans="1:34" ht="15" customHeight="1">
      <c r="A4" s="102" t="s">
        <v>73</v>
      </c>
      <c r="B4" s="120" t="s">
        <v>72</v>
      </c>
      <c r="C4" s="120" t="s">
        <v>74</v>
      </c>
      <c r="D4" s="102" t="s">
        <v>75</v>
      </c>
      <c r="E4" s="109" t="s">
        <v>76</v>
      </c>
      <c r="F4" s="102">
        <v>2004</v>
      </c>
      <c r="G4" s="102" t="s">
        <v>566</v>
      </c>
      <c r="H4" s="102">
        <v>2014</v>
      </c>
      <c r="I4" s="102">
        <v>2018</v>
      </c>
      <c r="J4" s="102" t="s">
        <v>566</v>
      </c>
      <c r="K4" s="102">
        <f t="shared" ref="K4:O35" si="1">IF(AND(F4&gt;=F$200,F4&lt;F$201),4,IF(AND(F4&gt;=F$201,F4&lt;F$202),3,IF(AND(F4&gt;=F$202,F4&lt;F$203),2,IF(AND(F4&gt;=F$203,F4&lt;=F$204),1,1))))</f>
        <v>2</v>
      </c>
      <c r="L4" s="102">
        <f t="shared" si="1"/>
        <v>1</v>
      </c>
      <c r="M4" s="102">
        <f t="shared" si="1"/>
        <v>2</v>
      </c>
      <c r="N4" s="102">
        <f t="shared" si="1"/>
        <v>1</v>
      </c>
      <c r="O4" s="102">
        <f t="shared" si="1"/>
        <v>1</v>
      </c>
      <c r="P4" s="121">
        <f t="shared" ref="P4:P67" si="2">AVERAGE(K4:O4)</f>
        <v>1.4</v>
      </c>
      <c r="Q4" s="102">
        <v>212</v>
      </c>
      <c r="R4" s="102">
        <f t="shared" ref="R4:R67" si="3">IF(AND(Q4&gt;=Q$200,Q4&lt;Q$201),1,IF(AND(Q4&gt;=Q$201,Q4&lt;Q$202),2,IF(AND(Q4&gt;=Q$202,Q4&lt;Q$203),3,IF(AND(Q4&gt;=Q$203,Q4&lt;=Q$204),4,"empty"))))</f>
        <v>3</v>
      </c>
      <c r="S4" s="122">
        <v>314.98257911520898</v>
      </c>
      <c r="T4" s="102">
        <f t="shared" ref="T4:T67" si="4">IF(AND(S4&gt;=S$200,S4&lt;S$201),1,IF(AND(S4&gt;=S$201,S4&lt;S$202),2,IF(AND(S4&gt;=S$202,S4&lt;S$203),3,IF(AND(S4&gt;=S$203,S4&lt;=S$204),4,"empty"))))</f>
        <v>4</v>
      </c>
      <c r="U4" s="123">
        <v>1256.23074481765</v>
      </c>
      <c r="V4" s="102">
        <f t="shared" ref="V4:V67" si="5">IF(AND(U4&gt;=U$200,U4&lt;U$201),1,IF(AND(U4&gt;=U$201,U4&lt;U$202),2,IF(AND(U4&gt;=U$202,U4&lt;U$203),3,IF(AND(U4&gt;=U$203,U4&lt;=U$204),4,"empty"))))</f>
        <v>4</v>
      </c>
      <c r="W4" s="124">
        <v>970.61</v>
      </c>
      <c r="X4" s="102">
        <f>IF(AND(W4&gt;=W$200,W4&lt;W$201),1,IF(AND(W4&gt;=W$201,W4&lt;W$202),2,IF(AND(W4&gt;=W$202,W4&lt;W$203),3,IF(AND(W4&gt;=W$203,W4&lt;=W$204),4,"empty"))))</f>
        <v>4</v>
      </c>
      <c r="Y4" s="125">
        <f t="shared" ref="Y4:Y67" si="6">V4+T4+R4+P4+X4</f>
        <v>16.399999999999999</v>
      </c>
      <c r="Z4" s="126" t="s">
        <v>579</v>
      </c>
      <c r="AA4" s="126">
        <v>4</v>
      </c>
      <c r="AB4" s="126">
        <v>1</v>
      </c>
      <c r="AC4" s="126">
        <v>5.3935321540393977</v>
      </c>
      <c r="AD4" s="102">
        <f>IF(AND(AC4&gt;=AC$200,AC4&lt;AC$201),1,IF(AND(AC4&gt;=AC$201,AC4&lt;AC$202),2,IF(AND(AC4&gt;=AC$202,AC4&lt;AC$203),3,IF(AND(AC4&gt;=AC$203,AC4&lt;=AC$204),4,"empty"))))</f>
        <v>1</v>
      </c>
      <c r="AE4" s="127">
        <f t="shared" ref="AE4:AE67" si="7">SUM(AD4,AB4,AA4)</f>
        <v>6</v>
      </c>
      <c r="AF4" s="128">
        <f t="shared" ref="AF4:AF67" si="8">Y4+P4+AE4</f>
        <v>23.799999999999997</v>
      </c>
      <c r="AG4" s="108">
        <v>2033</v>
      </c>
      <c r="AH4" s="108" t="str">
        <f t="shared" ref="AH4:AH67" si="9">IF(AG4&lt;2034,"early adopter",IF(AG4&gt;2037,"late adopter","mid adopter"))</f>
        <v>early adopter</v>
      </c>
    </row>
    <row r="5" spans="1:34">
      <c r="A5" s="102" t="s">
        <v>78</v>
      </c>
      <c r="B5" s="120" t="s">
        <v>77</v>
      </c>
      <c r="C5" s="120" t="s">
        <v>79</v>
      </c>
      <c r="D5" s="102" t="s">
        <v>80</v>
      </c>
      <c r="E5" s="109">
        <v>1</v>
      </c>
      <c r="F5" s="102">
        <v>2001</v>
      </c>
      <c r="G5" s="102">
        <v>2001</v>
      </c>
      <c r="H5" s="102">
        <v>2011</v>
      </c>
      <c r="I5" s="102">
        <v>2019</v>
      </c>
      <c r="J5" s="102" t="s">
        <v>566</v>
      </c>
      <c r="K5" s="102">
        <f t="shared" si="1"/>
        <v>2</v>
      </c>
      <c r="L5" s="102">
        <f t="shared" si="1"/>
        <v>2</v>
      </c>
      <c r="M5" s="102">
        <f t="shared" si="1"/>
        <v>3</v>
      </c>
      <c r="N5" s="102">
        <f t="shared" si="1"/>
        <v>1</v>
      </c>
      <c r="O5" s="102">
        <f t="shared" si="1"/>
        <v>1</v>
      </c>
      <c r="P5" s="121">
        <f t="shared" si="2"/>
        <v>1.8</v>
      </c>
      <c r="Q5" s="102">
        <v>482</v>
      </c>
      <c r="R5" s="102">
        <f t="shared" si="3"/>
        <v>3</v>
      </c>
      <c r="S5" s="122">
        <v>34.922590012952</v>
      </c>
      <c r="T5" s="102">
        <f t="shared" si="4"/>
        <v>2</v>
      </c>
      <c r="U5" s="123">
        <v>1.3927116539414499</v>
      </c>
      <c r="V5" s="102">
        <f t="shared" si="5"/>
        <v>3</v>
      </c>
      <c r="W5" s="124">
        <v>0</v>
      </c>
      <c r="X5" s="102">
        <f>IF(AND(W5&gt;=W$200,W5&lt;W$201),1,IF(AND(W5&gt;=W$201,W5&lt;W$202),2,IF(AND(W5&gt;=W$202,W5&lt;W$203),3,IF(AND(W5&gt;=W$203,W5&lt;=W$204),4,"empty"))))</f>
        <v>2</v>
      </c>
      <c r="Y5" s="125">
        <f t="shared" si="6"/>
        <v>11.8</v>
      </c>
      <c r="Z5" s="126" t="s">
        <v>580</v>
      </c>
      <c r="AA5" s="126">
        <v>1</v>
      </c>
      <c r="AB5" s="126">
        <v>3</v>
      </c>
      <c r="AC5" s="126">
        <v>100</v>
      </c>
      <c r="AD5" s="102">
        <f>IF(AND(AC5&gt;=AC$200,AC5&lt;AC$201),1,IF(AND(AC5&gt;=AC$201,AC5&lt;AC$202),2,IF(AND(AC5&gt;=AC$202,AC5&lt;AC$203),3,IF(AND(AC5&gt;=AC$203,AC5&lt;=AC$204),4,"empty"))))</f>
        <v>4</v>
      </c>
      <c r="AE5" s="127">
        <f t="shared" si="7"/>
        <v>8</v>
      </c>
      <c r="AF5" s="128">
        <f t="shared" si="8"/>
        <v>21.6</v>
      </c>
      <c r="AG5" s="108">
        <v>2036</v>
      </c>
      <c r="AH5" s="108" t="str">
        <f t="shared" si="9"/>
        <v>mid adopter</v>
      </c>
    </row>
    <row r="6" spans="1:34">
      <c r="A6" s="102" t="s">
        <v>82</v>
      </c>
      <c r="B6" s="120" t="s">
        <v>81</v>
      </c>
      <c r="C6" s="120" t="s">
        <v>83</v>
      </c>
      <c r="D6" s="102" t="s">
        <v>84</v>
      </c>
      <c r="E6" s="109">
        <v>2</v>
      </c>
      <c r="F6" s="102">
        <v>1997</v>
      </c>
      <c r="G6" s="102">
        <v>2014</v>
      </c>
      <c r="H6" s="102">
        <v>2016</v>
      </c>
      <c r="I6" s="102" t="s">
        <v>566</v>
      </c>
      <c r="J6" s="102" t="s">
        <v>566</v>
      </c>
      <c r="K6" s="102">
        <f t="shared" si="1"/>
        <v>3</v>
      </c>
      <c r="L6" s="102">
        <f t="shared" si="1"/>
        <v>1</v>
      </c>
      <c r="M6" s="102">
        <f t="shared" si="1"/>
        <v>1</v>
      </c>
      <c r="N6" s="102">
        <f t="shared" si="1"/>
        <v>1</v>
      </c>
      <c r="O6" s="102">
        <f t="shared" si="1"/>
        <v>1</v>
      </c>
      <c r="P6" s="121">
        <f t="shared" si="2"/>
        <v>1.4</v>
      </c>
      <c r="Q6" s="102">
        <v>2585</v>
      </c>
      <c r="R6" s="102">
        <f t="shared" si="3"/>
        <v>4</v>
      </c>
      <c r="S6" s="122">
        <v>142.47056796290201</v>
      </c>
      <c r="T6" s="102">
        <f t="shared" si="4"/>
        <v>3</v>
      </c>
      <c r="U6" s="123">
        <v>88.4599947356201</v>
      </c>
      <c r="V6" s="102">
        <f t="shared" si="5"/>
        <v>3</v>
      </c>
      <c r="W6" s="124">
        <v>628.20000000000005</v>
      </c>
      <c r="X6" s="102">
        <f>IF(AND(W6&gt;=W$200,W6&lt;W$201),1,IF(AND(W6&gt;=W$201,W6&lt;W$202),2,IF(AND(W6&gt;=W$202,W6&lt;W$203),3,IF(AND(W6&gt;=W$203,W6&lt;=W$204),4,"empty"))))</f>
        <v>4</v>
      </c>
      <c r="Y6" s="125">
        <f t="shared" si="6"/>
        <v>15.4</v>
      </c>
      <c r="Z6" s="126" t="s">
        <v>580</v>
      </c>
      <c r="AA6" s="126">
        <v>1</v>
      </c>
      <c r="AB6" s="126">
        <v>2</v>
      </c>
      <c r="AC6" s="126">
        <v>100</v>
      </c>
      <c r="AD6" s="102">
        <f>IF(AND(AC6&gt;=AC$200,AC6&lt;AC$201),1,IF(AND(AC6&gt;=AC$201,AC6&lt;AC$202),2,IF(AND(AC6&gt;=AC$202,AC6&lt;AC$203),3,IF(AND(AC6&gt;=AC$203,AC6&lt;=AC$204),4,"empty"))))</f>
        <v>4</v>
      </c>
      <c r="AE6" s="127">
        <f t="shared" si="7"/>
        <v>7</v>
      </c>
      <c r="AF6" s="128">
        <f t="shared" si="8"/>
        <v>23.8</v>
      </c>
      <c r="AG6" s="108">
        <v>2032</v>
      </c>
      <c r="AH6" s="108" t="str">
        <f t="shared" si="9"/>
        <v>early adopter</v>
      </c>
    </row>
    <row r="7" spans="1:34">
      <c r="A7" s="102" t="s">
        <v>86</v>
      </c>
      <c r="B7" s="120" t="s">
        <v>85</v>
      </c>
      <c r="C7" s="120" t="s">
        <v>79</v>
      </c>
      <c r="D7" s="102" t="s">
        <v>87</v>
      </c>
      <c r="E7" s="109">
        <v>1</v>
      </c>
      <c r="F7" s="102">
        <v>1991</v>
      </c>
      <c r="G7" s="102">
        <v>1988</v>
      </c>
      <c r="H7" s="102">
        <v>2007</v>
      </c>
      <c r="I7" s="102" t="s">
        <v>566</v>
      </c>
      <c r="J7" s="102">
        <v>2014</v>
      </c>
      <c r="K7" s="102">
        <f t="shared" si="1"/>
        <v>4</v>
      </c>
      <c r="L7" s="102">
        <f t="shared" si="1"/>
        <v>3</v>
      </c>
      <c r="M7" s="102">
        <f t="shared" si="1"/>
        <v>4</v>
      </c>
      <c r="N7" s="102">
        <f t="shared" si="1"/>
        <v>1</v>
      </c>
      <c r="O7" s="102">
        <f t="shared" si="1"/>
        <v>3</v>
      </c>
      <c r="P7" s="121">
        <f t="shared" si="2"/>
        <v>3</v>
      </c>
      <c r="Q7" s="102">
        <v>0</v>
      </c>
      <c r="R7" s="102">
        <f t="shared" si="3"/>
        <v>1</v>
      </c>
      <c r="S7" s="122">
        <v>6.4061511929734805E-2</v>
      </c>
      <c r="T7" s="102">
        <f t="shared" si="4"/>
        <v>1</v>
      </c>
      <c r="U7" s="123">
        <v>0</v>
      </c>
      <c r="V7" s="102">
        <f t="shared" si="5"/>
        <v>1</v>
      </c>
      <c r="W7" s="124" t="s">
        <v>573</v>
      </c>
      <c r="X7" s="102">
        <v>1</v>
      </c>
      <c r="Y7" s="125">
        <f t="shared" si="6"/>
        <v>7</v>
      </c>
      <c r="Z7" s="126" t="s">
        <v>580</v>
      </c>
      <c r="AA7" s="126">
        <v>1</v>
      </c>
      <c r="AB7" s="126">
        <v>4</v>
      </c>
      <c r="AC7" s="126">
        <v>100</v>
      </c>
      <c r="AD7" s="126">
        <v>4</v>
      </c>
      <c r="AE7" s="127">
        <f t="shared" si="7"/>
        <v>9</v>
      </c>
      <c r="AF7" s="128">
        <f t="shared" si="8"/>
        <v>19</v>
      </c>
      <c r="AG7" s="108">
        <v>2039</v>
      </c>
      <c r="AH7" s="108" t="str">
        <f t="shared" si="9"/>
        <v>late adopter</v>
      </c>
    </row>
    <row r="8" spans="1:34">
      <c r="A8" s="102" t="s">
        <v>89</v>
      </c>
      <c r="B8" s="120" t="s">
        <v>88</v>
      </c>
      <c r="C8" s="120" t="s">
        <v>83</v>
      </c>
      <c r="D8" s="102" t="s">
        <v>84</v>
      </c>
      <c r="E8" s="109">
        <v>3</v>
      </c>
      <c r="F8" s="102">
        <v>2015</v>
      </c>
      <c r="G8" s="102">
        <v>2018</v>
      </c>
      <c r="H8" s="102">
        <v>2013</v>
      </c>
      <c r="I8" s="102">
        <v>2014</v>
      </c>
      <c r="J8" s="102" t="s">
        <v>566</v>
      </c>
      <c r="K8" s="102">
        <f t="shared" si="1"/>
        <v>1</v>
      </c>
      <c r="L8" s="102">
        <f t="shared" si="1"/>
        <v>1</v>
      </c>
      <c r="M8" s="102">
        <f t="shared" si="1"/>
        <v>2</v>
      </c>
      <c r="N8" s="102">
        <f t="shared" si="1"/>
        <v>2</v>
      </c>
      <c r="O8" s="102">
        <f t="shared" si="1"/>
        <v>1</v>
      </c>
      <c r="P8" s="121">
        <f t="shared" si="2"/>
        <v>1.4</v>
      </c>
      <c r="Q8" s="102">
        <v>2980</v>
      </c>
      <c r="R8" s="102">
        <f t="shared" si="3"/>
        <v>4</v>
      </c>
      <c r="S8" s="122">
        <v>749.58664740230802</v>
      </c>
      <c r="T8" s="102">
        <f t="shared" si="4"/>
        <v>4</v>
      </c>
      <c r="U8" s="123">
        <v>1061.4654575996301</v>
      </c>
      <c r="V8" s="102">
        <f t="shared" si="5"/>
        <v>4</v>
      </c>
      <c r="W8" s="124">
        <v>872.73</v>
      </c>
      <c r="X8" s="102">
        <f>IF(AND(W8&gt;=W$200,W8&lt;W$201),1,IF(AND(W8&gt;=W$201,W8&lt;W$202),2,IF(AND(W8&gt;=W$202,W8&lt;W$203),3,IF(AND(W8&gt;=W$203,W8&lt;=W$204),4,"empty"))))</f>
        <v>4</v>
      </c>
      <c r="Y8" s="125">
        <f t="shared" si="6"/>
        <v>17.399999999999999</v>
      </c>
      <c r="Z8" s="126" t="s">
        <v>581</v>
      </c>
      <c r="AA8" s="126">
        <v>1</v>
      </c>
      <c r="AB8" s="126">
        <v>2</v>
      </c>
      <c r="AC8" s="126">
        <v>34.981714151524507</v>
      </c>
      <c r="AD8" s="102">
        <f>IF(AND(AC8&gt;=AC$200,AC8&lt;AC$201),1,IF(AND(AC8&gt;=AC$201,AC8&lt;AC$202),2,IF(AND(AC8&gt;=AC$202,AC8&lt;AC$203),3,IF(AND(AC8&gt;=AC$203,AC8&lt;=AC$204),4,"empty"))))</f>
        <v>2</v>
      </c>
      <c r="AE8" s="127">
        <f t="shared" si="7"/>
        <v>5</v>
      </c>
      <c r="AF8" s="128">
        <f t="shared" si="8"/>
        <v>23.799999999999997</v>
      </c>
      <c r="AG8" s="108">
        <v>2033</v>
      </c>
      <c r="AH8" s="108" t="str">
        <f t="shared" si="9"/>
        <v>early adopter</v>
      </c>
    </row>
    <row r="9" spans="1:34">
      <c r="A9" s="102" t="s">
        <v>91</v>
      </c>
      <c r="B9" s="120" t="s">
        <v>90</v>
      </c>
      <c r="C9" s="120" t="s">
        <v>92</v>
      </c>
      <c r="D9" s="102" t="s">
        <v>87</v>
      </c>
      <c r="E9" s="109">
        <v>1</v>
      </c>
      <c r="F9" s="102">
        <v>1997</v>
      </c>
      <c r="G9" s="102">
        <v>1988</v>
      </c>
      <c r="H9" s="102" t="s">
        <v>566</v>
      </c>
      <c r="I9" s="102" t="s">
        <v>566</v>
      </c>
      <c r="J9" s="102">
        <v>2018</v>
      </c>
      <c r="K9" s="102">
        <f t="shared" si="1"/>
        <v>3</v>
      </c>
      <c r="L9" s="102">
        <f t="shared" si="1"/>
        <v>3</v>
      </c>
      <c r="M9" s="102">
        <f t="shared" si="1"/>
        <v>1</v>
      </c>
      <c r="N9" s="102">
        <f t="shared" si="1"/>
        <v>1</v>
      </c>
      <c r="O9" s="102">
        <f t="shared" si="1"/>
        <v>2</v>
      </c>
      <c r="P9" s="121">
        <f t="shared" si="2"/>
        <v>2</v>
      </c>
      <c r="Q9" s="102">
        <v>0</v>
      </c>
      <c r="R9" s="102">
        <f t="shared" si="3"/>
        <v>1</v>
      </c>
      <c r="S9" s="122">
        <v>3.19259182940956E-2</v>
      </c>
      <c r="T9" s="102">
        <f t="shared" si="4"/>
        <v>1</v>
      </c>
      <c r="U9" s="123">
        <v>0</v>
      </c>
      <c r="V9" s="102">
        <f t="shared" si="5"/>
        <v>1</v>
      </c>
      <c r="W9" s="124" t="s">
        <v>573</v>
      </c>
      <c r="X9" s="102">
        <v>1</v>
      </c>
      <c r="Y9" s="125">
        <f t="shared" si="6"/>
        <v>6</v>
      </c>
      <c r="Z9" s="126" t="s">
        <v>580</v>
      </c>
      <c r="AA9" s="126">
        <v>1</v>
      </c>
      <c r="AB9" s="126">
        <v>4</v>
      </c>
      <c r="AC9" s="126" t="s">
        <v>582</v>
      </c>
      <c r="AD9" s="126">
        <v>4</v>
      </c>
      <c r="AE9" s="127">
        <f t="shared" si="7"/>
        <v>9</v>
      </c>
      <c r="AF9" s="128">
        <f t="shared" si="8"/>
        <v>17</v>
      </c>
      <c r="AG9" s="108">
        <v>2040</v>
      </c>
      <c r="AH9" s="108" t="str">
        <f t="shared" si="9"/>
        <v>late adopter</v>
      </c>
    </row>
    <row r="10" spans="1:34">
      <c r="A10" s="102" t="s">
        <v>94</v>
      </c>
      <c r="B10" s="120" t="s">
        <v>93</v>
      </c>
      <c r="C10" s="120" t="s">
        <v>92</v>
      </c>
      <c r="D10" s="102" t="s">
        <v>80</v>
      </c>
      <c r="E10" s="109">
        <v>1</v>
      </c>
      <c r="F10" s="102">
        <v>1998</v>
      </c>
      <c r="G10" s="102">
        <v>1998</v>
      </c>
      <c r="H10" s="102">
        <v>2012</v>
      </c>
      <c r="I10" s="102">
        <v>2015</v>
      </c>
      <c r="J10" s="102">
        <v>2011</v>
      </c>
      <c r="K10" s="102">
        <f t="shared" si="1"/>
        <v>3</v>
      </c>
      <c r="L10" s="102">
        <f t="shared" si="1"/>
        <v>3</v>
      </c>
      <c r="M10" s="102">
        <f t="shared" si="1"/>
        <v>2</v>
      </c>
      <c r="N10" s="102">
        <f t="shared" si="1"/>
        <v>2</v>
      </c>
      <c r="O10" s="102">
        <f t="shared" si="1"/>
        <v>3</v>
      </c>
      <c r="P10" s="121">
        <f t="shared" si="2"/>
        <v>2.6</v>
      </c>
      <c r="Q10" s="102">
        <v>127</v>
      </c>
      <c r="R10" s="102">
        <f t="shared" si="3"/>
        <v>3</v>
      </c>
      <c r="S10" s="122">
        <v>0.20037981240560501</v>
      </c>
      <c r="T10" s="102">
        <f t="shared" si="4"/>
        <v>1</v>
      </c>
      <c r="U10" s="123">
        <v>5.1595230492848899E-2</v>
      </c>
      <c r="V10" s="102">
        <f t="shared" si="5"/>
        <v>2</v>
      </c>
      <c r="W10" s="124">
        <v>0</v>
      </c>
      <c r="X10" s="102">
        <f t="shared" ref="X10:X42" si="10">IF(AND(W10&gt;=W$200,W10&lt;W$201),1,IF(AND(W10&gt;=W$201,W10&lt;W$202),2,IF(AND(W10&gt;=W$202,W10&lt;W$203),3,IF(AND(W10&gt;=W$203,W10&lt;=W$204),4,"empty"))))</f>
        <v>2</v>
      </c>
      <c r="Y10" s="125">
        <f t="shared" si="6"/>
        <v>10.6</v>
      </c>
      <c r="Z10" s="126" t="s">
        <v>580</v>
      </c>
      <c r="AA10" s="126">
        <v>1</v>
      </c>
      <c r="AB10" s="126">
        <v>3</v>
      </c>
      <c r="AC10" s="126">
        <v>100</v>
      </c>
      <c r="AD10" s="102">
        <f>IF(AND(AC10&gt;=AC$200,AC10&lt;AC$201),1,IF(AND(AC10&gt;=AC$201,AC10&lt;AC$202),2,IF(AND(AC10&gt;=AC$202,AC10&lt;AC$203),3,IF(AND(AC10&gt;=AC$203,AC10&lt;=AC$204),4,"empty"))))</f>
        <v>4</v>
      </c>
      <c r="AE10" s="127">
        <f t="shared" si="7"/>
        <v>8</v>
      </c>
      <c r="AF10" s="128">
        <f t="shared" si="8"/>
        <v>21.2</v>
      </c>
      <c r="AG10" s="108">
        <v>2037</v>
      </c>
      <c r="AH10" s="108" t="str">
        <f t="shared" si="9"/>
        <v>mid adopter</v>
      </c>
    </row>
    <row r="11" spans="1:34">
      <c r="A11" s="102" t="s">
        <v>96</v>
      </c>
      <c r="B11" s="120" t="s">
        <v>95</v>
      </c>
      <c r="C11" s="120" t="s">
        <v>79</v>
      </c>
      <c r="D11" s="102" t="s">
        <v>80</v>
      </c>
      <c r="E11" s="109">
        <v>1</v>
      </c>
      <c r="F11" s="102">
        <v>1986</v>
      </c>
      <c r="G11" s="102">
        <v>2002</v>
      </c>
      <c r="H11" s="102">
        <v>2014</v>
      </c>
      <c r="I11" s="102">
        <v>2012</v>
      </c>
      <c r="J11" s="102">
        <v>2017</v>
      </c>
      <c r="K11" s="102">
        <f t="shared" si="1"/>
        <v>4</v>
      </c>
      <c r="L11" s="102">
        <f t="shared" si="1"/>
        <v>2</v>
      </c>
      <c r="M11" s="102">
        <f t="shared" si="1"/>
        <v>2</v>
      </c>
      <c r="N11" s="102">
        <f t="shared" si="1"/>
        <v>3</v>
      </c>
      <c r="O11" s="102">
        <f t="shared" si="1"/>
        <v>2</v>
      </c>
      <c r="P11" s="121">
        <f t="shared" si="2"/>
        <v>2.6</v>
      </c>
      <c r="Q11" s="102">
        <v>7</v>
      </c>
      <c r="R11" s="102">
        <f t="shared" si="3"/>
        <v>2</v>
      </c>
      <c r="S11" s="122">
        <v>0.26587487319638398</v>
      </c>
      <c r="T11" s="102">
        <f t="shared" si="4"/>
        <v>1</v>
      </c>
      <c r="U11" s="123">
        <v>4.7370543870346596E-3</v>
      </c>
      <c r="V11" s="102">
        <f t="shared" si="5"/>
        <v>1</v>
      </c>
      <c r="W11" s="124">
        <v>0</v>
      </c>
      <c r="X11" s="102">
        <f t="shared" si="10"/>
        <v>2</v>
      </c>
      <c r="Y11" s="125">
        <f t="shared" si="6"/>
        <v>8.6</v>
      </c>
      <c r="Z11" s="126" t="s">
        <v>581</v>
      </c>
      <c r="AA11" s="126">
        <v>1</v>
      </c>
      <c r="AB11" s="126">
        <v>3</v>
      </c>
      <c r="AC11" s="126">
        <v>80</v>
      </c>
      <c r="AD11" s="102">
        <f>IF(AND(AC11&gt;=AC$200,AC11&lt;AC$201),1,IF(AND(AC11&gt;=AC$201,AC11&lt;AC$202),2,IF(AND(AC11&gt;=AC$202,AC11&lt;AC$203),3,IF(AND(AC11&gt;=AC$203,AC11&lt;=AC$204),4,"empty"))))</f>
        <v>2</v>
      </c>
      <c r="AE11" s="127">
        <f t="shared" si="7"/>
        <v>6</v>
      </c>
      <c r="AF11" s="128">
        <f t="shared" si="8"/>
        <v>17.2</v>
      </c>
      <c r="AG11" s="108">
        <v>2040</v>
      </c>
      <c r="AH11" s="108" t="str">
        <f t="shared" si="9"/>
        <v>late adopter</v>
      </c>
    </row>
    <row r="12" spans="1:34">
      <c r="A12" s="102" t="s">
        <v>98</v>
      </c>
      <c r="B12" s="120" t="s">
        <v>97</v>
      </c>
      <c r="C12" s="120" t="s">
        <v>99</v>
      </c>
      <c r="D12" s="102" t="s">
        <v>87</v>
      </c>
      <c r="E12" s="109">
        <v>1</v>
      </c>
      <c r="F12" s="102">
        <v>1994</v>
      </c>
      <c r="G12" s="102">
        <v>1989</v>
      </c>
      <c r="H12" s="102">
        <v>2005</v>
      </c>
      <c r="I12" s="102">
        <v>2007</v>
      </c>
      <c r="J12" s="102">
        <v>2007</v>
      </c>
      <c r="K12" s="102">
        <f t="shared" si="1"/>
        <v>3</v>
      </c>
      <c r="L12" s="102">
        <f t="shared" si="1"/>
        <v>3</v>
      </c>
      <c r="M12" s="102">
        <f t="shared" si="1"/>
        <v>4</v>
      </c>
      <c r="N12" s="102">
        <f t="shared" si="1"/>
        <v>4</v>
      </c>
      <c r="O12" s="102">
        <f t="shared" si="1"/>
        <v>4</v>
      </c>
      <c r="P12" s="121">
        <f t="shared" si="2"/>
        <v>3.6</v>
      </c>
      <c r="Q12" s="102">
        <v>285</v>
      </c>
      <c r="R12" s="102">
        <f t="shared" si="3"/>
        <v>3</v>
      </c>
      <c r="S12" s="122">
        <v>1.04145968641955</v>
      </c>
      <c r="T12" s="102">
        <f t="shared" si="4"/>
        <v>2</v>
      </c>
      <c r="U12" s="123">
        <v>9.0849455643886204E-2</v>
      </c>
      <c r="V12" s="102">
        <f t="shared" si="5"/>
        <v>2</v>
      </c>
      <c r="W12" s="124">
        <v>0</v>
      </c>
      <c r="X12" s="102">
        <f t="shared" si="10"/>
        <v>2</v>
      </c>
      <c r="Y12" s="125">
        <f t="shared" si="6"/>
        <v>12.6</v>
      </c>
      <c r="Z12" s="126" t="s">
        <v>580</v>
      </c>
      <c r="AA12" s="126">
        <v>1</v>
      </c>
      <c r="AB12" s="126">
        <v>4</v>
      </c>
      <c r="AC12" s="126">
        <v>100</v>
      </c>
      <c r="AD12" s="102">
        <f>IF(AND(AC12&gt;=AC$200,AC12&lt;AC$201),1,IF(AND(AC12&gt;=AC$201,AC12&lt;AC$202),2,IF(AND(AC12&gt;=AC$202,AC12&lt;AC$203),3,IF(AND(AC12&gt;=AC$203,AC12&lt;=AC$204),4,"empty"))))</f>
        <v>4</v>
      </c>
      <c r="AE12" s="127">
        <f t="shared" si="7"/>
        <v>9</v>
      </c>
      <c r="AF12" s="128">
        <f t="shared" si="8"/>
        <v>25.2</v>
      </c>
      <c r="AG12" s="108">
        <v>2031</v>
      </c>
      <c r="AH12" s="108" t="str">
        <f t="shared" si="9"/>
        <v>early adopter</v>
      </c>
    </row>
    <row r="13" spans="1:34">
      <c r="A13" s="102" t="s">
        <v>101</v>
      </c>
      <c r="B13" s="120" t="s">
        <v>100</v>
      </c>
      <c r="C13" s="120" t="s">
        <v>79</v>
      </c>
      <c r="D13" s="102" t="s">
        <v>87</v>
      </c>
      <c r="E13" s="109">
        <v>1</v>
      </c>
      <c r="F13" s="102">
        <v>1994</v>
      </c>
      <c r="G13" s="102">
        <v>1972</v>
      </c>
      <c r="H13" s="102">
        <v>2014</v>
      </c>
      <c r="I13" s="102">
        <v>2006</v>
      </c>
      <c r="J13" s="102">
        <v>2014</v>
      </c>
      <c r="K13" s="102">
        <f t="shared" si="1"/>
        <v>3</v>
      </c>
      <c r="L13" s="102">
        <f t="shared" si="1"/>
        <v>4</v>
      </c>
      <c r="M13" s="102">
        <f t="shared" si="1"/>
        <v>2</v>
      </c>
      <c r="N13" s="102">
        <f t="shared" si="1"/>
        <v>4</v>
      </c>
      <c r="O13" s="102">
        <f t="shared" si="1"/>
        <v>3</v>
      </c>
      <c r="P13" s="121">
        <f t="shared" si="2"/>
        <v>3.2</v>
      </c>
      <c r="Q13" s="102">
        <v>151</v>
      </c>
      <c r="R13" s="102">
        <f t="shared" si="3"/>
        <v>3</v>
      </c>
      <c r="S13" s="122">
        <v>2.9653008993155399</v>
      </c>
      <c r="T13" s="102">
        <f t="shared" si="4"/>
        <v>2</v>
      </c>
      <c r="U13" s="123">
        <v>1.63197694386676E-2</v>
      </c>
      <c r="V13" s="102">
        <f t="shared" si="5"/>
        <v>2</v>
      </c>
      <c r="W13" s="124">
        <v>4.2596999999999996</v>
      </c>
      <c r="X13" s="102">
        <f t="shared" si="10"/>
        <v>3</v>
      </c>
      <c r="Y13" s="125">
        <f t="shared" si="6"/>
        <v>13.2</v>
      </c>
      <c r="Z13" s="126" t="s">
        <v>580</v>
      </c>
      <c r="AA13" s="126">
        <v>1</v>
      </c>
      <c r="AB13" s="126">
        <v>4</v>
      </c>
      <c r="AC13" s="126" t="s">
        <v>582</v>
      </c>
      <c r="AD13" s="126">
        <v>4</v>
      </c>
      <c r="AE13" s="127">
        <f t="shared" si="7"/>
        <v>9</v>
      </c>
      <c r="AF13" s="128">
        <f t="shared" si="8"/>
        <v>25.4</v>
      </c>
      <c r="AG13" s="108">
        <v>2030</v>
      </c>
      <c r="AH13" s="108" t="str">
        <f t="shared" si="9"/>
        <v>early adopter</v>
      </c>
    </row>
    <row r="14" spans="1:34">
      <c r="A14" s="102" t="s">
        <v>103</v>
      </c>
      <c r="B14" s="120" t="s">
        <v>102</v>
      </c>
      <c r="C14" s="120" t="s">
        <v>79</v>
      </c>
      <c r="D14" s="102" t="s">
        <v>80</v>
      </c>
      <c r="E14" s="109">
        <v>1</v>
      </c>
      <c r="F14" s="102">
        <v>2001</v>
      </c>
      <c r="G14" s="102">
        <v>2003</v>
      </c>
      <c r="H14" s="102">
        <v>2013</v>
      </c>
      <c r="I14" s="102" t="s">
        <v>566</v>
      </c>
      <c r="J14" s="102" t="s">
        <v>566</v>
      </c>
      <c r="K14" s="102">
        <f t="shared" si="1"/>
        <v>2</v>
      </c>
      <c r="L14" s="102">
        <f t="shared" si="1"/>
        <v>2</v>
      </c>
      <c r="M14" s="102">
        <f t="shared" si="1"/>
        <v>2</v>
      </c>
      <c r="N14" s="102">
        <f t="shared" si="1"/>
        <v>1</v>
      </c>
      <c r="O14" s="102">
        <f t="shared" si="1"/>
        <v>1</v>
      </c>
      <c r="P14" s="121">
        <f t="shared" si="2"/>
        <v>1.6</v>
      </c>
      <c r="Q14" s="102">
        <v>261</v>
      </c>
      <c r="R14" s="102">
        <f t="shared" si="3"/>
        <v>3</v>
      </c>
      <c r="S14" s="122">
        <v>5.0522498804548999</v>
      </c>
      <c r="T14" s="102">
        <f t="shared" si="4"/>
        <v>2</v>
      </c>
      <c r="U14" s="123">
        <v>0.58498473368512005</v>
      </c>
      <c r="V14" s="102">
        <f t="shared" si="5"/>
        <v>3</v>
      </c>
      <c r="W14" s="124">
        <v>0</v>
      </c>
      <c r="X14" s="102">
        <f t="shared" si="10"/>
        <v>2</v>
      </c>
      <c r="Y14" s="125">
        <f t="shared" si="6"/>
        <v>11.6</v>
      </c>
      <c r="Z14" s="126" t="s">
        <v>581</v>
      </c>
      <c r="AA14" s="126">
        <v>1</v>
      </c>
      <c r="AB14" s="126">
        <v>3</v>
      </c>
      <c r="AC14" s="126">
        <v>95.591835945244256</v>
      </c>
      <c r="AD14" s="102">
        <f t="shared" ref="AD14:AD19" si="11">IF(AND(AC14&gt;=AC$200,AC14&lt;AC$201),1,IF(AND(AC14&gt;=AC$201,AC14&lt;AC$202),2,IF(AND(AC14&gt;=AC$202,AC14&lt;AC$203),3,IF(AND(AC14&gt;=AC$203,AC14&lt;=AC$204),4,"empty"))))</f>
        <v>3</v>
      </c>
      <c r="AE14" s="127">
        <f t="shared" si="7"/>
        <v>7</v>
      </c>
      <c r="AF14" s="128">
        <f t="shared" si="8"/>
        <v>20.2</v>
      </c>
      <c r="AG14" s="108">
        <v>2038</v>
      </c>
      <c r="AH14" s="108" t="str">
        <f t="shared" si="9"/>
        <v>late adopter</v>
      </c>
    </row>
    <row r="15" spans="1:34">
      <c r="A15" s="102" t="s">
        <v>105</v>
      </c>
      <c r="B15" s="120" t="s">
        <v>104</v>
      </c>
      <c r="C15" s="120" t="s">
        <v>92</v>
      </c>
      <c r="D15" s="102" t="s">
        <v>87</v>
      </c>
      <c r="E15" s="109">
        <v>1</v>
      </c>
      <c r="F15" s="102">
        <v>2001</v>
      </c>
      <c r="G15" s="102">
        <v>1991</v>
      </c>
      <c r="H15" s="102">
        <v>2009</v>
      </c>
      <c r="I15" s="102">
        <v>2017</v>
      </c>
      <c r="J15" s="102">
        <v>2015</v>
      </c>
      <c r="K15" s="102">
        <f t="shared" si="1"/>
        <v>2</v>
      </c>
      <c r="L15" s="102">
        <f t="shared" si="1"/>
        <v>3</v>
      </c>
      <c r="M15" s="102">
        <f t="shared" si="1"/>
        <v>3</v>
      </c>
      <c r="N15" s="102">
        <f t="shared" si="1"/>
        <v>1</v>
      </c>
      <c r="O15" s="102">
        <f t="shared" si="1"/>
        <v>3</v>
      </c>
      <c r="P15" s="121">
        <f t="shared" si="2"/>
        <v>2.4</v>
      </c>
      <c r="Q15" s="102">
        <v>3</v>
      </c>
      <c r="R15" s="102">
        <f t="shared" si="3"/>
        <v>2</v>
      </c>
      <c r="S15" s="122">
        <v>1.0539777556212599</v>
      </c>
      <c r="T15" s="102">
        <f t="shared" si="4"/>
        <v>2</v>
      </c>
      <c r="U15" s="123">
        <v>4.7223993949963797E-4</v>
      </c>
      <c r="V15" s="102">
        <f t="shared" si="5"/>
        <v>1</v>
      </c>
      <c r="W15" s="124">
        <v>0</v>
      </c>
      <c r="X15" s="102">
        <f t="shared" si="10"/>
        <v>2</v>
      </c>
      <c r="Y15" s="125">
        <f t="shared" si="6"/>
        <v>9.4</v>
      </c>
      <c r="Z15" s="126" t="s">
        <v>580</v>
      </c>
      <c r="AA15" s="126">
        <v>1</v>
      </c>
      <c r="AB15" s="126">
        <v>4</v>
      </c>
      <c r="AC15" s="126">
        <v>100</v>
      </c>
      <c r="AD15" s="102">
        <f t="shared" si="11"/>
        <v>4</v>
      </c>
      <c r="AE15" s="127">
        <f t="shared" si="7"/>
        <v>9</v>
      </c>
      <c r="AF15" s="128">
        <f t="shared" si="8"/>
        <v>20.8</v>
      </c>
      <c r="AG15" s="108">
        <v>2037</v>
      </c>
      <c r="AH15" s="108" t="str">
        <f t="shared" si="9"/>
        <v>mid adopter</v>
      </c>
    </row>
    <row r="16" spans="1:34">
      <c r="A16" s="102" t="s">
        <v>107</v>
      </c>
      <c r="B16" s="120" t="s">
        <v>106</v>
      </c>
      <c r="C16" s="120" t="s">
        <v>74</v>
      </c>
      <c r="D16" s="102" t="s">
        <v>87</v>
      </c>
      <c r="E16" s="109">
        <v>1</v>
      </c>
      <c r="F16" s="102">
        <v>1995</v>
      </c>
      <c r="G16" s="102">
        <v>1985</v>
      </c>
      <c r="H16" s="102">
        <v>2008</v>
      </c>
      <c r="I16" s="102">
        <v>2008</v>
      </c>
      <c r="J16" s="102" t="s">
        <v>566</v>
      </c>
      <c r="K16" s="102">
        <f t="shared" si="1"/>
        <v>3</v>
      </c>
      <c r="L16" s="102">
        <f t="shared" si="1"/>
        <v>4</v>
      </c>
      <c r="M16" s="102">
        <f t="shared" si="1"/>
        <v>4</v>
      </c>
      <c r="N16" s="102">
        <f t="shared" si="1"/>
        <v>4</v>
      </c>
      <c r="O16" s="102">
        <f t="shared" si="1"/>
        <v>1</v>
      </c>
      <c r="P16" s="121">
        <f t="shared" si="2"/>
        <v>3.2</v>
      </c>
      <c r="Q16" s="102">
        <v>3</v>
      </c>
      <c r="R16" s="102">
        <f t="shared" si="3"/>
        <v>2</v>
      </c>
      <c r="S16" s="122">
        <v>37.132774333844999</v>
      </c>
      <c r="T16" s="102">
        <f t="shared" si="4"/>
        <v>2</v>
      </c>
      <c r="U16" s="123">
        <v>0.48716342469145002</v>
      </c>
      <c r="V16" s="102">
        <f t="shared" si="5"/>
        <v>3</v>
      </c>
      <c r="W16" s="124">
        <v>0</v>
      </c>
      <c r="X16" s="102">
        <f t="shared" si="10"/>
        <v>2</v>
      </c>
      <c r="Y16" s="125">
        <f t="shared" si="6"/>
        <v>12.2</v>
      </c>
      <c r="Z16" s="126" t="s">
        <v>580</v>
      </c>
      <c r="AA16" s="126">
        <v>1</v>
      </c>
      <c r="AB16" s="126">
        <v>4</v>
      </c>
      <c r="AC16" s="126">
        <v>87.873584494643865</v>
      </c>
      <c r="AD16" s="102">
        <f t="shared" si="11"/>
        <v>2</v>
      </c>
      <c r="AE16" s="127">
        <f t="shared" si="7"/>
        <v>7</v>
      </c>
      <c r="AF16" s="128">
        <f t="shared" si="8"/>
        <v>22.4</v>
      </c>
      <c r="AG16" s="108">
        <v>2034</v>
      </c>
      <c r="AH16" s="108" t="str">
        <f t="shared" si="9"/>
        <v>mid adopter</v>
      </c>
    </row>
    <row r="17" spans="1:34">
      <c r="A17" s="102" t="s">
        <v>109</v>
      </c>
      <c r="B17" s="120" t="s">
        <v>108</v>
      </c>
      <c r="C17" s="120" t="s">
        <v>110</v>
      </c>
      <c r="D17" s="102" t="s">
        <v>84</v>
      </c>
      <c r="E17" s="109" t="s">
        <v>76</v>
      </c>
      <c r="F17" s="102">
        <v>2012</v>
      </c>
      <c r="G17" s="102">
        <v>2012</v>
      </c>
      <c r="H17" s="102">
        <v>2015</v>
      </c>
      <c r="I17" s="102">
        <v>2021</v>
      </c>
      <c r="J17" s="102">
        <v>2022</v>
      </c>
      <c r="K17" s="102">
        <f t="shared" si="1"/>
        <v>1</v>
      </c>
      <c r="L17" s="102">
        <f t="shared" si="1"/>
        <v>2</v>
      </c>
      <c r="M17" s="102">
        <f t="shared" si="1"/>
        <v>1</v>
      </c>
      <c r="N17" s="102">
        <f t="shared" si="1"/>
        <v>1</v>
      </c>
      <c r="O17" s="102">
        <f t="shared" si="1"/>
        <v>1</v>
      </c>
      <c r="P17" s="121">
        <f t="shared" si="2"/>
        <v>1.2</v>
      </c>
      <c r="Q17" s="102">
        <v>5479</v>
      </c>
      <c r="R17" s="102">
        <f t="shared" si="3"/>
        <v>4</v>
      </c>
      <c r="S17" s="122">
        <v>114.31174944432701</v>
      </c>
      <c r="T17" s="102">
        <f t="shared" si="4"/>
        <v>3</v>
      </c>
      <c r="U17" s="123">
        <v>351.233123323651</v>
      </c>
      <c r="V17" s="102">
        <f t="shared" si="5"/>
        <v>4</v>
      </c>
      <c r="W17" s="124">
        <v>4755.5</v>
      </c>
      <c r="X17" s="102">
        <f t="shared" si="10"/>
        <v>4</v>
      </c>
      <c r="Y17" s="125">
        <f t="shared" si="6"/>
        <v>16.2</v>
      </c>
      <c r="Z17" s="126" t="s">
        <v>581</v>
      </c>
      <c r="AA17" s="126">
        <v>1</v>
      </c>
      <c r="AB17" s="126">
        <v>2</v>
      </c>
      <c r="AC17" s="126">
        <v>27.02304526403098</v>
      </c>
      <c r="AD17" s="102">
        <f t="shared" si="11"/>
        <v>2</v>
      </c>
      <c r="AE17" s="127">
        <f t="shared" si="7"/>
        <v>5</v>
      </c>
      <c r="AF17" s="128">
        <f t="shared" si="8"/>
        <v>22.4</v>
      </c>
      <c r="AG17" s="108">
        <v>2034</v>
      </c>
      <c r="AH17" s="108" t="str">
        <f t="shared" si="9"/>
        <v>mid adopter</v>
      </c>
    </row>
    <row r="18" spans="1:34">
      <c r="A18" s="102" t="s">
        <v>112</v>
      </c>
      <c r="B18" s="120" t="s">
        <v>111</v>
      </c>
      <c r="C18" s="120" t="s">
        <v>92</v>
      </c>
      <c r="D18" s="102" t="s">
        <v>87</v>
      </c>
      <c r="E18" s="109">
        <v>1</v>
      </c>
      <c r="F18" s="102">
        <v>1997</v>
      </c>
      <c r="G18" s="102">
        <v>1982</v>
      </c>
      <c r="H18" s="102">
        <v>2009</v>
      </c>
      <c r="I18" s="102" t="s">
        <v>566</v>
      </c>
      <c r="J18" s="102">
        <v>2014</v>
      </c>
      <c r="K18" s="102">
        <f t="shared" si="1"/>
        <v>3</v>
      </c>
      <c r="L18" s="102">
        <f t="shared" si="1"/>
        <v>4</v>
      </c>
      <c r="M18" s="102">
        <f t="shared" si="1"/>
        <v>3</v>
      </c>
      <c r="N18" s="102">
        <f t="shared" si="1"/>
        <v>1</v>
      </c>
      <c r="O18" s="102">
        <f t="shared" si="1"/>
        <v>3</v>
      </c>
      <c r="P18" s="121">
        <f t="shared" si="2"/>
        <v>2.8</v>
      </c>
      <c r="Q18" s="102">
        <v>0</v>
      </c>
      <c r="R18" s="102">
        <f t="shared" si="3"/>
        <v>1</v>
      </c>
      <c r="S18" s="122">
        <v>2.7341516575402802E-2</v>
      </c>
      <c r="T18" s="102">
        <f t="shared" si="4"/>
        <v>1</v>
      </c>
      <c r="U18" s="123">
        <v>0</v>
      </c>
      <c r="V18" s="102">
        <f t="shared" si="5"/>
        <v>1</v>
      </c>
      <c r="W18" s="124">
        <v>0</v>
      </c>
      <c r="X18" s="102">
        <f t="shared" si="10"/>
        <v>2</v>
      </c>
      <c r="Y18" s="125">
        <f t="shared" si="6"/>
        <v>7.8</v>
      </c>
      <c r="Z18" s="126" t="s">
        <v>580</v>
      </c>
      <c r="AA18" s="126">
        <v>1</v>
      </c>
      <c r="AB18" s="126">
        <v>4</v>
      </c>
      <c r="AC18" s="126">
        <v>100</v>
      </c>
      <c r="AD18" s="102">
        <f t="shared" si="11"/>
        <v>4</v>
      </c>
      <c r="AE18" s="127">
        <f t="shared" si="7"/>
        <v>9</v>
      </c>
      <c r="AF18" s="128">
        <f t="shared" si="8"/>
        <v>19.600000000000001</v>
      </c>
      <c r="AG18" s="108">
        <v>2039</v>
      </c>
      <c r="AH18" s="108" t="str">
        <f t="shared" si="9"/>
        <v>late adopter</v>
      </c>
    </row>
    <row r="19" spans="1:34">
      <c r="A19" s="102" t="s">
        <v>114</v>
      </c>
      <c r="B19" s="120" t="s">
        <v>113</v>
      </c>
      <c r="C19" s="120" t="s">
        <v>79</v>
      </c>
      <c r="D19" s="102" t="s">
        <v>80</v>
      </c>
      <c r="E19" s="109">
        <v>2</v>
      </c>
      <c r="F19" s="102">
        <v>1987</v>
      </c>
      <c r="G19" s="102">
        <v>1996</v>
      </c>
      <c r="H19" s="102" t="s">
        <v>566</v>
      </c>
      <c r="I19" s="102" t="s">
        <v>566</v>
      </c>
      <c r="J19" s="102" t="s">
        <v>566</v>
      </c>
      <c r="K19" s="102">
        <f t="shared" si="1"/>
        <v>4</v>
      </c>
      <c r="L19" s="102">
        <f t="shared" si="1"/>
        <v>3</v>
      </c>
      <c r="M19" s="102">
        <f t="shared" si="1"/>
        <v>1</v>
      </c>
      <c r="N19" s="102">
        <f t="shared" si="1"/>
        <v>1</v>
      </c>
      <c r="O19" s="102">
        <f t="shared" si="1"/>
        <v>1</v>
      </c>
      <c r="P19" s="121">
        <f t="shared" si="2"/>
        <v>2</v>
      </c>
      <c r="Q19" s="102">
        <v>191</v>
      </c>
      <c r="R19" s="102">
        <f t="shared" si="3"/>
        <v>3</v>
      </c>
      <c r="S19" s="122">
        <v>3.3016383693420801</v>
      </c>
      <c r="T19" s="102">
        <f t="shared" si="4"/>
        <v>2</v>
      </c>
      <c r="U19" s="123">
        <v>8.4151328437706598E-3</v>
      </c>
      <c r="V19" s="102">
        <f t="shared" si="5"/>
        <v>2</v>
      </c>
      <c r="W19" s="124">
        <v>0</v>
      </c>
      <c r="X19" s="102">
        <f t="shared" si="10"/>
        <v>2</v>
      </c>
      <c r="Y19" s="125">
        <f t="shared" si="6"/>
        <v>11</v>
      </c>
      <c r="Z19" s="126" t="s">
        <v>580</v>
      </c>
      <c r="AA19" s="126">
        <v>1</v>
      </c>
      <c r="AB19" s="126">
        <v>3</v>
      </c>
      <c r="AC19" s="126">
        <v>58.188564771217258</v>
      </c>
      <c r="AD19" s="102">
        <f t="shared" si="11"/>
        <v>2</v>
      </c>
      <c r="AE19" s="127">
        <f t="shared" si="7"/>
        <v>6</v>
      </c>
      <c r="AF19" s="128">
        <f t="shared" si="8"/>
        <v>19</v>
      </c>
      <c r="AG19" s="108">
        <v>2039</v>
      </c>
      <c r="AH19" s="108" t="str">
        <f t="shared" si="9"/>
        <v>late adopter</v>
      </c>
    </row>
    <row r="20" spans="1:34">
      <c r="A20" s="102" t="s">
        <v>116</v>
      </c>
      <c r="B20" s="120" t="s">
        <v>115</v>
      </c>
      <c r="C20" s="120" t="s">
        <v>79</v>
      </c>
      <c r="D20" s="102" t="s">
        <v>87</v>
      </c>
      <c r="E20" s="109">
        <v>1</v>
      </c>
      <c r="F20" s="102">
        <v>1994</v>
      </c>
      <c r="G20" s="102">
        <v>1985</v>
      </c>
      <c r="H20" s="102">
        <v>2006</v>
      </c>
      <c r="I20" s="102">
        <v>2007</v>
      </c>
      <c r="J20" s="102">
        <v>2011</v>
      </c>
      <c r="K20" s="102">
        <f t="shared" si="1"/>
        <v>3</v>
      </c>
      <c r="L20" s="102">
        <f t="shared" si="1"/>
        <v>4</v>
      </c>
      <c r="M20" s="102">
        <f t="shared" si="1"/>
        <v>4</v>
      </c>
      <c r="N20" s="102">
        <f t="shared" si="1"/>
        <v>4</v>
      </c>
      <c r="O20" s="102">
        <f t="shared" si="1"/>
        <v>3</v>
      </c>
      <c r="P20" s="121">
        <f t="shared" si="2"/>
        <v>3.6</v>
      </c>
      <c r="Q20" s="102">
        <v>481</v>
      </c>
      <c r="R20" s="102">
        <f t="shared" si="3"/>
        <v>3</v>
      </c>
      <c r="S20" s="122">
        <v>6.3077084034346003</v>
      </c>
      <c r="T20" s="102">
        <f t="shared" si="4"/>
        <v>2</v>
      </c>
      <c r="U20" s="123">
        <v>2.5437275428894499E-2</v>
      </c>
      <c r="V20" s="102">
        <f t="shared" si="5"/>
        <v>2</v>
      </c>
      <c r="W20" s="124">
        <v>1.2278</v>
      </c>
      <c r="X20" s="102">
        <f t="shared" si="10"/>
        <v>3</v>
      </c>
      <c r="Y20" s="125">
        <f t="shared" si="6"/>
        <v>13.6</v>
      </c>
      <c r="Z20" s="126" t="s">
        <v>580</v>
      </c>
      <c r="AA20" s="126">
        <v>1</v>
      </c>
      <c r="AB20" s="126">
        <v>4</v>
      </c>
      <c r="AC20" s="126" t="s">
        <v>582</v>
      </c>
      <c r="AD20" s="126">
        <v>4</v>
      </c>
      <c r="AE20" s="127">
        <f t="shared" si="7"/>
        <v>9</v>
      </c>
      <c r="AF20" s="128">
        <f t="shared" si="8"/>
        <v>26.2</v>
      </c>
      <c r="AG20" s="108">
        <v>2030</v>
      </c>
      <c r="AH20" s="108" t="str">
        <f t="shared" si="9"/>
        <v>early adopter</v>
      </c>
    </row>
    <row r="21" spans="1:34">
      <c r="A21" s="102" t="s">
        <v>118</v>
      </c>
      <c r="B21" s="120" t="s">
        <v>117</v>
      </c>
      <c r="C21" s="120" t="s">
        <v>92</v>
      </c>
      <c r="D21" s="102" t="s">
        <v>80</v>
      </c>
      <c r="E21" s="109">
        <v>1</v>
      </c>
      <c r="F21" s="102">
        <v>2005</v>
      </c>
      <c r="G21" s="102">
        <v>1996</v>
      </c>
      <c r="H21" s="102" t="s">
        <v>566</v>
      </c>
      <c r="I21" s="102" t="s">
        <v>566</v>
      </c>
      <c r="J21" s="102">
        <v>2016</v>
      </c>
      <c r="K21" s="102">
        <f t="shared" si="1"/>
        <v>2</v>
      </c>
      <c r="L21" s="102">
        <f t="shared" si="1"/>
        <v>3</v>
      </c>
      <c r="M21" s="102">
        <f t="shared" si="1"/>
        <v>1</v>
      </c>
      <c r="N21" s="102">
        <f t="shared" si="1"/>
        <v>1</v>
      </c>
      <c r="O21" s="102">
        <f t="shared" si="1"/>
        <v>3</v>
      </c>
      <c r="P21" s="121">
        <f t="shared" si="2"/>
        <v>2</v>
      </c>
      <c r="Q21" s="102">
        <v>0</v>
      </c>
      <c r="R21" s="102">
        <f t="shared" si="3"/>
        <v>1</v>
      </c>
      <c r="S21" s="122">
        <v>5.3432643562584203E-2</v>
      </c>
      <c r="T21" s="102">
        <f t="shared" si="4"/>
        <v>1</v>
      </c>
      <c r="U21" s="123">
        <v>0</v>
      </c>
      <c r="V21" s="102">
        <f t="shared" si="5"/>
        <v>1</v>
      </c>
      <c r="W21" s="124">
        <v>0</v>
      </c>
      <c r="X21" s="102">
        <f t="shared" si="10"/>
        <v>2</v>
      </c>
      <c r="Y21" s="125">
        <f t="shared" si="6"/>
        <v>7</v>
      </c>
      <c r="Z21" s="126" t="s">
        <v>580</v>
      </c>
      <c r="AA21" s="126">
        <v>1</v>
      </c>
      <c r="AB21" s="126">
        <v>3</v>
      </c>
      <c r="AC21" s="126">
        <v>100</v>
      </c>
      <c r="AD21" s="102">
        <f>IF(AND(AC21&gt;=AC$200,AC21&lt;AC$201),1,IF(AND(AC21&gt;=AC$201,AC21&lt;AC$202),2,IF(AND(AC21&gt;=AC$202,AC21&lt;AC$203),3,IF(AND(AC21&gt;=AC$203,AC21&lt;=AC$204),4,"empty"))))</f>
        <v>4</v>
      </c>
      <c r="AE21" s="127">
        <f t="shared" si="7"/>
        <v>8</v>
      </c>
      <c r="AF21" s="128">
        <f t="shared" si="8"/>
        <v>17</v>
      </c>
      <c r="AG21" s="108">
        <v>2040</v>
      </c>
      <c r="AH21" s="108" t="str">
        <f t="shared" si="9"/>
        <v>late adopter</v>
      </c>
    </row>
    <row r="22" spans="1:34">
      <c r="A22" s="102" t="s">
        <v>120</v>
      </c>
      <c r="B22" s="120" t="s">
        <v>119</v>
      </c>
      <c r="C22" s="120" t="s">
        <v>83</v>
      </c>
      <c r="D22" s="102" t="s">
        <v>84</v>
      </c>
      <c r="E22" s="109">
        <v>3</v>
      </c>
      <c r="F22" s="102">
        <v>2022</v>
      </c>
      <c r="G22" s="102">
        <v>2019</v>
      </c>
      <c r="H22" s="102">
        <v>2011</v>
      </c>
      <c r="I22" s="102">
        <v>2019</v>
      </c>
      <c r="J22" s="102">
        <v>2023</v>
      </c>
      <c r="K22" s="102">
        <f t="shared" si="1"/>
        <v>1</v>
      </c>
      <c r="L22" s="102">
        <f t="shared" si="1"/>
        <v>1</v>
      </c>
      <c r="M22" s="102">
        <f t="shared" si="1"/>
        <v>3</v>
      </c>
      <c r="N22" s="102">
        <f t="shared" si="1"/>
        <v>1</v>
      </c>
      <c r="O22" s="102">
        <f t="shared" si="1"/>
        <v>1</v>
      </c>
      <c r="P22" s="121">
        <f t="shared" si="2"/>
        <v>1.4</v>
      </c>
      <c r="Q22" s="102">
        <v>483</v>
      </c>
      <c r="R22" s="102">
        <f t="shared" si="3"/>
        <v>3</v>
      </c>
      <c r="S22" s="122">
        <v>1648.8100599668101</v>
      </c>
      <c r="T22" s="102">
        <f t="shared" si="4"/>
        <v>4</v>
      </c>
      <c r="U22" s="123">
        <v>2489.2110123324801</v>
      </c>
      <c r="V22" s="102">
        <f t="shared" si="5"/>
        <v>4</v>
      </c>
      <c r="W22" s="124">
        <v>908.12</v>
      </c>
      <c r="X22" s="102">
        <f t="shared" si="10"/>
        <v>4</v>
      </c>
      <c r="Y22" s="125">
        <f t="shared" si="6"/>
        <v>16.399999999999999</v>
      </c>
      <c r="Z22" s="126" t="s">
        <v>583</v>
      </c>
      <c r="AA22" s="126">
        <v>3</v>
      </c>
      <c r="AB22" s="126">
        <v>2</v>
      </c>
      <c r="AC22" s="126">
        <v>31</v>
      </c>
      <c r="AD22" s="102">
        <f>IF(AND(AC22&gt;=AC$200,AC22&lt;AC$201),1,IF(AND(AC22&gt;=AC$201,AC22&lt;AC$202),2,IF(AND(AC22&gt;=AC$202,AC22&lt;AC$203),3,IF(AND(AC22&gt;=AC$203,AC22&lt;=AC$204),4,"empty"))))</f>
        <v>2</v>
      </c>
      <c r="AE22" s="127">
        <f t="shared" si="7"/>
        <v>7</v>
      </c>
      <c r="AF22" s="128">
        <f t="shared" si="8"/>
        <v>24.799999999999997</v>
      </c>
      <c r="AG22" s="108">
        <v>2031</v>
      </c>
      <c r="AH22" s="108" t="str">
        <f t="shared" si="9"/>
        <v>early adopter</v>
      </c>
    </row>
    <row r="23" spans="1:34">
      <c r="A23" s="102" t="s">
        <v>122</v>
      </c>
      <c r="B23" s="120" t="s">
        <v>121</v>
      </c>
      <c r="C23" s="120" t="s">
        <v>110</v>
      </c>
      <c r="D23" s="102" t="s">
        <v>84</v>
      </c>
      <c r="E23" s="109">
        <v>2</v>
      </c>
      <c r="F23" s="102">
        <v>2006</v>
      </c>
      <c r="G23" s="102">
        <v>2006</v>
      </c>
      <c r="H23" s="102">
        <v>2019</v>
      </c>
      <c r="I23" s="102" t="s">
        <v>566</v>
      </c>
      <c r="J23" s="102">
        <v>2009</v>
      </c>
      <c r="K23" s="102">
        <f t="shared" si="1"/>
        <v>2</v>
      </c>
      <c r="L23" s="102">
        <f t="shared" si="1"/>
        <v>2</v>
      </c>
      <c r="M23" s="102">
        <f t="shared" si="1"/>
        <v>1</v>
      </c>
      <c r="N23" s="102">
        <f t="shared" si="1"/>
        <v>1</v>
      </c>
      <c r="O23" s="102">
        <f t="shared" si="1"/>
        <v>4</v>
      </c>
      <c r="P23" s="121">
        <f t="shared" si="2"/>
        <v>2</v>
      </c>
      <c r="Q23" s="102">
        <v>0</v>
      </c>
      <c r="R23" s="102">
        <f t="shared" si="3"/>
        <v>1</v>
      </c>
      <c r="S23" s="122">
        <v>6.5048677522722702</v>
      </c>
      <c r="T23" s="102">
        <f t="shared" si="4"/>
        <v>2</v>
      </c>
      <c r="U23" s="123">
        <v>0.43542697285890097</v>
      </c>
      <c r="V23" s="102">
        <f t="shared" si="5"/>
        <v>3</v>
      </c>
      <c r="W23" s="124">
        <v>0</v>
      </c>
      <c r="X23" s="102">
        <f t="shared" si="10"/>
        <v>2</v>
      </c>
      <c r="Y23" s="125">
        <f t="shared" si="6"/>
        <v>10</v>
      </c>
      <c r="Z23" s="126" t="s">
        <v>581</v>
      </c>
      <c r="AA23" s="126">
        <v>1</v>
      </c>
      <c r="AB23" s="126">
        <v>2</v>
      </c>
      <c r="AC23" s="126">
        <v>40.004785859959128</v>
      </c>
      <c r="AD23" s="102">
        <f>IF(AND(AC23&gt;=AC$200,AC23&lt;AC$201),1,IF(AND(AC23&gt;=AC$201,AC23&lt;AC$202),2,IF(AND(AC23&gt;=AC$202,AC23&lt;AC$203),3,IF(AND(AC23&gt;=AC$203,AC23&lt;=AC$204),4,"empty"))))</f>
        <v>2</v>
      </c>
      <c r="AE23" s="127">
        <f t="shared" si="7"/>
        <v>5</v>
      </c>
      <c r="AF23" s="128">
        <f t="shared" si="8"/>
        <v>17</v>
      </c>
      <c r="AG23" s="108">
        <v>2041</v>
      </c>
      <c r="AH23" s="108" t="str">
        <f t="shared" si="9"/>
        <v>late adopter</v>
      </c>
    </row>
    <row r="24" spans="1:34">
      <c r="A24" s="102" t="s">
        <v>124</v>
      </c>
      <c r="B24" s="120" t="s">
        <v>123</v>
      </c>
      <c r="C24" s="120" t="s">
        <v>92</v>
      </c>
      <c r="D24" s="102" t="s">
        <v>84</v>
      </c>
      <c r="E24" s="109">
        <v>2</v>
      </c>
      <c r="F24" s="102">
        <v>2018</v>
      </c>
      <c r="G24" s="102">
        <v>2000</v>
      </c>
      <c r="H24" s="102">
        <v>2014</v>
      </c>
      <c r="I24" s="102">
        <v>2008</v>
      </c>
      <c r="J24" s="102">
        <v>2017</v>
      </c>
      <c r="K24" s="102">
        <f t="shared" si="1"/>
        <v>1</v>
      </c>
      <c r="L24" s="102">
        <f t="shared" si="1"/>
        <v>2</v>
      </c>
      <c r="M24" s="102">
        <f t="shared" si="1"/>
        <v>2</v>
      </c>
      <c r="N24" s="102">
        <f t="shared" si="1"/>
        <v>4</v>
      </c>
      <c r="O24" s="102">
        <f t="shared" si="1"/>
        <v>2</v>
      </c>
      <c r="P24" s="121">
        <f t="shared" si="2"/>
        <v>2.2000000000000002</v>
      </c>
      <c r="Q24" s="102">
        <v>0</v>
      </c>
      <c r="R24" s="102">
        <f t="shared" si="3"/>
        <v>1</v>
      </c>
      <c r="S24" s="122">
        <v>1.0893085968866701E-3</v>
      </c>
      <c r="T24" s="102">
        <f t="shared" si="4"/>
        <v>1</v>
      </c>
      <c r="U24" s="123">
        <v>0</v>
      </c>
      <c r="V24" s="102">
        <f t="shared" si="5"/>
        <v>1</v>
      </c>
      <c r="W24" s="124">
        <v>0</v>
      </c>
      <c r="X24" s="102">
        <f t="shared" si="10"/>
        <v>2</v>
      </c>
      <c r="Y24" s="125">
        <f t="shared" si="6"/>
        <v>7.2</v>
      </c>
      <c r="Z24" s="126" t="s">
        <v>581</v>
      </c>
      <c r="AA24" s="126">
        <v>1</v>
      </c>
      <c r="AB24" s="126">
        <v>2</v>
      </c>
      <c r="AC24" s="126">
        <v>74.70494575276301</v>
      </c>
      <c r="AD24" s="102">
        <f>IF(AND(AC24&gt;=AC$200,AC24&lt;AC$201),1,IF(AND(AC24&gt;=AC$201,AC24&lt;AC$202),2,IF(AND(AC24&gt;=AC$202,AC24&lt;AC$203),3,IF(AND(AC24&gt;=AC$203,AC24&lt;=AC$204),4,"empty"))))</f>
        <v>2</v>
      </c>
      <c r="AE24" s="127">
        <f t="shared" si="7"/>
        <v>5</v>
      </c>
      <c r="AF24" s="128">
        <f t="shared" si="8"/>
        <v>14.4</v>
      </c>
      <c r="AG24" s="108">
        <v>2042</v>
      </c>
      <c r="AH24" s="108" t="str">
        <f t="shared" si="9"/>
        <v>late adopter</v>
      </c>
    </row>
    <row r="25" spans="1:34">
      <c r="A25" s="102" t="s">
        <v>126</v>
      </c>
      <c r="B25" s="120" t="s">
        <v>125</v>
      </c>
      <c r="C25" s="120" t="s">
        <v>79</v>
      </c>
      <c r="D25" s="102" t="s">
        <v>80</v>
      </c>
      <c r="E25" s="109">
        <v>1</v>
      </c>
      <c r="F25" s="102">
        <v>1971</v>
      </c>
      <c r="G25" s="102">
        <v>1976</v>
      </c>
      <c r="H25" s="102" t="s">
        <v>566</v>
      </c>
      <c r="I25" s="102" t="s">
        <v>566</v>
      </c>
      <c r="J25" s="102" t="s">
        <v>566</v>
      </c>
      <c r="K25" s="102">
        <f t="shared" si="1"/>
        <v>4</v>
      </c>
      <c r="L25" s="102">
        <f t="shared" si="1"/>
        <v>4</v>
      </c>
      <c r="M25" s="102">
        <f t="shared" si="1"/>
        <v>1</v>
      </c>
      <c r="N25" s="102">
        <f t="shared" si="1"/>
        <v>1</v>
      </c>
      <c r="O25" s="102">
        <f t="shared" si="1"/>
        <v>1</v>
      </c>
      <c r="P25" s="121">
        <f t="shared" si="2"/>
        <v>2.2000000000000002</v>
      </c>
      <c r="Q25" s="102">
        <v>1401</v>
      </c>
      <c r="R25" s="102">
        <f t="shared" si="3"/>
        <v>4</v>
      </c>
      <c r="S25" s="122">
        <v>79.941821106577294</v>
      </c>
      <c r="T25" s="102">
        <f t="shared" si="4"/>
        <v>3</v>
      </c>
      <c r="U25" s="123">
        <v>1.93159275104916</v>
      </c>
      <c r="V25" s="102">
        <f t="shared" si="5"/>
        <v>3</v>
      </c>
      <c r="W25" s="124">
        <v>3.3234999999999998E-7</v>
      </c>
      <c r="X25" s="102">
        <f t="shared" si="10"/>
        <v>3</v>
      </c>
      <c r="Y25" s="125">
        <f t="shared" si="6"/>
        <v>15.2</v>
      </c>
      <c r="Z25" s="126" t="s">
        <v>580</v>
      </c>
      <c r="AA25" s="126">
        <v>1</v>
      </c>
      <c r="AB25" s="126">
        <v>3</v>
      </c>
      <c r="AC25" s="126">
        <v>100</v>
      </c>
      <c r="AD25" s="102">
        <v>3</v>
      </c>
      <c r="AE25" s="127">
        <f t="shared" si="7"/>
        <v>7</v>
      </c>
      <c r="AF25" s="128">
        <f t="shared" si="8"/>
        <v>24.4</v>
      </c>
      <c r="AG25" s="108">
        <v>2032</v>
      </c>
      <c r="AH25" s="108" t="str">
        <f t="shared" si="9"/>
        <v>early adopter</v>
      </c>
    </row>
    <row r="26" spans="1:34">
      <c r="A26" s="102" t="s">
        <v>128</v>
      </c>
      <c r="B26" s="120" t="s">
        <v>127</v>
      </c>
      <c r="C26" s="120" t="s">
        <v>83</v>
      </c>
      <c r="D26" s="102" t="s">
        <v>80</v>
      </c>
      <c r="E26" s="109">
        <v>2</v>
      </c>
      <c r="F26" s="102">
        <v>2011</v>
      </c>
      <c r="G26" s="102">
        <v>2016</v>
      </c>
      <c r="H26" s="102">
        <v>2012</v>
      </c>
      <c r="I26" s="102">
        <v>2012</v>
      </c>
      <c r="J26" s="102">
        <v>2015</v>
      </c>
      <c r="K26" s="102">
        <f t="shared" si="1"/>
        <v>2</v>
      </c>
      <c r="L26" s="102">
        <f t="shared" si="1"/>
        <v>1</v>
      </c>
      <c r="M26" s="102">
        <f t="shared" si="1"/>
        <v>2</v>
      </c>
      <c r="N26" s="102">
        <f t="shared" si="1"/>
        <v>3</v>
      </c>
      <c r="O26" s="102">
        <f t="shared" si="1"/>
        <v>3</v>
      </c>
      <c r="P26" s="121">
        <f t="shared" si="2"/>
        <v>2.2000000000000002</v>
      </c>
      <c r="Q26" s="102">
        <v>0</v>
      </c>
      <c r="R26" s="102">
        <f t="shared" si="3"/>
        <v>1</v>
      </c>
      <c r="S26" s="122">
        <v>78.407398870916893</v>
      </c>
      <c r="T26" s="102">
        <f t="shared" si="4"/>
        <v>3</v>
      </c>
      <c r="U26" s="123">
        <v>11.073407142998001</v>
      </c>
      <c r="V26" s="102">
        <f t="shared" si="5"/>
        <v>3</v>
      </c>
      <c r="W26" s="124">
        <v>50.496000000000002</v>
      </c>
      <c r="X26" s="102">
        <f t="shared" si="10"/>
        <v>3</v>
      </c>
      <c r="Y26" s="125">
        <f t="shared" si="6"/>
        <v>12.2</v>
      </c>
      <c r="Z26" s="126" t="s">
        <v>580</v>
      </c>
      <c r="AA26" s="126">
        <v>1</v>
      </c>
      <c r="AB26" s="126">
        <v>3</v>
      </c>
      <c r="AC26" s="126">
        <v>100</v>
      </c>
      <c r="AD26" s="102">
        <f>IF(AND(AC26&gt;=AC$200,AC26&lt;AC$201),1,IF(AND(AC26&gt;=AC$201,AC26&lt;AC$202),2,IF(AND(AC26&gt;=AC$202,AC26&lt;AC$203),3,IF(AND(AC26&gt;=AC$203,AC26&lt;=AC$204),4,"empty"))))</f>
        <v>4</v>
      </c>
      <c r="AE26" s="127">
        <f t="shared" si="7"/>
        <v>8</v>
      </c>
      <c r="AF26" s="128">
        <f t="shared" si="8"/>
        <v>22.4</v>
      </c>
      <c r="AG26" s="108">
        <v>2035</v>
      </c>
      <c r="AH26" s="108" t="str">
        <f t="shared" si="9"/>
        <v>mid adopter</v>
      </c>
    </row>
    <row r="27" spans="1:34">
      <c r="A27" s="102" t="s">
        <v>130</v>
      </c>
      <c r="B27" s="120" t="s">
        <v>129</v>
      </c>
      <c r="C27" s="120" t="s">
        <v>92</v>
      </c>
      <c r="D27" s="102" t="s">
        <v>80</v>
      </c>
      <c r="E27" s="109" t="s">
        <v>76</v>
      </c>
      <c r="F27" s="102">
        <v>2004</v>
      </c>
      <c r="G27" s="102">
        <v>2000</v>
      </c>
      <c r="H27" s="102">
        <v>2010</v>
      </c>
      <c r="I27" s="102">
        <v>2006</v>
      </c>
      <c r="J27" s="102">
        <v>2014</v>
      </c>
      <c r="K27" s="102">
        <f t="shared" si="1"/>
        <v>2</v>
      </c>
      <c r="L27" s="102">
        <f t="shared" si="1"/>
        <v>2</v>
      </c>
      <c r="M27" s="102">
        <f t="shared" si="1"/>
        <v>3</v>
      </c>
      <c r="N27" s="102">
        <f t="shared" si="1"/>
        <v>4</v>
      </c>
      <c r="O27" s="102">
        <f t="shared" si="1"/>
        <v>3</v>
      </c>
      <c r="P27" s="121">
        <f t="shared" si="2"/>
        <v>2.8</v>
      </c>
      <c r="Q27" s="102">
        <v>20901</v>
      </c>
      <c r="R27" s="102">
        <f t="shared" si="3"/>
        <v>4</v>
      </c>
      <c r="S27" s="122">
        <v>6.41981977102615</v>
      </c>
      <c r="T27" s="102">
        <f t="shared" si="4"/>
        <v>2</v>
      </c>
      <c r="U27" s="123">
        <v>0.41745324279148299</v>
      </c>
      <c r="V27" s="102">
        <f t="shared" si="5"/>
        <v>2</v>
      </c>
      <c r="W27" s="124">
        <v>0</v>
      </c>
      <c r="X27" s="102">
        <f t="shared" si="10"/>
        <v>2</v>
      </c>
      <c r="Y27" s="125">
        <f t="shared" si="6"/>
        <v>12.8</v>
      </c>
      <c r="Z27" s="126" t="s">
        <v>580</v>
      </c>
      <c r="AA27" s="126">
        <v>1</v>
      </c>
      <c r="AB27" s="126">
        <v>3</v>
      </c>
      <c r="AC27" s="126">
        <v>87.62651293511135</v>
      </c>
      <c r="AD27" s="102">
        <f>IF(AND(AC27&gt;=AC$200,AC27&lt;AC$201),1,IF(AND(AC27&gt;=AC$201,AC27&lt;AC$202),2,IF(AND(AC27&gt;=AC$202,AC27&lt;AC$203),3,IF(AND(AC27&gt;=AC$203,AC27&lt;=AC$204),4,"empty"))))</f>
        <v>2</v>
      </c>
      <c r="AE27" s="127">
        <f t="shared" si="7"/>
        <v>6</v>
      </c>
      <c r="AF27" s="128">
        <f t="shared" si="8"/>
        <v>21.6</v>
      </c>
      <c r="AG27" s="108">
        <v>2036</v>
      </c>
      <c r="AH27" s="108" t="str">
        <f t="shared" si="9"/>
        <v>mid adopter</v>
      </c>
    </row>
    <row r="28" spans="1:34">
      <c r="A28" s="102" t="s">
        <v>132</v>
      </c>
      <c r="B28" s="120" t="s">
        <v>131</v>
      </c>
      <c r="C28" s="120" t="s">
        <v>99</v>
      </c>
      <c r="D28" s="102" t="s">
        <v>87</v>
      </c>
      <c r="E28" s="109">
        <v>1</v>
      </c>
      <c r="F28" s="102">
        <v>1988</v>
      </c>
      <c r="G28" s="102">
        <v>1984</v>
      </c>
      <c r="H28" s="102" t="s">
        <v>566</v>
      </c>
      <c r="I28" s="102" t="s">
        <v>566</v>
      </c>
      <c r="J28" s="102">
        <v>2012</v>
      </c>
      <c r="K28" s="102">
        <f t="shared" si="1"/>
        <v>4</v>
      </c>
      <c r="L28" s="102">
        <f t="shared" si="1"/>
        <v>4</v>
      </c>
      <c r="M28" s="102">
        <f t="shared" si="1"/>
        <v>1</v>
      </c>
      <c r="N28" s="102">
        <f t="shared" si="1"/>
        <v>1</v>
      </c>
      <c r="O28" s="102">
        <f t="shared" si="1"/>
        <v>3</v>
      </c>
      <c r="P28" s="121">
        <f t="shared" si="2"/>
        <v>2.6</v>
      </c>
      <c r="Q28" s="102">
        <v>1</v>
      </c>
      <c r="R28" s="102">
        <f t="shared" si="3"/>
        <v>2</v>
      </c>
      <c r="S28" s="122">
        <v>8.7001893841809605E-2</v>
      </c>
      <c r="T28" s="102">
        <f t="shared" si="4"/>
        <v>1</v>
      </c>
      <c r="U28" s="123">
        <v>0</v>
      </c>
      <c r="V28" s="102">
        <f t="shared" si="5"/>
        <v>1</v>
      </c>
      <c r="W28" s="124">
        <v>0</v>
      </c>
      <c r="X28" s="102">
        <f t="shared" si="10"/>
        <v>2</v>
      </c>
      <c r="Y28" s="125">
        <f t="shared" si="6"/>
        <v>8.6</v>
      </c>
      <c r="Z28" s="126" t="s">
        <v>580</v>
      </c>
      <c r="AA28" s="126">
        <v>1</v>
      </c>
      <c r="AB28" s="126">
        <v>4</v>
      </c>
      <c r="AC28" s="126">
        <v>100</v>
      </c>
      <c r="AD28" s="126">
        <v>4</v>
      </c>
      <c r="AE28" s="127">
        <f t="shared" si="7"/>
        <v>9</v>
      </c>
      <c r="AF28" s="128">
        <f t="shared" si="8"/>
        <v>20.2</v>
      </c>
      <c r="AG28" s="108">
        <v>2038</v>
      </c>
      <c r="AH28" s="108" t="str">
        <f t="shared" si="9"/>
        <v>late adopter</v>
      </c>
    </row>
    <row r="29" spans="1:34">
      <c r="A29" s="102" t="s">
        <v>134</v>
      </c>
      <c r="B29" s="120" t="s">
        <v>133</v>
      </c>
      <c r="C29" s="120" t="s">
        <v>79</v>
      </c>
      <c r="D29" s="102" t="s">
        <v>80</v>
      </c>
      <c r="E29" s="109">
        <v>1</v>
      </c>
      <c r="F29" s="102">
        <v>1983</v>
      </c>
      <c r="G29" s="102">
        <v>1992</v>
      </c>
      <c r="H29" s="102">
        <v>2010</v>
      </c>
      <c r="I29" s="102">
        <v>2018</v>
      </c>
      <c r="J29" s="102">
        <v>2017</v>
      </c>
      <c r="K29" s="102">
        <f t="shared" si="1"/>
        <v>4</v>
      </c>
      <c r="L29" s="102">
        <f t="shared" si="1"/>
        <v>3</v>
      </c>
      <c r="M29" s="102">
        <f t="shared" si="1"/>
        <v>3</v>
      </c>
      <c r="N29" s="102">
        <f t="shared" si="1"/>
        <v>1</v>
      </c>
      <c r="O29" s="102">
        <f t="shared" si="1"/>
        <v>2</v>
      </c>
      <c r="P29" s="121">
        <f t="shared" si="2"/>
        <v>2.6</v>
      </c>
      <c r="Q29" s="102">
        <v>1247</v>
      </c>
      <c r="R29" s="102">
        <f t="shared" si="3"/>
        <v>4</v>
      </c>
      <c r="S29" s="122">
        <v>29.751860808252701</v>
      </c>
      <c r="T29" s="102">
        <f t="shared" si="4"/>
        <v>2</v>
      </c>
      <c r="U29" s="123">
        <v>1.13152262001096E-2</v>
      </c>
      <c r="V29" s="102">
        <f t="shared" si="5"/>
        <v>2</v>
      </c>
      <c r="W29" s="124">
        <v>0</v>
      </c>
      <c r="X29" s="102">
        <f t="shared" si="10"/>
        <v>2</v>
      </c>
      <c r="Y29" s="125">
        <f t="shared" si="6"/>
        <v>12.6</v>
      </c>
      <c r="Z29" s="126" t="s">
        <v>580</v>
      </c>
      <c r="AA29" s="126">
        <v>1</v>
      </c>
      <c r="AB29" s="126">
        <v>3</v>
      </c>
      <c r="AC29" s="126">
        <v>100</v>
      </c>
      <c r="AD29" s="102">
        <f>IF(AND(AC29&gt;=AC$200,AC29&lt;AC$201),1,IF(AND(AC29&gt;=AC$201,AC29&lt;AC$202),2,IF(AND(AC29&gt;=AC$202,AC29&lt;AC$203),3,IF(AND(AC29&gt;=AC$203,AC29&lt;=AC$204),4,"empty"))))</f>
        <v>4</v>
      </c>
      <c r="AE29" s="127">
        <f t="shared" si="7"/>
        <v>8</v>
      </c>
      <c r="AF29" s="128">
        <f t="shared" si="8"/>
        <v>23.2</v>
      </c>
      <c r="AG29" s="108">
        <v>2034</v>
      </c>
      <c r="AH29" s="108" t="str">
        <f t="shared" si="9"/>
        <v>mid adopter</v>
      </c>
    </row>
    <row r="30" spans="1:34">
      <c r="A30" s="102" t="s">
        <v>136</v>
      </c>
      <c r="B30" s="120" t="s">
        <v>135</v>
      </c>
      <c r="C30" s="120" t="s">
        <v>83</v>
      </c>
      <c r="D30" s="102" t="s">
        <v>75</v>
      </c>
      <c r="E30" s="109">
        <v>3</v>
      </c>
      <c r="F30" s="102">
        <v>2014</v>
      </c>
      <c r="G30" s="102">
        <v>2015</v>
      </c>
      <c r="H30" s="102">
        <v>2013</v>
      </c>
      <c r="I30" s="102">
        <v>2013</v>
      </c>
      <c r="J30" s="102" t="s">
        <v>566</v>
      </c>
      <c r="K30" s="102">
        <f t="shared" si="1"/>
        <v>1</v>
      </c>
      <c r="L30" s="102">
        <f t="shared" si="1"/>
        <v>1</v>
      </c>
      <c r="M30" s="102">
        <f t="shared" si="1"/>
        <v>2</v>
      </c>
      <c r="N30" s="102">
        <f t="shared" si="1"/>
        <v>3</v>
      </c>
      <c r="O30" s="102">
        <f t="shared" si="1"/>
        <v>1</v>
      </c>
      <c r="P30" s="121">
        <f t="shared" si="2"/>
        <v>1.6</v>
      </c>
      <c r="Q30" s="102">
        <v>691</v>
      </c>
      <c r="R30" s="102">
        <f t="shared" si="3"/>
        <v>3</v>
      </c>
      <c r="S30" s="122">
        <v>515.562360280951</v>
      </c>
      <c r="T30" s="102">
        <f t="shared" si="4"/>
        <v>4</v>
      </c>
      <c r="U30" s="123">
        <v>2297.2304679822</v>
      </c>
      <c r="V30" s="102">
        <f t="shared" si="5"/>
        <v>4</v>
      </c>
      <c r="W30" s="124">
        <v>855.26</v>
      </c>
      <c r="X30" s="102">
        <f t="shared" si="10"/>
        <v>4</v>
      </c>
      <c r="Y30" s="125">
        <f t="shared" si="6"/>
        <v>16.600000000000001</v>
      </c>
      <c r="Z30" s="126" t="s">
        <v>583</v>
      </c>
      <c r="AA30" s="126">
        <v>3</v>
      </c>
      <c r="AB30" s="126">
        <v>1</v>
      </c>
      <c r="AC30" s="126">
        <v>17.999999999999982</v>
      </c>
      <c r="AD30" s="102">
        <f>IF(AND(AC30&gt;=AC$200,AC30&lt;AC$201),1,IF(AND(AC30&gt;=AC$201,AC30&lt;AC$202),2,IF(AND(AC30&gt;=AC$202,AC30&lt;AC$203),3,IF(AND(AC30&gt;=AC$203,AC30&lt;=AC$204),4,"empty"))))</f>
        <v>1</v>
      </c>
      <c r="AE30" s="127">
        <f t="shared" si="7"/>
        <v>5</v>
      </c>
      <c r="AF30" s="128">
        <f t="shared" si="8"/>
        <v>23.200000000000003</v>
      </c>
      <c r="AG30" s="108">
        <v>2033</v>
      </c>
      <c r="AH30" s="108" t="str">
        <f t="shared" si="9"/>
        <v>early adopter</v>
      </c>
    </row>
    <row r="31" spans="1:34">
      <c r="A31" s="102" t="s">
        <v>138</v>
      </c>
      <c r="B31" s="120" t="s">
        <v>137</v>
      </c>
      <c r="C31" s="120" t="s">
        <v>83</v>
      </c>
      <c r="D31" s="102" t="s">
        <v>75</v>
      </c>
      <c r="E31" s="109">
        <v>3</v>
      </c>
      <c r="F31" s="102">
        <v>2013</v>
      </c>
      <c r="G31" s="102">
        <v>2017</v>
      </c>
      <c r="H31" s="102">
        <v>2011</v>
      </c>
      <c r="I31" s="102">
        <v>2013</v>
      </c>
      <c r="J31" s="102" t="s">
        <v>566</v>
      </c>
      <c r="K31" s="102">
        <f t="shared" si="1"/>
        <v>1</v>
      </c>
      <c r="L31" s="102">
        <f t="shared" si="1"/>
        <v>1</v>
      </c>
      <c r="M31" s="102">
        <f t="shared" si="1"/>
        <v>3</v>
      </c>
      <c r="N31" s="102">
        <f t="shared" si="1"/>
        <v>3</v>
      </c>
      <c r="O31" s="102">
        <f t="shared" si="1"/>
        <v>1</v>
      </c>
      <c r="P31" s="121">
        <f t="shared" si="2"/>
        <v>1.8</v>
      </c>
      <c r="Q31" s="102">
        <v>106</v>
      </c>
      <c r="R31" s="102">
        <f t="shared" si="3"/>
        <v>3</v>
      </c>
      <c r="S31" s="122">
        <v>146.036681108453</v>
      </c>
      <c r="T31" s="102">
        <f t="shared" si="4"/>
        <v>3</v>
      </c>
      <c r="U31" s="123">
        <v>233.09957675083001</v>
      </c>
      <c r="V31" s="102">
        <f t="shared" si="5"/>
        <v>4</v>
      </c>
      <c r="W31" s="124">
        <v>278.43</v>
      </c>
      <c r="X31" s="102">
        <f t="shared" si="10"/>
        <v>4</v>
      </c>
      <c r="Y31" s="125">
        <f t="shared" si="6"/>
        <v>15.8</v>
      </c>
      <c r="Z31" s="126" t="s">
        <v>579</v>
      </c>
      <c r="AA31" s="126">
        <v>4</v>
      </c>
      <c r="AB31" s="126">
        <v>1</v>
      </c>
      <c r="AC31" s="126">
        <v>5.3138778187171214</v>
      </c>
      <c r="AD31" s="102">
        <f>IF(AND(AC31&gt;=AC$200,AC31&lt;AC$201),1,IF(AND(AC31&gt;=AC$201,AC31&lt;AC$202),2,IF(AND(AC31&gt;=AC$202,AC31&lt;AC$203),3,IF(AND(AC31&gt;=AC$203,AC31&lt;=AC$204),4,"empty"))))</f>
        <v>1</v>
      </c>
      <c r="AE31" s="127">
        <f t="shared" si="7"/>
        <v>6</v>
      </c>
      <c r="AF31" s="128">
        <f t="shared" si="8"/>
        <v>23.6</v>
      </c>
      <c r="AG31" s="108">
        <v>2033</v>
      </c>
      <c r="AH31" s="108" t="str">
        <f t="shared" si="9"/>
        <v>early adopter</v>
      </c>
    </row>
    <row r="32" spans="1:34">
      <c r="A32" s="102" t="s">
        <v>140</v>
      </c>
      <c r="B32" s="120" t="s">
        <v>139</v>
      </c>
      <c r="C32" s="120" t="s">
        <v>99</v>
      </c>
      <c r="D32" s="102" t="s">
        <v>84</v>
      </c>
      <c r="E32" s="109">
        <v>4</v>
      </c>
      <c r="F32" s="102">
        <v>2012</v>
      </c>
      <c r="G32" s="102">
        <v>2013</v>
      </c>
      <c r="H32" s="102">
        <v>2015</v>
      </c>
      <c r="I32" s="102" t="s">
        <v>566</v>
      </c>
      <c r="J32" s="102">
        <v>2022</v>
      </c>
      <c r="K32" s="102">
        <f t="shared" si="1"/>
        <v>1</v>
      </c>
      <c r="L32" s="102">
        <f t="shared" si="1"/>
        <v>1</v>
      </c>
      <c r="M32" s="102">
        <f t="shared" si="1"/>
        <v>1</v>
      </c>
      <c r="N32" s="102">
        <f t="shared" si="1"/>
        <v>1</v>
      </c>
      <c r="O32" s="102">
        <f t="shared" si="1"/>
        <v>1</v>
      </c>
      <c r="P32" s="121">
        <f t="shared" si="2"/>
        <v>1</v>
      </c>
      <c r="Q32" s="102">
        <v>676</v>
      </c>
      <c r="R32" s="102">
        <f t="shared" si="3"/>
        <v>3</v>
      </c>
      <c r="S32" s="122">
        <v>235.77048753173801</v>
      </c>
      <c r="T32" s="102">
        <f t="shared" si="4"/>
        <v>3</v>
      </c>
      <c r="U32" s="123">
        <v>121.42957754053</v>
      </c>
      <c r="V32" s="102">
        <f t="shared" si="5"/>
        <v>4</v>
      </c>
      <c r="W32" s="124">
        <v>838.43</v>
      </c>
      <c r="X32" s="102">
        <f t="shared" si="10"/>
        <v>4</v>
      </c>
      <c r="Y32" s="125">
        <f t="shared" si="6"/>
        <v>15</v>
      </c>
      <c r="Z32" s="126" t="s">
        <v>581</v>
      </c>
      <c r="AA32" s="126">
        <v>1</v>
      </c>
      <c r="AB32" s="126">
        <v>2</v>
      </c>
      <c r="AC32" s="126">
        <v>28.146829650507943</v>
      </c>
      <c r="AD32" s="102">
        <f>IF(AND(AC32&gt;=AC$200,AC32&lt;AC$201),1,IF(AND(AC32&gt;=AC$201,AC32&lt;AC$202),2,IF(AND(AC32&gt;=AC$202,AC32&lt;AC$203),3,IF(AND(AC32&gt;=AC$203,AC32&lt;=AC$204),4,"empty"))))</f>
        <v>2</v>
      </c>
      <c r="AE32" s="127">
        <f t="shared" si="7"/>
        <v>5</v>
      </c>
      <c r="AF32" s="128">
        <f t="shared" si="8"/>
        <v>21</v>
      </c>
      <c r="AG32" s="108">
        <v>2037</v>
      </c>
      <c r="AH32" s="108" t="str">
        <f t="shared" si="9"/>
        <v>mid adopter</v>
      </c>
    </row>
    <row r="33" spans="1:34">
      <c r="A33" s="102" t="s">
        <v>142</v>
      </c>
      <c r="B33" s="120" t="s">
        <v>141</v>
      </c>
      <c r="C33" s="120" t="s">
        <v>83</v>
      </c>
      <c r="D33" s="102" t="s">
        <v>84</v>
      </c>
      <c r="E33" s="109">
        <v>3</v>
      </c>
      <c r="F33" s="102">
        <v>2019</v>
      </c>
      <c r="G33" s="102">
        <v>2015</v>
      </c>
      <c r="H33" s="102">
        <v>2011</v>
      </c>
      <c r="I33" s="102">
        <v>2014</v>
      </c>
      <c r="J33" s="102">
        <v>2020</v>
      </c>
      <c r="K33" s="102">
        <f t="shared" si="1"/>
        <v>1</v>
      </c>
      <c r="L33" s="102">
        <f t="shared" si="1"/>
        <v>1</v>
      </c>
      <c r="M33" s="102">
        <f t="shared" si="1"/>
        <v>3</v>
      </c>
      <c r="N33" s="102">
        <f t="shared" si="1"/>
        <v>2</v>
      </c>
      <c r="O33" s="102">
        <f t="shared" si="1"/>
        <v>1</v>
      </c>
      <c r="P33" s="121">
        <f t="shared" si="2"/>
        <v>1.6</v>
      </c>
      <c r="Q33" s="102">
        <v>2849</v>
      </c>
      <c r="R33" s="102">
        <f t="shared" si="3"/>
        <v>4</v>
      </c>
      <c r="S33" s="122">
        <v>557.06836627707901</v>
      </c>
      <c r="T33" s="102">
        <f t="shared" si="4"/>
        <v>4</v>
      </c>
      <c r="U33" s="123">
        <v>2320.6064259629002</v>
      </c>
      <c r="V33" s="102">
        <f t="shared" si="5"/>
        <v>4</v>
      </c>
      <c r="W33" s="124">
        <v>807.2</v>
      </c>
      <c r="X33" s="102">
        <f t="shared" si="10"/>
        <v>4</v>
      </c>
      <c r="Y33" s="125">
        <f t="shared" si="6"/>
        <v>17.600000000000001</v>
      </c>
      <c r="Z33" s="109" t="s">
        <v>584</v>
      </c>
      <c r="AA33" s="109">
        <v>2</v>
      </c>
      <c r="AB33" s="126">
        <v>2</v>
      </c>
      <c r="AC33" s="126">
        <v>32.641863799715843</v>
      </c>
      <c r="AD33" s="102">
        <f>IF(AND(AC33&gt;=AC$200,AC33&lt;AC$201),1,IF(AND(AC33&gt;=AC$201,AC33&lt;AC$202),2,IF(AND(AC33&gt;=AC$202,AC33&lt;AC$203),3,IF(AND(AC33&gt;=AC$203,AC33&lt;=AC$204),4,"empty"))))</f>
        <v>2</v>
      </c>
      <c r="AE33" s="127">
        <f t="shared" si="7"/>
        <v>6</v>
      </c>
      <c r="AF33" s="128">
        <f t="shared" si="8"/>
        <v>25.200000000000003</v>
      </c>
      <c r="AG33" s="108">
        <v>2031</v>
      </c>
      <c r="AH33" s="108" t="str">
        <f t="shared" si="9"/>
        <v>early adopter</v>
      </c>
    </row>
    <row r="34" spans="1:34">
      <c r="A34" s="102" t="s">
        <v>144</v>
      </c>
      <c r="B34" s="120" t="s">
        <v>143</v>
      </c>
      <c r="C34" s="120" t="s">
        <v>92</v>
      </c>
      <c r="D34" s="102" t="s">
        <v>87</v>
      </c>
      <c r="E34" s="109">
        <v>1</v>
      </c>
      <c r="F34" s="102">
        <v>1997</v>
      </c>
      <c r="G34" s="102">
        <v>1979</v>
      </c>
      <c r="H34" s="102">
        <v>2002</v>
      </c>
      <c r="I34" s="102">
        <v>2017</v>
      </c>
      <c r="J34" s="102">
        <v>2009</v>
      </c>
      <c r="K34" s="102">
        <f t="shared" si="1"/>
        <v>3</v>
      </c>
      <c r="L34" s="102">
        <f t="shared" si="1"/>
        <v>4</v>
      </c>
      <c r="M34" s="102">
        <f t="shared" si="1"/>
        <v>4</v>
      </c>
      <c r="N34" s="102">
        <f t="shared" si="1"/>
        <v>1</v>
      </c>
      <c r="O34" s="102">
        <f t="shared" si="1"/>
        <v>4</v>
      </c>
      <c r="P34" s="121">
        <f t="shared" si="2"/>
        <v>3.2</v>
      </c>
      <c r="Q34" s="102">
        <v>113</v>
      </c>
      <c r="R34" s="102">
        <f t="shared" si="3"/>
        <v>3</v>
      </c>
      <c r="S34" s="122">
        <v>0.41520941476113099</v>
      </c>
      <c r="T34" s="102">
        <f t="shared" si="4"/>
        <v>1</v>
      </c>
      <c r="U34" s="123">
        <v>9.1015753859914103E-2</v>
      </c>
      <c r="V34" s="102">
        <f t="shared" si="5"/>
        <v>2</v>
      </c>
      <c r="W34" s="124">
        <v>4.9812000000000003E-10</v>
      </c>
      <c r="X34" s="102">
        <f t="shared" si="10"/>
        <v>2</v>
      </c>
      <c r="Y34" s="125">
        <f t="shared" si="6"/>
        <v>11.2</v>
      </c>
      <c r="Z34" s="126" t="s">
        <v>580</v>
      </c>
      <c r="AA34" s="126">
        <v>1</v>
      </c>
      <c r="AB34" s="126">
        <v>4</v>
      </c>
      <c r="AC34" s="126" t="s">
        <v>582</v>
      </c>
      <c r="AD34" s="126">
        <v>4</v>
      </c>
      <c r="AE34" s="127">
        <f t="shared" si="7"/>
        <v>9</v>
      </c>
      <c r="AF34" s="128">
        <f t="shared" si="8"/>
        <v>23.4</v>
      </c>
      <c r="AG34" s="108">
        <v>2033</v>
      </c>
      <c r="AH34" s="108" t="str">
        <f t="shared" si="9"/>
        <v>early adopter</v>
      </c>
    </row>
    <row r="35" spans="1:34">
      <c r="A35" s="102" t="s">
        <v>146</v>
      </c>
      <c r="B35" s="120" t="s">
        <v>145</v>
      </c>
      <c r="C35" s="120" t="s">
        <v>83</v>
      </c>
      <c r="D35" s="102" t="s">
        <v>84</v>
      </c>
      <c r="E35" s="109">
        <v>2</v>
      </c>
      <c r="F35" s="102">
        <v>2010</v>
      </c>
      <c r="G35" s="102">
        <v>2010</v>
      </c>
      <c r="H35" s="102" t="s">
        <v>566</v>
      </c>
      <c r="I35" s="102" t="s">
        <v>566</v>
      </c>
      <c r="J35" s="102">
        <v>2021</v>
      </c>
      <c r="K35" s="102">
        <f t="shared" si="1"/>
        <v>2</v>
      </c>
      <c r="L35" s="102">
        <f t="shared" si="1"/>
        <v>2</v>
      </c>
      <c r="M35" s="102">
        <f t="shared" si="1"/>
        <v>1</v>
      </c>
      <c r="N35" s="102">
        <f t="shared" si="1"/>
        <v>1</v>
      </c>
      <c r="O35" s="102">
        <f t="shared" si="1"/>
        <v>1</v>
      </c>
      <c r="P35" s="121">
        <f t="shared" si="2"/>
        <v>1.4</v>
      </c>
      <c r="Q35" s="102">
        <v>1</v>
      </c>
      <c r="R35" s="102">
        <f t="shared" si="3"/>
        <v>2</v>
      </c>
      <c r="S35" s="122">
        <v>59.891403253277602</v>
      </c>
      <c r="T35" s="102">
        <f t="shared" si="4"/>
        <v>3</v>
      </c>
      <c r="U35" s="123">
        <v>1.56745069372403</v>
      </c>
      <c r="V35" s="102">
        <f t="shared" si="5"/>
        <v>3</v>
      </c>
      <c r="W35" s="124">
        <v>6.1661999999999999</v>
      </c>
      <c r="X35" s="102">
        <f t="shared" si="10"/>
        <v>3</v>
      </c>
      <c r="Y35" s="125">
        <f t="shared" si="6"/>
        <v>12.4</v>
      </c>
      <c r="Z35" s="126" t="s">
        <v>580</v>
      </c>
      <c r="AA35" s="126">
        <v>1</v>
      </c>
      <c r="AB35" s="126">
        <v>2</v>
      </c>
      <c r="AC35" s="126">
        <v>100</v>
      </c>
      <c r="AD35" s="102">
        <f t="shared" ref="AD35:AD42" si="12">IF(AND(AC35&gt;=AC$200,AC35&lt;AC$201),1,IF(AND(AC35&gt;=AC$201,AC35&lt;AC$202),2,IF(AND(AC35&gt;=AC$202,AC35&lt;AC$203),3,IF(AND(AC35&gt;=AC$203,AC35&lt;=AC$204),4,"empty"))))</f>
        <v>4</v>
      </c>
      <c r="AE35" s="127">
        <f t="shared" si="7"/>
        <v>7</v>
      </c>
      <c r="AF35" s="128">
        <f t="shared" si="8"/>
        <v>20.8</v>
      </c>
      <c r="AG35" s="108">
        <v>2037</v>
      </c>
      <c r="AH35" s="108" t="str">
        <f t="shared" si="9"/>
        <v>mid adopter</v>
      </c>
    </row>
    <row r="36" spans="1:34">
      <c r="A36" s="102" t="s">
        <v>148</v>
      </c>
      <c r="B36" s="120" t="s">
        <v>147</v>
      </c>
      <c r="C36" s="120" t="s">
        <v>83</v>
      </c>
      <c r="D36" s="102" t="s">
        <v>75</v>
      </c>
      <c r="E36" s="109">
        <v>3</v>
      </c>
      <c r="F36" s="102">
        <v>2022</v>
      </c>
      <c r="G36" s="102">
        <v>2022</v>
      </c>
      <c r="H36" s="102">
        <v>2011</v>
      </c>
      <c r="I36" s="102">
        <v>2021</v>
      </c>
      <c r="J36" s="102">
        <v>2023</v>
      </c>
      <c r="K36" s="102">
        <f t="shared" ref="K36:O67" si="13">IF(AND(F36&gt;=F$200,F36&lt;F$201),4,IF(AND(F36&gt;=F$201,F36&lt;F$202),3,IF(AND(F36&gt;=F$202,F36&lt;F$203),2,IF(AND(F36&gt;=F$203,F36&lt;=F$204),1,1))))</f>
        <v>1</v>
      </c>
      <c r="L36" s="102">
        <f t="shared" si="13"/>
        <v>1</v>
      </c>
      <c r="M36" s="102">
        <f t="shared" si="13"/>
        <v>3</v>
      </c>
      <c r="N36" s="102">
        <f t="shared" si="13"/>
        <v>1</v>
      </c>
      <c r="O36" s="102">
        <f t="shared" si="13"/>
        <v>1</v>
      </c>
      <c r="P36" s="121">
        <f t="shared" si="2"/>
        <v>1.4</v>
      </c>
      <c r="Q36" s="102">
        <v>1815</v>
      </c>
      <c r="R36" s="102">
        <f t="shared" si="3"/>
        <v>4</v>
      </c>
      <c r="S36" s="122">
        <v>1040.6962842873399</v>
      </c>
      <c r="T36" s="102">
        <f t="shared" si="4"/>
        <v>4</v>
      </c>
      <c r="U36" s="123">
        <v>567.31429420010295</v>
      </c>
      <c r="V36" s="102">
        <f t="shared" si="5"/>
        <v>4</v>
      </c>
      <c r="W36" s="124">
        <v>164.3</v>
      </c>
      <c r="X36" s="102">
        <f t="shared" si="10"/>
        <v>4</v>
      </c>
      <c r="Y36" s="125">
        <f t="shared" si="6"/>
        <v>17.399999999999999</v>
      </c>
      <c r="Z36" s="109" t="s">
        <v>584</v>
      </c>
      <c r="AA36" s="109">
        <v>2</v>
      </c>
      <c r="AB36" s="126">
        <v>1</v>
      </c>
      <c r="AC36" s="126">
        <v>4.4267011556296643</v>
      </c>
      <c r="AD36" s="102">
        <f t="shared" si="12"/>
        <v>1</v>
      </c>
      <c r="AE36" s="127">
        <f t="shared" si="7"/>
        <v>4</v>
      </c>
      <c r="AF36" s="128">
        <f t="shared" si="8"/>
        <v>22.799999999999997</v>
      </c>
      <c r="AG36" s="108">
        <v>2034</v>
      </c>
      <c r="AH36" s="108" t="str">
        <f t="shared" si="9"/>
        <v>mid adopter</v>
      </c>
    </row>
    <row r="37" spans="1:34">
      <c r="A37" s="102" t="s">
        <v>150</v>
      </c>
      <c r="B37" s="120" t="s">
        <v>149</v>
      </c>
      <c r="C37" s="120" t="s">
        <v>83</v>
      </c>
      <c r="D37" s="102" t="s">
        <v>75</v>
      </c>
      <c r="E37" s="109" t="s">
        <v>76</v>
      </c>
      <c r="F37" s="102" t="s">
        <v>566</v>
      </c>
      <c r="G37" s="102" t="s">
        <v>566</v>
      </c>
      <c r="H37" s="102" t="s">
        <v>566</v>
      </c>
      <c r="I37" s="102">
        <v>2022</v>
      </c>
      <c r="J37" s="102" t="s">
        <v>566</v>
      </c>
      <c r="K37" s="102">
        <f t="shared" si="13"/>
        <v>1</v>
      </c>
      <c r="L37" s="102">
        <f t="shared" si="13"/>
        <v>1</v>
      </c>
      <c r="M37" s="102">
        <f t="shared" si="13"/>
        <v>1</v>
      </c>
      <c r="N37" s="102">
        <f t="shared" si="13"/>
        <v>1</v>
      </c>
      <c r="O37" s="102">
        <f t="shared" si="13"/>
        <v>1</v>
      </c>
      <c r="P37" s="121">
        <f t="shared" si="2"/>
        <v>1</v>
      </c>
      <c r="Q37" s="102">
        <v>1925</v>
      </c>
      <c r="R37" s="102">
        <f t="shared" si="3"/>
        <v>4</v>
      </c>
      <c r="S37" s="122">
        <v>1087.8878053916901</v>
      </c>
      <c r="T37" s="102">
        <f t="shared" si="4"/>
        <v>4</v>
      </c>
      <c r="U37" s="123">
        <v>2778.1665099183701</v>
      </c>
      <c r="V37" s="102">
        <f t="shared" si="5"/>
        <v>4</v>
      </c>
      <c r="W37" s="124">
        <v>576.16</v>
      </c>
      <c r="X37" s="102">
        <f t="shared" si="10"/>
        <v>4</v>
      </c>
      <c r="Y37" s="125">
        <f t="shared" si="6"/>
        <v>17</v>
      </c>
      <c r="Z37" s="126" t="s">
        <v>579</v>
      </c>
      <c r="AA37" s="126">
        <v>4</v>
      </c>
      <c r="AB37" s="126">
        <v>1</v>
      </c>
      <c r="AC37" s="126">
        <v>15.818807196821801</v>
      </c>
      <c r="AD37" s="102">
        <f t="shared" si="12"/>
        <v>1</v>
      </c>
      <c r="AE37" s="127">
        <f t="shared" si="7"/>
        <v>6</v>
      </c>
      <c r="AF37" s="128">
        <f t="shared" si="8"/>
        <v>24</v>
      </c>
      <c r="AG37" s="108">
        <v>2032</v>
      </c>
      <c r="AH37" s="108" t="str">
        <f t="shared" si="9"/>
        <v>early adopter</v>
      </c>
    </row>
    <row r="38" spans="1:34">
      <c r="A38" s="102" t="s">
        <v>152</v>
      </c>
      <c r="B38" s="120" t="s">
        <v>151</v>
      </c>
      <c r="C38" s="120" t="s">
        <v>92</v>
      </c>
      <c r="D38" s="102" t="s">
        <v>87</v>
      </c>
      <c r="E38" s="109">
        <v>2</v>
      </c>
      <c r="F38" s="102">
        <v>1992</v>
      </c>
      <c r="G38" s="102">
        <v>1990</v>
      </c>
      <c r="H38" s="102">
        <v>2011</v>
      </c>
      <c r="I38" s="102" t="s">
        <v>566</v>
      </c>
      <c r="J38" s="102">
        <v>2014</v>
      </c>
      <c r="K38" s="102">
        <f t="shared" si="13"/>
        <v>3</v>
      </c>
      <c r="L38" s="102">
        <f t="shared" si="13"/>
        <v>3</v>
      </c>
      <c r="M38" s="102">
        <f t="shared" si="13"/>
        <v>3</v>
      </c>
      <c r="N38" s="102">
        <f t="shared" si="13"/>
        <v>1</v>
      </c>
      <c r="O38" s="102">
        <f t="shared" si="13"/>
        <v>3</v>
      </c>
      <c r="P38" s="121">
        <f t="shared" si="2"/>
        <v>2.6</v>
      </c>
      <c r="Q38" s="102">
        <v>11</v>
      </c>
      <c r="R38" s="102">
        <f t="shared" si="3"/>
        <v>2</v>
      </c>
      <c r="S38" s="122">
        <v>5.4973099428914297E-2</v>
      </c>
      <c r="T38" s="102">
        <f t="shared" si="4"/>
        <v>1</v>
      </c>
      <c r="U38" s="123">
        <v>2.5534432555091399E-2</v>
      </c>
      <c r="V38" s="102">
        <f t="shared" si="5"/>
        <v>2</v>
      </c>
      <c r="W38" s="124">
        <v>4.5859999999999998E-4</v>
      </c>
      <c r="X38" s="102">
        <f t="shared" si="10"/>
        <v>3</v>
      </c>
      <c r="Y38" s="125">
        <f t="shared" si="6"/>
        <v>10.6</v>
      </c>
      <c r="Z38" s="126" t="s">
        <v>580</v>
      </c>
      <c r="AA38" s="126">
        <v>1</v>
      </c>
      <c r="AB38" s="126">
        <v>4</v>
      </c>
      <c r="AC38" s="126">
        <v>100</v>
      </c>
      <c r="AD38" s="102">
        <f t="shared" si="12"/>
        <v>4</v>
      </c>
      <c r="AE38" s="127">
        <f t="shared" si="7"/>
        <v>9</v>
      </c>
      <c r="AF38" s="128">
        <f t="shared" si="8"/>
        <v>22.2</v>
      </c>
      <c r="AG38" s="108">
        <v>2035</v>
      </c>
      <c r="AH38" s="108" t="str">
        <f t="shared" si="9"/>
        <v>mid adopter</v>
      </c>
    </row>
    <row r="39" spans="1:34">
      <c r="A39" s="102" t="s">
        <v>154</v>
      </c>
      <c r="B39" s="120" t="s">
        <v>153</v>
      </c>
      <c r="C39" s="120" t="s">
        <v>99</v>
      </c>
      <c r="D39" s="102" t="s">
        <v>80</v>
      </c>
      <c r="E39" s="109">
        <v>1</v>
      </c>
      <c r="F39" s="102">
        <v>1986</v>
      </c>
      <c r="G39" s="102">
        <v>2008</v>
      </c>
      <c r="H39" s="102" t="s">
        <v>566</v>
      </c>
      <c r="I39" s="102" t="s">
        <v>566</v>
      </c>
      <c r="J39" s="102" t="s">
        <v>566</v>
      </c>
      <c r="K39" s="102">
        <f t="shared" si="13"/>
        <v>4</v>
      </c>
      <c r="L39" s="102">
        <f t="shared" si="13"/>
        <v>2</v>
      </c>
      <c r="M39" s="102">
        <f t="shared" si="13"/>
        <v>1</v>
      </c>
      <c r="N39" s="102">
        <f t="shared" si="13"/>
        <v>1</v>
      </c>
      <c r="O39" s="102">
        <f t="shared" si="13"/>
        <v>1</v>
      </c>
      <c r="P39" s="121">
        <f t="shared" si="2"/>
        <v>1.8</v>
      </c>
      <c r="Q39" s="102">
        <v>3098</v>
      </c>
      <c r="R39" s="102">
        <f t="shared" si="3"/>
        <v>4</v>
      </c>
      <c r="S39" s="122">
        <v>61.482822235102603</v>
      </c>
      <c r="T39" s="102">
        <f t="shared" si="4"/>
        <v>3</v>
      </c>
      <c r="U39" s="123">
        <v>686.36799711292099</v>
      </c>
      <c r="V39" s="102">
        <f t="shared" si="5"/>
        <v>4</v>
      </c>
      <c r="W39" s="124">
        <v>7.1701999999999998E-3</v>
      </c>
      <c r="X39" s="102">
        <f t="shared" si="10"/>
        <v>3</v>
      </c>
      <c r="Y39" s="125">
        <f t="shared" si="6"/>
        <v>15.8</v>
      </c>
      <c r="Z39" s="126" t="s">
        <v>580</v>
      </c>
      <c r="AA39" s="126">
        <v>1</v>
      </c>
      <c r="AB39" s="126">
        <v>3</v>
      </c>
      <c r="AC39" s="126">
        <v>100</v>
      </c>
      <c r="AD39" s="102">
        <f t="shared" si="12"/>
        <v>4</v>
      </c>
      <c r="AE39" s="127">
        <f t="shared" si="7"/>
        <v>8</v>
      </c>
      <c r="AF39" s="128">
        <f t="shared" si="8"/>
        <v>25.6</v>
      </c>
      <c r="AG39" s="108">
        <v>2030</v>
      </c>
      <c r="AH39" s="108" t="str">
        <f t="shared" si="9"/>
        <v>early adopter</v>
      </c>
    </row>
    <row r="40" spans="1:34">
      <c r="A40" s="102" t="s">
        <v>156</v>
      </c>
      <c r="B40" s="120" t="s">
        <v>155</v>
      </c>
      <c r="C40" s="120" t="s">
        <v>92</v>
      </c>
      <c r="D40" s="102" t="s">
        <v>80</v>
      </c>
      <c r="E40" s="109">
        <v>2</v>
      </c>
      <c r="F40" s="102">
        <v>1997</v>
      </c>
      <c r="G40" s="102">
        <v>1995</v>
      </c>
      <c r="H40" s="102">
        <v>2011</v>
      </c>
      <c r="I40" s="102">
        <v>2009</v>
      </c>
      <c r="J40" s="102">
        <v>2012</v>
      </c>
      <c r="K40" s="102">
        <f t="shared" si="13"/>
        <v>3</v>
      </c>
      <c r="L40" s="102">
        <f t="shared" si="13"/>
        <v>3</v>
      </c>
      <c r="M40" s="102">
        <f t="shared" si="13"/>
        <v>3</v>
      </c>
      <c r="N40" s="102">
        <f t="shared" si="13"/>
        <v>4</v>
      </c>
      <c r="O40" s="102">
        <f t="shared" si="13"/>
        <v>3</v>
      </c>
      <c r="P40" s="121">
        <f t="shared" si="2"/>
        <v>3.2</v>
      </c>
      <c r="Q40" s="102">
        <v>244</v>
      </c>
      <c r="R40" s="102">
        <f t="shared" si="3"/>
        <v>3</v>
      </c>
      <c r="S40" s="122">
        <v>0.50862186025713296</v>
      </c>
      <c r="T40" s="102">
        <f t="shared" si="4"/>
        <v>1</v>
      </c>
      <c r="U40" s="123">
        <v>5.8409620879067099E-2</v>
      </c>
      <c r="V40" s="102">
        <f t="shared" si="5"/>
        <v>2</v>
      </c>
      <c r="W40" s="124">
        <v>0</v>
      </c>
      <c r="X40" s="102">
        <f t="shared" si="10"/>
        <v>2</v>
      </c>
      <c r="Y40" s="125">
        <f t="shared" si="6"/>
        <v>11.2</v>
      </c>
      <c r="Z40" s="126" t="s">
        <v>580</v>
      </c>
      <c r="AA40" s="126">
        <v>1</v>
      </c>
      <c r="AB40" s="126">
        <v>3</v>
      </c>
      <c r="AC40" s="126">
        <v>100</v>
      </c>
      <c r="AD40" s="102">
        <f t="shared" si="12"/>
        <v>4</v>
      </c>
      <c r="AE40" s="127">
        <f t="shared" si="7"/>
        <v>8</v>
      </c>
      <c r="AF40" s="128">
        <f t="shared" si="8"/>
        <v>22.4</v>
      </c>
      <c r="AG40" s="108">
        <v>2035</v>
      </c>
      <c r="AH40" s="108" t="str">
        <f t="shared" si="9"/>
        <v>mid adopter</v>
      </c>
    </row>
    <row r="41" spans="1:34">
      <c r="A41" s="102" t="s">
        <v>158</v>
      </c>
      <c r="B41" s="120" t="s">
        <v>157</v>
      </c>
      <c r="C41" s="120" t="s">
        <v>83</v>
      </c>
      <c r="D41" s="102" t="s">
        <v>84</v>
      </c>
      <c r="E41" s="109">
        <v>3</v>
      </c>
      <c r="F41" s="102">
        <v>2021</v>
      </c>
      <c r="G41" s="102">
        <v>2021</v>
      </c>
      <c r="H41" s="102">
        <v>2022</v>
      </c>
      <c r="I41" s="102" t="s">
        <v>566</v>
      </c>
      <c r="J41" s="102" t="s">
        <v>566</v>
      </c>
      <c r="K41" s="102">
        <f t="shared" si="13"/>
        <v>1</v>
      </c>
      <c r="L41" s="102">
        <f t="shared" si="13"/>
        <v>1</v>
      </c>
      <c r="M41" s="102">
        <f t="shared" si="13"/>
        <v>1</v>
      </c>
      <c r="N41" s="102">
        <f t="shared" si="13"/>
        <v>1</v>
      </c>
      <c r="O41" s="102">
        <f t="shared" si="13"/>
        <v>1</v>
      </c>
      <c r="P41" s="121">
        <f t="shared" si="2"/>
        <v>1</v>
      </c>
      <c r="Q41" s="102">
        <v>64</v>
      </c>
      <c r="R41" s="102">
        <f t="shared" si="3"/>
        <v>3</v>
      </c>
      <c r="S41" s="122">
        <v>976.36673977810301</v>
      </c>
      <c r="T41" s="102">
        <f t="shared" si="4"/>
        <v>4</v>
      </c>
      <c r="U41" s="123">
        <v>38.574053060236899</v>
      </c>
      <c r="V41" s="102">
        <f t="shared" si="5"/>
        <v>3</v>
      </c>
      <c r="W41" s="124">
        <v>21.516999999999999</v>
      </c>
      <c r="X41" s="102">
        <f t="shared" si="10"/>
        <v>3</v>
      </c>
      <c r="Y41" s="125">
        <f t="shared" si="6"/>
        <v>14</v>
      </c>
      <c r="Z41" s="126" t="s">
        <v>583</v>
      </c>
      <c r="AA41" s="126">
        <v>3</v>
      </c>
      <c r="AB41" s="126">
        <v>2</v>
      </c>
      <c r="AC41" s="126">
        <v>7.59493670886076</v>
      </c>
      <c r="AD41" s="102">
        <f t="shared" si="12"/>
        <v>1</v>
      </c>
      <c r="AE41" s="127">
        <f t="shared" si="7"/>
        <v>6</v>
      </c>
      <c r="AF41" s="128">
        <f t="shared" si="8"/>
        <v>21</v>
      </c>
      <c r="AG41" s="108">
        <v>2037</v>
      </c>
      <c r="AH41" s="108" t="str">
        <f t="shared" si="9"/>
        <v>mid adopter</v>
      </c>
    </row>
    <row r="42" spans="1:34">
      <c r="A42" s="102" t="s">
        <v>160</v>
      </c>
      <c r="B42" s="120" t="s">
        <v>159</v>
      </c>
      <c r="C42" s="120" t="s">
        <v>83</v>
      </c>
      <c r="D42" s="102" t="s">
        <v>84</v>
      </c>
      <c r="E42" s="109">
        <v>3</v>
      </c>
      <c r="F42" s="102">
        <v>2019</v>
      </c>
      <c r="G42" s="102">
        <v>2019</v>
      </c>
      <c r="H42" s="102">
        <v>2012</v>
      </c>
      <c r="I42" s="102">
        <v>2014</v>
      </c>
      <c r="J42" s="102" t="s">
        <v>566</v>
      </c>
      <c r="K42" s="102">
        <f t="shared" si="13"/>
        <v>1</v>
      </c>
      <c r="L42" s="102">
        <f t="shared" si="13"/>
        <v>1</v>
      </c>
      <c r="M42" s="102">
        <f t="shared" si="13"/>
        <v>2</v>
      </c>
      <c r="N42" s="102">
        <f t="shared" si="13"/>
        <v>2</v>
      </c>
      <c r="O42" s="102">
        <f t="shared" si="13"/>
        <v>1</v>
      </c>
      <c r="P42" s="121">
        <f t="shared" si="2"/>
        <v>1.4</v>
      </c>
      <c r="Q42" s="102">
        <v>70</v>
      </c>
      <c r="R42" s="102">
        <f t="shared" si="3"/>
        <v>3</v>
      </c>
      <c r="S42" s="122">
        <v>1774.8890183425599</v>
      </c>
      <c r="T42" s="102">
        <f t="shared" si="4"/>
        <v>4</v>
      </c>
      <c r="U42" s="123">
        <v>156.10237764654499</v>
      </c>
      <c r="V42" s="102">
        <f t="shared" si="5"/>
        <v>4</v>
      </c>
      <c r="W42" s="124">
        <v>127.57</v>
      </c>
      <c r="X42" s="102">
        <f t="shared" si="10"/>
        <v>3</v>
      </c>
      <c r="Y42" s="125">
        <f t="shared" si="6"/>
        <v>15.4</v>
      </c>
      <c r="Z42" s="126" t="s">
        <v>583</v>
      </c>
      <c r="AA42" s="126">
        <v>3</v>
      </c>
      <c r="AB42" s="126">
        <v>2</v>
      </c>
      <c r="AC42" s="126">
        <v>78.370499375307375</v>
      </c>
      <c r="AD42" s="102">
        <f t="shared" si="12"/>
        <v>2</v>
      </c>
      <c r="AE42" s="127">
        <f t="shared" si="7"/>
        <v>7</v>
      </c>
      <c r="AF42" s="128">
        <f t="shared" si="8"/>
        <v>23.8</v>
      </c>
      <c r="AG42" s="108">
        <v>2032</v>
      </c>
      <c r="AH42" s="108" t="str">
        <f t="shared" si="9"/>
        <v>early adopter</v>
      </c>
    </row>
    <row r="43" spans="1:34">
      <c r="A43" s="102" t="s">
        <v>162</v>
      </c>
      <c r="B43" s="120" t="s">
        <v>161</v>
      </c>
      <c r="C43" s="120" t="s">
        <v>99</v>
      </c>
      <c r="D43" s="102" t="e">
        <v>#N/A</v>
      </c>
      <c r="E43" s="109">
        <v>1</v>
      </c>
      <c r="F43" s="102">
        <v>1982</v>
      </c>
      <c r="G43" s="102">
        <v>2006</v>
      </c>
      <c r="H43" s="102" t="s">
        <v>566</v>
      </c>
      <c r="I43" s="102" t="s">
        <v>566</v>
      </c>
      <c r="J43" s="102">
        <v>2011</v>
      </c>
      <c r="K43" s="102">
        <f t="shared" si="13"/>
        <v>4</v>
      </c>
      <c r="L43" s="102">
        <f t="shared" si="13"/>
        <v>2</v>
      </c>
      <c r="M43" s="102">
        <f t="shared" si="13"/>
        <v>1</v>
      </c>
      <c r="N43" s="102">
        <f t="shared" si="13"/>
        <v>1</v>
      </c>
      <c r="O43" s="102">
        <f t="shared" si="13"/>
        <v>3</v>
      </c>
      <c r="P43" s="121">
        <f t="shared" si="2"/>
        <v>2.2000000000000002</v>
      </c>
      <c r="Q43" s="102">
        <v>0</v>
      </c>
      <c r="R43" s="102">
        <f t="shared" si="3"/>
        <v>1</v>
      </c>
      <c r="S43" s="122">
        <v>364.85674786351399</v>
      </c>
      <c r="T43" s="102">
        <f t="shared" si="4"/>
        <v>4</v>
      </c>
      <c r="U43" s="123">
        <v>2.7218547944444501E-2</v>
      </c>
      <c r="V43" s="102">
        <f t="shared" si="5"/>
        <v>2</v>
      </c>
      <c r="W43" s="124" t="s">
        <v>573</v>
      </c>
      <c r="X43" s="102">
        <v>1</v>
      </c>
      <c r="Y43" s="125">
        <f t="shared" si="6"/>
        <v>10.199999999999999</v>
      </c>
      <c r="Z43" s="126" t="s">
        <v>580</v>
      </c>
      <c r="AA43" s="126">
        <v>1</v>
      </c>
      <c r="AB43" s="126">
        <v>2</v>
      </c>
      <c r="AC43" s="126"/>
      <c r="AD43" s="102">
        <v>2</v>
      </c>
      <c r="AE43" s="127">
        <f t="shared" si="7"/>
        <v>5</v>
      </c>
      <c r="AF43" s="128">
        <f t="shared" si="8"/>
        <v>17.399999999999999</v>
      </c>
      <c r="AG43" s="108">
        <v>2040</v>
      </c>
      <c r="AH43" s="108" t="str">
        <f t="shared" si="9"/>
        <v>late adopter</v>
      </c>
    </row>
    <row r="44" spans="1:34">
      <c r="A44" s="102" t="s">
        <v>164</v>
      </c>
      <c r="B44" s="120" t="s">
        <v>163</v>
      </c>
      <c r="C44" s="120" t="s">
        <v>92</v>
      </c>
      <c r="D44" s="102" t="s">
        <v>80</v>
      </c>
      <c r="E44" s="109">
        <v>2</v>
      </c>
      <c r="F44" s="102">
        <v>1992</v>
      </c>
      <c r="G44" s="102">
        <v>1972</v>
      </c>
      <c r="H44" s="102">
        <v>2008</v>
      </c>
      <c r="I44" s="102">
        <v>2019</v>
      </c>
      <c r="J44" s="102">
        <v>2019</v>
      </c>
      <c r="K44" s="102">
        <f t="shared" si="13"/>
        <v>3</v>
      </c>
      <c r="L44" s="102">
        <f t="shared" si="13"/>
        <v>4</v>
      </c>
      <c r="M44" s="102">
        <f t="shared" si="13"/>
        <v>4</v>
      </c>
      <c r="N44" s="102">
        <f t="shared" si="13"/>
        <v>1</v>
      </c>
      <c r="O44" s="102">
        <f t="shared" si="13"/>
        <v>2</v>
      </c>
      <c r="P44" s="121">
        <f t="shared" si="2"/>
        <v>2.8</v>
      </c>
      <c r="Q44" s="102">
        <v>10</v>
      </c>
      <c r="R44" s="102">
        <f t="shared" si="3"/>
        <v>2</v>
      </c>
      <c r="S44" s="122">
        <v>0.42472333536152002</v>
      </c>
      <c r="T44" s="102">
        <f t="shared" si="4"/>
        <v>1</v>
      </c>
      <c r="U44" s="123">
        <v>5.8529433004343798E-3</v>
      </c>
      <c r="V44" s="102">
        <f t="shared" si="5"/>
        <v>1</v>
      </c>
      <c r="W44" s="124">
        <v>0</v>
      </c>
      <c r="X44" s="102">
        <f t="shared" ref="X44:X53" si="14">IF(AND(W44&gt;=W$200,W44&lt;W$201),1,IF(AND(W44&gt;=W$201,W44&lt;W$202),2,IF(AND(W44&gt;=W$202,W44&lt;W$203),3,IF(AND(W44&gt;=W$203,W44&lt;=W$204),4,"empty"))))</f>
        <v>2</v>
      </c>
      <c r="Y44" s="125">
        <f t="shared" si="6"/>
        <v>8.8000000000000007</v>
      </c>
      <c r="Z44" s="126" t="s">
        <v>580</v>
      </c>
      <c r="AA44" s="126">
        <v>1</v>
      </c>
      <c r="AB44" s="126">
        <v>3</v>
      </c>
      <c r="AC44" s="126">
        <v>100</v>
      </c>
      <c r="AD44" s="102">
        <f>IF(AND(AC44&gt;=AC$200,AC44&lt;AC$201),1,IF(AND(AC44&gt;=AC$201,AC44&lt;AC$202),2,IF(AND(AC44&gt;=AC$202,AC44&lt;AC$203),3,IF(AND(AC44&gt;=AC$203,AC44&lt;=AC$204),4,"empty"))))</f>
        <v>4</v>
      </c>
      <c r="AE44" s="127">
        <f t="shared" si="7"/>
        <v>8</v>
      </c>
      <c r="AF44" s="128">
        <f t="shared" si="8"/>
        <v>19.600000000000001</v>
      </c>
      <c r="AG44" s="108">
        <v>2039</v>
      </c>
      <c r="AH44" s="108" t="str">
        <f t="shared" si="9"/>
        <v>late adopter</v>
      </c>
    </row>
    <row r="45" spans="1:34">
      <c r="A45" s="102" t="s">
        <v>166</v>
      </c>
      <c r="B45" s="120" t="s">
        <v>165</v>
      </c>
      <c r="C45" s="120" t="s">
        <v>83</v>
      </c>
      <c r="D45" s="102" t="s">
        <v>84</v>
      </c>
      <c r="E45" s="109">
        <v>3</v>
      </c>
      <c r="F45" s="102">
        <v>2021</v>
      </c>
      <c r="G45" s="102">
        <v>2018</v>
      </c>
      <c r="H45" s="102">
        <v>2014</v>
      </c>
      <c r="I45" s="102">
        <v>2017</v>
      </c>
      <c r="J45" s="102">
        <v>2019</v>
      </c>
      <c r="K45" s="102">
        <f t="shared" si="13"/>
        <v>1</v>
      </c>
      <c r="L45" s="102">
        <f t="shared" si="13"/>
        <v>1</v>
      </c>
      <c r="M45" s="102">
        <f t="shared" si="13"/>
        <v>2</v>
      </c>
      <c r="N45" s="102">
        <f t="shared" si="13"/>
        <v>1</v>
      </c>
      <c r="O45" s="102">
        <f t="shared" si="13"/>
        <v>2</v>
      </c>
      <c r="P45" s="121">
        <f t="shared" si="2"/>
        <v>1.4</v>
      </c>
      <c r="Q45" s="102">
        <v>392</v>
      </c>
      <c r="R45" s="102">
        <f t="shared" si="3"/>
        <v>3</v>
      </c>
      <c r="S45" s="122">
        <v>117.035280051988</v>
      </c>
      <c r="T45" s="102">
        <f t="shared" si="4"/>
        <v>3</v>
      </c>
      <c r="U45" s="123">
        <v>220.50999732531901</v>
      </c>
      <c r="V45" s="102">
        <f t="shared" si="5"/>
        <v>4</v>
      </c>
      <c r="W45" s="124">
        <v>782.77</v>
      </c>
      <c r="X45" s="102">
        <f t="shared" si="14"/>
        <v>4</v>
      </c>
      <c r="Y45" s="125">
        <f t="shared" si="6"/>
        <v>15.4</v>
      </c>
      <c r="Z45" s="126" t="s">
        <v>581</v>
      </c>
      <c r="AA45" s="126">
        <v>1</v>
      </c>
      <c r="AB45" s="126">
        <v>2</v>
      </c>
      <c r="AC45" s="126">
        <v>54.203482915290543</v>
      </c>
      <c r="AD45" s="102">
        <f>IF(AND(AC45&gt;=AC$200,AC45&lt;AC$201),1,IF(AND(AC45&gt;=AC$201,AC45&lt;AC$202),2,IF(AND(AC45&gt;=AC$202,AC45&lt;AC$203),3,IF(AND(AC45&gt;=AC$203,AC45&lt;=AC$204),4,"empty"))))</f>
        <v>2</v>
      </c>
      <c r="AE45" s="127">
        <f t="shared" si="7"/>
        <v>5</v>
      </c>
      <c r="AF45" s="128">
        <f t="shared" si="8"/>
        <v>21.8</v>
      </c>
      <c r="AG45" s="108">
        <v>2036</v>
      </c>
      <c r="AH45" s="108" t="str">
        <f t="shared" si="9"/>
        <v>mid adopter</v>
      </c>
    </row>
    <row r="46" spans="1:34">
      <c r="A46" s="102" t="s">
        <v>168</v>
      </c>
      <c r="B46" s="120" t="s">
        <v>167</v>
      </c>
      <c r="C46" s="120" t="s">
        <v>79</v>
      </c>
      <c r="D46" s="102" t="s">
        <v>87</v>
      </c>
      <c r="E46" s="109">
        <v>1</v>
      </c>
      <c r="F46" s="102">
        <v>1968</v>
      </c>
      <c r="G46" s="102">
        <v>1975</v>
      </c>
      <c r="H46" s="102">
        <v>2019</v>
      </c>
      <c r="I46" s="102" t="s">
        <v>566</v>
      </c>
      <c r="J46" s="102">
        <v>2016</v>
      </c>
      <c r="K46" s="102">
        <f t="shared" si="13"/>
        <v>4</v>
      </c>
      <c r="L46" s="102">
        <f t="shared" si="13"/>
        <v>4</v>
      </c>
      <c r="M46" s="102">
        <f t="shared" si="13"/>
        <v>1</v>
      </c>
      <c r="N46" s="102">
        <f t="shared" si="13"/>
        <v>1</v>
      </c>
      <c r="O46" s="102">
        <f t="shared" si="13"/>
        <v>3</v>
      </c>
      <c r="P46" s="121">
        <f t="shared" si="2"/>
        <v>2.6</v>
      </c>
      <c r="Q46" s="102">
        <v>52</v>
      </c>
      <c r="R46" s="102">
        <f t="shared" si="3"/>
        <v>2</v>
      </c>
      <c r="S46" s="122">
        <v>0.468052301816064</v>
      </c>
      <c r="T46" s="102">
        <f t="shared" si="4"/>
        <v>1</v>
      </c>
      <c r="U46" s="123">
        <v>3.9296701120553196E-3</v>
      </c>
      <c r="V46" s="102">
        <f t="shared" si="5"/>
        <v>1</v>
      </c>
      <c r="W46" s="124">
        <v>3.0549999999999998E-12</v>
      </c>
      <c r="X46" s="102">
        <f t="shared" si="14"/>
        <v>2</v>
      </c>
      <c r="Y46" s="125">
        <f t="shared" si="6"/>
        <v>8.6</v>
      </c>
      <c r="Z46" s="126" t="s">
        <v>580</v>
      </c>
      <c r="AA46" s="126">
        <v>1</v>
      </c>
      <c r="AB46" s="126">
        <v>4</v>
      </c>
      <c r="AC46" s="126">
        <v>100</v>
      </c>
      <c r="AD46" s="102">
        <f>IF(AND(AC46&gt;=AC$200,AC46&lt;AC$201),1,IF(AND(AC46&gt;=AC$201,AC46&lt;AC$202),2,IF(AND(AC46&gt;=AC$202,AC46&lt;AC$203),3,IF(AND(AC46&gt;=AC$203,AC46&lt;=AC$204),4,"empty"))))</f>
        <v>4</v>
      </c>
      <c r="AE46" s="127">
        <f t="shared" si="7"/>
        <v>9</v>
      </c>
      <c r="AF46" s="128">
        <f t="shared" si="8"/>
        <v>20.2</v>
      </c>
      <c r="AG46" s="108">
        <v>2038</v>
      </c>
      <c r="AH46" s="108" t="str">
        <f t="shared" si="9"/>
        <v>late adopter</v>
      </c>
    </row>
    <row r="47" spans="1:34">
      <c r="A47" s="102" t="s">
        <v>170</v>
      </c>
      <c r="B47" s="120" t="s">
        <v>169</v>
      </c>
      <c r="C47" s="120" t="s">
        <v>92</v>
      </c>
      <c r="D47" s="102" t="s">
        <v>80</v>
      </c>
      <c r="E47" s="109">
        <v>1</v>
      </c>
      <c r="F47" s="102">
        <v>2004</v>
      </c>
      <c r="G47" s="102">
        <v>1986</v>
      </c>
      <c r="H47" s="102" t="s">
        <v>566</v>
      </c>
      <c r="I47" s="102" t="s">
        <v>566</v>
      </c>
      <c r="J47" s="102" t="s">
        <v>566</v>
      </c>
      <c r="K47" s="102">
        <f t="shared" si="13"/>
        <v>2</v>
      </c>
      <c r="L47" s="102">
        <f t="shared" si="13"/>
        <v>4</v>
      </c>
      <c r="M47" s="102">
        <f t="shared" si="13"/>
        <v>1</v>
      </c>
      <c r="N47" s="102">
        <f t="shared" si="13"/>
        <v>1</v>
      </c>
      <c r="O47" s="102">
        <f t="shared" si="13"/>
        <v>1</v>
      </c>
      <c r="P47" s="121">
        <f t="shared" si="2"/>
        <v>1.8</v>
      </c>
      <c r="Q47" s="102">
        <v>1</v>
      </c>
      <c r="R47" s="102">
        <f t="shared" si="3"/>
        <v>2</v>
      </c>
      <c r="S47" s="122">
        <v>1.7353346921088999E-2</v>
      </c>
      <c r="T47" s="102">
        <f t="shared" si="4"/>
        <v>1</v>
      </c>
      <c r="U47" s="123">
        <v>1.7324501548180601E-2</v>
      </c>
      <c r="V47" s="102">
        <f t="shared" si="5"/>
        <v>2</v>
      </c>
      <c r="W47" s="124">
        <v>0</v>
      </c>
      <c r="X47" s="102">
        <f t="shared" si="14"/>
        <v>2</v>
      </c>
      <c r="Y47" s="125">
        <f t="shared" si="6"/>
        <v>8.8000000000000007</v>
      </c>
      <c r="Z47" s="126" t="s">
        <v>581</v>
      </c>
      <c r="AA47" s="126">
        <v>1</v>
      </c>
      <c r="AB47" s="126">
        <v>3</v>
      </c>
      <c r="AC47" s="126">
        <v>98.85501870397529</v>
      </c>
      <c r="AD47" s="102">
        <f>IF(AND(AC47&gt;=AC$200,AC47&lt;AC$201),1,IF(AND(AC47&gt;=AC$201,AC47&lt;AC$202),2,IF(AND(AC47&gt;=AC$202,AC47&lt;AC$203),3,IF(AND(AC47&gt;=AC$203,AC47&lt;=AC$204),4,"empty"))))</f>
        <v>3</v>
      </c>
      <c r="AE47" s="127">
        <f t="shared" si="7"/>
        <v>7</v>
      </c>
      <c r="AF47" s="128">
        <f t="shared" si="8"/>
        <v>17.600000000000001</v>
      </c>
      <c r="AG47" s="108">
        <v>2040</v>
      </c>
      <c r="AH47" s="108" t="str">
        <f t="shared" si="9"/>
        <v>late adopter</v>
      </c>
    </row>
    <row r="48" spans="1:34">
      <c r="A48" s="102" t="s">
        <v>172</v>
      </c>
      <c r="B48" s="120" t="s">
        <v>171</v>
      </c>
      <c r="C48" s="120" t="s">
        <v>79</v>
      </c>
      <c r="D48" s="102" t="s">
        <v>87</v>
      </c>
      <c r="E48" s="109">
        <v>1</v>
      </c>
      <c r="F48" s="102">
        <v>1989</v>
      </c>
      <c r="G48" s="102">
        <v>1974</v>
      </c>
      <c r="H48" s="102">
        <v>2007</v>
      </c>
      <c r="I48" s="102" t="s">
        <v>566</v>
      </c>
      <c r="J48" s="102">
        <v>2016</v>
      </c>
      <c r="K48" s="102">
        <f t="shared" si="13"/>
        <v>4</v>
      </c>
      <c r="L48" s="102">
        <f t="shared" si="13"/>
        <v>4</v>
      </c>
      <c r="M48" s="102">
        <f t="shared" si="13"/>
        <v>4</v>
      </c>
      <c r="N48" s="102">
        <f t="shared" si="13"/>
        <v>1</v>
      </c>
      <c r="O48" s="102">
        <f t="shared" si="13"/>
        <v>3</v>
      </c>
      <c r="P48" s="121">
        <f t="shared" si="2"/>
        <v>3.2</v>
      </c>
      <c r="Q48" s="102">
        <v>6</v>
      </c>
      <c r="R48" s="102">
        <f t="shared" si="3"/>
        <v>2</v>
      </c>
      <c r="S48" s="122">
        <v>0.91303509583027798</v>
      </c>
      <c r="T48" s="102">
        <f t="shared" si="4"/>
        <v>2</v>
      </c>
      <c r="U48" s="123">
        <v>5.3854173067548299E-3</v>
      </c>
      <c r="V48" s="102">
        <f t="shared" si="5"/>
        <v>1</v>
      </c>
      <c r="W48" s="124">
        <v>9.3583E-3</v>
      </c>
      <c r="X48" s="102">
        <f t="shared" si="14"/>
        <v>3</v>
      </c>
      <c r="Y48" s="125">
        <f t="shared" si="6"/>
        <v>11.2</v>
      </c>
      <c r="Z48" s="126" t="s">
        <v>580</v>
      </c>
      <c r="AA48" s="126">
        <v>1</v>
      </c>
      <c r="AB48" s="126">
        <v>4</v>
      </c>
      <c r="AC48" s="126">
        <v>15.397856497231452</v>
      </c>
      <c r="AD48" s="126">
        <v>4</v>
      </c>
      <c r="AE48" s="127">
        <f t="shared" si="7"/>
        <v>9</v>
      </c>
      <c r="AF48" s="128">
        <f t="shared" si="8"/>
        <v>23.4</v>
      </c>
      <c r="AG48" s="108">
        <v>2033</v>
      </c>
      <c r="AH48" s="108" t="str">
        <f t="shared" si="9"/>
        <v>early adopter</v>
      </c>
    </row>
    <row r="49" spans="1:34">
      <c r="A49" s="102" t="s">
        <v>174</v>
      </c>
      <c r="B49" s="120" t="s">
        <v>173</v>
      </c>
      <c r="C49" s="120" t="s">
        <v>79</v>
      </c>
      <c r="D49" s="102" t="s">
        <v>87</v>
      </c>
      <c r="E49" s="109">
        <v>1</v>
      </c>
      <c r="F49" s="102">
        <v>1975</v>
      </c>
      <c r="G49" s="102">
        <v>1982</v>
      </c>
      <c r="H49" s="102" t="s">
        <v>566</v>
      </c>
      <c r="I49" s="102" t="s">
        <v>566</v>
      </c>
      <c r="J49" s="102">
        <v>2012</v>
      </c>
      <c r="K49" s="102">
        <f t="shared" si="13"/>
        <v>4</v>
      </c>
      <c r="L49" s="102">
        <f t="shared" si="13"/>
        <v>4</v>
      </c>
      <c r="M49" s="102">
        <f t="shared" si="13"/>
        <v>1</v>
      </c>
      <c r="N49" s="102">
        <f t="shared" si="13"/>
        <v>1</v>
      </c>
      <c r="O49" s="102">
        <f t="shared" si="13"/>
        <v>3</v>
      </c>
      <c r="P49" s="121">
        <f t="shared" si="2"/>
        <v>2.6</v>
      </c>
      <c r="Q49" s="102">
        <v>577</v>
      </c>
      <c r="R49" s="102">
        <f t="shared" si="3"/>
        <v>3</v>
      </c>
      <c r="S49" s="122">
        <v>10.5528160550551</v>
      </c>
      <c r="T49" s="102">
        <f t="shared" si="4"/>
        <v>2</v>
      </c>
      <c r="U49" s="123">
        <v>8.9897569546069402E-3</v>
      </c>
      <c r="V49" s="102">
        <f t="shared" si="5"/>
        <v>2</v>
      </c>
      <c r="W49" s="124">
        <v>2.4386000000000001</v>
      </c>
      <c r="X49" s="102">
        <f t="shared" si="14"/>
        <v>3</v>
      </c>
      <c r="Y49" s="125">
        <f t="shared" si="6"/>
        <v>12.6</v>
      </c>
      <c r="Z49" s="126" t="s">
        <v>580</v>
      </c>
      <c r="AA49" s="126">
        <v>1</v>
      </c>
      <c r="AB49" s="126">
        <v>4</v>
      </c>
      <c r="AC49" s="126" t="s">
        <v>582</v>
      </c>
      <c r="AD49" s="126">
        <v>4</v>
      </c>
      <c r="AE49" s="127">
        <f t="shared" si="7"/>
        <v>9</v>
      </c>
      <c r="AF49" s="128">
        <f t="shared" si="8"/>
        <v>24.2</v>
      </c>
      <c r="AG49" s="108">
        <v>2032</v>
      </c>
      <c r="AH49" s="108" t="str">
        <f t="shared" si="9"/>
        <v>early adopter</v>
      </c>
    </row>
    <row r="50" spans="1:34">
      <c r="A50" s="102" t="s">
        <v>176</v>
      </c>
      <c r="B50" s="120" t="s">
        <v>175</v>
      </c>
      <c r="C50" s="120" t="s">
        <v>110</v>
      </c>
      <c r="D50" s="102" t="s">
        <v>75</v>
      </c>
      <c r="E50" s="109">
        <v>4</v>
      </c>
      <c r="F50" s="102">
        <v>2008</v>
      </c>
      <c r="G50" s="102">
        <v>2019</v>
      </c>
      <c r="H50" s="102">
        <v>2023</v>
      </c>
      <c r="I50" s="102" t="s">
        <v>566</v>
      </c>
      <c r="J50" s="102">
        <v>2024</v>
      </c>
      <c r="K50" s="102">
        <f t="shared" si="13"/>
        <v>2</v>
      </c>
      <c r="L50" s="102">
        <f t="shared" si="13"/>
        <v>1</v>
      </c>
      <c r="M50" s="102">
        <f t="shared" si="13"/>
        <v>1</v>
      </c>
      <c r="N50" s="102">
        <f t="shared" si="13"/>
        <v>1</v>
      </c>
      <c r="O50" s="102">
        <f t="shared" si="13"/>
        <v>1</v>
      </c>
      <c r="P50" s="121">
        <f t="shared" si="2"/>
        <v>1.2</v>
      </c>
      <c r="Q50" s="102">
        <v>0</v>
      </c>
      <c r="R50" s="102">
        <f t="shared" si="3"/>
        <v>1</v>
      </c>
      <c r="S50" s="122">
        <v>62.290595779421501</v>
      </c>
      <c r="T50" s="102">
        <f t="shared" si="4"/>
        <v>3</v>
      </c>
      <c r="U50" s="123">
        <v>37.412223600442402</v>
      </c>
      <c r="V50" s="102">
        <f t="shared" si="5"/>
        <v>3</v>
      </c>
      <c r="W50" s="124">
        <v>364.11</v>
      </c>
      <c r="X50" s="102">
        <f t="shared" si="14"/>
        <v>4</v>
      </c>
      <c r="Y50" s="125">
        <f t="shared" si="6"/>
        <v>12.2</v>
      </c>
      <c r="Z50" s="109" t="s">
        <v>579</v>
      </c>
      <c r="AA50" s="126">
        <v>4</v>
      </c>
      <c r="AB50" s="126">
        <v>1</v>
      </c>
      <c r="AC50" s="126">
        <v>21.702048408425537</v>
      </c>
      <c r="AD50" s="102">
        <f>IF(AND(AC50&gt;=AC$200,AC50&lt;AC$201),1,IF(AND(AC50&gt;=AC$201,AC50&lt;AC$202),2,IF(AND(AC50&gt;=AC$202,AC50&lt;AC$203),3,IF(AND(AC50&gt;=AC$203,AC50&lt;=AC$204),4,"empty"))))</f>
        <v>1</v>
      </c>
      <c r="AE50" s="127">
        <f t="shared" si="7"/>
        <v>6</v>
      </c>
      <c r="AF50" s="128">
        <f t="shared" si="8"/>
        <v>19.399999999999999</v>
      </c>
      <c r="AG50" s="108">
        <v>2039</v>
      </c>
      <c r="AH50" s="108" t="str">
        <f t="shared" si="9"/>
        <v>late adopter</v>
      </c>
    </row>
    <row r="51" spans="1:34">
      <c r="A51" s="102" t="s">
        <v>178</v>
      </c>
      <c r="B51" s="120" t="s">
        <v>177</v>
      </c>
      <c r="C51" s="120" t="s">
        <v>83</v>
      </c>
      <c r="D51" s="102" t="s">
        <v>75</v>
      </c>
      <c r="E51" s="109" t="s">
        <v>76</v>
      </c>
      <c r="F51" s="102">
        <v>2021</v>
      </c>
      <c r="G51" s="102" t="s">
        <v>566</v>
      </c>
      <c r="H51" s="102">
        <v>2013</v>
      </c>
      <c r="I51" s="102">
        <v>2019</v>
      </c>
      <c r="J51" s="102" t="s">
        <v>566</v>
      </c>
      <c r="K51" s="102">
        <f t="shared" si="13"/>
        <v>1</v>
      </c>
      <c r="L51" s="102">
        <f t="shared" si="13"/>
        <v>1</v>
      </c>
      <c r="M51" s="102">
        <f t="shared" si="13"/>
        <v>2</v>
      </c>
      <c r="N51" s="102">
        <f t="shared" si="13"/>
        <v>1</v>
      </c>
      <c r="O51" s="102">
        <f t="shared" si="13"/>
        <v>1</v>
      </c>
      <c r="P51" s="121">
        <f t="shared" si="2"/>
        <v>1.2</v>
      </c>
      <c r="Q51" s="102">
        <v>18467</v>
      </c>
      <c r="R51" s="102">
        <f t="shared" si="3"/>
        <v>4</v>
      </c>
      <c r="S51" s="122">
        <v>661.37590415721195</v>
      </c>
      <c r="T51" s="102">
        <f t="shared" si="4"/>
        <v>4</v>
      </c>
      <c r="U51" s="123">
        <v>6607.02281742594</v>
      </c>
      <c r="V51" s="102">
        <f t="shared" si="5"/>
        <v>4</v>
      </c>
      <c r="W51" s="124">
        <v>3468.5</v>
      </c>
      <c r="X51" s="102">
        <f t="shared" si="14"/>
        <v>4</v>
      </c>
      <c r="Y51" s="125">
        <f t="shared" si="6"/>
        <v>17.2</v>
      </c>
      <c r="Z51" s="109" t="s">
        <v>579</v>
      </c>
      <c r="AA51" s="126">
        <v>4</v>
      </c>
      <c r="AB51" s="126">
        <v>1</v>
      </c>
      <c r="AC51" s="126">
        <v>6.4241366999152199</v>
      </c>
      <c r="AD51" s="102">
        <f>IF(AND(AC51&gt;=AC$200,AC51&lt;AC$201),1,IF(AND(AC51&gt;=AC$201,AC51&lt;AC$202),2,IF(AND(AC51&gt;=AC$202,AC51&lt;AC$203),3,IF(AND(AC51&gt;=AC$203,AC51&lt;=AC$204),4,"empty"))))</f>
        <v>1</v>
      </c>
      <c r="AE51" s="127">
        <f t="shared" si="7"/>
        <v>6</v>
      </c>
      <c r="AF51" s="128">
        <f t="shared" si="8"/>
        <v>24.4</v>
      </c>
      <c r="AG51" s="108">
        <v>2032</v>
      </c>
      <c r="AH51" s="108" t="str">
        <f t="shared" si="9"/>
        <v>early adopter</v>
      </c>
    </row>
    <row r="52" spans="1:34">
      <c r="A52" s="102" t="s">
        <v>180</v>
      </c>
      <c r="B52" s="120" t="s">
        <v>179</v>
      </c>
      <c r="C52" s="120" t="s">
        <v>79</v>
      </c>
      <c r="D52" s="102" t="s">
        <v>87</v>
      </c>
      <c r="E52" s="109">
        <v>1</v>
      </c>
      <c r="F52" s="102">
        <v>1987</v>
      </c>
      <c r="G52" s="102">
        <v>1987</v>
      </c>
      <c r="H52" s="102">
        <v>2007</v>
      </c>
      <c r="I52" s="102" t="s">
        <v>566</v>
      </c>
      <c r="J52" s="102">
        <v>2007</v>
      </c>
      <c r="K52" s="102">
        <f t="shared" si="13"/>
        <v>4</v>
      </c>
      <c r="L52" s="102">
        <f t="shared" si="13"/>
        <v>3</v>
      </c>
      <c r="M52" s="102">
        <f t="shared" si="13"/>
        <v>4</v>
      </c>
      <c r="N52" s="102">
        <f t="shared" si="13"/>
        <v>1</v>
      </c>
      <c r="O52" s="102">
        <f t="shared" si="13"/>
        <v>4</v>
      </c>
      <c r="P52" s="121">
        <f t="shared" si="2"/>
        <v>3.2</v>
      </c>
      <c r="Q52" s="102">
        <v>15</v>
      </c>
      <c r="R52" s="102">
        <f t="shared" si="3"/>
        <v>2</v>
      </c>
      <c r="S52" s="122">
        <v>0.520102455541405</v>
      </c>
      <c r="T52" s="102">
        <f t="shared" si="4"/>
        <v>1</v>
      </c>
      <c r="U52" s="123">
        <v>1.8178558883729799E-2</v>
      </c>
      <c r="V52" s="102">
        <f t="shared" si="5"/>
        <v>2</v>
      </c>
      <c r="W52" s="124">
        <v>0</v>
      </c>
      <c r="X52" s="102">
        <f t="shared" si="14"/>
        <v>2</v>
      </c>
      <c r="Y52" s="125">
        <f t="shared" si="6"/>
        <v>10.199999999999999</v>
      </c>
      <c r="Z52" s="126" t="s">
        <v>580</v>
      </c>
      <c r="AA52" s="126">
        <v>1</v>
      </c>
      <c r="AB52" s="126">
        <v>4</v>
      </c>
      <c r="AC52" s="126" t="s">
        <v>582</v>
      </c>
      <c r="AD52" s="126">
        <v>4</v>
      </c>
      <c r="AE52" s="127">
        <f t="shared" si="7"/>
        <v>9</v>
      </c>
      <c r="AF52" s="128">
        <f t="shared" si="8"/>
        <v>22.4</v>
      </c>
      <c r="AG52" s="108">
        <v>2035</v>
      </c>
      <c r="AH52" s="108" t="str">
        <f t="shared" si="9"/>
        <v>mid adopter</v>
      </c>
    </row>
    <row r="53" spans="1:34">
      <c r="A53" s="102" t="s">
        <v>182</v>
      </c>
      <c r="B53" s="120" t="s">
        <v>181</v>
      </c>
      <c r="C53" s="120" t="s">
        <v>74</v>
      </c>
      <c r="D53" s="102" t="s">
        <v>84</v>
      </c>
      <c r="E53" s="109">
        <v>3</v>
      </c>
      <c r="F53" s="102">
        <v>2011</v>
      </c>
      <c r="G53" s="102" t="s">
        <v>566</v>
      </c>
      <c r="H53" s="102">
        <v>2012</v>
      </c>
      <c r="I53" s="102">
        <v>2014</v>
      </c>
      <c r="J53" s="102">
        <v>2023</v>
      </c>
      <c r="K53" s="102">
        <f t="shared" si="13"/>
        <v>2</v>
      </c>
      <c r="L53" s="102">
        <f t="shared" si="13"/>
        <v>1</v>
      </c>
      <c r="M53" s="102">
        <f t="shared" si="13"/>
        <v>2</v>
      </c>
      <c r="N53" s="102">
        <f t="shared" si="13"/>
        <v>2</v>
      </c>
      <c r="O53" s="102">
        <f t="shared" si="13"/>
        <v>1</v>
      </c>
      <c r="P53" s="121">
        <f t="shared" si="2"/>
        <v>1.6</v>
      </c>
      <c r="Q53" s="102">
        <v>9.0000000000000002E-6</v>
      </c>
      <c r="R53" s="102">
        <f t="shared" si="3"/>
        <v>1</v>
      </c>
      <c r="S53" s="122">
        <v>162.88488126089399</v>
      </c>
      <c r="T53" s="102">
        <f t="shared" si="4"/>
        <v>3</v>
      </c>
      <c r="U53" s="123">
        <v>13.8301918705952</v>
      </c>
      <c r="V53" s="102">
        <f t="shared" si="5"/>
        <v>3</v>
      </c>
      <c r="W53" s="124">
        <v>13.866</v>
      </c>
      <c r="X53" s="102">
        <f t="shared" si="14"/>
        <v>3</v>
      </c>
      <c r="Y53" s="125">
        <f t="shared" si="6"/>
        <v>11.6</v>
      </c>
      <c r="Z53" s="126" t="s">
        <v>581</v>
      </c>
      <c r="AA53" s="126">
        <v>1</v>
      </c>
      <c r="AB53" s="126">
        <v>2</v>
      </c>
      <c r="AC53" s="126">
        <v>8.3333333333333321</v>
      </c>
      <c r="AD53" s="102">
        <f t="shared" ref="AD53:AD63" si="15">IF(AND(AC53&gt;=AC$200,AC53&lt;AC$201),1,IF(AND(AC53&gt;=AC$201,AC53&lt;AC$202),2,IF(AND(AC53&gt;=AC$202,AC53&lt;AC$203),3,IF(AND(AC53&gt;=AC$203,AC53&lt;=AC$204),4,"empty"))))</f>
        <v>1</v>
      </c>
      <c r="AE53" s="127">
        <f t="shared" si="7"/>
        <v>4</v>
      </c>
      <c r="AF53" s="128">
        <f t="shared" si="8"/>
        <v>17.2</v>
      </c>
      <c r="AG53" s="108">
        <v>2040</v>
      </c>
      <c r="AH53" s="108" t="str">
        <f t="shared" si="9"/>
        <v>late adopter</v>
      </c>
    </row>
    <row r="54" spans="1:34">
      <c r="A54" s="102" t="s">
        <v>184</v>
      </c>
      <c r="B54" s="120" t="s">
        <v>183</v>
      </c>
      <c r="C54" s="120" t="s">
        <v>92</v>
      </c>
      <c r="D54" s="102" t="s">
        <v>80</v>
      </c>
      <c r="E54" s="109">
        <v>2</v>
      </c>
      <c r="F54" s="102">
        <v>2018</v>
      </c>
      <c r="G54" s="102">
        <v>2004</v>
      </c>
      <c r="H54" s="102">
        <v>2013</v>
      </c>
      <c r="I54" s="102">
        <v>2012</v>
      </c>
      <c r="J54" s="102">
        <v>2017</v>
      </c>
      <c r="K54" s="102">
        <f t="shared" si="13"/>
        <v>1</v>
      </c>
      <c r="L54" s="102">
        <f t="shared" si="13"/>
        <v>2</v>
      </c>
      <c r="M54" s="102">
        <f t="shared" si="13"/>
        <v>2</v>
      </c>
      <c r="N54" s="102">
        <f t="shared" si="13"/>
        <v>3</v>
      </c>
      <c r="O54" s="102">
        <f t="shared" si="13"/>
        <v>2</v>
      </c>
      <c r="P54" s="121">
        <f t="shared" si="2"/>
        <v>2</v>
      </c>
      <c r="Q54" s="102">
        <v>0</v>
      </c>
      <c r="R54" s="102">
        <f t="shared" si="3"/>
        <v>1</v>
      </c>
      <c r="S54" s="122">
        <v>9.4654481886949193E-2</v>
      </c>
      <c r="T54" s="102">
        <f t="shared" si="4"/>
        <v>1</v>
      </c>
      <c r="U54" s="123">
        <v>0</v>
      </c>
      <c r="V54" s="102">
        <f t="shared" si="5"/>
        <v>1</v>
      </c>
      <c r="W54" s="124" t="s">
        <v>573</v>
      </c>
      <c r="X54" s="102">
        <v>1</v>
      </c>
      <c r="Y54" s="125">
        <f t="shared" si="6"/>
        <v>6</v>
      </c>
      <c r="Z54" s="126" t="s">
        <v>580</v>
      </c>
      <c r="AA54" s="126">
        <v>1</v>
      </c>
      <c r="AB54" s="126">
        <v>3</v>
      </c>
      <c r="AC54" s="126">
        <v>100</v>
      </c>
      <c r="AD54" s="102">
        <f t="shared" si="15"/>
        <v>4</v>
      </c>
      <c r="AE54" s="127">
        <f t="shared" si="7"/>
        <v>8</v>
      </c>
      <c r="AF54" s="128">
        <f t="shared" si="8"/>
        <v>16</v>
      </c>
      <c r="AG54" s="108">
        <v>2041</v>
      </c>
      <c r="AH54" s="108" t="str">
        <f t="shared" si="9"/>
        <v>late adopter</v>
      </c>
    </row>
    <row r="55" spans="1:34">
      <c r="A55" s="102" t="s">
        <v>184</v>
      </c>
      <c r="B55" s="120" t="s">
        <v>185</v>
      </c>
      <c r="C55" s="120" t="s">
        <v>92</v>
      </c>
      <c r="D55" s="102" t="s">
        <v>80</v>
      </c>
      <c r="E55" s="109">
        <v>2</v>
      </c>
      <c r="F55" s="102">
        <v>2018</v>
      </c>
      <c r="G55" s="102">
        <v>2004</v>
      </c>
      <c r="H55" s="102">
        <v>2013</v>
      </c>
      <c r="I55" s="102">
        <v>2012</v>
      </c>
      <c r="J55" s="102">
        <v>2017</v>
      </c>
      <c r="K55" s="102">
        <f t="shared" si="13"/>
        <v>1</v>
      </c>
      <c r="L55" s="102">
        <f t="shared" si="13"/>
        <v>2</v>
      </c>
      <c r="M55" s="102">
        <f t="shared" si="13"/>
        <v>2</v>
      </c>
      <c r="N55" s="102">
        <f t="shared" si="13"/>
        <v>3</v>
      </c>
      <c r="O55" s="102">
        <f t="shared" si="13"/>
        <v>2</v>
      </c>
      <c r="P55" s="121">
        <f t="shared" si="2"/>
        <v>2</v>
      </c>
      <c r="Q55" s="102">
        <v>0</v>
      </c>
      <c r="R55" s="102">
        <f t="shared" si="3"/>
        <v>1</v>
      </c>
      <c r="S55" s="122">
        <v>9.4654481886949193E-2</v>
      </c>
      <c r="T55" s="102">
        <f t="shared" si="4"/>
        <v>1</v>
      </c>
      <c r="U55" s="123">
        <v>0</v>
      </c>
      <c r="V55" s="102">
        <f t="shared" si="5"/>
        <v>1</v>
      </c>
      <c r="W55" s="124">
        <v>0</v>
      </c>
      <c r="X55" s="102">
        <f t="shared" ref="X55:X93" si="16">IF(AND(W55&gt;=W$200,W55&lt;W$201),1,IF(AND(W55&gt;=W$201,W55&lt;W$202),2,IF(AND(W55&gt;=W$202,W55&lt;W$203),3,IF(AND(W55&gt;=W$203,W55&lt;=W$204),4,"empty"))))</f>
        <v>2</v>
      </c>
      <c r="Y55" s="125">
        <f t="shared" si="6"/>
        <v>7</v>
      </c>
      <c r="Z55" s="126" t="s">
        <v>580</v>
      </c>
      <c r="AA55" s="126">
        <v>1</v>
      </c>
      <c r="AB55" s="126">
        <v>3</v>
      </c>
      <c r="AC55" s="126">
        <v>100</v>
      </c>
      <c r="AD55" s="102">
        <f t="shared" si="15"/>
        <v>4</v>
      </c>
      <c r="AE55" s="127">
        <f t="shared" si="7"/>
        <v>8</v>
      </c>
      <c r="AF55" s="128">
        <f t="shared" si="8"/>
        <v>17</v>
      </c>
      <c r="AG55" s="108">
        <v>2041</v>
      </c>
      <c r="AH55" s="108" t="str">
        <f t="shared" si="9"/>
        <v>late adopter</v>
      </c>
    </row>
    <row r="56" spans="1:34">
      <c r="A56" s="102" t="s">
        <v>187</v>
      </c>
      <c r="B56" s="120" t="s">
        <v>186</v>
      </c>
      <c r="C56" s="120" t="s">
        <v>92</v>
      </c>
      <c r="D56" s="102" t="s">
        <v>80</v>
      </c>
      <c r="E56" s="109">
        <v>2</v>
      </c>
      <c r="F56" s="102">
        <v>2009</v>
      </c>
      <c r="G56" s="102">
        <v>1997</v>
      </c>
      <c r="H56" s="102">
        <v>2010</v>
      </c>
      <c r="I56" s="102">
        <v>2007</v>
      </c>
      <c r="J56" s="102">
        <v>2014</v>
      </c>
      <c r="K56" s="102">
        <f t="shared" si="13"/>
        <v>2</v>
      </c>
      <c r="L56" s="102">
        <f t="shared" si="13"/>
        <v>3</v>
      </c>
      <c r="M56" s="102">
        <f t="shared" si="13"/>
        <v>3</v>
      </c>
      <c r="N56" s="102">
        <f t="shared" si="13"/>
        <v>4</v>
      </c>
      <c r="O56" s="102">
        <f t="shared" si="13"/>
        <v>3</v>
      </c>
      <c r="P56" s="121">
        <f t="shared" si="2"/>
        <v>3</v>
      </c>
      <c r="Q56" s="102">
        <v>9.0000000000000002E-6</v>
      </c>
      <c r="R56" s="102">
        <f t="shared" si="3"/>
        <v>1</v>
      </c>
      <c r="S56" s="122">
        <v>9.0602181098293501E-4</v>
      </c>
      <c r="T56" s="102">
        <f t="shared" si="4"/>
        <v>1</v>
      </c>
      <c r="U56" s="123">
        <v>0</v>
      </c>
      <c r="V56" s="102">
        <f t="shared" si="5"/>
        <v>1</v>
      </c>
      <c r="W56" s="124">
        <v>0</v>
      </c>
      <c r="X56" s="102">
        <f t="shared" si="16"/>
        <v>2</v>
      </c>
      <c r="Y56" s="125">
        <f t="shared" si="6"/>
        <v>8</v>
      </c>
      <c r="Z56" s="126" t="s">
        <v>580</v>
      </c>
      <c r="AA56" s="126">
        <v>1</v>
      </c>
      <c r="AB56" s="126">
        <v>3</v>
      </c>
      <c r="AC56" s="126">
        <v>99.076176784919156</v>
      </c>
      <c r="AD56" s="102">
        <f t="shared" si="15"/>
        <v>3</v>
      </c>
      <c r="AE56" s="127">
        <f t="shared" si="7"/>
        <v>7</v>
      </c>
      <c r="AF56" s="128">
        <f t="shared" si="8"/>
        <v>18</v>
      </c>
      <c r="AG56" s="108">
        <v>2040</v>
      </c>
      <c r="AH56" s="108" t="str">
        <f t="shared" si="9"/>
        <v>late adopter</v>
      </c>
    </row>
    <row r="57" spans="1:34">
      <c r="A57" s="102" t="s">
        <v>189</v>
      </c>
      <c r="B57" s="120" t="s">
        <v>188</v>
      </c>
      <c r="C57" s="120" t="s">
        <v>74</v>
      </c>
      <c r="D57" s="102" t="s">
        <v>84</v>
      </c>
      <c r="E57" s="109">
        <v>2</v>
      </c>
      <c r="F57" s="102">
        <v>1999</v>
      </c>
      <c r="G57" s="102">
        <v>1999</v>
      </c>
      <c r="H57" s="102" t="s">
        <v>566</v>
      </c>
      <c r="I57" s="102" t="s">
        <v>566</v>
      </c>
      <c r="J57" s="102" t="s">
        <v>566</v>
      </c>
      <c r="K57" s="102">
        <f t="shared" si="13"/>
        <v>3</v>
      </c>
      <c r="L57" s="102">
        <f t="shared" si="13"/>
        <v>2</v>
      </c>
      <c r="M57" s="102">
        <f t="shared" si="13"/>
        <v>1</v>
      </c>
      <c r="N57" s="102">
        <f t="shared" si="13"/>
        <v>1</v>
      </c>
      <c r="O57" s="102">
        <f t="shared" si="13"/>
        <v>1</v>
      </c>
      <c r="P57" s="121">
        <f t="shared" si="2"/>
        <v>1.6</v>
      </c>
      <c r="Q57" s="102">
        <v>130</v>
      </c>
      <c r="R57" s="102">
        <f t="shared" si="3"/>
        <v>3</v>
      </c>
      <c r="S57" s="122">
        <v>59.043924454298399</v>
      </c>
      <c r="T57" s="102">
        <f t="shared" si="4"/>
        <v>2</v>
      </c>
      <c r="U57" s="123">
        <v>68.503561459102201</v>
      </c>
      <c r="V57" s="102">
        <f t="shared" si="5"/>
        <v>3</v>
      </c>
      <c r="W57" s="124">
        <v>0</v>
      </c>
      <c r="X57" s="102">
        <f t="shared" si="16"/>
        <v>2</v>
      </c>
      <c r="Y57" s="125">
        <f t="shared" si="6"/>
        <v>11.6</v>
      </c>
      <c r="Z57" s="126" t="s">
        <v>580</v>
      </c>
      <c r="AA57" s="126">
        <v>1</v>
      </c>
      <c r="AB57" s="126">
        <v>2</v>
      </c>
      <c r="AC57" s="126">
        <v>100</v>
      </c>
      <c r="AD57" s="102">
        <f t="shared" si="15"/>
        <v>4</v>
      </c>
      <c r="AE57" s="127">
        <f t="shared" si="7"/>
        <v>7</v>
      </c>
      <c r="AF57" s="128">
        <f t="shared" si="8"/>
        <v>20.2</v>
      </c>
      <c r="AG57" s="108">
        <v>2038</v>
      </c>
      <c r="AH57" s="108" t="str">
        <f t="shared" si="9"/>
        <v>late adopter</v>
      </c>
    </row>
    <row r="58" spans="1:34">
      <c r="A58" s="102" t="s">
        <v>191</v>
      </c>
      <c r="B58" s="120" t="s">
        <v>190</v>
      </c>
      <c r="C58" s="120" t="s">
        <v>92</v>
      </c>
      <c r="D58" s="102" t="s">
        <v>84</v>
      </c>
      <c r="E58" s="109">
        <v>1</v>
      </c>
      <c r="F58" s="102">
        <v>2000</v>
      </c>
      <c r="G58" s="102">
        <v>1997</v>
      </c>
      <c r="H58" s="102">
        <v>2010</v>
      </c>
      <c r="I58" s="102">
        <v>2006</v>
      </c>
      <c r="J58" s="102">
        <v>2020</v>
      </c>
      <c r="K58" s="102">
        <f t="shared" si="13"/>
        <v>3</v>
      </c>
      <c r="L58" s="102">
        <f t="shared" si="13"/>
        <v>3</v>
      </c>
      <c r="M58" s="102">
        <f t="shared" si="13"/>
        <v>3</v>
      </c>
      <c r="N58" s="102">
        <f t="shared" si="13"/>
        <v>4</v>
      </c>
      <c r="O58" s="102">
        <f t="shared" si="13"/>
        <v>1</v>
      </c>
      <c r="P58" s="121">
        <f t="shared" si="2"/>
        <v>2.8</v>
      </c>
      <c r="Q58" s="102">
        <v>0</v>
      </c>
      <c r="R58" s="102">
        <f t="shared" si="3"/>
        <v>1</v>
      </c>
      <c r="S58" s="122">
        <v>1.1175991143964101E-2</v>
      </c>
      <c r="T58" s="102">
        <f t="shared" si="4"/>
        <v>1</v>
      </c>
      <c r="U58" s="123">
        <v>0</v>
      </c>
      <c r="V58" s="102">
        <f t="shared" si="5"/>
        <v>1</v>
      </c>
      <c r="W58" s="124">
        <v>0</v>
      </c>
      <c r="X58" s="102">
        <f t="shared" si="16"/>
        <v>2</v>
      </c>
      <c r="Y58" s="125">
        <f t="shared" si="6"/>
        <v>7.8</v>
      </c>
      <c r="Z58" s="126" t="s">
        <v>580</v>
      </c>
      <c r="AA58" s="126">
        <v>1</v>
      </c>
      <c r="AB58" s="126">
        <v>2</v>
      </c>
      <c r="AC58" s="126">
        <v>89.681219893132933</v>
      </c>
      <c r="AD58" s="102">
        <f t="shared" si="15"/>
        <v>2</v>
      </c>
      <c r="AE58" s="127">
        <f t="shared" si="7"/>
        <v>5</v>
      </c>
      <c r="AF58" s="128">
        <f t="shared" si="8"/>
        <v>15.6</v>
      </c>
      <c r="AG58" s="108">
        <v>2041</v>
      </c>
      <c r="AH58" s="108" t="str">
        <f t="shared" si="9"/>
        <v>late adopter</v>
      </c>
    </row>
    <row r="59" spans="1:34">
      <c r="A59" s="102" t="s">
        <v>193</v>
      </c>
      <c r="B59" s="120" t="s">
        <v>192</v>
      </c>
      <c r="C59" s="120" t="s">
        <v>83</v>
      </c>
      <c r="D59" s="102" t="s">
        <v>80</v>
      </c>
      <c r="E59" s="109">
        <v>3</v>
      </c>
      <c r="F59" s="102">
        <v>2022</v>
      </c>
      <c r="G59" s="102" t="s">
        <v>566</v>
      </c>
      <c r="H59" s="102" t="s">
        <v>566</v>
      </c>
      <c r="I59" s="102" t="s">
        <v>566</v>
      </c>
      <c r="J59" s="102" t="s">
        <v>566</v>
      </c>
      <c r="K59" s="102">
        <f t="shared" si="13"/>
        <v>1</v>
      </c>
      <c r="L59" s="102">
        <f t="shared" si="13"/>
        <v>1</v>
      </c>
      <c r="M59" s="102">
        <f t="shared" si="13"/>
        <v>1</v>
      </c>
      <c r="N59" s="102">
        <f t="shared" si="13"/>
        <v>1</v>
      </c>
      <c r="O59" s="102">
        <f t="shared" si="13"/>
        <v>1</v>
      </c>
      <c r="P59" s="121">
        <f t="shared" si="2"/>
        <v>1</v>
      </c>
      <c r="Q59" s="102">
        <v>47</v>
      </c>
      <c r="R59" s="102">
        <f t="shared" si="3"/>
        <v>2</v>
      </c>
      <c r="S59" s="122">
        <v>1595.9262993806501</v>
      </c>
      <c r="T59" s="102">
        <f t="shared" si="4"/>
        <v>4</v>
      </c>
      <c r="U59" s="123">
        <v>20.108774072591</v>
      </c>
      <c r="V59" s="102">
        <f t="shared" si="5"/>
        <v>3</v>
      </c>
      <c r="W59" s="124">
        <v>27.946000000000002</v>
      </c>
      <c r="X59" s="102">
        <f t="shared" si="16"/>
        <v>3</v>
      </c>
      <c r="Y59" s="125">
        <f t="shared" si="6"/>
        <v>13</v>
      </c>
      <c r="Z59" s="126" t="s">
        <v>580</v>
      </c>
      <c r="AA59" s="126">
        <v>1</v>
      </c>
      <c r="AB59" s="126">
        <v>3</v>
      </c>
      <c r="AC59" s="126">
        <v>100</v>
      </c>
      <c r="AD59" s="102">
        <f t="shared" si="15"/>
        <v>4</v>
      </c>
      <c r="AE59" s="127">
        <f t="shared" si="7"/>
        <v>8</v>
      </c>
      <c r="AF59" s="128">
        <f t="shared" si="8"/>
        <v>22</v>
      </c>
      <c r="AG59" s="108">
        <v>2035</v>
      </c>
      <c r="AH59" s="108" t="str">
        <f t="shared" si="9"/>
        <v>mid adopter</v>
      </c>
    </row>
    <row r="60" spans="1:34">
      <c r="A60" s="102" t="s">
        <v>195</v>
      </c>
      <c r="B60" s="120" t="s">
        <v>194</v>
      </c>
      <c r="C60" s="120" t="s">
        <v>83</v>
      </c>
      <c r="D60" s="102" t="s">
        <v>75</v>
      </c>
      <c r="E60" s="109">
        <v>3</v>
      </c>
      <c r="F60" s="102">
        <v>2012</v>
      </c>
      <c r="G60" s="102">
        <v>2018</v>
      </c>
      <c r="H60" s="102">
        <v>2015</v>
      </c>
      <c r="I60" s="102">
        <v>2014</v>
      </c>
      <c r="J60" s="102">
        <v>2023</v>
      </c>
      <c r="K60" s="102">
        <f t="shared" si="13"/>
        <v>1</v>
      </c>
      <c r="L60" s="102">
        <f t="shared" si="13"/>
        <v>1</v>
      </c>
      <c r="M60" s="102">
        <f t="shared" si="13"/>
        <v>1</v>
      </c>
      <c r="N60" s="102">
        <f t="shared" si="13"/>
        <v>2</v>
      </c>
      <c r="O60" s="102">
        <f t="shared" si="13"/>
        <v>1</v>
      </c>
      <c r="P60" s="121">
        <f t="shared" si="2"/>
        <v>1.2</v>
      </c>
      <c r="Q60" s="102">
        <v>5</v>
      </c>
      <c r="R60" s="102">
        <f t="shared" si="3"/>
        <v>2</v>
      </c>
      <c r="S60" s="122">
        <v>99.330293302904394</v>
      </c>
      <c r="T60" s="102">
        <f t="shared" si="4"/>
        <v>3</v>
      </c>
      <c r="U60" s="123">
        <v>62.633134558332102</v>
      </c>
      <c r="V60" s="102">
        <f t="shared" si="5"/>
        <v>3</v>
      </c>
      <c r="W60" s="124">
        <v>184.23</v>
      </c>
      <c r="X60" s="102">
        <f t="shared" si="16"/>
        <v>4</v>
      </c>
      <c r="Y60" s="125">
        <f t="shared" si="6"/>
        <v>13.2</v>
      </c>
      <c r="Z60" s="126" t="s">
        <v>579</v>
      </c>
      <c r="AA60" s="126">
        <v>4</v>
      </c>
      <c r="AB60" s="126">
        <v>1</v>
      </c>
      <c r="AC60" s="126">
        <v>13.219797372280869</v>
      </c>
      <c r="AD60" s="102">
        <f t="shared" si="15"/>
        <v>1</v>
      </c>
      <c r="AE60" s="127">
        <f t="shared" si="7"/>
        <v>6</v>
      </c>
      <c r="AF60" s="128">
        <f t="shared" si="8"/>
        <v>20.399999999999999</v>
      </c>
      <c r="AG60" s="108">
        <v>2038</v>
      </c>
      <c r="AH60" s="108" t="str">
        <f t="shared" si="9"/>
        <v>late adopter</v>
      </c>
    </row>
    <row r="61" spans="1:34">
      <c r="A61" s="102" t="s">
        <v>197</v>
      </c>
      <c r="B61" s="120" t="s">
        <v>196</v>
      </c>
      <c r="C61" s="120" t="s">
        <v>79</v>
      </c>
      <c r="D61" s="102" t="s">
        <v>87</v>
      </c>
      <c r="E61" s="109">
        <v>1</v>
      </c>
      <c r="F61" s="102">
        <v>1994</v>
      </c>
      <c r="G61" s="102">
        <v>1993</v>
      </c>
      <c r="H61" s="102" t="s">
        <v>566</v>
      </c>
      <c r="I61" s="102">
        <v>2014</v>
      </c>
      <c r="J61" s="102">
        <v>2018</v>
      </c>
      <c r="K61" s="102">
        <f t="shared" si="13"/>
        <v>3</v>
      </c>
      <c r="L61" s="102">
        <f t="shared" si="13"/>
        <v>3</v>
      </c>
      <c r="M61" s="102">
        <f t="shared" si="13"/>
        <v>1</v>
      </c>
      <c r="N61" s="102">
        <f t="shared" si="13"/>
        <v>2</v>
      </c>
      <c r="O61" s="102">
        <f t="shared" si="13"/>
        <v>2</v>
      </c>
      <c r="P61" s="121">
        <f t="shared" si="2"/>
        <v>2.2000000000000002</v>
      </c>
      <c r="Q61" s="102">
        <v>27</v>
      </c>
      <c r="R61" s="102">
        <f t="shared" si="3"/>
        <v>2</v>
      </c>
      <c r="S61" s="122">
        <v>3.6579409080391998</v>
      </c>
      <c r="T61" s="102">
        <f t="shared" si="4"/>
        <v>2</v>
      </c>
      <c r="U61" s="123">
        <v>1.1469368088093501E-3</v>
      </c>
      <c r="V61" s="102">
        <f t="shared" si="5"/>
        <v>1</v>
      </c>
      <c r="W61" s="124">
        <v>0</v>
      </c>
      <c r="X61" s="102">
        <f t="shared" si="16"/>
        <v>2</v>
      </c>
      <c r="Y61" s="125">
        <f t="shared" si="6"/>
        <v>9.1999999999999993</v>
      </c>
      <c r="Z61" s="126" t="s">
        <v>580</v>
      </c>
      <c r="AA61" s="126">
        <v>1</v>
      </c>
      <c r="AB61" s="126">
        <v>4</v>
      </c>
      <c r="AC61" s="126">
        <v>100</v>
      </c>
      <c r="AD61" s="102">
        <f t="shared" si="15"/>
        <v>4</v>
      </c>
      <c r="AE61" s="127">
        <f t="shared" si="7"/>
        <v>9</v>
      </c>
      <c r="AF61" s="128">
        <f t="shared" si="8"/>
        <v>20.399999999999999</v>
      </c>
      <c r="AG61" s="108">
        <v>2038</v>
      </c>
      <c r="AH61" s="108" t="str">
        <f t="shared" si="9"/>
        <v>late adopter</v>
      </c>
    </row>
    <row r="62" spans="1:34">
      <c r="A62" s="102" t="s">
        <v>415</v>
      </c>
      <c r="B62" s="120" t="s">
        <v>414</v>
      </c>
      <c r="C62" s="120" t="s">
        <v>83</v>
      </c>
      <c r="D62" s="102" t="s">
        <v>84</v>
      </c>
      <c r="E62" s="109">
        <v>3</v>
      </c>
      <c r="F62" s="102">
        <v>1995</v>
      </c>
      <c r="G62" s="102">
        <v>2016</v>
      </c>
      <c r="H62" s="102">
        <v>2014</v>
      </c>
      <c r="I62" s="102">
        <v>2015</v>
      </c>
      <c r="J62" s="102">
        <v>2022</v>
      </c>
      <c r="K62" s="102">
        <f t="shared" si="13"/>
        <v>3</v>
      </c>
      <c r="L62" s="102">
        <f t="shared" si="13"/>
        <v>1</v>
      </c>
      <c r="M62" s="102">
        <f t="shared" si="13"/>
        <v>2</v>
      </c>
      <c r="N62" s="102">
        <f t="shared" si="13"/>
        <v>2</v>
      </c>
      <c r="O62" s="102">
        <f t="shared" si="13"/>
        <v>1</v>
      </c>
      <c r="P62" s="121">
        <f t="shared" si="2"/>
        <v>1.8</v>
      </c>
      <c r="Q62" s="102">
        <v>0</v>
      </c>
      <c r="R62" s="102">
        <f t="shared" si="3"/>
        <v>1</v>
      </c>
      <c r="S62" s="122">
        <v>101.847718040365</v>
      </c>
      <c r="T62" s="102">
        <f t="shared" si="4"/>
        <v>3</v>
      </c>
      <c r="U62" s="123">
        <v>8.0169108718960302</v>
      </c>
      <c r="V62" s="102">
        <f t="shared" si="5"/>
        <v>3</v>
      </c>
      <c r="W62" s="124">
        <v>41</v>
      </c>
      <c r="X62" s="102">
        <f t="shared" si="16"/>
        <v>3</v>
      </c>
      <c r="Y62" s="125">
        <f t="shared" si="6"/>
        <v>11.8</v>
      </c>
      <c r="Z62" s="126" t="s">
        <v>580</v>
      </c>
      <c r="AA62" s="126">
        <v>1</v>
      </c>
      <c r="AB62" s="126">
        <v>2</v>
      </c>
      <c r="AC62" s="126">
        <v>95.296621569074418</v>
      </c>
      <c r="AD62" s="102">
        <f t="shared" si="15"/>
        <v>3</v>
      </c>
      <c r="AE62" s="127">
        <f t="shared" si="7"/>
        <v>6</v>
      </c>
      <c r="AF62" s="128">
        <f t="shared" si="8"/>
        <v>19.600000000000001</v>
      </c>
      <c r="AG62" s="108">
        <v>2039</v>
      </c>
      <c r="AH62" s="108" t="str">
        <f t="shared" si="9"/>
        <v>late adopter</v>
      </c>
    </row>
    <row r="63" spans="1:34">
      <c r="A63" s="102" t="s">
        <v>199</v>
      </c>
      <c r="B63" s="120" t="s">
        <v>198</v>
      </c>
      <c r="C63" s="120" t="s">
        <v>83</v>
      </c>
      <c r="D63" s="102" t="s">
        <v>75</v>
      </c>
      <c r="E63" s="109" t="s">
        <v>76</v>
      </c>
      <c r="F63" s="102">
        <v>2019</v>
      </c>
      <c r="G63" s="102" t="s">
        <v>566</v>
      </c>
      <c r="H63" s="102">
        <v>2011</v>
      </c>
      <c r="I63" s="102">
        <v>2014</v>
      </c>
      <c r="J63" s="102">
        <v>2018</v>
      </c>
      <c r="K63" s="102">
        <f t="shared" si="13"/>
        <v>1</v>
      </c>
      <c r="L63" s="102">
        <f t="shared" si="13"/>
        <v>1</v>
      </c>
      <c r="M63" s="102">
        <f t="shared" si="13"/>
        <v>3</v>
      </c>
      <c r="N63" s="102">
        <f t="shared" si="13"/>
        <v>2</v>
      </c>
      <c r="O63" s="102">
        <f t="shared" si="13"/>
        <v>2</v>
      </c>
      <c r="P63" s="121">
        <f t="shared" si="2"/>
        <v>1.8</v>
      </c>
      <c r="Q63" s="102">
        <v>3610</v>
      </c>
      <c r="R63" s="102">
        <f t="shared" si="3"/>
        <v>4</v>
      </c>
      <c r="S63" s="122">
        <v>218.999828722166</v>
      </c>
      <c r="T63" s="102">
        <f t="shared" si="4"/>
        <v>3</v>
      </c>
      <c r="U63" s="123">
        <v>2402.63377898617</v>
      </c>
      <c r="V63" s="102">
        <f t="shared" si="5"/>
        <v>4</v>
      </c>
      <c r="W63" s="124">
        <v>3249.3</v>
      </c>
      <c r="X63" s="102">
        <f t="shared" si="16"/>
        <v>4</v>
      </c>
      <c r="Y63" s="125">
        <f t="shared" si="6"/>
        <v>16.8</v>
      </c>
      <c r="Z63" s="126" t="s">
        <v>583</v>
      </c>
      <c r="AA63" s="126">
        <v>3</v>
      </c>
      <c r="AB63" s="126">
        <v>1</v>
      </c>
      <c r="AC63" s="126">
        <v>14.752474572462514</v>
      </c>
      <c r="AD63" s="102">
        <f t="shared" si="15"/>
        <v>1</v>
      </c>
      <c r="AE63" s="127">
        <f t="shared" si="7"/>
        <v>5</v>
      </c>
      <c r="AF63" s="128">
        <f t="shared" si="8"/>
        <v>23.6</v>
      </c>
      <c r="AG63" s="108">
        <v>2033</v>
      </c>
      <c r="AH63" s="108" t="str">
        <f t="shared" si="9"/>
        <v>early adopter</v>
      </c>
    </row>
    <row r="64" spans="1:34">
      <c r="A64" s="102" t="s">
        <v>201</v>
      </c>
      <c r="B64" s="120" t="s">
        <v>200</v>
      </c>
      <c r="C64" s="120" t="s">
        <v>99</v>
      </c>
      <c r="D64" s="102" t="s">
        <v>80</v>
      </c>
      <c r="E64" s="109">
        <v>4</v>
      </c>
      <c r="F64" s="102">
        <v>2003</v>
      </c>
      <c r="G64" s="102">
        <v>2003</v>
      </c>
      <c r="H64" s="102">
        <v>2012</v>
      </c>
      <c r="I64" s="102">
        <v>2012</v>
      </c>
      <c r="J64" s="102">
        <v>2013</v>
      </c>
      <c r="K64" s="102">
        <f t="shared" si="13"/>
        <v>2</v>
      </c>
      <c r="L64" s="102">
        <f t="shared" si="13"/>
        <v>2</v>
      </c>
      <c r="M64" s="102">
        <f t="shared" si="13"/>
        <v>2</v>
      </c>
      <c r="N64" s="102">
        <f t="shared" si="13"/>
        <v>3</v>
      </c>
      <c r="O64" s="102">
        <f t="shared" si="13"/>
        <v>3</v>
      </c>
      <c r="P64" s="121">
        <f t="shared" si="2"/>
        <v>2.4</v>
      </c>
      <c r="Q64" s="102">
        <v>30</v>
      </c>
      <c r="R64" s="102">
        <f t="shared" si="3"/>
        <v>2</v>
      </c>
      <c r="S64" s="122">
        <v>131.64058665978899</v>
      </c>
      <c r="T64" s="102">
        <f t="shared" si="4"/>
        <v>3</v>
      </c>
      <c r="U64" s="123">
        <v>1.5951316980036401</v>
      </c>
      <c r="V64" s="102">
        <f t="shared" si="5"/>
        <v>3</v>
      </c>
      <c r="W64" s="124">
        <v>1.7067E-3</v>
      </c>
      <c r="X64" s="102">
        <f t="shared" si="16"/>
        <v>3</v>
      </c>
      <c r="Y64" s="125">
        <f t="shared" si="6"/>
        <v>13.4</v>
      </c>
      <c r="Z64" s="126" t="s">
        <v>580</v>
      </c>
      <c r="AA64" s="126">
        <v>1</v>
      </c>
      <c r="AB64" s="126">
        <v>3</v>
      </c>
      <c r="AC64" s="126">
        <v>93.000000000000028</v>
      </c>
      <c r="AD64" s="102">
        <v>3</v>
      </c>
      <c r="AE64" s="127">
        <f t="shared" si="7"/>
        <v>7</v>
      </c>
      <c r="AF64" s="128">
        <f t="shared" si="8"/>
        <v>22.8</v>
      </c>
      <c r="AG64" s="108">
        <v>2034</v>
      </c>
      <c r="AH64" s="108" t="str">
        <f t="shared" si="9"/>
        <v>mid adopter</v>
      </c>
    </row>
    <row r="65" spans="1:34">
      <c r="A65" s="102" t="s">
        <v>203</v>
      </c>
      <c r="B65" s="120" t="s">
        <v>202</v>
      </c>
      <c r="C65" s="120" t="s">
        <v>79</v>
      </c>
      <c r="D65" s="102" t="s">
        <v>87</v>
      </c>
      <c r="E65" s="109">
        <v>1</v>
      </c>
      <c r="F65" s="102">
        <v>1982</v>
      </c>
      <c r="G65" s="102">
        <v>1975</v>
      </c>
      <c r="H65" s="102">
        <v>2010</v>
      </c>
      <c r="I65" s="102">
        <v>2009</v>
      </c>
      <c r="J65" s="102">
        <v>2013</v>
      </c>
      <c r="K65" s="102">
        <f t="shared" si="13"/>
        <v>4</v>
      </c>
      <c r="L65" s="102">
        <f t="shared" si="13"/>
        <v>4</v>
      </c>
      <c r="M65" s="102">
        <f t="shared" si="13"/>
        <v>3</v>
      </c>
      <c r="N65" s="102">
        <f t="shared" si="13"/>
        <v>4</v>
      </c>
      <c r="O65" s="102">
        <f t="shared" si="13"/>
        <v>3</v>
      </c>
      <c r="P65" s="121">
        <f t="shared" si="2"/>
        <v>3.6</v>
      </c>
      <c r="Q65" s="102">
        <v>12</v>
      </c>
      <c r="R65" s="102">
        <f t="shared" si="3"/>
        <v>2</v>
      </c>
      <c r="S65" s="122">
        <v>0.28764427750925797</v>
      </c>
      <c r="T65" s="102">
        <f t="shared" si="4"/>
        <v>1</v>
      </c>
      <c r="U65" s="123">
        <v>5.6458996120105796E-3</v>
      </c>
      <c r="V65" s="102">
        <f t="shared" si="5"/>
        <v>1</v>
      </c>
      <c r="W65" s="124">
        <v>0</v>
      </c>
      <c r="X65" s="102">
        <f t="shared" si="16"/>
        <v>2</v>
      </c>
      <c r="Y65" s="125">
        <f t="shared" si="6"/>
        <v>9.6</v>
      </c>
      <c r="Z65" s="126" t="s">
        <v>580</v>
      </c>
      <c r="AA65" s="126">
        <v>1</v>
      </c>
      <c r="AB65" s="126">
        <v>4</v>
      </c>
      <c r="AC65" s="126">
        <v>100</v>
      </c>
      <c r="AD65" s="102">
        <f>IF(AND(AC65&gt;=AC$200,AC65&lt;AC$201),1,IF(AND(AC65&gt;=AC$201,AC65&lt;AC$202),2,IF(AND(AC65&gt;=AC$202,AC65&lt;AC$203),3,IF(AND(AC65&gt;=AC$203,AC65&lt;=AC$204),4,"empty"))))</f>
        <v>4</v>
      </c>
      <c r="AE65" s="127">
        <f t="shared" si="7"/>
        <v>9</v>
      </c>
      <c r="AF65" s="128">
        <f t="shared" si="8"/>
        <v>22.2</v>
      </c>
      <c r="AG65" s="108">
        <v>2035</v>
      </c>
      <c r="AH65" s="108" t="str">
        <f t="shared" si="9"/>
        <v>mid adopter</v>
      </c>
    </row>
    <row r="66" spans="1:34">
      <c r="A66" s="102" t="s">
        <v>205</v>
      </c>
      <c r="B66" s="120" t="s">
        <v>204</v>
      </c>
      <c r="C66" s="120" t="s">
        <v>79</v>
      </c>
      <c r="D66" s="102" t="s">
        <v>87</v>
      </c>
      <c r="E66" s="109">
        <v>1</v>
      </c>
      <c r="F66" s="102">
        <v>1996</v>
      </c>
      <c r="G66" s="102">
        <v>1970</v>
      </c>
      <c r="H66" s="102">
        <v>2006</v>
      </c>
      <c r="I66" s="102" t="s">
        <v>566</v>
      </c>
      <c r="J66" s="102">
        <v>2006</v>
      </c>
      <c r="K66" s="102">
        <f t="shared" si="13"/>
        <v>3</v>
      </c>
      <c r="L66" s="102">
        <f t="shared" si="13"/>
        <v>4</v>
      </c>
      <c r="M66" s="102">
        <f t="shared" si="13"/>
        <v>4</v>
      </c>
      <c r="N66" s="102">
        <f t="shared" si="13"/>
        <v>1</v>
      </c>
      <c r="O66" s="102">
        <f t="shared" si="13"/>
        <v>4</v>
      </c>
      <c r="P66" s="121">
        <f t="shared" si="2"/>
        <v>3.2</v>
      </c>
      <c r="Q66" s="102">
        <v>2637</v>
      </c>
      <c r="R66" s="102">
        <f t="shared" si="3"/>
        <v>4</v>
      </c>
      <c r="S66" s="122">
        <v>6.1327627747474001</v>
      </c>
      <c r="T66" s="102">
        <f t="shared" si="4"/>
        <v>2</v>
      </c>
      <c r="U66" s="123">
        <v>0.19215692334357101</v>
      </c>
      <c r="V66" s="102">
        <f t="shared" si="5"/>
        <v>2</v>
      </c>
      <c r="W66" s="124">
        <v>0</v>
      </c>
      <c r="X66" s="102">
        <f t="shared" si="16"/>
        <v>2</v>
      </c>
      <c r="Y66" s="125">
        <f t="shared" si="6"/>
        <v>13.2</v>
      </c>
      <c r="Z66" s="126" t="s">
        <v>580</v>
      </c>
      <c r="AA66" s="126">
        <v>1</v>
      </c>
      <c r="AB66" s="126">
        <v>4</v>
      </c>
      <c r="AC66" s="126" t="s">
        <v>582</v>
      </c>
      <c r="AD66" s="126">
        <v>4</v>
      </c>
      <c r="AE66" s="127">
        <f t="shared" si="7"/>
        <v>9</v>
      </c>
      <c r="AF66" s="128">
        <f t="shared" si="8"/>
        <v>25.4</v>
      </c>
      <c r="AG66" s="108">
        <v>2030</v>
      </c>
      <c r="AH66" s="108" t="str">
        <f t="shared" si="9"/>
        <v>early adopter</v>
      </c>
    </row>
    <row r="67" spans="1:34">
      <c r="A67" s="102" t="s">
        <v>207</v>
      </c>
      <c r="B67" s="120" t="s">
        <v>206</v>
      </c>
      <c r="C67" s="120" t="s">
        <v>83</v>
      </c>
      <c r="D67" s="102" t="s">
        <v>80</v>
      </c>
      <c r="E67" s="109">
        <v>3</v>
      </c>
      <c r="F67" s="102" t="s">
        <v>566</v>
      </c>
      <c r="G67" s="102" t="s">
        <v>566</v>
      </c>
      <c r="H67" s="102" t="s">
        <v>566</v>
      </c>
      <c r="I67" s="102" t="s">
        <v>566</v>
      </c>
      <c r="J67" s="102" t="s">
        <v>566</v>
      </c>
      <c r="K67" s="102">
        <f t="shared" si="13"/>
        <v>1</v>
      </c>
      <c r="L67" s="102">
        <f t="shared" si="13"/>
        <v>1</v>
      </c>
      <c r="M67" s="102">
        <f t="shared" si="13"/>
        <v>1</v>
      </c>
      <c r="N67" s="102">
        <f t="shared" si="13"/>
        <v>1</v>
      </c>
      <c r="O67" s="102">
        <f t="shared" si="13"/>
        <v>1</v>
      </c>
      <c r="P67" s="121">
        <f t="shared" si="2"/>
        <v>1</v>
      </c>
      <c r="Q67" s="102">
        <v>2</v>
      </c>
      <c r="R67" s="102">
        <f t="shared" si="3"/>
        <v>2</v>
      </c>
      <c r="S67" s="122">
        <v>948.39560711021602</v>
      </c>
      <c r="T67" s="102">
        <f t="shared" si="4"/>
        <v>4</v>
      </c>
      <c r="U67" s="123">
        <v>20.222479705984501</v>
      </c>
      <c r="V67" s="102">
        <f t="shared" si="5"/>
        <v>3</v>
      </c>
      <c r="W67" s="124">
        <v>51.033999999999999</v>
      </c>
      <c r="X67" s="102">
        <f t="shared" si="16"/>
        <v>3</v>
      </c>
      <c r="Y67" s="125">
        <f t="shared" si="6"/>
        <v>13</v>
      </c>
      <c r="Z67" s="126" t="s">
        <v>580</v>
      </c>
      <c r="AA67" s="126">
        <v>1</v>
      </c>
      <c r="AB67" s="126">
        <v>3</v>
      </c>
      <c r="AC67" s="126">
        <v>100</v>
      </c>
      <c r="AD67" s="102">
        <f>IF(AND(AC67&gt;=AC$200,AC67&lt;AC$201),1,IF(AND(AC67&gt;=AC$201,AC67&lt;AC$202),2,IF(AND(AC67&gt;=AC$202,AC67&lt;AC$203),3,IF(AND(AC67&gt;=AC$203,AC67&lt;=AC$204),4,"empty"))))</f>
        <v>4</v>
      </c>
      <c r="AE67" s="127">
        <f t="shared" si="7"/>
        <v>8</v>
      </c>
      <c r="AF67" s="128">
        <f t="shared" si="8"/>
        <v>22</v>
      </c>
      <c r="AG67" s="108">
        <v>2035</v>
      </c>
      <c r="AH67" s="108" t="str">
        <f t="shared" si="9"/>
        <v>mid adopter</v>
      </c>
    </row>
    <row r="68" spans="1:34">
      <c r="A68" s="102" t="s">
        <v>209</v>
      </c>
      <c r="B68" s="120" t="s">
        <v>208</v>
      </c>
      <c r="C68" s="120" t="s">
        <v>83</v>
      </c>
      <c r="D68" s="102" t="s">
        <v>75</v>
      </c>
      <c r="E68" s="109">
        <v>3</v>
      </c>
      <c r="F68" s="102">
        <v>2012</v>
      </c>
      <c r="G68" s="102">
        <v>2016</v>
      </c>
      <c r="H68" s="102">
        <v>2009</v>
      </c>
      <c r="I68" s="102">
        <v>2013</v>
      </c>
      <c r="J68" s="102">
        <v>2019</v>
      </c>
      <c r="K68" s="102">
        <f t="shared" ref="K68:O99" si="17">IF(AND(F68&gt;=F$200,F68&lt;F$201),4,IF(AND(F68&gt;=F$201,F68&lt;F$202),3,IF(AND(F68&gt;=F$202,F68&lt;F$203),2,IF(AND(F68&gt;=F$203,F68&lt;=F$204),1,1))))</f>
        <v>1</v>
      </c>
      <c r="L68" s="102">
        <f t="shared" si="17"/>
        <v>1</v>
      </c>
      <c r="M68" s="102">
        <f t="shared" si="17"/>
        <v>3</v>
      </c>
      <c r="N68" s="102">
        <f t="shared" si="17"/>
        <v>3</v>
      </c>
      <c r="O68" s="102">
        <f t="shared" si="17"/>
        <v>2</v>
      </c>
      <c r="P68" s="121">
        <f t="shared" ref="P68:P131" si="18">AVERAGE(K68:O68)</f>
        <v>2</v>
      </c>
      <c r="Q68" s="102">
        <v>2</v>
      </c>
      <c r="R68" s="102">
        <f t="shared" ref="R68:R131" si="19">IF(AND(Q68&gt;=Q$200,Q68&lt;Q$201),1,IF(AND(Q68&gt;=Q$201,Q68&lt;Q$202),2,IF(AND(Q68&gt;=Q$202,Q68&lt;Q$203),3,IF(AND(Q68&gt;=Q$203,Q68&lt;=Q$204),4,"empty"))))</f>
        <v>2</v>
      </c>
      <c r="S68" s="122">
        <v>143.45459313573201</v>
      </c>
      <c r="T68" s="102">
        <f t="shared" ref="T68:T131" si="20">IF(AND(S68&gt;=S$200,S68&lt;S$201),1,IF(AND(S68&gt;=S$201,S68&lt;S$202),2,IF(AND(S68&gt;=S$202,S68&lt;S$203),3,IF(AND(S68&gt;=S$203,S68&lt;=S$204),4,"empty"))))</f>
        <v>3</v>
      </c>
      <c r="U68" s="123">
        <v>30.117201496743899</v>
      </c>
      <c r="V68" s="102">
        <f t="shared" ref="V68:V131" si="21">IF(AND(U68&gt;=U$200,U68&lt;U$201),1,IF(AND(U68&gt;=U$201,U68&lt;U$202),2,IF(AND(U68&gt;=U$202,U68&lt;U$203),3,IF(AND(U68&gt;=U$203,U68&lt;=U$204),4,"empty"))))</f>
        <v>3</v>
      </c>
      <c r="W68" s="124">
        <v>65.055999999999997</v>
      </c>
      <c r="X68" s="102">
        <f t="shared" si="16"/>
        <v>3</v>
      </c>
      <c r="Y68" s="125">
        <f t="shared" ref="Y68:Y131" si="22">V68+T68+R68+P68+X68</f>
        <v>13</v>
      </c>
      <c r="Z68" s="126" t="s">
        <v>579</v>
      </c>
      <c r="AA68" s="126">
        <v>4</v>
      </c>
      <c r="AB68" s="126">
        <v>1</v>
      </c>
      <c r="AC68" s="126">
        <v>39.280253923237836</v>
      </c>
      <c r="AD68" s="102">
        <f>IF(AND(AC68&gt;=AC$200,AC68&lt;AC$201),1,IF(AND(AC68&gt;=AC$201,AC68&lt;AC$202),2,IF(AND(AC68&gt;=AC$202,AC68&lt;AC$203),3,IF(AND(AC68&gt;=AC$203,AC68&lt;=AC$204),4,"empty"))))</f>
        <v>2</v>
      </c>
      <c r="AE68" s="127">
        <f t="shared" ref="AE68:AE131" si="23">SUM(AD68,AB68,AA68)</f>
        <v>7</v>
      </c>
      <c r="AF68" s="128">
        <f t="shared" ref="AF68:AF131" si="24">Y68+P68+AE68</f>
        <v>22</v>
      </c>
      <c r="AG68" s="108">
        <v>2035</v>
      </c>
      <c r="AH68" s="108" t="str">
        <f t="shared" ref="AH68:AH131" si="25">IF(AG68&lt;2034,"early adopter",IF(AG68&gt;2037,"late adopter","mid adopter"))</f>
        <v>mid adopter</v>
      </c>
    </row>
    <row r="69" spans="1:34">
      <c r="A69" s="102" t="s">
        <v>211</v>
      </c>
      <c r="B69" s="120" t="s">
        <v>210</v>
      </c>
      <c r="C69" s="120" t="s">
        <v>79</v>
      </c>
      <c r="D69" s="102" t="s">
        <v>80</v>
      </c>
      <c r="E69" s="109">
        <v>1</v>
      </c>
      <c r="F69" s="102">
        <v>1986</v>
      </c>
      <c r="G69" s="102">
        <v>2004</v>
      </c>
      <c r="H69" s="102">
        <v>2014</v>
      </c>
      <c r="I69" s="102">
        <v>2013</v>
      </c>
      <c r="J69" s="102">
        <v>2019</v>
      </c>
      <c r="K69" s="102">
        <f t="shared" si="17"/>
        <v>4</v>
      </c>
      <c r="L69" s="102">
        <f t="shared" si="17"/>
        <v>2</v>
      </c>
      <c r="M69" s="102">
        <f t="shared" si="17"/>
        <v>2</v>
      </c>
      <c r="N69" s="102">
        <f t="shared" si="17"/>
        <v>3</v>
      </c>
      <c r="O69" s="102">
        <f t="shared" si="17"/>
        <v>2</v>
      </c>
      <c r="P69" s="121">
        <f t="shared" si="18"/>
        <v>2.6</v>
      </c>
      <c r="Q69" s="102">
        <v>3920</v>
      </c>
      <c r="R69" s="102">
        <f t="shared" si="19"/>
        <v>4</v>
      </c>
      <c r="S69" s="122">
        <v>211.38164561823501</v>
      </c>
      <c r="T69" s="102">
        <f t="shared" si="20"/>
        <v>3</v>
      </c>
      <c r="U69" s="123">
        <v>6.4356226391519703E-3</v>
      </c>
      <c r="V69" s="102">
        <f t="shared" si="21"/>
        <v>1</v>
      </c>
      <c r="W69" s="124">
        <v>0</v>
      </c>
      <c r="X69" s="102">
        <f t="shared" si="16"/>
        <v>2</v>
      </c>
      <c r="Y69" s="125">
        <f t="shared" si="22"/>
        <v>12.6</v>
      </c>
      <c r="Z69" s="126" t="s">
        <v>581</v>
      </c>
      <c r="AA69" s="126">
        <v>1</v>
      </c>
      <c r="AB69" s="126">
        <v>3</v>
      </c>
      <c r="AC69" s="126">
        <v>91.141000985916037</v>
      </c>
      <c r="AD69" s="102">
        <f>IF(AND(AC69&gt;=AC$200,AC69&lt;AC$201),1,IF(AND(AC69&gt;=AC$201,AC69&lt;AC$202),2,IF(AND(AC69&gt;=AC$202,AC69&lt;AC$203),3,IF(AND(AC69&gt;=AC$203,AC69&lt;=AC$204),4,"empty"))))</f>
        <v>2</v>
      </c>
      <c r="AE69" s="127">
        <f t="shared" si="23"/>
        <v>6</v>
      </c>
      <c r="AF69" s="128">
        <f t="shared" si="24"/>
        <v>21.2</v>
      </c>
      <c r="AG69" s="108">
        <v>2037</v>
      </c>
      <c r="AH69" s="108" t="str">
        <f t="shared" si="25"/>
        <v>mid adopter</v>
      </c>
    </row>
    <row r="70" spans="1:34">
      <c r="A70" s="102" t="s">
        <v>213</v>
      </c>
      <c r="B70" s="120" t="s">
        <v>212</v>
      </c>
      <c r="C70" s="120" t="s">
        <v>79</v>
      </c>
      <c r="D70" s="102" t="s">
        <v>87</v>
      </c>
      <c r="E70" s="109">
        <v>1</v>
      </c>
      <c r="F70" s="102">
        <v>1991</v>
      </c>
      <c r="G70" s="102">
        <v>1991</v>
      </c>
      <c r="H70" s="102">
        <v>2006</v>
      </c>
      <c r="I70" s="102">
        <v>2013</v>
      </c>
      <c r="J70" s="102">
        <v>2007</v>
      </c>
      <c r="K70" s="102">
        <f t="shared" si="17"/>
        <v>4</v>
      </c>
      <c r="L70" s="102">
        <f t="shared" si="17"/>
        <v>3</v>
      </c>
      <c r="M70" s="102">
        <f t="shared" si="17"/>
        <v>4</v>
      </c>
      <c r="N70" s="102">
        <f t="shared" si="17"/>
        <v>3</v>
      </c>
      <c r="O70" s="102">
        <f t="shared" si="17"/>
        <v>4</v>
      </c>
      <c r="P70" s="121">
        <f t="shared" si="18"/>
        <v>3.6</v>
      </c>
      <c r="Q70" s="102">
        <v>507</v>
      </c>
      <c r="R70" s="102">
        <f t="shared" si="19"/>
        <v>3</v>
      </c>
      <c r="S70" s="122">
        <v>1.0205176359994901</v>
      </c>
      <c r="T70" s="102">
        <f t="shared" si="20"/>
        <v>2</v>
      </c>
      <c r="U70" s="123">
        <v>0.67453115230781102</v>
      </c>
      <c r="V70" s="102">
        <f t="shared" si="21"/>
        <v>3</v>
      </c>
      <c r="W70" s="124">
        <v>0</v>
      </c>
      <c r="X70" s="102">
        <f t="shared" si="16"/>
        <v>2</v>
      </c>
      <c r="Y70" s="125">
        <f t="shared" si="22"/>
        <v>13.6</v>
      </c>
      <c r="Z70" s="126" t="s">
        <v>580</v>
      </c>
      <c r="AA70" s="126">
        <v>1</v>
      </c>
      <c r="AB70" s="126">
        <v>4</v>
      </c>
      <c r="AC70" s="126" t="s">
        <v>582</v>
      </c>
      <c r="AD70" s="126">
        <v>4</v>
      </c>
      <c r="AE70" s="127">
        <f t="shared" si="23"/>
        <v>9</v>
      </c>
      <c r="AF70" s="128">
        <f t="shared" si="24"/>
        <v>26.2</v>
      </c>
      <c r="AG70" s="108">
        <v>2030</v>
      </c>
      <c r="AH70" s="108" t="str">
        <f t="shared" si="25"/>
        <v>early adopter</v>
      </c>
    </row>
    <row r="71" spans="1:34">
      <c r="A71" s="102" t="s">
        <v>215</v>
      </c>
      <c r="B71" s="120" t="s">
        <v>214</v>
      </c>
      <c r="C71" s="120" t="s">
        <v>83</v>
      </c>
      <c r="D71" s="102" t="s">
        <v>84</v>
      </c>
      <c r="E71" s="109">
        <v>3</v>
      </c>
      <c r="F71" s="102">
        <v>2012</v>
      </c>
      <c r="G71" s="102">
        <v>2013</v>
      </c>
      <c r="H71" s="102">
        <v>2012</v>
      </c>
      <c r="I71" s="102">
        <v>2012</v>
      </c>
      <c r="J71" s="102" t="s">
        <v>566</v>
      </c>
      <c r="K71" s="102">
        <f t="shared" si="17"/>
        <v>1</v>
      </c>
      <c r="L71" s="102">
        <f t="shared" si="17"/>
        <v>1</v>
      </c>
      <c r="M71" s="102">
        <f t="shared" si="17"/>
        <v>2</v>
      </c>
      <c r="N71" s="102">
        <f t="shared" si="17"/>
        <v>3</v>
      </c>
      <c r="O71" s="102">
        <f t="shared" si="17"/>
        <v>1</v>
      </c>
      <c r="P71" s="121">
        <f t="shared" si="18"/>
        <v>1.6</v>
      </c>
      <c r="Q71" s="102">
        <v>1420</v>
      </c>
      <c r="R71" s="102">
        <f t="shared" si="19"/>
        <v>4</v>
      </c>
      <c r="S71" s="122">
        <v>363.79736987027798</v>
      </c>
      <c r="T71" s="102">
        <f t="shared" si="20"/>
        <v>4</v>
      </c>
      <c r="U71" s="123">
        <v>587.43071977962597</v>
      </c>
      <c r="V71" s="102">
        <f t="shared" si="21"/>
        <v>4</v>
      </c>
      <c r="W71" s="124">
        <v>939.37</v>
      </c>
      <c r="X71" s="102">
        <f t="shared" si="16"/>
        <v>4</v>
      </c>
      <c r="Y71" s="125">
        <f t="shared" si="22"/>
        <v>17.600000000000001</v>
      </c>
      <c r="Z71" s="126" t="s">
        <v>581</v>
      </c>
      <c r="AA71" s="126">
        <v>1</v>
      </c>
      <c r="AB71" s="126">
        <v>2</v>
      </c>
      <c r="AC71" s="126">
        <v>35.502290805142117</v>
      </c>
      <c r="AD71" s="102">
        <f>IF(AND(AC71&gt;=AC$200,AC71&lt;AC$201),1,IF(AND(AC71&gt;=AC$201,AC71&lt;AC$202),2,IF(AND(AC71&gt;=AC$202,AC71&lt;AC$203),3,IF(AND(AC71&gt;=AC$203,AC71&lt;=AC$204),4,"empty"))))</f>
        <v>2</v>
      </c>
      <c r="AE71" s="127">
        <f t="shared" si="23"/>
        <v>5</v>
      </c>
      <c r="AF71" s="128">
        <f t="shared" si="24"/>
        <v>24.200000000000003</v>
      </c>
      <c r="AG71" s="108">
        <v>2032</v>
      </c>
      <c r="AH71" s="108" t="str">
        <f t="shared" si="25"/>
        <v>early adopter</v>
      </c>
    </row>
    <row r="72" spans="1:34">
      <c r="A72" s="102" t="s">
        <v>217</v>
      </c>
      <c r="B72" s="120" t="s">
        <v>216</v>
      </c>
      <c r="C72" s="120" t="s">
        <v>79</v>
      </c>
      <c r="D72" s="102" t="s">
        <v>87</v>
      </c>
      <c r="E72" s="109">
        <v>1</v>
      </c>
      <c r="F72" s="102">
        <v>1995</v>
      </c>
      <c r="G72" s="102">
        <v>1995</v>
      </c>
      <c r="H72" s="102">
        <v>2006</v>
      </c>
      <c r="I72" s="102">
        <v>2011</v>
      </c>
      <c r="J72" s="102">
        <v>2009</v>
      </c>
      <c r="K72" s="102">
        <f t="shared" si="17"/>
        <v>3</v>
      </c>
      <c r="L72" s="102">
        <f t="shared" si="17"/>
        <v>3</v>
      </c>
      <c r="M72" s="102">
        <f t="shared" si="17"/>
        <v>4</v>
      </c>
      <c r="N72" s="102">
        <f t="shared" si="17"/>
        <v>4</v>
      </c>
      <c r="O72" s="102">
        <f t="shared" si="17"/>
        <v>4</v>
      </c>
      <c r="P72" s="121">
        <f t="shared" si="18"/>
        <v>3.6</v>
      </c>
      <c r="Q72" s="102">
        <v>45</v>
      </c>
      <c r="R72" s="102">
        <f t="shared" si="19"/>
        <v>2</v>
      </c>
      <c r="S72" s="122">
        <v>0.54233673729051801</v>
      </c>
      <c r="T72" s="102">
        <f t="shared" si="20"/>
        <v>2</v>
      </c>
      <c r="U72" s="123">
        <v>1.0287066400294399E-2</v>
      </c>
      <c r="V72" s="102">
        <f t="shared" si="21"/>
        <v>2</v>
      </c>
      <c r="W72" s="124">
        <v>0.1157</v>
      </c>
      <c r="X72" s="102">
        <f t="shared" si="16"/>
        <v>3</v>
      </c>
      <c r="Y72" s="125">
        <f t="shared" si="22"/>
        <v>12.6</v>
      </c>
      <c r="Z72" s="126" t="s">
        <v>580</v>
      </c>
      <c r="AA72" s="126">
        <v>1</v>
      </c>
      <c r="AB72" s="126">
        <v>4</v>
      </c>
      <c r="AC72" s="126" t="s">
        <v>582</v>
      </c>
      <c r="AD72" s="126">
        <v>4</v>
      </c>
      <c r="AE72" s="127">
        <f t="shared" si="23"/>
        <v>9</v>
      </c>
      <c r="AF72" s="128">
        <f t="shared" si="24"/>
        <v>25.2</v>
      </c>
      <c r="AG72" s="108">
        <v>2031</v>
      </c>
      <c r="AH72" s="108" t="str">
        <f t="shared" si="25"/>
        <v>early adopter</v>
      </c>
    </row>
    <row r="73" spans="1:34">
      <c r="A73" s="102" t="s">
        <v>219</v>
      </c>
      <c r="B73" s="120" t="s">
        <v>218</v>
      </c>
      <c r="C73" s="120" t="s">
        <v>92</v>
      </c>
      <c r="D73" s="102" t="s">
        <v>80</v>
      </c>
      <c r="E73" s="109">
        <v>1</v>
      </c>
      <c r="F73" s="102">
        <v>2000</v>
      </c>
      <c r="G73" s="102">
        <v>1993</v>
      </c>
      <c r="H73" s="102" t="s">
        <v>566</v>
      </c>
      <c r="I73" s="102" t="s">
        <v>566</v>
      </c>
      <c r="J73" s="102">
        <v>2019</v>
      </c>
      <c r="K73" s="102">
        <f t="shared" si="17"/>
        <v>3</v>
      </c>
      <c r="L73" s="102">
        <f t="shared" si="17"/>
        <v>3</v>
      </c>
      <c r="M73" s="102">
        <f t="shared" si="17"/>
        <v>1</v>
      </c>
      <c r="N73" s="102">
        <f t="shared" si="17"/>
        <v>1</v>
      </c>
      <c r="O73" s="102">
        <f t="shared" si="17"/>
        <v>2</v>
      </c>
      <c r="P73" s="121">
        <f t="shared" si="18"/>
        <v>2</v>
      </c>
      <c r="Q73" s="102">
        <v>0</v>
      </c>
      <c r="R73" s="102">
        <f t="shared" si="19"/>
        <v>1</v>
      </c>
      <c r="S73" s="122">
        <v>3.6875935248934698E-2</v>
      </c>
      <c r="T73" s="102">
        <f t="shared" si="20"/>
        <v>1</v>
      </c>
      <c r="U73" s="123">
        <v>0</v>
      </c>
      <c r="V73" s="102">
        <f t="shared" si="21"/>
        <v>1</v>
      </c>
      <c r="W73" s="124">
        <v>0</v>
      </c>
      <c r="X73" s="102">
        <f t="shared" si="16"/>
        <v>2</v>
      </c>
      <c r="Y73" s="125">
        <f t="shared" si="22"/>
        <v>7</v>
      </c>
      <c r="Z73" s="126" t="s">
        <v>580</v>
      </c>
      <c r="AA73" s="126">
        <v>1</v>
      </c>
      <c r="AB73" s="126">
        <v>3</v>
      </c>
      <c r="AC73" s="126">
        <v>100</v>
      </c>
      <c r="AD73" s="102">
        <f>IF(AND(AC73&gt;=AC$200,AC73&lt;AC$201),1,IF(AND(AC73&gt;=AC$201,AC73&lt;AC$202),2,IF(AND(AC73&gt;=AC$202,AC73&lt;AC$203),3,IF(AND(AC73&gt;=AC$203,AC73&lt;=AC$204),4,"empty"))))</f>
        <v>4</v>
      </c>
      <c r="AE73" s="127">
        <f t="shared" si="23"/>
        <v>8</v>
      </c>
      <c r="AF73" s="128">
        <f t="shared" si="24"/>
        <v>17</v>
      </c>
      <c r="AG73" s="108">
        <v>2041</v>
      </c>
      <c r="AH73" s="108" t="str">
        <f t="shared" si="25"/>
        <v>late adopter</v>
      </c>
    </row>
    <row r="74" spans="1:34">
      <c r="A74" s="102" t="s">
        <v>221</v>
      </c>
      <c r="B74" s="120" t="s">
        <v>220</v>
      </c>
      <c r="C74" s="120" t="s">
        <v>92</v>
      </c>
      <c r="D74" s="102" t="s">
        <v>80</v>
      </c>
      <c r="E74" s="109">
        <v>1</v>
      </c>
      <c r="F74" s="102">
        <v>2016</v>
      </c>
      <c r="G74" s="102">
        <v>2001</v>
      </c>
      <c r="H74" s="102">
        <v>2012</v>
      </c>
      <c r="I74" s="102">
        <v>2010</v>
      </c>
      <c r="J74" s="102">
        <v>2018</v>
      </c>
      <c r="K74" s="102">
        <f t="shared" si="17"/>
        <v>1</v>
      </c>
      <c r="L74" s="102">
        <f t="shared" si="17"/>
        <v>2</v>
      </c>
      <c r="M74" s="102">
        <f t="shared" si="17"/>
        <v>2</v>
      </c>
      <c r="N74" s="102">
        <f t="shared" si="17"/>
        <v>4</v>
      </c>
      <c r="O74" s="102">
        <f t="shared" si="17"/>
        <v>2</v>
      </c>
      <c r="P74" s="121">
        <f t="shared" si="18"/>
        <v>2.2000000000000002</v>
      </c>
      <c r="Q74" s="102">
        <v>0</v>
      </c>
      <c r="R74" s="102">
        <f t="shared" si="19"/>
        <v>1</v>
      </c>
      <c r="S74" s="122">
        <v>1.29060283636049E-2</v>
      </c>
      <c r="T74" s="102">
        <f t="shared" si="20"/>
        <v>1</v>
      </c>
      <c r="U74" s="123">
        <v>0</v>
      </c>
      <c r="V74" s="102">
        <f t="shared" si="21"/>
        <v>1</v>
      </c>
      <c r="W74" s="124">
        <v>0</v>
      </c>
      <c r="X74" s="102">
        <f t="shared" si="16"/>
        <v>2</v>
      </c>
      <c r="Y74" s="125">
        <f t="shared" si="22"/>
        <v>7.2</v>
      </c>
      <c r="Z74" s="126" t="s">
        <v>580</v>
      </c>
      <c r="AA74" s="126">
        <v>1</v>
      </c>
      <c r="AB74" s="126">
        <v>3</v>
      </c>
      <c r="AC74" s="126">
        <v>100</v>
      </c>
      <c r="AD74" s="102">
        <f>IF(AND(AC74&gt;=AC$200,AC74&lt;AC$201),1,IF(AND(AC74&gt;=AC$201,AC74&lt;AC$202),2,IF(AND(AC74&gt;=AC$202,AC74&lt;AC$203),3,IF(AND(AC74&gt;=AC$203,AC74&lt;=AC$204),4,"empty"))))</f>
        <v>4</v>
      </c>
      <c r="AE74" s="127">
        <f t="shared" si="23"/>
        <v>8</v>
      </c>
      <c r="AF74" s="128">
        <f t="shared" si="24"/>
        <v>17.399999999999999</v>
      </c>
      <c r="AG74" s="108">
        <v>2040</v>
      </c>
      <c r="AH74" s="108" t="str">
        <f t="shared" si="25"/>
        <v>late adopter</v>
      </c>
    </row>
    <row r="75" spans="1:34">
      <c r="A75" s="102" t="s">
        <v>223</v>
      </c>
      <c r="B75" s="120" t="s">
        <v>222</v>
      </c>
      <c r="C75" s="120" t="s">
        <v>83</v>
      </c>
      <c r="D75" s="102" t="s">
        <v>75</v>
      </c>
      <c r="E75" s="109">
        <v>3</v>
      </c>
      <c r="F75" s="102">
        <v>2021</v>
      </c>
      <c r="G75" s="102">
        <v>2023</v>
      </c>
      <c r="H75" s="102" t="s">
        <v>566</v>
      </c>
      <c r="I75" s="102" t="s">
        <v>566</v>
      </c>
      <c r="J75" s="102">
        <v>2023</v>
      </c>
      <c r="K75" s="102">
        <f t="shared" si="17"/>
        <v>1</v>
      </c>
      <c r="L75" s="102">
        <f t="shared" si="17"/>
        <v>1</v>
      </c>
      <c r="M75" s="102">
        <f t="shared" si="17"/>
        <v>1</v>
      </c>
      <c r="N75" s="102">
        <f t="shared" si="17"/>
        <v>1</v>
      </c>
      <c r="O75" s="102">
        <f t="shared" si="17"/>
        <v>1</v>
      </c>
      <c r="P75" s="121">
        <f t="shared" si="18"/>
        <v>1</v>
      </c>
      <c r="Q75" s="102">
        <v>1208</v>
      </c>
      <c r="R75" s="102">
        <f t="shared" si="19"/>
        <v>4</v>
      </c>
      <c r="S75" s="122">
        <v>542.23663299543603</v>
      </c>
      <c r="T75" s="102">
        <f t="shared" si="20"/>
        <v>4</v>
      </c>
      <c r="U75" s="123">
        <v>1137.7676535063199</v>
      </c>
      <c r="V75" s="102">
        <f t="shared" si="21"/>
        <v>4</v>
      </c>
      <c r="W75" s="124">
        <v>443.64</v>
      </c>
      <c r="X75" s="102">
        <f t="shared" si="16"/>
        <v>4</v>
      </c>
      <c r="Y75" s="125">
        <f t="shared" si="22"/>
        <v>17</v>
      </c>
      <c r="Z75" s="126" t="s">
        <v>583</v>
      </c>
      <c r="AA75" s="126">
        <v>3</v>
      </c>
      <c r="AB75" s="126">
        <v>1</v>
      </c>
      <c r="AC75" s="126">
        <v>16.481575480675037</v>
      </c>
      <c r="AD75" s="102">
        <f>IF(AND(AC75&gt;=AC$200,AC75&lt;AC$201),1,IF(AND(AC75&gt;=AC$201,AC75&lt;AC$202),2,IF(AND(AC75&gt;=AC$202,AC75&lt;AC$203),3,IF(AND(AC75&gt;=AC$203,AC75&lt;=AC$204),4,"empty"))))</f>
        <v>1</v>
      </c>
      <c r="AE75" s="127">
        <f t="shared" si="23"/>
        <v>5</v>
      </c>
      <c r="AF75" s="128">
        <f t="shared" si="24"/>
        <v>23</v>
      </c>
      <c r="AG75" s="108">
        <v>2034</v>
      </c>
      <c r="AH75" s="108" t="str">
        <f t="shared" si="25"/>
        <v>mid adopter</v>
      </c>
    </row>
    <row r="76" spans="1:34">
      <c r="A76" s="102" t="s">
        <v>225</v>
      </c>
      <c r="B76" s="120" t="s">
        <v>224</v>
      </c>
      <c r="C76" s="120" t="s">
        <v>83</v>
      </c>
      <c r="D76" s="102" t="s">
        <v>75</v>
      </c>
      <c r="E76" s="109">
        <v>3</v>
      </c>
      <c r="F76" s="102">
        <v>2021</v>
      </c>
      <c r="G76" s="102">
        <v>2022</v>
      </c>
      <c r="H76" s="102">
        <v>2015</v>
      </c>
      <c r="I76" s="102">
        <v>2012</v>
      </c>
      <c r="J76" s="102" t="s">
        <v>566</v>
      </c>
      <c r="K76" s="102">
        <f t="shared" si="17"/>
        <v>1</v>
      </c>
      <c r="L76" s="102">
        <f t="shared" si="17"/>
        <v>1</v>
      </c>
      <c r="M76" s="102">
        <f t="shared" si="17"/>
        <v>1</v>
      </c>
      <c r="N76" s="102">
        <f t="shared" si="17"/>
        <v>3</v>
      </c>
      <c r="O76" s="102">
        <f t="shared" si="17"/>
        <v>1</v>
      </c>
      <c r="P76" s="121">
        <f t="shared" si="18"/>
        <v>1.4</v>
      </c>
      <c r="Q76" s="102">
        <v>9.0000000000000002E-6</v>
      </c>
      <c r="R76" s="102">
        <f t="shared" si="19"/>
        <v>1</v>
      </c>
      <c r="S76" s="122">
        <v>1671.7499574515</v>
      </c>
      <c r="T76" s="102">
        <f t="shared" si="20"/>
        <v>4</v>
      </c>
      <c r="U76" s="123">
        <v>579.82077469569799</v>
      </c>
      <c r="V76" s="102">
        <f t="shared" si="21"/>
        <v>4</v>
      </c>
      <c r="W76" s="124">
        <v>69.028000000000006</v>
      </c>
      <c r="X76" s="102">
        <f t="shared" si="16"/>
        <v>3</v>
      </c>
      <c r="Y76" s="125">
        <f t="shared" si="22"/>
        <v>13.4</v>
      </c>
      <c r="Z76" s="109" t="s">
        <v>583</v>
      </c>
      <c r="AA76" s="126">
        <v>3</v>
      </c>
      <c r="AB76" s="126">
        <v>1</v>
      </c>
      <c r="AC76" s="126">
        <v>3.2076377914458063</v>
      </c>
      <c r="AD76" s="102">
        <f>IF(AND(AC76&gt;=AC$200,AC76&lt;AC$201),1,IF(AND(AC76&gt;=AC$201,AC76&lt;AC$202),2,IF(AND(AC76&gt;=AC$202,AC76&lt;AC$203),3,IF(AND(AC76&gt;=AC$203,AC76&lt;=AC$204),4,"empty"))))</f>
        <v>1</v>
      </c>
      <c r="AE76" s="127">
        <f t="shared" si="23"/>
        <v>5</v>
      </c>
      <c r="AF76" s="128">
        <f t="shared" si="24"/>
        <v>19.8</v>
      </c>
      <c r="AG76" s="108">
        <v>2038</v>
      </c>
      <c r="AH76" s="108" t="str">
        <f t="shared" si="25"/>
        <v>late adopter</v>
      </c>
    </row>
    <row r="77" spans="1:34">
      <c r="A77" s="102" t="s">
        <v>227</v>
      </c>
      <c r="B77" s="120" t="s">
        <v>226</v>
      </c>
      <c r="C77" s="120" t="s">
        <v>92</v>
      </c>
      <c r="D77" s="102" t="s">
        <v>80</v>
      </c>
      <c r="E77" s="109">
        <v>2</v>
      </c>
      <c r="F77" s="102">
        <v>2001</v>
      </c>
      <c r="G77" s="102">
        <v>1995</v>
      </c>
      <c r="H77" s="102">
        <v>2011</v>
      </c>
      <c r="I77" s="102">
        <v>2010</v>
      </c>
      <c r="J77" s="102">
        <v>2017</v>
      </c>
      <c r="K77" s="102">
        <f t="shared" si="17"/>
        <v>2</v>
      </c>
      <c r="L77" s="102">
        <f t="shared" si="17"/>
        <v>3</v>
      </c>
      <c r="M77" s="102">
        <f t="shared" si="17"/>
        <v>3</v>
      </c>
      <c r="N77" s="102">
        <f t="shared" si="17"/>
        <v>4</v>
      </c>
      <c r="O77" s="102">
        <f t="shared" si="17"/>
        <v>2</v>
      </c>
      <c r="P77" s="121">
        <f t="shared" si="18"/>
        <v>2.8</v>
      </c>
      <c r="Q77" s="102">
        <v>0</v>
      </c>
      <c r="R77" s="102">
        <f t="shared" si="19"/>
        <v>1</v>
      </c>
      <c r="S77" s="122">
        <v>4.96958166360328E-2</v>
      </c>
      <c r="T77" s="102">
        <f t="shared" si="20"/>
        <v>1</v>
      </c>
      <c r="U77" s="123">
        <v>0</v>
      </c>
      <c r="V77" s="102">
        <f t="shared" si="21"/>
        <v>1</v>
      </c>
      <c r="W77" s="124">
        <v>0</v>
      </c>
      <c r="X77" s="102">
        <f t="shared" si="16"/>
        <v>2</v>
      </c>
      <c r="Y77" s="125">
        <f t="shared" si="22"/>
        <v>7.8</v>
      </c>
      <c r="Z77" s="126" t="s">
        <v>581</v>
      </c>
      <c r="AA77" s="126">
        <v>1</v>
      </c>
      <c r="AB77" s="126">
        <v>3</v>
      </c>
      <c r="AC77" s="126">
        <v>100</v>
      </c>
      <c r="AD77" s="102">
        <f>IF(AND(AC77&gt;=AC$200,AC77&lt;AC$201),1,IF(AND(AC77&gt;=AC$201,AC77&lt;AC$202),2,IF(AND(AC77&gt;=AC$202,AC77&lt;AC$203),3,IF(AND(AC77&gt;=AC$203,AC77&lt;=AC$204),4,"empty"))))</f>
        <v>4</v>
      </c>
      <c r="AE77" s="127">
        <f t="shared" si="23"/>
        <v>8</v>
      </c>
      <c r="AF77" s="128">
        <f t="shared" si="24"/>
        <v>18.600000000000001</v>
      </c>
      <c r="AG77" s="108">
        <v>2039</v>
      </c>
      <c r="AH77" s="108" t="str">
        <f t="shared" si="25"/>
        <v>late adopter</v>
      </c>
    </row>
    <row r="78" spans="1:34">
      <c r="A78" s="102" t="s">
        <v>229</v>
      </c>
      <c r="B78" s="120" t="s">
        <v>228</v>
      </c>
      <c r="C78" s="120" t="s">
        <v>92</v>
      </c>
      <c r="D78" s="102" t="s">
        <v>75</v>
      </c>
      <c r="E78" s="109">
        <v>2</v>
      </c>
      <c r="F78" s="102">
        <v>2016</v>
      </c>
      <c r="G78" s="102">
        <v>2008</v>
      </c>
      <c r="H78" s="102">
        <v>2018</v>
      </c>
      <c r="I78" s="102">
        <v>2014</v>
      </c>
      <c r="J78" s="102" t="s">
        <v>566</v>
      </c>
      <c r="K78" s="102">
        <f t="shared" si="17"/>
        <v>1</v>
      </c>
      <c r="L78" s="102">
        <f t="shared" si="17"/>
        <v>2</v>
      </c>
      <c r="M78" s="102">
        <f t="shared" si="17"/>
        <v>1</v>
      </c>
      <c r="N78" s="102">
        <f t="shared" si="17"/>
        <v>2</v>
      </c>
      <c r="O78" s="102">
        <f t="shared" si="17"/>
        <v>1</v>
      </c>
      <c r="P78" s="121">
        <f t="shared" si="18"/>
        <v>1.4</v>
      </c>
      <c r="Q78" s="102">
        <v>0</v>
      </c>
      <c r="R78" s="102">
        <f t="shared" si="19"/>
        <v>1</v>
      </c>
      <c r="S78" s="122">
        <v>7.0335700036831095E-2</v>
      </c>
      <c r="T78" s="102">
        <f t="shared" si="20"/>
        <v>1</v>
      </c>
      <c r="U78" s="123">
        <v>0</v>
      </c>
      <c r="V78" s="102">
        <f t="shared" si="21"/>
        <v>1</v>
      </c>
      <c r="W78" s="124">
        <v>0</v>
      </c>
      <c r="X78" s="102">
        <f t="shared" si="16"/>
        <v>2</v>
      </c>
      <c r="Y78" s="125">
        <f t="shared" si="22"/>
        <v>6.4</v>
      </c>
      <c r="Z78" s="126" t="s">
        <v>579</v>
      </c>
      <c r="AA78" s="126">
        <v>4</v>
      </c>
      <c r="AB78" s="126">
        <v>1</v>
      </c>
      <c r="AC78" s="126" t="s">
        <v>582</v>
      </c>
      <c r="AD78" s="102">
        <v>1</v>
      </c>
      <c r="AE78" s="127">
        <f t="shared" si="23"/>
        <v>6</v>
      </c>
      <c r="AF78" s="128">
        <f t="shared" si="24"/>
        <v>13.8</v>
      </c>
      <c r="AG78" s="108">
        <v>2042</v>
      </c>
      <c r="AH78" s="108" t="str">
        <f t="shared" si="25"/>
        <v>late adopter</v>
      </c>
    </row>
    <row r="79" spans="1:34">
      <c r="A79" s="102" t="s">
        <v>231</v>
      </c>
      <c r="B79" s="120" t="s">
        <v>230</v>
      </c>
      <c r="C79" s="120" t="s">
        <v>92</v>
      </c>
      <c r="D79" s="102" t="s">
        <v>84</v>
      </c>
      <c r="E79" s="109">
        <v>1</v>
      </c>
      <c r="F79" s="102">
        <v>2018</v>
      </c>
      <c r="G79" s="102">
        <v>1997</v>
      </c>
      <c r="H79" s="102">
        <v>2011</v>
      </c>
      <c r="I79" s="102">
        <v>2009</v>
      </c>
      <c r="J79" s="102">
        <v>2016</v>
      </c>
      <c r="K79" s="102">
        <f t="shared" si="17"/>
        <v>1</v>
      </c>
      <c r="L79" s="102">
        <f t="shared" si="17"/>
        <v>3</v>
      </c>
      <c r="M79" s="102">
        <f t="shared" si="17"/>
        <v>3</v>
      </c>
      <c r="N79" s="102">
        <f t="shared" si="17"/>
        <v>4</v>
      </c>
      <c r="O79" s="102">
        <f t="shared" si="17"/>
        <v>3</v>
      </c>
      <c r="P79" s="121">
        <f t="shared" si="18"/>
        <v>2.8</v>
      </c>
      <c r="Q79" s="102">
        <v>0</v>
      </c>
      <c r="R79" s="102">
        <f t="shared" si="19"/>
        <v>1</v>
      </c>
      <c r="S79" s="122">
        <v>1.52334196831775E-2</v>
      </c>
      <c r="T79" s="102">
        <f t="shared" si="20"/>
        <v>1</v>
      </c>
      <c r="U79" s="123">
        <v>0</v>
      </c>
      <c r="V79" s="102">
        <f t="shared" si="21"/>
        <v>1</v>
      </c>
      <c r="W79" s="124">
        <v>0</v>
      </c>
      <c r="X79" s="102">
        <f t="shared" si="16"/>
        <v>2</v>
      </c>
      <c r="Y79" s="125">
        <f t="shared" si="22"/>
        <v>7.8</v>
      </c>
      <c r="Z79" s="126" t="s">
        <v>581</v>
      </c>
      <c r="AA79" s="126">
        <v>1</v>
      </c>
      <c r="AB79" s="126">
        <v>2</v>
      </c>
      <c r="AC79" s="126">
        <v>88.400419568366544</v>
      </c>
      <c r="AD79" s="102">
        <f t="shared" ref="AD79:AD86" si="26">IF(AND(AC79&gt;=AC$200,AC79&lt;AC$201),1,IF(AND(AC79&gt;=AC$201,AC79&lt;AC$202),2,IF(AND(AC79&gt;=AC$202,AC79&lt;AC$203),3,IF(AND(AC79&gt;=AC$203,AC79&lt;=AC$204),4,"empty"))))</f>
        <v>2</v>
      </c>
      <c r="AE79" s="127">
        <f t="shared" si="23"/>
        <v>5</v>
      </c>
      <c r="AF79" s="128">
        <f t="shared" si="24"/>
        <v>15.6</v>
      </c>
      <c r="AG79" s="108">
        <v>2041</v>
      </c>
      <c r="AH79" s="108" t="str">
        <f t="shared" si="25"/>
        <v>late adopter</v>
      </c>
    </row>
    <row r="80" spans="1:34">
      <c r="A80" s="102" t="s">
        <v>233</v>
      </c>
      <c r="B80" s="120" t="s">
        <v>232</v>
      </c>
      <c r="C80" s="120" t="s">
        <v>79</v>
      </c>
      <c r="D80" s="102" t="s">
        <v>87</v>
      </c>
      <c r="E80" s="109">
        <v>1</v>
      </c>
      <c r="F80" s="102">
        <v>1989</v>
      </c>
      <c r="G80" s="102">
        <v>1989</v>
      </c>
      <c r="H80" s="102">
        <v>2009</v>
      </c>
      <c r="I80" s="102" t="s">
        <v>566</v>
      </c>
      <c r="J80" s="102">
        <v>2014</v>
      </c>
      <c r="K80" s="102">
        <f t="shared" si="17"/>
        <v>4</v>
      </c>
      <c r="L80" s="102">
        <f t="shared" si="17"/>
        <v>3</v>
      </c>
      <c r="M80" s="102">
        <f t="shared" si="17"/>
        <v>3</v>
      </c>
      <c r="N80" s="102">
        <f t="shared" si="17"/>
        <v>1</v>
      </c>
      <c r="O80" s="102">
        <f t="shared" si="17"/>
        <v>3</v>
      </c>
      <c r="P80" s="121">
        <f t="shared" si="18"/>
        <v>2.8</v>
      </c>
      <c r="Q80" s="102">
        <v>23</v>
      </c>
      <c r="R80" s="102">
        <f t="shared" si="19"/>
        <v>2</v>
      </c>
      <c r="S80" s="122">
        <v>0.45607488833736598</v>
      </c>
      <c r="T80" s="102">
        <f t="shared" si="20"/>
        <v>1</v>
      </c>
      <c r="U80" s="123">
        <v>1.4772402122607199E-2</v>
      </c>
      <c r="V80" s="102">
        <f t="shared" si="21"/>
        <v>2</v>
      </c>
      <c r="W80" s="124">
        <v>0</v>
      </c>
      <c r="X80" s="102">
        <f t="shared" si="16"/>
        <v>2</v>
      </c>
      <c r="Y80" s="125">
        <f t="shared" si="22"/>
        <v>9.8000000000000007</v>
      </c>
      <c r="Z80" s="126" t="s">
        <v>580</v>
      </c>
      <c r="AA80" s="126">
        <v>1</v>
      </c>
      <c r="AB80" s="126">
        <v>4</v>
      </c>
      <c r="AC80" s="126">
        <v>100</v>
      </c>
      <c r="AD80" s="102">
        <f t="shared" si="26"/>
        <v>4</v>
      </c>
      <c r="AE80" s="127">
        <f t="shared" si="23"/>
        <v>9</v>
      </c>
      <c r="AF80" s="128">
        <f t="shared" si="24"/>
        <v>21.6</v>
      </c>
      <c r="AG80" s="108">
        <v>2036</v>
      </c>
      <c r="AH80" s="108" t="str">
        <f t="shared" si="25"/>
        <v>mid adopter</v>
      </c>
    </row>
    <row r="81" spans="1:34">
      <c r="A81" s="102" t="s">
        <v>235</v>
      </c>
      <c r="B81" s="120" t="s">
        <v>234</v>
      </c>
      <c r="C81" s="120" t="s">
        <v>79</v>
      </c>
      <c r="D81" s="102" t="s">
        <v>87</v>
      </c>
      <c r="E81" s="109">
        <v>1</v>
      </c>
      <c r="F81" s="102">
        <v>1976</v>
      </c>
      <c r="G81" s="102">
        <v>1979</v>
      </c>
      <c r="H81" s="102">
        <v>2011</v>
      </c>
      <c r="I81" s="102" t="s">
        <v>566</v>
      </c>
      <c r="J81" s="102">
        <v>2011</v>
      </c>
      <c r="K81" s="102">
        <f t="shared" si="17"/>
        <v>4</v>
      </c>
      <c r="L81" s="102">
        <f t="shared" si="17"/>
        <v>4</v>
      </c>
      <c r="M81" s="102">
        <f t="shared" si="17"/>
        <v>3</v>
      </c>
      <c r="N81" s="102">
        <f t="shared" si="17"/>
        <v>1</v>
      </c>
      <c r="O81" s="102">
        <f t="shared" si="17"/>
        <v>3</v>
      </c>
      <c r="P81" s="121">
        <f t="shared" si="18"/>
        <v>3</v>
      </c>
      <c r="Q81" s="102">
        <v>9</v>
      </c>
      <c r="R81" s="102">
        <f t="shared" si="19"/>
        <v>2</v>
      </c>
      <c r="S81" s="122">
        <v>4.0600641005412204</v>
      </c>
      <c r="T81" s="102">
        <f t="shared" si="20"/>
        <v>2</v>
      </c>
      <c r="U81" s="123">
        <v>2.9734730703534902E-4</v>
      </c>
      <c r="V81" s="102">
        <f t="shared" si="21"/>
        <v>1</v>
      </c>
      <c r="W81" s="124">
        <v>0</v>
      </c>
      <c r="X81" s="102">
        <f t="shared" si="16"/>
        <v>2</v>
      </c>
      <c r="Y81" s="125">
        <f t="shared" si="22"/>
        <v>10</v>
      </c>
      <c r="Z81" s="126" t="s">
        <v>580</v>
      </c>
      <c r="AA81" s="126">
        <v>1</v>
      </c>
      <c r="AB81" s="126">
        <v>4</v>
      </c>
      <c r="AC81" s="126">
        <v>100</v>
      </c>
      <c r="AD81" s="102">
        <f t="shared" si="26"/>
        <v>4</v>
      </c>
      <c r="AE81" s="127">
        <f t="shared" si="23"/>
        <v>9</v>
      </c>
      <c r="AF81" s="128">
        <f t="shared" si="24"/>
        <v>22</v>
      </c>
      <c r="AG81" s="108">
        <v>2035</v>
      </c>
      <c r="AH81" s="108" t="str">
        <f t="shared" si="25"/>
        <v>mid adopter</v>
      </c>
    </row>
    <row r="82" spans="1:34">
      <c r="A82" s="102" t="s">
        <v>237</v>
      </c>
      <c r="B82" s="120" t="s">
        <v>236</v>
      </c>
      <c r="C82" s="120" t="s">
        <v>110</v>
      </c>
      <c r="D82" s="102" t="s">
        <v>84</v>
      </c>
      <c r="E82" s="109" t="s">
        <v>76</v>
      </c>
      <c r="F82" s="102">
        <v>2010</v>
      </c>
      <c r="G82" s="102">
        <v>2018</v>
      </c>
      <c r="H82" s="102" t="s">
        <v>566</v>
      </c>
      <c r="I82" s="102">
        <v>2019</v>
      </c>
      <c r="J82" s="102" t="s">
        <v>566</v>
      </c>
      <c r="K82" s="102">
        <f t="shared" si="17"/>
        <v>2</v>
      </c>
      <c r="L82" s="102">
        <f t="shared" si="17"/>
        <v>1</v>
      </c>
      <c r="M82" s="102">
        <f t="shared" si="17"/>
        <v>1</v>
      </c>
      <c r="N82" s="102">
        <f t="shared" si="17"/>
        <v>1</v>
      </c>
      <c r="O82" s="102">
        <f t="shared" si="17"/>
        <v>1</v>
      </c>
      <c r="P82" s="121">
        <f t="shared" si="18"/>
        <v>1.2</v>
      </c>
      <c r="Q82" s="102">
        <v>10708</v>
      </c>
      <c r="R82" s="102">
        <f t="shared" si="19"/>
        <v>4</v>
      </c>
      <c r="S82" s="122">
        <v>182.540438526884</v>
      </c>
      <c r="T82" s="102">
        <f t="shared" si="20"/>
        <v>3</v>
      </c>
      <c r="U82" s="123">
        <v>4855.6447892210599</v>
      </c>
      <c r="V82" s="102">
        <f t="shared" si="21"/>
        <v>4</v>
      </c>
      <c r="W82" s="124">
        <v>40506</v>
      </c>
      <c r="X82" s="102">
        <f t="shared" si="16"/>
        <v>4</v>
      </c>
      <c r="Y82" s="125">
        <f t="shared" si="22"/>
        <v>16.2</v>
      </c>
      <c r="Z82" s="126" t="s">
        <v>581</v>
      </c>
      <c r="AA82" s="126">
        <v>1</v>
      </c>
      <c r="AB82" s="126">
        <v>2</v>
      </c>
      <c r="AC82" s="126">
        <v>49.876252606093466</v>
      </c>
      <c r="AD82" s="102">
        <f t="shared" si="26"/>
        <v>2</v>
      </c>
      <c r="AE82" s="127">
        <f t="shared" si="23"/>
        <v>5</v>
      </c>
      <c r="AF82" s="128">
        <f t="shared" si="24"/>
        <v>22.4</v>
      </c>
      <c r="AG82" s="108">
        <v>2035</v>
      </c>
      <c r="AH82" s="108" t="str">
        <f t="shared" si="25"/>
        <v>mid adopter</v>
      </c>
    </row>
    <row r="83" spans="1:34">
      <c r="A83" s="102" t="s">
        <v>239</v>
      </c>
      <c r="B83" s="120" t="s">
        <v>238</v>
      </c>
      <c r="C83" s="120" t="s">
        <v>110</v>
      </c>
      <c r="D83" s="102" t="s">
        <v>80</v>
      </c>
      <c r="E83" s="109" t="s">
        <v>76</v>
      </c>
      <c r="F83" s="102">
        <v>2002</v>
      </c>
      <c r="G83" s="102">
        <v>2018</v>
      </c>
      <c r="H83" s="102">
        <v>2024</v>
      </c>
      <c r="I83" s="102" t="s">
        <v>566</v>
      </c>
      <c r="J83" s="102" t="s">
        <v>566</v>
      </c>
      <c r="K83" s="102">
        <f t="shared" si="17"/>
        <v>2</v>
      </c>
      <c r="L83" s="102">
        <f t="shared" si="17"/>
        <v>1</v>
      </c>
      <c r="M83" s="102">
        <f t="shared" si="17"/>
        <v>1</v>
      </c>
      <c r="N83" s="102">
        <f t="shared" si="17"/>
        <v>1</v>
      </c>
      <c r="O83" s="102">
        <f t="shared" si="17"/>
        <v>1</v>
      </c>
      <c r="P83" s="121">
        <f t="shared" si="18"/>
        <v>1.2</v>
      </c>
      <c r="Q83" s="102">
        <v>1822</v>
      </c>
      <c r="R83" s="102">
        <f t="shared" si="19"/>
        <v>4</v>
      </c>
      <c r="S83" s="122">
        <v>159.97038285226401</v>
      </c>
      <c r="T83" s="102">
        <f t="shared" si="20"/>
        <v>3</v>
      </c>
      <c r="U83" s="123">
        <v>713.07040791056897</v>
      </c>
      <c r="V83" s="102">
        <f t="shared" si="21"/>
        <v>4</v>
      </c>
      <c r="W83" s="124">
        <v>5126.6000000000004</v>
      </c>
      <c r="X83" s="102">
        <f t="shared" si="16"/>
        <v>4</v>
      </c>
      <c r="Y83" s="125">
        <f t="shared" si="22"/>
        <v>16.2</v>
      </c>
      <c r="Z83" s="126" t="s">
        <v>581</v>
      </c>
      <c r="AA83" s="126">
        <v>1</v>
      </c>
      <c r="AB83" s="126">
        <v>3</v>
      </c>
      <c r="AC83" s="126">
        <v>90.45116394578649</v>
      </c>
      <c r="AD83" s="102">
        <f t="shared" si="26"/>
        <v>2</v>
      </c>
      <c r="AE83" s="127">
        <f t="shared" si="23"/>
        <v>6</v>
      </c>
      <c r="AF83" s="128">
        <f t="shared" si="24"/>
        <v>23.4</v>
      </c>
      <c r="AG83" s="108">
        <v>2033</v>
      </c>
      <c r="AH83" s="108" t="str">
        <f t="shared" si="25"/>
        <v>early adopter</v>
      </c>
    </row>
    <row r="84" spans="1:34">
      <c r="A84" s="102" t="s">
        <v>241</v>
      </c>
      <c r="B84" s="120" t="s">
        <v>240</v>
      </c>
      <c r="C84" s="120" t="s">
        <v>74</v>
      </c>
      <c r="D84" s="102" t="s">
        <v>80</v>
      </c>
      <c r="E84" s="109">
        <v>2</v>
      </c>
      <c r="F84" s="102">
        <v>1984</v>
      </c>
      <c r="G84" s="102">
        <v>2004</v>
      </c>
      <c r="H84" s="102" t="s">
        <v>566</v>
      </c>
      <c r="I84" s="102" t="s">
        <v>566</v>
      </c>
      <c r="J84" s="102" t="s">
        <v>566</v>
      </c>
      <c r="K84" s="102">
        <f t="shared" si="17"/>
        <v>4</v>
      </c>
      <c r="L84" s="102">
        <f t="shared" si="17"/>
        <v>2</v>
      </c>
      <c r="M84" s="102">
        <f t="shared" si="17"/>
        <v>1</v>
      </c>
      <c r="N84" s="102">
        <f t="shared" si="17"/>
        <v>1</v>
      </c>
      <c r="O84" s="102">
        <f t="shared" si="17"/>
        <v>1</v>
      </c>
      <c r="P84" s="121">
        <f t="shared" si="18"/>
        <v>1.8</v>
      </c>
      <c r="Q84" s="102">
        <v>16</v>
      </c>
      <c r="R84" s="102">
        <f t="shared" si="19"/>
        <v>2</v>
      </c>
      <c r="S84" s="122">
        <v>87.840900142946595</v>
      </c>
      <c r="T84" s="102">
        <f t="shared" si="20"/>
        <v>3</v>
      </c>
      <c r="U84" s="123">
        <v>71.324736536536903</v>
      </c>
      <c r="V84" s="102">
        <f t="shared" si="21"/>
        <v>3</v>
      </c>
      <c r="W84" s="124">
        <v>0</v>
      </c>
      <c r="X84" s="102">
        <f t="shared" si="16"/>
        <v>2</v>
      </c>
      <c r="Y84" s="125">
        <f t="shared" si="22"/>
        <v>11.8</v>
      </c>
      <c r="Z84" s="126" t="s">
        <v>580</v>
      </c>
      <c r="AA84" s="126">
        <v>1</v>
      </c>
      <c r="AB84" s="126">
        <v>3</v>
      </c>
      <c r="AC84" s="126">
        <v>100</v>
      </c>
      <c r="AD84" s="102">
        <f t="shared" si="26"/>
        <v>4</v>
      </c>
      <c r="AE84" s="127">
        <f t="shared" si="23"/>
        <v>8</v>
      </c>
      <c r="AF84" s="128">
        <f t="shared" si="24"/>
        <v>21.6</v>
      </c>
      <c r="AG84" s="108">
        <v>2036</v>
      </c>
      <c r="AH84" s="108" t="str">
        <f t="shared" si="25"/>
        <v>mid adopter</v>
      </c>
    </row>
    <row r="85" spans="1:34">
      <c r="A85" s="102" t="s">
        <v>243</v>
      </c>
      <c r="B85" s="120" t="s">
        <v>242</v>
      </c>
      <c r="C85" s="120" t="s">
        <v>74</v>
      </c>
      <c r="D85" s="102" t="s">
        <v>80</v>
      </c>
      <c r="E85" s="109">
        <v>2</v>
      </c>
      <c r="F85" s="102">
        <v>1989</v>
      </c>
      <c r="G85" s="102">
        <v>1989</v>
      </c>
      <c r="H85" s="102">
        <v>2017</v>
      </c>
      <c r="I85" s="102">
        <v>2012</v>
      </c>
      <c r="J85" s="102" t="s">
        <v>566</v>
      </c>
      <c r="K85" s="102">
        <f t="shared" si="17"/>
        <v>4</v>
      </c>
      <c r="L85" s="102">
        <f t="shared" si="17"/>
        <v>3</v>
      </c>
      <c r="M85" s="102">
        <f t="shared" si="17"/>
        <v>1</v>
      </c>
      <c r="N85" s="102">
        <f t="shared" si="17"/>
        <v>3</v>
      </c>
      <c r="O85" s="102">
        <f t="shared" si="17"/>
        <v>1</v>
      </c>
      <c r="P85" s="121">
        <f t="shared" si="18"/>
        <v>2.4</v>
      </c>
      <c r="Q85" s="102">
        <v>3619</v>
      </c>
      <c r="R85" s="102">
        <f t="shared" si="19"/>
        <v>4</v>
      </c>
      <c r="S85" s="122">
        <v>303.076430862726</v>
      </c>
      <c r="T85" s="102">
        <f t="shared" si="20"/>
        <v>4</v>
      </c>
      <c r="U85" s="123">
        <v>157.205514939018</v>
      </c>
      <c r="V85" s="102">
        <f t="shared" si="21"/>
        <v>4</v>
      </c>
      <c r="W85" s="124">
        <v>0</v>
      </c>
      <c r="X85" s="102">
        <f t="shared" si="16"/>
        <v>2</v>
      </c>
      <c r="Y85" s="125">
        <f t="shared" si="22"/>
        <v>16.399999999999999</v>
      </c>
      <c r="Z85" s="126" t="s">
        <v>580</v>
      </c>
      <c r="AA85" s="126">
        <v>1</v>
      </c>
      <c r="AB85" s="126">
        <v>3</v>
      </c>
      <c r="AC85" s="126">
        <v>99.761422518235022</v>
      </c>
      <c r="AD85" s="102">
        <f t="shared" si="26"/>
        <v>3</v>
      </c>
      <c r="AE85" s="127">
        <f t="shared" si="23"/>
        <v>7</v>
      </c>
      <c r="AF85" s="128">
        <f t="shared" si="24"/>
        <v>25.799999999999997</v>
      </c>
      <c r="AG85" s="108">
        <v>2030</v>
      </c>
      <c r="AH85" s="108" t="str">
        <f t="shared" si="25"/>
        <v>early adopter</v>
      </c>
    </row>
    <row r="86" spans="1:34">
      <c r="A86" s="102" t="s">
        <v>245</v>
      </c>
      <c r="B86" s="120" t="s">
        <v>244</v>
      </c>
      <c r="C86" s="120" t="s">
        <v>79</v>
      </c>
      <c r="D86" s="102" t="s">
        <v>87</v>
      </c>
      <c r="E86" s="109">
        <v>1</v>
      </c>
      <c r="F86" s="102">
        <v>1992</v>
      </c>
      <c r="G86" s="102">
        <v>1971</v>
      </c>
      <c r="H86" s="102">
        <v>2008</v>
      </c>
      <c r="I86" s="102">
        <v>2016</v>
      </c>
      <c r="J86" s="102">
        <v>2010</v>
      </c>
      <c r="K86" s="102">
        <f t="shared" si="17"/>
        <v>3</v>
      </c>
      <c r="L86" s="102">
        <f t="shared" si="17"/>
        <v>4</v>
      </c>
      <c r="M86" s="102">
        <f t="shared" si="17"/>
        <v>4</v>
      </c>
      <c r="N86" s="102">
        <f t="shared" si="17"/>
        <v>2</v>
      </c>
      <c r="O86" s="102">
        <f t="shared" si="17"/>
        <v>4</v>
      </c>
      <c r="P86" s="121">
        <f t="shared" si="18"/>
        <v>3.4</v>
      </c>
      <c r="Q86" s="102">
        <v>73</v>
      </c>
      <c r="R86" s="102">
        <f t="shared" si="19"/>
        <v>3</v>
      </c>
      <c r="S86" s="122">
        <v>2.4413252048246901</v>
      </c>
      <c r="T86" s="102">
        <f t="shared" si="20"/>
        <v>2</v>
      </c>
      <c r="U86" s="123">
        <v>8.3677971015646193E-3</v>
      </c>
      <c r="V86" s="102">
        <f t="shared" si="21"/>
        <v>2</v>
      </c>
      <c r="W86" s="124">
        <v>2.4067000000000002E-2</v>
      </c>
      <c r="X86" s="102">
        <f t="shared" si="16"/>
        <v>3</v>
      </c>
      <c r="Y86" s="125">
        <f t="shared" si="22"/>
        <v>13.4</v>
      </c>
      <c r="Z86" s="126" t="s">
        <v>580</v>
      </c>
      <c r="AA86" s="126">
        <v>1</v>
      </c>
      <c r="AB86" s="126">
        <v>4</v>
      </c>
      <c r="AC86" s="126">
        <v>100</v>
      </c>
      <c r="AD86" s="102">
        <f t="shared" si="26"/>
        <v>4</v>
      </c>
      <c r="AE86" s="127">
        <f t="shared" si="23"/>
        <v>9</v>
      </c>
      <c r="AF86" s="128">
        <f t="shared" si="24"/>
        <v>25.8</v>
      </c>
      <c r="AG86" s="108">
        <v>2030</v>
      </c>
      <c r="AH86" s="108" t="str">
        <f t="shared" si="25"/>
        <v>early adopter</v>
      </c>
    </row>
    <row r="87" spans="1:34">
      <c r="A87" s="102" t="s">
        <v>247</v>
      </c>
      <c r="B87" s="120" t="s">
        <v>246</v>
      </c>
      <c r="C87" s="120" t="s">
        <v>79</v>
      </c>
      <c r="D87" s="102" t="s">
        <v>87</v>
      </c>
      <c r="E87" s="109">
        <v>1</v>
      </c>
      <c r="F87" s="102">
        <v>1995</v>
      </c>
      <c r="G87" s="102">
        <v>1995</v>
      </c>
      <c r="H87" s="102">
        <v>2009</v>
      </c>
      <c r="I87" s="102">
        <v>2010</v>
      </c>
      <c r="J87" s="102">
        <v>2010</v>
      </c>
      <c r="K87" s="102">
        <f t="shared" si="17"/>
        <v>3</v>
      </c>
      <c r="L87" s="102">
        <f t="shared" si="17"/>
        <v>3</v>
      </c>
      <c r="M87" s="102">
        <f t="shared" si="17"/>
        <v>3</v>
      </c>
      <c r="N87" s="102">
        <f t="shared" si="17"/>
        <v>4</v>
      </c>
      <c r="O87" s="102">
        <f t="shared" si="17"/>
        <v>4</v>
      </c>
      <c r="P87" s="121">
        <f t="shared" si="18"/>
        <v>3.4</v>
      </c>
      <c r="Q87" s="102">
        <v>1028</v>
      </c>
      <c r="R87" s="102">
        <f t="shared" si="19"/>
        <v>3</v>
      </c>
      <c r="S87" s="122">
        <v>21.0715517041914</v>
      </c>
      <c r="T87" s="102">
        <f t="shared" si="20"/>
        <v>2</v>
      </c>
      <c r="U87" s="123">
        <v>1.39220129651278E-2</v>
      </c>
      <c r="V87" s="102">
        <f t="shared" si="21"/>
        <v>2</v>
      </c>
      <c r="W87" s="124">
        <v>0</v>
      </c>
      <c r="X87" s="102">
        <f t="shared" si="16"/>
        <v>2</v>
      </c>
      <c r="Y87" s="125">
        <f t="shared" si="22"/>
        <v>12.4</v>
      </c>
      <c r="Z87" s="126" t="s">
        <v>580</v>
      </c>
      <c r="AA87" s="126">
        <v>1</v>
      </c>
      <c r="AB87" s="126">
        <v>4</v>
      </c>
      <c r="AC87" s="126" t="s">
        <v>582</v>
      </c>
      <c r="AD87" s="126">
        <v>4</v>
      </c>
      <c r="AE87" s="127">
        <f t="shared" si="23"/>
        <v>9</v>
      </c>
      <c r="AF87" s="128">
        <f t="shared" si="24"/>
        <v>24.8</v>
      </c>
      <c r="AG87" s="108">
        <v>2031</v>
      </c>
      <c r="AH87" s="108" t="str">
        <f t="shared" si="25"/>
        <v>early adopter</v>
      </c>
    </row>
    <row r="88" spans="1:34">
      <c r="A88" s="102" t="s">
        <v>249</v>
      </c>
      <c r="B88" s="120" t="s">
        <v>248</v>
      </c>
      <c r="C88" s="120" t="s">
        <v>79</v>
      </c>
      <c r="D88" s="102" t="s">
        <v>87</v>
      </c>
      <c r="E88" s="109">
        <v>1</v>
      </c>
      <c r="F88" s="102">
        <v>2004</v>
      </c>
      <c r="G88" s="102">
        <v>1972</v>
      </c>
      <c r="H88" s="102">
        <v>2005</v>
      </c>
      <c r="I88" s="102">
        <v>2017</v>
      </c>
      <c r="J88" s="102">
        <v>2009</v>
      </c>
      <c r="K88" s="102">
        <f t="shared" si="17"/>
        <v>2</v>
      </c>
      <c r="L88" s="102">
        <f t="shared" si="17"/>
        <v>4</v>
      </c>
      <c r="M88" s="102">
        <f t="shared" si="17"/>
        <v>4</v>
      </c>
      <c r="N88" s="102">
        <f t="shared" si="17"/>
        <v>1</v>
      </c>
      <c r="O88" s="102">
        <f t="shared" si="17"/>
        <v>4</v>
      </c>
      <c r="P88" s="121">
        <f t="shared" si="18"/>
        <v>3</v>
      </c>
      <c r="Q88" s="102">
        <v>1619</v>
      </c>
      <c r="R88" s="102">
        <f t="shared" si="19"/>
        <v>4</v>
      </c>
      <c r="S88" s="122">
        <v>4.4160931518125697</v>
      </c>
      <c r="T88" s="102">
        <f t="shared" si="20"/>
        <v>2</v>
      </c>
      <c r="U88" s="123">
        <v>0.19167902835568101</v>
      </c>
      <c r="V88" s="102">
        <f t="shared" si="21"/>
        <v>2</v>
      </c>
      <c r="W88" s="124">
        <v>1.2772000000000001E-5</v>
      </c>
      <c r="X88" s="102">
        <f t="shared" si="16"/>
        <v>3</v>
      </c>
      <c r="Y88" s="125">
        <f t="shared" si="22"/>
        <v>14</v>
      </c>
      <c r="Z88" s="126" t="s">
        <v>580</v>
      </c>
      <c r="AA88" s="126">
        <v>1</v>
      </c>
      <c r="AB88" s="126">
        <v>4</v>
      </c>
      <c r="AC88" s="126" t="s">
        <v>582</v>
      </c>
      <c r="AD88" s="126">
        <v>4</v>
      </c>
      <c r="AE88" s="127">
        <f t="shared" si="23"/>
        <v>9</v>
      </c>
      <c r="AF88" s="128">
        <f t="shared" si="24"/>
        <v>26</v>
      </c>
      <c r="AG88" s="108">
        <v>2030</v>
      </c>
      <c r="AH88" s="108" t="str">
        <f t="shared" si="25"/>
        <v>early adopter</v>
      </c>
    </row>
    <row r="89" spans="1:34">
      <c r="A89" s="102" t="s">
        <v>251</v>
      </c>
      <c r="B89" s="120" t="s">
        <v>250</v>
      </c>
      <c r="C89" s="120" t="s">
        <v>92</v>
      </c>
      <c r="D89" s="102" t="s">
        <v>80</v>
      </c>
      <c r="E89" s="109">
        <v>1</v>
      </c>
      <c r="F89" s="102">
        <v>2002</v>
      </c>
      <c r="G89" s="102">
        <v>1993</v>
      </c>
      <c r="H89" s="102" t="s">
        <v>566</v>
      </c>
      <c r="I89" s="102" t="s">
        <v>566</v>
      </c>
      <c r="J89" s="102">
        <v>2017</v>
      </c>
      <c r="K89" s="102">
        <f t="shared" si="17"/>
        <v>2</v>
      </c>
      <c r="L89" s="102">
        <f t="shared" si="17"/>
        <v>3</v>
      </c>
      <c r="M89" s="102">
        <f t="shared" si="17"/>
        <v>1</v>
      </c>
      <c r="N89" s="102">
        <f t="shared" si="17"/>
        <v>1</v>
      </c>
      <c r="O89" s="102">
        <f t="shared" si="17"/>
        <v>2</v>
      </c>
      <c r="P89" s="121">
        <f t="shared" si="18"/>
        <v>1.8</v>
      </c>
      <c r="Q89" s="102">
        <v>0</v>
      </c>
      <c r="R89" s="102">
        <f t="shared" si="19"/>
        <v>1</v>
      </c>
      <c r="S89" s="122">
        <v>3.6290511899061198E-2</v>
      </c>
      <c r="T89" s="102">
        <f t="shared" si="20"/>
        <v>1</v>
      </c>
      <c r="U89" s="123">
        <v>0</v>
      </c>
      <c r="V89" s="102">
        <f t="shared" si="21"/>
        <v>1</v>
      </c>
      <c r="W89" s="124">
        <v>0</v>
      </c>
      <c r="X89" s="102">
        <f t="shared" si="16"/>
        <v>2</v>
      </c>
      <c r="Y89" s="125">
        <f t="shared" si="22"/>
        <v>6.8</v>
      </c>
      <c r="Z89" s="126" t="s">
        <v>580</v>
      </c>
      <c r="AA89" s="126">
        <v>1</v>
      </c>
      <c r="AB89" s="126">
        <v>3</v>
      </c>
      <c r="AC89" s="126">
        <v>100</v>
      </c>
      <c r="AD89" s="102">
        <f>IF(AND(AC89&gt;=AC$200,AC89&lt;AC$201),1,IF(AND(AC89&gt;=AC$201,AC89&lt;AC$202),2,IF(AND(AC89&gt;=AC$202,AC89&lt;AC$203),3,IF(AND(AC89&gt;=AC$203,AC89&lt;=AC$204),4,"empty"))))</f>
        <v>4</v>
      </c>
      <c r="AE89" s="127">
        <f t="shared" si="23"/>
        <v>8</v>
      </c>
      <c r="AF89" s="128">
        <f t="shared" si="24"/>
        <v>16.600000000000001</v>
      </c>
      <c r="AG89" s="108">
        <v>2041</v>
      </c>
      <c r="AH89" s="108" t="str">
        <f t="shared" si="25"/>
        <v>late adopter</v>
      </c>
    </row>
    <row r="90" spans="1:34">
      <c r="A90" s="102" t="s">
        <v>253</v>
      </c>
      <c r="B90" s="120" t="s">
        <v>252</v>
      </c>
      <c r="C90" s="120" t="s">
        <v>99</v>
      </c>
      <c r="D90" s="102" t="s">
        <v>87</v>
      </c>
      <c r="E90" s="109">
        <v>4</v>
      </c>
      <c r="F90" s="102">
        <v>2006</v>
      </c>
      <c r="G90" s="102">
        <v>1995</v>
      </c>
      <c r="H90" s="102">
        <v>2011</v>
      </c>
      <c r="I90" s="102">
        <v>2020</v>
      </c>
      <c r="J90" s="102">
        <v>2011</v>
      </c>
      <c r="K90" s="102">
        <f t="shared" si="17"/>
        <v>2</v>
      </c>
      <c r="L90" s="102">
        <f t="shared" si="17"/>
        <v>3</v>
      </c>
      <c r="M90" s="102">
        <f t="shared" si="17"/>
        <v>3</v>
      </c>
      <c r="N90" s="102">
        <f t="shared" si="17"/>
        <v>1</v>
      </c>
      <c r="O90" s="102">
        <f t="shared" si="17"/>
        <v>3</v>
      </c>
      <c r="P90" s="121">
        <f t="shared" si="18"/>
        <v>2.4</v>
      </c>
      <c r="Q90" s="102">
        <v>812</v>
      </c>
      <c r="R90" s="102">
        <f t="shared" si="19"/>
        <v>3</v>
      </c>
      <c r="S90" s="122">
        <v>1.0316094646890299</v>
      </c>
      <c r="T90" s="102">
        <f t="shared" si="20"/>
        <v>2</v>
      </c>
      <c r="U90" s="123">
        <v>0.74144761719977204</v>
      </c>
      <c r="V90" s="102">
        <f t="shared" si="21"/>
        <v>3</v>
      </c>
      <c r="W90" s="124">
        <v>2.3955999999999999E-3</v>
      </c>
      <c r="X90" s="102">
        <f t="shared" si="16"/>
        <v>3</v>
      </c>
      <c r="Y90" s="125">
        <f t="shared" si="22"/>
        <v>13.4</v>
      </c>
      <c r="Z90" s="126" t="s">
        <v>580</v>
      </c>
      <c r="AA90" s="126">
        <v>1</v>
      </c>
      <c r="AB90" s="126">
        <v>4</v>
      </c>
      <c r="AC90" s="126" t="s">
        <v>582</v>
      </c>
      <c r="AD90" s="126">
        <v>4</v>
      </c>
      <c r="AE90" s="127">
        <f t="shared" si="23"/>
        <v>9</v>
      </c>
      <c r="AF90" s="128">
        <f t="shared" si="24"/>
        <v>24.8</v>
      </c>
      <c r="AG90" s="108">
        <v>2031</v>
      </c>
      <c r="AH90" s="108" t="str">
        <f t="shared" si="25"/>
        <v>early adopter</v>
      </c>
    </row>
    <row r="91" spans="1:34">
      <c r="A91" s="102" t="s">
        <v>255</v>
      </c>
      <c r="B91" s="120" t="s">
        <v>254</v>
      </c>
      <c r="C91" s="120" t="s">
        <v>74</v>
      </c>
      <c r="D91" s="102" t="s">
        <v>80</v>
      </c>
      <c r="E91" s="109">
        <v>2</v>
      </c>
      <c r="F91" s="102">
        <v>1995</v>
      </c>
      <c r="G91" s="102">
        <v>2000</v>
      </c>
      <c r="H91" s="102" t="s">
        <v>566</v>
      </c>
      <c r="I91" s="102">
        <v>2015</v>
      </c>
      <c r="J91" s="102" t="s">
        <v>566</v>
      </c>
      <c r="K91" s="102">
        <f t="shared" si="17"/>
        <v>3</v>
      </c>
      <c r="L91" s="102">
        <f t="shared" si="17"/>
        <v>2</v>
      </c>
      <c r="M91" s="102">
        <f t="shared" si="17"/>
        <v>1</v>
      </c>
      <c r="N91" s="102">
        <f t="shared" si="17"/>
        <v>2</v>
      </c>
      <c r="O91" s="102">
        <f t="shared" si="17"/>
        <v>1</v>
      </c>
      <c r="P91" s="121">
        <f t="shared" si="18"/>
        <v>1.8</v>
      </c>
      <c r="Q91" s="102">
        <v>45</v>
      </c>
      <c r="R91" s="102">
        <f t="shared" si="19"/>
        <v>2</v>
      </c>
      <c r="S91" s="122">
        <v>518.47375818603405</v>
      </c>
      <c r="T91" s="102">
        <f t="shared" si="20"/>
        <v>4</v>
      </c>
      <c r="U91" s="123">
        <v>53.085010856373799</v>
      </c>
      <c r="V91" s="102">
        <f t="shared" si="21"/>
        <v>3</v>
      </c>
      <c r="W91" s="124">
        <v>0</v>
      </c>
      <c r="X91" s="102">
        <f t="shared" si="16"/>
        <v>2</v>
      </c>
      <c r="Y91" s="125">
        <f t="shared" si="22"/>
        <v>12.8</v>
      </c>
      <c r="Z91" s="126" t="s">
        <v>580</v>
      </c>
      <c r="AA91" s="126">
        <v>1</v>
      </c>
      <c r="AB91" s="126">
        <v>3</v>
      </c>
      <c r="AC91" s="126">
        <v>100</v>
      </c>
      <c r="AD91" s="102">
        <f>IF(AND(AC91&gt;=AC$200,AC91&lt;AC$201),1,IF(AND(AC91&gt;=AC$201,AC91&lt;AC$202),2,IF(AND(AC91&gt;=AC$202,AC91&lt;AC$203),3,IF(AND(AC91&gt;=AC$203,AC91&lt;=AC$204),4,"empty"))))</f>
        <v>4</v>
      </c>
      <c r="AE91" s="127">
        <f t="shared" si="23"/>
        <v>8</v>
      </c>
      <c r="AF91" s="128">
        <f t="shared" si="24"/>
        <v>22.6</v>
      </c>
      <c r="AG91" s="108">
        <v>2034</v>
      </c>
      <c r="AH91" s="108" t="str">
        <f t="shared" si="25"/>
        <v>mid adopter</v>
      </c>
    </row>
    <row r="92" spans="1:34">
      <c r="A92" s="102" t="s">
        <v>257</v>
      </c>
      <c r="B92" s="120" t="s">
        <v>256</v>
      </c>
      <c r="C92" s="120" t="s">
        <v>79</v>
      </c>
      <c r="D92" s="102" t="s">
        <v>80</v>
      </c>
      <c r="E92" s="109">
        <v>2</v>
      </c>
      <c r="F92" s="102">
        <v>1995</v>
      </c>
      <c r="G92" s="102">
        <v>2004</v>
      </c>
      <c r="H92" s="102">
        <v>2013</v>
      </c>
      <c r="I92" s="102" t="s">
        <v>566</v>
      </c>
      <c r="J92" s="102" t="s">
        <v>566</v>
      </c>
      <c r="K92" s="102">
        <f t="shared" si="17"/>
        <v>3</v>
      </c>
      <c r="L92" s="102">
        <f t="shared" si="17"/>
        <v>2</v>
      </c>
      <c r="M92" s="102">
        <f t="shared" si="17"/>
        <v>2</v>
      </c>
      <c r="N92" s="102">
        <f t="shared" si="17"/>
        <v>1</v>
      </c>
      <c r="O92" s="102">
        <f t="shared" si="17"/>
        <v>1</v>
      </c>
      <c r="P92" s="121">
        <f t="shared" si="18"/>
        <v>1.8</v>
      </c>
      <c r="Q92" s="102">
        <v>13326</v>
      </c>
      <c r="R92" s="102">
        <f t="shared" si="19"/>
        <v>4</v>
      </c>
      <c r="S92" s="122">
        <v>96.282854111036798</v>
      </c>
      <c r="T92" s="102">
        <f t="shared" si="20"/>
        <v>3</v>
      </c>
      <c r="U92" s="123">
        <v>3.2440447330813298E-2</v>
      </c>
      <c r="V92" s="102">
        <f t="shared" si="21"/>
        <v>2</v>
      </c>
      <c r="W92" s="124">
        <v>0</v>
      </c>
      <c r="X92" s="102">
        <f t="shared" si="16"/>
        <v>2</v>
      </c>
      <c r="Y92" s="125">
        <f t="shared" si="22"/>
        <v>12.8</v>
      </c>
      <c r="Z92" s="126" t="s">
        <v>580</v>
      </c>
      <c r="AA92" s="126">
        <v>1</v>
      </c>
      <c r="AB92" s="126">
        <v>3</v>
      </c>
      <c r="AC92" s="126">
        <v>100</v>
      </c>
      <c r="AD92" s="102">
        <f>IF(AND(AC92&gt;=AC$200,AC92&lt;AC$201),1,IF(AND(AC92&gt;=AC$201,AC92&lt;AC$202),2,IF(AND(AC92&gt;=AC$202,AC92&lt;AC$203),3,IF(AND(AC92&gt;=AC$203,AC92&lt;=AC$204),4,"empty"))))</f>
        <v>4</v>
      </c>
      <c r="AE92" s="127">
        <f t="shared" si="23"/>
        <v>8</v>
      </c>
      <c r="AF92" s="128">
        <f t="shared" si="24"/>
        <v>22.6</v>
      </c>
      <c r="AG92" s="108">
        <v>2034</v>
      </c>
      <c r="AH92" s="108" t="str">
        <f t="shared" si="25"/>
        <v>mid adopter</v>
      </c>
    </row>
    <row r="93" spans="1:34">
      <c r="A93" s="102" t="s">
        <v>259</v>
      </c>
      <c r="B93" s="120" t="s">
        <v>258</v>
      </c>
      <c r="C93" s="120" t="s">
        <v>83</v>
      </c>
      <c r="D93" s="102" t="s">
        <v>84</v>
      </c>
      <c r="E93" s="109">
        <v>3</v>
      </c>
      <c r="F93" s="102">
        <v>2013</v>
      </c>
      <c r="G93" s="102">
        <v>2017</v>
      </c>
      <c r="H93" s="102">
        <v>2011</v>
      </c>
      <c r="I93" s="102">
        <v>2014</v>
      </c>
      <c r="J93" s="102">
        <v>2019</v>
      </c>
      <c r="K93" s="102">
        <f t="shared" si="17"/>
        <v>1</v>
      </c>
      <c r="L93" s="102">
        <f t="shared" si="17"/>
        <v>1</v>
      </c>
      <c r="M93" s="102">
        <f t="shared" si="17"/>
        <v>3</v>
      </c>
      <c r="N93" s="102">
        <f t="shared" si="17"/>
        <v>2</v>
      </c>
      <c r="O93" s="102">
        <f t="shared" si="17"/>
        <v>2</v>
      </c>
      <c r="P93" s="121">
        <f t="shared" si="18"/>
        <v>1.8</v>
      </c>
      <c r="Q93" s="102">
        <v>439</v>
      </c>
      <c r="R93" s="102">
        <f t="shared" si="19"/>
        <v>3</v>
      </c>
      <c r="S93" s="122">
        <v>210.056487717126</v>
      </c>
      <c r="T93" s="102">
        <f t="shared" si="20"/>
        <v>3</v>
      </c>
      <c r="U93" s="123">
        <v>446.94860947220297</v>
      </c>
      <c r="V93" s="102">
        <f t="shared" si="21"/>
        <v>4</v>
      </c>
      <c r="W93" s="124">
        <v>3259.8</v>
      </c>
      <c r="X93" s="102">
        <f t="shared" si="16"/>
        <v>4</v>
      </c>
      <c r="Y93" s="125">
        <f t="shared" si="22"/>
        <v>15.8</v>
      </c>
      <c r="Z93" s="126" t="s">
        <v>581</v>
      </c>
      <c r="AA93" s="126">
        <v>1</v>
      </c>
      <c r="AB93" s="126">
        <v>2</v>
      </c>
      <c r="AC93" s="126">
        <v>23.09327036599764</v>
      </c>
      <c r="AD93" s="102">
        <f>IF(AND(AC93&gt;=AC$200,AC93&lt;AC$201),1,IF(AND(AC93&gt;=AC$201,AC93&lt;AC$202),2,IF(AND(AC93&gt;=AC$202,AC93&lt;AC$203),3,IF(AND(AC93&gt;=AC$203,AC93&lt;=AC$204),4,"empty"))))</f>
        <v>1</v>
      </c>
      <c r="AE93" s="127">
        <f t="shared" si="23"/>
        <v>4</v>
      </c>
      <c r="AF93" s="128">
        <f t="shared" si="24"/>
        <v>21.6</v>
      </c>
      <c r="AG93" s="108">
        <v>2036</v>
      </c>
      <c r="AH93" s="108" t="str">
        <f t="shared" si="25"/>
        <v>mid adopter</v>
      </c>
    </row>
    <row r="94" spans="1:34">
      <c r="A94" s="102" t="s">
        <v>261</v>
      </c>
      <c r="B94" s="120" t="s">
        <v>260</v>
      </c>
      <c r="C94" s="120" t="s">
        <v>99</v>
      </c>
      <c r="D94" s="102" t="s">
        <v>84</v>
      </c>
      <c r="E94" s="109">
        <v>4</v>
      </c>
      <c r="F94" s="102">
        <v>2007</v>
      </c>
      <c r="G94" s="102">
        <v>2004</v>
      </c>
      <c r="H94" s="102">
        <v>2013</v>
      </c>
      <c r="I94" s="102">
        <v>2015</v>
      </c>
      <c r="J94" s="102" t="s">
        <v>566</v>
      </c>
      <c r="K94" s="102">
        <f t="shared" si="17"/>
        <v>2</v>
      </c>
      <c r="L94" s="102">
        <f t="shared" si="17"/>
        <v>2</v>
      </c>
      <c r="M94" s="102">
        <f t="shared" si="17"/>
        <v>2</v>
      </c>
      <c r="N94" s="102">
        <f t="shared" si="17"/>
        <v>2</v>
      </c>
      <c r="O94" s="102">
        <f t="shared" si="17"/>
        <v>1</v>
      </c>
      <c r="P94" s="121">
        <f t="shared" si="18"/>
        <v>1.8</v>
      </c>
      <c r="Q94" s="102">
        <v>0</v>
      </c>
      <c r="R94" s="102">
        <f t="shared" si="19"/>
        <v>1</v>
      </c>
      <c r="S94" s="122">
        <v>817.54199163328997</v>
      </c>
      <c r="T94" s="102">
        <f t="shared" si="20"/>
        <v>4</v>
      </c>
      <c r="U94" s="123">
        <v>3.9135316368498398</v>
      </c>
      <c r="V94" s="102">
        <f t="shared" si="21"/>
        <v>3</v>
      </c>
      <c r="W94" s="124" t="s">
        <v>573</v>
      </c>
      <c r="X94" s="102">
        <v>1</v>
      </c>
      <c r="Y94" s="125">
        <f t="shared" si="22"/>
        <v>10.8</v>
      </c>
      <c r="Z94" s="126" t="s">
        <v>581</v>
      </c>
      <c r="AA94" s="126">
        <v>1</v>
      </c>
      <c r="AB94" s="126">
        <v>2</v>
      </c>
      <c r="AC94" s="126" t="s">
        <v>582</v>
      </c>
      <c r="AD94" s="102">
        <v>2</v>
      </c>
      <c r="AE94" s="127">
        <f t="shared" si="23"/>
        <v>5</v>
      </c>
      <c r="AF94" s="128">
        <f t="shared" si="24"/>
        <v>17.600000000000001</v>
      </c>
      <c r="AG94" s="108">
        <v>2040</v>
      </c>
      <c r="AH94" s="108" t="str">
        <f t="shared" si="25"/>
        <v>late adopter</v>
      </c>
    </row>
    <row r="95" spans="1:34">
      <c r="A95" s="102" t="s">
        <v>263</v>
      </c>
      <c r="B95" s="120" t="s">
        <v>262</v>
      </c>
      <c r="C95" s="120" t="s">
        <v>99</v>
      </c>
      <c r="D95" s="102" t="s">
        <v>87</v>
      </c>
      <c r="E95" s="109">
        <v>1</v>
      </c>
      <c r="F95" s="102">
        <v>1997</v>
      </c>
      <c r="G95" s="102">
        <v>1983</v>
      </c>
      <c r="H95" s="102">
        <v>2014</v>
      </c>
      <c r="I95" s="102" t="s">
        <v>566</v>
      </c>
      <c r="J95" s="102">
        <v>2016</v>
      </c>
      <c r="K95" s="102">
        <f t="shared" si="17"/>
        <v>3</v>
      </c>
      <c r="L95" s="102">
        <f t="shared" si="17"/>
        <v>4</v>
      </c>
      <c r="M95" s="102">
        <f t="shared" si="17"/>
        <v>2</v>
      </c>
      <c r="N95" s="102">
        <f t="shared" si="17"/>
        <v>1</v>
      </c>
      <c r="O95" s="102">
        <f t="shared" si="17"/>
        <v>3</v>
      </c>
      <c r="P95" s="121">
        <f t="shared" si="18"/>
        <v>2.6</v>
      </c>
      <c r="Q95" s="102">
        <v>191</v>
      </c>
      <c r="R95" s="102">
        <f t="shared" si="19"/>
        <v>3</v>
      </c>
      <c r="S95" s="122">
        <v>0.62892322062433204</v>
      </c>
      <c r="T95" s="102">
        <f t="shared" si="20"/>
        <v>2</v>
      </c>
      <c r="U95" s="123">
        <v>0.11855016101810401</v>
      </c>
      <c r="V95" s="102">
        <f t="shared" si="21"/>
        <v>2</v>
      </c>
      <c r="W95" s="124">
        <v>0</v>
      </c>
      <c r="X95" s="102">
        <f t="shared" ref="X95:X112" si="27">IF(AND(W95&gt;=W$200,W95&lt;W$201),1,IF(AND(W95&gt;=W$201,W95&lt;W$202),2,IF(AND(W95&gt;=W$202,W95&lt;W$203),3,IF(AND(W95&gt;=W$203,W95&lt;=W$204),4,"empty"))))</f>
        <v>2</v>
      </c>
      <c r="Y95" s="125">
        <f t="shared" si="22"/>
        <v>11.6</v>
      </c>
      <c r="Z95" s="126" t="s">
        <v>580</v>
      </c>
      <c r="AA95" s="126">
        <v>1</v>
      </c>
      <c r="AB95" s="126">
        <v>4</v>
      </c>
      <c r="AC95" s="126">
        <v>46.00760456273764</v>
      </c>
      <c r="AD95" s="102">
        <f>IF(AND(AC95&gt;=AC$200,AC95&lt;AC$201),1,IF(AND(AC95&gt;=AC$201,AC95&lt;AC$202),2,IF(AND(AC95&gt;=AC$202,AC95&lt;AC$203),3,IF(AND(AC95&gt;=AC$203,AC95&lt;=AC$204),4,"empty"))))</f>
        <v>2</v>
      </c>
      <c r="AE95" s="127">
        <f t="shared" si="23"/>
        <v>7</v>
      </c>
      <c r="AF95" s="128">
        <f t="shared" si="24"/>
        <v>21.2</v>
      </c>
      <c r="AG95" s="108">
        <v>2037</v>
      </c>
      <c r="AH95" s="108" t="str">
        <f t="shared" si="25"/>
        <v>mid adopter</v>
      </c>
    </row>
    <row r="96" spans="1:34">
      <c r="A96" s="102" t="s">
        <v>265</v>
      </c>
      <c r="B96" s="120" t="s">
        <v>264</v>
      </c>
      <c r="C96" s="120" t="s">
        <v>74</v>
      </c>
      <c r="D96" s="102" t="s">
        <v>87</v>
      </c>
      <c r="E96" s="109">
        <v>1</v>
      </c>
      <c r="F96" s="102">
        <v>1996</v>
      </c>
      <c r="G96" s="102">
        <v>1987</v>
      </c>
      <c r="H96" s="102">
        <v>2007</v>
      </c>
      <c r="I96" s="102">
        <v>2017</v>
      </c>
      <c r="J96" s="102">
        <v>2021</v>
      </c>
      <c r="K96" s="102">
        <f t="shared" si="17"/>
        <v>3</v>
      </c>
      <c r="L96" s="102">
        <f t="shared" si="17"/>
        <v>3</v>
      </c>
      <c r="M96" s="102">
        <f t="shared" si="17"/>
        <v>4</v>
      </c>
      <c r="N96" s="102">
        <f t="shared" si="17"/>
        <v>1</v>
      </c>
      <c r="O96" s="102">
        <f t="shared" si="17"/>
        <v>1</v>
      </c>
      <c r="P96" s="121">
        <f t="shared" si="18"/>
        <v>2.4</v>
      </c>
      <c r="Q96" s="102">
        <v>12</v>
      </c>
      <c r="R96" s="102">
        <f t="shared" si="19"/>
        <v>2</v>
      </c>
      <c r="S96" s="122">
        <v>101.4235470747</v>
      </c>
      <c r="T96" s="102">
        <f t="shared" si="20"/>
        <v>3</v>
      </c>
      <c r="U96" s="123">
        <v>5.29666515647499E-3</v>
      </c>
      <c r="V96" s="102">
        <f t="shared" si="21"/>
        <v>1</v>
      </c>
      <c r="W96" s="124">
        <v>0</v>
      </c>
      <c r="X96" s="102">
        <f t="shared" si="27"/>
        <v>2</v>
      </c>
      <c r="Y96" s="125">
        <f t="shared" si="22"/>
        <v>10.4</v>
      </c>
      <c r="Z96" s="126" t="s">
        <v>580</v>
      </c>
      <c r="AA96" s="126">
        <v>1</v>
      </c>
      <c r="AB96" s="126">
        <v>4</v>
      </c>
      <c r="AC96" s="126" t="s">
        <v>582</v>
      </c>
      <c r="AD96" s="126">
        <v>4</v>
      </c>
      <c r="AE96" s="127">
        <f t="shared" si="23"/>
        <v>9</v>
      </c>
      <c r="AF96" s="128">
        <f t="shared" si="24"/>
        <v>21.8</v>
      </c>
      <c r="AG96" s="108">
        <v>2036</v>
      </c>
      <c r="AH96" s="108" t="str">
        <f t="shared" si="25"/>
        <v>mid adopter</v>
      </c>
    </row>
    <row r="97" spans="1:34">
      <c r="A97" s="102" t="s">
        <v>267</v>
      </c>
      <c r="B97" s="120" t="s">
        <v>266</v>
      </c>
      <c r="C97" s="120" t="s">
        <v>79</v>
      </c>
      <c r="D97" s="102" t="s">
        <v>84</v>
      </c>
      <c r="E97" s="109">
        <v>1</v>
      </c>
      <c r="F97" s="102">
        <v>1986</v>
      </c>
      <c r="G97" s="102">
        <v>2001</v>
      </c>
      <c r="H97" s="102">
        <v>2016</v>
      </c>
      <c r="I97" s="102">
        <v>2019</v>
      </c>
      <c r="J97" s="102">
        <v>2023</v>
      </c>
      <c r="K97" s="102">
        <f t="shared" si="17"/>
        <v>4</v>
      </c>
      <c r="L97" s="102">
        <f t="shared" si="17"/>
        <v>2</v>
      </c>
      <c r="M97" s="102">
        <f t="shared" si="17"/>
        <v>1</v>
      </c>
      <c r="N97" s="102">
        <f t="shared" si="17"/>
        <v>1</v>
      </c>
      <c r="O97" s="102">
        <f t="shared" si="17"/>
        <v>1</v>
      </c>
      <c r="P97" s="121">
        <f t="shared" si="18"/>
        <v>1.8</v>
      </c>
      <c r="Q97" s="102">
        <v>2303</v>
      </c>
      <c r="R97" s="102">
        <f t="shared" si="19"/>
        <v>4</v>
      </c>
      <c r="S97" s="122">
        <v>65.800408713607695</v>
      </c>
      <c r="T97" s="102">
        <f t="shared" si="20"/>
        <v>3</v>
      </c>
      <c r="U97" s="123">
        <v>2.41948776414635E-2</v>
      </c>
      <c r="V97" s="102">
        <f t="shared" si="21"/>
        <v>2</v>
      </c>
      <c r="W97" s="124">
        <v>0</v>
      </c>
      <c r="X97" s="102">
        <f t="shared" si="27"/>
        <v>2</v>
      </c>
      <c r="Y97" s="125">
        <f t="shared" si="22"/>
        <v>12.8</v>
      </c>
      <c r="Z97" s="109" t="s">
        <v>583</v>
      </c>
      <c r="AA97" s="126">
        <v>3</v>
      </c>
      <c r="AB97" s="126">
        <v>2</v>
      </c>
      <c r="AC97" s="126">
        <v>35.759364974168186</v>
      </c>
      <c r="AD97" s="102">
        <f>IF(AND(AC97&gt;=AC$200,AC97&lt;AC$201),1,IF(AND(AC97&gt;=AC$201,AC97&lt;AC$202),2,IF(AND(AC97&gt;=AC$202,AC97&lt;AC$203),3,IF(AND(AC97&gt;=AC$203,AC97&lt;=AC$204),4,"empty"))))</f>
        <v>2</v>
      </c>
      <c r="AE97" s="127">
        <f t="shared" si="23"/>
        <v>7</v>
      </c>
      <c r="AF97" s="128">
        <f t="shared" si="24"/>
        <v>21.6</v>
      </c>
      <c r="AG97" s="108">
        <v>2036</v>
      </c>
      <c r="AH97" s="108" t="str">
        <f t="shared" si="25"/>
        <v>mid adopter</v>
      </c>
    </row>
    <row r="98" spans="1:34">
      <c r="A98" s="102" t="s">
        <v>269</v>
      </c>
      <c r="B98" s="120" t="s">
        <v>268</v>
      </c>
      <c r="C98" s="120" t="s">
        <v>99</v>
      </c>
      <c r="D98" s="102" t="s">
        <v>84</v>
      </c>
      <c r="E98" s="109">
        <v>4</v>
      </c>
      <c r="F98" s="102">
        <v>2017</v>
      </c>
      <c r="G98" s="102">
        <v>2012</v>
      </c>
      <c r="H98" s="102">
        <v>2013</v>
      </c>
      <c r="I98" s="102" t="s">
        <v>566</v>
      </c>
      <c r="J98" s="102">
        <v>2020</v>
      </c>
      <c r="K98" s="102">
        <f t="shared" si="17"/>
        <v>1</v>
      </c>
      <c r="L98" s="102">
        <f t="shared" si="17"/>
        <v>2</v>
      </c>
      <c r="M98" s="102">
        <f t="shared" si="17"/>
        <v>2</v>
      </c>
      <c r="N98" s="102">
        <f t="shared" si="17"/>
        <v>1</v>
      </c>
      <c r="O98" s="102">
        <f t="shared" si="17"/>
        <v>1</v>
      </c>
      <c r="P98" s="121">
        <f t="shared" si="18"/>
        <v>1.4</v>
      </c>
      <c r="Q98" s="102">
        <v>1121</v>
      </c>
      <c r="R98" s="102">
        <f t="shared" si="19"/>
        <v>4</v>
      </c>
      <c r="S98" s="122">
        <v>559.16273853627399</v>
      </c>
      <c r="T98" s="102">
        <f t="shared" si="20"/>
        <v>4</v>
      </c>
      <c r="U98" s="123">
        <v>152.60236189583699</v>
      </c>
      <c r="V98" s="102">
        <f t="shared" si="21"/>
        <v>4</v>
      </c>
      <c r="W98" s="124">
        <v>354.5</v>
      </c>
      <c r="X98" s="102">
        <f t="shared" si="27"/>
        <v>4</v>
      </c>
      <c r="Y98" s="125">
        <f t="shared" si="22"/>
        <v>17.399999999999999</v>
      </c>
      <c r="Z98" s="109" t="s">
        <v>581</v>
      </c>
      <c r="AA98" s="126">
        <v>1</v>
      </c>
      <c r="AB98" s="126">
        <v>2</v>
      </c>
      <c r="AC98" s="126">
        <v>23.197588480510205</v>
      </c>
      <c r="AD98" s="102">
        <f>IF(AND(AC98&gt;=AC$200,AC98&lt;AC$201),1,IF(AND(AC98&gt;=AC$201,AC98&lt;AC$202),2,IF(AND(AC98&gt;=AC$202,AC98&lt;AC$203),3,IF(AND(AC98&gt;=AC$203,AC98&lt;=AC$204),4,"empty"))))</f>
        <v>2</v>
      </c>
      <c r="AE98" s="127">
        <f t="shared" si="23"/>
        <v>5</v>
      </c>
      <c r="AF98" s="128">
        <f t="shared" si="24"/>
        <v>23.799999999999997</v>
      </c>
      <c r="AG98" s="108">
        <v>2033</v>
      </c>
      <c r="AH98" s="108" t="str">
        <f t="shared" si="25"/>
        <v>early adopter</v>
      </c>
    </row>
    <row r="99" spans="1:34">
      <c r="A99" s="102" t="s">
        <v>271</v>
      </c>
      <c r="B99" s="120" t="s">
        <v>270</v>
      </c>
      <c r="C99" s="120" t="s">
        <v>79</v>
      </c>
      <c r="D99" s="102" t="s">
        <v>87</v>
      </c>
      <c r="E99" s="109">
        <v>1</v>
      </c>
      <c r="F99" s="102">
        <v>1987</v>
      </c>
      <c r="G99" s="102">
        <v>1993</v>
      </c>
      <c r="H99" s="102">
        <v>2010</v>
      </c>
      <c r="I99" s="102">
        <v>2015</v>
      </c>
      <c r="J99" s="102">
        <v>2010</v>
      </c>
      <c r="K99" s="102">
        <f t="shared" si="17"/>
        <v>4</v>
      </c>
      <c r="L99" s="102">
        <f t="shared" si="17"/>
        <v>3</v>
      </c>
      <c r="M99" s="102">
        <f t="shared" si="17"/>
        <v>3</v>
      </c>
      <c r="N99" s="102">
        <f t="shared" si="17"/>
        <v>2</v>
      </c>
      <c r="O99" s="102">
        <f t="shared" si="17"/>
        <v>4</v>
      </c>
      <c r="P99" s="121">
        <f t="shared" si="18"/>
        <v>3.2</v>
      </c>
      <c r="Q99" s="102">
        <v>2</v>
      </c>
      <c r="R99" s="102">
        <f t="shared" si="19"/>
        <v>2</v>
      </c>
      <c r="S99" s="122">
        <v>0.106214048049231</v>
      </c>
      <c r="T99" s="102">
        <f t="shared" si="20"/>
        <v>1</v>
      </c>
      <c r="U99" s="123">
        <v>7.1628503444258904E-2</v>
      </c>
      <c r="V99" s="102">
        <f t="shared" si="21"/>
        <v>2</v>
      </c>
      <c r="W99" s="124">
        <v>2.9985999999999999E-10</v>
      </c>
      <c r="X99" s="102">
        <f t="shared" si="27"/>
        <v>2</v>
      </c>
      <c r="Y99" s="125">
        <f t="shared" si="22"/>
        <v>10.199999999999999</v>
      </c>
      <c r="Z99" s="126" t="s">
        <v>580</v>
      </c>
      <c r="AA99" s="126">
        <v>1</v>
      </c>
      <c r="AB99" s="126">
        <v>4</v>
      </c>
      <c r="AC99" s="126">
        <v>100</v>
      </c>
      <c r="AD99" s="102">
        <f>IF(AND(AC99&gt;=AC$200,AC99&lt;AC$201),1,IF(AND(AC99&gt;=AC$201,AC99&lt;AC$202),2,IF(AND(AC99&gt;=AC$202,AC99&lt;AC$203),3,IF(AND(AC99&gt;=AC$203,AC99&lt;=AC$204),4,"empty"))))</f>
        <v>4</v>
      </c>
      <c r="AE99" s="127">
        <f t="shared" si="23"/>
        <v>9</v>
      </c>
      <c r="AF99" s="128">
        <f t="shared" si="24"/>
        <v>22.4</v>
      </c>
      <c r="AG99" s="108">
        <v>2035</v>
      </c>
      <c r="AH99" s="108" t="str">
        <f t="shared" si="25"/>
        <v>mid adopter</v>
      </c>
    </row>
    <row r="100" spans="1:34">
      <c r="A100" s="102" t="s">
        <v>273</v>
      </c>
      <c r="B100" s="120" t="s">
        <v>272</v>
      </c>
      <c r="C100" s="120" t="s">
        <v>74</v>
      </c>
      <c r="D100" s="102" t="s">
        <v>80</v>
      </c>
      <c r="E100" s="109">
        <v>2</v>
      </c>
      <c r="F100" s="102">
        <v>1995</v>
      </c>
      <c r="G100" s="102">
        <v>1995</v>
      </c>
      <c r="H100" s="102">
        <v>2015</v>
      </c>
      <c r="I100" s="102" t="s">
        <v>566</v>
      </c>
      <c r="J100" s="102" t="s">
        <v>566</v>
      </c>
      <c r="K100" s="102">
        <f t="shared" ref="K100:O131" si="28">IF(AND(F100&gt;=F$200,F100&lt;F$201),4,IF(AND(F100&gt;=F$201,F100&lt;F$202),3,IF(AND(F100&gt;=F$202,F100&lt;F$203),2,IF(AND(F100&gt;=F$203,F100&lt;=F$204),1,1))))</f>
        <v>3</v>
      </c>
      <c r="L100" s="102">
        <f t="shared" si="28"/>
        <v>3</v>
      </c>
      <c r="M100" s="102">
        <f t="shared" si="28"/>
        <v>1</v>
      </c>
      <c r="N100" s="102">
        <f t="shared" si="28"/>
        <v>1</v>
      </c>
      <c r="O100" s="102">
        <f t="shared" si="28"/>
        <v>1</v>
      </c>
      <c r="P100" s="121">
        <f t="shared" si="18"/>
        <v>1.8</v>
      </c>
      <c r="Q100" s="102">
        <v>1046</v>
      </c>
      <c r="R100" s="102">
        <f t="shared" si="19"/>
        <v>4</v>
      </c>
      <c r="S100" s="122">
        <v>420.21332039730299</v>
      </c>
      <c r="T100" s="102">
        <f t="shared" si="20"/>
        <v>4</v>
      </c>
      <c r="U100" s="123">
        <v>16.7376045459784</v>
      </c>
      <c r="V100" s="102">
        <f t="shared" si="21"/>
        <v>3</v>
      </c>
      <c r="W100" s="124">
        <v>0</v>
      </c>
      <c r="X100" s="102">
        <f t="shared" si="27"/>
        <v>2</v>
      </c>
      <c r="Y100" s="125">
        <f t="shared" si="22"/>
        <v>14.8</v>
      </c>
      <c r="Z100" s="126" t="s">
        <v>580</v>
      </c>
      <c r="AA100" s="126">
        <v>1</v>
      </c>
      <c r="AB100" s="126">
        <v>3</v>
      </c>
      <c r="AC100" s="126">
        <v>52.434782608695606</v>
      </c>
      <c r="AD100" s="102">
        <f>IF(AND(AC100&gt;=AC$200,AC100&lt;AC$201),1,IF(AND(AC100&gt;=AC$201,AC100&lt;AC$202),2,IF(AND(AC100&gt;=AC$202,AC100&lt;AC$203),3,IF(AND(AC100&gt;=AC$203,AC100&lt;=AC$204),4,"empty"))))</f>
        <v>2</v>
      </c>
      <c r="AE100" s="127">
        <f t="shared" si="23"/>
        <v>6</v>
      </c>
      <c r="AF100" s="128">
        <f t="shared" si="24"/>
        <v>22.6</v>
      </c>
      <c r="AG100" s="108">
        <v>2034</v>
      </c>
      <c r="AH100" s="108" t="str">
        <f t="shared" si="25"/>
        <v>mid adopter</v>
      </c>
    </row>
    <row r="101" spans="1:34">
      <c r="A101" s="102" t="s">
        <v>275</v>
      </c>
      <c r="B101" s="120" t="s">
        <v>274</v>
      </c>
      <c r="C101" s="120" t="s">
        <v>83</v>
      </c>
      <c r="D101" s="102" t="s">
        <v>84</v>
      </c>
      <c r="E101" s="109">
        <v>3</v>
      </c>
      <c r="F101" s="102">
        <v>1981</v>
      </c>
      <c r="G101" s="102">
        <v>2017</v>
      </c>
      <c r="H101" s="102">
        <v>2015</v>
      </c>
      <c r="I101" s="102">
        <v>2017</v>
      </c>
      <c r="J101" s="102">
        <v>2022</v>
      </c>
      <c r="K101" s="102">
        <f t="shared" si="28"/>
        <v>4</v>
      </c>
      <c r="L101" s="102">
        <f t="shared" si="28"/>
        <v>1</v>
      </c>
      <c r="M101" s="102">
        <f t="shared" si="28"/>
        <v>1</v>
      </c>
      <c r="N101" s="102">
        <f t="shared" si="28"/>
        <v>1</v>
      </c>
      <c r="O101" s="102">
        <f t="shared" si="28"/>
        <v>1</v>
      </c>
      <c r="P101" s="121">
        <f t="shared" si="18"/>
        <v>1.6</v>
      </c>
      <c r="Q101" s="102">
        <v>10</v>
      </c>
      <c r="R101" s="102">
        <f t="shared" si="19"/>
        <v>2</v>
      </c>
      <c r="S101" s="122">
        <v>71.627529885857697</v>
      </c>
      <c r="T101" s="102">
        <f t="shared" si="20"/>
        <v>3</v>
      </c>
      <c r="U101" s="123">
        <v>14.5163060766042</v>
      </c>
      <c r="V101" s="102">
        <f t="shared" si="21"/>
        <v>3</v>
      </c>
      <c r="W101" s="124">
        <v>66.989000000000004</v>
      </c>
      <c r="X101" s="102">
        <f t="shared" si="27"/>
        <v>3</v>
      </c>
      <c r="Y101" s="125">
        <f t="shared" si="22"/>
        <v>12.6</v>
      </c>
      <c r="Z101" s="126" t="s">
        <v>584</v>
      </c>
      <c r="AA101" s="109">
        <v>2</v>
      </c>
      <c r="AB101" s="126">
        <v>2</v>
      </c>
      <c r="AC101" s="126">
        <v>53.711726100455593</v>
      </c>
      <c r="AD101" s="102">
        <f>IF(AND(AC101&gt;=AC$200,AC101&lt;AC$201),1,IF(AND(AC101&gt;=AC$201,AC101&lt;AC$202),2,IF(AND(AC101&gt;=AC$202,AC101&lt;AC$203),3,IF(AND(AC101&gt;=AC$203,AC101&lt;=AC$204),4,"empty"))))</f>
        <v>2</v>
      </c>
      <c r="AE101" s="127">
        <f t="shared" si="23"/>
        <v>6</v>
      </c>
      <c r="AF101" s="128">
        <f t="shared" si="24"/>
        <v>20.2</v>
      </c>
      <c r="AG101" s="108">
        <v>2038</v>
      </c>
      <c r="AH101" s="108" t="str">
        <f t="shared" si="25"/>
        <v>late adopter</v>
      </c>
    </row>
    <row r="102" spans="1:34">
      <c r="A102" s="102" t="s">
        <v>277</v>
      </c>
      <c r="B102" s="120" t="s">
        <v>276</v>
      </c>
      <c r="C102" s="120" t="s">
        <v>83</v>
      </c>
      <c r="D102" s="102" t="s">
        <v>75</v>
      </c>
      <c r="E102" s="109">
        <v>3</v>
      </c>
      <c r="F102" s="102">
        <v>2019</v>
      </c>
      <c r="G102" s="102" t="s">
        <v>566</v>
      </c>
      <c r="H102" s="102">
        <v>2014</v>
      </c>
      <c r="I102" s="102">
        <v>2016</v>
      </c>
      <c r="J102" s="102">
        <v>2019</v>
      </c>
      <c r="K102" s="102">
        <f t="shared" si="28"/>
        <v>1</v>
      </c>
      <c r="L102" s="102">
        <f t="shared" si="28"/>
        <v>1</v>
      </c>
      <c r="M102" s="102">
        <f t="shared" si="28"/>
        <v>2</v>
      </c>
      <c r="N102" s="102">
        <f t="shared" si="28"/>
        <v>2</v>
      </c>
      <c r="O102" s="102">
        <f t="shared" si="28"/>
        <v>2</v>
      </c>
      <c r="P102" s="121">
        <f t="shared" si="18"/>
        <v>1.6</v>
      </c>
      <c r="Q102" s="102">
        <v>1044</v>
      </c>
      <c r="R102" s="102">
        <f t="shared" si="19"/>
        <v>4</v>
      </c>
      <c r="S102" s="122">
        <v>635.41618244839106</v>
      </c>
      <c r="T102" s="102">
        <f t="shared" si="20"/>
        <v>4</v>
      </c>
      <c r="U102" s="123">
        <v>222.96564742077101</v>
      </c>
      <c r="V102" s="102">
        <f t="shared" si="21"/>
        <v>4</v>
      </c>
      <c r="W102" s="124">
        <v>169.06</v>
      </c>
      <c r="X102" s="102">
        <f t="shared" si="27"/>
        <v>4</v>
      </c>
      <c r="Y102" s="125">
        <f t="shared" si="22"/>
        <v>17.600000000000001</v>
      </c>
      <c r="Z102" s="126" t="s">
        <v>579</v>
      </c>
      <c r="AA102" s="126">
        <v>4</v>
      </c>
      <c r="AB102" s="126">
        <v>1</v>
      </c>
      <c r="AC102" s="126" t="s">
        <v>582</v>
      </c>
      <c r="AD102" s="102">
        <v>1</v>
      </c>
      <c r="AE102" s="127">
        <f t="shared" si="23"/>
        <v>6</v>
      </c>
      <c r="AF102" s="128">
        <f t="shared" si="24"/>
        <v>25.200000000000003</v>
      </c>
      <c r="AG102" s="108">
        <v>2031</v>
      </c>
      <c r="AH102" s="108" t="str">
        <f t="shared" si="25"/>
        <v>early adopter</v>
      </c>
    </row>
    <row r="103" spans="1:34">
      <c r="A103" s="102" t="s">
        <v>279</v>
      </c>
      <c r="B103" s="120" t="s">
        <v>278</v>
      </c>
      <c r="C103" s="120" t="s">
        <v>74</v>
      </c>
      <c r="D103" s="102" t="s">
        <v>80</v>
      </c>
      <c r="E103" s="109">
        <v>2</v>
      </c>
      <c r="F103" s="102">
        <v>1995</v>
      </c>
      <c r="G103" s="102">
        <v>1993</v>
      </c>
      <c r="H103" s="102">
        <v>2013</v>
      </c>
      <c r="I103" s="102">
        <v>2013</v>
      </c>
      <c r="J103" s="102">
        <v>2013</v>
      </c>
      <c r="K103" s="102">
        <f t="shared" si="28"/>
        <v>3</v>
      </c>
      <c r="L103" s="102">
        <f t="shared" si="28"/>
        <v>3</v>
      </c>
      <c r="M103" s="102">
        <f t="shared" si="28"/>
        <v>2</v>
      </c>
      <c r="N103" s="102">
        <f t="shared" si="28"/>
        <v>3</v>
      </c>
      <c r="O103" s="102">
        <f t="shared" si="28"/>
        <v>3</v>
      </c>
      <c r="P103" s="121">
        <f t="shared" si="18"/>
        <v>2.8</v>
      </c>
      <c r="Q103" s="102">
        <v>188</v>
      </c>
      <c r="R103" s="102">
        <f t="shared" si="19"/>
        <v>3</v>
      </c>
      <c r="S103" s="122">
        <v>7.5072200266038598</v>
      </c>
      <c r="T103" s="102">
        <f t="shared" si="20"/>
        <v>2</v>
      </c>
      <c r="U103" s="123">
        <v>0.39490213120901302</v>
      </c>
      <c r="V103" s="102">
        <f t="shared" si="21"/>
        <v>2</v>
      </c>
      <c r="W103" s="124">
        <v>0</v>
      </c>
      <c r="X103" s="102">
        <f t="shared" si="27"/>
        <v>2</v>
      </c>
      <c r="Y103" s="125">
        <f t="shared" si="22"/>
        <v>11.8</v>
      </c>
      <c r="Z103" s="126" t="s">
        <v>580</v>
      </c>
      <c r="AA103" s="126">
        <v>1</v>
      </c>
      <c r="AB103" s="126">
        <v>3</v>
      </c>
      <c r="AC103" s="126" t="s">
        <v>582</v>
      </c>
      <c r="AD103" s="102">
        <v>3</v>
      </c>
      <c r="AE103" s="127">
        <f t="shared" si="23"/>
        <v>7</v>
      </c>
      <c r="AF103" s="128">
        <f t="shared" si="24"/>
        <v>21.6</v>
      </c>
      <c r="AG103" s="108">
        <v>2036</v>
      </c>
      <c r="AH103" s="108" t="str">
        <f t="shared" si="25"/>
        <v>mid adopter</v>
      </c>
    </row>
    <row r="104" spans="1:34">
      <c r="A104" s="102" t="s">
        <v>281</v>
      </c>
      <c r="B104" s="120" t="s">
        <v>280</v>
      </c>
      <c r="C104" s="120" t="s">
        <v>79</v>
      </c>
      <c r="D104" s="102" t="s">
        <v>87</v>
      </c>
      <c r="E104" s="109">
        <v>1</v>
      </c>
      <c r="F104" s="102">
        <v>1992</v>
      </c>
      <c r="G104" s="102">
        <v>1992</v>
      </c>
      <c r="H104" s="102">
        <v>2014</v>
      </c>
      <c r="I104" s="102">
        <v>2018</v>
      </c>
      <c r="J104" s="102">
        <v>2016</v>
      </c>
      <c r="K104" s="102">
        <f t="shared" si="28"/>
        <v>3</v>
      </c>
      <c r="L104" s="102">
        <f t="shared" si="28"/>
        <v>3</v>
      </c>
      <c r="M104" s="102">
        <f t="shared" si="28"/>
        <v>2</v>
      </c>
      <c r="N104" s="102">
        <f t="shared" si="28"/>
        <v>1</v>
      </c>
      <c r="O104" s="102">
        <f t="shared" si="28"/>
        <v>3</v>
      </c>
      <c r="P104" s="121">
        <f t="shared" si="18"/>
        <v>2.4</v>
      </c>
      <c r="Q104" s="102">
        <v>832</v>
      </c>
      <c r="R104" s="102">
        <f t="shared" si="19"/>
        <v>3</v>
      </c>
      <c r="S104" s="122">
        <v>52.158245737258</v>
      </c>
      <c r="T104" s="102">
        <f t="shared" si="20"/>
        <v>2</v>
      </c>
      <c r="U104" s="123">
        <v>4.77639340005768E-3</v>
      </c>
      <c r="V104" s="102">
        <f t="shared" si="21"/>
        <v>1</v>
      </c>
      <c r="W104" s="124">
        <v>1.1937000000000001E-12</v>
      </c>
      <c r="X104" s="102">
        <f t="shared" si="27"/>
        <v>2</v>
      </c>
      <c r="Y104" s="125">
        <f t="shared" si="22"/>
        <v>10.4</v>
      </c>
      <c r="Z104" s="126" t="s">
        <v>580</v>
      </c>
      <c r="AA104" s="126">
        <v>1</v>
      </c>
      <c r="AB104" s="126">
        <v>4</v>
      </c>
      <c r="AC104" s="126">
        <v>100</v>
      </c>
      <c r="AD104" s="126">
        <v>4</v>
      </c>
      <c r="AE104" s="127">
        <f t="shared" si="23"/>
        <v>9</v>
      </c>
      <c r="AF104" s="128">
        <f t="shared" si="24"/>
        <v>21.8</v>
      </c>
      <c r="AG104" s="108">
        <v>2036</v>
      </c>
      <c r="AH104" s="108" t="str">
        <f t="shared" si="25"/>
        <v>mid adopter</v>
      </c>
    </row>
    <row r="105" spans="1:34">
      <c r="A105" s="102" t="s">
        <v>283</v>
      </c>
      <c r="B105" s="120" t="s">
        <v>282</v>
      </c>
      <c r="C105" s="120" t="s">
        <v>79</v>
      </c>
      <c r="D105" s="102" t="s">
        <v>87</v>
      </c>
      <c r="E105" s="109">
        <v>1</v>
      </c>
      <c r="F105" s="102">
        <v>1994</v>
      </c>
      <c r="G105" s="102">
        <v>1986</v>
      </c>
      <c r="H105" s="102">
        <v>2005</v>
      </c>
      <c r="I105" s="102">
        <v>2006</v>
      </c>
      <c r="J105" s="102">
        <v>2008</v>
      </c>
      <c r="K105" s="102">
        <f t="shared" si="28"/>
        <v>3</v>
      </c>
      <c r="L105" s="102">
        <f t="shared" si="28"/>
        <v>4</v>
      </c>
      <c r="M105" s="102">
        <f t="shared" si="28"/>
        <v>4</v>
      </c>
      <c r="N105" s="102">
        <f t="shared" si="28"/>
        <v>4</v>
      </c>
      <c r="O105" s="102">
        <f t="shared" si="28"/>
        <v>4</v>
      </c>
      <c r="P105" s="121">
        <f t="shared" si="18"/>
        <v>3.8</v>
      </c>
      <c r="Q105" s="102">
        <v>24</v>
      </c>
      <c r="R105" s="102">
        <f t="shared" si="19"/>
        <v>2</v>
      </c>
      <c r="S105" s="122">
        <v>7.5606827771686298</v>
      </c>
      <c r="T105" s="102">
        <f t="shared" si="20"/>
        <v>2</v>
      </c>
      <c r="U105" s="123">
        <v>7.6380440184127402E-3</v>
      </c>
      <c r="V105" s="102">
        <f t="shared" si="21"/>
        <v>2</v>
      </c>
      <c r="W105" s="124">
        <v>0.45976</v>
      </c>
      <c r="X105" s="102">
        <f t="shared" si="27"/>
        <v>3</v>
      </c>
      <c r="Y105" s="125">
        <f t="shared" si="22"/>
        <v>12.8</v>
      </c>
      <c r="Z105" s="126" t="s">
        <v>580</v>
      </c>
      <c r="AA105" s="126">
        <v>1</v>
      </c>
      <c r="AB105" s="126">
        <v>4</v>
      </c>
      <c r="AC105" s="126" t="s">
        <v>582</v>
      </c>
      <c r="AD105" s="126">
        <v>4</v>
      </c>
      <c r="AE105" s="127">
        <f t="shared" si="23"/>
        <v>9</v>
      </c>
      <c r="AF105" s="128">
        <f t="shared" si="24"/>
        <v>25.6</v>
      </c>
      <c r="AG105" s="108">
        <v>2030</v>
      </c>
      <c r="AH105" s="108" t="str">
        <f t="shared" si="25"/>
        <v>early adopter</v>
      </c>
    </row>
    <row r="106" spans="1:34">
      <c r="A106" s="102" t="s">
        <v>285</v>
      </c>
      <c r="B106" s="120" t="s">
        <v>284</v>
      </c>
      <c r="C106" s="120" t="s">
        <v>79</v>
      </c>
      <c r="D106" s="102" t="s">
        <v>80</v>
      </c>
      <c r="E106" s="109">
        <v>1</v>
      </c>
      <c r="F106" s="102">
        <v>1987</v>
      </c>
      <c r="G106" s="102">
        <v>1982</v>
      </c>
      <c r="H106" s="102">
        <v>2019</v>
      </c>
      <c r="I106" s="102">
        <v>2020</v>
      </c>
      <c r="J106" s="102">
        <v>2009</v>
      </c>
      <c r="K106" s="102">
        <f t="shared" si="28"/>
        <v>4</v>
      </c>
      <c r="L106" s="102">
        <f t="shared" si="28"/>
        <v>4</v>
      </c>
      <c r="M106" s="102">
        <f t="shared" si="28"/>
        <v>1</v>
      </c>
      <c r="N106" s="102">
        <f t="shared" si="28"/>
        <v>1</v>
      </c>
      <c r="O106" s="102">
        <f t="shared" si="28"/>
        <v>4</v>
      </c>
      <c r="P106" s="121">
        <f t="shared" si="18"/>
        <v>2.8</v>
      </c>
      <c r="Q106" s="102">
        <v>1884</v>
      </c>
      <c r="R106" s="102">
        <f t="shared" si="19"/>
        <v>4</v>
      </c>
      <c r="S106" s="122">
        <v>170.45048545019199</v>
      </c>
      <c r="T106" s="102">
        <f t="shared" si="20"/>
        <v>3</v>
      </c>
      <c r="U106" s="123">
        <v>3.0903162231814201</v>
      </c>
      <c r="V106" s="102">
        <f t="shared" si="21"/>
        <v>3</v>
      </c>
      <c r="W106" s="124">
        <v>0</v>
      </c>
      <c r="X106" s="102">
        <f t="shared" si="27"/>
        <v>2</v>
      </c>
      <c r="Y106" s="125">
        <f t="shared" si="22"/>
        <v>14.8</v>
      </c>
      <c r="Z106" s="126" t="s">
        <v>580</v>
      </c>
      <c r="AA106" s="126">
        <v>1</v>
      </c>
      <c r="AB106" s="126">
        <v>3</v>
      </c>
      <c r="AC106" s="126">
        <v>100</v>
      </c>
      <c r="AD106" s="102">
        <v>3</v>
      </c>
      <c r="AE106" s="127">
        <f t="shared" si="23"/>
        <v>7</v>
      </c>
      <c r="AF106" s="128">
        <f t="shared" si="24"/>
        <v>24.6</v>
      </c>
      <c r="AG106" s="108">
        <v>2031</v>
      </c>
      <c r="AH106" s="108" t="str">
        <f t="shared" si="25"/>
        <v>early adopter</v>
      </c>
    </row>
    <row r="107" spans="1:34">
      <c r="A107" s="102" t="s">
        <v>287</v>
      </c>
      <c r="B107" s="120" t="s">
        <v>286</v>
      </c>
      <c r="C107" s="120" t="s">
        <v>83</v>
      </c>
      <c r="D107" s="102" t="s">
        <v>75</v>
      </c>
      <c r="E107" s="109">
        <v>3</v>
      </c>
      <c r="F107" s="102">
        <v>2021</v>
      </c>
      <c r="G107" s="102">
        <v>2022</v>
      </c>
      <c r="H107" s="102">
        <v>2012</v>
      </c>
      <c r="I107" s="102">
        <v>2014</v>
      </c>
      <c r="J107" s="102">
        <v>2024</v>
      </c>
      <c r="K107" s="102">
        <f t="shared" si="28"/>
        <v>1</v>
      </c>
      <c r="L107" s="102">
        <f t="shared" si="28"/>
        <v>1</v>
      </c>
      <c r="M107" s="102">
        <f t="shared" si="28"/>
        <v>2</v>
      </c>
      <c r="N107" s="102">
        <f t="shared" si="28"/>
        <v>2</v>
      </c>
      <c r="O107" s="102">
        <f t="shared" si="28"/>
        <v>1</v>
      </c>
      <c r="P107" s="121">
        <f t="shared" si="18"/>
        <v>1.4</v>
      </c>
      <c r="Q107" s="102">
        <v>213291</v>
      </c>
      <c r="R107" s="102">
        <f t="shared" si="19"/>
        <v>4</v>
      </c>
      <c r="S107" s="122">
        <v>1259.88122397242</v>
      </c>
      <c r="T107" s="102">
        <f t="shared" si="20"/>
        <v>4</v>
      </c>
      <c r="U107" s="123">
        <v>2278.53338861664</v>
      </c>
      <c r="V107" s="102">
        <f t="shared" si="21"/>
        <v>4</v>
      </c>
      <c r="W107" s="124">
        <v>555.46</v>
      </c>
      <c r="X107" s="102">
        <f t="shared" si="27"/>
        <v>4</v>
      </c>
      <c r="Y107" s="125">
        <f t="shared" si="22"/>
        <v>17.399999999999999</v>
      </c>
      <c r="Z107" s="126" t="s">
        <v>579</v>
      </c>
      <c r="AA107" s="126">
        <v>4</v>
      </c>
      <c r="AB107" s="126">
        <v>1</v>
      </c>
      <c r="AC107" s="126">
        <v>4.1324856511377162</v>
      </c>
      <c r="AD107" s="102">
        <f>IF(AND(AC107&gt;=AC$200,AC107&lt;AC$201),1,IF(AND(AC107&gt;=AC$201,AC107&lt;AC$202),2,IF(AND(AC107&gt;=AC$202,AC107&lt;AC$203),3,IF(AND(AC107&gt;=AC$203,AC107&lt;=AC$204),4,"empty"))))</f>
        <v>1</v>
      </c>
      <c r="AE107" s="127">
        <f t="shared" si="23"/>
        <v>6</v>
      </c>
      <c r="AF107" s="128">
        <f t="shared" si="24"/>
        <v>24.799999999999997</v>
      </c>
      <c r="AG107" s="108">
        <v>2031</v>
      </c>
      <c r="AH107" s="108" t="str">
        <f t="shared" si="25"/>
        <v>early adopter</v>
      </c>
    </row>
    <row r="108" spans="1:34">
      <c r="A108" s="102" t="s">
        <v>289</v>
      </c>
      <c r="B108" s="120" t="s">
        <v>288</v>
      </c>
      <c r="C108" s="120" t="s">
        <v>83</v>
      </c>
      <c r="D108" s="102" t="s">
        <v>75</v>
      </c>
      <c r="E108" s="109">
        <v>3</v>
      </c>
      <c r="F108" s="102">
        <v>2015</v>
      </c>
      <c r="G108" s="102">
        <v>2017</v>
      </c>
      <c r="H108" s="102">
        <v>2011</v>
      </c>
      <c r="I108" s="102">
        <v>2012</v>
      </c>
      <c r="J108" s="102">
        <v>2019</v>
      </c>
      <c r="K108" s="102">
        <f t="shared" si="28"/>
        <v>1</v>
      </c>
      <c r="L108" s="102">
        <f t="shared" si="28"/>
        <v>1</v>
      </c>
      <c r="M108" s="102">
        <f t="shared" si="28"/>
        <v>3</v>
      </c>
      <c r="N108" s="102">
        <f t="shared" si="28"/>
        <v>3</v>
      </c>
      <c r="O108" s="102">
        <f t="shared" si="28"/>
        <v>2</v>
      </c>
      <c r="P108" s="121">
        <f t="shared" si="18"/>
        <v>2</v>
      </c>
      <c r="Q108" s="102">
        <v>53</v>
      </c>
      <c r="R108" s="102">
        <f t="shared" si="19"/>
        <v>3</v>
      </c>
      <c r="S108" s="122">
        <v>112.534865951946</v>
      </c>
      <c r="T108" s="102">
        <f t="shared" si="20"/>
        <v>3</v>
      </c>
      <c r="U108" s="123">
        <v>211.81549774918099</v>
      </c>
      <c r="V108" s="102">
        <f t="shared" si="21"/>
        <v>4</v>
      </c>
      <c r="W108" s="124">
        <v>684.99</v>
      </c>
      <c r="X108" s="102">
        <f t="shared" si="27"/>
        <v>4</v>
      </c>
      <c r="Y108" s="125">
        <f t="shared" si="22"/>
        <v>16</v>
      </c>
      <c r="Z108" s="126" t="s">
        <v>579</v>
      </c>
      <c r="AA108" s="126">
        <v>4</v>
      </c>
      <c r="AB108" s="126">
        <v>1</v>
      </c>
      <c r="AC108" s="126">
        <v>5.0373741091444444</v>
      </c>
      <c r="AD108" s="102">
        <f>IF(AND(AC108&gt;=AC$200,AC108&lt;AC$201),1,IF(AND(AC108&gt;=AC$201,AC108&lt;AC$202),2,IF(AND(AC108&gt;=AC$202,AC108&lt;AC$203),3,IF(AND(AC108&gt;=AC$203,AC108&lt;=AC$204),4,"empty"))))</f>
        <v>1</v>
      </c>
      <c r="AE108" s="127">
        <f t="shared" si="23"/>
        <v>6</v>
      </c>
      <c r="AF108" s="128">
        <f t="shared" si="24"/>
        <v>24</v>
      </c>
      <c r="AG108" s="108">
        <v>2032</v>
      </c>
      <c r="AH108" s="108" t="str">
        <f t="shared" si="25"/>
        <v>early adopter</v>
      </c>
    </row>
    <row r="109" spans="1:34">
      <c r="A109" s="102" t="s">
        <v>291</v>
      </c>
      <c r="B109" s="120" t="s">
        <v>290</v>
      </c>
      <c r="C109" s="120" t="s">
        <v>99</v>
      </c>
      <c r="D109" s="102" t="s">
        <v>80</v>
      </c>
      <c r="E109" s="109">
        <v>2</v>
      </c>
      <c r="F109" s="102">
        <v>2002</v>
      </c>
      <c r="G109" s="102">
        <v>2004</v>
      </c>
      <c r="H109" s="102">
        <v>2020</v>
      </c>
      <c r="I109" s="102" t="s">
        <v>566</v>
      </c>
      <c r="J109" s="102">
        <v>2010</v>
      </c>
      <c r="K109" s="102">
        <f t="shared" si="28"/>
        <v>2</v>
      </c>
      <c r="L109" s="102">
        <f t="shared" si="28"/>
        <v>2</v>
      </c>
      <c r="M109" s="102">
        <f t="shared" si="28"/>
        <v>1</v>
      </c>
      <c r="N109" s="102">
        <f t="shared" si="28"/>
        <v>1</v>
      </c>
      <c r="O109" s="102">
        <f t="shared" si="28"/>
        <v>4</v>
      </c>
      <c r="P109" s="121">
        <f t="shared" si="18"/>
        <v>2</v>
      </c>
      <c r="Q109" s="102">
        <v>1077</v>
      </c>
      <c r="R109" s="102">
        <f t="shared" si="19"/>
        <v>4</v>
      </c>
      <c r="S109" s="122">
        <v>292.85012938262901</v>
      </c>
      <c r="T109" s="102">
        <f t="shared" si="20"/>
        <v>4</v>
      </c>
      <c r="U109" s="123">
        <v>64.754217875590697</v>
      </c>
      <c r="V109" s="102">
        <f t="shared" si="21"/>
        <v>3</v>
      </c>
      <c r="W109" s="124">
        <v>8.9324E-8</v>
      </c>
      <c r="X109" s="102">
        <f t="shared" si="27"/>
        <v>3</v>
      </c>
      <c r="Y109" s="125">
        <f t="shared" si="22"/>
        <v>16</v>
      </c>
      <c r="Z109" s="126" t="s">
        <v>580</v>
      </c>
      <c r="AA109" s="126">
        <v>1</v>
      </c>
      <c r="AB109" s="126">
        <v>3</v>
      </c>
      <c r="AC109" s="126" t="s">
        <v>582</v>
      </c>
      <c r="AD109" s="102">
        <v>3</v>
      </c>
      <c r="AE109" s="127">
        <f t="shared" si="23"/>
        <v>7</v>
      </c>
      <c r="AF109" s="128">
        <f t="shared" si="24"/>
        <v>25</v>
      </c>
      <c r="AG109" s="108">
        <v>2031</v>
      </c>
      <c r="AH109" s="108" t="str">
        <f t="shared" si="25"/>
        <v>early adopter</v>
      </c>
    </row>
    <row r="110" spans="1:34">
      <c r="A110" s="102" t="s">
        <v>293</v>
      </c>
      <c r="B110" s="120" t="s">
        <v>292</v>
      </c>
      <c r="C110" s="120" t="s">
        <v>110</v>
      </c>
      <c r="D110" s="102" t="s">
        <v>80</v>
      </c>
      <c r="E110" s="109">
        <v>2</v>
      </c>
      <c r="F110" s="102">
        <v>2007</v>
      </c>
      <c r="G110" s="102">
        <v>2007</v>
      </c>
      <c r="H110" s="102" t="s">
        <v>566</v>
      </c>
      <c r="I110" s="102" t="s">
        <v>566</v>
      </c>
      <c r="J110" s="102">
        <v>2019</v>
      </c>
      <c r="K110" s="102">
        <f t="shared" si="28"/>
        <v>2</v>
      </c>
      <c r="L110" s="102">
        <f t="shared" si="28"/>
        <v>2</v>
      </c>
      <c r="M110" s="102">
        <f t="shared" si="28"/>
        <v>1</v>
      </c>
      <c r="N110" s="102">
        <f t="shared" si="28"/>
        <v>1</v>
      </c>
      <c r="O110" s="102">
        <f t="shared" si="28"/>
        <v>2</v>
      </c>
      <c r="P110" s="121">
        <f t="shared" si="18"/>
        <v>1.6</v>
      </c>
      <c r="Q110" s="102">
        <v>0</v>
      </c>
      <c r="R110" s="102">
        <f t="shared" si="19"/>
        <v>1</v>
      </c>
      <c r="S110" s="122">
        <v>118.262284790761</v>
      </c>
      <c r="T110" s="102">
        <f t="shared" si="20"/>
        <v>3</v>
      </c>
      <c r="U110" s="123">
        <v>1.5489979182179401</v>
      </c>
      <c r="V110" s="102">
        <f t="shared" si="21"/>
        <v>3</v>
      </c>
      <c r="W110" s="124">
        <v>0</v>
      </c>
      <c r="X110" s="102">
        <f t="shared" si="27"/>
        <v>2</v>
      </c>
      <c r="Y110" s="125">
        <f t="shared" si="22"/>
        <v>10.6</v>
      </c>
      <c r="Z110" s="126" t="s">
        <v>580</v>
      </c>
      <c r="AA110" s="126">
        <v>1</v>
      </c>
      <c r="AB110" s="126">
        <v>3</v>
      </c>
      <c r="AC110" s="126">
        <v>100</v>
      </c>
      <c r="AD110" s="102">
        <f>IF(AND(AC110&gt;=AC$200,AC110&lt;AC$201),1,IF(AND(AC110&gt;=AC$201,AC110&lt;AC$202),2,IF(AND(AC110&gt;=AC$202,AC110&lt;AC$203),3,IF(AND(AC110&gt;=AC$203,AC110&lt;=AC$204),4,"empty"))))</f>
        <v>4</v>
      </c>
      <c r="AE110" s="127">
        <f t="shared" si="23"/>
        <v>8</v>
      </c>
      <c r="AF110" s="128">
        <f t="shared" si="24"/>
        <v>20.2</v>
      </c>
      <c r="AG110" s="108">
        <v>2038</v>
      </c>
      <c r="AH110" s="108" t="str">
        <f t="shared" si="25"/>
        <v>late adopter</v>
      </c>
    </row>
    <row r="111" spans="1:34">
      <c r="A111" s="102" t="s">
        <v>295</v>
      </c>
      <c r="B111" s="120" t="s">
        <v>294</v>
      </c>
      <c r="C111" s="120" t="s">
        <v>83</v>
      </c>
      <c r="D111" s="102" t="s">
        <v>75</v>
      </c>
      <c r="E111" s="109">
        <v>3</v>
      </c>
      <c r="F111" s="102">
        <v>2019</v>
      </c>
      <c r="G111" s="102" t="s">
        <v>566</v>
      </c>
      <c r="H111" s="102">
        <v>2011</v>
      </c>
      <c r="I111" s="102">
        <v>2015</v>
      </c>
      <c r="J111" s="102">
        <v>2023</v>
      </c>
      <c r="K111" s="102">
        <f t="shared" si="28"/>
        <v>1</v>
      </c>
      <c r="L111" s="102">
        <f t="shared" si="28"/>
        <v>1</v>
      </c>
      <c r="M111" s="102">
        <f t="shared" si="28"/>
        <v>3</v>
      </c>
      <c r="N111" s="102">
        <f t="shared" si="28"/>
        <v>2</v>
      </c>
      <c r="O111" s="102">
        <f t="shared" si="28"/>
        <v>1</v>
      </c>
      <c r="P111" s="121">
        <f t="shared" si="18"/>
        <v>1.6</v>
      </c>
      <c r="Q111" s="102">
        <v>852</v>
      </c>
      <c r="R111" s="102">
        <f t="shared" si="19"/>
        <v>3</v>
      </c>
      <c r="S111" s="122">
        <v>687.62364956393799</v>
      </c>
      <c r="T111" s="102">
        <f t="shared" si="20"/>
        <v>4</v>
      </c>
      <c r="U111" s="123">
        <v>2727.22122731339</v>
      </c>
      <c r="V111" s="102">
        <f t="shared" si="21"/>
        <v>4</v>
      </c>
      <c r="W111" s="124">
        <v>617.51</v>
      </c>
      <c r="X111" s="102">
        <f t="shared" si="27"/>
        <v>4</v>
      </c>
      <c r="Y111" s="125">
        <f t="shared" si="22"/>
        <v>16.600000000000001</v>
      </c>
      <c r="Z111" s="126" t="s">
        <v>583</v>
      </c>
      <c r="AA111" s="126">
        <v>3</v>
      </c>
      <c r="AB111" s="126">
        <v>1</v>
      </c>
      <c r="AC111" s="126">
        <v>13.597427889188882</v>
      </c>
      <c r="AD111" s="102">
        <f>IF(AND(AC111&gt;=AC$200,AC111&lt;AC$201),1,IF(AND(AC111&gt;=AC$201,AC111&lt;AC$202),2,IF(AND(AC111&gt;=AC$202,AC111&lt;AC$203),3,IF(AND(AC111&gt;=AC$203,AC111&lt;=AC$204),4,"empty"))))</f>
        <v>1</v>
      </c>
      <c r="AE111" s="127">
        <f t="shared" si="23"/>
        <v>5</v>
      </c>
      <c r="AF111" s="128">
        <f t="shared" si="24"/>
        <v>23.200000000000003</v>
      </c>
      <c r="AG111" s="108">
        <v>2033</v>
      </c>
      <c r="AH111" s="108" t="str">
        <f t="shared" si="25"/>
        <v>early adopter</v>
      </c>
    </row>
    <row r="112" spans="1:34">
      <c r="A112" s="102" t="s">
        <v>297</v>
      </c>
      <c r="B112" s="120" t="s">
        <v>296</v>
      </c>
      <c r="C112" s="120" t="s">
        <v>79</v>
      </c>
      <c r="D112" s="102" t="s">
        <v>87</v>
      </c>
      <c r="E112" s="109">
        <v>1</v>
      </c>
      <c r="F112" s="102">
        <v>1989</v>
      </c>
      <c r="G112" s="102">
        <v>1985</v>
      </c>
      <c r="H112" s="102">
        <v>2020</v>
      </c>
      <c r="I112" s="102" t="s">
        <v>566</v>
      </c>
      <c r="J112" s="102">
        <v>2013</v>
      </c>
      <c r="K112" s="102">
        <f t="shared" si="28"/>
        <v>4</v>
      </c>
      <c r="L112" s="102">
        <f t="shared" si="28"/>
        <v>4</v>
      </c>
      <c r="M112" s="102">
        <f t="shared" si="28"/>
        <v>1</v>
      </c>
      <c r="N112" s="102">
        <f t="shared" si="28"/>
        <v>1</v>
      </c>
      <c r="O112" s="102">
        <f t="shared" si="28"/>
        <v>3</v>
      </c>
      <c r="P112" s="121">
        <f t="shared" si="18"/>
        <v>2.6</v>
      </c>
      <c r="Q112" s="102">
        <v>32</v>
      </c>
      <c r="R112" s="102">
        <f t="shared" si="19"/>
        <v>2</v>
      </c>
      <c r="S112" s="122">
        <v>13.667835737190901</v>
      </c>
      <c r="T112" s="102">
        <f t="shared" si="20"/>
        <v>2</v>
      </c>
      <c r="U112" s="123">
        <v>2.7460187877416799E-3</v>
      </c>
      <c r="V112" s="102">
        <f t="shared" si="21"/>
        <v>1</v>
      </c>
      <c r="W112" s="124">
        <v>3.4518000000000001E-3</v>
      </c>
      <c r="X112" s="102">
        <f t="shared" si="27"/>
        <v>3</v>
      </c>
      <c r="Y112" s="125">
        <f t="shared" si="22"/>
        <v>10.6</v>
      </c>
      <c r="Z112" s="126" t="s">
        <v>580</v>
      </c>
      <c r="AA112" s="126">
        <v>1</v>
      </c>
      <c r="AB112" s="126">
        <v>4</v>
      </c>
      <c r="AC112" s="126" t="s">
        <v>582</v>
      </c>
      <c r="AD112" s="126">
        <v>4</v>
      </c>
      <c r="AE112" s="127">
        <f t="shared" si="23"/>
        <v>9</v>
      </c>
      <c r="AF112" s="128">
        <f t="shared" si="24"/>
        <v>22.2</v>
      </c>
      <c r="AG112" s="108">
        <v>2035</v>
      </c>
      <c r="AH112" s="108" t="str">
        <f t="shared" si="25"/>
        <v>mid adopter</v>
      </c>
    </row>
    <row r="113" spans="1:34">
      <c r="A113" s="102" t="s">
        <v>299</v>
      </c>
      <c r="B113" s="120" t="s">
        <v>298</v>
      </c>
      <c r="C113" s="120" t="s">
        <v>99</v>
      </c>
      <c r="D113" s="102" t="s">
        <v>80</v>
      </c>
      <c r="E113" s="109">
        <v>1</v>
      </c>
      <c r="F113" s="102">
        <v>1998</v>
      </c>
      <c r="G113" s="102">
        <v>1998</v>
      </c>
      <c r="H113" s="102">
        <v>2009</v>
      </c>
      <c r="I113" s="102">
        <v>2009</v>
      </c>
      <c r="J113" s="102">
        <v>2009</v>
      </c>
      <c r="K113" s="102">
        <f t="shared" si="28"/>
        <v>3</v>
      </c>
      <c r="L113" s="102">
        <f t="shared" si="28"/>
        <v>3</v>
      </c>
      <c r="M113" s="102">
        <f t="shared" si="28"/>
        <v>3</v>
      </c>
      <c r="N113" s="102">
        <f t="shared" si="28"/>
        <v>4</v>
      </c>
      <c r="O113" s="102">
        <f t="shared" si="28"/>
        <v>4</v>
      </c>
      <c r="P113" s="121">
        <f t="shared" si="18"/>
        <v>3.4</v>
      </c>
      <c r="Q113" s="102">
        <v>0</v>
      </c>
      <c r="R113" s="102">
        <f t="shared" si="19"/>
        <v>1</v>
      </c>
      <c r="S113" s="122">
        <v>942.88121366165399</v>
      </c>
      <c r="T113" s="102">
        <f t="shared" si="20"/>
        <v>4</v>
      </c>
      <c r="U113" s="123">
        <v>0.86964733054451304</v>
      </c>
      <c r="V113" s="102">
        <f t="shared" si="21"/>
        <v>3</v>
      </c>
      <c r="W113" s="124" t="s">
        <v>573</v>
      </c>
      <c r="X113" s="102">
        <v>1</v>
      </c>
      <c r="Y113" s="125">
        <f t="shared" si="22"/>
        <v>12.4</v>
      </c>
      <c r="Z113" s="126" t="s">
        <v>580</v>
      </c>
      <c r="AA113" s="126">
        <v>1</v>
      </c>
      <c r="AB113" s="126">
        <v>3</v>
      </c>
      <c r="AC113" s="126">
        <v>2.3076923076923079</v>
      </c>
      <c r="AD113" s="102">
        <f>IF(AND(AC113&gt;=AC$200,AC113&lt;AC$201),1,IF(AND(AC113&gt;=AC$201,AC113&lt;AC$202),2,IF(AND(AC113&gt;=AC$202,AC113&lt;AC$203),3,IF(AND(AC113&gt;=AC$203,AC113&lt;=AC$204),4,"empty"))))</f>
        <v>1</v>
      </c>
      <c r="AE113" s="127">
        <f t="shared" si="23"/>
        <v>5</v>
      </c>
      <c r="AF113" s="128">
        <f t="shared" si="24"/>
        <v>20.8</v>
      </c>
      <c r="AG113" s="108">
        <v>2037</v>
      </c>
      <c r="AH113" s="108" t="str">
        <f t="shared" si="25"/>
        <v>mid adopter</v>
      </c>
    </row>
    <row r="114" spans="1:34">
      <c r="A114" s="102" t="s">
        <v>301</v>
      </c>
      <c r="B114" s="120" t="s">
        <v>300</v>
      </c>
      <c r="C114" s="120" t="s">
        <v>83</v>
      </c>
      <c r="D114" s="102" t="s">
        <v>84</v>
      </c>
      <c r="E114" s="109">
        <v>3</v>
      </c>
      <c r="F114" s="102">
        <v>2021</v>
      </c>
      <c r="G114" s="102">
        <v>2018</v>
      </c>
      <c r="H114" s="102">
        <v>2013</v>
      </c>
      <c r="I114" s="102">
        <v>2014</v>
      </c>
      <c r="J114" s="102">
        <v>2021</v>
      </c>
      <c r="K114" s="102">
        <f t="shared" si="28"/>
        <v>1</v>
      </c>
      <c r="L114" s="102">
        <f t="shared" si="28"/>
        <v>1</v>
      </c>
      <c r="M114" s="102">
        <f t="shared" si="28"/>
        <v>2</v>
      </c>
      <c r="N114" s="102">
        <f t="shared" si="28"/>
        <v>2</v>
      </c>
      <c r="O114" s="102">
        <f t="shared" si="28"/>
        <v>1</v>
      </c>
      <c r="P114" s="121">
        <f t="shared" si="18"/>
        <v>1.4</v>
      </c>
      <c r="Q114" s="102">
        <v>161</v>
      </c>
      <c r="R114" s="102">
        <f t="shared" si="19"/>
        <v>3</v>
      </c>
      <c r="S114" s="122">
        <v>201.21360435497999</v>
      </c>
      <c r="T114" s="102">
        <f t="shared" si="20"/>
        <v>3</v>
      </c>
      <c r="U114" s="123">
        <v>47.6940044229123</v>
      </c>
      <c r="V114" s="102">
        <f t="shared" si="21"/>
        <v>3</v>
      </c>
      <c r="W114" s="124">
        <v>111.68</v>
      </c>
      <c r="X114" s="102">
        <f>IF(AND(W114&gt;=W$200,W114&lt;W$201),1,IF(AND(W114&gt;=W$201,W114&lt;W$202),2,IF(AND(W114&gt;=W$202,W114&lt;W$203),3,IF(AND(W114&gt;=W$203,W114&lt;=W$204),4,"empty"))))</f>
        <v>3</v>
      </c>
      <c r="Y114" s="125">
        <f t="shared" si="22"/>
        <v>13.4</v>
      </c>
      <c r="Z114" s="126" t="s">
        <v>584</v>
      </c>
      <c r="AA114" s="109">
        <v>2</v>
      </c>
      <c r="AB114" s="126">
        <v>2</v>
      </c>
      <c r="AC114" s="126">
        <v>11.971649574256254</v>
      </c>
      <c r="AD114" s="102">
        <f>IF(AND(AC114&gt;=AC$200,AC114&lt;AC$201),1,IF(AND(AC114&gt;=AC$201,AC114&lt;AC$202),2,IF(AND(AC114&gt;=AC$202,AC114&lt;AC$203),3,IF(AND(AC114&gt;=AC$203,AC114&lt;=AC$204),4,"empty"))))</f>
        <v>1</v>
      </c>
      <c r="AE114" s="127">
        <f t="shared" si="23"/>
        <v>5</v>
      </c>
      <c r="AF114" s="128">
        <f t="shared" si="24"/>
        <v>19.8</v>
      </c>
      <c r="AG114" s="108">
        <v>2038</v>
      </c>
      <c r="AH114" s="108" t="str">
        <f t="shared" si="25"/>
        <v>late adopter</v>
      </c>
    </row>
    <row r="115" spans="1:34">
      <c r="A115" s="102" t="s">
        <v>303</v>
      </c>
      <c r="B115" s="120" t="s">
        <v>302</v>
      </c>
      <c r="C115" s="120" t="s">
        <v>83</v>
      </c>
      <c r="D115" s="102" t="s">
        <v>87</v>
      </c>
      <c r="E115" s="109">
        <v>1</v>
      </c>
      <c r="F115" s="102">
        <v>2003</v>
      </c>
      <c r="G115" s="102">
        <v>1996</v>
      </c>
      <c r="H115" s="102">
        <v>2016</v>
      </c>
      <c r="I115" s="102">
        <v>2015</v>
      </c>
      <c r="J115" s="102">
        <v>2017</v>
      </c>
      <c r="K115" s="102">
        <f t="shared" si="28"/>
        <v>2</v>
      </c>
      <c r="L115" s="102">
        <f t="shared" si="28"/>
        <v>3</v>
      </c>
      <c r="M115" s="102">
        <f t="shared" si="28"/>
        <v>1</v>
      </c>
      <c r="N115" s="102">
        <f t="shared" si="28"/>
        <v>2</v>
      </c>
      <c r="O115" s="102">
        <f t="shared" si="28"/>
        <v>2</v>
      </c>
      <c r="P115" s="121">
        <f t="shared" si="18"/>
        <v>2</v>
      </c>
      <c r="Q115" s="102">
        <v>9.0000000000000002E-6</v>
      </c>
      <c r="R115" s="102">
        <f t="shared" si="19"/>
        <v>1</v>
      </c>
      <c r="S115" s="122">
        <v>263.87864467631402</v>
      </c>
      <c r="T115" s="102">
        <f t="shared" si="20"/>
        <v>4</v>
      </c>
      <c r="U115" s="123">
        <v>1.3809255413257599E-3</v>
      </c>
      <c r="V115" s="102">
        <f t="shared" si="21"/>
        <v>1</v>
      </c>
      <c r="W115" s="124">
        <v>0</v>
      </c>
      <c r="X115" s="102">
        <f>IF(AND(W115&gt;=W$200,W115&lt;W$201),1,IF(AND(W115&gt;=W$201,W115&lt;W$202),2,IF(AND(W115&gt;=W$202,W115&lt;W$203),3,IF(AND(W115&gt;=W$203,W115&lt;=W$204),4,"empty"))))</f>
        <v>2</v>
      </c>
      <c r="Y115" s="125">
        <f t="shared" si="22"/>
        <v>10</v>
      </c>
      <c r="Z115" s="126" t="s">
        <v>580</v>
      </c>
      <c r="AA115" s="126">
        <v>1</v>
      </c>
      <c r="AB115" s="126">
        <v>4</v>
      </c>
      <c r="AC115" s="126">
        <v>97.999986494799955</v>
      </c>
      <c r="AD115" s="102">
        <f>IF(AND(AC115&gt;=AC$200,AC115&lt;AC$201),1,IF(AND(AC115&gt;=AC$201,AC115&lt;AC$202),2,IF(AND(AC115&gt;=AC$202,AC115&lt;AC$203),3,IF(AND(AC115&gt;=AC$203,AC115&lt;=AC$204),4,"empty"))))</f>
        <v>3</v>
      </c>
      <c r="AE115" s="127">
        <f t="shared" si="23"/>
        <v>8</v>
      </c>
      <c r="AF115" s="128">
        <f t="shared" si="24"/>
        <v>20</v>
      </c>
      <c r="AG115" s="108">
        <v>2038</v>
      </c>
      <c r="AH115" s="108" t="str">
        <f t="shared" si="25"/>
        <v>late adopter</v>
      </c>
    </row>
    <row r="116" spans="1:34">
      <c r="A116" s="102" t="s">
        <v>305</v>
      </c>
      <c r="B116" s="120" t="s">
        <v>304</v>
      </c>
      <c r="C116" s="120" t="s">
        <v>92</v>
      </c>
      <c r="D116" s="102" t="s">
        <v>80</v>
      </c>
      <c r="E116" s="109">
        <v>2</v>
      </c>
      <c r="F116" s="102">
        <v>1993</v>
      </c>
      <c r="G116" s="102">
        <v>1998</v>
      </c>
      <c r="H116" s="102">
        <v>2009</v>
      </c>
      <c r="I116" s="102">
        <v>2007</v>
      </c>
      <c r="J116" s="102">
        <v>2012</v>
      </c>
      <c r="K116" s="102">
        <f t="shared" si="28"/>
        <v>3</v>
      </c>
      <c r="L116" s="102">
        <f t="shared" si="28"/>
        <v>3</v>
      </c>
      <c r="M116" s="102">
        <f t="shared" si="28"/>
        <v>3</v>
      </c>
      <c r="N116" s="102">
        <f t="shared" si="28"/>
        <v>4</v>
      </c>
      <c r="O116" s="102">
        <f t="shared" si="28"/>
        <v>3</v>
      </c>
      <c r="P116" s="121">
        <f t="shared" si="18"/>
        <v>3.2</v>
      </c>
      <c r="Q116" s="102">
        <v>9.0000000000000002E-6</v>
      </c>
      <c r="R116" s="102">
        <f t="shared" si="19"/>
        <v>1</v>
      </c>
      <c r="S116" s="122">
        <v>3.2373280874691702E-3</v>
      </c>
      <c r="T116" s="102">
        <f t="shared" si="20"/>
        <v>1</v>
      </c>
      <c r="U116" s="123">
        <v>6.5079503918290399E-3</v>
      </c>
      <c r="V116" s="102">
        <f t="shared" si="21"/>
        <v>2</v>
      </c>
      <c r="W116" s="124">
        <v>0</v>
      </c>
      <c r="X116" s="102">
        <f>IF(AND(W116&gt;=W$200,W116&lt;W$201),1,IF(AND(W116&gt;=W$201,W116&lt;W$202),2,IF(AND(W116&gt;=W$202,W116&lt;W$203),3,IF(AND(W116&gt;=W$203,W116&lt;=W$204),4,"empty"))))</f>
        <v>2</v>
      </c>
      <c r="Y116" s="125">
        <f t="shared" si="22"/>
        <v>9.1999999999999993</v>
      </c>
      <c r="Z116" s="126" t="s">
        <v>580</v>
      </c>
      <c r="AA116" s="126">
        <v>1</v>
      </c>
      <c r="AB116" s="126">
        <v>3</v>
      </c>
      <c r="AC116" s="126">
        <v>100</v>
      </c>
      <c r="AD116" s="102">
        <f>IF(AND(AC116&gt;=AC$200,AC116&lt;AC$201),1,IF(AND(AC116&gt;=AC$201,AC116&lt;AC$202),2,IF(AND(AC116&gt;=AC$202,AC116&lt;AC$203),3,IF(AND(AC116&gt;=AC$203,AC116&lt;=AC$204),4,"empty"))))</f>
        <v>4</v>
      </c>
      <c r="AE116" s="127">
        <f t="shared" si="23"/>
        <v>8</v>
      </c>
      <c r="AF116" s="128">
        <f t="shared" si="24"/>
        <v>20.399999999999999</v>
      </c>
      <c r="AG116" s="108">
        <v>2038</v>
      </c>
      <c r="AH116" s="108" t="str">
        <f t="shared" si="25"/>
        <v>late adopter</v>
      </c>
    </row>
    <row r="117" spans="1:34">
      <c r="A117" s="102" t="s">
        <v>307</v>
      </c>
      <c r="B117" s="120" t="s">
        <v>306</v>
      </c>
      <c r="C117" s="120" t="s">
        <v>99</v>
      </c>
      <c r="D117" s="102" t="s">
        <v>84</v>
      </c>
      <c r="E117" s="109">
        <v>1</v>
      </c>
      <c r="F117" s="102">
        <v>1995</v>
      </c>
      <c r="G117" s="102">
        <v>1982</v>
      </c>
      <c r="H117" s="102">
        <v>2008</v>
      </c>
      <c r="I117" s="102">
        <v>2008</v>
      </c>
      <c r="J117" s="102">
        <v>2010</v>
      </c>
      <c r="K117" s="102">
        <f t="shared" si="28"/>
        <v>3</v>
      </c>
      <c r="L117" s="102">
        <f t="shared" si="28"/>
        <v>4</v>
      </c>
      <c r="M117" s="102">
        <f t="shared" si="28"/>
        <v>4</v>
      </c>
      <c r="N117" s="102">
        <f t="shared" si="28"/>
        <v>4</v>
      </c>
      <c r="O117" s="102">
        <f t="shared" si="28"/>
        <v>4</v>
      </c>
      <c r="P117" s="121">
        <f t="shared" si="18"/>
        <v>3.8</v>
      </c>
      <c r="Q117" s="102">
        <v>0</v>
      </c>
      <c r="R117" s="102">
        <f t="shared" si="19"/>
        <v>1</v>
      </c>
      <c r="S117" s="122">
        <v>139.12061689627399</v>
      </c>
      <c r="T117" s="102">
        <f t="shared" si="20"/>
        <v>3</v>
      </c>
      <c r="U117" s="123">
        <v>0.28931595444963298</v>
      </c>
      <c r="V117" s="102">
        <f t="shared" si="21"/>
        <v>2</v>
      </c>
      <c r="W117" s="124">
        <v>4.4882999999999999E-9</v>
      </c>
      <c r="X117" s="102">
        <f>IF(AND(W117&gt;=W$200,W117&lt;W$201),1,IF(AND(W117&gt;=W$201,W117&lt;W$202),2,IF(AND(W117&gt;=W$202,W117&lt;W$203),3,IF(AND(W117&gt;=W$203,W117&lt;=W$204),4,"empty"))))</f>
        <v>2</v>
      </c>
      <c r="Y117" s="125">
        <f t="shared" si="22"/>
        <v>11.8</v>
      </c>
      <c r="Z117" s="126" t="s">
        <v>580</v>
      </c>
      <c r="AA117" s="126">
        <v>1</v>
      </c>
      <c r="AB117" s="126">
        <v>2</v>
      </c>
      <c r="AC117" s="126" t="s">
        <v>582</v>
      </c>
      <c r="AD117" s="102">
        <v>2</v>
      </c>
      <c r="AE117" s="127">
        <f t="shared" si="23"/>
        <v>5</v>
      </c>
      <c r="AF117" s="128">
        <f t="shared" si="24"/>
        <v>20.6</v>
      </c>
      <c r="AG117" s="108">
        <v>2038</v>
      </c>
      <c r="AH117" s="108" t="str">
        <f t="shared" si="25"/>
        <v>late adopter</v>
      </c>
    </row>
    <row r="118" spans="1:34">
      <c r="A118" s="102" t="s">
        <v>309</v>
      </c>
      <c r="B118" s="120" t="s">
        <v>308</v>
      </c>
      <c r="C118" s="120" t="s">
        <v>79</v>
      </c>
      <c r="D118" s="102" t="s">
        <v>84</v>
      </c>
      <c r="E118" s="109">
        <v>1</v>
      </c>
      <c r="F118" s="102">
        <v>2002</v>
      </c>
      <c r="G118" s="102">
        <v>2002</v>
      </c>
      <c r="H118" s="102" t="s">
        <v>566</v>
      </c>
      <c r="I118" s="102" t="s">
        <v>566</v>
      </c>
      <c r="J118" s="102" t="s">
        <v>566</v>
      </c>
      <c r="K118" s="102">
        <f t="shared" si="28"/>
        <v>2</v>
      </c>
      <c r="L118" s="102">
        <f t="shared" si="28"/>
        <v>2</v>
      </c>
      <c r="M118" s="102">
        <f t="shared" si="28"/>
        <v>1</v>
      </c>
      <c r="N118" s="102">
        <f t="shared" si="28"/>
        <v>1</v>
      </c>
      <c r="O118" s="102">
        <f t="shared" si="28"/>
        <v>1</v>
      </c>
      <c r="P118" s="121">
        <f t="shared" si="18"/>
        <v>1.4</v>
      </c>
      <c r="Q118" s="102">
        <v>89</v>
      </c>
      <c r="R118" s="102">
        <f t="shared" si="19"/>
        <v>3</v>
      </c>
      <c r="S118" s="122">
        <v>2.4596639745940299</v>
      </c>
      <c r="T118" s="102">
        <f t="shared" si="20"/>
        <v>2</v>
      </c>
      <c r="U118" s="123">
        <v>4.3313238940434796E-3</v>
      </c>
      <c r="V118" s="102">
        <f t="shared" si="21"/>
        <v>1</v>
      </c>
      <c r="W118" s="124">
        <v>0</v>
      </c>
      <c r="X118" s="102">
        <f>IF(AND(W118&gt;=W$200,W118&lt;W$201),1,IF(AND(W118&gt;=W$201,W118&lt;W$202),2,IF(AND(W118&gt;=W$202,W118&lt;W$203),3,IF(AND(W118&gt;=W$203,W118&lt;=W$204),4,"empty"))))</f>
        <v>2</v>
      </c>
      <c r="Y118" s="125">
        <f t="shared" si="22"/>
        <v>9.4</v>
      </c>
      <c r="Z118" s="109" t="s">
        <v>581</v>
      </c>
      <c r="AA118" s="126">
        <v>1</v>
      </c>
      <c r="AB118" s="126">
        <v>2</v>
      </c>
      <c r="AC118" s="126">
        <v>92.691934586042223</v>
      </c>
      <c r="AD118" s="102">
        <f>IF(AND(AC118&gt;=AC$200,AC118&lt;AC$201),1,IF(AND(AC118&gt;=AC$201,AC118&lt;AC$202),2,IF(AND(AC118&gt;=AC$202,AC118&lt;AC$203),3,IF(AND(AC118&gt;=AC$203,AC118&lt;=AC$204),4,"empty"))))</f>
        <v>2</v>
      </c>
      <c r="AE118" s="127">
        <f t="shared" si="23"/>
        <v>5</v>
      </c>
      <c r="AF118" s="128">
        <f t="shared" si="24"/>
        <v>15.8</v>
      </c>
      <c r="AG118" s="108">
        <v>2041</v>
      </c>
      <c r="AH118" s="108" t="str">
        <f t="shared" si="25"/>
        <v>late adopter</v>
      </c>
    </row>
    <row r="119" spans="1:34">
      <c r="A119" s="102" t="s">
        <v>311</v>
      </c>
      <c r="B119" s="120" t="s">
        <v>310</v>
      </c>
      <c r="C119" s="120" t="s">
        <v>79</v>
      </c>
      <c r="D119" s="102" t="s">
        <v>87</v>
      </c>
      <c r="E119" s="109">
        <v>1</v>
      </c>
      <c r="F119" s="102">
        <v>1996</v>
      </c>
      <c r="G119" s="102">
        <v>1970</v>
      </c>
      <c r="H119" s="102" t="s">
        <v>566</v>
      </c>
      <c r="I119" s="102" t="s">
        <v>566</v>
      </c>
      <c r="J119" s="102">
        <v>2006</v>
      </c>
      <c r="K119" s="102">
        <f t="shared" si="28"/>
        <v>3</v>
      </c>
      <c r="L119" s="102">
        <f t="shared" si="28"/>
        <v>4</v>
      </c>
      <c r="M119" s="102">
        <f t="shared" si="28"/>
        <v>1</v>
      </c>
      <c r="N119" s="102">
        <f t="shared" si="28"/>
        <v>1</v>
      </c>
      <c r="O119" s="102">
        <f t="shared" si="28"/>
        <v>4</v>
      </c>
      <c r="P119" s="121">
        <f t="shared" si="18"/>
        <v>2.6</v>
      </c>
      <c r="Q119" s="102">
        <v>9.0000000000000002E-6</v>
      </c>
      <c r="R119" s="102">
        <f t="shared" si="19"/>
        <v>1</v>
      </c>
      <c r="S119" s="122">
        <v>8.2623014129150393E-2</v>
      </c>
      <c r="T119" s="102">
        <f t="shared" si="20"/>
        <v>1</v>
      </c>
      <c r="U119" s="123">
        <v>0</v>
      </c>
      <c r="V119" s="102">
        <f t="shared" si="21"/>
        <v>1</v>
      </c>
      <c r="W119" s="124" t="s">
        <v>573</v>
      </c>
      <c r="X119" s="102">
        <v>1</v>
      </c>
      <c r="Y119" s="125">
        <f t="shared" si="22"/>
        <v>6.6</v>
      </c>
      <c r="Z119" s="126" t="s">
        <v>580</v>
      </c>
      <c r="AA119" s="126">
        <v>1</v>
      </c>
      <c r="AB119" s="126">
        <v>4</v>
      </c>
      <c r="AC119" s="126" t="s">
        <v>582</v>
      </c>
      <c r="AD119" s="126">
        <v>4</v>
      </c>
      <c r="AE119" s="127">
        <f t="shared" si="23"/>
        <v>9</v>
      </c>
      <c r="AF119" s="128">
        <f t="shared" si="24"/>
        <v>18.2</v>
      </c>
      <c r="AG119" s="108">
        <v>2039</v>
      </c>
      <c r="AH119" s="108" t="str">
        <f t="shared" si="25"/>
        <v>late adopter</v>
      </c>
    </row>
    <row r="120" spans="1:34">
      <c r="A120" s="102" t="s">
        <v>313</v>
      </c>
      <c r="B120" s="120" t="s">
        <v>312</v>
      </c>
      <c r="C120" s="120" t="s">
        <v>99</v>
      </c>
      <c r="D120" s="102" t="s">
        <v>84</v>
      </c>
      <c r="E120" s="109">
        <v>2</v>
      </c>
      <c r="F120" s="102">
        <v>1989</v>
      </c>
      <c r="G120" s="102">
        <v>2009</v>
      </c>
      <c r="H120" s="102">
        <v>2019</v>
      </c>
      <c r="I120" s="102" t="s">
        <v>566</v>
      </c>
      <c r="J120" s="102">
        <v>2021</v>
      </c>
      <c r="K120" s="102">
        <f t="shared" si="28"/>
        <v>4</v>
      </c>
      <c r="L120" s="102">
        <f t="shared" si="28"/>
        <v>2</v>
      </c>
      <c r="M120" s="102">
        <f t="shared" si="28"/>
        <v>1</v>
      </c>
      <c r="N120" s="102">
        <f t="shared" si="28"/>
        <v>1</v>
      </c>
      <c r="O120" s="102">
        <f t="shared" si="28"/>
        <v>1</v>
      </c>
      <c r="P120" s="121">
        <f t="shared" si="18"/>
        <v>1.8</v>
      </c>
      <c r="Q120" s="102">
        <v>2</v>
      </c>
      <c r="R120" s="102">
        <f t="shared" si="19"/>
        <v>2</v>
      </c>
      <c r="S120" s="122">
        <v>0.120594347324235</v>
      </c>
      <c r="T120" s="102">
        <f t="shared" si="20"/>
        <v>1</v>
      </c>
      <c r="U120" s="123">
        <v>6.1873949379296798E-3</v>
      </c>
      <c r="V120" s="102">
        <f t="shared" si="21"/>
        <v>1</v>
      </c>
      <c r="W120" s="124">
        <v>0.19922999999999999</v>
      </c>
      <c r="X120" s="102">
        <f t="shared" ref="X120:X125" si="29">IF(AND(W120&gt;=W$200,W120&lt;W$201),1,IF(AND(W120&gt;=W$201,W120&lt;W$202),2,IF(AND(W120&gt;=W$202,W120&lt;W$203),3,IF(AND(W120&gt;=W$203,W120&lt;=W$204),4,"empty"))))</f>
        <v>3</v>
      </c>
      <c r="Y120" s="125">
        <f t="shared" si="22"/>
        <v>8.8000000000000007</v>
      </c>
      <c r="Z120" s="126" t="s">
        <v>581</v>
      </c>
      <c r="AA120" s="126">
        <v>1</v>
      </c>
      <c r="AB120" s="126">
        <v>2</v>
      </c>
      <c r="AC120" s="126">
        <v>99.489917017849834</v>
      </c>
      <c r="AD120" s="102">
        <f>IF(AND(AC120&gt;=AC$200,AC120&lt;AC$201),1,IF(AND(AC120&gt;=AC$201,AC120&lt;AC$202),2,IF(AND(AC120&gt;=AC$202,AC120&lt;AC$203),3,IF(AND(AC120&gt;=AC$203,AC120&lt;=AC$204),4,"empty"))))</f>
        <v>3</v>
      </c>
      <c r="AE120" s="127">
        <f t="shared" si="23"/>
        <v>6</v>
      </c>
      <c r="AF120" s="128">
        <f t="shared" si="24"/>
        <v>16.600000000000001</v>
      </c>
      <c r="AG120" s="108">
        <v>2041</v>
      </c>
      <c r="AH120" s="108" t="str">
        <f t="shared" si="25"/>
        <v>late adopter</v>
      </c>
    </row>
    <row r="121" spans="1:34">
      <c r="A121" s="102" t="s">
        <v>315</v>
      </c>
      <c r="B121" s="120" t="s">
        <v>314</v>
      </c>
      <c r="C121" s="120" t="s">
        <v>79</v>
      </c>
      <c r="D121" s="102" t="s">
        <v>80</v>
      </c>
      <c r="E121" s="109">
        <v>1</v>
      </c>
      <c r="F121" s="102">
        <v>1994</v>
      </c>
      <c r="G121" s="102">
        <v>1994</v>
      </c>
      <c r="H121" s="102" t="s">
        <v>566</v>
      </c>
      <c r="I121" s="102" t="s">
        <v>566</v>
      </c>
      <c r="J121" s="102" t="s">
        <v>566</v>
      </c>
      <c r="K121" s="102">
        <f t="shared" si="28"/>
        <v>3</v>
      </c>
      <c r="L121" s="102">
        <f t="shared" si="28"/>
        <v>3</v>
      </c>
      <c r="M121" s="102">
        <f t="shared" si="28"/>
        <v>1</v>
      </c>
      <c r="N121" s="102">
        <f t="shared" si="28"/>
        <v>1</v>
      </c>
      <c r="O121" s="102">
        <f t="shared" si="28"/>
        <v>1</v>
      </c>
      <c r="P121" s="121">
        <f t="shared" si="18"/>
        <v>1.8</v>
      </c>
      <c r="Q121" s="102">
        <v>0</v>
      </c>
      <c r="R121" s="102">
        <f t="shared" si="19"/>
        <v>1</v>
      </c>
      <c r="S121" s="122">
        <v>0.27071336337242602</v>
      </c>
      <c r="T121" s="102">
        <f t="shared" si="20"/>
        <v>1</v>
      </c>
      <c r="U121" s="123">
        <v>0</v>
      </c>
      <c r="V121" s="102">
        <f t="shared" si="21"/>
        <v>1</v>
      </c>
      <c r="W121" s="124">
        <v>0</v>
      </c>
      <c r="X121" s="102">
        <f t="shared" si="29"/>
        <v>2</v>
      </c>
      <c r="Y121" s="125">
        <f t="shared" si="22"/>
        <v>6.8</v>
      </c>
      <c r="Z121" s="126" t="s">
        <v>580</v>
      </c>
      <c r="AA121" s="126">
        <v>1</v>
      </c>
      <c r="AB121" s="126">
        <v>3</v>
      </c>
      <c r="AC121" s="126">
        <v>100</v>
      </c>
      <c r="AD121" s="102">
        <v>3</v>
      </c>
      <c r="AE121" s="127">
        <f t="shared" si="23"/>
        <v>7</v>
      </c>
      <c r="AF121" s="128">
        <f t="shared" si="24"/>
        <v>15.6</v>
      </c>
      <c r="AG121" s="108">
        <v>2041</v>
      </c>
      <c r="AH121" s="108" t="str">
        <f t="shared" si="25"/>
        <v>late adopter</v>
      </c>
    </row>
    <row r="122" spans="1:34">
      <c r="A122" s="102" t="s">
        <v>317</v>
      </c>
      <c r="B122" s="120" t="s">
        <v>316</v>
      </c>
      <c r="C122" s="120" t="s">
        <v>74</v>
      </c>
      <c r="D122" s="102" t="s">
        <v>84</v>
      </c>
      <c r="E122" s="109">
        <v>3</v>
      </c>
      <c r="F122" s="102">
        <v>2014</v>
      </c>
      <c r="G122" s="102">
        <v>2003</v>
      </c>
      <c r="H122" s="102">
        <v>2010</v>
      </c>
      <c r="I122" s="102">
        <v>2010</v>
      </c>
      <c r="J122" s="102">
        <v>2021</v>
      </c>
      <c r="K122" s="102">
        <f t="shared" si="28"/>
        <v>1</v>
      </c>
      <c r="L122" s="102">
        <f t="shared" si="28"/>
        <v>2</v>
      </c>
      <c r="M122" s="102">
        <f t="shared" si="28"/>
        <v>3</v>
      </c>
      <c r="N122" s="102">
        <f t="shared" si="28"/>
        <v>4</v>
      </c>
      <c r="O122" s="102">
        <f t="shared" si="28"/>
        <v>1</v>
      </c>
      <c r="P122" s="121">
        <f t="shared" si="18"/>
        <v>2.2000000000000002</v>
      </c>
      <c r="Q122" s="102">
        <v>12</v>
      </c>
      <c r="R122" s="102">
        <f t="shared" si="19"/>
        <v>2</v>
      </c>
      <c r="S122" s="122">
        <v>330.82543080117398</v>
      </c>
      <c r="T122" s="102">
        <f t="shared" si="20"/>
        <v>4</v>
      </c>
      <c r="U122" s="123">
        <v>348.11717231953997</v>
      </c>
      <c r="V122" s="102">
        <f t="shared" si="21"/>
        <v>4</v>
      </c>
      <c r="W122" s="124">
        <v>0</v>
      </c>
      <c r="X122" s="102">
        <f t="shared" si="29"/>
        <v>2</v>
      </c>
      <c r="Y122" s="125">
        <f t="shared" si="22"/>
        <v>14.2</v>
      </c>
      <c r="Z122" s="126" t="s">
        <v>580</v>
      </c>
      <c r="AA122" s="126">
        <v>1</v>
      </c>
      <c r="AB122" s="126">
        <v>2</v>
      </c>
      <c r="AC122" s="126">
        <v>100</v>
      </c>
      <c r="AD122" s="102">
        <f>IF(AND(AC122&gt;=AC$200,AC122&lt;AC$201),1,IF(AND(AC122&gt;=AC$201,AC122&lt;AC$202),2,IF(AND(AC122&gt;=AC$202,AC122&lt;AC$203),3,IF(AND(AC122&gt;=AC$203,AC122&lt;=AC$204),4,"empty"))))</f>
        <v>4</v>
      </c>
      <c r="AE122" s="127">
        <f t="shared" si="23"/>
        <v>7</v>
      </c>
      <c r="AF122" s="128">
        <f t="shared" si="24"/>
        <v>23.4</v>
      </c>
      <c r="AG122" s="108">
        <v>2033</v>
      </c>
      <c r="AH122" s="108" t="str">
        <f t="shared" si="25"/>
        <v>early adopter</v>
      </c>
    </row>
    <row r="123" spans="1:34">
      <c r="A123" s="102" t="s">
        <v>319</v>
      </c>
      <c r="B123" s="120" t="s">
        <v>318</v>
      </c>
      <c r="C123" s="120" t="s">
        <v>83</v>
      </c>
      <c r="D123" s="102" t="s">
        <v>75</v>
      </c>
      <c r="E123" s="109" t="s">
        <v>76</v>
      </c>
      <c r="F123" s="102">
        <v>2015</v>
      </c>
      <c r="G123" s="102">
        <v>2018</v>
      </c>
      <c r="H123" s="102">
        <v>2013</v>
      </c>
      <c r="I123" s="102">
        <v>2015</v>
      </c>
      <c r="J123" s="102">
        <v>2021</v>
      </c>
      <c r="K123" s="102">
        <f t="shared" si="28"/>
        <v>1</v>
      </c>
      <c r="L123" s="102">
        <f t="shared" si="28"/>
        <v>1</v>
      </c>
      <c r="M123" s="102">
        <f t="shared" si="28"/>
        <v>2</v>
      </c>
      <c r="N123" s="102">
        <f t="shared" si="28"/>
        <v>2</v>
      </c>
      <c r="O123" s="102">
        <f t="shared" si="28"/>
        <v>1</v>
      </c>
      <c r="P123" s="121">
        <f t="shared" si="18"/>
        <v>1.4</v>
      </c>
      <c r="Q123" s="102">
        <v>917</v>
      </c>
      <c r="R123" s="102">
        <f t="shared" si="19"/>
        <v>3</v>
      </c>
      <c r="S123" s="122">
        <v>181.435078580142</v>
      </c>
      <c r="T123" s="102">
        <f t="shared" si="20"/>
        <v>3</v>
      </c>
      <c r="U123" s="123">
        <v>639.63848080135006</v>
      </c>
      <c r="V123" s="102">
        <f t="shared" si="21"/>
        <v>4</v>
      </c>
      <c r="W123" s="124">
        <v>321.58</v>
      </c>
      <c r="X123" s="102">
        <f t="shared" si="29"/>
        <v>4</v>
      </c>
      <c r="Y123" s="125">
        <f t="shared" si="22"/>
        <v>15.4</v>
      </c>
      <c r="Z123" s="126" t="s">
        <v>579</v>
      </c>
      <c r="AA123" s="126">
        <v>4</v>
      </c>
      <c r="AB123" s="126">
        <v>1</v>
      </c>
      <c r="AC123" s="126">
        <v>22.558748959859244</v>
      </c>
      <c r="AD123" s="102">
        <f>IF(AND(AC123&gt;=AC$200,AC123&lt;AC$201),1,IF(AND(AC123&gt;=AC$201,AC123&lt;AC$202),2,IF(AND(AC123&gt;=AC$202,AC123&lt;AC$203),3,IF(AND(AC123&gt;=AC$203,AC123&lt;=AC$204),4,"empty"))))</f>
        <v>1</v>
      </c>
      <c r="AE123" s="127">
        <f t="shared" si="23"/>
        <v>6</v>
      </c>
      <c r="AF123" s="128">
        <f t="shared" si="24"/>
        <v>22.8</v>
      </c>
      <c r="AG123" s="108">
        <v>2034</v>
      </c>
      <c r="AH123" s="108" t="str">
        <f t="shared" si="25"/>
        <v>mid adopter</v>
      </c>
    </row>
    <row r="124" spans="1:34">
      <c r="A124" s="102" t="s">
        <v>321</v>
      </c>
      <c r="B124" s="120" t="s">
        <v>320</v>
      </c>
      <c r="C124" s="120" t="s">
        <v>110</v>
      </c>
      <c r="D124" s="102" t="s">
        <v>84</v>
      </c>
      <c r="E124" s="109">
        <v>4</v>
      </c>
      <c r="F124" s="102">
        <v>2012</v>
      </c>
      <c r="G124" s="102">
        <v>2015</v>
      </c>
      <c r="H124" s="102">
        <v>2016</v>
      </c>
      <c r="I124" s="102">
        <v>2020</v>
      </c>
      <c r="J124" s="102">
        <v>2020</v>
      </c>
      <c r="K124" s="102">
        <f t="shared" si="28"/>
        <v>1</v>
      </c>
      <c r="L124" s="102">
        <f t="shared" si="28"/>
        <v>1</v>
      </c>
      <c r="M124" s="102">
        <f t="shared" si="28"/>
        <v>1</v>
      </c>
      <c r="N124" s="102">
        <f t="shared" si="28"/>
        <v>1</v>
      </c>
      <c r="O124" s="102">
        <f t="shared" si="28"/>
        <v>1</v>
      </c>
      <c r="P124" s="121">
        <f t="shared" si="18"/>
        <v>1</v>
      </c>
      <c r="Q124" s="102">
        <v>5244</v>
      </c>
      <c r="R124" s="102">
        <f t="shared" si="19"/>
        <v>4</v>
      </c>
      <c r="S124" s="122">
        <v>199.592799790436</v>
      </c>
      <c r="T124" s="102">
        <f t="shared" si="20"/>
        <v>3</v>
      </c>
      <c r="U124" s="123">
        <v>641.25885788682001</v>
      </c>
      <c r="V124" s="102">
        <f t="shared" si="21"/>
        <v>4</v>
      </c>
      <c r="W124" s="124">
        <v>1162</v>
      </c>
      <c r="X124" s="102">
        <f t="shared" si="29"/>
        <v>4</v>
      </c>
      <c r="Y124" s="125">
        <f t="shared" si="22"/>
        <v>16</v>
      </c>
      <c r="Z124" s="126" t="s">
        <v>584</v>
      </c>
      <c r="AA124" s="109">
        <v>2</v>
      </c>
      <c r="AB124" s="126">
        <v>2</v>
      </c>
      <c r="AC124" s="126">
        <v>6.428797028951176</v>
      </c>
      <c r="AD124" s="102">
        <f>IF(AND(AC124&gt;=AC$200,AC124&lt;AC$201),1,IF(AND(AC124&gt;=AC$201,AC124&lt;AC$202),2,IF(AND(AC124&gt;=AC$202,AC124&lt;AC$203),3,IF(AND(AC124&gt;=AC$203,AC124&lt;=AC$204),4,"empty"))))</f>
        <v>1</v>
      </c>
      <c r="AE124" s="127">
        <f t="shared" si="23"/>
        <v>5</v>
      </c>
      <c r="AF124" s="128">
        <f t="shared" si="24"/>
        <v>22</v>
      </c>
      <c r="AG124" s="108">
        <v>2036</v>
      </c>
      <c r="AH124" s="108" t="str">
        <f t="shared" si="25"/>
        <v>mid adopter</v>
      </c>
    </row>
    <row r="125" spans="1:34">
      <c r="A125" s="102" t="s">
        <v>323</v>
      </c>
      <c r="B125" s="120" t="s">
        <v>322</v>
      </c>
      <c r="C125" s="120" t="s">
        <v>83</v>
      </c>
      <c r="D125" s="102" t="s">
        <v>80</v>
      </c>
      <c r="E125" s="109">
        <v>3</v>
      </c>
      <c r="F125" s="102">
        <v>2017</v>
      </c>
      <c r="G125" s="102">
        <v>2016</v>
      </c>
      <c r="H125" s="102">
        <v>2014</v>
      </c>
      <c r="I125" s="102">
        <v>2014</v>
      </c>
      <c r="J125" s="102">
        <v>2022</v>
      </c>
      <c r="K125" s="102">
        <f t="shared" si="28"/>
        <v>1</v>
      </c>
      <c r="L125" s="102">
        <f t="shared" si="28"/>
        <v>1</v>
      </c>
      <c r="M125" s="102">
        <f t="shared" si="28"/>
        <v>2</v>
      </c>
      <c r="N125" s="102">
        <f t="shared" si="28"/>
        <v>2</v>
      </c>
      <c r="O125" s="102">
        <f t="shared" si="28"/>
        <v>1</v>
      </c>
      <c r="P125" s="121">
        <f t="shared" si="18"/>
        <v>1.4</v>
      </c>
      <c r="Q125" s="102">
        <v>19</v>
      </c>
      <c r="R125" s="102">
        <f t="shared" si="19"/>
        <v>2</v>
      </c>
      <c r="S125" s="122">
        <v>7.4763550443595204</v>
      </c>
      <c r="T125" s="102">
        <f t="shared" si="20"/>
        <v>2</v>
      </c>
      <c r="U125" s="123">
        <v>0.94444769867816003</v>
      </c>
      <c r="V125" s="102">
        <f t="shared" si="21"/>
        <v>3</v>
      </c>
      <c r="W125" s="124">
        <v>65.180999999999997</v>
      </c>
      <c r="X125" s="102">
        <f t="shared" si="29"/>
        <v>3</v>
      </c>
      <c r="Y125" s="125">
        <f t="shared" si="22"/>
        <v>11.4</v>
      </c>
      <c r="Z125" s="126" t="s">
        <v>580</v>
      </c>
      <c r="AA125" s="126">
        <v>1</v>
      </c>
      <c r="AB125" s="126">
        <v>3</v>
      </c>
      <c r="AC125" s="126">
        <v>100</v>
      </c>
      <c r="AD125" s="102">
        <f>IF(AND(AC125&gt;=AC$200,AC125&lt;AC$201),1,IF(AND(AC125&gt;=AC$201,AC125&lt;AC$202),2,IF(AND(AC125&gt;=AC$202,AC125&lt;AC$203),3,IF(AND(AC125&gt;=AC$203,AC125&lt;=AC$204),4,"empty"))))</f>
        <v>4</v>
      </c>
      <c r="AE125" s="127">
        <f t="shared" si="23"/>
        <v>8</v>
      </c>
      <c r="AF125" s="128">
        <f t="shared" si="24"/>
        <v>20.8</v>
      </c>
      <c r="AG125" s="108">
        <v>2037</v>
      </c>
      <c r="AH125" s="108" t="str">
        <f t="shared" si="25"/>
        <v>mid adopter</v>
      </c>
    </row>
    <row r="126" spans="1:34">
      <c r="A126" s="102" t="s">
        <v>325</v>
      </c>
      <c r="B126" s="120" t="s">
        <v>324</v>
      </c>
      <c r="C126" s="120" t="s">
        <v>99</v>
      </c>
      <c r="D126" s="102" t="s">
        <v>87</v>
      </c>
      <c r="E126" s="109">
        <v>1</v>
      </c>
      <c r="F126" s="102">
        <v>2005</v>
      </c>
      <c r="G126" s="102">
        <v>2006</v>
      </c>
      <c r="H126" s="102" t="s">
        <v>566</v>
      </c>
      <c r="I126" s="102" t="s">
        <v>566</v>
      </c>
      <c r="J126" s="102" t="s">
        <v>566</v>
      </c>
      <c r="K126" s="102">
        <f t="shared" si="28"/>
        <v>2</v>
      </c>
      <c r="L126" s="102">
        <f t="shared" si="28"/>
        <v>2</v>
      </c>
      <c r="M126" s="102">
        <f t="shared" si="28"/>
        <v>1</v>
      </c>
      <c r="N126" s="102">
        <f t="shared" si="28"/>
        <v>1</v>
      </c>
      <c r="O126" s="102">
        <f t="shared" si="28"/>
        <v>1</v>
      </c>
      <c r="P126" s="121">
        <f t="shared" si="18"/>
        <v>1.4</v>
      </c>
      <c r="Q126" s="102">
        <v>0</v>
      </c>
      <c r="R126" s="102">
        <f t="shared" si="19"/>
        <v>1</v>
      </c>
      <c r="S126" s="122">
        <v>156.52246954566499</v>
      </c>
      <c r="T126" s="102">
        <f t="shared" si="20"/>
        <v>3</v>
      </c>
      <c r="U126" s="123">
        <v>3.0592853520440801E-2</v>
      </c>
      <c r="V126" s="102">
        <f t="shared" si="21"/>
        <v>2</v>
      </c>
      <c r="W126" s="124" t="s">
        <v>573</v>
      </c>
      <c r="X126" s="102">
        <v>1</v>
      </c>
      <c r="Y126" s="125">
        <f t="shared" si="22"/>
        <v>8.4</v>
      </c>
      <c r="Z126" s="126" t="s">
        <v>580</v>
      </c>
      <c r="AA126" s="126">
        <v>1</v>
      </c>
      <c r="AB126" s="126">
        <v>4</v>
      </c>
      <c r="AC126" s="126" t="s">
        <v>582</v>
      </c>
      <c r="AD126" s="126">
        <v>4</v>
      </c>
      <c r="AE126" s="127">
        <f t="shared" si="23"/>
        <v>9</v>
      </c>
      <c r="AF126" s="128">
        <f t="shared" si="24"/>
        <v>18.8</v>
      </c>
      <c r="AG126" s="108">
        <v>2039</v>
      </c>
      <c r="AH126" s="108" t="str">
        <f t="shared" si="25"/>
        <v>late adopter</v>
      </c>
    </row>
    <row r="127" spans="1:34">
      <c r="A127" s="102" t="s">
        <v>327</v>
      </c>
      <c r="B127" s="120" t="s">
        <v>326</v>
      </c>
      <c r="C127" s="120" t="s">
        <v>110</v>
      </c>
      <c r="D127" s="102" t="s">
        <v>84</v>
      </c>
      <c r="E127" s="109">
        <v>4</v>
      </c>
      <c r="F127" s="102">
        <v>2015</v>
      </c>
      <c r="G127" s="102">
        <v>2013</v>
      </c>
      <c r="H127" s="102">
        <v>2015</v>
      </c>
      <c r="I127" s="102">
        <v>2020</v>
      </c>
      <c r="J127" s="102" t="s">
        <v>566</v>
      </c>
      <c r="K127" s="102">
        <f t="shared" si="28"/>
        <v>1</v>
      </c>
      <c r="L127" s="102">
        <f t="shared" si="28"/>
        <v>1</v>
      </c>
      <c r="M127" s="102">
        <f t="shared" si="28"/>
        <v>1</v>
      </c>
      <c r="N127" s="102">
        <f t="shared" si="28"/>
        <v>1</v>
      </c>
      <c r="O127" s="102">
        <f t="shared" si="28"/>
        <v>1</v>
      </c>
      <c r="P127" s="121">
        <f t="shared" si="18"/>
        <v>1</v>
      </c>
      <c r="Q127" s="102">
        <v>431</v>
      </c>
      <c r="R127" s="102">
        <f t="shared" si="19"/>
        <v>3</v>
      </c>
      <c r="S127" s="122">
        <v>512.13050226390499</v>
      </c>
      <c r="T127" s="102">
        <f t="shared" si="20"/>
        <v>4</v>
      </c>
      <c r="U127" s="123">
        <v>664.64279027411601</v>
      </c>
      <c r="V127" s="102">
        <f t="shared" si="21"/>
        <v>4</v>
      </c>
      <c r="W127" s="124">
        <v>138.65</v>
      </c>
      <c r="X127" s="102">
        <f t="shared" ref="X127:X132" si="30">IF(AND(W127&gt;=W$200,W127&lt;W$201),1,IF(AND(W127&gt;=W$201,W127&lt;W$202),2,IF(AND(W127&gt;=W$202,W127&lt;W$203),3,IF(AND(W127&gt;=W$203,W127&lt;=W$204),4,"empty"))))</f>
        <v>3</v>
      </c>
      <c r="Y127" s="125">
        <f t="shared" si="22"/>
        <v>15</v>
      </c>
      <c r="Z127" s="126" t="s">
        <v>584</v>
      </c>
      <c r="AA127" s="109">
        <v>2</v>
      </c>
      <c r="AB127" s="126">
        <v>2</v>
      </c>
      <c r="AC127" s="126">
        <v>22.217529383245544</v>
      </c>
      <c r="AD127" s="102">
        <f t="shared" ref="AD127:AD132" si="31">IF(AND(AC127&gt;=AC$200,AC127&lt;AC$201),1,IF(AND(AC127&gt;=AC$201,AC127&lt;AC$202),2,IF(AND(AC127&gt;=AC$202,AC127&lt;AC$203),3,IF(AND(AC127&gt;=AC$203,AC127&lt;=AC$204),4,"empty"))))</f>
        <v>1</v>
      </c>
      <c r="AE127" s="127">
        <f t="shared" si="23"/>
        <v>5</v>
      </c>
      <c r="AF127" s="128">
        <f t="shared" si="24"/>
        <v>21</v>
      </c>
      <c r="AG127" s="108">
        <v>2037</v>
      </c>
      <c r="AH127" s="108" t="str">
        <f t="shared" si="25"/>
        <v>mid adopter</v>
      </c>
    </row>
    <row r="128" spans="1:34">
      <c r="A128" s="102" t="s">
        <v>329</v>
      </c>
      <c r="B128" s="120" t="s">
        <v>328</v>
      </c>
      <c r="C128" s="120" t="s">
        <v>79</v>
      </c>
      <c r="D128" s="102" t="s">
        <v>87</v>
      </c>
      <c r="E128" s="109">
        <v>1</v>
      </c>
      <c r="F128" s="102">
        <v>1987</v>
      </c>
      <c r="G128" s="102">
        <v>1974</v>
      </c>
      <c r="H128" s="102">
        <v>2006</v>
      </c>
      <c r="I128" s="102" t="s">
        <v>566</v>
      </c>
      <c r="J128" s="102">
        <v>2010</v>
      </c>
      <c r="K128" s="102">
        <f t="shared" si="28"/>
        <v>4</v>
      </c>
      <c r="L128" s="102">
        <f t="shared" si="28"/>
        <v>4</v>
      </c>
      <c r="M128" s="102">
        <f t="shared" si="28"/>
        <v>4</v>
      </c>
      <c r="N128" s="102">
        <f t="shared" si="28"/>
        <v>1</v>
      </c>
      <c r="O128" s="102">
        <f t="shared" si="28"/>
        <v>4</v>
      </c>
      <c r="P128" s="121">
        <f t="shared" si="18"/>
        <v>3.4</v>
      </c>
      <c r="Q128" s="102">
        <v>84</v>
      </c>
      <c r="R128" s="102">
        <f t="shared" si="19"/>
        <v>3</v>
      </c>
      <c r="S128" s="122">
        <v>0.47616505150249899</v>
      </c>
      <c r="T128" s="102">
        <f t="shared" si="20"/>
        <v>1</v>
      </c>
      <c r="U128" s="123">
        <v>2.5405033780743401E-2</v>
      </c>
      <c r="V128" s="102">
        <f t="shared" si="21"/>
        <v>2</v>
      </c>
      <c r="W128" s="124">
        <v>0</v>
      </c>
      <c r="X128" s="102">
        <f t="shared" si="30"/>
        <v>2</v>
      </c>
      <c r="Y128" s="125">
        <f t="shared" si="22"/>
        <v>11.4</v>
      </c>
      <c r="Z128" s="126" t="s">
        <v>580</v>
      </c>
      <c r="AA128" s="126">
        <v>1</v>
      </c>
      <c r="AB128" s="126">
        <v>4</v>
      </c>
      <c r="AC128" s="126">
        <v>100</v>
      </c>
      <c r="AD128" s="102">
        <f t="shared" si="31"/>
        <v>4</v>
      </c>
      <c r="AE128" s="127">
        <f t="shared" si="23"/>
        <v>9</v>
      </c>
      <c r="AF128" s="128">
        <f t="shared" si="24"/>
        <v>23.8</v>
      </c>
      <c r="AG128" s="108">
        <v>2032</v>
      </c>
      <c r="AH128" s="108" t="str">
        <f t="shared" si="25"/>
        <v>early adopter</v>
      </c>
    </row>
    <row r="129" spans="1:34">
      <c r="A129" s="102" t="s">
        <v>331</v>
      </c>
      <c r="B129" s="120" t="s">
        <v>330</v>
      </c>
      <c r="C129" s="120" t="s">
        <v>99</v>
      </c>
      <c r="D129" s="102" t="s">
        <v>87</v>
      </c>
      <c r="E129" s="109">
        <v>1</v>
      </c>
      <c r="F129" s="102">
        <v>1992</v>
      </c>
      <c r="G129" s="102">
        <v>1970</v>
      </c>
      <c r="H129" s="102">
        <v>2008</v>
      </c>
      <c r="I129" s="102">
        <v>2014</v>
      </c>
      <c r="J129" s="102">
        <v>2008</v>
      </c>
      <c r="K129" s="102">
        <f t="shared" si="28"/>
        <v>3</v>
      </c>
      <c r="L129" s="102">
        <f t="shared" si="28"/>
        <v>4</v>
      </c>
      <c r="M129" s="102">
        <f t="shared" si="28"/>
        <v>4</v>
      </c>
      <c r="N129" s="102">
        <f t="shared" si="28"/>
        <v>2</v>
      </c>
      <c r="O129" s="102">
        <f t="shared" si="28"/>
        <v>4</v>
      </c>
      <c r="P129" s="121">
        <f t="shared" si="18"/>
        <v>3.4</v>
      </c>
      <c r="Q129" s="102">
        <v>2231</v>
      </c>
      <c r="R129" s="102">
        <f t="shared" si="19"/>
        <v>4</v>
      </c>
      <c r="S129" s="122">
        <v>51.038196773982698</v>
      </c>
      <c r="T129" s="102">
        <f t="shared" si="20"/>
        <v>2</v>
      </c>
      <c r="U129" s="123">
        <v>6.1772357858724302E-3</v>
      </c>
      <c r="V129" s="102">
        <f t="shared" si="21"/>
        <v>1</v>
      </c>
      <c r="W129" s="124">
        <v>0</v>
      </c>
      <c r="X129" s="102">
        <f t="shared" si="30"/>
        <v>2</v>
      </c>
      <c r="Y129" s="125">
        <f t="shared" si="22"/>
        <v>12.4</v>
      </c>
      <c r="Z129" s="126" t="s">
        <v>580</v>
      </c>
      <c r="AA129" s="126">
        <v>1</v>
      </c>
      <c r="AB129" s="126">
        <v>4</v>
      </c>
      <c r="AC129" s="126">
        <v>100</v>
      </c>
      <c r="AD129" s="102">
        <f t="shared" si="31"/>
        <v>4</v>
      </c>
      <c r="AE129" s="127">
        <f t="shared" si="23"/>
        <v>9</v>
      </c>
      <c r="AF129" s="128">
        <f t="shared" si="24"/>
        <v>24.8</v>
      </c>
      <c r="AG129" s="108">
        <v>2031</v>
      </c>
      <c r="AH129" s="108" t="str">
        <f t="shared" si="25"/>
        <v>early adopter</v>
      </c>
    </row>
    <row r="130" spans="1:34">
      <c r="A130" s="102" t="s">
        <v>333</v>
      </c>
      <c r="B130" s="120" t="s">
        <v>332</v>
      </c>
      <c r="C130" s="120" t="s">
        <v>92</v>
      </c>
      <c r="D130" s="102" t="s">
        <v>84</v>
      </c>
      <c r="E130" s="109">
        <v>2</v>
      </c>
      <c r="F130" s="102">
        <v>2017</v>
      </c>
      <c r="G130" s="102">
        <v>1980</v>
      </c>
      <c r="H130" s="102">
        <v>2010</v>
      </c>
      <c r="I130" s="102">
        <v>2006</v>
      </c>
      <c r="J130" s="102" t="s">
        <v>566</v>
      </c>
      <c r="K130" s="102">
        <f t="shared" si="28"/>
        <v>1</v>
      </c>
      <c r="L130" s="102">
        <f t="shared" si="28"/>
        <v>4</v>
      </c>
      <c r="M130" s="102">
        <f t="shared" si="28"/>
        <v>3</v>
      </c>
      <c r="N130" s="102">
        <f t="shared" si="28"/>
        <v>4</v>
      </c>
      <c r="O130" s="102">
        <f t="shared" si="28"/>
        <v>1</v>
      </c>
      <c r="P130" s="121">
        <f t="shared" si="18"/>
        <v>2.6</v>
      </c>
      <c r="Q130" s="102">
        <v>0</v>
      </c>
      <c r="R130" s="102">
        <f t="shared" si="19"/>
        <v>1</v>
      </c>
      <c r="S130" s="122">
        <v>1.21524533714724E-2</v>
      </c>
      <c r="T130" s="102">
        <f t="shared" si="20"/>
        <v>1</v>
      </c>
      <c r="U130" s="123">
        <v>0</v>
      </c>
      <c r="V130" s="102">
        <f t="shared" si="21"/>
        <v>1</v>
      </c>
      <c r="W130" s="124">
        <v>0</v>
      </c>
      <c r="X130" s="102">
        <f t="shared" si="30"/>
        <v>2</v>
      </c>
      <c r="Y130" s="125">
        <f t="shared" si="22"/>
        <v>7.6</v>
      </c>
      <c r="Z130" s="126" t="s">
        <v>581</v>
      </c>
      <c r="AA130" s="126">
        <v>1</v>
      </c>
      <c r="AB130" s="126">
        <v>2</v>
      </c>
      <c r="AC130" s="126">
        <v>58.367934902173488</v>
      </c>
      <c r="AD130" s="102">
        <f t="shared" si="31"/>
        <v>2</v>
      </c>
      <c r="AE130" s="127">
        <f t="shared" si="23"/>
        <v>5</v>
      </c>
      <c r="AF130" s="128">
        <f t="shared" si="24"/>
        <v>15.2</v>
      </c>
      <c r="AG130" s="108">
        <v>2041</v>
      </c>
      <c r="AH130" s="108" t="str">
        <f t="shared" si="25"/>
        <v>late adopter</v>
      </c>
    </row>
    <row r="131" spans="1:34">
      <c r="A131" s="102" t="s">
        <v>335</v>
      </c>
      <c r="B131" s="120" t="s">
        <v>334</v>
      </c>
      <c r="C131" s="120" t="s">
        <v>83</v>
      </c>
      <c r="D131" s="102" t="s">
        <v>75</v>
      </c>
      <c r="E131" s="109">
        <v>3</v>
      </c>
      <c r="F131" s="102">
        <v>2014</v>
      </c>
      <c r="G131" s="102" t="s">
        <v>566</v>
      </c>
      <c r="H131" s="102">
        <v>2014</v>
      </c>
      <c r="I131" s="102">
        <v>2014</v>
      </c>
      <c r="J131" s="102" t="s">
        <v>566</v>
      </c>
      <c r="K131" s="102">
        <f t="shared" si="28"/>
        <v>1</v>
      </c>
      <c r="L131" s="102">
        <f t="shared" si="28"/>
        <v>1</v>
      </c>
      <c r="M131" s="102">
        <f t="shared" si="28"/>
        <v>2</v>
      </c>
      <c r="N131" s="102">
        <f t="shared" si="28"/>
        <v>2</v>
      </c>
      <c r="O131" s="102">
        <f t="shared" si="28"/>
        <v>1</v>
      </c>
      <c r="P131" s="121">
        <f t="shared" si="18"/>
        <v>1.4</v>
      </c>
      <c r="Q131" s="102">
        <v>2568</v>
      </c>
      <c r="R131" s="102">
        <f t="shared" si="19"/>
        <v>4</v>
      </c>
      <c r="S131" s="122">
        <v>2027.9340713660199</v>
      </c>
      <c r="T131" s="102">
        <f t="shared" si="20"/>
        <v>4</v>
      </c>
      <c r="U131" s="123">
        <v>10904.256202009299</v>
      </c>
      <c r="V131" s="102">
        <f t="shared" si="21"/>
        <v>4</v>
      </c>
      <c r="W131" s="124">
        <v>946.01</v>
      </c>
      <c r="X131" s="102">
        <f t="shared" si="30"/>
        <v>4</v>
      </c>
      <c r="Y131" s="125">
        <f t="shared" si="22"/>
        <v>17.399999999999999</v>
      </c>
      <c r="Z131" s="126" t="s">
        <v>579</v>
      </c>
      <c r="AA131" s="126">
        <v>4</v>
      </c>
      <c r="AB131" s="126">
        <v>1</v>
      </c>
      <c r="AC131" s="126">
        <v>16.269557214439111</v>
      </c>
      <c r="AD131" s="102">
        <f t="shared" si="31"/>
        <v>1</v>
      </c>
      <c r="AE131" s="127">
        <f t="shared" si="23"/>
        <v>6</v>
      </c>
      <c r="AF131" s="128">
        <f t="shared" si="24"/>
        <v>24.799999999999997</v>
      </c>
      <c r="AG131" s="108">
        <v>2031</v>
      </c>
      <c r="AH131" s="108" t="str">
        <f t="shared" si="25"/>
        <v>early adopter</v>
      </c>
    </row>
    <row r="132" spans="1:34">
      <c r="A132" s="102" t="s">
        <v>337</v>
      </c>
      <c r="B132" s="120" t="s">
        <v>336</v>
      </c>
      <c r="C132" s="120" t="s">
        <v>83</v>
      </c>
      <c r="D132" s="102" t="s">
        <v>84</v>
      </c>
      <c r="E132" s="109" t="s">
        <v>76</v>
      </c>
      <c r="F132" s="102">
        <v>2020</v>
      </c>
      <c r="G132" s="102" t="s">
        <v>566</v>
      </c>
      <c r="H132" s="102">
        <v>2017</v>
      </c>
      <c r="I132" s="102">
        <v>2021</v>
      </c>
      <c r="J132" s="102">
        <v>2023</v>
      </c>
      <c r="K132" s="102">
        <f t="shared" ref="K132:O163" si="32">IF(AND(F132&gt;=F$200,F132&lt;F$201),4,IF(AND(F132&gt;=F$201,F132&lt;F$202),3,IF(AND(F132&gt;=F$202,F132&lt;F$203),2,IF(AND(F132&gt;=F$203,F132&lt;=F$204),1,1))))</f>
        <v>1</v>
      </c>
      <c r="L132" s="102">
        <f t="shared" si="32"/>
        <v>1</v>
      </c>
      <c r="M132" s="102">
        <f t="shared" si="32"/>
        <v>1</v>
      </c>
      <c r="N132" s="102">
        <f t="shared" si="32"/>
        <v>1</v>
      </c>
      <c r="O132" s="102">
        <f t="shared" si="32"/>
        <v>1</v>
      </c>
      <c r="P132" s="121">
        <f t="shared" ref="P132:P195" si="33">AVERAGE(K132:O132)</f>
        <v>1</v>
      </c>
      <c r="Q132" s="102">
        <v>28302</v>
      </c>
      <c r="R132" s="102">
        <f t="shared" ref="R132:R195" si="34">IF(AND(Q132&gt;=Q$200,Q132&lt;Q$201),1,IF(AND(Q132&gt;=Q$201,Q132&lt;Q$202),2,IF(AND(Q132&gt;=Q$202,Q132&lt;Q$203),3,IF(AND(Q132&gt;=Q$203,Q132&lt;=Q$204),4,"empty"))))</f>
        <v>4</v>
      </c>
      <c r="S132" s="122">
        <v>355.43768801587998</v>
      </c>
      <c r="T132" s="102">
        <f t="shared" ref="T132:T195" si="35">IF(AND(S132&gt;=S$200,S132&lt;S$201),1,IF(AND(S132&gt;=S$201,S132&lt;S$202),2,IF(AND(S132&gt;=S$202,S132&lt;S$203),3,IF(AND(S132&gt;=S$203,S132&lt;=S$204),4,"empty"))))</f>
        <v>4</v>
      </c>
      <c r="U132" s="123">
        <v>6759.9881691219098</v>
      </c>
      <c r="V132" s="102">
        <f t="shared" ref="V132:V195" si="36">IF(AND(U132&gt;=U$200,U132&lt;U$201),1,IF(AND(U132&gt;=U$201,U132&lt;U$202),2,IF(AND(U132&gt;=U$202,U132&lt;U$203),3,IF(AND(U132&gt;=U$203,U132&lt;=U$204),4,"empty"))))</f>
        <v>4</v>
      </c>
      <c r="W132" s="124">
        <v>8477.5</v>
      </c>
      <c r="X132" s="102">
        <f t="shared" si="30"/>
        <v>4</v>
      </c>
      <c r="Y132" s="125">
        <f t="shared" ref="Y132:Y195" si="37">V132+T132+R132+P132+X132</f>
        <v>17</v>
      </c>
      <c r="Z132" s="126" t="s">
        <v>581</v>
      </c>
      <c r="AA132" s="126">
        <v>1</v>
      </c>
      <c r="AB132" s="126">
        <v>2</v>
      </c>
      <c r="AC132" s="126">
        <v>28.436018957345972</v>
      </c>
      <c r="AD132" s="102">
        <f t="shared" si="31"/>
        <v>2</v>
      </c>
      <c r="AE132" s="127">
        <f t="shared" ref="AE132:AE195" si="38">SUM(AD132,AB132,AA132)</f>
        <v>5</v>
      </c>
      <c r="AF132" s="128">
        <f t="shared" ref="AF132:AF195" si="39">Y132+P132+AE132</f>
        <v>23</v>
      </c>
      <c r="AG132" s="108">
        <v>2034</v>
      </c>
      <c r="AH132" s="108" t="str">
        <f t="shared" ref="AH132:AH195" si="40">IF(AG132&lt;2034,"early adopter",IF(AG132&gt;2037,"late adopter","mid adopter"))</f>
        <v>mid adopter</v>
      </c>
    </row>
    <row r="133" spans="1:34">
      <c r="A133" s="102" t="s">
        <v>339</v>
      </c>
      <c r="B133" s="120" t="s">
        <v>338</v>
      </c>
      <c r="C133" s="120" t="s">
        <v>99</v>
      </c>
      <c r="D133" s="102" t="e">
        <v>#N/A</v>
      </c>
      <c r="E133" s="109">
        <v>1</v>
      </c>
      <c r="F133" s="102">
        <v>1975</v>
      </c>
      <c r="G133" s="102">
        <v>1980</v>
      </c>
      <c r="H133" s="102">
        <v>2009</v>
      </c>
      <c r="I133" s="102">
        <v>2016</v>
      </c>
      <c r="J133" s="102">
        <v>2019</v>
      </c>
      <c r="K133" s="102">
        <f t="shared" si="32"/>
        <v>4</v>
      </c>
      <c r="L133" s="102">
        <f t="shared" si="32"/>
        <v>4</v>
      </c>
      <c r="M133" s="102">
        <f t="shared" si="32"/>
        <v>3</v>
      </c>
      <c r="N133" s="102">
        <f t="shared" si="32"/>
        <v>2</v>
      </c>
      <c r="O133" s="102">
        <f t="shared" si="32"/>
        <v>2</v>
      </c>
      <c r="P133" s="121">
        <f t="shared" si="33"/>
        <v>3</v>
      </c>
      <c r="Q133" s="102">
        <v>0</v>
      </c>
      <c r="R133" s="102">
        <f t="shared" si="34"/>
        <v>1</v>
      </c>
      <c r="S133" s="122">
        <v>312.31232686934499</v>
      </c>
      <c r="T133" s="102">
        <f t="shared" si="35"/>
        <v>4</v>
      </c>
      <c r="U133" s="123">
        <v>5.1439130668766197E-3</v>
      </c>
      <c r="V133" s="102">
        <f t="shared" si="36"/>
        <v>1</v>
      </c>
      <c r="W133" s="124" t="s">
        <v>573</v>
      </c>
      <c r="X133" s="102">
        <v>1</v>
      </c>
      <c r="Y133" s="125">
        <f t="shared" si="37"/>
        <v>10</v>
      </c>
      <c r="Z133" s="126" t="s">
        <v>580</v>
      </c>
      <c r="AA133" s="126">
        <v>1</v>
      </c>
      <c r="AB133" s="126">
        <v>2</v>
      </c>
      <c r="AC133" s="126"/>
      <c r="AD133" s="102">
        <v>2</v>
      </c>
      <c r="AE133" s="127">
        <f t="shared" si="38"/>
        <v>5</v>
      </c>
      <c r="AF133" s="128">
        <f t="shared" si="39"/>
        <v>18</v>
      </c>
      <c r="AG133" s="108">
        <v>2040</v>
      </c>
      <c r="AH133" s="108" t="str">
        <f t="shared" si="40"/>
        <v>late adopter</v>
      </c>
    </row>
    <row r="134" spans="1:34">
      <c r="A134" s="102" t="s">
        <v>341</v>
      </c>
      <c r="B134" s="120" t="s">
        <v>340</v>
      </c>
      <c r="C134" s="120" t="s">
        <v>79</v>
      </c>
      <c r="D134" s="102" t="s">
        <v>87</v>
      </c>
      <c r="E134" s="109">
        <v>1</v>
      </c>
      <c r="F134" s="102">
        <v>1983</v>
      </c>
      <c r="G134" s="102">
        <v>1978</v>
      </c>
      <c r="H134" s="102">
        <v>2006</v>
      </c>
      <c r="I134" s="102">
        <v>2014</v>
      </c>
      <c r="J134" s="102">
        <v>2009</v>
      </c>
      <c r="K134" s="102">
        <f t="shared" si="32"/>
        <v>4</v>
      </c>
      <c r="L134" s="102">
        <f t="shared" si="32"/>
        <v>4</v>
      </c>
      <c r="M134" s="102">
        <f t="shared" si="32"/>
        <v>4</v>
      </c>
      <c r="N134" s="102">
        <f t="shared" si="32"/>
        <v>2</v>
      </c>
      <c r="O134" s="102">
        <f t="shared" si="32"/>
        <v>4</v>
      </c>
      <c r="P134" s="121">
        <f t="shared" si="33"/>
        <v>3.6</v>
      </c>
      <c r="Q134" s="102">
        <v>17</v>
      </c>
      <c r="R134" s="102">
        <f t="shared" si="34"/>
        <v>2</v>
      </c>
      <c r="S134" s="122">
        <v>0.52606119378665295</v>
      </c>
      <c r="T134" s="102">
        <f t="shared" si="35"/>
        <v>1</v>
      </c>
      <c r="U134" s="123">
        <v>1.09377604817271E-2</v>
      </c>
      <c r="V134" s="102">
        <f t="shared" si="36"/>
        <v>2</v>
      </c>
      <c r="W134" s="124">
        <v>3.3032999999999999E-4</v>
      </c>
      <c r="X134" s="102">
        <f>IF(AND(W134&gt;=W$200,W134&lt;W$201),1,IF(AND(W134&gt;=W$201,W134&lt;W$202),2,IF(AND(W134&gt;=W$202,W134&lt;W$203),3,IF(AND(W134&gt;=W$203,W134&lt;=W$204),4,"empty"))))</f>
        <v>3</v>
      </c>
      <c r="Y134" s="125">
        <f t="shared" si="37"/>
        <v>11.6</v>
      </c>
      <c r="Z134" s="126" t="s">
        <v>580</v>
      </c>
      <c r="AA134" s="126">
        <v>1</v>
      </c>
      <c r="AB134" s="126">
        <v>4</v>
      </c>
      <c r="AC134" s="126">
        <v>100</v>
      </c>
      <c r="AD134" s="126">
        <v>4</v>
      </c>
      <c r="AE134" s="127">
        <f t="shared" si="38"/>
        <v>9</v>
      </c>
      <c r="AF134" s="128">
        <f t="shared" si="39"/>
        <v>24.2</v>
      </c>
      <c r="AG134" s="108">
        <v>2032</v>
      </c>
      <c r="AH134" s="108" t="str">
        <f t="shared" si="40"/>
        <v>early adopter</v>
      </c>
    </row>
    <row r="135" spans="1:34">
      <c r="A135" s="102" t="s">
        <v>343</v>
      </c>
      <c r="B135" s="120" t="s">
        <v>342</v>
      </c>
      <c r="C135" s="120" t="s">
        <v>74</v>
      </c>
      <c r="D135" s="102" t="s">
        <v>87</v>
      </c>
      <c r="E135" s="109">
        <v>1</v>
      </c>
      <c r="F135" s="102">
        <v>1994</v>
      </c>
      <c r="G135" s="102">
        <v>1994</v>
      </c>
      <c r="H135" s="102">
        <v>2008</v>
      </c>
      <c r="I135" s="102" t="s">
        <v>566</v>
      </c>
      <c r="J135" s="102" t="s">
        <v>566</v>
      </c>
      <c r="K135" s="102">
        <f t="shared" si="32"/>
        <v>3</v>
      </c>
      <c r="L135" s="102">
        <f t="shared" si="32"/>
        <v>3</v>
      </c>
      <c r="M135" s="102">
        <f t="shared" si="32"/>
        <v>4</v>
      </c>
      <c r="N135" s="102">
        <f t="shared" si="32"/>
        <v>1</v>
      </c>
      <c r="O135" s="102">
        <f t="shared" si="32"/>
        <v>1</v>
      </c>
      <c r="P135" s="121">
        <f t="shared" si="33"/>
        <v>2.4</v>
      </c>
      <c r="Q135" s="102">
        <v>21</v>
      </c>
      <c r="R135" s="102">
        <f t="shared" si="34"/>
        <v>2</v>
      </c>
      <c r="S135" s="122">
        <v>8.9724648681786299</v>
      </c>
      <c r="T135" s="102">
        <f t="shared" si="35"/>
        <v>2</v>
      </c>
      <c r="U135" s="123">
        <v>0.22991019356657499</v>
      </c>
      <c r="V135" s="102">
        <f t="shared" si="36"/>
        <v>2</v>
      </c>
      <c r="W135" s="124">
        <v>0</v>
      </c>
      <c r="X135" s="102">
        <f>IF(AND(W135&gt;=W$200,W135&lt;W$201),1,IF(AND(W135&gt;=W$201,W135&lt;W$202),2,IF(AND(W135&gt;=W$202,W135&lt;W$203),3,IF(AND(W135&gt;=W$203,W135&lt;=W$204),4,"empty"))))</f>
        <v>2</v>
      </c>
      <c r="Y135" s="125">
        <f t="shared" si="37"/>
        <v>10.4</v>
      </c>
      <c r="Z135" s="126" t="s">
        <v>580</v>
      </c>
      <c r="AA135" s="126">
        <v>1</v>
      </c>
      <c r="AB135" s="126">
        <v>4</v>
      </c>
      <c r="AC135" s="126" t="s">
        <v>582</v>
      </c>
      <c r="AD135" s="126">
        <v>4</v>
      </c>
      <c r="AE135" s="127">
        <f t="shared" si="38"/>
        <v>9</v>
      </c>
      <c r="AF135" s="128">
        <f t="shared" si="39"/>
        <v>21.8</v>
      </c>
      <c r="AG135" s="108">
        <v>2036</v>
      </c>
      <c r="AH135" s="108" t="str">
        <f t="shared" si="40"/>
        <v>mid adopter</v>
      </c>
    </row>
    <row r="136" spans="1:34">
      <c r="A136" s="102" t="s">
        <v>345</v>
      </c>
      <c r="B136" s="120" t="s">
        <v>344</v>
      </c>
      <c r="C136" s="120" t="s">
        <v>74</v>
      </c>
      <c r="D136" s="102" t="s">
        <v>84</v>
      </c>
      <c r="E136" s="109" t="s">
        <v>76</v>
      </c>
      <c r="F136" s="102">
        <v>2009</v>
      </c>
      <c r="G136" s="102">
        <v>2021</v>
      </c>
      <c r="H136" s="102">
        <v>2014</v>
      </c>
      <c r="I136" s="102">
        <v>2018</v>
      </c>
      <c r="J136" s="102" t="s">
        <v>566</v>
      </c>
      <c r="K136" s="102">
        <f t="shared" si="32"/>
        <v>2</v>
      </c>
      <c r="L136" s="102">
        <f t="shared" si="32"/>
        <v>1</v>
      </c>
      <c r="M136" s="102">
        <f t="shared" si="32"/>
        <v>2</v>
      </c>
      <c r="N136" s="102">
        <f t="shared" si="32"/>
        <v>1</v>
      </c>
      <c r="O136" s="102">
        <f t="shared" si="32"/>
        <v>1</v>
      </c>
      <c r="P136" s="121">
        <f t="shared" si="33"/>
        <v>1.4</v>
      </c>
      <c r="Q136" s="102">
        <v>2066</v>
      </c>
      <c r="R136" s="102">
        <f t="shared" si="34"/>
        <v>4</v>
      </c>
      <c r="S136" s="122">
        <v>166.30680897702101</v>
      </c>
      <c r="T136" s="102">
        <f t="shared" si="35"/>
        <v>3</v>
      </c>
      <c r="U136" s="123">
        <v>2798.6836586117402</v>
      </c>
      <c r="V136" s="102">
        <f t="shared" si="36"/>
        <v>4</v>
      </c>
      <c r="W136" s="124">
        <v>2677.2</v>
      </c>
      <c r="X136" s="102">
        <f>IF(AND(W136&gt;=W$200,W136&lt;W$201),1,IF(AND(W136&gt;=W$201,W136&lt;W$202),2,IF(AND(W136&gt;=W$202,W136&lt;W$203),3,IF(AND(W136&gt;=W$203,W136&lt;=W$204),4,"empty"))))</f>
        <v>4</v>
      </c>
      <c r="Y136" s="125">
        <f t="shared" si="37"/>
        <v>16.399999999999999</v>
      </c>
      <c r="Z136" s="126" t="s">
        <v>584</v>
      </c>
      <c r="AA136" s="109">
        <v>2</v>
      </c>
      <c r="AB136" s="126">
        <v>2</v>
      </c>
      <c r="AC136" s="126">
        <v>25.317141295124028</v>
      </c>
      <c r="AD136" s="102">
        <f>IF(AND(AC136&gt;=AC$200,AC136&lt;AC$201),1,IF(AND(AC136&gt;=AC$201,AC136&lt;AC$202),2,IF(AND(AC136&gt;=AC$202,AC136&lt;AC$203),3,IF(AND(AC136&gt;=AC$203,AC136&lt;=AC$204),4,"empty"))))</f>
        <v>2</v>
      </c>
      <c r="AE136" s="127">
        <f t="shared" si="38"/>
        <v>6</v>
      </c>
      <c r="AF136" s="128">
        <f t="shared" si="39"/>
        <v>23.799999999999997</v>
      </c>
      <c r="AG136" s="108">
        <v>2033</v>
      </c>
      <c r="AH136" s="108" t="str">
        <f t="shared" si="40"/>
        <v>early adopter</v>
      </c>
    </row>
    <row r="137" spans="1:34">
      <c r="A137" s="102" t="s">
        <v>347</v>
      </c>
      <c r="B137" s="120" t="s">
        <v>346</v>
      </c>
      <c r="C137" s="120" t="s">
        <v>99</v>
      </c>
      <c r="D137" s="102" t="s">
        <v>87</v>
      </c>
      <c r="E137" s="109">
        <v>1</v>
      </c>
      <c r="F137" s="102">
        <v>1995</v>
      </c>
      <c r="G137" s="102">
        <v>1986</v>
      </c>
      <c r="H137" s="102">
        <v>2008</v>
      </c>
      <c r="I137" s="102">
        <v>2008</v>
      </c>
      <c r="J137" s="102">
        <v>2008</v>
      </c>
      <c r="K137" s="102">
        <f t="shared" si="32"/>
        <v>3</v>
      </c>
      <c r="L137" s="102">
        <f t="shared" si="32"/>
        <v>4</v>
      </c>
      <c r="M137" s="102">
        <f t="shared" si="32"/>
        <v>4</v>
      </c>
      <c r="N137" s="102">
        <f t="shared" si="32"/>
        <v>4</v>
      </c>
      <c r="O137" s="102">
        <f t="shared" si="32"/>
        <v>4</v>
      </c>
      <c r="P137" s="121">
        <f t="shared" si="33"/>
        <v>3.8</v>
      </c>
      <c r="Q137" s="102">
        <v>0</v>
      </c>
      <c r="R137" s="102">
        <f t="shared" si="34"/>
        <v>1</v>
      </c>
      <c r="S137" s="122">
        <v>414.82234866128698</v>
      </c>
      <c r="T137" s="102">
        <f t="shared" si="35"/>
        <v>4</v>
      </c>
      <c r="U137" s="123">
        <v>4.3538927560150001E-2</v>
      </c>
      <c r="V137" s="102">
        <f t="shared" si="36"/>
        <v>2</v>
      </c>
      <c r="W137" s="124" t="s">
        <v>573</v>
      </c>
      <c r="X137" s="102">
        <v>1</v>
      </c>
      <c r="Y137" s="125">
        <f t="shared" si="37"/>
        <v>11.8</v>
      </c>
      <c r="Z137" s="126" t="s">
        <v>580</v>
      </c>
      <c r="AA137" s="126">
        <v>1</v>
      </c>
      <c r="AB137" s="126">
        <v>4</v>
      </c>
      <c r="AC137" s="126" t="s">
        <v>582</v>
      </c>
      <c r="AD137" s="126">
        <v>4</v>
      </c>
      <c r="AE137" s="127">
        <f t="shared" si="38"/>
        <v>9</v>
      </c>
      <c r="AF137" s="128">
        <f t="shared" si="39"/>
        <v>24.6</v>
      </c>
      <c r="AG137" s="108">
        <v>2031</v>
      </c>
      <c r="AH137" s="108" t="str">
        <f t="shared" si="40"/>
        <v>early adopter</v>
      </c>
    </row>
    <row r="138" spans="1:34">
      <c r="A138" s="102" t="s">
        <v>349</v>
      </c>
      <c r="B138" s="120" t="s">
        <v>348</v>
      </c>
      <c r="C138" s="120" t="s">
        <v>92</v>
      </c>
      <c r="D138" s="102" t="s">
        <v>87</v>
      </c>
      <c r="E138" s="109">
        <v>1</v>
      </c>
      <c r="F138" s="102">
        <v>1992</v>
      </c>
      <c r="G138" s="102">
        <v>1984</v>
      </c>
      <c r="H138" s="102">
        <v>2010</v>
      </c>
      <c r="I138" s="102">
        <v>2006</v>
      </c>
      <c r="J138" s="102">
        <v>2008</v>
      </c>
      <c r="K138" s="102">
        <f t="shared" si="32"/>
        <v>3</v>
      </c>
      <c r="L138" s="102">
        <f t="shared" si="32"/>
        <v>4</v>
      </c>
      <c r="M138" s="102">
        <f t="shared" si="32"/>
        <v>3</v>
      </c>
      <c r="N138" s="102">
        <f t="shared" si="32"/>
        <v>4</v>
      </c>
      <c r="O138" s="102">
        <f t="shared" si="32"/>
        <v>4</v>
      </c>
      <c r="P138" s="121">
        <f t="shared" si="33"/>
        <v>3.6</v>
      </c>
      <c r="Q138" s="102">
        <v>0</v>
      </c>
      <c r="R138" s="102">
        <f t="shared" si="34"/>
        <v>1</v>
      </c>
      <c r="S138" s="122">
        <v>1.1151731735071E-2</v>
      </c>
      <c r="T138" s="102">
        <f t="shared" si="35"/>
        <v>1</v>
      </c>
      <c r="U138" s="123">
        <v>0</v>
      </c>
      <c r="V138" s="102">
        <f t="shared" si="36"/>
        <v>1</v>
      </c>
      <c r="W138" s="124">
        <v>0</v>
      </c>
      <c r="X138" s="102">
        <f t="shared" ref="X138:X148" si="41">IF(AND(W138&gt;=W$200,W138&lt;W$201),1,IF(AND(W138&gt;=W$201,W138&lt;W$202),2,IF(AND(W138&gt;=W$202,W138&lt;W$203),3,IF(AND(W138&gt;=W$203,W138&lt;=W$204),4,"empty"))))</f>
        <v>2</v>
      </c>
      <c r="Y138" s="125">
        <f t="shared" si="37"/>
        <v>8.6</v>
      </c>
      <c r="Z138" s="126" t="s">
        <v>580</v>
      </c>
      <c r="AA138" s="126">
        <v>1</v>
      </c>
      <c r="AB138" s="126">
        <v>4</v>
      </c>
      <c r="AC138" s="126">
        <v>99.978499921922463</v>
      </c>
      <c r="AD138" s="102">
        <f>IF(AND(AC138&gt;=AC$200,AC138&lt;AC$201),1,IF(AND(AC138&gt;=AC$201,AC138&lt;AC$202),2,IF(AND(AC138&gt;=AC$202,AC138&lt;AC$203),3,IF(AND(AC138&gt;=AC$203,AC138&lt;=AC$204),4,"empty"))))</f>
        <v>3</v>
      </c>
      <c r="AE138" s="127">
        <f t="shared" si="38"/>
        <v>8</v>
      </c>
      <c r="AF138" s="128">
        <f t="shared" si="39"/>
        <v>20.2</v>
      </c>
      <c r="AG138" s="108">
        <v>2038</v>
      </c>
      <c r="AH138" s="108" t="str">
        <f t="shared" si="40"/>
        <v>late adopter</v>
      </c>
    </row>
    <row r="139" spans="1:34">
      <c r="A139" s="102" t="s">
        <v>351</v>
      </c>
      <c r="B139" s="120" t="s">
        <v>350</v>
      </c>
      <c r="C139" s="120" t="s">
        <v>99</v>
      </c>
      <c r="D139" s="102" t="s">
        <v>84</v>
      </c>
      <c r="E139" s="109">
        <v>4</v>
      </c>
      <c r="F139" s="102">
        <v>2016</v>
      </c>
      <c r="G139" s="102">
        <v>2015</v>
      </c>
      <c r="H139" s="102">
        <v>2013</v>
      </c>
      <c r="I139" s="102" t="s">
        <v>566</v>
      </c>
      <c r="J139" s="102" t="s">
        <v>566</v>
      </c>
      <c r="K139" s="102">
        <f t="shared" si="32"/>
        <v>1</v>
      </c>
      <c r="L139" s="102">
        <f t="shared" si="32"/>
        <v>1</v>
      </c>
      <c r="M139" s="102">
        <f t="shared" si="32"/>
        <v>2</v>
      </c>
      <c r="N139" s="102">
        <f t="shared" si="32"/>
        <v>1</v>
      </c>
      <c r="O139" s="102">
        <f t="shared" si="32"/>
        <v>1</v>
      </c>
      <c r="P139" s="121">
        <f t="shared" si="33"/>
        <v>1.2</v>
      </c>
      <c r="Q139" s="102">
        <v>1</v>
      </c>
      <c r="R139" s="102">
        <f t="shared" si="34"/>
        <v>2</v>
      </c>
      <c r="S139" s="122">
        <v>811.78149251282196</v>
      </c>
      <c r="T139" s="102">
        <f t="shared" si="35"/>
        <v>4</v>
      </c>
      <c r="U139" s="123">
        <v>563.05707852022795</v>
      </c>
      <c r="V139" s="102">
        <f t="shared" si="36"/>
        <v>4</v>
      </c>
      <c r="W139" s="124">
        <v>454.04</v>
      </c>
      <c r="X139" s="102">
        <f t="shared" si="41"/>
        <v>4</v>
      </c>
      <c r="Y139" s="125">
        <f t="shared" si="37"/>
        <v>15.2</v>
      </c>
      <c r="Z139" s="109" t="s">
        <v>581</v>
      </c>
      <c r="AA139" s="126">
        <v>1</v>
      </c>
      <c r="AB139" s="126">
        <v>2</v>
      </c>
      <c r="AC139" s="126">
        <v>40.885544133167464</v>
      </c>
      <c r="AD139" s="102">
        <f>IF(AND(AC139&gt;=AC$200,AC139&lt;AC$201),1,IF(AND(AC139&gt;=AC$201,AC139&lt;AC$202),2,IF(AND(AC139&gt;=AC$202,AC139&lt;AC$203),3,IF(AND(AC139&gt;=AC$203,AC139&lt;=AC$204),4,"empty"))))</f>
        <v>2</v>
      </c>
      <c r="AE139" s="127">
        <f t="shared" si="38"/>
        <v>5</v>
      </c>
      <c r="AF139" s="128">
        <f t="shared" si="39"/>
        <v>21.4</v>
      </c>
      <c r="AG139" s="108">
        <v>2036</v>
      </c>
      <c r="AH139" s="108" t="str">
        <f t="shared" si="40"/>
        <v>mid adopter</v>
      </c>
    </row>
    <row r="140" spans="1:34">
      <c r="A140" s="102" t="s">
        <v>353</v>
      </c>
      <c r="B140" s="120" t="s">
        <v>352</v>
      </c>
      <c r="C140" s="120" t="s">
        <v>92</v>
      </c>
      <c r="D140" s="102" t="s">
        <v>80</v>
      </c>
      <c r="E140" s="109">
        <v>1</v>
      </c>
      <c r="F140" s="102">
        <v>2004</v>
      </c>
      <c r="G140" s="102">
        <v>2002</v>
      </c>
      <c r="H140" s="102">
        <v>2012</v>
      </c>
      <c r="I140" s="102">
        <v>2010</v>
      </c>
      <c r="J140" s="102">
        <v>2013</v>
      </c>
      <c r="K140" s="102">
        <f t="shared" si="32"/>
        <v>2</v>
      </c>
      <c r="L140" s="102">
        <f t="shared" si="32"/>
        <v>2</v>
      </c>
      <c r="M140" s="102">
        <f t="shared" si="32"/>
        <v>2</v>
      </c>
      <c r="N140" s="102">
        <f t="shared" si="32"/>
        <v>4</v>
      </c>
      <c r="O140" s="102">
        <f t="shared" si="32"/>
        <v>3</v>
      </c>
      <c r="P140" s="121">
        <f t="shared" si="33"/>
        <v>2.6</v>
      </c>
      <c r="Q140" s="102">
        <v>0</v>
      </c>
      <c r="R140" s="102">
        <f t="shared" si="34"/>
        <v>1</v>
      </c>
      <c r="S140" s="122">
        <v>1.3556921366156299E-2</v>
      </c>
      <c r="T140" s="102">
        <f t="shared" si="35"/>
        <v>1</v>
      </c>
      <c r="U140" s="123">
        <v>0</v>
      </c>
      <c r="V140" s="102">
        <f t="shared" si="36"/>
        <v>1</v>
      </c>
      <c r="W140" s="124">
        <v>0</v>
      </c>
      <c r="X140" s="102">
        <f t="shared" si="41"/>
        <v>2</v>
      </c>
      <c r="Y140" s="125">
        <f t="shared" si="37"/>
        <v>7.6</v>
      </c>
      <c r="Z140" s="126" t="s">
        <v>580</v>
      </c>
      <c r="AA140" s="126">
        <v>1</v>
      </c>
      <c r="AB140" s="126">
        <v>3</v>
      </c>
      <c r="AC140" s="126">
        <v>100</v>
      </c>
      <c r="AD140" s="102">
        <f>IF(AND(AC140&gt;=AC$200,AC140&lt;AC$201),1,IF(AND(AC140&gt;=AC$201,AC140&lt;AC$202),2,IF(AND(AC140&gt;=AC$202,AC140&lt;AC$203),3,IF(AND(AC140&gt;=AC$203,AC140&lt;=AC$204),4,"empty"))))</f>
        <v>4</v>
      </c>
      <c r="AE140" s="127">
        <f t="shared" si="38"/>
        <v>8</v>
      </c>
      <c r="AF140" s="128">
        <f t="shared" si="39"/>
        <v>18.2</v>
      </c>
      <c r="AG140" s="108">
        <v>2039</v>
      </c>
      <c r="AH140" s="108" t="str">
        <f t="shared" si="40"/>
        <v>late adopter</v>
      </c>
    </row>
    <row r="141" spans="1:34">
      <c r="A141" s="102" t="s">
        <v>355</v>
      </c>
      <c r="B141" s="120" t="s">
        <v>354</v>
      </c>
      <c r="C141" s="120" t="s">
        <v>92</v>
      </c>
      <c r="D141" s="102" t="s">
        <v>80</v>
      </c>
      <c r="E141" s="109">
        <v>2</v>
      </c>
      <c r="F141" s="102">
        <v>2007</v>
      </c>
      <c r="G141" s="102">
        <v>2003</v>
      </c>
      <c r="H141" s="102">
        <v>2009</v>
      </c>
      <c r="I141" s="102">
        <v>2009</v>
      </c>
      <c r="J141" s="102">
        <v>2015</v>
      </c>
      <c r="K141" s="102">
        <f t="shared" si="32"/>
        <v>2</v>
      </c>
      <c r="L141" s="102">
        <f t="shared" si="32"/>
        <v>2</v>
      </c>
      <c r="M141" s="102">
        <f t="shared" si="32"/>
        <v>3</v>
      </c>
      <c r="N141" s="102">
        <f t="shared" si="32"/>
        <v>4</v>
      </c>
      <c r="O141" s="102">
        <f t="shared" si="32"/>
        <v>3</v>
      </c>
      <c r="P141" s="121">
        <f t="shared" si="33"/>
        <v>2.8</v>
      </c>
      <c r="Q141" s="102">
        <v>2</v>
      </c>
      <c r="R141" s="102">
        <f t="shared" si="34"/>
        <v>2</v>
      </c>
      <c r="S141" s="122">
        <v>1.1815923478835399E-2</v>
      </c>
      <c r="T141" s="102">
        <f t="shared" si="35"/>
        <v>1</v>
      </c>
      <c r="U141" s="123">
        <v>5.2560028255040801E-3</v>
      </c>
      <c r="V141" s="102">
        <f t="shared" si="36"/>
        <v>1</v>
      </c>
      <c r="W141" s="124">
        <v>0</v>
      </c>
      <c r="X141" s="102">
        <f t="shared" si="41"/>
        <v>2</v>
      </c>
      <c r="Y141" s="125">
        <f t="shared" si="37"/>
        <v>8.8000000000000007</v>
      </c>
      <c r="Z141" s="126" t="s">
        <v>580</v>
      </c>
      <c r="AA141" s="126">
        <v>1</v>
      </c>
      <c r="AB141" s="126">
        <v>3</v>
      </c>
      <c r="AC141" s="126">
        <v>100</v>
      </c>
      <c r="AD141" s="102">
        <f>IF(AND(AC141&gt;=AC$200,AC141&lt;AC$201),1,IF(AND(AC141&gt;=AC$201,AC141&lt;AC$202),2,IF(AND(AC141&gt;=AC$202,AC141&lt;AC$203),3,IF(AND(AC141&gt;=AC$203,AC141&lt;=AC$204),4,"empty"))))</f>
        <v>4</v>
      </c>
      <c r="AE141" s="127">
        <f t="shared" si="38"/>
        <v>8</v>
      </c>
      <c r="AF141" s="128">
        <f t="shared" si="39"/>
        <v>19.600000000000001</v>
      </c>
      <c r="AG141" s="108">
        <v>2039</v>
      </c>
      <c r="AH141" s="108" t="str">
        <f t="shared" si="40"/>
        <v>late adopter</v>
      </c>
    </row>
    <row r="142" spans="1:34">
      <c r="A142" s="102" t="s">
        <v>357</v>
      </c>
      <c r="B142" s="120" t="s">
        <v>356</v>
      </c>
      <c r="C142" s="120" t="s">
        <v>99</v>
      </c>
      <c r="D142" s="102" t="s">
        <v>84</v>
      </c>
      <c r="E142" s="109" t="s">
        <v>76</v>
      </c>
      <c r="F142" s="102">
        <v>2010</v>
      </c>
      <c r="G142" s="102">
        <v>2010</v>
      </c>
      <c r="H142" s="102">
        <v>2020</v>
      </c>
      <c r="I142" s="102" t="s">
        <v>566</v>
      </c>
      <c r="J142" s="102" t="s">
        <v>566</v>
      </c>
      <c r="K142" s="102">
        <f t="shared" si="32"/>
        <v>2</v>
      </c>
      <c r="L142" s="102">
        <f t="shared" si="32"/>
        <v>2</v>
      </c>
      <c r="M142" s="102">
        <f t="shared" si="32"/>
        <v>1</v>
      </c>
      <c r="N142" s="102">
        <f t="shared" si="32"/>
        <v>1</v>
      </c>
      <c r="O142" s="102">
        <f t="shared" si="32"/>
        <v>1</v>
      </c>
      <c r="P142" s="121">
        <f t="shared" si="33"/>
        <v>1.4</v>
      </c>
      <c r="Q142" s="102">
        <v>48375</v>
      </c>
      <c r="R142" s="102">
        <f t="shared" si="34"/>
        <v>4</v>
      </c>
      <c r="S142" s="122">
        <v>537.10041034202095</v>
      </c>
      <c r="T142" s="102">
        <f t="shared" si="35"/>
        <v>4</v>
      </c>
      <c r="U142" s="123">
        <v>2588.4185363105498</v>
      </c>
      <c r="V142" s="102">
        <f t="shared" si="36"/>
        <v>4</v>
      </c>
      <c r="W142" s="124">
        <v>2417</v>
      </c>
      <c r="X142" s="102">
        <f t="shared" si="41"/>
        <v>4</v>
      </c>
      <c r="Y142" s="125">
        <f t="shared" si="37"/>
        <v>17.399999999999999</v>
      </c>
      <c r="Z142" s="126" t="s">
        <v>580</v>
      </c>
      <c r="AA142" s="126">
        <v>1</v>
      </c>
      <c r="AB142" s="126">
        <v>2</v>
      </c>
      <c r="AC142" s="126">
        <v>100</v>
      </c>
      <c r="AD142" s="102">
        <f>IF(AND(AC142&gt;=AC$200,AC142&lt;AC$201),1,IF(AND(AC142&gt;=AC$201,AC142&lt;AC$202),2,IF(AND(AC142&gt;=AC$202,AC142&lt;AC$203),3,IF(AND(AC142&gt;=AC$203,AC142&lt;=AC$204),4,"empty"))))</f>
        <v>4</v>
      </c>
      <c r="AE142" s="127">
        <f t="shared" si="38"/>
        <v>7</v>
      </c>
      <c r="AF142" s="128">
        <f t="shared" si="39"/>
        <v>25.799999999999997</v>
      </c>
      <c r="AG142" s="108">
        <v>2030</v>
      </c>
      <c r="AH142" s="108" t="str">
        <f t="shared" si="40"/>
        <v>early adopter</v>
      </c>
    </row>
    <row r="143" spans="1:34">
      <c r="A143" s="102" t="s">
        <v>359</v>
      </c>
      <c r="B143" s="120" t="s">
        <v>358</v>
      </c>
      <c r="C143" s="120" t="s">
        <v>79</v>
      </c>
      <c r="D143" s="102" t="s">
        <v>87</v>
      </c>
      <c r="E143" s="109">
        <v>1</v>
      </c>
      <c r="F143" s="102">
        <v>1991</v>
      </c>
      <c r="G143" s="102">
        <v>1988</v>
      </c>
      <c r="H143" s="102">
        <v>2017</v>
      </c>
      <c r="I143" s="102" t="s">
        <v>566</v>
      </c>
      <c r="J143" s="102" t="s">
        <v>566</v>
      </c>
      <c r="K143" s="102">
        <f t="shared" si="32"/>
        <v>4</v>
      </c>
      <c r="L143" s="102">
        <f t="shared" si="32"/>
        <v>3</v>
      </c>
      <c r="M143" s="102">
        <f t="shared" si="32"/>
        <v>1</v>
      </c>
      <c r="N143" s="102">
        <f t="shared" si="32"/>
        <v>1</v>
      </c>
      <c r="O143" s="102">
        <f t="shared" si="32"/>
        <v>1</v>
      </c>
      <c r="P143" s="121">
        <f t="shared" si="33"/>
        <v>2</v>
      </c>
      <c r="Q143" s="102">
        <v>1367</v>
      </c>
      <c r="R143" s="102">
        <f t="shared" si="34"/>
        <v>4</v>
      </c>
      <c r="S143" s="122">
        <v>5.9778363165123798</v>
      </c>
      <c r="T143" s="102">
        <f t="shared" si="35"/>
        <v>2</v>
      </c>
      <c r="U143" s="123">
        <v>4.4662427499980298E-2</v>
      </c>
      <c r="V143" s="102">
        <f t="shared" si="36"/>
        <v>2</v>
      </c>
      <c r="W143" s="124">
        <v>1.4200000000000001E-4</v>
      </c>
      <c r="X143" s="102">
        <f t="shared" si="41"/>
        <v>3</v>
      </c>
      <c r="Y143" s="125">
        <f t="shared" si="37"/>
        <v>13</v>
      </c>
      <c r="Z143" s="126" t="s">
        <v>580</v>
      </c>
      <c r="AA143" s="126">
        <v>1</v>
      </c>
      <c r="AB143" s="126">
        <v>4</v>
      </c>
      <c r="AC143" s="126">
        <v>79.365079365079424</v>
      </c>
      <c r="AD143" s="126">
        <v>4</v>
      </c>
      <c r="AE143" s="127">
        <f t="shared" si="38"/>
        <v>9</v>
      </c>
      <c r="AF143" s="128">
        <f t="shared" si="39"/>
        <v>24</v>
      </c>
      <c r="AG143" s="108">
        <v>2032</v>
      </c>
      <c r="AH143" s="108" t="str">
        <f t="shared" si="40"/>
        <v>early adopter</v>
      </c>
    </row>
    <row r="144" spans="1:34">
      <c r="A144" s="102" t="s">
        <v>361</v>
      </c>
      <c r="B144" s="120" t="s">
        <v>360</v>
      </c>
      <c r="C144" s="120" t="s">
        <v>79</v>
      </c>
      <c r="D144" s="102" t="s">
        <v>87</v>
      </c>
      <c r="E144" s="109">
        <v>1</v>
      </c>
      <c r="F144" s="102">
        <v>1990</v>
      </c>
      <c r="G144" s="102">
        <v>1984</v>
      </c>
      <c r="H144" s="102">
        <v>2015</v>
      </c>
      <c r="I144" s="102" t="s">
        <v>566</v>
      </c>
      <c r="J144" s="102">
        <v>2008</v>
      </c>
      <c r="K144" s="102">
        <f t="shared" si="32"/>
        <v>4</v>
      </c>
      <c r="L144" s="102">
        <f t="shared" si="32"/>
        <v>4</v>
      </c>
      <c r="M144" s="102">
        <f t="shared" si="32"/>
        <v>1</v>
      </c>
      <c r="N144" s="102">
        <f t="shared" si="32"/>
        <v>1</v>
      </c>
      <c r="O144" s="102">
        <f t="shared" si="32"/>
        <v>4</v>
      </c>
      <c r="P144" s="121">
        <f t="shared" si="33"/>
        <v>2.8</v>
      </c>
      <c r="Q144" s="102">
        <v>10</v>
      </c>
      <c r="R144" s="102">
        <f t="shared" si="34"/>
        <v>2</v>
      </c>
      <c r="S144" s="122">
        <v>0.18803663414966601</v>
      </c>
      <c r="T144" s="102">
        <f t="shared" si="35"/>
        <v>1</v>
      </c>
      <c r="U144" s="123">
        <v>1.0188608395734201E-2</v>
      </c>
      <c r="V144" s="102">
        <f t="shared" si="36"/>
        <v>2</v>
      </c>
      <c r="W144" s="124">
        <v>1.3217999999999999E-5</v>
      </c>
      <c r="X144" s="102">
        <f t="shared" si="41"/>
        <v>3</v>
      </c>
      <c r="Y144" s="125">
        <f t="shared" si="37"/>
        <v>10.8</v>
      </c>
      <c r="Z144" s="126" t="s">
        <v>580</v>
      </c>
      <c r="AA144" s="126">
        <v>1</v>
      </c>
      <c r="AB144" s="126">
        <v>4</v>
      </c>
      <c r="AC144" s="126">
        <v>100</v>
      </c>
      <c r="AD144" s="126">
        <v>4</v>
      </c>
      <c r="AE144" s="127">
        <f t="shared" si="38"/>
        <v>9</v>
      </c>
      <c r="AF144" s="128">
        <f t="shared" si="39"/>
        <v>22.6</v>
      </c>
      <c r="AG144" s="108">
        <v>2034</v>
      </c>
      <c r="AH144" s="108" t="str">
        <f t="shared" si="40"/>
        <v>mid adopter</v>
      </c>
    </row>
    <row r="145" spans="1:34">
      <c r="A145" s="102" t="s">
        <v>363</v>
      </c>
      <c r="B145" s="120" t="s">
        <v>362</v>
      </c>
      <c r="C145" s="120" t="s">
        <v>74</v>
      </c>
      <c r="D145" s="102" t="s">
        <v>87</v>
      </c>
      <c r="E145" s="109">
        <v>1</v>
      </c>
      <c r="F145" s="102">
        <v>1996</v>
      </c>
      <c r="G145" s="102">
        <v>1992</v>
      </c>
      <c r="H145" s="102">
        <v>2005</v>
      </c>
      <c r="I145" s="102">
        <v>2009</v>
      </c>
      <c r="J145" s="102">
        <v>2020</v>
      </c>
      <c r="K145" s="102">
        <f t="shared" si="32"/>
        <v>3</v>
      </c>
      <c r="L145" s="102">
        <f t="shared" si="32"/>
        <v>3</v>
      </c>
      <c r="M145" s="102">
        <f t="shared" si="32"/>
        <v>4</v>
      </c>
      <c r="N145" s="102">
        <f t="shared" si="32"/>
        <v>4</v>
      </c>
      <c r="O145" s="102">
        <f t="shared" si="32"/>
        <v>1</v>
      </c>
      <c r="P145" s="121">
        <f t="shared" si="33"/>
        <v>3</v>
      </c>
      <c r="Q145" s="102">
        <v>17</v>
      </c>
      <c r="R145" s="102">
        <f t="shared" si="34"/>
        <v>2</v>
      </c>
      <c r="S145" s="122">
        <v>34.326481794494804</v>
      </c>
      <c r="T145" s="102">
        <f t="shared" si="35"/>
        <v>2</v>
      </c>
      <c r="U145" s="123">
        <v>0.48716212337846398</v>
      </c>
      <c r="V145" s="102">
        <f t="shared" si="36"/>
        <v>3</v>
      </c>
      <c r="W145" s="124">
        <v>0</v>
      </c>
      <c r="X145" s="102">
        <f t="shared" si="41"/>
        <v>2</v>
      </c>
      <c r="Y145" s="125">
        <f t="shared" si="37"/>
        <v>12</v>
      </c>
      <c r="Z145" s="126" t="s">
        <v>580</v>
      </c>
      <c r="AA145" s="126">
        <v>1</v>
      </c>
      <c r="AB145" s="126">
        <v>4</v>
      </c>
      <c r="AC145" s="126">
        <v>100</v>
      </c>
      <c r="AD145" s="102">
        <f>IF(AND(AC145&gt;=AC$200,AC145&lt;AC$201),1,IF(AND(AC145&gt;=AC$201,AC145&lt;AC$202),2,IF(AND(AC145&gt;=AC$202,AC145&lt;AC$203),3,IF(AND(AC145&gt;=AC$203,AC145&lt;=AC$204),4,"empty"))))</f>
        <v>4</v>
      </c>
      <c r="AE145" s="127">
        <f t="shared" si="38"/>
        <v>9</v>
      </c>
      <c r="AF145" s="128">
        <f t="shared" si="39"/>
        <v>24</v>
      </c>
      <c r="AG145" s="108">
        <v>2032</v>
      </c>
      <c r="AH145" s="108" t="str">
        <f t="shared" si="40"/>
        <v>early adopter</v>
      </c>
    </row>
    <row r="146" spans="1:34">
      <c r="A146" s="102" t="s">
        <v>365</v>
      </c>
      <c r="B146" s="120" t="s">
        <v>364</v>
      </c>
      <c r="C146" s="120" t="s">
        <v>79</v>
      </c>
      <c r="D146" s="102" t="s">
        <v>87</v>
      </c>
      <c r="E146" s="109">
        <v>2</v>
      </c>
      <c r="F146" s="102">
        <v>1979</v>
      </c>
      <c r="G146" s="102">
        <v>2002</v>
      </c>
      <c r="H146" s="102">
        <v>2017</v>
      </c>
      <c r="I146" s="102" t="s">
        <v>566</v>
      </c>
      <c r="J146" s="102" t="s">
        <v>566</v>
      </c>
      <c r="K146" s="102">
        <f t="shared" si="32"/>
        <v>4</v>
      </c>
      <c r="L146" s="102">
        <f t="shared" si="32"/>
        <v>2</v>
      </c>
      <c r="M146" s="102">
        <f t="shared" si="32"/>
        <v>1</v>
      </c>
      <c r="N146" s="102">
        <f t="shared" si="32"/>
        <v>1</v>
      </c>
      <c r="O146" s="102">
        <f t="shared" si="32"/>
        <v>1</v>
      </c>
      <c r="P146" s="121">
        <f t="shared" si="33"/>
        <v>1.8</v>
      </c>
      <c r="Q146" s="102">
        <v>1734</v>
      </c>
      <c r="R146" s="102">
        <f t="shared" si="34"/>
        <v>4</v>
      </c>
      <c r="S146" s="122">
        <v>9.3762277416614008</v>
      </c>
      <c r="T146" s="102">
        <f t="shared" si="35"/>
        <v>2</v>
      </c>
      <c r="U146" s="123">
        <v>0.146092299023411</v>
      </c>
      <c r="V146" s="102">
        <f t="shared" si="36"/>
        <v>2</v>
      </c>
      <c r="W146" s="124">
        <v>0</v>
      </c>
      <c r="X146" s="102">
        <f t="shared" si="41"/>
        <v>2</v>
      </c>
      <c r="Y146" s="125">
        <f t="shared" si="37"/>
        <v>11.8</v>
      </c>
      <c r="Z146" s="126" t="s">
        <v>580</v>
      </c>
      <c r="AA146" s="126">
        <v>1</v>
      </c>
      <c r="AB146" s="126">
        <v>4</v>
      </c>
      <c r="AC146" s="126">
        <v>100</v>
      </c>
      <c r="AD146" s="126">
        <v>4</v>
      </c>
      <c r="AE146" s="127">
        <f t="shared" si="38"/>
        <v>9</v>
      </c>
      <c r="AF146" s="128">
        <f t="shared" si="39"/>
        <v>22.6</v>
      </c>
      <c r="AG146" s="108">
        <v>2034</v>
      </c>
      <c r="AH146" s="108" t="str">
        <f t="shared" si="40"/>
        <v>mid adopter</v>
      </c>
    </row>
    <row r="147" spans="1:34">
      <c r="A147" s="102" t="s">
        <v>367</v>
      </c>
      <c r="B147" s="120" t="s">
        <v>366</v>
      </c>
      <c r="C147" s="120" t="s">
        <v>79</v>
      </c>
      <c r="D147" s="102" t="s">
        <v>80</v>
      </c>
      <c r="E147" s="109">
        <v>2</v>
      </c>
      <c r="F147" s="102">
        <v>1987</v>
      </c>
      <c r="G147" s="102">
        <v>2000</v>
      </c>
      <c r="H147" s="102">
        <v>2014</v>
      </c>
      <c r="I147" s="102" t="s">
        <v>566</v>
      </c>
      <c r="J147" s="102" t="s">
        <v>566</v>
      </c>
      <c r="K147" s="102">
        <f t="shared" si="32"/>
        <v>4</v>
      </c>
      <c r="L147" s="102">
        <f t="shared" si="32"/>
        <v>2</v>
      </c>
      <c r="M147" s="102">
        <f t="shared" si="32"/>
        <v>2</v>
      </c>
      <c r="N147" s="102">
        <f t="shared" si="32"/>
        <v>1</v>
      </c>
      <c r="O147" s="102">
        <f t="shared" si="32"/>
        <v>1</v>
      </c>
      <c r="P147" s="121">
        <f t="shared" si="33"/>
        <v>2</v>
      </c>
      <c r="Q147" s="102">
        <v>4171</v>
      </c>
      <c r="R147" s="102">
        <f t="shared" si="34"/>
        <v>4</v>
      </c>
      <c r="S147" s="122">
        <v>3.9564570183562799</v>
      </c>
      <c r="T147" s="102">
        <f t="shared" si="35"/>
        <v>2</v>
      </c>
      <c r="U147" s="123">
        <v>0.44752302369920099</v>
      </c>
      <c r="V147" s="102">
        <f t="shared" si="36"/>
        <v>3</v>
      </c>
      <c r="W147" s="124">
        <v>0</v>
      </c>
      <c r="X147" s="102">
        <f t="shared" si="41"/>
        <v>2</v>
      </c>
      <c r="Y147" s="125">
        <f t="shared" si="37"/>
        <v>13</v>
      </c>
      <c r="Z147" s="126" t="s">
        <v>580</v>
      </c>
      <c r="AA147" s="126">
        <v>1</v>
      </c>
      <c r="AB147" s="126">
        <v>3</v>
      </c>
      <c r="AC147" s="126" t="s">
        <v>582</v>
      </c>
      <c r="AD147" s="102">
        <v>3</v>
      </c>
      <c r="AE147" s="127">
        <f t="shared" si="38"/>
        <v>7</v>
      </c>
      <c r="AF147" s="128">
        <f t="shared" si="39"/>
        <v>22</v>
      </c>
      <c r="AG147" s="108">
        <v>2036</v>
      </c>
      <c r="AH147" s="108" t="str">
        <f t="shared" si="40"/>
        <v>mid adopter</v>
      </c>
    </row>
    <row r="148" spans="1:34">
      <c r="A148" s="102" t="s">
        <v>369</v>
      </c>
      <c r="B148" s="120" t="s">
        <v>368</v>
      </c>
      <c r="C148" s="120" t="s">
        <v>83</v>
      </c>
      <c r="D148" s="102" t="s">
        <v>75</v>
      </c>
      <c r="E148" s="109">
        <v>3</v>
      </c>
      <c r="F148" s="102">
        <v>2014</v>
      </c>
      <c r="G148" s="102">
        <v>2014</v>
      </c>
      <c r="H148" s="102">
        <v>2009</v>
      </c>
      <c r="I148" s="102">
        <v>2012</v>
      </c>
      <c r="J148" s="102">
        <v>2011</v>
      </c>
      <c r="K148" s="102">
        <f t="shared" si="32"/>
        <v>1</v>
      </c>
      <c r="L148" s="102">
        <f t="shared" si="32"/>
        <v>1</v>
      </c>
      <c r="M148" s="102">
        <f t="shared" si="32"/>
        <v>3</v>
      </c>
      <c r="N148" s="102">
        <f t="shared" si="32"/>
        <v>3</v>
      </c>
      <c r="O148" s="102">
        <f t="shared" si="32"/>
        <v>3</v>
      </c>
      <c r="P148" s="121">
        <f t="shared" si="33"/>
        <v>2.2000000000000002</v>
      </c>
      <c r="Q148" s="102">
        <v>67</v>
      </c>
      <c r="R148" s="102">
        <f t="shared" si="34"/>
        <v>3</v>
      </c>
      <c r="S148" s="122">
        <v>207.991390431805</v>
      </c>
      <c r="T148" s="102">
        <f t="shared" si="35"/>
        <v>3</v>
      </c>
      <c r="U148" s="123">
        <v>211.03140618122799</v>
      </c>
      <c r="V148" s="102">
        <f t="shared" si="36"/>
        <v>4</v>
      </c>
      <c r="W148" s="124">
        <v>407.6</v>
      </c>
      <c r="X148" s="102">
        <f t="shared" si="41"/>
        <v>4</v>
      </c>
      <c r="Y148" s="125">
        <f t="shared" si="37"/>
        <v>16.2</v>
      </c>
      <c r="Z148" s="126" t="s">
        <v>583</v>
      </c>
      <c r="AA148" s="126">
        <v>3</v>
      </c>
      <c r="AB148" s="126">
        <v>1</v>
      </c>
      <c r="AC148" s="126">
        <v>10.55978238633851</v>
      </c>
      <c r="AD148" s="102">
        <f>IF(AND(AC148&gt;=AC$200,AC148&lt;AC$201),1,IF(AND(AC148&gt;=AC$201,AC148&lt;AC$202),2,IF(AND(AC148&gt;=AC$202,AC148&lt;AC$203),3,IF(AND(AC148&gt;=AC$203,AC148&lt;=AC$204),4,"empty"))))</f>
        <v>1</v>
      </c>
      <c r="AE148" s="127">
        <f t="shared" si="38"/>
        <v>5</v>
      </c>
      <c r="AF148" s="128">
        <f t="shared" si="39"/>
        <v>23.4</v>
      </c>
      <c r="AG148" s="108">
        <v>2033</v>
      </c>
      <c r="AH148" s="108" t="str">
        <f t="shared" si="40"/>
        <v>early adopter</v>
      </c>
    </row>
    <row r="149" spans="1:34">
      <c r="A149" s="102" t="s">
        <v>371</v>
      </c>
      <c r="B149" s="120" t="s">
        <v>370</v>
      </c>
      <c r="C149" s="120" t="s">
        <v>92</v>
      </c>
      <c r="D149" s="102" t="s">
        <v>87</v>
      </c>
      <c r="E149" s="109">
        <v>1</v>
      </c>
      <c r="F149" s="102">
        <v>1997</v>
      </c>
      <c r="G149" s="102">
        <v>1987</v>
      </c>
      <c r="H149" s="102" t="s">
        <v>566</v>
      </c>
      <c r="I149" s="102" t="s">
        <v>566</v>
      </c>
      <c r="J149" s="102">
        <v>2019</v>
      </c>
      <c r="K149" s="102">
        <f t="shared" si="32"/>
        <v>3</v>
      </c>
      <c r="L149" s="102">
        <f t="shared" si="32"/>
        <v>3</v>
      </c>
      <c r="M149" s="102">
        <f t="shared" si="32"/>
        <v>1</v>
      </c>
      <c r="N149" s="102">
        <f t="shared" si="32"/>
        <v>1</v>
      </c>
      <c r="O149" s="102">
        <f t="shared" si="32"/>
        <v>2</v>
      </c>
      <c r="P149" s="121">
        <f t="shared" si="33"/>
        <v>2</v>
      </c>
      <c r="Q149" s="102">
        <v>0</v>
      </c>
      <c r="R149" s="102">
        <f t="shared" si="34"/>
        <v>1</v>
      </c>
      <c r="S149" s="122">
        <v>3.3935043016016603E-2</v>
      </c>
      <c r="T149" s="102">
        <f t="shared" si="35"/>
        <v>1</v>
      </c>
      <c r="U149" s="123">
        <v>0</v>
      </c>
      <c r="V149" s="102">
        <f t="shared" si="36"/>
        <v>1</v>
      </c>
      <c r="W149" s="124" t="s">
        <v>573</v>
      </c>
      <c r="X149" s="102">
        <v>1</v>
      </c>
      <c r="Y149" s="125">
        <f t="shared" si="37"/>
        <v>6</v>
      </c>
      <c r="Z149" s="126" t="s">
        <v>580</v>
      </c>
      <c r="AA149" s="126">
        <v>1</v>
      </c>
      <c r="AB149" s="126">
        <v>4</v>
      </c>
      <c r="AC149" s="126">
        <v>100</v>
      </c>
      <c r="AD149" s="102">
        <f>IF(AND(AC149&gt;=AC$200,AC149&lt;AC$201),1,IF(AND(AC149&gt;=AC$201,AC149&lt;AC$202),2,IF(AND(AC149&gt;=AC$202,AC149&lt;AC$203),3,IF(AND(AC149&gt;=AC$203,AC149&lt;=AC$204),4,"empty"))))</f>
        <v>4</v>
      </c>
      <c r="AE149" s="127">
        <f t="shared" si="38"/>
        <v>9</v>
      </c>
      <c r="AF149" s="128">
        <f t="shared" si="39"/>
        <v>17</v>
      </c>
      <c r="AG149" s="108">
        <v>2041</v>
      </c>
      <c r="AH149" s="108" t="str">
        <f t="shared" si="40"/>
        <v>late adopter</v>
      </c>
    </row>
    <row r="150" spans="1:34">
      <c r="A150" s="102" t="s">
        <v>373</v>
      </c>
      <c r="B150" s="120" t="s">
        <v>372</v>
      </c>
      <c r="C150" s="120" t="s">
        <v>92</v>
      </c>
      <c r="D150" s="102" t="s">
        <v>80</v>
      </c>
      <c r="E150" s="109">
        <v>1</v>
      </c>
      <c r="F150" s="102">
        <v>1991</v>
      </c>
      <c r="G150" s="102">
        <v>1986</v>
      </c>
      <c r="H150" s="102" t="s">
        <v>566</v>
      </c>
      <c r="I150" s="102" t="s">
        <v>566</v>
      </c>
      <c r="J150" s="102">
        <v>2019</v>
      </c>
      <c r="K150" s="102">
        <f t="shared" si="32"/>
        <v>4</v>
      </c>
      <c r="L150" s="102">
        <f t="shared" si="32"/>
        <v>4</v>
      </c>
      <c r="M150" s="102">
        <f t="shared" si="32"/>
        <v>1</v>
      </c>
      <c r="N150" s="102">
        <f t="shared" si="32"/>
        <v>1</v>
      </c>
      <c r="O150" s="102">
        <f t="shared" si="32"/>
        <v>2</v>
      </c>
      <c r="P150" s="121">
        <f t="shared" si="33"/>
        <v>2.4</v>
      </c>
      <c r="Q150" s="102">
        <v>1</v>
      </c>
      <c r="R150" s="102">
        <f t="shared" si="34"/>
        <v>2</v>
      </c>
      <c r="S150" s="122">
        <v>1.2147420795361401</v>
      </c>
      <c r="T150" s="102">
        <f t="shared" si="35"/>
        <v>2</v>
      </c>
      <c r="U150" s="123">
        <v>3.6345216960041699E-4</v>
      </c>
      <c r="V150" s="102">
        <f t="shared" si="36"/>
        <v>1</v>
      </c>
      <c r="W150" s="124">
        <v>0</v>
      </c>
      <c r="X150" s="102">
        <f>IF(AND(W150&gt;=W$200,W150&lt;W$201),1,IF(AND(W150&gt;=W$201,W150&lt;W$202),2,IF(AND(W150&gt;=W$202,W150&lt;W$203),3,IF(AND(W150&gt;=W$203,W150&lt;=W$204),4,"empty"))))</f>
        <v>2</v>
      </c>
      <c r="Y150" s="125">
        <f t="shared" si="37"/>
        <v>9.4</v>
      </c>
      <c r="Z150" s="126" t="s">
        <v>580</v>
      </c>
      <c r="AA150" s="126">
        <v>1</v>
      </c>
      <c r="AB150" s="126">
        <v>3</v>
      </c>
      <c r="AC150" s="126">
        <v>100</v>
      </c>
      <c r="AD150" s="102">
        <f>IF(AND(AC150&gt;=AC$200,AC150&lt;AC$201),1,IF(AND(AC150&gt;=AC$201,AC150&lt;AC$202),2,IF(AND(AC150&gt;=AC$202,AC150&lt;AC$203),3,IF(AND(AC150&gt;=AC$203,AC150&lt;=AC$204),4,"empty"))))</f>
        <v>4</v>
      </c>
      <c r="AE150" s="127">
        <f t="shared" si="38"/>
        <v>8</v>
      </c>
      <c r="AF150" s="128">
        <f t="shared" si="39"/>
        <v>19.8</v>
      </c>
      <c r="AG150" s="108">
        <v>2038</v>
      </c>
      <c r="AH150" s="108" t="str">
        <f t="shared" si="40"/>
        <v>late adopter</v>
      </c>
    </row>
    <row r="151" spans="1:34">
      <c r="A151" s="102" t="s">
        <v>375</v>
      </c>
      <c r="B151" s="120" t="s">
        <v>374</v>
      </c>
      <c r="C151" s="120" t="s">
        <v>92</v>
      </c>
      <c r="D151" s="102" t="s">
        <v>80</v>
      </c>
      <c r="E151" s="109">
        <v>1</v>
      </c>
      <c r="F151" s="102">
        <v>1997</v>
      </c>
      <c r="G151" s="102">
        <v>1991</v>
      </c>
      <c r="H151" s="102" t="s">
        <v>566</v>
      </c>
      <c r="I151" s="102" t="s">
        <v>566</v>
      </c>
      <c r="J151" s="102">
        <v>2017</v>
      </c>
      <c r="K151" s="102">
        <f t="shared" si="32"/>
        <v>3</v>
      </c>
      <c r="L151" s="102">
        <f t="shared" si="32"/>
        <v>3</v>
      </c>
      <c r="M151" s="102">
        <f t="shared" si="32"/>
        <v>1</v>
      </c>
      <c r="N151" s="102">
        <f t="shared" si="32"/>
        <v>1</v>
      </c>
      <c r="O151" s="102">
        <f t="shared" si="32"/>
        <v>2</v>
      </c>
      <c r="P151" s="121">
        <f t="shared" si="33"/>
        <v>2</v>
      </c>
      <c r="Q151" s="102">
        <v>9.0000000000000002E-6</v>
      </c>
      <c r="R151" s="102">
        <f t="shared" si="34"/>
        <v>1</v>
      </c>
      <c r="S151" s="122">
        <v>3.7228984450859502E-2</v>
      </c>
      <c r="T151" s="102">
        <f t="shared" si="35"/>
        <v>1</v>
      </c>
      <c r="U151" s="123">
        <v>0</v>
      </c>
      <c r="V151" s="102">
        <f t="shared" si="36"/>
        <v>1</v>
      </c>
      <c r="W151" s="124">
        <v>0</v>
      </c>
      <c r="X151" s="102">
        <f>IF(AND(W151&gt;=W$200,W151&lt;W$201),1,IF(AND(W151&gt;=W$201,W151&lt;W$202),2,IF(AND(W151&gt;=W$202,W151&lt;W$203),3,IF(AND(W151&gt;=W$203,W151&lt;=W$204),4,"empty"))))</f>
        <v>2</v>
      </c>
      <c r="Y151" s="125">
        <f t="shared" si="37"/>
        <v>7</v>
      </c>
      <c r="Z151" s="126" t="s">
        <v>580</v>
      </c>
      <c r="AA151" s="126">
        <v>1</v>
      </c>
      <c r="AB151" s="126">
        <v>3</v>
      </c>
      <c r="AC151" s="126">
        <v>100</v>
      </c>
      <c r="AD151" s="102">
        <f>IF(AND(AC151&gt;=AC$200,AC151&lt;AC$201),1,IF(AND(AC151&gt;=AC$201,AC151&lt;AC$202),2,IF(AND(AC151&gt;=AC$202,AC151&lt;AC$203),3,IF(AND(AC151&gt;=AC$203,AC151&lt;=AC$204),4,"empty"))))</f>
        <v>4</v>
      </c>
      <c r="AE151" s="127">
        <f t="shared" si="38"/>
        <v>8</v>
      </c>
      <c r="AF151" s="128">
        <f t="shared" si="39"/>
        <v>17</v>
      </c>
      <c r="AG151" s="108">
        <v>2041</v>
      </c>
      <c r="AH151" s="108" t="str">
        <f t="shared" si="40"/>
        <v>late adopter</v>
      </c>
    </row>
    <row r="152" spans="1:34">
      <c r="A152" s="102" t="s">
        <v>377</v>
      </c>
      <c r="B152" s="120" t="s">
        <v>376</v>
      </c>
      <c r="C152" s="120" t="s">
        <v>99</v>
      </c>
      <c r="D152" s="102" t="s">
        <v>80</v>
      </c>
      <c r="E152" s="109">
        <v>2</v>
      </c>
      <c r="F152" s="102">
        <v>2005</v>
      </c>
      <c r="G152" s="102">
        <v>2004</v>
      </c>
      <c r="H152" s="102">
        <v>2020</v>
      </c>
      <c r="I152" s="102">
        <v>2021</v>
      </c>
      <c r="J152" s="102">
        <v>2021</v>
      </c>
      <c r="K152" s="102">
        <f t="shared" si="32"/>
        <v>2</v>
      </c>
      <c r="L152" s="102">
        <f t="shared" si="32"/>
        <v>2</v>
      </c>
      <c r="M152" s="102">
        <f t="shared" si="32"/>
        <v>1</v>
      </c>
      <c r="N152" s="102">
        <f t="shared" si="32"/>
        <v>1</v>
      </c>
      <c r="O152" s="102">
        <f t="shared" si="32"/>
        <v>1</v>
      </c>
      <c r="P152" s="121">
        <f t="shared" si="33"/>
        <v>1.4</v>
      </c>
      <c r="Q152" s="102">
        <v>47</v>
      </c>
      <c r="R152" s="102">
        <f t="shared" si="34"/>
        <v>2</v>
      </c>
      <c r="S152" s="122">
        <v>2712.6752739959302</v>
      </c>
      <c r="T152" s="102">
        <f t="shared" si="35"/>
        <v>4</v>
      </c>
      <c r="U152" s="123">
        <v>7.7428623860960704</v>
      </c>
      <c r="V152" s="102">
        <f t="shared" si="36"/>
        <v>3</v>
      </c>
      <c r="W152" s="124">
        <v>0</v>
      </c>
      <c r="X152" s="102">
        <f>IF(AND(W152&gt;=W$200,W152&lt;W$201),1,IF(AND(W152&gt;=W$201,W152&lt;W$202),2,IF(AND(W152&gt;=W$202,W152&lt;W$203),3,IF(AND(W152&gt;=W$203,W152&lt;=W$204),4,"empty"))))</f>
        <v>2</v>
      </c>
      <c r="Y152" s="125">
        <f t="shared" si="37"/>
        <v>12.4</v>
      </c>
      <c r="Z152" s="126" t="s">
        <v>580</v>
      </c>
      <c r="AA152" s="126">
        <v>1</v>
      </c>
      <c r="AB152" s="126">
        <v>3</v>
      </c>
      <c r="AC152" s="126" t="s">
        <v>582</v>
      </c>
      <c r="AD152" s="102">
        <v>3</v>
      </c>
      <c r="AE152" s="127">
        <f t="shared" si="38"/>
        <v>7</v>
      </c>
      <c r="AF152" s="128">
        <f t="shared" si="39"/>
        <v>20.8</v>
      </c>
      <c r="AG152" s="108">
        <v>2037</v>
      </c>
      <c r="AH152" s="108" t="str">
        <f t="shared" si="40"/>
        <v>mid adopter</v>
      </c>
    </row>
    <row r="153" spans="1:34">
      <c r="A153" s="102" t="s">
        <v>379</v>
      </c>
      <c r="B153" s="120" t="s">
        <v>378</v>
      </c>
      <c r="C153" s="120" t="s">
        <v>79</v>
      </c>
      <c r="D153" s="102" t="s">
        <v>87</v>
      </c>
      <c r="E153" s="109">
        <v>1</v>
      </c>
      <c r="F153" s="102">
        <v>2001</v>
      </c>
      <c r="G153" s="102">
        <v>1995</v>
      </c>
      <c r="H153" s="102">
        <v>2016</v>
      </c>
      <c r="I153" s="102" t="s">
        <v>566</v>
      </c>
      <c r="J153" s="102">
        <v>2008</v>
      </c>
      <c r="K153" s="102">
        <f t="shared" si="32"/>
        <v>2</v>
      </c>
      <c r="L153" s="102">
        <f t="shared" si="32"/>
        <v>3</v>
      </c>
      <c r="M153" s="102">
        <f t="shared" si="32"/>
        <v>1</v>
      </c>
      <c r="N153" s="102">
        <f t="shared" si="32"/>
        <v>1</v>
      </c>
      <c r="O153" s="102">
        <f t="shared" si="32"/>
        <v>4</v>
      </c>
      <c r="P153" s="121">
        <f t="shared" si="33"/>
        <v>2.2000000000000002</v>
      </c>
      <c r="Q153" s="102">
        <v>11</v>
      </c>
      <c r="R153" s="102">
        <f t="shared" si="34"/>
        <v>2</v>
      </c>
      <c r="S153" s="122">
        <v>9.5364911378017003E-2</v>
      </c>
      <c r="T153" s="102">
        <f t="shared" si="35"/>
        <v>1</v>
      </c>
      <c r="U153" s="123">
        <v>0</v>
      </c>
      <c r="V153" s="102">
        <f t="shared" si="36"/>
        <v>1</v>
      </c>
      <c r="W153" s="124" t="s">
        <v>573</v>
      </c>
      <c r="X153" s="102">
        <v>1</v>
      </c>
      <c r="Y153" s="125">
        <f t="shared" si="37"/>
        <v>7.2</v>
      </c>
      <c r="Z153" s="126" t="s">
        <v>580</v>
      </c>
      <c r="AA153" s="126">
        <v>1</v>
      </c>
      <c r="AB153" s="126">
        <v>4</v>
      </c>
      <c r="AC153" s="126" t="s">
        <v>582</v>
      </c>
      <c r="AD153" s="126">
        <v>4</v>
      </c>
      <c r="AE153" s="127">
        <f t="shared" si="38"/>
        <v>9</v>
      </c>
      <c r="AF153" s="128">
        <f t="shared" si="39"/>
        <v>18.399999999999999</v>
      </c>
      <c r="AG153" s="108">
        <v>2039</v>
      </c>
      <c r="AH153" s="108" t="str">
        <f t="shared" si="40"/>
        <v>late adopter</v>
      </c>
    </row>
    <row r="154" spans="1:34">
      <c r="A154" s="102" t="s">
        <v>381</v>
      </c>
      <c r="B154" s="120" t="s">
        <v>380</v>
      </c>
      <c r="C154" s="120" t="s">
        <v>83</v>
      </c>
      <c r="D154" s="102" t="s">
        <v>84</v>
      </c>
      <c r="E154" s="109">
        <v>3</v>
      </c>
      <c r="F154" s="102">
        <v>2013</v>
      </c>
      <c r="G154" s="102">
        <v>2016</v>
      </c>
      <c r="H154" s="102">
        <v>2012</v>
      </c>
      <c r="I154" s="102">
        <v>2016</v>
      </c>
      <c r="J154" s="102">
        <v>2021</v>
      </c>
      <c r="K154" s="102">
        <f t="shared" si="32"/>
        <v>1</v>
      </c>
      <c r="L154" s="102">
        <f t="shared" si="32"/>
        <v>1</v>
      </c>
      <c r="M154" s="102">
        <f t="shared" si="32"/>
        <v>2</v>
      </c>
      <c r="N154" s="102">
        <f t="shared" si="32"/>
        <v>2</v>
      </c>
      <c r="O154" s="102">
        <f t="shared" si="32"/>
        <v>1</v>
      </c>
      <c r="P154" s="121">
        <f t="shared" si="33"/>
        <v>1.4</v>
      </c>
      <c r="Q154" s="102">
        <v>3</v>
      </c>
      <c r="R154" s="102">
        <f t="shared" si="34"/>
        <v>2</v>
      </c>
      <c r="S154" s="122">
        <v>76.202108358386099</v>
      </c>
      <c r="T154" s="102">
        <f t="shared" si="35"/>
        <v>3</v>
      </c>
      <c r="U154" s="123">
        <v>0.89475992755295897</v>
      </c>
      <c r="V154" s="102">
        <f t="shared" si="36"/>
        <v>3</v>
      </c>
      <c r="W154" s="124">
        <v>5.7035</v>
      </c>
      <c r="X154" s="102">
        <f>IF(AND(W154&gt;=W$200,W154&lt;W$201),1,IF(AND(W154&gt;=W$201,W154&lt;W$202),2,IF(AND(W154&gt;=W$202,W154&lt;W$203),3,IF(AND(W154&gt;=W$203,W154&lt;=W$204),4,"empty"))))</f>
        <v>3</v>
      </c>
      <c r="Y154" s="125">
        <f t="shared" si="37"/>
        <v>12.4</v>
      </c>
      <c r="Z154" s="109" t="s">
        <v>581</v>
      </c>
      <c r="AA154" s="126">
        <v>1</v>
      </c>
      <c r="AB154" s="126">
        <v>2</v>
      </c>
      <c r="AC154" s="126">
        <v>10.108336938908826</v>
      </c>
      <c r="AD154" s="102">
        <f>IF(AND(AC154&gt;=AC$200,AC154&lt;AC$201),1,IF(AND(AC154&gt;=AC$201,AC154&lt;AC$202),2,IF(AND(AC154&gt;=AC$202,AC154&lt;AC$203),3,IF(AND(AC154&gt;=AC$203,AC154&lt;=AC$204),4,"empty"))))</f>
        <v>1</v>
      </c>
      <c r="AE154" s="127">
        <f t="shared" si="38"/>
        <v>4</v>
      </c>
      <c r="AF154" s="128">
        <f t="shared" si="39"/>
        <v>17.8</v>
      </c>
      <c r="AG154" s="108">
        <v>2040</v>
      </c>
      <c r="AH154" s="108" t="str">
        <f t="shared" si="40"/>
        <v>late adopter</v>
      </c>
    </row>
    <row r="155" spans="1:34">
      <c r="A155" s="102" t="s">
        <v>383</v>
      </c>
      <c r="B155" s="120" t="s">
        <v>382</v>
      </c>
      <c r="C155" s="120" t="s">
        <v>74</v>
      </c>
      <c r="D155" s="102" t="s">
        <v>87</v>
      </c>
      <c r="E155" s="109">
        <v>1</v>
      </c>
      <c r="F155" s="102">
        <v>1991</v>
      </c>
      <c r="G155" s="102">
        <v>1982</v>
      </c>
      <c r="H155" s="102">
        <v>2009</v>
      </c>
      <c r="I155" s="102">
        <v>2013</v>
      </c>
      <c r="J155" s="102">
        <v>2022</v>
      </c>
      <c r="K155" s="102">
        <f t="shared" si="32"/>
        <v>4</v>
      </c>
      <c r="L155" s="102">
        <f t="shared" si="32"/>
        <v>4</v>
      </c>
      <c r="M155" s="102">
        <f t="shared" si="32"/>
        <v>3</v>
      </c>
      <c r="N155" s="102">
        <f t="shared" si="32"/>
        <v>3</v>
      </c>
      <c r="O155" s="102">
        <f t="shared" si="32"/>
        <v>1</v>
      </c>
      <c r="P155" s="121">
        <f t="shared" si="33"/>
        <v>3</v>
      </c>
      <c r="Q155" s="102">
        <v>1035</v>
      </c>
      <c r="R155" s="102">
        <f t="shared" si="34"/>
        <v>4</v>
      </c>
      <c r="S155" s="122">
        <v>66.384868699739101</v>
      </c>
      <c r="T155" s="102">
        <f t="shared" si="35"/>
        <v>3</v>
      </c>
      <c r="U155" s="123">
        <v>14.222947862983601</v>
      </c>
      <c r="V155" s="102">
        <f t="shared" si="36"/>
        <v>3</v>
      </c>
      <c r="W155" s="124">
        <v>5.6940999999999999E-13</v>
      </c>
      <c r="X155" s="102">
        <f>IF(AND(W155&gt;=W$200,W155&lt;W$201),1,IF(AND(W155&gt;=W$201,W155&lt;W$202),2,IF(AND(W155&gt;=W$202,W155&lt;W$203),3,IF(AND(W155&gt;=W$203,W155&lt;=W$204),4,"empty"))))</f>
        <v>2</v>
      </c>
      <c r="Y155" s="125">
        <f t="shared" si="37"/>
        <v>15</v>
      </c>
      <c r="Z155" s="126" t="s">
        <v>580</v>
      </c>
      <c r="AA155" s="126">
        <v>1</v>
      </c>
      <c r="AB155" s="126">
        <v>4</v>
      </c>
      <c r="AC155" s="126" t="s">
        <v>582</v>
      </c>
      <c r="AD155" s="126">
        <v>4</v>
      </c>
      <c r="AE155" s="127">
        <f t="shared" si="38"/>
        <v>9</v>
      </c>
      <c r="AF155" s="128">
        <f t="shared" si="39"/>
        <v>27</v>
      </c>
      <c r="AG155" s="108">
        <v>2030</v>
      </c>
      <c r="AH155" s="108" t="str">
        <f t="shared" si="40"/>
        <v>early adopter</v>
      </c>
    </row>
    <row r="156" spans="1:34">
      <c r="A156" s="102" t="s">
        <v>385</v>
      </c>
      <c r="B156" s="120" t="s">
        <v>384</v>
      </c>
      <c r="C156" s="120" t="s">
        <v>83</v>
      </c>
      <c r="D156" s="102" t="s">
        <v>84</v>
      </c>
      <c r="E156" s="109">
        <v>3</v>
      </c>
      <c r="F156" s="102">
        <v>2014</v>
      </c>
      <c r="G156" s="102">
        <v>2013</v>
      </c>
      <c r="H156" s="102">
        <v>2013</v>
      </c>
      <c r="I156" s="102">
        <v>2014</v>
      </c>
      <c r="J156" s="102">
        <v>2018</v>
      </c>
      <c r="K156" s="102">
        <f t="shared" si="32"/>
        <v>1</v>
      </c>
      <c r="L156" s="102">
        <f t="shared" si="32"/>
        <v>1</v>
      </c>
      <c r="M156" s="102">
        <f t="shared" si="32"/>
        <v>2</v>
      </c>
      <c r="N156" s="102">
        <f t="shared" si="32"/>
        <v>2</v>
      </c>
      <c r="O156" s="102">
        <f t="shared" si="32"/>
        <v>2</v>
      </c>
      <c r="P156" s="121">
        <f t="shared" si="33"/>
        <v>1.6</v>
      </c>
      <c r="Q156" s="102">
        <v>285</v>
      </c>
      <c r="R156" s="102">
        <f t="shared" si="34"/>
        <v>3</v>
      </c>
      <c r="S156" s="122">
        <v>731.47077867052496</v>
      </c>
      <c r="T156" s="102">
        <f t="shared" si="35"/>
        <v>4</v>
      </c>
      <c r="U156" s="123">
        <v>673.73482594814504</v>
      </c>
      <c r="V156" s="102">
        <f t="shared" si="36"/>
        <v>4</v>
      </c>
      <c r="W156" s="124">
        <v>94.075999999999993</v>
      </c>
      <c r="X156" s="102">
        <f>IF(AND(W156&gt;=W$200,W156&lt;W$201),1,IF(AND(W156&gt;=W$201,W156&lt;W$202),2,IF(AND(W156&gt;=W$202,W156&lt;W$203),3,IF(AND(W156&gt;=W$203,W156&lt;=W$204),4,"empty"))))</f>
        <v>3</v>
      </c>
      <c r="Y156" s="125">
        <f t="shared" si="37"/>
        <v>15.6</v>
      </c>
      <c r="Z156" s="126" t="s">
        <v>584</v>
      </c>
      <c r="AA156" s="109">
        <v>2</v>
      </c>
      <c r="AB156" s="126">
        <v>2</v>
      </c>
      <c r="AC156" s="126">
        <v>13.042485897812137</v>
      </c>
      <c r="AD156" s="102">
        <f>IF(AND(AC156&gt;=AC$200,AC156&lt;AC$201),1,IF(AND(AC156&gt;=AC$201,AC156&lt;AC$202),2,IF(AND(AC156&gt;=AC$202,AC156&lt;AC$203),3,IF(AND(AC156&gt;=AC$203,AC156&lt;=AC$204),4,"empty"))))</f>
        <v>1</v>
      </c>
      <c r="AE156" s="127">
        <f t="shared" si="38"/>
        <v>5</v>
      </c>
      <c r="AF156" s="128">
        <f t="shared" si="39"/>
        <v>22.2</v>
      </c>
      <c r="AG156" s="108">
        <v>2035</v>
      </c>
      <c r="AH156" s="108" t="str">
        <f t="shared" si="40"/>
        <v>mid adopter</v>
      </c>
    </row>
    <row r="157" spans="1:34">
      <c r="A157" s="102" t="s">
        <v>387</v>
      </c>
      <c r="B157" s="120" t="s">
        <v>386</v>
      </c>
      <c r="C157" s="120" t="s">
        <v>79</v>
      </c>
      <c r="D157" s="102" t="s">
        <v>80</v>
      </c>
      <c r="E157" s="109">
        <v>1</v>
      </c>
      <c r="F157" s="102">
        <v>1994</v>
      </c>
      <c r="G157" s="102">
        <v>1994</v>
      </c>
      <c r="H157" s="102">
        <v>2018</v>
      </c>
      <c r="I157" s="102" t="s">
        <v>566</v>
      </c>
      <c r="J157" s="102" t="s">
        <v>566</v>
      </c>
      <c r="K157" s="102">
        <f t="shared" si="32"/>
        <v>3</v>
      </c>
      <c r="L157" s="102">
        <f t="shared" si="32"/>
        <v>3</v>
      </c>
      <c r="M157" s="102">
        <f t="shared" si="32"/>
        <v>1</v>
      </c>
      <c r="N157" s="102">
        <f t="shared" si="32"/>
        <v>1</v>
      </c>
      <c r="O157" s="102">
        <f t="shared" si="32"/>
        <v>1</v>
      </c>
      <c r="P157" s="121">
        <f t="shared" si="33"/>
        <v>1.8</v>
      </c>
      <c r="Q157" s="102">
        <v>21</v>
      </c>
      <c r="R157" s="102">
        <f t="shared" si="34"/>
        <v>2</v>
      </c>
      <c r="S157" s="122">
        <v>0.34137686422187402</v>
      </c>
      <c r="T157" s="102">
        <f t="shared" si="35"/>
        <v>1</v>
      </c>
      <c r="U157" s="123">
        <v>1.6086549320541401E-2</v>
      </c>
      <c r="V157" s="102">
        <f t="shared" si="36"/>
        <v>2</v>
      </c>
      <c r="W157" s="124">
        <v>0</v>
      </c>
      <c r="X157" s="102">
        <f>IF(AND(W157&gt;=W$200,W157&lt;W$201),1,IF(AND(W157&gt;=W$201,W157&lt;W$202),2,IF(AND(W157&gt;=W$202,W157&lt;W$203),3,IF(AND(W157&gt;=W$203,W157&lt;=W$204),4,"empty"))))</f>
        <v>2</v>
      </c>
      <c r="Y157" s="125">
        <f t="shared" si="37"/>
        <v>8.8000000000000007</v>
      </c>
      <c r="Z157" s="126" t="s">
        <v>580</v>
      </c>
      <c r="AA157" s="126">
        <v>1</v>
      </c>
      <c r="AB157" s="126">
        <v>3</v>
      </c>
      <c r="AC157" s="126" t="s">
        <v>582</v>
      </c>
      <c r="AD157" s="102">
        <v>3</v>
      </c>
      <c r="AE157" s="127">
        <f t="shared" si="38"/>
        <v>7</v>
      </c>
      <c r="AF157" s="128">
        <f t="shared" si="39"/>
        <v>17.600000000000001</v>
      </c>
      <c r="AG157" s="108">
        <v>2040</v>
      </c>
      <c r="AH157" s="108" t="str">
        <f t="shared" si="40"/>
        <v>late adopter</v>
      </c>
    </row>
    <row r="158" spans="1:34">
      <c r="A158" s="102" t="s">
        <v>389</v>
      </c>
      <c r="B158" s="120" t="s">
        <v>388</v>
      </c>
      <c r="C158" s="120" t="s">
        <v>83</v>
      </c>
      <c r="D158" s="102" t="s">
        <v>87</v>
      </c>
      <c r="E158" s="109">
        <v>1</v>
      </c>
      <c r="F158" s="102">
        <v>1989</v>
      </c>
      <c r="G158" s="102">
        <v>1980</v>
      </c>
      <c r="H158" s="102">
        <v>2018</v>
      </c>
      <c r="I158" s="102">
        <v>2017</v>
      </c>
      <c r="J158" s="102">
        <v>2014</v>
      </c>
      <c r="K158" s="102">
        <f t="shared" si="32"/>
        <v>4</v>
      </c>
      <c r="L158" s="102">
        <f t="shared" si="32"/>
        <v>4</v>
      </c>
      <c r="M158" s="102">
        <f t="shared" si="32"/>
        <v>1</v>
      </c>
      <c r="N158" s="102">
        <f t="shared" si="32"/>
        <v>1</v>
      </c>
      <c r="O158" s="102">
        <f t="shared" si="32"/>
        <v>3</v>
      </c>
      <c r="P158" s="121">
        <f t="shared" si="33"/>
        <v>2.6</v>
      </c>
      <c r="Q158" s="102">
        <v>0</v>
      </c>
      <c r="R158" s="102">
        <f t="shared" si="34"/>
        <v>1</v>
      </c>
      <c r="S158" s="122">
        <v>270.67964579522697</v>
      </c>
      <c r="T158" s="102">
        <f t="shared" si="35"/>
        <v>4</v>
      </c>
      <c r="U158" s="123">
        <v>0.28077792975188198</v>
      </c>
      <c r="V158" s="102">
        <f t="shared" si="36"/>
        <v>2</v>
      </c>
      <c r="W158" s="124" t="s">
        <v>573</v>
      </c>
      <c r="X158" s="102">
        <v>1</v>
      </c>
      <c r="Y158" s="125">
        <f t="shared" si="37"/>
        <v>10.6</v>
      </c>
      <c r="Z158" s="126" t="s">
        <v>580</v>
      </c>
      <c r="AA158" s="126">
        <v>1</v>
      </c>
      <c r="AB158" s="126">
        <v>4</v>
      </c>
      <c r="AC158" s="126">
        <v>100</v>
      </c>
      <c r="AD158" s="102">
        <f>IF(AND(AC158&gt;=AC$200,AC158&lt;AC$201),1,IF(AND(AC158&gt;=AC$201,AC158&lt;AC$202),2,IF(AND(AC158&gt;=AC$202,AC158&lt;AC$203),3,IF(AND(AC158&gt;=AC$203,AC158&lt;=AC$204),4,"empty"))))</f>
        <v>4</v>
      </c>
      <c r="AE158" s="127">
        <f t="shared" si="38"/>
        <v>9</v>
      </c>
      <c r="AF158" s="128">
        <f t="shared" si="39"/>
        <v>22.2</v>
      </c>
      <c r="AG158" s="108">
        <v>2035</v>
      </c>
      <c r="AH158" s="108" t="str">
        <f t="shared" si="40"/>
        <v>mid adopter</v>
      </c>
    </row>
    <row r="159" spans="1:34">
      <c r="A159" s="102" t="s">
        <v>391</v>
      </c>
      <c r="B159" s="120" t="s">
        <v>390</v>
      </c>
      <c r="C159" s="120" t="s">
        <v>83</v>
      </c>
      <c r="D159" s="102" t="s">
        <v>75</v>
      </c>
      <c r="E159" s="109">
        <v>3</v>
      </c>
      <c r="F159" s="102">
        <v>2015</v>
      </c>
      <c r="G159" s="102">
        <v>2019</v>
      </c>
      <c r="H159" s="102">
        <v>2011</v>
      </c>
      <c r="I159" s="102">
        <v>2014</v>
      </c>
      <c r="J159" s="102">
        <v>2021</v>
      </c>
      <c r="K159" s="102">
        <f t="shared" si="32"/>
        <v>1</v>
      </c>
      <c r="L159" s="102">
        <f t="shared" si="32"/>
        <v>1</v>
      </c>
      <c r="M159" s="102">
        <f t="shared" si="32"/>
        <v>3</v>
      </c>
      <c r="N159" s="102">
        <f t="shared" si="32"/>
        <v>2</v>
      </c>
      <c r="O159" s="102">
        <f t="shared" si="32"/>
        <v>1</v>
      </c>
      <c r="P159" s="121">
        <f t="shared" si="33"/>
        <v>1.6</v>
      </c>
      <c r="Q159" s="102">
        <v>23</v>
      </c>
      <c r="R159" s="102">
        <f t="shared" si="34"/>
        <v>2</v>
      </c>
      <c r="S159" s="122">
        <v>110.972447780392</v>
      </c>
      <c r="T159" s="102">
        <f t="shared" si="35"/>
        <v>3</v>
      </c>
      <c r="U159" s="123">
        <v>54.811940328541098</v>
      </c>
      <c r="V159" s="102">
        <f t="shared" si="36"/>
        <v>3</v>
      </c>
      <c r="W159" s="124">
        <v>237.02</v>
      </c>
      <c r="X159" s="102">
        <f t="shared" ref="X159:X165" si="42">IF(AND(W159&gt;=W$200,W159&lt;W$201),1,IF(AND(W159&gt;=W$201,W159&lt;W$202),2,IF(AND(W159&gt;=W$202,W159&lt;W$203),3,IF(AND(W159&gt;=W$203,W159&lt;=W$204),4,"empty"))))</f>
        <v>4</v>
      </c>
      <c r="Y159" s="125">
        <f t="shared" si="37"/>
        <v>13.6</v>
      </c>
      <c r="Z159" s="126" t="s">
        <v>579</v>
      </c>
      <c r="AA159" s="126">
        <v>4</v>
      </c>
      <c r="AB159" s="126">
        <v>1</v>
      </c>
      <c r="AC159" s="126">
        <v>6.8532021628250295</v>
      </c>
      <c r="AD159" s="102">
        <f>IF(AND(AC159&gt;=AC$200,AC159&lt;AC$201),1,IF(AND(AC159&gt;=AC$201,AC159&lt;AC$202),2,IF(AND(AC159&gt;=AC$202,AC159&lt;AC$203),3,IF(AND(AC159&gt;=AC$203,AC159&lt;=AC$204),4,"empty"))))</f>
        <v>1</v>
      </c>
      <c r="AE159" s="127">
        <f t="shared" si="38"/>
        <v>6</v>
      </c>
      <c r="AF159" s="128">
        <f t="shared" si="39"/>
        <v>21.2</v>
      </c>
      <c r="AG159" s="108">
        <v>2037</v>
      </c>
      <c r="AH159" s="108" t="str">
        <f t="shared" si="40"/>
        <v>mid adopter</v>
      </c>
    </row>
    <row r="160" spans="1:34">
      <c r="A160" s="102" t="s">
        <v>393</v>
      </c>
      <c r="B160" s="120" t="s">
        <v>392</v>
      </c>
      <c r="C160" s="120" t="s">
        <v>99</v>
      </c>
      <c r="D160" s="102" t="s">
        <v>87</v>
      </c>
      <c r="E160" s="109">
        <v>1</v>
      </c>
      <c r="F160" s="102">
        <v>1998</v>
      </c>
      <c r="G160" s="102">
        <v>1982</v>
      </c>
      <c r="H160" s="102">
        <v>2009</v>
      </c>
      <c r="I160" s="102" t="s">
        <v>566</v>
      </c>
      <c r="J160" s="102">
        <v>2010</v>
      </c>
      <c r="K160" s="102">
        <f t="shared" si="32"/>
        <v>3</v>
      </c>
      <c r="L160" s="102">
        <f t="shared" si="32"/>
        <v>4</v>
      </c>
      <c r="M160" s="102">
        <f t="shared" si="32"/>
        <v>3</v>
      </c>
      <c r="N160" s="102">
        <f t="shared" si="32"/>
        <v>1</v>
      </c>
      <c r="O160" s="102">
        <f t="shared" si="32"/>
        <v>4</v>
      </c>
      <c r="P160" s="121">
        <f t="shared" si="33"/>
        <v>3</v>
      </c>
      <c r="Q160" s="102">
        <v>162</v>
      </c>
      <c r="R160" s="102">
        <f t="shared" si="34"/>
        <v>3</v>
      </c>
      <c r="S160" s="122">
        <v>2.89691350211818</v>
      </c>
      <c r="T160" s="102">
        <f t="shared" si="35"/>
        <v>2</v>
      </c>
      <c r="U160" s="123">
        <v>5.0990057358884597E-3</v>
      </c>
      <c r="V160" s="102">
        <f t="shared" si="36"/>
        <v>1</v>
      </c>
      <c r="W160" s="124">
        <v>0</v>
      </c>
      <c r="X160" s="102">
        <f t="shared" si="42"/>
        <v>2</v>
      </c>
      <c r="Y160" s="125">
        <f t="shared" si="37"/>
        <v>11</v>
      </c>
      <c r="Z160" s="126" t="s">
        <v>580</v>
      </c>
      <c r="AA160" s="126">
        <v>1</v>
      </c>
      <c r="AB160" s="126">
        <v>4</v>
      </c>
      <c r="AC160" s="126" t="s">
        <v>582</v>
      </c>
      <c r="AD160" s="126">
        <v>4</v>
      </c>
      <c r="AE160" s="127">
        <f t="shared" si="38"/>
        <v>9</v>
      </c>
      <c r="AF160" s="128">
        <f t="shared" si="39"/>
        <v>23</v>
      </c>
      <c r="AG160" s="108">
        <v>2034</v>
      </c>
      <c r="AH160" s="108" t="str">
        <f t="shared" si="40"/>
        <v>mid adopter</v>
      </c>
    </row>
    <row r="161" spans="1:34">
      <c r="A161" s="102" t="s">
        <v>395</v>
      </c>
      <c r="B161" s="120" t="s">
        <v>394</v>
      </c>
      <c r="C161" s="120" t="s">
        <v>79</v>
      </c>
      <c r="D161" s="102" t="s">
        <v>87</v>
      </c>
      <c r="E161" s="109">
        <v>1</v>
      </c>
      <c r="F161" s="102">
        <v>1977</v>
      </c>
      <c r="G161" s="102">
        <v>1985</v>
      </c>
      <c r="H161" s="102">
        <v>2009</v>
      </c>
      <c r="I161" s="102" t="s">
        <v>566</v>
      </c>
      <c r="J161" s="102" t="s">
        <v>566</v>
      </c>
      <c r="K161" s="102">
        <f t="shared" si="32"/>
        <v>4</v>
      </c>
      <c r="L161" s="102">
        <f t="shared" si="32"/>
        <v>4</v>
      </c>
      <c r="M161" s="102">
        <f t="shared" si="32"/>
        <v>3</v>
      </c>
      <c r="N161" s="102">
        <f t="shared" si="32"/>
        <v>1</v>
      </c>
      <c r="O161" s="102">
        <f t="shared" si="32"/>
        <v>1</v>
      </c>
      <c r="P161" s="121">
        <f t="shared" si="33"/>
        <v>2.6</v>
      </c>
      <c r="Q161" s="102">
        <v>312</v>
      </c>
      <c r="R161" s="102">
        <f t="shared" si="34"/>
        <v>3</v>
      </c>
      <c r="S161" s="122">
        <v>11.032793525268101</v>
      </c>
      <c r="T161" s="102">
        <f t="shared" si="35"/>
        <v>2</v>
      </c>
      <c r="U161" s="123">
        <v>0.28936059532645197</v>
      </c>
      <c r="V161" s="102">
        <f t="shared" si="36"/>
        <v>2</v>
      </c>
      <c r="W161" s="124">
        <v>0</v>
      </c>
      <c r="X161" s="102">
        <f t="shared" si="42"/>
        <v>2</v>
      </c>
      <c r="Y161" s="125">
        <f t="shared" si="37"/>
        <v>11.6</v>
      </c>
      <c r="Z161" s="126" t="s">
        <v>580</v>
      </c>
      <c r="AA161" s="126">
        <v>1</v>
      </c>
      <c r="AB161" s="126">
        <v>4</v>
      </c>
      <c r="AC161" s="126">
        <v>90.475434359764591</v>
      </c>
      <c r="AD161" s="126">
        <v>4</v>
      </c>
      <c r="AE161" s="127">
        <f t="shared" si="38"/>
        <v>9</v>
      </c>
      <c r="AF161" s="128">
        <f t="shared" si="39"/>
        <v>23.2</v>
      </c>
      <c r="AG161" s="108">
        <v>2034</v>
      </c>
      <c r="AH161" s="108" t="str">
        <f t="shared" si="40"/>
        <v>mid adopter</v>
      </c>
    </row>
    <row r="162" spans="1:34">
      <c r="A162" s="102" t="s">
        <v>397</v>
      </c>
      <c r="B162" s="120" t="s">
        <v>396</v>
      </c>
      <c r="C162" s="120" t="s">
        <v>79</v>
      </c>
      <c r="D162" s="102" t="s">
        <v>87</v>
      </c>
      <c r="E162" s="109">
        <v>1</v>
      </c>
      <c r="F162" s="102">
        <v>1974</v>
      </c>
      <c r="G162" s="102">
        <v>1972</v>
      </c>
      <c r="H162" s="102">
        <v>2015</v>
      </c>
      <c r="I162" s="102" t="s">
        <v>566</v>
      </c>
      <c r="J162" s="102">
        <v>2009</v>
      </c>
      <c r="K162" s="102">
        <f t="shared" si="32"/>
        <v>4</v>
      </c>
      <c r="L162" s="102">
        <f t="shared" si="32"/>
        <v>4</v>
      </c>
      <c r="M162" s="102">
        <f t="shared" si="32"/>
        <v>1</v>
      </c>
      <c r="N162" s="102">
        <f t="shared" si="32"/>
        <v>1</v>
      </c>
      <c r="O162" s="102">
        <f t="shared" si="32"/>
        <v>4</v>
      </c>
      <c r="P162" s="121">
        <f t="shared" si="33"/>
        <v>2.8</v>
      </c>
      <c r="Q162" s="102">
        <v>48</v>
      </c>
      <c r="R162" s="102">
        <f t="shared" si="34"/>
        <v>2</v>
      </c>
      <c r="S162" s="122">
        <v>1.6371294224192601</v>
      </c>
      <c r="T162" s="102">
        <f t="shared" si="35"/>
        <v>2</v>
      </c>
      <c r="U162" s="123">
        <v>2.26712030758416E-3</v>
      </c>
      <c r="V162" s="102">
        <f t="shared" si="36"/>
        <v>1</v>
      </c>
      <c r="W162" s="124">
        <v>3.3611999999999997E-4</v>
      </c>
      <c r="X162" s="102">
        <f t="shared" si="42"/>
        <v>3</v>
      </c>
      <c r="Y162" s="125">
        <f t="shared" si="37"/>
        <v>10.8</v>
      </c>
      <c r="Z162" s="126" t="s">
        <v>580</v>
      </c>
      <c r="AA162" s="126">
        <v>1</v>
      </c>
      <c r="AB162" s="126">
        <v>4</v>
      </c>
      <c r="AC162" s="126" t="s">
        <v>582</v>
      </c>
      <c r="AD162" s="126">
        <v>4</v>
      </c>
      <c r="AE162" s="127">
        <f t="shared" si="38"/>
        <v>9</v>
      </c>
      <c r="AF162" s="128">
        <f t="shared" si="39"/>
        <v>22.6</v>
      </c>
      <c r="AG162" s="108">
        <v>2034</v>
      </c>
      <c r="AH162" s="108" t="str">
        <f t="shared" si="40"/>
        <v>mid adopter</v>
      </c>
    </row>
    <row r="163" spans="1:34">
      <c r="A163" s="102" t="s">
        <v>401</v>
      </c>
      <c r="B163" s="120" t="s">
        <v>400</v>
      </c>
      <c r="C163" s="120" t="s">
        <v>99</v>
      </c>
      <c r="D163" s="102" t="s">
        <v>84</v>
      </c>
      <c r="E163" s="109">
        <v>4</v>
      </c>
      <c r="F163" s="102">
        <v>2018</v>
      </c>
      <c r="G163" s="102">
        <v>2013</v>
      </c>
      <c r="H163" s="102">
        <v>2015</v>
      </c>
      <c r="I163" s="102">
        <v>2020</v>
      </c>
      <c r="J163" s="102">
        <v>2019</v>
      </c>
      <c r="K163" s="102">
        <f t="shared" si="32"/>
        <v>1</v>
      </c>
      <c r="L163" s="102">
        <f t="shared" si="32"/>
        <v>1</v>
      </c>
      <c r="M163" s="102">
        <f t="shared" si="32"/>
        <v>1</v>
      </c>
      <c r="N163" s="102">
        <f t="shared" si="32"/>
        <v>1</v>
      </c>
      <c r="O163" s="102">
        <f t="shared" si="32"/>
        <v>2</v>
      </c>
      <c r="P163" s="121">
        <f t="shared" si="33"/>
        <v>1.2</v>
      </c>
      <c r="Q163" s="102">
        <v>0</v>
      </c>
      <c r="R163" s="102">
        <f t="shared" si="34"/>
        <v>1</v>
      </c>
      <c r="S163" s="122">
        <v>288.44605890530403</v>
      </c>
      <c r="T163" s="102">
        <f t="shared" si="35"/>
        <v>4</v>
      </c>
      <c r="U163" s="123">
        <v>8.9015168144683905</v>
      </c>
      <c r="V163" s="102">
        <f t="shared" si="36"/>
        <v>3</v>
      </c>
      <c r="W163" s="124">
        <v>34.679000000000002</v>
      </c>
      <c r="X163" s="102">
        <f t="shared" si="42"/>
        <v>3</v>
      </c>
      <c r="Y163" s="125">
        <f t="shared" si="37"/>
        <v>12.2</v>
      </c>
      <c r="Z163" s="109" t="s">
        <v>581</v>
      </c>
      <c r="AA163" s="126">
        <v>1</v>
      </c>
      <c r="AB163" s="126">
        <v>2</v>
      </c>
      <c r="AC163" s="126">
        <v>34.226291981173667</v>
      </c>
      <c r="AD163" s="102">
        <f>IF(AND(AC163&gt;=AC$200,AC163&lt;AC$201),1,IF(AND(AC163&gt;=AC$201,AC163&lt;AC$202),2,IF(AND(AC163&gt;=AC$202,AC163&lt;AC$203),3,IF(AND(AC163&gt;=AC$203,AC163&lt;=AC$204),4,"empty"))))</f>
        <v>2</v>
      </c>
      <c r="AE163" s="127">
        <f t="shared" si="38"/>
        <v>5</v>
      </c>
      <c r="AF163" s="128">
        <f t="shared" si="39"/>
        <v>18.399999999999999</v>
      </c>
      <c r="AG163" s="108">
        <v>2039</v>
      </c>
      <c r="AH163" s="108" t="str">
        <f t="shared" si="40"/>
        <v>late adopter</v>
      </c>
    </row>
    <row r="164" spans="1:34">
      <c r="A164" s="102" t="s">
        <v>399</v>
      </c>
      <c r="B164" s="120" t="s">
        <v>398</v>
      </c>
      <c r="C164" s="120" t="s">
        <v>74</v>
      </c>
      <c r="D164" s="102" t="s">
        <v>75</v>
      </c>
      <c r="E164" s="109">
        <v>3</v>
      </c>
      <c r="F164" s="102">
        <v>2021</v>
      </c>
      <c r="G164" s="102" t="s">
        <v>566</v>
      </c>
      <c r="H164" s="102" t="s">
        <v>566</v>
      </c>
      <c r="I164" s="102" t="s">
        <v>566</v>
      </c>
      <c r="J164" s="102" t="s">
        <v>566</v>
      </c>
      <c r="K164" s="102">
        <f t="shared" ref="K164:O197" si="43">IF(AND(F164&gt;=F$200,F164&lt;F$201),4,IF(AND(F164&gt;=F$201,F164&lt;F$202),3,IF(AND(F164&gt;=F$202,F164&lt;F$203),2,IF(AND(F164&gt;=F$203,F164&lt;=F$204),1,1))))</f>
        <v>1</v>
      </c>
      <c r="L164" s="102">
        <f t="shared" si="43"/>
        <v>1</v>
      </c>
      <c r="M164" s="102">
        <f t="shared" si="43"/>
        <v>1</v>
      </c>
      <c r="N164" s="102">
        <f t="shared" si="43"/>
        <v>1</v>
      </c>
      <c r="O164" s="102">
        <f t="shared" si="43"/>
        <v>1</v>
      </c>
      <c r="P164" s="121">
        <f t="shared" si="33"/>
        <v>1</v>
      </c>
      <c r="Q164" s="102">
        <v>4504</v>
      </c>
      <c r="R164" s="102">
        <f t="shared" si="34"/>
        <v>4</v>
      </c>
      <c r="S164" s="122">
        <v>848.51917940408396</v>
      </c>
      <c r="T164" s="102">
        <f t="shared" si="35"/>
        <v>4</v>
      </c>
      <c r="U164" s="123">
        <v>7436.6202700365502</v>
      </c>
      <c r="V164" s="102">
        <f t="shared" si="36"/>
        <v>4</v>
      </c>
      <c r="W164" s="124">
        <v>249.51</v>
      </c>
      <c r="X164" s="102">
        <f t="shared" si="42"/>
        <v>4</v>
      </c>
      <c r="Y164" s="125">
        <f t="shared" si="37"/>
        <v>17</v>
      </c>
      <c r="Z164" s="126" t="s">
        <v>579</v>
      </c>
      <c r="AA164" s="126">
        <v>4</v>
      </c>
      <c r="AB164" s="126">
        <v>1</v>
      </c>
      <c r="AC164" s="126" t="s">
        <v>582</v>
      </c>
      <c r="AD164" s="102">
        <v>1</v>
      </c>
      <c r="AE164" s="127">
        <f t="shared" si="38"/>
        <v>6</v>
      </c>
      <c r="AF164" s="128">
        <f t="shared" si="39"/>
        <v>24</v>
      </c>
      <c r="AG164" s="108">
        <v>2032</v>
      </c>
      <c r="AH164" s="108" t="str">
        <f t="shared" si="40"/>
        <v>early adopter</v>
      </c>
    </row>
    <row r="165" spans="1:34">
      <c r="A165" s="102" t="s">
        <v>403</v>
      </c>
      <c r="B165" s="120" t="s">
        <v>402</v>
      </c>
      <c r="C165" s="120" t="s">
        <v>83</v>
      </c>
      <c r="D165" s="102" t="s">
        <v>80</v>
      </c>
      <c r="E165" s="109" t="s">
        <v>76</v>
      </c>
      <c r="F165" s="102">
        <v>1994</v>
      </c>
      <c r="G165" s="102" t="s">
        <v>566</v>
      </c>
      <c r="H165" s="102">
        <v>2009</v>
      </c>
      <c r="I165" s="102">
        <v>2009</v>
      </c>
      <c r="J165" s="102">
        <v>2014</v>
      </c>
      <c r="K165" s="102">
        <f t="shared" si="43"/>
        <v>3</v>
      </c>
      <c r="L165" s="102">
        <f t="shared" si="43"/>
        <v>1</v>
      </c>
      <c r="M165" s="102">
        <f t="shared" si="43"/>
        <v>3</v>
      </c>
      <c r="N165" s="102">
        <f t="shared" si="43"/>
        <v>4</v>
      </c>
      <c r="O165" s="102">
        <f t="shared" si="43"/>
        <v>3</v>
      </c>
      <c r="P165" s="121">
        <f t="shared" si="33"/>
        <v>2.8</v>
      </c>
      <c r="Q165" s="102">
        <v>95</v>
      </c>
      <c r="R165" s="102">
        <f t="shared" si="34"/>
        <v>3</v>
      </c>
      <c r="S165" s="122">
        <v>365.61051560876803</v>
      </c>
      <c r="T165" s="102">
        <f t="shared" si="35"/>
        <v>4</v>
      </c>
      <c r="U165" s="123">
        <v>501.38603935597598</v>
      </c>
      <c r="V165" s="102">
        <f t="shared" si="36"/>
        <v>4</v>
      </c>
      <c r="W165" s="124">
        <v>363.33</v>
      </c>
      <c r="X165" s="102">
        <f t="shared" si="42"/>
        <v>4</v>
      </c>
      <c r="Y165" s="125">
        <f t="shared" si="37"/>
        <v>17.8</v>
      </c>
      <c r="Z165" s="126" t="s">
        <v>580</v>
      </c>
      <c r="AA165" s="126">
        <v>1</v>
      </c>
      <c r="AB165" s="126">
        <v>3</v>
      </c>
      <c r="AC165" s="126">
        <v>100</v>
      </c>
      <c r="AD165" s="102">
        <v>3</v>
      </c>
      <c r="AE165" s="127">
        <f t="shared" si="38"/>
        <v>7</v>
      </c>
      <c r="AF165" s="128">
        <f t="shared" si="39"/>
        <v>27.6</v>
      </c>
      <c r="AG165" s="108">
        <v>2030</v>
      </c>
      <c r="AH165" s="108" t="str">
        <f t="shared" si="40"/>
        <v>early adopter</v>
      </c>
    </row>
    <row r="166" spans="1:34">
      <c r="A166" s="102" t="s">
        <v>411</v>
      </c>
      <c r="B166" s="120" t="s">
        <v>410</v>
      </c>
      <c r="C166" s="120" t="s">
        <v>74</v>
      </c>
      <c r="D166" s="102" t="s">
        <v>75</v>
      </c>
      <c r="E166" s="109">
        <v>3</v>
      </c>
      <c r="F166" s="102" t="s">
        <v>566</v>
      </c>
      <c r="G166" s="102" t="s">
        <v>566</v>
      </c>
      <c r="H166" s="102" t="s">
        <v>566</v>
      </c>
      <c r="I166" s="102" t="s">
        <v>566</v>
      </c>
      <c r="J166" s="102" t="s">
        <v>566</v>
      </c>
      <c r="K166" s="102">
        <f t="shared" si="43"/>
        <v>1</v>
      </c>
      <c r="L166" s="102">
        <f t="shared" si="43"/>
        <v>1</v>
      </c>
      <c r="M166" s="102">
        <f t="shared" si="43"/>
        <v>1</v>
      </c>
      <c r="N166" s="102">
        <f t="shared" si="43"/>
        <v>1</v>
      </c>
      <c r="O166" s="102">
        <f t="shared" si="43"/>
        <v>1</v>
      </c>
      <c r="P166" s="121">
        <f t="shared" si="33"/>
        <v>1</v>
      </c>
      <c r="Q166" s="102">
        <v>1472</v>
      </c>
      <c r="R166" s="102">
        <f t="shared" si="34"/>
        <v>4</v>
      </c>
      <c r="S166" s="122">
        <v>309.772918235053</v>
      </c>
      <c r="T166" s="102">
        <f t="shared" si="35"/>
        <v>4</v>
      </c>
      <c r="U166" s="123">
        <v>253.20548675842801</v>
      </c>
      <c r="V166" s="102">
        <f t="shared" si="36"/>
        <v>4</v>
      </c>
      <c r="W166" s="124" t="s">
        <v>573</v>
      </c>
      <c r="X166" s="102">
        <v>1</v>
      </c>
      <c r="Y166" s="125">
        <f t="shared" si="37"/>
        <v>14</v>
      </c>
      <c r="Z166" s="109" t="s">
        <v>579</v>
      </c>
      <c r="AA166" s="126">
        <v>4</v>
      </c>
      <c r="AB166" s="126">
        <v>1</v>
      </c>
      <c r="AC166" s="126">
        <v>7.7538461538461538</v>
      </c>
      <c r="AD166" s="102">
        <f>IF(AND(AC166&gt;=AC$200,AC166&lt;AC$201),1,IF(AND(AC166&gt;=AC$201,AC166&lt;AC$202),2,IF(AND(AC166&gt;=AC$202,AC166&lt;AC$203),3,IF(AND(AC166&gt;=AC$203,AC166&lt;=AC$204),4,"empty"))))</f>
        <v>1</v>
      </c>
      <c r="AE166" s="127">
        <f t="shared" si="38"/>
        <v>6</v>
      </c>
      <c r="AF166" s="128">
        <f t="shared" si="39"/>
        <v>21</v>
      </c>
      <c r="AG166" s="108">
        <v>2037</v>
      </c>
      <c r="AH166" s="108" t="str">
        <f t="shared" si="40"/>
        <v>mid adopter</v>
      </c>
    </row>
    <row r="167" spans="1:34">
      <c r="A167" s="102" t="s">
        <v>405</v>
      </c>
      <c r="B167" s="120" t="s">
        <v>404</v>
      </c>
      <c r="C167" s="120" t="s">
        <v>79</v>
      </c>
      <c r="D167" s="102" t="s">
        <v>87</v>
      </c>
      <c r="E167" s="109">
        <v>1</v>
      </c>
      <c r="F167" s="102">
        <v>1996</v>
      </c>
      <c r="G167" s="102">
        <v>1978</v>
      </c>
      <c r="H167" s="102">
        <v>2016</v>
      </c>
      <c r="I167" s="102" t="s">
        <v>566</v>
      </c>
      <c r="J167" s="102">
        <v>2007</v>
      </c>
      <c r="K167" s="102">
        <f t="shared" si="43"/>
        <v>3</v>
      </c>
      <c r="L167" s="102">
        <f t="shared" si="43"/>
        <v>4</v>
      </c>
      <c r="M167" s="102">
        <f t="shared" si="43"/>
        <v>1</v>
      </c>
      <c r="N167" s="102">
        <f t="shared" si="43"/>
        <v>1</v>
      </c>
      <c r="O167" s="102">
        <f t="shared" si="43"/>
        <v>4</v>
      </c>
      <c r="P167" s="121">
        <f t="shared" si="33"/>
        <v>2.6</v>
      </c>
      <c r="Q167" s="102">
        <v>292</v>
      </c>
      <c r="R167" s="102">
        <f t="shared" si="34"/>
        <v>3</v>
      </c>
      <c r="S167" s="122">
        <v>0.88448072907217301</v>
      </c>
      <c r="T167" s="102">
        <f t="shared" si="35"/>
        <v>2</v>
      </c>
      <c r="U167" s="123">
        <v>3.88275989095615E-2</v>
      </c>
      <c r="V167" s="102">
        <f t="shared" si="36"/>
        <v>2</v>
      </c>
      <c r="W167" s="124">
        <v>0.77085999999999999</v>
      </c>
      <c r="X167" s="102">
        <f t="shared" ref="X167:X183" si="44">IF(AND(W167&gt;=W$200,W167&lt;W$201),1,IF(AND(W167&gt;=W$201,W167&lt;W$202),2,IF(AND(W167&gt;=W$202,W167&lt;W$203),3,IF(AND(W167&gt;=W$203,W167&lt;=W$204),4,"empty"))))</f>
        <v>3</v>
      </c>
      <c r="Y167" s="125">
        <f t="shared" si="37"/>
        <v>12.6</v>
      </c>
      <c r="Z167" s="126" t="s">
        <v>580</v>
      </c>
      <c r="AA167" s="126">
        <v>1</v>
      </c>
      <c r="AB167" s="126">
        <v>4</v>
      </c>
      <c r="AC167" s="126" t="s">
        <v>582</v>
      </c>
      <c r="AD167" s="126">
        <v>4</v>
      </c>
      <c r="AE167" s="127">
        <f t="shared" si="38"/>
        <v>9</v>
      </c>
      <c r="AF167" s="128">
        <f t="shared" si="39"/>
        <v>24.2</v>
      </c>
      <c r="AG167" s="108">
        <v>2032</v>
      </c>
      <c r="AH167" s="108" t="str">
        <f t="shared" si="40"/>
        <v>early adopter</v>
      </c>
    </row>
    <row r="168" spans="1:34">
      <c r="A168" s="102" t="s">
        <v>407</v>
      </c>
      <c r="B168" s="120" t="s">
        <v>406</v>
      </c>
      <c r="C168" s="120" t="s">
        <v>110</v>
      </c>
      <c r="D168" s="102" t="s">
        <v>84</v>
      </c>
      <c r="E168" s="109">
        <v>2</v>
      </c>
      <c r="F168" s="102">
        <v>2001</v>
      </c>
      <c r="G168" s="102">
        <v>2001</v>
      </c>
      <c r="H168" s="102" t="s">
        <v>566</v>
      </c>
      <c r="I168" s="102" t="s">
        <v>566</v>
      </c>
      <c r="J168" s="102">
        <v>2017</v>
      </c>
      <c r="K168" s="102">
        <f t="shared" si="43"/>
        <v>2</v>
      </c>
      <c r="L168" s="102">
        <f t="shared" si="43"/>
        <v>2</v>
      </c>
      <c r="M168" s="102">
        <f t="shared" si="43"/>
        <v>1</v>
      </c>
      <c r="N168" s="102">
        <f t="shared" si="43"/>
        <v>1</v>
      </c>
      <c r="O168" s="102">
        <f t="shared" si="43"/>
        <v>2</v>
      </c>
      <c r="P168" s="121">
        <f t="shared" si="33"/>
        <v>1.6</v>
      </c>
      <c r="Q168" s="102">
        <v>49</v>
      </c>
      <c r="R168" s="102">
        <f t="shared" si="34"/>
        <v>2</v>
      </c>
      <c r="S168" s="122">
        <v>107.361253736805</v>
      </c>
      <c r="T168" s="102">
        <f t="shared" si="35"/>
        <v>3</v>
      </c>
      <c r="U168" s="123">
        <v>34.645057755726299</v>
      </c>
      <c r="V168" s="102">
        <f t="shared" si="36"/>
        <v>3</v>
      </c>
      <c r="W168" s="124">
        <v>0</v>
      </c>
      <c r="X168" s="102">
        <f t="shared" si="44"/>
        <v>2</v>
      </c>
      <c r="Y168" s="125">
        <f t="shared" si="37"/>
        <v>11.6</v>
      </c>
      <c r="Z168" s="126" t="s">
        <v>581</v>
      </c>
      <c r="AA168" s="126">
        <v>1</v>
      </c>
      <c r="AB168" s="126">
        <v>2</v>
      </c>
      <c r="AC168" s="126">
        <v>81.499999999999943</v>
      </c>
      <c r="AD168" s="102">
        <f>IF(AND(AC168&gt;=AC$200,AC168&lt;AC$201),1,IF(AND(AC168&gt;=AC$201,AC168&lt;AC$202),2,IF(AND(AC168&gt;=AC$202,AC168&lt;AC$203),3,IF(AND(AC168&gt;=AC$203,AC168&lt;=AC$204),4,"empty"))))</f>
        <v>2</v>
      </c>
      <c r="AE168" s="127">
        <f t="shared" si="38"/>
        <v>5</v>
      </c>
      <c r="AF168" s="128">
        <f t="shared" si="39"/>
        <v>18.2</v>
      </c>
      <c r="AG168" s="108">
        <v>2040</v>
      </c>
      <c r="AH168" s="108" t="str">
        <f t="shared" si="40"/>
        <v>late adopter</v>
      </c>
    </row>
    <row r="169" spans="1:34">
      <c r="A169" s="102" t="s">
        <v>409</v>
      </c>
      <c r="B169" s="120" t="s">
        <v>408</v>
      </c>
      <c r="C169" s="120" t="s">
        <v>74</v>
      </c>
      <c r="D169" s="102" t="s">
        <v>75</v>
      </c>
      <c r="E169" s="109">
        <v>3</v>
      </c>
      <c r="F169" s="102">
        <v>2012</v>
      </c>
      <c r="G169" s="102" t="s">
        <v>566</v>
      </c>
      <c r="H169" s="102">
        <v>2013</v>
      </c>
      <c r="I169" s="102">
        <v>2011</v>
      </c>
      <c r="J169" s="102" t="s">
        <v>566</v>
      </c>
      <c r="K169" s="102">
        <f t="shared" si="43"/>
        <v>1</v>
      </c>
      <c r="L169" s="102">
        <f t="shared" si="43"/>
        <v>1</v>
      </c>
      <c r="M169" s="102">
        <f t="shared" si="43"/>
        <v>2</v>
      </c>
      <c r="N169" s="102">
        <f t="shared" si="43"/>
        <v>4</v>
      </c>
      <c r="O169" s="102">
        <f t="shared" si="43"/>
        <v>1</v>
      </c>
      <c r="P169" s="121">
        <f t="shared" si="33"/>
        <v>1.8</v>
      </c>
      <c r="Q169" s="102">
        <v>3555</v>
      </c>
      <c r="R169" s="102">
        <f t="shared" si="34"/>
        <v>4</v>
      </c>
      <c r="S169" s="122">
        <v>223.981178741181</v>
      </c>
      <c r="T169" s="102">
        <f t="shared" si="35"/>
        <v>3</v>
      </c>
      <c r="U169" s="123">
        <v>711.92095910917806</v>
      </c>
      <c r="V169" s="102">
        <f t="shared" si="36"/>
        <v>4</v>
      </c>
      <c r="W169" s="124">
        <v>865.95</v>
      </c>
      <c r="X169" s="102">
        <f t="shared" si="44"/>
        <v>4</v>
      </c>
      <c r="Y169" s="125">
        <f t="shared" si="37"/>
        <v>16.8</v>
      </c>
      <c r="Z169" s="109" t="s">
        <v>583</v>
      </c>
      <c r="AA169" s="126">
        <v>3</v>
      </c>
      <c r="AB169" s="126">
        <v>1</v>
      </c>
      <c r="AC169" s="126">
        <v>10.855002994895328</v>
      </c>
      <c r="AD169" s="102">
        <f>IF(AND(AC169&gt;=AC$200,AC169&lt;AC$201),1,IF(AND(AC169&gt;=AC$201,AC169&lt;AC$202),2,IF(AND(AC169&gt;=AC$202,AC169&lt;AC$203),3,IF(AND(AC169&gt;=AC$203,AC169&lt;=AC$204),4,"empty"))))</f>
        <v>1</v>
      </c>
      <c r="AE169" s="127">
        <f t="shared" si="38"/>
        <v>5</v>
      </c>
      <c r="AF169" s="128">
        <f t="shared" si="39"/>
        <v>23.6</v>
      </c>
      <c r="AG169" s="108">
        <v>2033</v>
      </c>
      <c r="AH169" s="108" t="str">
        <f t="shared" si="40"/>
        <v>early adopter</v>
      </c>
    </row>
    <row r="170" spans="1:34">
      <c r="A170" s="102" t="s">
        <v>413</v>
      </c>
      <c r="B170" s="120" t="s">
        <v>412</v>
      </c>
      <c r="C170" s="120" t="s">
        <v>92</v>
      </c>
      <c r="D170" s="102" t="s">
        <v>80</v>
      </c>
      <c r="E170" s="109">
        <v>1</v>
      </c>
      <c r="F170" s="102">
        <v>2005</v>
      </c>
      <c r="G170" s="102">
        <v>1993</v>
      </c>
      <c r="H170" s="102" t="s">
        <v>566</v>
      </c>
      <c r="I170" s="102" t="s">
        <v>566</v>
      </c>
      <c r="J170" s="102">
        <v>2013</v>
      </c>
      <c r="K170" s="102">
        <f t="shared" si="43"/>
        <v>2</v>
      </c>
      <c r="L170" s="102">
        <f t="shared" si="43"/>
        <v>3</v>
      </c>
      <c r="M170" s="102">
        <f t="shared" si="43"/>
        <v>1</v>
      </c>
      <c r="N170" s="102">
        <f t="shared" si="43"/>
        <v>1</v>
      </c>
      <c r="O170" s="102">
        <f t="shared" si="43"/>
        <v>3</v>
      </c>
      <c r="P170" s="121">
        <f t="shared" si="33"/>
        <v>2</v>
      </c>
      <c r="Q170" s="102">
        <v>0</v>
      </c>
      <c r="R170" s="102">
        <f t="shared" si="34"/>
        <v>1</v>
      </c>
      <c r="S170" s="122">
        <v>4.7722780240083203E-2</v>
      </c>
      <c r="T170" s="102">
        <f t="shared" si="35"/>
        <v>1</v>
      </c>
      <c r="U170" s="123">
        <v>0</v>
      </c>
      <c r="V170" s="102">
        <f t="shared" si="36"/>
        <v>1</v>
      </c>
      <c r="W170" s="124">
        <v>0</v>
      </c>
      <c r="X170" s="102">
        <f t="shared" si="44"/>
        <v>2</v>
      </c>
      <c r="Y170" s="125">
        <f t="shared" si="37"/>
        <v>7</v>
      </c>
      <c r="Z170" s="126" t="s">
        <v>580</v>
      </c>
      <c r="AA170" s="126">
        <v>1</v>
      </c>
      <c r="AB170" s="126">
        <v>3</v>
      </c>
      <c r="AC170" s="126">
        <v>100</v>
      </c>
      <c r="AD170" s="102">
        <f>IF(AND(AC170&gt;=AC$200,AC170&lt;AC$201),1,IF(AND(AC170&gt;=AC$201,AC170&lt;AC$202),2,IF(AND(AC170&gt;=AC$202,AC170&lt;AC$203),3,IF(AND(AC170&gt;=AC$203,AC170&lt;=AC$204),4,"empty"))))</f>
        <v>4</v>
      </c>
      <c r="AE170" s="127">
        <f t="shared" si="38"/>
        <v>8</v>
      </c>
      <c r="AF170" s="128">
        <f t="shared" si="39"/>
        <v>17</v>
      </c>
      <c r="AG170" s="108">
        <v>2041</v>
      </c>
      <c r="AH170" s="108" t="str">
        <f t="shared" si="40"/>
        <v>late adopter</v>
      </c>
    </row>
    <row r="171" spans="1:34">
      <c r="A171" s="102" t="s">
        <v>417</v>
      </c>
      <c r="B171" s="120" t="s">
        <v>416</v>
      </c>
      <c r="C171" s="120" t="s">
        <v>79</v>
      </c>
      <c r="D171" s="102" t="s">
        <v>87</v>
      </c>
      <c r="E171" s="109">
        <v>1</v>
      </c>
      <c r="F171" s="102">
        <v>1982</v>
      </c>
      <c r="G171" s="102">
        <v>1982</v>
      </c>
      <c r="H171" s="102">
        <v>2009</v>
      </c>
      <c r="I171" s="102">
        <v>2019</v>
      </c>
      <c r="J171" s="102">
        <v>2010</v>
      </c>
      <c r="K171" s="102">
        <f t="shared" si="43"/>
        <v>4</v>
      </c>
      <c r="L171" s="102">
        <f t="shared" si="43"/>
        <v>4</v>
      </c>
      <c r="M171" s="102">
        <f t="shared" si="43"/>
        <v>3</v>
      </c>
      <c r="N171" s="102">
        <f t="shared" si="43"/>
        <v>1</v>
      </c>
      <c r="O171" s="102">
        <f t="shared" si="43"/>
        <v>4</v>
      </c>
      <c r="P171" s="121">
        <f t="shared" si="33"/>
        <v>3.2</v>
      </c>
      <c r="Q171" s="102">
        <v>20</v>
      </c>
      <c r="R171" s="102">
        <f t="shared" si="34"/>
        <v>2</v>
      </c>
      <c r="S171" s="122">
        <v>0.33402813172338802</v>
      </c>
      <c r="T171" s="102">
        <f t="shared" si="35"/>
        <v>1</v>
      </c>
      <c r="U171" s="123">
        <v>1.13624571160716E-2</v>
      </c>
      <c r="V171" s="102">
        <f t="shared" si="36"/>
        <v>2</v>
      </c>
      <c r="W171" s="124">
        <v>0</v>
      </c>
      <c r="X171" s="102">
        <f t="shared" si="44"/>
        <v>2</v>
      </c>
      <c r="Y171" s="125">
        <f t="shared" si="37"/>
        <v>10.199999999999999</v>
      </c>
      <c r="Z171" s="126" t="s">
        <v>580</v>
      </c>
      <c r="AA171" s="126">
        <v>1</v>
      </c>
      <c r="AB171" s="126">
        <v>4</v>
      </c>
      <c r="AC171" s="126" t="s">
        <v>582</v>
      </c>
      <c r="AD171" s="126">
        <v>4</v>
      </c>
      <c r="AE171" s="127">
        <f t="shared" si="38"/>
        <v>9</v>
      </c>
      <c r="AF171" s="128">
        <f t="shared" si="39"/>
        <v>22.4</v>
      </c>
      <c r="AG171" s="108">
        <v>2035</v>
      </c>
      <c r="AH171" s="108" t="str">
        <f t="shared" si="40"/>
        <v>mid adopter</v>
      </c>
    </row>
    <row r="172" spans="1:34">
      <c r="A172" s="102" t="s">
        <v>419</v>
      </c>
      <c r="B172" s="120" t="s">
        <v>418</v>
      </c>
      <c r="C172" s="120" t="s">
        <v>79</v>
      </c>
      <c r="D172" s="102" t="s">
        <v>87</v>
      </c>
      <c r="E172" s="109">
        <v>1</v>
      </c>
      <c r="F172" s="102">
        <v>1996</v>
      </c>
      <c r="G172" s="102">
        <v>1973</v>
      </c>
      <c r="H172" s="102">
        <v>2006</v>
      </c>
      <c r="I172" s="102" t="s">
        <v>566</v>
      </c>
      <c r="J172" s="102">
        <v>2006</v>
      </c>
      <c r="K172" s="102">
        <f t="shared" si="43"/>
        <v>3</v>
      </c>
      <c r="L172" s="102">
        <f t="shared" si="43"/>
        <v>4</v>
      </c>
      <c r="M172" s="102">
        <f t="shared" si="43"/>
        <v>4</v>
      </c>
      <c r="N172" s="102">
        <f t="shared" si="43"/>
        <v>1</v>
      </c>
      <c r="O172" s="102">
        <f t="shared" si="43"/>
        <v>4</v>
      </c>
      <c r="P172" s="121">
        <f t="shared" si="33"/>
        <v>3.2</v>
      </c>
      <c r="Q172" s="102">
        <v>229</v>
      </c>
      <c r="R172" s="102">
        <f t="shared" si="34"/>
        <v>3</v>
      </c>
      <c r="S172" s="122">
        <v>4.6822073376449396</v>
      </c>
      <c r="T172" s="102">
        <f t="shared" si="35"/>
        <v>2</v>
      </c>
      <c r="U172" s="123">
        <v>9.1920306530373606E-3</v>
      </c>
      <c r="V172" s="102">
        <f t="shared" si="36"/>
        <v>2</v>
      </c>
      <c r="W172" s="124">
        <v>0.28489999999999999</v>
      </c>
      <c r="X172" s="102">
        <f t="shared" si="44"/>
        <v>3</v>
      </c>
      <c r="Y172" s="125">
        <f t="shared" si="37"/>
        <v>13.2</v>
      </c>
      <c r="Z172" s="126" t="s">
        <v>580</v>
      </c>
      <c r="AA172" s="126">
        <v>1</v>
      </c>
      <c r="AB172" s="126">
        <v>4</v>
      </c>
      <c r="AC172" s="126" t="s">
        <v>582</v>
      </c>
      <c r="AD172" s="126">
        <v>4</v>
      </c>
      <c r="AE172" s="127">
        <f t="shared" si="38"/>
        <v>9</v>
      </c>
      <c r="AF172" s="128">
        <f t="shared" si="39"/>
        <v>25.4</v>
      </c>
      <c r="AG172" s="108">
        <v>2030</v>
      </c>
      <c r="AH172" s="108" t="str">
        <f t="shared" si="40"/>
        <v>early adopter</v>
      </c>
    </row>
    <row r="173" spans="1:34">
      <c r="A173" s="102" t="s">
        <v>421</v>
      </c>
      <c r="B173" s="120" t="s">
        <v>420</v>
      </c>
      <c r="C173" s="120" t="s">
        <v>74</v>
      </c>
      <c r="D173" s="102" t="s">
        <v>75</v>
      </c>
      <c r="E173" s="109">
        <v>2</v>
      </c>
      <c r="F173" s="102">
        <v>1993</v>
      </c>
      <c r="G173" s="102">
        <v>1999</v>
      </c>
      <c r="H173" s="102" t="s">
        <v>566</v>
      </c>
      <c r="I173" s="102" t="s">
        <v>566</v>
      </c>
      <c r="J173" s="102" t="s">
        <v>566</v>
      </c>
      <c r="K173" s="102">
        <f t="shared" si="43"/>
        <v>3</v>
      </c>
      <c r="L173" s="102">
        <f t="shared" si="43"/>
        <v>2</v>
      </c>
      <c r="M173" s="102">
        <f t="shared" si="43"/>
        <v>1</v>
      </c>
      <c r="N173" s="102">
        <f t="shared" si="43"/>
        <v>1</v>
      </c>
      <c r="O173" s="102">
        <f t="shared" si="43"/>
        <v>1</v>
      </c>
      <c r="P173" s="121">
        <f t="shared" si="33"/>
        <v>1.6</v>
      </c>
      <c r="Q173" s="102">
        <v>27</v>
      </c>
      <c r="R173" s="102">
        <f t="shared" si="34"/>
        <v>2</v>
      </c>
      <c r="S173" s="122">
        <v>17.563228399438501</v>
      </c>
      <c r="T173" s="102">
        <f t="shared" si="35"/>
        <v>2</v>
      </c>
      <c r="U173" s="123">
        <v>5.1349010932018597</v>
      </c>
      <c r="V173" s="102">
        <f t="shared" si="36"/>
        <v>3</v>
      </c>
      <c r="W173" s="124">
        <v>0</v>
      </c>
      <c r="X173" s="102">
        <f t="shared" si="44"/>
        <v>2</v>
      </c>
      <c r="Y173" s="125">
        <f t="shared" si="37"/>
        <v>10.6</v>
      </c>
      <c r="Z173" s="109" t="s">
        <v>579</v>
      </c>
      <c r="AA173" s="126">
        <v>4</v>
      </c>
      <c r="AB173" s="126">
        <v>1</v>
      </c>
      <c r="AC173" s="126">
        <v>52.631578947368418</v>
      </c>
      <c r="AD173" s="102">
        <f t="shared" ref="AD173:AD183" si="45">IF(AND(AC173&gt;=AC$200,AC173&lt;AC$201),1,IF(AND(AC173&gt;=AC$201,AC173&lt;AC$202),2,IF(AND(AC173&gt;=AC$202,AC173&lt;AC$203),3,IF(AND(AC173&gt;=AC$203,AC173&lt;=AC$204),4,"empty"))))</f>
        <v>2</v>
      </c>
      <c r="AE173" s="127">
        <f t="shared" si="38"/>
        <v>7</v>
      </c>
      <c r="AF173" s="128">
        <f t="shared" si="39"/>
        <v>19.2</v>
      </c>
      <c r="AG173" s="108">
        <v>2039</v>
      </c>
      <c r="AH173" s="108" t="str">
        <f t="shared" si="40"/>
        <v>late adopter</v>
      </c>
    </row>
    <row r="174" spans="1:34">
      <c r="A174" s="102" t="s">
        <v>425</v>
      </c>
      <c r="B174" s="120" t="s">
        <v>424</v>
      </c>
      <c r="C174" s="120" t="s">
        <v>79</v>
      </c>
      <c r="D174" s="102" t="s">
        <v>75</v>
      </c>
      <c r="E174" s="109">
        <v>2</v>
      </c>
      <c r="F174" s="102">
        <v>1986</v>
      </c>
      <c r="G174" s="102">
        <v>2009</v>
      </c>
      <c r="H174" s="102">
        <v>2022</v>
      </c>
      <c r="I174" s="102">
        <v>2015</v>
      </c>
      <c r="J174" s="102" t="s">
        <v>566</v>
      </c>
      <c r="K174" s="102">
        <f t="shared" si="43"/>
        <v>4</v>
      </c>
      <c r="L174" s="102">
        <f t="shared" si="43"/>
        <v>2</v>
      </c>
      <c r="M174" s="102">
        <f t="shared" si="43"/>
        <v>1</v>
      </c>
      <c r="N174" s="102">
        <f t="shared" si="43"/>
        <v>2</v>
      </c>
      <c r="O174" s="102">
        <f t="shared" si="43"/>
        <v>1</v>
      </c>
      <c r="P174" s="121">
        <f t="shared" si="33"/>
        <v>2</v>
      </c>
      <c r="Q174" s="102">
        <v>7</v>
      </c>
      <c r="R174" s="102">
        <f t="shared" si="34"/>
        <v>2</v>
      </c>
      <c r="S174" s="122">
        <v>0.126931916421097</v>
      </c>
      <c r="T174" s="102">
        <f t="shared" si="35"/>
        <v>1</v>
      </c>
      <c r="U174" s="123">
        <v>4.0066306882184897E-2</v>
      </c>
      <c r="V174" s="102">
        <f t="shared" si="36"/>
        <v>2</v>
      </c>
      <c r="W174" s="124">
        <v>4.0074E-6</v>
      </c>
      <c r="X174" s="102">
        <f t="shared" si="44"/>
        <v>3</v>
      </c>
      <c r="Y174" s="125">
        <f t="shared" si="37"/>
        <v>10</v>
      </c>
      <c r="Z174" s="126" t="s">
        <v>583</v>
      </c>
      <c r="AA174" s="126">
        <v>3</v>
      </c>
      <c r="AB174" s="126">
        <v>1</v>
      </c>
      <c r="AC174" s="126">
        <v>17.177622387623074</v>
      </c>
      <c r="AD174" s="102">
        <f t="shared" si="45"/>
        <v>1</v>
      </c>
      <c r="AE174" s="127">
        <f t="shared" si="38"/>
        <v>5</v>
      </c>
      <c r="AF174" s="128">
        <f t="shared" si="39"/>
        <v>17</v>
      </c>
      <c r="AG174" s="108">
        <v>2041</v>
      </c>
      <c r="AH174" s="108" t="str">
        <f t="shared" si="40"/>
        <v>late adopter</v>
      </c>
    </row>
    <row r="175" spans="1:34">
      <c r="A175" s="102" t="s">
        <v>423</v>
      </c>
      <c r="B175" s="120" t="s">
        <v>422</v>
      </c>
      <c r="C175" s="120" t="s">
        <v>83</v>
      </c>
      <c r="D175" s="102" t="s">
        <v>84</v>
      </c>
      <c r="E175" s="109" t="s">
        <v>76</v>
      </c>
      <c r="F175" s="102">
        <v>2014</v>
      </c>
      <c r="G175" s="102">
        <v>2014</v>
      </c>
      <c r="H175" s="102">
        <v>2013</v>
      </c>
      <c r="I175" s="102">
        <v>2013</v>
      </c>
      <c r="J175" s="102">
        <v>2018</v>
      </c>
      <c r="K175" s="102">
        <f t="shared" si="43"/>
        <v>1</v>
      </c>
      <c r="L175" s="102">
        <f t="shared" si="43"/>
        <v>1</v>
      </c>
      <c r="M175" s="102">
        <f t="shared" si="43"/>
        <v>2</v>
      </c>
      <c r="N175" s="102">
        <f t="shared" si="43"/>
        <v>3</v>
      </c>
      <c r="O175" s="102">
        <f t="shared" si="43"/>
        <v>2</v>
      </c>
      <c r="P175" s="121">
        <f t="shared" si="33"/>
        <v>1.8</v>
      </c>
      <c r="Q175" s="102">
        <v>270</v>
      </c>
      <c r="R175" s="102">
        <f t="shared" si="34"/>
        <v>3</v>
      </c>
      <c r="S175" s="122">
        <v>551.41116814152099</v>
      </c>
      <c r="T175" s="102">
        <f t="shared" si="35"/>
        <v>4</v>
      </c>
      <c r="U175" s="123">
        <v>3293.2778277401999</v>
      </c>
      <c r="V175" s="102">
        <f t="shared" si="36"/>
        <v>4</v>
      </c>
      <c r="W175" s="124">
        <v>2000.7</v>
      </c>
      <c r="X175" s="102">
        <f t="shared" si="44"/>
        <v>4</v>
      </c>
      <c r="Y175" s="125">
        <f t="shared" si="37"/>
        <v>16.8</v>
      </c>
      <c r="Z175" s="109" t="s">
        <v>583</v>
      </c>
      <c r="AA175" s="126">
        <v>3</v>
      </c>
      <c r="AB175" s="126">
        <v>2</v>
      </c>
      <c r="AC175" s="126">
        <v>16.544261542490943</v>
      </c>
      <c r="AD175" s="102">
        <f t="shared" si="45"/>
        <v>1</v>
      </c>
      <c r="AE175" s="127">
        <f t="shared" si="38"/>
        <v>6</v>
      </c>
      <c r="AF175" s="128">
        <f t="shared" si="39"/>
        <v>24.6</v>
      </c>
      <c r="AG175" s="108">
        <v>2031</v>
      </c>
      <c r="AH175" s="108" t="str">
        <f t="shared" si="40"/>
        <v>early adopter</v>
      </c>
    </row>
    <row r="176" spans="1:34">
      <c r="A176" s="102" t="s">
        <v>427</v>
      </c>
      <c r="B176" s="120" t="s">
        <v>426</v>
      </c>
      <c r="C176" s="120" t="s">
        <v>110</v>
      </c>
      <c r="D176" s="102" t="s">
        <v>80</v>
      </c>
      <c r="E176" s="109">
        <v>1</v>
      </c>
      <c r="F176" s="102">
        <v>1996</v>
      </c>
      <c r="G176" s="102">
        <v>1997</v>
      </c>
      <c r="H176" s="102" t="s">
        <v>566</v>
      </c>
      <c r="I176" s="102">
        <v>2020</v>
      </c>
      <c r="J176" s="102">
        <v>2017</v>
      </c>
      <c r="K176" s="102">
        <f t="shared" si="43"/>
        <v>3</v>
      </c>
      <c r="L176" s="102">
        <f t="shared" si="43"/>
        <v>3</v>
      </c>
      <c r="M176" s="102">
        <f t="shared" si="43"/>
        <v>1</v>
      </c>
      <c r="N176" s="102">
        <f t="shared" si="43"/>
        <v>1</v>
      </c>
      <c r="O176" s="102">
        <f t="shared" si="43"/>
        <v>2</v>
      </c>
      <c r="P176" s="121">
        <f t="shared" si="33"/>
        <v>2</v>
      </c>
      <c r="Q176" s="102">
        <v>5373</v>
      </c>
      <c r="R176" s="102">
        <f t="shared" si="34"/>
        <v>4</v>
      </c>
      <c r="S176" s="122">
        <v>139.653964100374</v>
      </c>
      <c r="T176" s="102">
        <f t="shared" si="35"/>
        <v>3</v>
      </c>
      <c r="U176" s="123">
        <v>104.294369228336</v>
      </c>
      <c r="V176" s="102">
        <f t="shared" si="36"/>
        <v>3</v>
      </c>
      <c r="W176" s="124">
        <v>11.2</v>
      </c>
      <c r="X176" s="102">
        <f t="shared" si="44"/>
        <v>3</v>
      </c>
      <c r="Y176" s="125">
        <f t="shared" si="37"/>
        <v>15</v>
      </c>
      <c r="Z176" s="126" t="s">
        <v>580</v>
      </c>
      <c r="AA176" s="126">
        <v>1</v>
      </c>
      <c r="AB176" s="126">
        <v>3</v>
      </c>
      <c r="AC176" s="126">
        <v>100</v>
      </c>
      <c r="AD176" s="102">
        <f t="shared" si="45"/>
        <v>4</v>
      </c>
      <c r="AE176" s="127">
        <f t="shared" si="38"/>
        <v>8</v>
      </c>
      <c r="AF176" s="128">
        <f t="shared" si="39"/>
        <v>25</v>
      </c>
      <c r="AG176" s="108">
        <v>2031</v>
      </c>
      <c r="AH176" s="108" t="str">
        <f t="shared" si="40"/>
        <v>early adopter</v>
      </c>
    </row>
    <row r="177" spans="1:34">
      <c r="A177" s="102" t="s">
        <v>429</v>
      </c>
      <c r="B177" s="120" t="s">
        <v>428</v>
      </c>
      <c r="C177" s="120" t="s">
        <v>110</v>
      </c>
      <c r="D177" s="102" t="s">
        <v>84</v>
      </c>
      <c r="E177" s="109">
        <v>4</v>
      </c>
      <c r="F177" s="102">
        <v>2016</v>
      </c>
      <c r="G177" s="102">
        <v>2016</v>
      </c>
      <c r="H177" s="102">
        <v>2021</v>
      </c>
      <c r="I177" s="102">
        <v>2019</v>
      </c>
      <c r="J177" s="102">
        <v>2022</v>
      </c>
      <c r="K177" s="102">
        <f t="shared" si="43"/>
        <v>1</v>
      </c>
      <c r="L177" s="102">
        <f t="shared" si="43"/>
        <v>1</v>
      </c>
      <c r="M177" s="102">
        <f t="shared" si="43"/>
        <v>1</v>
      </c>
      <c r="N177" s="102">
        <f t="shared" si="43"/>
        <v>1</v>
      </c>
      <c r="O177" s="102">
        <f t="shared" si="43"/>
        <v>1</v>
      </c>
      <c r="P177" s="121">
        <f t="shared" si="33"/>
        <v>1</v>
      </c>
      <c r="Q177" s="102">
        <v>33</v>
      </c>
      <c r="R177" s="102">
        <f t="shared" si="34"/>
        <v>2</v>
      </c>
      <c r="S177" s="122">
        <v>213.15852814356401</v>
      </c>
      <c r="T177" s="102">
        <f t="shared" si="35"/>
        <v>3</v>
      </c>
      <c r="U177" s="123">
        <v>11.880382129292</v>
      </c>
      <c r="V177" s="102">
        <f t="shared" si="36"/>
        <v>3</v>
      </c>
      <c r="W177" s="124">
        <v>56.347999999999999</v>
      </c>
      <c r="X177" s="102">
        <f t="shared" si="44"/>
        <v>3</v>
      </c>
      <c r="Y177" s="125">
        <f t="shared" si="37"/>
        <v>12</v>
      </c>
      <c r="Z177" s="126" t="s">
        <v>581</v>
      </c>
      <c r="AA177" s="126">
        <v>1</v>
      </c>
      <c r="AB177" s="126">
        <v>2</v>
      </c>
      <c r="AC177" s="126">
        <v>75.623540401681453</v>
      </c>
      <c r="AD177" s="102">
        <f t="shared" si="45"/>
        <v>2</v>
      </c>
      <c r="AE177" s="127">
        <f t="shared" si="38"/>
        <v>5</v>
      </c>
      <c r="AF177" s="128">
        <f t="shared" si="39"/>
        <v>18</v>
      </c>
      <c r="AG177" s="108">
        <v>2040</v>
      </c>
      <c r="AH177" s="108" t="str">
        <f t="shared" si="40"/>
        <v>late adopter</v>
      </c>
    </row>
    <row r="178" spans="1:34">
      <c r="A178" s="102" t="s">
        <v>431</v>
      </c>
      <c r="B178" s="120" t="s">
        <v>430</v>
      </c>
      <c r="C178" s="120" t="s">
        <v>83</v>
      </c>
      <c r="D178" s="102" t="s">
        <v>75</v>
      </c>
      <c r="E178" s="109">
        <v>3</v>
      </c>
      <c r="F178" s="102">
        <v>2019</v>
      </c>
      <c r="G178" s="102">
        <v>2018</v>
      </c>
      <c r="H178" s="102">
        <v>2014</v>
      </c>
      <c r="I178" s="102">
        <v>2014</v>
      </c>
      <c r="J178" s="102">
        <v>2022</v>
      </c>
      <c r="K178" s="102">
        <f t="shared" si="43"/>
        <v>1</v>
      </c>
      <c r="L178" s="102">
        <f t="shared" si="43"/>
        <v>1</v>
      </c>
      <c r="M178" s="102">
        <f t="shared" si="43"/>
        <v>2</v>
      </c>
      <c r="N178" s="102">
        <f t="shared" si="43"/>
        <v>2</v>
      </c>
      <c r="O178" s="102">
        <f t="shared" si="43"/>
        <v>1</v>
      </c>
      <c r="P178" s="121">
        <f t="shared" si="33"/>
        <v>1.4</v>
      </c>
      <c r="Q178" s="102">
        <v>151</v>
      </c>
      <c r="R178" s="102">
        <f t="shared" si="34"/>
        <v>3</v>
      </c>
      <c r="S178" s="122">
        <v>183.25216850755999</v>
      </c>
      <c r="T178" s="102">
        <f t="shared" si="35"/>
        <v>3</v>
      </c>
      <c r="U178" s="123">
        <v>59.560187168346701</v>
      </c>
      <c r="V178" s="102">
        <f t="shared" si="36"/>
        <v>3</v>
      </c>
      <c r="W178" s="124">
        <v>225.44</v>
      </c>
      <c r="X178" s="102">
        <f t="shared" si="44"/>
        <v>4</v>
      </c>
      <c r="Y178" s="125">
        <f t="shared" si="37"/>
        <v>14.4</v>
      </c>
      <c r="Z178" s="126" t="s">
        <v>583</v>
      </c>
      <c r="AA178" s="126">
        <v>3</v>
      </c>
      <c r="AB178" s="126">
        <v>1</v>
      </c>
      <c r="AC178" s="126">
        <v>9.4075068648250557</v>
      </c>
      <c r="AD178" s="102">
        <f t="shared" si="45"/>
        <v>1</v>
      </c>
      <c r="AE178" s="127">
        <f t="shared" si="38"/>
        <v>5</v>
      </c>
      <c r="AF178" s="128">
        <f t="shared" si="39"/>
        <v>20.8</v>
      </c>
      <c r="AG178" s="108">
        <v>2037</v>
      </c>
      <c r="AH178" s="108" t="str">
        <f t="shared" si="40"/>
        <v>mid adopter</v>
      </c>
    </row>
    <row r="179" spans="1:34">
      <c r="A179" s="102" t="s">
        <v>433</v>
      </c>
      <c r="B179" s="120" t="s">
        <v>432</v>
      </c>
      <c r="C179" s="120" t="s">
        <v>99</v>
      </c>
      <c r="D179" s="102" t="s">
        <v>80</v>
      </c>
      <c r="E179" s="109">
        <v>1</v>
      </c>
      <c r="F179" s="102">
        <v>2002</v>
      </c>
      <c r="G179" s="102">
        <v>2002</v>
      </c>
      <c r="H179" s="102">
        <v>2021</v>
      </c>
      <c r="I179" s="102">
        <v>2021</v>
      </c>
      <c r="J179" s="102">
        <v>2021</v>
      </c>
      <c r="K179" s="102">
        <f t="shared" si="43"/>
        <v>2</v>
      </c>
      <c r="L179" s="102">
        <f t="shared" si="43"/>
        <v>2</v>
      </c>
      <c r="M179" s="102">
        <f t="shared" si="43"/>
        <v>1</v>
      </c>
      <c r="N179" s="102">
        <f t="shared" si="43"/>
        <v>1</v>
      </c>
      <c r="O179" s="102">
        <f t="shared" si="43"/>
        <v>1</v>
      </c>
      <c r="P179" s="121">
        <f t="shared" si="33"/>
        <v>1.4</v>
      </c>
      <c r="Q179" s="102">
        <v>34</v>
      </c>
      <c r="R179" s="102">
        <f t="shared" si="34"/>
        <v>2</v>
      </c>
      <c r="S179" s="122">
        <v>1079.6607132751601</v>
      </c>
      <c r="T179" s="102">
        <f t="shared" si="35"/>
        <v>4</v>
      </c>
      <c r="U179" s="123">
        <v>1.4022517548601701</v>
      </c>
      <c r="V179" s="102">
        <f t="shared" si="36"/>
        <v>3</v>
      </c>
      <c r="W179" s="124">
        <v>1.6724999999999999E-8</v>
      </c>
      <c r="X179" s="102">
        <f t="shared" si="44"/>
        <v>2</v>
      </c>
      <c r="Y179" s="125">
        <f t="shared" si="37"/>
        <v>12.4</v>
      </c>
      <c r="Z179" s="126" t="s">
        <v>580</v>
      </c>
      <c r="AA179" s="126">
        <v>1</v>
      </c>
      <c r="AB179" s="126">
        <v>3</v>
      </c>
      <c r="AC179" s="126">
        <v>98.901098901098862</v>
      </c>
      <c r="AD179" s="102">
        <f t="shared" si="45"/>
        <v>3</v>
      </c>
      <c r="AE179" s="127">
        <f t="shared" si="38"/>
        <v>7</v>
      </c>
      <c r="AF179" s="128">
        <f t="shared" si="39"/>
        <v>20.8</v>
      </c>
      <c r="AG179" s="108">
        <v>2037</v>
      </c>
      <c r="AH179" s="108" t="str">
        <f t="shared" si="40"/>
        <v>mid adopter</v>
      </c>
    </row>
    <row r="180" spans="1:34">
      <c r="A180" s="102" t="s">
        <v>435</v>
      </c>
      <c r="B180" s="120" t="s">
        <v>434</v>
      </c>
      <c r="C180" s="120" t="s">
        <v>92</v>
      </c>
      <c r="D180" s="102" t="s">
        <v>87</v>
      </c>
      <c r="E180" s="109">
        <v>1</v>
      </c>
      <c r="F180" s="102">
        <v>2001</v>
      </c>
      <c r="G180" s="102">
        <v>1984</v>
      </c>
      <c r="H180" s="102">
        <v>2012</v>
      </c>
      <c r="I180" s="102" t="s">
        <v>566</v>
      </c>
      <c r="J180" s="102">
        <v>2012</v>
      </c>
      <c r="K180" s="102">
        <f t="shared" si="43"/>
        <v>2</v>
      </c>
      <c r="L180" s="102">
        <f t="shared" si="43"/>
        <v>4</v>
      </c>
      <c r="M180" s="102">
        <f t="shared" si="43"/>
        <v>2</v>
      </c>
      <c r="N180" s="102">
        <f t="shared" si="43"/>
        <v>1</v>
      </c>
      <c r="O180" s="102">
        <f t="shared" si="43"/>
        <v>3</v>
      </c>
      <c r="P180" s="121">
        <f t="shared" si="33"/>
        <v>2.4</v>
      </c>
      <c r="Q180" s="102">
        <v>0</v>
      </c>
      <c r="R180" s="102">
        <f t="shared" si="34"/>
        <v>1</v>
      </c>
      <c r="S180" s="122">
        <v>3.5484787879060203E-2</v>
      </c>
      <c r="T180" s="102">
        <f t="shared" si="35"/>
        <v>1</v>
      </c>
      <c r="U180" s="123">
        <v>0</v>
      </c>
      <c r="V180" s="102">
        <f t="shared" si="36"/>
        <v>1</v>
      </c>
      <c r="W180" s="124">
        <v>0</v>
      </c>
      <c r="X180" s="102">
        <f t="shared" si="44"/>
        <v>2</v>
      </c>
      <c r="Y180" s="125">
        <f t="shared" si="37"/>
        <v>7.4</v>
      </c>
      <c r="Z180" s="126" t="s">
        <v>580</v>
      </c>
      <c r="AA180" s="126">
        <v>1</v>
      </c>
      <c r="AB180" s="126">
        <v>4</v>
      </c>
      <c r="AC180" s="126">
        <v>100</v>
      </c>
      <c r="AD180" s="102">
        <f t="shared" si="45"/>
        <v>4</v>
      </c>
      <c r="AE180" s="127">
        <f t="shared" si="38"/>
        <v>9</v>
      </c>
      <c r="AF180" s="128">
        <f t="shared" si="39"/>
        <v>18.8</v>
      </c>
      <c r="AG180" s="108">
        <v>2039</v>
      </c>
      <c r="AH180" s="108" t="str">
        <f t="shared" si="40"/>
        <v>late adopter</v>
      </c>
    </row>
    <row r="181" spans="1:34">
      <c r="A181" s="102" t="s">
        <v>437</v>
      </c>
      <c r="B181" s="120" t="s">
        <v>436</v>
      </c>
      <c r="C181" s="120" t="s">
        <v>74</v>
      </c>
      <c r="D181" s="102" t="s">
        <v>84</v>
      </c>
      <c r="E181" s="109">
        <v>3</v>
      </c>
      <c r="F181" s="102">
        <v>1981</v>
      </c>
      <c r="G181" s="102">
        <v>2012</v>
      </c>
      <c r="H181" s="102">
        <v>2019</v>
      </c>
      <c r="I181" s="102" t="s">
        <v>566</v>
      </c>
      <c r="J181" s="102" t="s">
        <v>566</v>
      </c>
      <c r="K181" s="102">
        <f t="shared" si="43"/>
        <v>4</v>
      </c>
      <c r="L181" s="102">
        <f t="shared" si="43"/>
        <v>2</v>
      </c>
      <c r="M181" s="102">
        <f t="shared" si="43"/>
        <v>1</v>
      </c>
      <c r="N181" s="102">
        <f t="shared" si="43"/>
        <v>1</v>
      </c>
      <c r="O181" s="102">
        <f t="shared" si="43"/>
        <v>1</v>
      </c>
      <c r="P181" s="121">
        <f t="shared" si="33"/>
        <v>1.8</v>
      </c>
      <c r="Q181" s="102">
        <v>4674</v>
      </c>
      <c r="R181" s="102">
        <f t="shared" si="34"/>
        <v>4</v>
      </c>
      <c r="S181" s="122">
        <v>201.99982294137601</v>
      </c>
      <c r="T181" s="102">
        <f t="shared" si="35"/>
        <v>3</v>
      </c>
      <c r="U181" s="123">
        <v>29.645145842677</v>
      </c>
      <c r="V181" s="102">
        <f t="shared" si="36"/>
        <v>3</v>
      </c>
      <c r="W181" s="124">
        <v>5.7183999999999999</v>
      </c>
      <c r="X181" s="102">
        <f t="shared" si="44"/>
        <v>3</v>
      </c>
      <c r="Y181" s="125">
        <f t="shared" si="37"/>
        <v>14.8</v>
      </c>
      <c r="Z181" s="126" t="s">
        <v>580</v>
      </c>
      <c r="AA181" s="126">
        <v>1</v>
      </c>
      <c r="AB181" s="126">
        <v>2</v>
      </c>
      <c r="AC181" s="126">
        <v>100</v>
      </c>
      <c r="AD181" s="102">
        <f t="shared" si="45"/>
        <v>4</v>
      </c>
      <c r="AE181" s="127">
        <f t="shared" si="38"/>
        <v>7</v>
      </c>
      <c r="AF181" s="128">
        <f t="shared" si="39"/>
        <v>23.6</v>
      </c>
      <c r="AG181" s="108">
        <v>2033</v>
      </c>
      <c r="AH181" s="108" t="str">
        <f t="shared" si="40"/>
        <v>early adopter</v>
      </c>
    </row>
    <row r="182" spans="1:34">
      <c r="A182" s="102" t="s">
        <v>439</v>
      </c>
      <c r="B182" s="120" t="s">
        <v>438</v>
      </c>
      <c r="C182" s="120" t="s">
        <v>79</v>
      </c>
      <c r="D182" s="102" t="s">
        <v>80</v>
      </c>
      <c r="E182" s="109">
        <v>1</v>
      </c>
      <c r="F182" s="102">
        <v>1998</v>
      </c>
      <c r="G182" s="102">
        <v>2006</v>
      </c>
      <c r="H182" s="102">
        <v>2008</v>
      </c>
      <c r="I182" s="102" t="s">
        <v>566</v>
      </c>
      <c r="J182" s="102" t="s">
        <v>566</v>
      </c>
      <c r="K182" s="102">
        <f t="shared" si="43"/>
        <v>3</v>
      </c>
      <c r="L182" s="102">
        <f t="shared" si="43"/>
        <v>2</v>
      </c>
      <c r="M182" s="102">
        <f t="shared" si="43"/>
        <v>4</v>
      </c>
      <c r="N182" s="102">
        <f t="shared" si="43"/>
        <v>1</v>
      </c>
      <c r="O182" s="102">
        <f t="shared" si="43"/>
        <v>1</v>
      </c>
      <c r="P182" s="121">
        <f t="shared" si="33"/>
        <v>2.2000000000000002</v>
      </c>
      <c r="Q182" s="102">
        <v>2892</v>
      </c>
      <c r="R182" s="102">
        <f t="shared" si="34"/>
        <v>4</v>
      </c>
      <c r="S182" s="122">
        <v>210.82492567158801</v>
      </c>
      <c r="T182" s="102">
        <f t="shared" si="35"/>
        <v>3</v>
      </c>
      <c r="U182" s="123">
        <v>146.982623733011</v>
      </c>
      <c r="V182" s="102">
        <f t="shared" si="36"/>
        <v>4</v>
      </c>
      <c r="W182" s="124">
        <v>5.1597999999999998E-4</v>
      </c>
      <c r="X182" s="102">
        <f t="shared" si="44"/>
        <v>3</v>
      </c>
      <c r="Y182" s="125">
        <f t="shared" si="37"/>
        <v>16.2</v>
      </c>
      <c r="Z182" s="126" t="s">
        <v>580</v>
      </c>
      <c r="AA182" s="126">
        <v>1</v>
      </c>
      <c r="AB182" s="126">
        <v>3</v>
      </c>
      <c r="AC182" s="126">
        <v>100</v>
      </c>
      <c r="AD182" s="102">
        <f t="shared" si="45"/>
        <v>4</v>
      </c>
      <c r="AE182" s="127">
        <f t="shared" si="38"/>
        <v>8</v>
      </c>
      <c r="AF182" s="128">
        <f t="shared" si="39"/>
        <v>26.4</v>
      </c>
      <c r="AG182" s="108">
        <v>2030</v>
      </c>
      <c r="AH182" s="108" t="str">
        <f t="shared" si="40"/>
        <v>early adopter</v>
      </c>
    </row>
    <row r="183" spans="1:34">
      <c r="A183" s="102" t="s">
        <v>441</v>
      </c>
      <c r="B183" s="120" t="s">
        <v>440</v>
      </c>
      <c r="C183" s="120" t="s">
        <v>79</v>
      </c>
      <c r="D183" s="102" t="s">
        <v>80</v>
      </c>
      <c r="E183" s="109">
        <v>1</v>
      </c>
      <c r="F183" s="102">
        <v>1988</v>
      </c>
      <c r="G183" s="102">
        <v>2007</v>
      </c>
      <c r="H183" s="102">
        <v>2019</v>
      </c>
      <c r="I183" s="102">
        <v>2019</v>
      </c>
      <c r="J183" s="102">
        <v>2016</v>
      </c>
      <c r="K183" s="102">
        <f t="shared" si="43"/>
        <v>4</v>
      </c>
      <c r="L183" s="102">
        <f t="shared" si="43"/>
        <v>2</v>
      </c>
      <c r="M183" s="102">
        <f t="shared" si="43"/>
        <v>1</v>
      </c>
      <c r="N183" s="102">
        <f t="shared" si="43"/>
        <v>1</v>
      </c>
      <c r="O183" s="102">
        <f t="shared" si="43"/>
        <v>3</v>
      </c>
      <c r="P183" s="121">
        <f t="shared" si="33"/>
        <v>2.2000000000000002</v>
      </c>
      <c r="Q183" s="102">
        <v>0</v>
      </c>
      <c r="R183" s="102">
        <f t="shared" si="34"/>
        <v>1</v>
      </c>
      <c r="S183" s="122">
        <v>0.279352406495609</v>
      </c>
      <c r="T183" s="102">
        <f t="shared" si="35"/>
        <v>1</v>
      </c>
      <c r="U183" s="123">
        <v>0</v>
      </c>
      <c r="V183" s="102">
        <f t="shared" si="36"/>
        <v>1</v>
      </c>
      <c r="W183" s="124">
        <v>0</v>
      </c>
      <c r="X183" s="102">
        <f t="shared" si="44"/>
        <v>2</v>
      </c>
      <c r="Y183" s="125">
        <f t="shared" si="37"/>
        <v>7.2</v>
      </c>
      <c r="Z183" s="126" t="s">
        <v>580</v>
      </c>
      <c r="AA183" s="126">
        <v>1</v>
      </c>
      <c r="AB183" s="126">
        <v>3</v>
      </c>
      <c r="AC183" s="126">
        <v>100</v>
      </c>
      <c r="AD183" s="102">
        <f t="shared" si="45"/>
        <v>4</v>
      </c>
      <c r="AE183" s="127">
        <f t="shared" si="38"/>
        <v>8</v>
      </c>
      <c r="AF183" s="128">
        <f t="shared" si="39"/>
        <v>17.399999999999999</v>
      </c>
      <c r="AG183" s="108">
        <v>2040</v>
      </c>
      <c r="AH183" s="108" t="str">
        <f t="shared" si="40"/>
        <v>late adopter</v>
      </c>
    </row>
    <row r="184" spans="1:34">
      <c r="A184" s="102" t="s">
        <v>443</v>
      </c>
      <c r="B184" s="120" t="s">
        <v>442</v>
      </c>
      <c r="C184" s="120" t="s">
        <v>99</v>
      </c>
      <c r="D184" s="102" t="s">
        <v>80</v>
      </c>
      <c r="E184" s="109">
        <v>4</v>
      </c>
      <c r="F184" s="102">
        <v>2005</v>
      </c>
      <c r="G184" s="102">
        <v>2005</v>
      </c>
      <c r="H184" s="102" t="s">
        <v>566</v>
      </c>
      <c r="I184" s="102" t="s">
        <v>566</v>
      </c>
      <c r="J184" s="102">
        <v>2021</v>
      </c>
      <c r="K184" s="102">
        <f t="shared" si="43"/>
        <v>2</v>
      </c>
      <c r="L184" s="102">
        <f t="shared" si="43"/>
        <v>2</v>
      </c>
      <c r="M184" s="102">
        <f t="shared" si="43"/>
        <v>1</v>
      </c>
      <c r="N184" s="102">
        <f t="shared" si="43"/>
        <v>1</v>
      </c>
      <c r="O184" s="102">
        <f t="shared" si="43"/>
        <v>1</v>
      </c>
      <c r="P184" s="121">
        <f t="shared" si="33"/>
        <v>1.4</v>
      </c>
      <c r="Q184" s="102">
        <v>0</v>
      </c>
      <c r="R184" s="102">
        <f t="shared" si="34"/>
        <v>1</v>
      </c>
      <c r="S184" s="122">
        <v>816.78190748408804</v>
      </c>
      <c r="T184" s="102">
        <f t="shared" si="35"/>
        <v>4</v>
      </c>
      <c r="U184" s="123">
        <v>0.14386378601142799</v>
      </c>
      <c r="V184" s="102">
        <f t="shared" si="36"/>
        <v>2</v>
      </c>
      <c r="W184" s="124" t="s">
        <v>573</v>
      </c>
      <c r="X184" s="102">
        <v>1</v>
      </c>
      <c r="Y184" s="125">
        <f t="shared" si="37"/>
        <v>9.4</v>
      </c>
      <c r="Z184" s="126" t="s">
        <v>580</v>
      </c>
      <c r="AA184" s="126">
        <v>1</v>
      </c>
      <c r="AB184" s="126">
        <v>3</v>
      </c>
      <c r="AC184" s="126" t="s">
        <v>582</v>
      </c>
      <c r="AD184" s="102">
        <v>3</v>
      </c>
      <c r="AE184" s="127">
        <f t="shared" si="38"/>
        <v>7</v>
      </c>
      <c r="AF184" s="128">
        <f t="shared" si="39"/>
        <v>17.8</v>
      </c>
      <c r="AG184" s="108">
        <v>2040</v>
      </c>
      <c r="AH184" s="108" t="str">
        <f t="shared" si="40"/>
        <v>late adopter</v>
      </c>
    </row>
    <row r="185" spans="1:34">
      <c r="A185" s="102" t="s">
        <v>445</v>
      </c>
      <c r="B185" s="120" t="s">
        <v>444</v>
      </c>
      <c r="C185" s="120" t="s">
        <v>83</v>
      </c>
      <c r="D185" s="102" t="s">
        <v>75</v>
      </c>
      <c r="E185" s="109" t="s">
        <v>76</v>
      </c>
      <c r="F185" s="102">
        <v>2021</v>
      </c>
      <c r="G185" s="102">
        <v>2019</v>
      </c>
      <c r="H185" s="102">
        <v>2014</v>
      </c>
      <c r="I185" s="102">
        <v>2018</v>
      </c>
      <c r="J185" s="102">
        <v>2015</v>
      </c>
      <c r="K185" s="102">
        <f t="shared" si="43"/>
        <v>1</v>
      </c>
      <c r="L185" s="102">
        <f t="shared" si="43"/>
        <v>1</v>
      </c>
      <c r="M185" s="102">
        <f t="shared" si="43"/>
        <v>2</v>
      </c>
      <c r="N185" s="102">
        <f t="shared" si="43"/>
        <v>1</v>
      </c>
      <c r="O185" s="102">
        <f t="shared" si="43"/>
        <v>3</v>
      </c>
      <c r="P185" s="121">
        <f t="shared" si="33"/>
        <v>1.6</v>
      </c>
      <c r="Q185" s="102">
        <v>895</v>
      </c>
      <c r="R185" s="102">
        <f t="shared" si="34"/>
        <v>3</v>
      </c>
      <c r="S185" s="122">
        <v>1705.94777924871</v>
      </c>
      <c r="T185" s="102">
        <f t="shared" si="35"/>
        <v>4</v>
      </c>
      <c r="U185" s="123">
        <v>4305.23166948771</v>
      </c>
      <c r="V185" s="102">
        <f t="shared" si="36"/>
        <v>4</v>
      </c>
      <c r="W185" s="124">
        <v>1719</v>
      </c>
      <c r="X185" s="102">
        <f t="shared" ref="X185:X197" si="46">IF(AND(W185&gt;=W$200,W185&lt;W$201),1,IF(AND(W185&gt;=W$201,W185&lt;W$202),2,IF(AND(W185&gt;=W$202,W185&lt;W$203),3,IF(AND(W185&gt;=W$203,W185&lt;=W$204),4,"empty"))))</f>
        <v>4</v>
      </c>
      <c r="Y185" s="125">
        <f t="shared" si="37"/>
        <v>16.600000000000001</v>
      </c>
      <c r="Z185" s="126" t="s">
        <v>579</v>
      </c>
      <c r="AA185" s="126">
        <v>4</v>
      </c>
      <c r="AB185" s="126">
        <v>1</v>
      </c>
      <c r="AC185" s="126">
        <v>6.2179089797876346</v>
      </c>
      <c r="AD185" s="102">
        <f>IF(AND(AC185&gt;=AC$200,AC185&lt;AC$201),1,IF(AND(AC185&gt;=AC$201,AC185&lt;AC$202),2,IF(AND(AC185&gt;=AC$202,AC185&lt;AC$203),3,IF(AND(AC185&gt;=AC$203,AC185&lt;=AC$204),4,"empty"))))</f>
        <v>1</v>
      </c>
      <c r="AE185" s="127">
        <f t="shared" si="38"/>
        <v>6</v>
      </c>
      <c r="AF185" s="128">
        <f t="shared" si="39"/>
        <v>24.200000000000003</v>
      </c>
      <c r="AG185" s="108">
        <v>2032</v>
      </c>
      <c r="AH185" s="108" t="str">
        <f t="shared" si="40"/>
        <v>early adopter</v>
      </c>
    </row>
    <row r="186" spans="1:34">
      <c r="A186" s="102" t="s">
        <v>447</v>
      </c>
      <c r="B186" s="120" t="s">
        <v>446</v>
      </c>
      <c r="C186" s="120" t="s">
        <v>79</v>
      </c>
      <c r="D186" s="102" t="s">
        <v>84</v>
      </c>
      <c r="E186" s="109">
        <v>1</v>
      </c>
      <c r="F186" s="102">
        <v>2001</v>
      </c>
      <c r="G186" s="102">
        <v>2003</v>
      </c>
      <c r="H186" s="102" t="s">
        <v>566</v>
      </c>
      <c r="I186" s="102" t="s">
        <v>566</v>
      </c>
      <c r="J186" s="102" t="s">
        <v>566</v>
      </c>
      <c r="K186" s="102">
        <f t="shared" si="43"/>
        <v>2</v>
      </c>
      <c r="L186" s="102">
        <f t="shared" si="43"/>
        <v>2</v>
      </c>
      <c r="M186" s="102">
        <f t="shared" si="43"/>
        <v>1</v>
      </c>
      <c r="N186" s="102">
        <f t="shared" si="43"/>
        <v>1</v>
      </c>
      <c r="O186" s="102">
        <f t="shared" si="43"/>
        <v>1</v>
      </c>
      <c r="P186" s="121">
        <f t="shared" si="33"/>
        <v>1.4</v>
      </c>
      <c r="Q186" s="102">
        <v>57332</v>
      </c>
      <c r="R186" s="102">
        <f t="shared" si="34"/>
        <v>4</v>
      </c>
      <c r="S186" s="122">
        <v>246.32856890845599</v>
      </c>
      <c r="T186" s="102">
        <f t="shared" si="35"/>
        <v>3</v>
      </c>
      <c r="U186" s="123">
        <v>9.6663395404563701E-2</v>
      </c>
      <c r="V186" s="102">
        <f t="shared" si="36"/>
        <v>2</v>
      </c>
      <c r="W186" s="124">
        <v>0</v>
      </c>
      <c r="X186" s="102">
        <f t="shared" si="46"/>
        <v>2</v>
      </c>
      <c r="Y186" s="125">
        <f t="shared" si="37"/>
        <v>12.4</v>
      </c>
      <c r="Z186" s="126" t="s">
        <v>580</v>
      </c>
      <c r="AA186" s="126">
        <v>1</v>
      </c>
      <c r="AB186" s="126">
        <v>2</v>
      </c>
      <c r="AC186" s="126">
        <v>100</v>
      </c>
      <c r="AD186" s="102">
        <f>IF(AND(AC186&gt;=AC$200,AC186&lt;AC$201),1,IF(AND(AC186&gt;=AC$201,AC186&lt;AC$202),2,IF(AND(AC186&gt;=AC$202,AC186&lt;AC$203),3,IF(AND(AC186&gt;=AC$203,AC186&lt;=AC$204),4,"empty"))))</f>
        <v>4</v>
      </c>
      <c r="AE186" s="127">
        <f t="shared" si="38"/>
        <v>7</v>
      </c>
      <c r="AF186" s="128">
        <f t="shared" si="39"/>
        <v>20.8</v>
      </c>
      <c r="AG186" s="108">
        <v>2038</v>
      </c>
      <c r="AH186" s="108" t="str">
        <f t="shared" si="40"/>
        <v>late adopter</v>
      </c>
    </row>
    <row r="187" spans="1:34">
      <c r="A187" s="102" t="s">
        <v>449</v>
      </c>
      <c r="B187" s="120" t="s">
        <v>448</v>
      </c>
      <c r="C187" s="120" t="s">
        <v>74</v>
      </c>
      <c r="D187" s="102" t="s">
        <v>87</v>
      </c>
      <c r="E187" s="109">
        <v>1</v>
      </c>
      <c r="F187" s="102">
        <v>1985</v>
      </c>
      <c r="G187" s="102">
        <v>1985</v>
      </c>
      <c r="H187" s="102">
        <v>2007</v>
      </c>
      <c r="I187" s="102">
        <v>2014</v>
      </c>
      <c r="J187" s="102">
        <v>2018</v>
      </c>
      <c r="K187" s="102">
        <f t="shared" si="43"/>
        <v>4</v>
      </c>
      <c r="L187" s="102">
        <f t="shared" si="43"/>
        <v>4</v>
      </c>
      <c r="M187" s="102">
        <f t="shared" si="43"/>
        <v>4</v>
      </c>
      <c r="N187" s="102">
        <f t="shared" si="43"/>
        <v>2</v>
      </c>
      <c r="O187" s="102">
        <f t="shared" si="43"/>
        <v>2</v>
      </c>
      <c r="P187" s="121">
        <f t="shared" si="33"/>
        <v>3.2</v>
      </c>
      <c r="Q187" s="102">
        <v>186</v>
      </c>
      <c r="R187" s="102">
        <f t="shared" si="34"/>
        <v>3</v>
      </c>
      <c r="S187" s="122">
        <v>10.9934008286092</v>
      </c>
      <c r="T187" s="102">
        <f t="shared" si="35"/>
        <v>2</v>
      </c>
      <c r="U187" s="123">
        <v>0.38804870509728701</v>
      </c>
      <c r="V187" s="102">
        <f t="shared" si="36"/>
        <v>2</v>
      </c>
      <c r="W187" s="124">
        <v>0</v>
      </c>
      <c r="X187" s="102">
        <f t="shared" si="46"/>
        <v>2</v>
      </c>
      <c r="Y187" s="125">
        <f t="shared" si="37"/>
        <v>12.2</v>
      </c>
      <c r="Z187" s="126" t="s">
        <v>580</v>
      </c>
      <c r="AA187" s="126">
        <v>1</v>
      </c>
      <c r="AB187" s="126">
        <v>4</v>
      </c>
      <c r="AC187" s="126" t="s">
        <v>582</v>
      </c>
      <c r="AD187" s="126">
        <v>4</v>
      </c>
      <c r="AE187" s="127">
        <f t="shared" si="38"/>
        <v>9</v>
      </c>
      <c r="AF187" s="128">
        <f t="shared" si="39"/>
        <v>24.4</v>
      </c>
      <c r="AG187" s="108">
        <v>2032</v>
      </c>
      <c r="AH187" s="108" t="str">
        <f t="shared" si="40"/>
        <v>early adopter</v>
      </c>
    </row>
    <row r="188" spans="1:34">
      <c r="A188" s="102" t="s">
        <v>451</v>
      </c>
      <c r="B188" s="120" t="s">
        <v>450</v>
      </c>
      <c r="C188" s="120" t="s">
        <v>79</v>
      </c>
      <c r="D188" s="102" t="s">
        <v>87</v>
      </c>
      <c r="E188" s="109">
        <v>1</v>
      </c>
      <c r="F188" s="102">
        <v>1996</v>
      </c>
      <c r="G188" s="102">
        <v>1970</v>
      </c>
      <c r="H188" s="102">
        <v>2006</v>
      </c>
      <c r="I188" s="102">
        <v>2013</v>
      </c>
      <c r="J188" s="102">
        <v>2008</v>
      </c>
      <c r="K188" s="102">
        <f t="shared" si="43"/>
        <v>3</v>
      </c>
      <c r="L188" s="102">
        <f t="shared" si="43"/>
        <v>4</v>
      </c>
      <c r="M188" s="102">
        <f t="shared" si="43"/>
        <v>4</v>
      </c>
      <c r="N188" s="102">
        <f t="shared" si="43"/>
        <v>3</v>
      </c>
      <c r="O188" s="102">
        <f t="shared" si="43"/>
        <v>4</v>
      </c>
      <c r="P188" s="121">
        <f t="shared" si="33"/>
        <v>3.6</v>
      </c>
      <c r="Q188" s="102">
        <v>882</v>
      </c>
      <c r="R188" s="102">
        <f t="shared" si="34"/>
        <v>3</v>
      </c>
      <c r="S188" s="122">
        <v>1.4531570229472199</v>
      </c>
      <c r="T188" s="102">
        <f t="shared" si="35"/>
        <v>2</v>
      </c>
      <c r="U188" s="123">
        <v>0.92792351165657205</v>
      </c>
      <c r="V188" s="102">
        <f t="shared" si="36"/>
        <v>3</v>
      </c>
      <c r="W188" s="124">
        <v>0</v>
      </c>
      <c r="X188" s="102">
        <f t="shared" si="46"/>
        <v>2</v>
      </c>
      <c r="Y188" s="125">
        <f t="shared" si="37"/>
        <v>13.6</v>
      </c>
      <c r="Z188" s="126" t="s">
        <v>580</v>
      </c>
      <c r="AA188" s="126">
        <v>1</v>
      </c>
      <c r="AB188" s="126">
        <v>4</v>
      </c>
      <c r="AC188" s="126" t="s">
        <v>582</v>
      </c>
      <c r="AD188" s="126">
        <v>4</v>
      </c>
      <c r="AE188" s="127">
        <f t="shared" si="38"/>
        <v>9</v>
      </c>
      <c r="AF188" s="128">
        <f t="shared" si="39"/>
        <v>26.2</v>
      </c>
      <c r="AG188" s="108">
        <v>2030</v>
      </c>
      <c r="AH188" s="108" t="str">
        <f t="shared" si="40"/>
        <v>early adopter</v>
      </c>
    </row>
    <row r="189" spans="1:34">
      <c r="A189" s="102" t="s">
        <v>453</v>
      </c>
      <c r="B189" s="120" t="s">
        <v>452</v>
      </c>
      <c r="C189" s="120" t="s">
        <v>92</v>
      </c>
      <c r="D189" s="102" t="s">
        <v>87</v>
      </c>
      <c r="E189" s="109" t="s">
        <v>76</v>
      </c>
      <c r="F189" s="102">
        <v>1989</v>
      </c>
      <c r="G189" s="102">
        <v>1969</v>
      </c>
      <c r="H189" s="102">
        <v>2000</v>
      </c>
      <c r="I189" s="102">
        <v>2006</v>
      </c>
      <c r="J189" s="102">
        <v>2006</v>
      </c>
      <c r="K189" s="102">
        <f t="shared" si="43"/>
        <v>4</v>
      </c>
      <c r="L189" s="102">
        <f t="shared" si="43"/>
        <v>4</v>
      </c>
      <c r="M189" s="102">
        <f t="shared" si="43"/>
        <v>4</v>
      </c>
      <c r="N189" s="102">
        <f t="shared" si="43"/>
        <v>4</v>
      </c>
      <c r="O189" s="102">
        <f t="shared" si="43"/>
        <v>4</v>
      </c>
      <c r="P189" s="121">
        <f t="shared" si="33"/>
        <v>4</v>
      </c>
      <c r="Q189" s="102">
        <v>1282</v>
      </c>
      <c r="R189" s="102">
        <f t="shared" si="34"/>
        <v>4</v>
      </c>
      <c r="S189" s="122">
        <v>0.39139337674580299</v>
      </c>
      <c r="T189" s="102">
        <f t="shared" si="35"/>
        <v>1</v>
      </c>
      <c r="U189" s="123">
        <v>0.553970896712913</v>
      </c>
      <c r="V189" s="102">
        <f t="shared" si="36"/>
        <v>3</v>
      </c>
      <c r="W189" s="124">
        <v>0</v>
      </c>
      <c r="X189" s="102">
        <f t="shared" si="46"/>
        <v>2</v>
      </c>
      <c r="Y189" s="125">
        <f t="shared" si="37"/>
        <v>14</v>
      </c>
      <c r="Z189" s="126" t="s">
        <v>580</v>
      </c>
      <c r="AA189" s="126">
        <v>1</v>
      </c>
      <c r="AB189" s="126">
        <v>4</v>
      </c>
      <c r="AC189" s="126" t="s">
        <v>582</v>
      </c>
      <c r="AD189" s="126">
        <v>4</v>
      </c>
      <c r="AE189" s="127">
        <f t="shared" si="38"/>
        <v>9</v>
      </c>
      <c r="AF189" s="128">
        <f t="shared" si="39"/>
        <v>27</v>
      </c>
      <c r="AG189" s="108">
        <v>2030</v>
      </c>
      <c r="AH189" s="108" t="str">
        <f t="shared" si="40"/>
        <v>early adopter</v>
      </c>
    </row>
    <row r="190" spans="1:34">
      <c r="A190" s="102" t="s">
        <v>455</v>
      </c>
      <c r="B190" s="120" t="s">
        <v>454</v>
      </c>
      <c r="C190" s="120" t="s">
        <v>92</v>
      </c>
      <c r="D190" s="102" t="s">
        <v>87</v>
      </c>
      <c r="E190" s="109">
        <v>1</v>
      </c>
      <c r="F190" s="102">
        <v>1992</v>
      </c>
      <c r="G190" s="102">
        <v>1982</v>
      </c>
      <c r="H190" s="102">
        <v>2008</v>
      </c>
      <c r="I190" s="102" t="s">
        <v>566</v>
      </c>
      <c r="J190" s="102">
        <v>2013</v>
      </c>
      <c r="K190" s="102">
        <f t="shared" si="43"/>
        <v>3</v>
      </c>
      <c r="L190" s="102">
        <f t="shared" si="43"/>
        <v>4</v>
      </c>
      <c r="M190" s="102">
        <f t="shared" si="43"/>
        <v>4</v>
      </c>
      <c r="N190" s="102">
        <f t="shared" si="43"/>
        <v>1</v>
      </c>
      <c r="O190" s="102">
        <f t="shared" si="43"/>
        <v>3</v>
      </c>
      <c r="P190" s="121">
        <f t="shared" si="33"/>
        <v>3</v>
      </c>
      <c r="Q190" s="102">
        <v>9</v>
      </c>
      <c r="R190" s="102">
        <f t="shared" si="34"/>
        <v>2</v>
      </c>
      <c r="S190" s="122">
        <v>0.52652024713803802</v>
      </c>
      <c r="T190" s="102">
        <f t="shared" si="35"/>
        <v>2</v>
      </c>
      <c r="U190" s="123">
        <v>5.9554143152627196E-3</v>
      </c>
      <c r="V190" s="102">
        <f t="shared" si="36"/>
        <v>1</v>
      </c>
      <c r="W190" s="124">
        <v>0</v>
      </c>
      <c r="X190" s="102">
        <f t="shared" si="46"/>
        <v>2</v>
      </c>
      <c r="Y190" s="125">
        <f t="shared" si="37"/>
        <v>10</v>
      </c>
      <c r="Z190" s="126" t="s">
        <v>580</v>
      </c>
      <c r="AA190" s="126">
        <v>1</v>
      </c>
      <c r="AB190" s="126">
        <v>4</v>
      </c>
      <c r="AC190" s="126">
        <v>100</v>
      </c>
      <c r="AD190" s="102">
        <f t="shared" ref="AD190:AD197" si="47">IF(AND(AC190&gt;=AC$200,AC190&lt;AC$201),1,IF(AND(AC190&gt;=AC$201,AC190&lt;AC$202),2,IF(AND(AC190&gt;=AC$202,AC190&lt;AC$203),3,IF(AND(AC190&gt;=AC$203,AC190&lt;=AC$204),4,"empty"))))</f>
        <v>4</v>
      </c>
      <c r="AE190" s="127">
        <f t="shared" si="38"/>
        <v>9</v>
      </c>
      <c r="AF190" s="128">
        <f t="shared" si="39"/>
        <v>22</v>
      </c>
      <c r="AG190" s="108">
        <v>2036</v>
      </c>
      <c r="AH190" s="108" t="str">
        <f t="shared" si="40"/>
        <v>mid adopter</v>
      </c>
    </row>
    <row r="191" spans="1:34">
      <c r="A191" s="102" t="s">
        <v>457</v>
      </c>
      <c r="B191" s="120" t="s">
        <v>456</v>
      </c>
      <c r="C191" s="120" t="s">
        <v>79</v>
      </c>
      <c r="D191" s="102" t="s">
        <v>84</v>
      </c>
      <c r="E191" s="109">
        <v>2</v>
      </c>
      <c r="F191" s="102">
        <v>1986</v>
      </c>
      <c r="G191" s="102">
        <v>2006</v>
      </c>
      <c r="H191" s="102">
        <v>2015</v>
      </c>
      <c r="I191" s="102">
        <v>2014</v>
      </c>
      <c r="J191" s="102">
        <v>2019</v>
      </c>
      <c r="K191" s="102">
        <f t="shared" si="43"/>
        <v>4</v>
      </c>
      <c r="L191" s="102">
        <f t="shared" si="43"/>
        <v>2</v>
      </c>
      <c r="M191" s="102">
        <f t="shared" si="43"/>
        <v>1</v>
      </c>
      <c r="N191" s="102">
        <f t="shared" si="43"/>
        <v>2</v>
      </c>
      <c r="O191" s="102">
        <f t="shared" si="43"/>
        <v>2</v>
      </c>
      <c r="P191" s="121">
        <f t="shared" si="33"/>
        <v>2.2000000000000002</v>
      </c>
      <c r="Q191" s="102">
        <v>1750</v>
      </c>
      <c r="R191" s="102">
        <f t="shared" si="34"/>
        <v>4</v>
      </c>
      <c r="S191" s="122">
        <v>1.7035764458460401</v>
      </c>
      <c r="T191" s="102">
        <f t="shared" si="35"/>
        <v>2</v>
      </c>
      <c r="U191" s="123">
        <v>0.288031685593999</v>
      </c>
      <c r="V191" s="102">
        <f t="shared" si="36"/>
        <v>2</v>
      </c>
      <c r="W191" s="124">
        <v>0</v>
      </c>
      <c r="X191" s="102">
        <f t="shared" si="46"/>
        <v>2</v>
      </c>
      <c r="Y191" s="125">
        <f t="shared" si="37"/>
        <v>12.2</v>
      </c>
      <c r="Z191" s="126" t="s">
        <v>581</v>
      </c>
      <c r="AA191" s="126">
        <v>1</v>
      </c>
      <c r="AB191" s="126">
        <v>2</v>
      </c>
      <c r="AC191" s="126">
        <v>44.225777720148869</v>
      </c>
      <c r="AD191" s="102">
        <f t="shared" si="47"/>
        <v>2</v>
      </c>
      <c r="AE191" s="127">
        <f t="shared" si="38"/>
        <v>5</v>
      </c>
      <c r="AF191" s="128">
        <f t="shared" si="39"/>
        <v>19.399999999999999</v>
      </c>
      <c r="AG191" s="108">
        <v>2039</v>
      </c>
      <c r="AH191" s="108" t="str">
        <f t="shared" si="40"/>
        <v>late adopter</v>
      </c>
    </row>
    <row r="192" spans="1:34">
      <c r="A192" s="102" t="s">
        <v>459</v>
      </c>
      <c r="B192" s="120" t="s">
        <v>458</v>
      </c>
      <c r="C192" s="120" t="s">
        <v>99</v>
      </c>
      <c r="D192" s="102" t="s">
        <v>84</v>
      </c>
      <c r="E192" s="109">
        <v>4</v>
      </c>
      <c r="F192" s="102" t="s">
        <v>566</v>
      </c>
      <c r="G192" s="102">
        <v>2015</v>
      </c>
      <c r="H192" s="102" t="s">
        <v>566</v>
      </c>
      <c r="I192" s="102" t="s">
        <v>566</v>
      </c>
      <c r="J192" s="102">
        <v>2021</v>
      </c>
      <c r="K192" s="102">
        <f t="shared" si="43"/>
        <v>1</v>
      </c>
      <c r="L192" s="102">
        <f t="shared" si="43"/>
        <v>1</v>
      </c>
      <c r="M192" s="102">
        <f t="shared" si="43"/>
        <v>1</v>
      </c>
      <c r="N192" s="102">
        <f t="shared" si="43"/>
        <v>1</v>
      </c>
      <c r="O192" s="102">
        <f t="shared" si="43"/>
        <v>1</v>
      </c>
      <c r="P192" s="121">
        <f t="shared" si="33"/>
        <v>1</v>
      </c>
      <c r="Q192" s="102">
        <v>9.0000000000000002E-6</v>
      </c>
      <c r="R192" s="102">
        <f t="shared" si="34"/>
        <v>1</v>
      </c>
      <c r="S192" s="122">
        <v>662.27313484055901</v>
      </c>
      <c r="T192" s="102">
        <f t="shared" si="35"/>
        <v>4</v>
      </c>
      <c r="U192" s="123">
        <v>5.09458206044342</v>
      </c>
      <c r="V192" s="102">
        <f t="shared" si="36"/>
        <v>3</v>
      </c>
      <c r="W192" s="124">
        <v>15.753</v>
      </c>
      <c r="X192" s="102">
        <f t="shared" si="46"/>
        <v>3</v>
      </c>
      <c r="Y192" s="125">
        <f t="shared" si="37"/>
        <v>12</v>
      </c>
      <c r="Z192" s="126" t="s">
        <v>580</v>
      </c>
      <c r="AA192" s="126">
        <v>1</v>
      </c>
      <c r="AB192" s="126">
        <v>2</v>
      </c>
      <c r="AC192" s="126">
        <v>19.130434782608781</v>
      </c>
      <c r="AD192" s="102">
        <f t="shared" si="47"/>
        <v>1</v>
      </c>
      <c r="AE192" s="127">
        <f t="shared" si="38"/>
        <v>4</v>
      </c>
      <c r="AF192" s="128">
        <f t="shared" si="39"/>
        <v>17</v>
      </c>
      <c r="AG192" s="108">
        <v>2041</v>
      </c>
      <c r="AH192" s="108" t="str">
        <f t="shared" si="40"/>
        <v>late adopter</v>
      </c>
    </row>
    <row r="193" spans="1:35">
      <c r="A193" s="102" t="s">
        <v>461</v>
      </c>
      <c r="B193" s="120" t="s">
        <v>460</v>
      </c>
      <c r="C193" s="120" t="s">
        <v>92</v>
      </c>
      <c r="D193" s="102" t="s">
        <v>80</v>
      </c>
      <c r="E193" s="109">
        <v>1</v>
      </c>
      <c r="F193" s="102">
        <v>2009</v>
      </c>
      <c r="G193" s="102">
        <v>1998</v>
      </c>
      <c r="H193" s="102">
        <v>2014</v>
      </c>
      <c r="I193" s="102">
        <v>2006</v>
      </c>
      <c r="J193" s="102" t="s">
        <v>566</v>
      </c>
      <c r="K193" s="102">
        <f t="shared" si="43"/>
        <v>2</v>
      </c>
      <c r="L193" s="102">
        <f t="shared" si="43"/>
        <v>3</v>
      </c>
      <c r="M193" s="102">
        <f t="shared" si="43"/>
        <v>2</v>
      </c>
      <c r="N193" s="102">
        <f t="shared" si="43"/>
        <v>4</v>
      </c>
      <c r="O193" s="102">
        <f t="shared" si="43"/>
        <v>1</v>
      </c>
      <c r="P193" s="121">
        <f t="shared" si="33"/>
        <v>2.4</v>
      </c>
      <c r="Q193" s="102">
        <v>548</v>
      </c>
      <c r="R193" s="102">
        <f t="shared" si="34"/>
        <v>3</v>
      </c>
      <c r="S193" s="122">
        <v>2.0801634481795999</v>
      </c>
      <c r="T193" s="102">
        <f t="shared" si="35"/>
        <v>2</v>
      </c>
      <c r="U193" s="123">
        <v>4.2342104822776401E-2</v>
      </c>
      <c r="V193" s="102">
        <f t="shared" si="36"/>
        <v>2</v>
      </c>
      <c r="W193" s="124">
        <v>0</v>
      </c>
      <c r="X193" s="102">
        <f t="shared" si="46"/>
        <v>2</v>
      </c>
      <c r="Y193" s="125">
        <f t="shared" si="37"/>
        <v>11.4</v>
      </c>
      <c r="Z193" s="126" t="s">
        <v>580</v>
      </c>
      <c r="AA193" s="126">
        <v>1</v>
      </c>
      <c r="AB193" s="126">
        <v>3</v>
      </c>
      <c r="AC193" s="126">
        <v>100</v>
      </c>
      <c r="AD193" s="102">
        <f t="shared" si="47"/>
        <v>4</v>
      </c>
      <c r="AE193" s="127">
        <f t="shared" si="38"/>
        <v>8</v>
      </c>
      <c r="AF193" s="128">
        <f t="shared" si="39"/>
        <v>21.8</v>
      </c>
      <c r="AG193" s="108">
        <v>2036</v>
      </c>
      <c r="AH193" s="108" t="str">
        <f t="shared" si="40"/>
        <v>mid adopter</v>
      </c>
    </row>
    <row r="194" spans="1:35">
      <c r="A194" s="102" t="s">
        <v>463</v>
      </c>
      <c r="B194" s="120" t="s">
        <v>462</v>
      </c>
      <c r="C194" s="120" t="s">
        <v>99</v>
      </c>
      <c r="D194" s="102" t="s">
        <v>84</v>
      </c>
      <c r="E194" s="109">
        <v>4</v>
      </c>
      <c r="F194" s="102">
        <v>2006</v>
      </c>
      <c r="G194" s="102">
        <v>2015</v>
      </c>
      <c r="H194" s="102">
        <v>2025</v>
      </c>
      <c r="I194" s="102" t="s">
        <v>566</v>
      </c>
      <c r="J194" s="102" t="s">
        <v>566</v>
      </c>
      <c r="K194" s="102">
        <f t="shared" si="43"/>
        <v>2</v>
      </c>
      <c r="L194" s="102">
        <f t="shared" si="43"/>
        <v>1</v>
      </c>
      <c r="M194" s="102">
        <f t="shared" si="43"/>
        <v>1</v>
      </c>
      <c r="N194" s="102">
        <f t="shared" si="43"/>
        <v>1</v>
      </c>
      <c r="O194" s="102">
        <f t="shared" si="43"/>
        <v>1</v>
      </c>
      <c r="P194" s="121">
        <f t="shared" si="33"/>
        <v>1.2</v>
      </c>
      <c r="Q194" s="102">
        <v>5654</v>
      </c>
      <c r="R194" s="102">
        <f t="shared" si="34"/>
        <v>4</v>
      </c>
      <c r="S194" s="122">
        <v>102.67271337243901</v>
      </c>
      <c r="T194" s="102">
        <f t="shared" si="35"/>
        <v>3</v>
      </c>
      <c r="U194" s="123">
        <v>211.77866598015299</v>
      </c>
      <c r="V194" s="102">
        <f t="shared" si="36"/>
        <v>4</v>
      </c>
      <c r="W194" s="124">
        <v>3601.5</v>
      </c>
      <c r="X194" s="102">
        <f t="shared" si="46"/>
        <v>4</v>
      </c>
      <c r="Y194" s="125">
        <f t="shared" si="37"/>
        <v>16.2</v>
      </c>
      <c r="Z194" s="109" t="s">
        <v>581</v>
      </c>
      <c r="AA194" s="126">
        <v>1</v>
      </c>
      <c r="AB194" s="126">
        <v>2</v>
      </c>
      <c r="AC194" s="126">
        <v>57.500000000000142</v>
      </c>
      <c r="AD194" s="102">
        <f t="shared" si="47"/>
        <v>2</v>
      </c>
      <c r="AE194" s="127">
        <f t="shared" si="38"/>
        <v>5</v>
      </c>
      <c r="AF194" s="128">
        <f t="shared" si="39"/>
        <v>22.4</v>
      </c>
      <c r="AG194" s="108">
        <v>2035</v>
      </c>
      <c r="AH194" s="108" t="str">
        <f t="shared" si="40"/>
        <v>mid adopter</v>
      </c>
    </row>
    <row r="195" spans="1:35">
      <c r="A195" s="102" t="s">
        <v>465</v>
      </c>
      <c r="B195" s="120" t="s">
        <v>464</v>
      </c>
      <c r="C195" s="120" t="s">
        <v>74</v>
      </c>
      <c r="D195" s="102" t="s">
        <v>75</v>
      </c>
      <c r="E195" s="109">
        <v>3</v>
      </c>
      <c r="F195" s="102">
        <v>2004</v>
      </c>
      <c r="G195" s="102">
        <v>2015</v>
      </c>
      <c r="H195" s="102">
        <v>2011</v>
      </c>
      <c r="I195" s="102">
        <v>2012</v>
      </c>
      <c r="J195" s="102" t="s">
        <v>566</v>
      </c>
      <c r="K195" s="102">
        <f t="shared" si="43"/>
        <v>2</v>
      </c>
      <c r="L195" s="102">
        <f t="shared" si="43"/>
        <v>1</v>
      </c>
      <c r="M195" s="102">
        <f t="shared" si="43"/>
        <v>3</v>
      </c>
      <c r="N195" s="102">
        <f t="shared" si="43"/>
        <v>3</v>
      </c>
      <c r="O195" s="102">
        <f t="shared" si="43"/>
        <v>1</v>
      </c>
      <c r="P195" s="121">
        <f t="shared" si="33"/>
        <v>2</v>
      </c>
      <c r="Q195" s="102">
        <v>9335</v>
      </c>
      <c r="R195" s="102">
        <f t="shared" si="34"/>
        <v>4</v>
      </c>
      <c r="S195" s="122">
        <v>307.855853186155</v>
      </c>
      <c r="T195" s="102">
        <f t="shared" si="35"/>
        <v>4</v>
      </c>
      <c r="U195" s="123">
        <v>449.66658356816299</v>
      </c>
      <c r="V195" s="102">
        <f t="shared" si="36"/>
        <v>4</v>
      </c>
      <c r="W195" s="124">
        <v>216.93</v>
      </c>
      <c r="X195" s="102">
        <f t="shared" si="46"/>
        <v>4</v>
      </c>
      <c r="Y195" s="125">
        <f t="shared" si="37"/>
        <v>18</v>
      </c>
      <c r="Z195" s="126" t="s">
        <v>583</v>
      </c>
      <c r="AA195" s="126">
        <v>3</v>
      </c>
      <c r="AB195" s="126">
        <v>1</v>
      </c>
      <c r="AC195" s="126">
        <v>3.0730323122373995</v>
      </c>
      <c r="AD195" s="102">
        <f t="shared" si="47"/>
        <v>1</v>
      </c>
      <c r="AE195" s="127">
        <f t="shared" si="38"/>
        <v>5</v>
      </c>
      <c r="AF195" s="128">
        <f t="shared" si="39"/>
        <v>25</v>
      </c>
      <c r="AG195" s="108">
        <v>2031</v>
      </c>
      <c r="AH195" s="108" t="str">
        <f t="shared" si="40"/>
        <v>early adopter</v>
      </c>
    </row>
    <row r="196" spans="1:35">
      <c r="A196" s="102" t="s">
        <v>467</v>
      </c>
      <c r="B196" s="120" t="s">
        <v>466</v>
      </c>
      <c r="C196" s="120" t="s">
        <v>83</v>
      </c>
      <c r="D196" s="102" t="s">
        <v>84</v>
      </c>
      <c r="E196" s="109">
        <v>3</v>
      </c>
      <c r="F196" s="102">
        <v>2013</v>
      </c>
      <c r="G196" s="102">
        <v>2017</v>
      </c>
      <c r="H196" s="102">
        <v>2013</v>
      </c>
      <c r="I196" s="102">
        <v>2013</v>
      </c>
      <c r="J196" s="102">
        <v>2019</v>
      </c>
      <c r="K196" s="102">
        <f t="shared" si="43"/>
        <v>1</v>
      </c>
      <c r="L196" s="102">
        <f t="shared" si="43"/>
        <v>1</v>
      </c>
      <c r="M196" s="102">
        <f t="shared" si="43"/>
        <v>2</v>
      </c>
      <c r="N196" s="102">
        <f t="shared" si="43"/>
        <v>3</v>
      </c>
      <c r="O196" s="102">
        <f t="shared" si="43"/>
        <v>2</v>
      </c>
      <c r="P196" s="121">
        <f t="shared" ref="P196:P197" si="48">AVERAGE(K196:O196)</f>
        <v>1.8</v>
      </c>
      <c r="Q196" s="102">
        <v>124</v>
      </c>
      <c r="R196" s="102">
        <f t="shared" ref="R196:R197" si="49">IF(AND(Q196&gt;=Q$200,Q196&lt;Q$201),1,IF(AND(Q196&gt;=Q$201,Q196&lt;Q$202),2,IF(AND(Q196&gt;=Q$202,Q196&lt;Q$203),3,IF(AND(Q196&gt;=Q$203,Q196&lt;=Q$204),4,"empty"))))</f>
        <v>3</v>
      </c>
      <c r="S196" s="122">
        <v>156.62154129157</v>
      </c>
      <c r="T196" s="102">
        <f t="shared" ref="T196:T197" si="50">IF(AND(S196&gt;=S$200,S196&lt;S$201),1,IF(AND(S196&gt;=S$201,S196&lt;S$202),2,IF(AND(S196&gt;=S$202,S196&lt;S$203),3,IF(AND(S196&gt;=S$203,S196&lt;=S$204),4,"empty"))))</f>
        <v>3</v>
      </c>
      <c r="U196" s="123">
        <v>156.292915641474</v>
      </c>
      <c r="V196" s="102">
        <f t="shared" ref="V196:V197" si="51">IF(AND(U196&gt;=U$200,U196&lt;U$201),1,IF(AND(U196&gt;=U$201,U196&lt;U$202),2,IF(AND(U196&gt;=U$202,U196&lt;U$203),3,IF(AND(U196&gt;=U$203,U196&lt;=U$204),4,"empty"))))</f>
        <v>4</v>
      </c>
      <c r="W196" s="124">
        <v>1117.9000000000001</v>
      </c>
      <c r="X196" s="102">
        <f t="shared" si="46"/>
        <v>4</v>
      </c>
      <c r="Y196" s="125">
        <f t="shared" ref="Y196:Y197" si="52">V196+T196+R196+P196+X196</f>
        <v>15.8</v>
      </c>
      <c r="Z196" s="126" t="s">
        <v>583</v>
      </c>
      <c r="AA196" s="126">
        <v>3</v>
      </c>
      <c r="AB196" s="126">
        <v>2</v>
      </c>
      <c r="AC196" s="126">
        <v>12.87945714920475</v>
      </c>
      <c r="AD196" s="102">
        <f t="shared" si="47"/>
        <v>1</v>
      </c>
      <c r="AE196" s="127">
        <f t="shared" ref="AE196:AE197" si="53">SUM(AD196,AB196,AA196)</f>
        <v>6</v>
      </c>
      <c r="AF196" s="128">
        <f t="shared" ref="AF196:AF197" si="54">Y196+P196+AE196</f>
        <v>23.6</v>
      </c>
      <c r="AG196" s="108">
        <v>2033</v>
      </c>
      <c r="AH196" s="108" t="str">
        <f t="shared" ref="AH196:AH229" si="55">IF(AG196&lt;2034,"early adopter",IF(AG196&gt;2037,"late adopter","mid adopter"))</f>
        <v>early adopter</v>
      </c>
    </row>
    <row r="197" spans="1:35">
      <c r="A197" s="102" t="s">
        <v>469</v>
      </c>
      <c r="B197" s="120" t="s">
        <v>468</v>
      </c>
      <c r="C197" s="120" t="s">
        <v>83</v>
      </c>
      <c r="D197" s="102" t="s">
        <v>84</v>
      </c>
      <c r="E197" s="109">
        <v>3</v>
      </c>
      <c r="F197" s="102">
        <v>2015</v>
      </c>
      <c r="G197" s="102">
        <v>2015</v>
      </c>
      <c r="H197" s="102">
        <v>2012</v>
      </c>
      <c r="I197" s="102">
        <v>2014</v>
      </c>
      <c r="J197" s="102">
        <v>2018</v>
      </c>
      <c r="K197" s="102">
        <f t="shared" si="43"/>
        <v>1</v>
      </c>
      <c r="L197" s="102">
        <f t="shared" si="43"/>
        <v>1</v>
      </c>
      <c r="M197" s="102">
        <f t="shared" si="43"/>
        <v>2</v>
      </c>
      <c r="N197" s="102">
        <f t="shared" si="43"/>
        <v>2</v>
      </c>
      <c r="O197" s="102">
        <f t="shared" si="43"/>
        <v>2</v>
      </c>
      <c r="P197" s="121">
        <f t="shared" si="48"/>
        <v>1.6</v>
      </c>
      <c r="Q197" s="102">
        <v>3</v>
      </c>
      <c r="R197" s="102">
        <f t="shared" si="49"/>
        <v>2</v>
      </c>
      <c r="S197" s="122">
        <v>247.04345556733099</v>
      </c>
      <c r="T197" s="102">
        <f t="shared" si="50"/>
        <v>4</v>
      </c>
      <c r="U197" s="123">
        <v>413.07232650517801</v>
      </c>
      <c r="V197" s="102">
        <f t="shared" si="51"/>
        <v>4</v>
      </c>
      <c r="W197" s="124">
        <v>424.84</v>
      </c>
      <c r="X197" s="102">
        <f t="shared" si="46"/>
        <v>4</v>
      </c>
      <c r="Y197" s="125">
        <f t="shared" si="52"/>
        <v>15.6</v>
      </c>
      <c r="Z197" s="126" t="s">
        <v>581</v>
      </c>
      <c r="AA197" s="126">
        <v>1</v>
      </c>
      <c r="AB197" s="126">
        <v>2</v>
      </c>
      <c r="AC197" s="126">
        <v>4.1254960214257883</v>
      </c>
      <c r="AD197" s="102">
        <f t="shared" si="47"/>
        <v>1</v>
      </c>
      <c r="AE197" s="127">
        <f t="shared" si="53"/>
        <v>4</v>
      </c>
      <c r="AF197" s="128">
        <f t="shared" si="54"/>
        <v>21.2</v>
      </c>
      <c r="AG197" s="108">
        <v>2037</v>
      </c>
      <c r="AH197" s="108" t="str">
        <f t="shared" si="55"/>
        <v>mid adopter</v>
      </c>
    </row>
    <row r="198" spans="1:35">
      <c r="X198" s="102"/>
    </row>
    <row r="199" spans="1:35">
      <c r="E199" s="130" t="s">
        <v>609</v>
      </c>
      <c r="X199" s="102"/>
    </row>
    <row r="200" spans="1:35">
      <c r="E200" s="130" t="s">
        <v>610</v>
      </c>
      <c r="F200" s="131">
        <f t="shared" ref="F200:J200" si="56">QUARTILE(F$4:F$197,0)</f>
        <v>1968</v>
      </c>
      <c r="G200" s="131">
        <f t="shared" si="56"/>
        <v>1969</v>
      </c>
      <c r="H200" s="131">
        <f t="shared" si="56"/>
        <v>2000</v>
      </c>
      <c r="I200" s="131">
        <f t="shared" si="56"/>
        <v>2006</v>
      </c>
      <c r="J200" s="131">
        <f t="shared" si="56"/>
        <v>2006</v>
      </c>
      <c r="P200" s="121">
        <f t="shared" ref="P200" si="57">QUARTILE(P$4:P$197,0)</f>
        <v>1</v>
      </c>
      <c r="Q200" s="132">
        <v>0</v>
      </c>
      <c r="R200" s="102">
        <f>COUNTIFS(R$4:R$197,1)</f>
        <v>45</v>
      </c>
      <c r="S200" s="133">
        <v>9.0602181098293501E-4</v>
      </c>
      <c r="T200" s="134"/>
      <c r="U200" s="133">
        <v>0</v>
      </c>
      <c r="W200" s="135">
        <f t="shared" ref="W200" si="58">QUARTILE(W$4:W$197,0)</f>
        <v>0</v>
      </c>
      <c r="X200" s="102"/>
      <c r="Y200" s="136"/>
      <c r="AC200" s="137">
        <f t="shared" ref="AC200" si="59">QUARTILE(AC$4:AC$197,0)</f>
        <v>2.3076923076923079</v>
      </c>
      <c r="AD200" s="134"/>
      <c r="AF200" s="108">
        <f>_xlfn.PERCENTILE.EXC($AF$4:$AF$197,0.33)</f>
        <v>20.470000000000002</v>
      </c>
      <c r="AH200" s="108" t="s">
        <v>611</v>
      </c>
      <c r="AI200" s="108"/>
    </row>
    <row r="201" spans="1:35">
      <c r="E201" s="130" t="s">
        <v>612</v>
      </c>
      <c r="F201" s="131">
        <f t="shared" ref="F201:J201" si="60">QUARTILE(F$4:F$197,1)</f>
        <v>1992</v>
      </c>
      <c r="G201" s="131">
        <f t="shared" si="60"/>
        <v>1986.5</v>
      </c>
      <c r="H201" s="131">
        <f t="shared" si="60"/>
        <v>2009</v>
      </c>
      <c r="I201" s="131">
        <f t="shared" si="60"/>
        <v>2011.25</v>
      </c>
      <c r="J201" s="131">
        <f t="shared" si="60"/>
        <v>2011</v>
      </c>
      <c r="P201" s="121">
        <f t="shared" ref="P201" si="61">QUARTILE(P$4:P$197,1)</f>
        <v>1.6</v>
      </c>
      <c r="Q201" s="132">
        <v>1</v>
      </c>
      <c r="R201" s="102">
        <f>COUNTIFS(R$4:R$197,2)</f>
        <v>52</v>
      </c>
      <c r="S201" s="133">
        <v>0.52617595712449927</v>
      </c>
      <c r="T201" s="134"/>
      <c r="U201" s="133">
        <v>6.4537045773212379E-3</v>
      </c>
      <c r="W201" s="135">
        <f t="shared" ref="W201" si="62">QUARTILE(W$4:W$197,1)</f>
        <v>0</v>
      </c>
      <c r="X201" s="102"/>
      <c r="Y201" s="136"/>
      <c r="AC201" s="137">
        <f t="shared" ref="AC201" si="63">QUARTILE(AC$4:AC$197,1)</f>
        <v>23.171508951882064</v>
      </c>
      <c r="AD201" s="134"/>
      <c r="AF201" s="108">
        <f>_xlfn.PERCENTILE.EXC($AF$4:$AF$197,0.66)</f>
        <v>23.140000000000004</v>
      </c>
      <c r="AH201" s="108" t="s">
        <v>613</v>
      </c>
      <c r="AI201" s="108"/>
    </row>
    <row r="202" spans="1:35">
      <c r="E202" s="130" t="s">
        <v>614</v>
      </c>
      <c r="F202" s="131">
        <f t="shared" ref="F202:J202" si="64">QUARTILE(F$4:F$197,2)</f>
        <v>2000.5</v>
      </c>
      <c r="G202" s="131">
        <f t="shared" si="64"/>
        <v>1999</v>
      </c>
      <c r="H202" s="131">
        <f t="shared" si="64"/>
        <v>2012</v>
      </c>
      <c r="I202" s="131">
        <f t="shared" si="64"/>
        <v>2014</v>
      </c>
      <c r="J202" s="131">
        <f t="shared" si="64"/>
        <v>2016.5</v>
      </c>
      <c r="P202" s="121">
        <f t="shared" ref="P202" si="65">QUARTILE(P$4:P$197,2)</f>
        <v>2</v>
      </c>
      <c r="Q202" s="132">
        <v>52.5</v>
      </c>
      <c r="R202" s="102">
        <f>COUNTIFS(R$4:R$197,3)</f>
        <v>48</v>
      </c>
      <c r="S202" s="133">
        <v>59.467663853787997</v>
      </c>
      <c r="T202" s="134"/>
      <c r="U202" s="133">
        <v>0.42644010782519198</v>
      </c>
      <c r="W202" s="135">
        <f t="shared" ref="W202" si="66">QUARTILE(W$4:W$197,2)</f>
        <v>8.9324E-8</v>
      </c>
      <c r="X202" s="102"/>
      <c r="Y202" s="136"/>
      <c r="AC202" s="137">
        <f t="shared" ref="AC202" si="67">QUARTILE(AC$4:AC$197,2)</f>
        <v>92.845967293021118</v>
      </c>
      <c r="AD202" s="134"/>
      <c r="AF202" s="108">
        <f>_xlfn.PERCENTILE.EXC($AF$4:$AF$197,0.99)</f>
        <v>27.030000000000008</v>
      </c>
      <c r="AH202" s="108" t="s">
        <v>615</v>
      </c>
      <c r="AI202" s="108"/>
    </row>
    <row r="203" spans="1:35">
      <c r="E203" s="130" t="s">
        <v>616</v>
      </c>
      <c r="F203" s="131">
        <f t="shared" ref="F203:J203" si="68">QUARTILE(F$4:F$197,3)</f>
        <v>2012</v>
      </c>
      <c r="G203" s="131">
        <f t="shared" si="68"/>
        <v>2013</v>
      </c>
      <c r="H203" s="131">
        <f t="shared" si="68"/>
        <v>2015</v>
      </c>
      <c r="I203" s="131">
        <f t="shared" si="68"/>
        <v>2017</v>
      </c>
      <c r="J203" s="131">
        <f t="shared" si="68"/>
        <v>2019.75</v>
      </c>
      <c r="P203" s="121">
        <f t="shared" ref="P203" si="69">QUARTILE(P$4:P$197,3)</f>
        <v>2.8</v>
      </c>
      <c r="Q203" s="132">
        <v>1033.25</v>
      </c>
      <c r="R203" s="102">
        <f>COUNTIFS(R$4:R$197,4)</f>
        <v>49</v>
      </c>
      <c r="S203" s="133">
        <v>246.86473390261224</v>
      </c>
      <c r="T203" s="134"/>
      <c r="U203" s="133">
        <v>117.14577546248151</v>
      </c>
      <c r="W203" s="135">
        <f t="shared" ref="W203" si="70">QUARTILE(W$4:W$197,3)</f>
        <v>151.47500000000002</v>
      </c>
      <c r="X203" s="102"/>
      <c r="Y203" s="136"/>
      <c r="AC203" s="137">
        <f t="shared" ref="AC203" si="71">QUARTILE(AC$4:AC$197,3)</f>
        <v>100</v>
      </c>
      <c r="AD203" s="134"/>
    </row>
    <row r="204" spans="1:35">
      <c r="E204" s="130" t="s">
        <v>617</v>
      </c>
      <c r="F204" s="131">
        <f t="shared" ref="F204:J204" si="72">QUARTILE(F$4:F$197,4)</f>
        <v>2022</v>
      </c>
      <c r="G204" s="131">
        <f t="shared" si="72"/>
        <v>2023</v>
      </c>
      <c r="H204" s="131">
        <f t="shared" si="72"/>
        <v>2025</v>
      </c>
      <c r="I204" s="131">
        <f t="shared" si="72"/>
        <v>2022</v>
      </c>
      <c r="J204" s="131">
        <f t="shared" si="72"/>
        <v>2024</v>
      </c>
      <c r="K204" s="133"/>
      <c r="L204" s="133"/>
      <c r="M204" s="133"/>
      <c r="N204" s="133"/>
      <c r="O204" s="133"/>
      <c r="P204" s="121">
        <f t="shared" ref="P204" si="73">QUARTILE(P$4:P$197,4)</f>
        <v>4</v>
      </c>
      <c r="Q204" s="132">
        <v>213291</v>
      </c>
      <c r="S204" s="133">
        <v>2712.6752739959302</v>
      </c>
      <c r="T204" s="134"/>
      <c r="U204" s="133">
        <v>10904.256202009299</v>
      </c>
      <c r="W204" s="135">
        <f t="shared" ref="W204" si="74">QUARTILE(W$4:W$197,4)</f>
        <v>40506</v>
      </c>
      <c r="Y204" s="136"/>
      <c r="AC204" s="137">
        <f t="shared" ref="AC204" si="75">QUARTILE(AC$4:AC$197,4)</f>
        <v>100</v>
      </c>
      <c r="AD204" s="134"/>
    </row>
  </sheetData>
  <autoFilter ref="A3:AH197" xr:uid="{D66290E4-BE53-E94B-A05A-A2813645D3CB}">
    <sortState xmlns:xlrd2="http://schemas.microsoft.com/office/spreadsheetml/2017/richdata2" ref="A4:AH197">
      <sortCondition ref="B3:B197"/>
    </sortState>
  </autoFilter>
  <mergeCells count="7">
    <mergeCell ref="S2:V2"/>
    <mergeCell ref="W2:X2"/>
    <mergeCell ref="F1:P1"/>
    <mergeCell ref="S1:T1"/>
    <mergeCell ref="U1:V1"/>
    <mergeCell ref="W1:X1"/>
    <mergeCell ref="Z1:AE1"/>
  </mergeCells>
  <hyperlinks>
    <hyperlink ref="AC2" r:id="rId1" xr:uid="{BE2D5D75-AAE6-7940-8F7E-E9F9F1A93F8F}"/>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4A8BE-FC6E-494F-8B62-AB026EDF4642}">
  <sheetPr>
    <tabColor theme="5" tint="0.39997558519241921"/>
  </sheetPr>
  <dimension ref="A1:AJ209"/>
  <sheetViews>
    <sheetView zoomScale="107" workbookViewId="0">
      <pane xSplit="5" ySplit="3" topLeftCell="F197" activePane="bottomRight" state="frozen"/>
      <selection pane="bottomRight" activeCell="H22" sqref="H22"/>
      <selection pane="bottomLeft" activeCell="H22" sqref="H22"/>
      <selection pane="topRight" activeCell="H22" sqref="H22"/>
    </sheetView>
  </sheetViews>
  <sheetFormatPr defaultColWidth="11.140625" defaultRowHeight="15.95" outlineLevelCol="1"/>
  <cols>
    <col min="1" max="2" width="11.140625" style="102"/>
    <col min="3" max="3" width="10.85546875" style="102" customWidth="1" outlineLevel="1"/>
    <col min="4" max="4" width="19.85546875" style="102" customWidth="1" outlineLevel="1"/>
    <col min="5" max="5" width="13.85546875" style="102" customWidth="1" outlineLevel="1"/>
    <col min="6" max="15" width="11.140625" style="102"/>
    <col min="16" max="16" width="11.140625" style="121"/>
    <col min="17" max="18" width="10.85546875" style="102" customWidth="1"/>
    <col min="19" max="26" width="10.85546875" style="109" customWidth="1"/>
    <col min="27" max="27" width="11.140625" style="107"/>
    <col min="28" max="28" width="24.140625" style="109" customWidth="1" outlineLevel="1"/>
    <col min="29" max="30" width="11" style="109" customWidth="1" outlineLevel="1"/>
    <col min="31" max="32" width="12.85546875" style="109" customWidth="1" outlineLevel="1"/>
    <col min="33" max="33" width="14.85546875" style="111" customWidth="1" outlineLevel="1"/>
    <col min="34" max="35" width="11.140625" style="108"/>
    <col min="36" max="36" width="12.140625" style="108" bestFit="1" customWidth="1"/>
    <col min="37" max="16384" width="11.140625" style="109"/>
  </cols>
  <sheetData>
    <row r="1" spans="1:36">
      <c r="F1" s="145" t="s">
        <v>585</v>
      </c>
      <c r="G1" s="145"/>
      <c r="H1" s="145"/>
      <c r="I1" s="145"/>
      <c r="J1" s="145"/>
      <c r="K1" s="145"/>
      <c r="L1" s="145"/>
      <c r="M1" s="145"/>
      <c r="N1" s="145"/>
      <c r="O1" s="145"/>
      <c r="P1" s="145"/>
      <c r="Q1" s="104" t="s">
        <v>586</v>
      </c>
      <c r="R1" s="105"/>
      <c r="S1" s="146" t="s">
        <v>587</v>
      </c>
      <c r="T1" s="146"/>
      <c r="U1" s="146" t="s">
        <v>588</v>
      </c>
      <c r="V1" s="146"/>
      <c r="W1" s="146" t="s">
        <v>589</v>
      </c>
      <c r="X1" s="146"/>
      <c r="Y1" s="146" t="s">
        <v>618</v>
      </c>
      <c r="Z1" s="146"/>
      <c r="AB1" s="147" t="s">
        <v>590</v>
      </c>
      <c r="AC1" s="147"/>
      <c r="AD1" s="147"/>
      <c r="AE1" s="147"/>
      <c r="AF1" s="147"/>
      <c r="AG1" s="147"/>
    </row>
    <row r="2" spans="1:36">
      <c r="B2" s="102" t="s">
        <v>591</v>
      </c>
      <c r="F2" s="145" t="s">
        <v>560</v>
      </c>
      <c r="G2" s="145"/>
      <c r="H2" s="145"/>
      <c r="I2" s="145"/>
      <c r="J2" s="145"/>
      <c r="K2" s="145"/>
      <c r="L2" s="145"/>
      <c r="M2" s="145"/>
      <c r="N2" s="145"/>
      <c r="O2" s="145"/>
      <c r="P2" s="145"/>
      <c r="Q2" s="104" t="s">
        <v>560</v>
      </c>
      <c r="R2" s="104"/>
      <c r="S2" s="146" t="s">
        <v>592</v>
      </c>
      <c r="T2" s="146"/>
      <c r="U2" s="146"/>
      <c r="V2" s="146"/>
      <c r="W2" s="146" t="s">
        <v>593</v>
      </c>
      <c r="X2" s="146"/>
      <c r="Y2" s="106"/>
      <c r="Z2" s="106"/>
      <c r="AA2" s="107">
        <v>3</v>
      </c>
      <c r="AB2" s="111" t="s">
        <v>594</v>
      </c>
      <c r="AC2" s="111"/>
      <c r="AD2" s="111"/>
      <c r="AE2" s="111" t="s">
        <v>595</v>
      </c>
      <c r="AF2" s="111"/>
    </row>
    <row r="3" spans="1:36" s="119" customFormat="1">
      <c r="A3" s="113" t="s">
        <v>473</v>
      </c>
      <c r="B3" s="114" t="s">
        <v>64</v>
      </c>
      <c r="C3" s="113" t="s">
        <v>66</v>
      </c>
      <c r="D3" s="113" t="s">
        <v>67</v>
      </c>
      <c r="E3" s="113" t="s">
        <v>68</v>
      </c>
      <c r="F3" s="103" t="s">
        <v>561</v>
      </c>
      <c r="G3" s="103" t="s">
        <v>562</v>
      </c>
      <c r="H3" s="103" t="s">
        <v>563</v>
      </c>
      <c r="I3" s="103" t="s">
        <v>564</v>
      </c>
      <c r="J3" s="103" t="s">
        <v>565</v>
      </c>
      <c r="K3" s="110" t="str">
        <f>F3</f>
        <v>MCV2</v>
      </c>
      <c r="L3" s="110" t="str">
        <f t="shared" ref="L3:N3" si="0">G3</f>
        <v>Rubella</v>
      </c>
      <c r="M3" s="110" t="str">
        <f t="shared" si="0"/>
        <v>PCV</v>
      </c>
      <c r="N3" s="110" t="str">
        <f t="shared" si="0"/>
        <v>Rota</v>
      </c>
      <c r="O3" s="110" t="s">
        <v>565</v>
      </c>
      <c r="P3" s="115" t="s">
        <v>596</v>
      </c>
      <c r="Q3" s="104" t="s">
        <v>597</v>
      </c>
      <c r="R3" s="104" t="s">
        <v>598</v>
      </c>
      <c r="S3" s="116" t="s">
        <v>597</v>
      </c>
      <c r="T3" s="116" t="s">
        <v>599</v>
      </c>
      <c r="U3" s="116" t="s">
        <v>597</v>
      </c>
      <c r="V3" s="116" t="s">
        <v>600</v>
      </c>
      <c r="W3" s="116" t="s">
        <v>562</v>
      </c>
      <c r="X3" s="116" t="s">
        <v>601</v>
      </c>
      <c r="Y3" s="116" t="s">
        <v>619</v>
      </c>
      <c r="Z3" s="116" t="s">
        <v>620</v>
      </c>
      <c r="AA3" s="116" t="s">
        <v>602</v>
      </c>
      <c r="AB3" s="117" t="s">
        <v>576</v>
      </c>
      <c r="AC3" s="117" t="s">
        <v>603</v>
      </c>
      <c r="AD3" s="117" t="s">
        <v>577</v>
      </c>
      <c r="AE3" s="111" t="s">
        <v>578</v>
      </c>
      <c r="AF3" s="111" t="s">
        <v>621</v>
      </c>
      <c r="AG3" s="117" t="s">
        <v>605</v>
      </c>
      <c r="AH3" s="118" t="s">
        <v>606</v>
      </c>
      <c r="AI3" s="118" t="s">
        <v>607</v>
      </c>
      <c r="AJ3" s="118" t="s">
        <v>608</v>
      </c>
    </row>
    <row r="4" spans="1:36" ht="15" customHeight="1">
      <c r="A4" s="102" t="s">
        <v>403</v>
      </c>
      <c r="B4" s="120" t="s">
        <v>402</v>
      </c>
      <c r="C4" s="120" t="s">
        <v>83</v>
      </c>
      <c r="D4" s="102" t="s">
        <v>80</v>
      </c>
      <c r="E4" s="109" t="s">
        <v>76</v>
      </c>
      <c r="F4" s="102">
        <v>1994</v>
      </c>
      <c r="G4" s="102" t="s">
        <v>566</v>
      </c>
      <c r="H4" s="102">
        <v>2009</v>
      </c>
      <c r="I4" s="102">
        <v>2009</v>
      </c>
      <c r="J4" s="102">
        <v>2014</v>
      </c>
      <c r="K4" s="102">
        <f t="shared" ref="K4:O35" si="1">IF(AND(F4&gt;=F$200,F4&lt;F$201),4,IF(AND(F4&gt;=F$201,F4&lt;F$202),3,IF(AND(F4&gt;=F$202,F4&lt;F$203),2,IF(AND(F4&gt;=F$203,F4&lt;=F$204),1,1))))</f>
        <v>3</v>
      </c>
      <c r="L4" s="102">
        <f t="shared" si="1"/>
        <v>1</v>
      </c>
      <c r="M4" s="102">
        <f t="shared" si="1"/>
        <v>3</v>
      </c>
      <c r="N4" s="102">
        <f t="shared" si="1"/>
        <v>4</v>
      </c>
      <c r="O4" s="102">
        <f t="shared" si="1"/>
        <v>3</v>
      </c>
      <c r="P4" s="121">
        <f t="shared" ref="P4:P67" si="2">AVERAGE(K4:O4)</f>
        <v>2.8</v>
      </c>
      <c r="Q4" s="102">
        <v>95</v>
      </c>
      <c r="R4" s="102">
        <f t="shared" ref="R4:R67" si="3">IF(AND(Q4&gt;=Q$200,Q4&lt;Q$201),1,IF(AND(Q4&gt;=Q$201,Q4&lt;Q$202),2,IF(AND(Q4&gt;=Q$202,Q4&lt;Q$203),3,IF(AND(Q4&gt;=Q$203,Q4&lt;=Q$204),4,"empty"))))</f>
        <v>3</v>
      </c>
      <c r="S4" s="138">
        <v>365.61051560876803</v>
      </c>
      <c r="T4" s="102">
        <f t="shared" ref="T4:T67" si="4">IF(AND(S4&gt;=S$200,S4&lt;S$201),1,IF(AND(S4&gt;=S$201,S4&lt;S$202),2,IF(AND(S4&gt;=S$202,S4&lt;S$203),3,IF(AND(S4&gt;=S$203,S4&lt;=S$204),4,"empty"))))</f>
        <v>4</v>
      </c>
      <c r="U4" s="139">
        <v>501.38603935597598</v>
      </c>
      <c r="V4" s="102">
        <f t="shared" ref="V4:V67" si="5">IF(AND(U4&gt;=U$200,U4&lt;U$201),1,IF(AND(U4&gt;=U$201,U4&lt;U$202),2,IF(AND(U4&gt;=U$202,U4&lt;U$203),3,IF(AND(U4&gt;=U$203,U4&lt;=U$204),4,"empty"))))</f>
        <v>4</v>
      </c>
      <c r="W4" s="124">
        <v>363.33</v>
      </c>
      <c r="X4" s="102">
        <f t="shared" ref="X4:X67" si="6">IF(AND(W4&gt;=W$200,W4&lt;W$201),1,IF(AND(W4&gt;=W$201,W4&lt;W$202),2,IF(AND(W4&gt;=W$202,W4&lt;W$203),3,IF(AND(W4&gt;=W$203,W4&lt;=W$204),4,"empty"))))</f>
        <v>4</v>
      </c>
      <c r="Y4" s="109">
        <v>64</v>
      </c>
      <c r="Z4" s="102">
        <f t="shared" ref="Z4:Z67" si="7">IF(AND(Y4&gt;=Y$200,Y4&lt;Y$201),4,IF(AND(Y4&gt;=Y$201,Y4&lt;Y$202),3,IF(AND(Y4&gt;=Y$202,Y4&lt;Y$203),2,IF(AND(Y4&gt;=Y$203,Y4&lt;=Y$204),1,"empty"))))</f>
        <v>4</v>
      </c>
      <c r="AA4" s="125">
        <f t="shared" ref="AA4:AA67" si="8">(V4+T4+R4+P4+X4+Z4)*$AA$2</f>
        <v>65.400000000000006</v>
      </c>
      <c r="AB4" s="126" t="s">
        <v>580</v>
      </c>
      <c r="AC4" s="126">
        <v>1</v>
      </c>
      <c r="AD4" s="126">
        <v>3</v>
      </c>
      <c r="AE4" s="126">
        <v>100</v>
      </c>
      <c r="AF4" s="102">
        <v>3</v>
      </c>
      <c r="AG4" s="127">
        <f t="shared" ref="AG4:AG67" si="9">SUM(AF4,AD4,AC4)</f>
        <v>7</v>
      </c>
      <c r="AH4" s="128">
        <f t="shared" ref="AH4:AH67" si="10">AA4+P4+AG4</f>
        <v>75.2</v>
      </c>
      <c r="AI4" s="108">
        <v>2030</v>
      </c>
      <c r="AJ4" s="108" t="str">
        <f t="shared" ref="AJ4:AJ67" si="11">IF(AI4&lt;2034,"early adopter",IF(AI4&gt;2037,"late adopter","mid adopter"))</f>
        <v>early adopter</v>
      </c>
    </row>
    <row r="5" spans="1:36">
      <c r="A5" s="102" t="s">
        <v>465</v>
      </c>
      <c r="B5" s="120" t="s">
        <v>464</v>
      </c>
      <c r="C5" s="120" t="s">
        <v>74</v>
      </c>
      <c r="D5" s="102" t="s">
        <v>75</v>
      </c>
      <c r="E5" s="109">
        <v>3</v>
      </c>
      <c r="F5" s="102">
        <v>2004</v>
      </c>
      <c r="G5" s="102">
        <v>2015</v>
      </c>
      <c r="H5" s="102">
        <v>2011</v>
      </c>
      <c r="I5" s="102">
        <v>2012</v>
      </c>
      <c r="J5" s="102" t="s">
        <v>566</v>
      </c>
      <c r="K5" s="102">
        <f t="shared" si="1"/>
        <v>2</v>
      </c>
      <c r="L5" s="102">
        <f t="shared" si="1"/>
        <v>1</v>
      </c>
      <c r="M5" s="102">
        <f t="shared" si="1"/>
        <v>3</v>
      </c>
      <c r="N5" s="102">
        <f t="shared" si="1"/>
        <v>3</v>
      </c>
      <c r="O5" s="102">
        <f t="shared" si="1"/>
        <v>1</v>
      </c>
      <c r="P5" s="121">
        <f t="shared" si="2"/>
        <v>2</v>
      </c>
      <c r="Q5" s="102">
        <v>9335</v>
      </c>
      <c r="R5" s="102">
        <f t="shared" si="3"/>
        <v>4</v>
      </c>
      <c r="S5" s="138">
        <v>307.855853186155</v>
      </c>
      <c r="T5" s="102">
        <f t="shared" si="4"/>
        <v>4</v>
      </c>
      <c r="U5" s="139">
        <v>449.66658356816299</v>
      </c>
      <c r="V5" s="102">
        <f t="shared" si="5"/>
        <v>4</v>
      </c>
      <c r="W5" s="124">
        <v>216.93</v>
      </c>
      <c r="X5" s="102">
        <f t="shared" si="6"/>
        <v>4</v>
      </c>
      <c r="Y5" s="109">
        <v>80</v>
      </c>
      <c r="Z5" s="102">
        <f t="shared" si="7"/>
        <v>4</v>
      </c>
      <c r="AA5" s="125">
        <f t="shared" si="8"/>
        <v>66</v>
      </c>
      <c r="AB5" s="126" t="s">
        <v>583</v>
      </c>
      <c r="AC5" s="126">
        <v>3</v>
      </c>
      <c r="AD5" s="126">
        <v>1</v>
      </c>
      <c r="AE5" s="126">
        <v>3.0730323122373995</v>
      </c>
      <c r="AF5" s="102">
        <f>IF(AND(AE5&gt;=AE$200,AE5&lt;AE$201),1,IF(AND(AE5&gt;=AE$201,AE5&lt;AE$202),2,IF(AND(AE5&gt;=AE$202,AE5&lt;AE$203),3,IF(AND(AE5&gt;=AE$203,AE5&lt;=AE$204),4,"empty"))))</f>
        <v>1</v>
      </c>
      <c r="AG5" s="127">
        <f t="shared" si="9"/>
        <v>5</v>
      </c>
      <c r="AH5" s="128">
        <f t="shared" si="10"/>
        <v>73</v>
      </c>
      <c r="AI5" s="108">
        <v>2030</v>
      </c>
      <c r="AJ5" s="108" t="str">
        <f t="shared" si="11"/>
        <v>early adopter</v>
      </c>
    </row>
    <row r="6" spans="1:36">
      <c r="A6" s="102" t="s">
        <v>277</v>
      </c>
      <c r="B6" s="120" t="s">
        <v>276</v>
      </c>
      <c r="C6" s="120" t="s">
        <v>83</v>
      </c>
      <c r="D6" s="102" t="s">
        <v>75</v>
      </c>
      <c r="E6" s="109">
        <v>3</v>
      </c>
      <c r="F6" s="102">
        <v>2019</v>
      </c>
      <c r="G6" s="102" t="s">
        <v>566</v>
      </c>
      <c r="H6" s="102">
        <v>2014</v>
      </c>
      <c r="I6" s="102">
        <v>2016</v>
      </c>
      <c r="J6" s="102">
        <v>2019</v>
      </c>
      <c r="K6" s="102">
        <f t="shared" si="1"/>
        <v>1</v>
      </c>
      <c r="L6" s="102">
        <f t="shared" si="1"/>
        <v>1</v>
      </c>
      <c r="M6" s="102">
        <f t="shared" si="1"/>
        <v>2</v>
      </c>
      <c r="N6" s="102">
        <f t="shared" si="1"/>
        <v>2</v>
      </c>
      <c r="O6" s="102">
        <f t="shared" si="1"/>
        <v>2</v>
      </c>
      <c r="P6" s="121">
        <f t="shared" si="2"/>
        <v>1.6</v>
      </c>
      <c r="Q6" s="102">
        <v>1044</v>
      </c>
      <c r="R6" s="102">
        <f t="shared" si="3"/>
        <v>4</v>
      </c>
      <c r="S6" s="138">
        <v>635.41618244839106</v>
      </c>
      <c r="T6" s="102">
        <f t="shared" si="4"/>
        <v>4</v>
      </c>
      <c r="U6" s="139">
        <v>222.96564742077101</v>
      </c>
      <c r="V6" s="102">
        <f t="shared" si="5"/>
        <v>4</v>
      </c>
      <c r="W6" s="124">
        <v>169.06</v>
      </c>
      <c r="X6" s="102">
        <f t="shared" si="6"/>
        <v>4</v>
      </c>
      <c r="Y6" s="109">
        <v>51</v>
      </c>
      <c r="Z6" s="102">
        <f t="shared" si="7"/>
        <v>4</v>
      </c>
      <c r="AA6" s="125">
        <f t="shared" si="8"/>
        <v>64.800000000000011</v>
      </c>
      <c r="AB6" s="126" t="s">
        <v>579</v>
      </c>
      <c r="AC6" s="126">
        <v>4</v>
      </c>
      <c r="AD6" s="126">
        <v>1</v>
      </c>
      <c r="AE6" s="126" t="s">
        <v>582</v>
      </c>
      <c r="AF6" s="102">
        <v>1</v>
      </c>
      <c r="AG6" s="127">
        <f t="shared" si="9"/>
        <v>6</v>
      </c>
      <c r="AH6" s="128">
        <f t="shared" si="10"/>
        <v>72.400000000000006</v>
      </c>
      <c r="AI6" s="108">
        <v>2030</v>
      </c>
      <c r="AJ6" s="108" t="str">
        <f t="shared" si="11"/>
        <v>early adopter</v>
      </c>
    </row>
    <row r="7" spans="1:36">
      <c r="A7" s="102" t="s">
        <v>445</v>
      </c>
      <c r="B7" s="120" t="s">
        <v>444</v>
      </c>
      <c r="C7" s="120" t="s">
        <v>83</v>
      </c>
      <c r="D7" s="102" t="s">
        <v>75</v>
      </c>
      <c r="E7" s="109" t="s">
        <v>76</v>
      </c>
      <c r="F7" s="102">
        <v>2021</v>
      </c>
      <c r="G7" s="102">
        <v>2019</v>
      </c>
      <c r="H7" s="102">
        <v>2014</v>
      </c>
      <c r="I7" s="102">
        <v>2018</v>
      </c>
      <c r="J7" s="102">
        <v>2015</v>
      </c>
      <c r="K7" s="102">
        <f t="shared" si="1"/>
        <v>1</v>
      </c>
      <c r="L7" s="102">
        <f t="shared" si="1"/>
        <v>1</v>
      </c>
      <c r="M7" s="102">
        <f t="shared" si="1"/>
        <v>2</v>
      </c>
      <c r="N7" s="102">
        <f t="shared" si="1"/>
        <v>1</v>
      </c>
      <c r="O7" s="102">
        <f t="shared" si="1"/>
        <v>3</v>
      </c>
      <c r="P7" s="121">
        <f t="shared" si="2"/>
        <v>1.6</v>
      </c>
      <c r="Q7" s="102">
        <v>895</v>
      </c>
      <c r="R7" s="102">
        <f t="shared" si="3"/>
        <v>3</v>
      </c>
      <c r="S7" s="138">
        <v>1705.94777924871</v>
      </c>
      <c r="T7" s="102">
        <f t="shared" si="4"/>
        <v>4</v>
      </c>
      <c r="U7" s="139">
        <v>4305.23166948771</v>
      </c>
      <c r="V7" s="102">
        <f t="shared" si="5"/>
        <v>4</v>
      </c>
      <c r="W7" s="124">
        <v>1719</v>
      </c>
      <c r="X7" s="102">
        <f t="shared" si="6"/>
        <v>4</v>
      </c>
      <c r="Y7" s="109">
        <v>68</v>
      </c>
      <c r="Z7" s="102">
        <f t="shared" si="7"/>
        <v>4</v>
      </c>
      <c r="AA7" s="125">
        <f t="shared" si="8"/>
        <v>61.800000000000004</v>
      </c>
      <c r="AB7" s="126" t="s">
        <v>579</v>
      </c>
      <c r="AC7" s="126">
        <v>4</v>
      </c>
      <c r="AD7" s="126">
        <v>1</v>
      </c>
      <c r="AE7" s="126">
        <v>6.2179089797876346</v>
      </c>
      <c r="AF7" s="102">
        <f>IF(AND(AE7&gt;=AE$200,AE7&lt;AE$201),1,IF(AND(AE7&gt;=AE$201,AE7&lt;AE$202),2,IF(AND(AE7&gt;=AE$202,AE7&lt;AE$203),3,IF(AND(AE7&gt;=AE$203,AE7&lt;=AE$204),4,"empty"))))</f>
        <v>1</v>
      </c>
      <c r="AG7" s="127">
        <f t="shared" si="9"/>
        <v>6</v>
      </c>
      <c r="AH7" s="128">
        <f t="shared" si="10"/>
        <v>69.400000000000006</v>
      </c>
      <c r="AI7" s="108">
        <v>2030</v>
      </c>
      <c r="AJ7" s="108" t="str">
        <f t="shared" si="11"/>
        <v>early adopter</v>
      </c>
    </row>
    <row r="8" spans="1:36">
      <c r="A8" s="102" t="s">
        <v>291</v>
      </c>
      <c r="B8" s="120" t="s">
        <v>290</v>
      </c>
      <c r="C8" s="120" t="s">
        <v>99</v>
      </c>
      <c r="D8" s="102" t="s">
        <v>80</v>
      </c>
      <c r="E8" s="109">
        <v>2</v>
      </c>
      <c r="F8" s="102">
        <v>2002</v>
      </c>
      <c r="G8" s="102">
        <v>2004</v>
      </c>
      <c r="H8" s="102">
        <v>2020</v>
      </c>
      <c r="I8" s="102" t="s">
        <v>566</v>
      </c>
      <c r="J8" s="102">
        <v>2010</v>
      </c>
      <c r="K8" s="102">
        <f t="shared" si="1"/>
        <v>2</v>
      </c>
      <c r="L8" s="102">
        <f t="shared" si="1"/>
        <v>2</v>
      </c>
      <c r="M8" s="102">
        <f t="shared" si="1"/>
        <v>1</v>
      </c>
      <c r="N8" s="102">
        <f t="shared" si="1"/>
        <v>1</v>
      </c>
      <c r="O8" s="102">
        <f t="shared" si="1"/>
        <v>4</v>
      </c>
      <c r="P8" s="121">
        <f t="shared" si="2"/>
        <v>2</v>
      </c>
      <c r="Q8" s="102">
        <v>1077</v>
      </c>
      <c r="R8" s="102">
        <f t="shared" si="3"/>
        <v>4</v>
      </c>
      <c r="S8" s="138">
        <v>292.85012938262901</v>
      </c>
      <c r="T8" s="102">
        <f t="shared" si="4"/>
        <v>4</v>
      </c>
      <c r="U8" s="139">
        <v>64.754217875590697</v>
      </c>
      <c r="V8" s="102">
        <f t="shared" si="5"/>
        <v>3</v>
      </c>
      <c r="W8" s="124">
        <v>8.9324E-8</v>
      </c>
      <c r="X8" s="102">
        <f t="shared" si="6"/>
        <v>3</v>
      </c>
      <c r="Y8" s="109">
        <v>71</v>
      </c>
      <c r="Z8" s="102">
        <f t="shared" si="7"/>
        <v>4</v>
      </c>
      <c r="AA8" s="125">
        <f t="shared" si="8"/>
        <v>60</v>
      </c>
      <c r="AB8" s="126" t="s">
        <v>580</v>
      </c>
      <c r="AC8" s="126">
        <v>1</v>
      </c>
      <c r="AD8" s="126">
        <v>3</v>
      </c>
      <c r="AE8" s="126" t="s">
        <v>582</v>
      </c>
      <c r="AF8" s="102">
        <v>3</v>
      </c>
      <c r="AG8" s="127">
        <f t="shared" si="9"/>
        <v>7</v>
      </c>
      <c r="AH8" s="128">
        <f t="shared" si="10"/>
        <v>69</v>
      </c>
      <c r="AI8" s="108">
        <v>2030</v>
      </c>
      <c r="AJ8" s="108" t="str">
        <f t="shared" si="11"/>
        <v>early adopter</v>
      </c>
    </row>
    <row r="9" spans="1:36">
      <c r="A9" s="102" t="s">
        <v>136</v>
      </c>
      <c r="B9" s="120" t="s">
        <v>135</v>
      </c>
      <c r="C9" s="120" t="s">
        <v>83</v>
      </c>
      <c r="D9" s="102" t="s">
        <v>75</v>
      </c>
      <c r="E9" s="109">
        <v>3</v>
      </c>
      <c r="F9" s="102">
        <v>2014</v>
      </c>
      <c r="G9" s="102">
        <v>2015</v>
      </c>
      <c r="H9" s="102">
        <v>2013</v>
      </c>
      <c r="I9" s="102">
        <v>2013</v>
      </c>
      <c r="J9" s="102" t="s">
        <v>566</v>
      </c>
      <c r="K9" s="102">
        <f t="shared" si="1"/>
        <v>1</v>
      </c>
      <c r="L9" s="102">
        <f t="shared" si="1"/>
        <v>1</v>
      </c>
      <c r="M9" s="102">
        <f t="shared" si="1"/>
        <v>2</v>
      </c>
      <c r="N9" s="102">
        <f t="shared" si="1"/>
        <v>3</v>
      </c>
      <c r="O9" s="102">
        <f t="shared" si="1"/>
        <v>1</v>
      </c>
      <c r="P9" s="121">
        <f t="shared" si="2"/>
        <v>1.6</v>
      </c>
      <c r="Q9" s="102">
        <v>691</v>
      </c>
      <c r="R9" s="102">
        <f t="shared" si="3"/>
        <v>3</v>
      </c>
      <c r="S9" s="138">
        <v>515.562360280951</v>
      </c>
      <c r="T9" s="102">
        <f t="shared" si="4"/>
        <v>4</v>
      </c>
      <c r="U9" s="139">
        <v>2297.2304679822</v>
      </c>
      <c r="V9" s="102">
        <f t="shared" si="5"/>
        <v>4</v>
      </c>
      <c r="W9" s="124">
        <v>855.26</v>
      </c>
      <c r="X9" s="102">
        <f t="shared" si="6"/>
        <v>4</v>
      </c>
      <c r="Y9" s="109">
        <v>49</v>
      </c>
      <c r="Z9" s="102">
        <f t="shared" si="7"/>
        <v>4</v>
      </c>
      <c r="AA9" s="125">
        <f t="shared" si="8"/>
        <v>61.800000000000004</v>
      </c>
      <c r="AB9" s="126" t="s">
        <v>583</v>
      </c>
      <c r="AC9" s="126">
        <v>3</v>
      </c>
      <c r="AD9" s="126">
        <v>1</v>
      </c>
      <c r="AE9" s="126">
        <v>17.999999999999982</v>
      </c>
      <c r="AF9" s="102">
        <f t="shared" ref="AF9:AF14" si="12">IF(AND(AE9&gt;=AE$200,AE9&lt;AE$201),1,IF(AND(AE9&gt;=AE$201,AE9&lt;AE$202),2,IF(AND(AE9&gt;=AE$202,AE9&lt;AE$203),3,IF(AND(AE9&gt;=AE$203,AE9&lt;=AE$204),4,"empty"))))</f>
        <v>1</v>
      </c>
      <c r="AG9" s="127">
        <f t="shared" si="9"/>
        <v>5</v>
      </c>
      <c r="AH9" s="128">
        <f t="shared" si="10"/>
        <v>68.400000000000006</v>
      </c>
      <c r="AI9" s="108">
        <v>2030</v>
      </c>
      <c r="AJ9" s="108" t="str">
        <f t="shared" si="11"/>
        <v>early adopter</v>
      </c>
    </row>
    <row r="10" spans="1:36">
      <c r="A10" s="102" t="s">
        <v>295</v>
      </c>
      <c r="B10" s="120" t="s">
        <v>294</v>
      </c>
      <c r="C10" s="120" t="s">
        <v>83</v>
      </c>
      <c r="D10" s="102" t="s">
        <v>75</v>
      </c>
      <c r="E10" s="109">
        <v>3</v>
      </c>
      <c r="F10" s="102">
        <v>2019</v>
      </c>
      <c r="G10" s="102" t="s">
        <v>566</v>
      </c>
      <c r="H10" s="102">
        <v>2011</v>
      </c>
      <c r="I10" s="102">
        <v>2015</v>
      </c>
      <c r="J10" s="102">
        <v>2023</v>
      </c>
      <c r="K10" s="102">
        <f t="shared" si="1"/>
        <v>1</v>
      </c>
      <c r="L10" s="102">
        <f t="shared" si="1"/>
        <v>1</v>
      </c>
      <c r="M10" s="102">
        <f t="shared" si="1"/>
        <v>3</v>
      </c>
      <c r="N10" s="102">
        <f t="shared" si="1"/>
        <v>2</v>
      </c>
      <c r="O10" s="102">
        <f t="shared" si="1"/>
        <v>1</v>
      </c>
      <c r="P10" s="121">
        <f t="shared" si="2"/>
        <v>1.6</v>
      </c>
      <c r="Q10" s="102">
        <v>852</v>
      </c>
      <c r="R10" s="102">
        <f t="shared" si="3"/>
        <v>3</v>
      </c>
      <c r="S10" s="138">
        <v>687.62364956393799</v>
      </c>
      <c r="T10" s="102">
        <f t="shared" si="4"/>
        <v>4</v>
      </c>
      <c r="U10" s="139">
        <v>2727.22122731339</v>
      </c>
      <c r="V10" s="102">
        <f t="shared" si="5"/>
        <v>4</v>
      </c>
      <c r="W10" s="124">
        <v>617.51</v>
      </c>
      <c r="X10" s="102">
        <f t="shared" si="6"/>
        <v>4</v>
      </c>
      <c r="Y10" s="109">
        <v>41</v>
      </c>
      <c r="Z10" s="102">
        <f t="shared" si="7"/>
        <v>4</v>
      </c>
      <c r="AA10" s="125">
        <f t="shared" si="8"/>
        <v>61.800000000000004</v>
      </c>
      <c r="AB10" s="126" t="s">
        <v>583</v>
      </c>
      <c r="AC10" s="126">
        <v>3</v>
      </c>
      <c r="AD10" s="126">
        <v>1</v>
      </c>
      <c r="AE10" s="126">
        <v>13.597427889188882</v>
      </c>
      <c r="AF10" s="102">
        <f t="shared" si="12"/>
        <v>1</v>
      </c>
      <c r="AG10" s="127">
        <f t="shared" si="9"/>
        <v>5</v>
      </c>
      <c r="AH10" s="128">
        <f t="shared" si="10"/>
        <v>68.400000000000006</v>
      </c>
      <c r="AI10" s="108">
        <v>2030</v>
      </c>
      <c r="AJ10" s="108" t="str">
        <f t="shared" si="11"/>
        <v>early adopter</v>
      </c>
    </row>
    <row r="11" spans="1:36">
      <c r="A11" s="102" t="s">
        <v>289</v>
      </c>
      <c r="B11" s="120" t="s">
        <v>288</v>
      </c>
      <c r="C11" s="120" t="s">
        <v>83</v>
      </c>
      <c r="D11" s="102" t="s">
        <v>75</v>
      </c>
      <c r="E11" s="109">
        <v>3</v>
      </c>
      <c r="F11" s="102">
        <v>2015</v>
      </c>
      <c r="G11" s="102">
        <v>2017</v>
      </c>
      <c r="H11" s="102">
        <v>2011</v>
      </c>
      <c r="I11" s="102">
        <v>2012</v>
      </c>
      <c r="J11" s="102">
        <v>2019</v>
      </c>
      <c r="K11" s="102">
        <f t="shared" si="1"/>
        <v>1</v>
      </c>
      <c r="L11" s="102">
        <f t="shared" si="1"/>
        <v>1</v>
      </c>
      <c r="M11" s="102">
        <f t="shared" si="1"/>
        <v>3</v>
      </c>
      <c r="N11" s="102">
        <f t="shared" si="1"/>
        <v>3</v>
      </c>
      <c r="O11" s="102">
        <f t="shared" si="1"/>
        <v>2</v>
      </c>
      <c r="P11" s="121">
        <f t="shared" si="2"/>
        <v>2</v>
      </c>
      <c r="Q11" s="102">
        <v>53</v>
      </c>
      <c r="R11" s="102">
        <f t="shared" si="3"/>
        <v>3</v>
      </c>
      <c r="S11" s="138">
        <v>112.534865951946</v>
      </c>
      <c r="T11" s="102">
        <f t="shared" si="4"/>
        <v>3</v>
      </c>
      <c r="U11" s="139">
        <v>211.81549774918099</v>
      </c>
      <c r="V11" s="102">
        <f t="shared" si="5"/>
        <v>4</v>
      </c>
      <c r="W11" s="124">
        <v>684.99</v>
      </c>
      <c r="X11" s="102">
        <f t="shared" si="6"/>
        <v>4</v>
      </c>
      <c r="Y11" s="109">
        <v>60</v>
      </c>
      <c r="Z11" s="102">
        <f t="shared" si="7"/>
        <v>4</v>
      </c>
      <c r="AA11" s="125">
        <f t="shared" si="8"/>
        <v>60</v>
      </c>
      <c r="AB11" s="126" t="s">
        <v>579</v>
      </c>
      <c r="AC11" s="126">
        <v>4</v>
      </c>
      <c r="AD11" s="126">
        <v>1</v>
      </c>
      <c r="AE11" s="126">
        <v>5.0373741091444444</v>
      </c>
      <c r="AF11" s="102">
        <f t="shared" si="12"/>
        <v>1</v>
      </c>
      <c r="AG11" s="127">
        <f t="shared" si="9"/>
        <v>6</v>
      </c>
      <c r="AH11" s="128">
        <f t="shared" si="10"/>
        <v>68</v>
      </c>
      <c r="AI11" s="108">
        <v>2030</v>
      </c>
      <c r="AJ11" s="108" t="str">
        <f t="shared" si="11"/>
        <v>early adopter</v>
      </c>
    </row>
    <row r="12" spans="1:36">
      <c r="A12" s="102" t="s">
        <v>178</v>
      </c>
      <c r="B12" s="120" t="s">
        <v>177</v>
      </c>
      <c r="C12" s="120" t="s">
        <v>83</v>
      </c>
      <c r="D12" s="102" t="s">
        <v>75</v>
      </c>
      <c r="E12" s="109" t="s">
        <v>76</v>
      </c>
      <c r="F12" s="102">
        <v>2021</v>
      </c>
      <c r="G12" s="102" t="s">
        <v>566</v>
      </c>
      <c r="H12" s="102">
        <v>2013</v>
      </c>
      <c r="I12" s="102">
        <v>2019</v>
      </c>
      <c r="J12" s="102" t="s">
        <v>566</v>
      </c>
      <c r="K12" s="102">
        <f t="shared" si="1"/>
        <v>1</v>
      </c>
      <c r="L12" s="102">
        <f t="shared" si="1"/>
        <v>1</v>
      </c>
      <c r="M12" s="102">
        <f t="shared" si="1"/>
        <v>2</v>
      </c>
      <c r="N12" s="102">
        <f t="shared" si="1"/>
        <v>1</v>
      </c>
      <c r="O12" s="102">
        <f t="shared" si="1"/>
        <v>1</v>
      </c>
      <c r="P12" s="121">
        <f t="shared" si="2"/>
        <v>1.2</v>
      </c>
      <c r="Q12" s="102">
        <v>18467</v>
      </c>
      <c r="R12" s="102">
        <f t="shared" si="3"/>
        <v>4</v>
      </c>
      <c r="S12" s="138">
        <v>661.37590415721195</v>
      </c>
      <c r="T12" s="102">
        <f t="shared" si="4"/>
        <v>4</v>
      </c>
      <c r="U12" s="139">
        <v>6607.02281742594</v>
      </c>
      <c r="V12" s="102">
        <f t="shared" si="5"/>
        <v>4</v>
      </c>
      <c r="W12" s="124">
        <v>3468.5</v>
      </c>
      <c r="X12" s="102">
        <f t="shared" si="6"/>
        <v>4</v>
      </c>
      <c r="Y12" s="109">
        <v>85</v>
      </c>
      <c r="Z12" s="102">
        <f t="shared" si="7"/>
        <v>3</v>
      </c>
      <c r="AA12" s="125">
        <f t="shared" si="8"/>
        <v>60.599999999999994</v>
      </c>
      <c r="AB12" s="109" t="s">
        <v>579</v>
      </c>
      <c r="AC12" s="126">
        <v>4</v>
      </c>
      <c r="AD12" s="126">
        <v>1</v>
      </c>
      <c r="AE12" s="126">
        <v>6.4241366999152199</v>
      </c>
      <c r="AF12" s="102">
        <f t="shared" si="12"/>
        <v>1</v>
      </c>
      <c r="AG12" s="127">
        <f t="shared" si="9"/>
        <v>6</v>
      </c>
      <c r="AH12" s="128">
        <f t="shared" si="10"/>
        <v>67.8</v>
      </c>
      <c r="AI12" s="108">
        <v>2030</v>
      </c>
      <c r="AJ12" s="108" t="str">
        <f t="shared" si="11"/>
        <v>early adopter</v>
      </c>
    </row>
    <row r="13" spans="1:36">
      <c r="A13" s="102" t="s">
        <v>239</v>
      </c>
      <c r="B13" s="120" t="s">
        <v>238</v>
      </c>
      <c r="C13" s="120" t="s">
        <v>110</v>
      </c>
      <c r="D13" s="102" t="s">
        <v>80</v>
      </c>
      <c r="E13" s="109" t="s">
        <v>76</v>
      </c>
      <c r="F13" s="102">
        <v>2002</v>
      </c>
      <c r="G13" s="102">
        <v>2018</v>
      </c>
      <c r="H13" s="102">
        <v>2024</v>
      </c>
      <c r="I13" s="102" t="s">
        <v>566</v>
      </c>
      <c r="J13" s="102" t="s">
        <v>566</v>
      </c>
      <c r="K13" s="102">
        <f t="shared" si="1"/>
        <v>2</v>
      </c>
      <c r="L13" s="102">
        <f t="shared" si="1"/>
        <v>1</v>
      </c>
      <c r="M13" s="102">
        <f t="shared" si="1"/>
        <v>1</v>
      </c>
      <c r="N13" s="102">
        <f t="shared" si="1"/>
        <v>1</v>
      </c>
      <c r="O13" s="102">
        <f t="shared" si="1"/>
        <v>1</v>
      </c>
      <c r="P13" s="121">
        <f t="shared" si="2"/>
        <v>1.2</v>
      </c>
      <c r="Q13" s="102">
        <v>1822</v>
      </c>
      <c r="R13" s="102">
        <f t="shared" si="3"/>
        <v>4</v>
      </c>
      <c r="S13" s="138">
        <v>159.97038285226401</v>
      </c>
      <c r="T13" s="102">
        <f t="shared" si="4"/>
        <v>3</v>
      </c>
      <c r="U13" s="139">
        <v>713.07040791056897</v>
      </c>
      <c r="V13" s="102">
        <f t="shared" si="5"/>
        <v>4</v>
      </c>
      <c r="W13" s="124">
        <v>5126.6000000000004</v>
      </c>
      <c r="X13" s="102">
        <f t="shared" si="6"/>
        <v>4</v>
      </c>
      <c r="Y13" s="109">
        <v>73</v>
      </c>
      <c r="Z13" s="102">
        <f t="shared" si="7"/>
        <v>4</v>
      </c>
      <c r="AA13" s="125">
        <f t="shared" si="8"/>
        <v>60.599999999999994</v>
      </c>
      <c r="AB13" s="126" t="s">
        <v>581</v>
      </c>
      <c r="AC13" s="126">
        <v>1</v>
      </c>
      <c r="AD13" s="126">
        <v>3</v>
      </c>
      <c r="AE13" s="126">
        <v>90.45116394578649</v>
      </c>
      <c r="AF13" s="102">
        <f t="shared" si="12"/>
        <v>2</v>
      </c>
      <c r="AG13" s="127">
        <f t="shared" si="9"/>
        <v>6</v>
      </c>
      <c r="AH13" s="128">
        <f t="shared" si="10"/>
        <v>67.8</v>
      </c>
      <c r="AI13" s="108">
        <v>2030</v>
      </c>
      <c r="AJ13" s="108" t="str">
        <f t="shared" si="11"/>
        <v>early adopter</v>
      </c>
    </row>
    <row r="14" spans="1:36">
      <c r="A14" s="102" t="s">
        <v>89</v>
      </c>
      <c r="B14" s="120" t="s">
        <v>88</v>
      </c>
      <c r="C14" s="120" t="s">
        <v>83</v>
      </c>
      <c r="D14" s="102" t="s">
        <v>84</v>
      </c>
      <c r="E14" s="109">
        <v>3</v>
      </c>
      <c r="F14" s="102">
        <v>2015</v>
      </c>
      <c r="G14" s="102">
        <v>2018</v>
      </c>
      <c r="H14" s="102">
        <v>2013</v>
      </c>
      <c r="I14" s="102">
        <v>2014</v>
      </c>
      <c r="J14" s="102" t="s">
        <v>566</v>
      </c>
      <c r="K14" s="102">
        <f t="shared" si="1"/>
        <v>1</v>
      </c>
      <c r="L14" s="102">
        <f t="shared" si="1"/>
        <v>1</v>
      </c>
      <c r="M14" s="102">
        <f t="shared" si="1"/>
        <v>2</v>
      </c>
      <c r="N14" s="102">
        <f t="shared" si="1"/>
        <v>2</v>
      </c>
      <c r="O14" s="102">
        <f t="shared" si="1"/>
        <v>1</v>
      </c>
      <c r="P14" s="121">
        <f t="shared" si="2"/>
        <v>1.4</v>
      </c>
      <c r="Q14" s="102">
        <v>2980</v>
      </c>
      <c r="R14" s="102">
        <f t="shared" si="3"/>
        <v>4</v>
      </c>
      <c r="S14" s="138">
        <v>749.58664740230802</v>
      </c>
      <c r="T14" s="102">
        <f t="shared" si="4"/>
        <v>4</v>
      </c>
      <c r="U14" s="139">
        <v>1061.4654575996301</v>
      </c>
      <c r="V14" s="102">
        <f t="shared" si="5"/>
        <v>4</v>
      </c>
      <c r="W14" s="124">
        <v>872.73</v>
      </c>
      <c r="X14" s="102">
        <f t="shared" si="6"/>
        <v>4</v>
      </c>
      <c r="Y14" s="109">
        <v>92</v>
      </c>
      <c r="Z14" s="102">
        <f t="shared" si="7"/>
        <v>3</v>
      </c>
      <c r="AA14" s="125">
        <f t="shared" si="8"/>
        <v>61.199999999999996</v>
      </c>
      <c r="AB14" s="126" t="s">
        <v>581</v>
      </c>
      <c r="AC14" s="126">
        <v>1</v>
      </c>
      <c r="AD14" s="126">
        <v>2</v>
      </c>
      <c r="AE14" s="126">
        <v>34.981714151524507</v>
      </c>
      <c r="AF14" s="102">
        <f t="shared" si="12"/>
        <v>2</v>
      </c>
      <c r="AG14" s="127">
        <f t="shared" si="9"/>
        <v>5</v>
      </c>
      <c r="AH14" s="128">
        <f t="shared" si="10"/>
        <v>67.599999999999994</v>
      </c>
      <c r="AI14" s="108">
        <v>2030</v>
      </c>
      <c r="AJ14" s="108" t="str">
        <f t="shared" si="11"/>
        <v>early adopter</v>
      </c>
    </row>
    <row r="15" spans="1:36">
      <c r="A15" s="102" t="s">
        <v>453</v>
      </c>
      <c r="B15" s="120" t="s">
        <v>452</v>
      </c>
      <c r="C15" s="120" t="s">
        <v>92</v>
      </c>
      <c r="D15" s="102" t="s">
        <v>87</v>
      </c>
      <c r="E15" s="109" t="s">
        <v>76</v>
      </c>
      <c r="F15" s="102">
        <v>1989</v>
      </c>
      <c r="G15" s="102">
        <v>1969</v>
      </c>
      <c r="H15" s="102">
        <v>2000</v>
      </c>
      <c r="I15" s="102">
        <v>2006</v>
      </c>
      <c r="J15" s="102">
        <v>2006</v>
      </c>
      <c r="K15" s="102">
        <f t="shared" si="1"/>
        <v>4</v>
      </c>
      <c r="L15" s="102">
        <f t="shared" si="1"/>
        <v>4</v>
      </c>
      <c r="M15" s="102">
        <f t="shared" si="1"/>
        <v>4</v>
      </c>
      <c r="N15" s="102">
        <f t="shared" si="1"/>
        <v>4</v>
      </c>
      <c r="O15" s="102">
        <f t="shared" si="1"/>
        <v>4</v>
      </c>
      <c r="P15" s="121">
        <f t="shared" si="2"/>
        <v>4</v>
      </c>
      <c r="Q15" s="102">
        <v>1282</v>
      </c>
      <c r="R15" s="102">
        <f t="shared" si="3"/>
        <v>4</v>
      </c>
      <c r="S15" s="138">
        <v>0.39139337674580299</v>
      </c>
      <c r="T15" s="102">
        <f t="shared" si="4"/>
        <v>1</v>
      </c>
      <c r="U15" s="139">
        <v>0.553970896712913</v>
      </c>
      <c r="V15" s="102">
        <f t="shared" si="5"/>
        <v>3</v>
      </c>
      <c r="W15" s="124">
        <v>0</v>
      </c>
      <c r="X15" s="102">
        <f t="shared" si="6"/>
        <v>2</v>
      </c>
      <c r="Y15" s="109">
        <v>79</v>
      </c>
      <c r="Z15" s="102">
        <f t="shared" si="7"/>
        <v>4</v>
      </c>
      <c r="AA15" s="125">
        <f t="shared" si="8"/>
        <v>54</v>
      </c>
      <c r="AB15" s="126" t="s">
        <v>580</v>
      </c>
      <c r="AC15" s="126">
        <v>1</v>
      </c>
      <c r="AD15" s="126">
        <v>4</v>
      </c>
      <c r="AE15" s="126" t="s">
        <v>582</v>
      </c>
      <c r="AF15" s="126">
        <v>4</v>
      </c>
      <c r="AG15" s="127">
        <f t="shared" si="9"/>
        <v>9</v>
      </c>
      <c r="AH15" s="128">
        <f t="shared" si="10"/>
        <v>67</v>
      </c>
      <c r="AI15" s="108">
        <v>2030</v>
      </c>
      <c r="AJ15" s="108" t="str">
        <f t="shared" si="11"/>
        <v>early adopter</v>
      </c>
    </row>
    <row r="16" spans="1:36">
      <c r="A16" s="102" t="s">
        <v>237</v>
      </c>
      <c r="B16" s="120" t="s">
        <v>236</v>
      </c>
      <c r="C16" s="120" t="s">
        <v>110</v>
      </c>
      <c r="D16" s="102" t="s">
        <v>84</v>
      </c>
      <c r="E16" s="109" t="s">
        <v>76</v>
      </c>
      <c r="F16" s="102">
        <v>2010</v>
      </c>
      <c r="G16" s="102">
        <v>2018</v>
      </c>
      <c r="H16" s="102" t="s">
        <v>566</v>
      </c>
      <c r="I16" s="102">
        <v>2019</v>
      </c>
      <c r="J16" s="102" t="s">
        <v>566</v>
      </c>
      <c r="K16" s="102">
        <f t="shared" si="1"/>
        <v>2</v>
      </c>
      <c r="L16" s="102">
        <f t="shared" si="1"/>
        <v>1</v>
      </c>
      <c r="M16" s="102">
        <f t="shared" si="1"/>
        <v>1</v>
      </c>
      <c r="N16" s="102">
        <f t="shared" si="1"/>
        <v>1</v>
      </c>
      <c r="O16" s="102">
        <f t="shared" si="1"/>
        <v>1</v>
      </c>
      <c r="P16" s="121">
        <f t="shared" si="2"/>
        <v>1.2</v>
      </c>
      <c r="Q16" s="102">
        <v>10708</v>
      </c>
      <c r="R16" s="102">
        <f t="shared" si="3"/>
        <v>4</v>
      </c>
      <c r="S16" s="138">
        <v>182.540438526884</v>
      </c>
      <c r="T16" s="102">
        <f t="shared" si="4"/>
        <v>3</v>
      </c>
      <c r="U16" s="139">
        <v>4855.6447892210599</v>
      </c>
      <c r="V16" s="102">
        <f t="shared" si="5"/>
        <v>4</v>
      </c>
      <c r="W16" s="124">
        <v>40506</v>
      </c>
      <c r="X16" s="102">
        <f t="shared" si="6"/>
        <v>4</v>
      </c>
      <c r="Y16" s="109">
        <v>57</v>
      </c>
      <c r="Z16" s="102">
        <f t="shared" si="7"/>
        <v>4</v>
      </c>
      <c r="AA16" s="125">
        <f t="shared" si="8"/>
        <v>60.599999999999994</v>
      </c>
      <c r="AB16" s="126" t="s">
        <v>581</v>
      </c>
      <c r="AC16" s="126">
        <v>1</v>
      </c>
      <c r="AD16" s="126">
        <v>2</v>
      </c>
      <c r="AE16" s="126">
        <v>49.876252606093466</v>
      </c>
      <c r="AF16" s="102">
        <f>IF(AND(AE16&gt;=AE$200,AE16&lt;AE$201),1,IF(AND(AE16&gt;=AE$201,AE16&lt;AE$202),2,IF(AND(AE16&gt;=AE$202,AE16&lt;AE$203),3,IF(AND(AE16&gt;=AE$203,AE16&lt;=AE$204),4,"empty"))))</f>
        <v>2</v>
      </c>
      <c r="AG16" s="127">
        <f t="shared" si="9"/>
        <v>5</v>
      </c>
      <c r="AH16" s="128">
        <f t="shared" si="10"/>
        <v>66.8</v>
      </c>
      <c r="AI16" s="108">
        <v>2030</v>
      </c>
      <c r="AJ16" s="108" t="str">
        <f t="shared" si="11"/>
        <v>early adopter</v>
      </c>
    </row>
    <row r="17" spans="1:36">
      <c r="A17" s="102" t="s">
        <v>357</v>
      </c>
      <c r="B17" s="120" t="s">
        <v>356</v>
      </c>
      <c r="C17" s="120" t="s">
        <v>99</v>
      </c>
      <c r="D17" s="102" t="s">
        <v>84</v>
      </c>
      <c r="E17" s="109" t="s">
        <v>76</v>
      </c>
      <c r="F17" s="102">
        <v>2010</v>
      </c>
      <c r="G17" s="102">
        <v>2010</v>
      </c>
      <c r="H17" s="102">
        <v>2020</v>
      </c>
      <c r="I17" s="102" t="s">
        <v>566</v>
      </c>
      <c r="J17" s="102" t="s">
        <v>566</v>
      </c>
      <c r="K17" s="102">
        <f t="shared" si="1"/>
        <v>2</v>
      </c>
      <c r="L17" s="102">
        <f t="shared" si="1"/>
        <v>2</v>
      </c>
      <c r="M17" s="102">
        <f t="shared" si="1"/>
        <v>1</v>
      </c>
      <c r="N17" s="102">
        <f t="shared" si="1"/>
        <v>1</v>
      </c>
      <c r="O17" s="102">
        <f t="shared" si="1"/>
        <v>1</v>
      </c>
      <c r="P17" s="121">
        <f t="shared" si="2"/>
        <v>1.4</v>
      </c>
      <c r="Q17" s="102">
        <v>48375</v>
      </c>
      <c r="R17" s="102">
        <f t="shared" si="3"/>
        <v>4</v>
      </c>
      <c r="S17" s="138">
        <v>537.10041034202095</v>
      </c>
      <c r="T17" s="102">
        <f t="shared" si="4"/>
        <v>4</v>
      </c>
      <c r="U17" s="139">
        <v>2588.4185363105498</v>
      </c>
      <c r="V17" s="102">
        <f t="shared" si="5"/>
        <v>4</v>
      </c>
      <c r="W17" s="124">
        <v>2417</v>
      </c>
      <c r="X17" s="102">
        <f t="shared" si="6"/>
        <v>4</v>
      </c>
      <c r="Y17" s="109">
        <v>95</v>
      </c>
      <c r="Z17" s="102">
        <f t="shared" si="7"/>
        <v>2</v>
      </c>
      <c r="AA17" s="125">
        <f t="shared" si="8"/>
        <v>58.199999999999996</v>
      </c>
      <c r="AB17" s="126" t="s">
        <v>580</v>
      </c>
      <c r="AC17" s="126">
        <v>1</v>
      </c>
      <c r="AD17" s="126">
        <v>2</v>
      </c>
      <c r="AE17" s="126">
        <v>100</v>
      </c>
      <c r="AF17" s="102">
        <f>IF(AND(AE17&gt;=AE$200,AE17&lt;AE$201),1,IF(AND(AE17&gt;=AE$201,AE17&lt;AE$202),2,IF(AND(AE17&gt;=AE$202,AE17&lt;AE$203),3,IF(AND(AE17&gt;=AE$203,AE17&lt;=AE$204),4,"empty"))))</f>
        <v>4</v>
      </c>
      <c r="AG17" s="127">
        <f t="shared" si="9"/>
        <v>7</v>
      </c>
      <c r="AH17" s="128">
        <f t="shared" si="10"/>
        <v>66.599999999999994</v>
      </c>
      <c r="AI17" s="108">
        <v>2030</v>
      </c>
      <c r="AJ17" s="108" t="str">
        <f t="shared" si="11"/>
        <v>early adopter</v>
      </c>
    </row>
    <row r="18" spans="1:36">
      <c r="A18" s="102" t="s">
        <v>285</v>
      </c>
      <c r="B18" s="120" t="s">
        <v>284</v>
      </c>
      <c r="C18" s="120" t="s">
        <v>79</v>
      </c>
      <c r="D18" s="102" t="s">
        <v>80</v>
      </c>
      <c r="E18" s="109">
        <v>1</v>
      </c>
      <c r="F18" s="102">
        <v>1987</v>
      </c>
      <c r="G18" s="102">
        <v>1982</v>
      </c>
      <c r="H18" s="102">
        <v>2019</v>
      </c>
      <c r="I18" s="102">
        <v>2020</v>
      </c>
      <c r="J18" s="102">
        <v>2009</v>
      </c>
      <c r="K18" s="102">
        <f t="shared" si="1"/>
        <v>4</v>
      </c>
      <c r="L18" s="102">
        <f t="shared" si="1"/>
        <v>4</v>
      </c>
      <c r="M18" s="102">
        <f t="shared" si="1"/>
        <v>1</v>
      </c>
      <c r="N18" s="102">
        <f t="shared" si="1"/>
        <v>1</v>
      </c>
      <c r="O18" s="102">
        <f t="shared" si="1"/>
        <v>4</v>
      </c>
      <c r="P18" s="121">
        <f t="shared" si="2"/>
        <v>2.8</v>
      </c>
      <c r="Q18" s="102">
        <v>1884</v>
      </c>
      <c r="R18" s="102">
        <f t="shared" si="3"/>
        <v>4</v>
      </c>
      <c r="S18" s="138">
        <v>170.45048545019199</v>
      </c>
      <c r="T18" s="102">
        <f t="shared" si="4"/>
        <v>3</v>
      </c>
      <c r="U18" s="139">
        <v>3.0903162231814201</v>
      </c>
      <c r="V18" s="102">
        <f t="shared" si="5"/>
        <v>3</v>
      </c>
      <c r="W18" s="124">
        <v>0</v>
      </c>
      <c r="X18" s="102">
        <f t="shared" si="6"/>
        <v>2</v>
      </c>
      <c r="Y18" s="109">
        <v>76</v>
      </c>
      <c r="Z18" s="102">
        <f t="shared" si="7"/>
        <v>4</v>
      </c>
      <c r="AA18" s="125">
        <f t="shared" si="8"/>
        <v>56.400000000000006</v>
      </c>
      <c r="AB18" s="126" t="s">
        <v>580</v>
      </c>
      <c r="AC18" s="126">
        <v>1</v>
      </c>
      <c r="AD18" s="126">
        <v>3</v>
      </c>
      <c r="AE18" s="126">
        <v>100</v>
      </c>
      <c r="AF18" s="102">
        <v>3</v>
      </c>
      <c r="AG18" s="127">
        <f t="shared" si="9"/>
        <v>7</v>
      </c>
      <c r="AH18" s="128">
        <f t="shared" si="10"/>
        <v>66.2</v>
      </c>
      <c r="AI18" s="108">
        <v>2030</v>
      </c>
      <c r="AJ18" s="108" t="str">
        <f t="shared" si="11"/>
        <v>early adopter</v>
      </c>
    </row>
    <row r="19" spans="1:36">
      <c r="A19" s="102" t="s">
        <v>409</v>
      </c>
      <c r="B19" s="120" t="s">
        <v>408</v>
      </c>
      <c r="C19" s="120" t="s">
        <v>74</v>
      </c>
      <c r="D19" s="102" t="s">
        <v>75</v>
      </c>
      <c r="E19" s="109">
        <v>3</v>
      </c>
      <c r="F19" s="102">
        <v>2012</v>
      </c>
      <c r="G19" s="102" t="s">
        <v>566</v>
      </c>
      <c r="H19" s="102">
        <v>2013</v>
      </c>
      <c r="I19" s="102">
        <v>2011</v>
      </c>
      <c r="J19" s="102" t="s">
        <v>566</v>
      </c>
      <c r="K19" s="102">
        <f t="shared" si="1"/>
        <v>1</v>
      </c>
      <c r="L19" s="102">
        <f t="shared" si="1"/>
        <v>1</v>
      </c>
      <c r="M19" s="102">
        <f t="shared" si="1"/>
        <v>2</v>
      </c>
      <c r="N19" s="102">
        <f t="shared" si="1"/>
        <v>4</v>
      </c>
      <c r="O19" s="102">
        <f t="shared" si="1"/>
        <v>1</v>
      </c>
      <c r="P19" s="121">
        <f t="shared" si="2"/>
        <v>1.8</v>
      </c>
      <c r="Q19" s="102">
        <v>3555</v>
      </c>
      <c r="R19" s="102">
        <f t="shared" si="3"/>
        <v>4</v>
      </c>
      <c r="S19" s="138">
        <v>223.981178741181</v>
      </c>
      <c r="T19" s="102">
        <f t="shared" si="4"/>
        <v>3</v>
      </c>
      <c r="U19" s="139">
        <v>711.92095910917806</v>
      </c>
      <c r="V19" s="102">
        <f t="shared" si="5"/>
        <v>4</v>
      </c>
      <c r="W19" s="124">
        <v>865.95</v>
      </c>
      <c r="X19" s="102">
        <f t="shared" si="6"/>
        <v>4</v>
      </c>
      <c r="Y19" s="109">
        <v>91</v>
      </c>
      <c r="Z19" s="102">
        <f t="shared" si="7"/>
        <v>3</v>
      </c>
      <c r="AA19" s="125">
        <f t="shared" si="8"/>
        <v>59.400000000000006</v>
      </c>
      <c r="AB19" s="109" t="s">
        <v>583</v>
      </c>
      <c r="AC19" s="126">
        <v>3</v>
      </c>
      <c r="AD19" s="126">
        <v>1</v>
      </c>
      <c r="AE19" s="126">
        <v>10.855002994895328</v>
      </c>
      <c r="AF19" s="102">
        <f>IF(AND(AE19&gt;=AE$200,AE19&lt;AE$201),1,IF(AND(AE19&gt;=AE$201,AE19&lt;AE$202),2,IF(AND(AE19&gt;=AE$202,AE19&lt;AE$203),3,IF(AND(AE19&gt;=AE$203,AE19&lt;=AE$204),4,"empty"))))</f>
        <v>1</v>
      </c>
      <c r="AG19" s="127">
        <f t="shared" si="9"/>
        <v>5</v>
      </c>
      <c r="AH19" s="128">
        <f t="shared" si="10"/>
        <v>66.2</v>
      </c>
      <c r="AI19" s="108">
        <v>2030</v>
      </c>
      <c r="AJ19" s="108" t="str">
        <f t="shared" si="11"/>
        <v>early adopter</v>
      </c>
    </row>
    <row r="20" spans="1:36">
      <c r="A20" s="102" t="s">
        <v>249</v>
      </c>
      <c r="B20" s="120" t="s">
        <v>248</v>
      </c>
      <c r="C20" s="120" t="s">
        <v>79</v>
      </c>
      <c r="D20" s="102" t="s">
        <v>87</v>
      </c>
      <c r="E20" s="109">
        <v>1</v>
      </c>
      <c r="F20" s="102">
        <v>2004</v>
      </c>
      <c r="G20" s="102">
        <v>1972</v>
      </c>
      <c r="H20" s="102">
        <v>2005</v>
      </c>
      <c r="I20" s="102">
        <v>2017</v>
      </c>
      <c r="J20" s="102">
        <v>2009</v>
      </c>
      <c r="K20" s="102">
        <f t="shared" si="1"/>
        <v>2</v>
      </c>
      <c r="L20" s="102">
        <f t="shared" si="1"/>
        <v>4</v>
      </c>
      <c r="M20" s="102">
        <f t="shared" si="1"/>
        <v>4</v>
      </c>
      <c r="N20" s="102">
        <f t="shared" si="1"/>
        <v>1</v>
      </c>
      <c r="O20" s="102">
        <f t="shared" si="1"/>
        <v>4</v>
      </c>
      <c r="P20" s="121">
        <f t="shared" si="2"/>
        <v>3</v>
      </c>
      <c r="Q20" s="102">
        <v>1619</v>
      </c>
      <c r="R20" s="102">
        <f t="shared" si="3"/>
        <v>4</v>
      </c>
      <c r="S20" s="138">
        <v>4.4160931518125697</v>
      </c>
      <c r="T20" s="102">
        <f t="shared" si="4"/>
        <v>2</v>
      </c>
      <c r="U20" s="139">
        <v>0.19167902835568101</v>
      </c>
      <c r="V20" s="102">
        <f t="shared" si="5"/>
        <v>2</v>
      </c>
      <c r="W20" s="124">
        <v>1.2772000000000001E-5</v>
      </c>
      <c r="X20" s="102">
        <f t="shared" si="6"/>
        <v>3</v>
      </c>
      <c r="Y20" s="109">
        <v>84</v>
      </c>
      <c r="Z20" s="102">
        <f t="shared" si="7"/>
        <v>4</v>
      </c>
      <c r="AA20" s="125">
        <f t="shared" si="8"/>
        <v>54</v>
      </c>
      <c r="AB20" s="126" t="s">
        <v>580</v>
      </c>
      <c r="AC20" s="126">
        <v>1</v>
      </c>
      <c r="AD20" s="126">
        <v>4</v>
      </c>
      <c r="AE20" s="126" t="s">
        <v>582</v>
      </c>
      <c r="AF20" s="126">
        <v>4</v>
      </c>
      <c r="AG20" s="127">
        <f t="shared" si="9"/>
        <v>9</v>
      </c>
      <c r="AH20" s="128">
        <f t="shared" si="10"/>
        <v>66</v>
      </c>
      <c r="AI20" s="108">
        <v>2031</v>
      </c>
      <c r="AJ20" s="108" t="str">
        <f t="shared" si="11"/>
        <v>early adopter</v>
      </c>
    </row>
    <row r="21" spans="1:36">
      <c r="A21" s="102" t="s">
        <v>223</v>
      </c>
      <c r="B21" s="120" t="s">
        <v>222</v>
      </c>
      <c r="C21" s="120" t="s">
        <v>83</v>
      </c>
      <c r="D21" s="102" t="s">
        <v>75</v>
      </c>
      <c r="E21" s="109">
        <v>3</v>
      </c>
      <c r="F21" s="102">
        <v>2021</v>
      </c>
      <c r="G21" s="102">
        <v>2023</v>
      </c>
      <c r="H21" s="102" t="s">
        <v>566</v>
      </c>
      <c r="I21" s="102" t="s">
        <v>566</v>
      </c>
      <c r="J21" s="102">
        <v>2023</v>
      </c>
      <c r="K21" s="102">
        <f t="shared" si="1"/>
        <v>1</v>
      </c>
      <c r="L21" s="102">
        <f t="shared" si="1"/>
        <v>1</v>
      </c>
      <c r="M21" s="102">
        <f t="shared" si="1"/>
        <v>1</v>
      </c>
      <c r="N21" s="102">
        <f t="shared" si="1"/>
        <v>1</v>
      </c>
      <c r="O21" s="102">
        <f t="shared" si="1"/>
        <v>1</v>
      </c>
      <c r="P21" s="121">
        <f t="shared" si="2"/>
        <v>1</v>
      </c>
      <c r="Q21" s="102">
        <v>1208</v>
      </c>
      <c r="R21" s="102">
        <f t="shared" si="3"/>
        <v>4</v>
      </c>
      <c r="S21" s="138">
        <v>542.23663299543603</v>
      </c>
      <c r="T21" s="102">
        <f t="shared" si="4"/>
        <v>4</v>
      </c>
      <c r="U21" s="139">
        <v>1137.7676535063199</v>
      </c>
      <c r="V21" s="102">
        <f t="shared" si="5"/>
        <v>4</v>
      </c>
      <c r="W21" s="124">
        <v>443.64</v>
      </c>
      <c r="X21" s="102">
        <f t="shared" si="6"/>
        <v>4</v>
      </c>
      <c r="Y21" s="109">
        <v>92</v>
      </c>
      <c r="Z21" s="102">
        <f t="shared" si="7"/>
        <v>3</v>
      </c>
      <c r="AA21" s="125">
        <f t="shared" si="8"/>
        <v>60</v>
      </c>
      <c r="AB21" s="126" t="s">
        <v>583</v>
      </c>
      <c r="AC21" s="126">
        <v>3</v>
      </c>
      <c r="AD21" s="126">
        <v>1</v>
      </c>
      <c r="AE21" s="126">
        <v>16.481575480675037</v>
      </c>
      <c r="AF21" s="102">
        <f t="shared" ref="AF21:AF32" si="13">IF(AND(AE21&gt;=AE$200,AE21&lt;AE$201),1,IF(AND(AE21&gt;=AE$201,AE21&lt;AE$202),2,IF(AND(AE21&gt;=AE$202,AE21&lt;AE$203),3,IF(AND(AE21&gt;=AE$203,AE21&lt;=AE$204),4,"empty"))))</f>
        <v>1</v>
      </c>
      <c r="AG21" s="127">
        <f t="shared" si="9"/>
        <v>5</v>
      </c>
      <c r="AH21" s="128">
        <f t="shared" si="10"/>
        <v>66</v>
      </c>
      <c r="AI21" s="108">
        <v>2031</v>
      </c>
      <c r="AJ21" s="108" t="str">
        <f t="shared" si="11"/>
        <v>early adopter</v>
      </c>
    </row>
    <row r="22" spans="1:36">
      <c r="A22" s="102" t="s">
        <v>337</v>
      </c>
      <c r="B22" s="120" t="s">
        <v>336</v>
      </c>
      <c r="C22" s="120" t="s">
        <v>83</v>
      </c>
      <c r="D22" s="102" t="s">
        <v>84</v>
      </c>
      <c r="E22" s="109" t="s">
        <v>76</v>
      </c>
      <c r="F22" s="102">
        <v>2020</v>
      </c>
      <c r="G22" s="102" t="s">
        <v>566</v>
      </c>
      <c r="H22" s="102">
        <v>2017</v>
      </c>
      <c r="I22" s="102">
        <v>2021</v>
      </c>
      <c r="J22" s="102">
        <v>2023</v>
      </c>
      <c r="K22" s="102">
        <f t="shared" si="1"/>
        <v>1</v>
      </c>
      <c r="L22" s="102">
        <f t="shared" si="1"/>
        <v>1</v>
      </c>
      <c r="M22" s="102">
        <f t="shared" si="1"/>
        <v>1</v>
      </c>
      <c r="N22" s="102">
        <f t="shared" si="1"/>
        <v>1</v>
      </c>
      <c r="O22" s="102">
        <f t="shared" si="1"/>
        <v>1</v>
      </c>
      <c r="P22" s="121">
        <f t="shared" si="2"/>
        <v>1</v>
      </c>
      <c r="Q22" s="102">
        <v>28302</v>
      </c>
      <c r="R22" s="102">
        <f t="shared" si="3"/>
        <v>4</v>
      </c>
      <c r="S22" s="138">
        <v>355.43768801587998</v>
      </c>
      <c r="T22" s="102">
        <f t="shared" si="4"/>
        <v>4</v>
      </c>
      <c r="U22" s="139">
        <v>6759.9881691219098</v>
      </c>
      <c r="V22" s="102">
        <f t="shared" si="5"/>
        <v>4</v>
      </c>
      <c r="W22" s="124">
        <v>8477.5</v>
      </c>
      <c r="X22" s="102">
        <f t="shared" si="6"/>
        <v>4</v>
      </c>
      <c r="Y22" s="109">
        <v>90</v>
      </c>
      <c r="Z22" s="102">
        <f t="shared" si="7"/>
        <v>3</v>
      </c>
      <c r="AA22" s="125">
        <f t="shared" si="8"/>
        <v>60</v>
      </c>
      <c r="AB22" s="126" t="s">
        <v>581</v>
      </c>
      <c r="AC22" s="126">
        <v>1</v>
      </c>
      <c r="AD22" s="126">
        <v>2</v>
      </c>
      <c r="AE22" s="126">
        <v>28.436018957345972</v>
      </c>
      <c r="AF22" s="102">
        <f t="shared" si="13"/>
        <v>2</v>
      </c>
      <c r="AG22" s="127">
        <f t="shared" si="9"/>
        <v>5</v>
      </c>
      <c r="AH22" s="128">
        <f t="shared" si="10"/>
        <v>66</v>
      </c>
      <c r="AI22" s="108">
        <v>2031</v>
      </c>
      <c r="AJ22" s="108" t="str">
        <f t="shared" si="11"/>
        <v>early adopter</v>
      </c>
    </row>
    <row r="23" spans="1:36">
      <c r="A23" s="102" t="s">
        <v>287</v>
      </c>
      <c r="B23" s="120" t="s">
        <v>286</v>
      </c>
      <c r="C23" s="120" t="s">
        <v>83</v>
      </c>
      <c r="D23" s="102" t="s">
        <v>75</v>
      </c>
      <c r="E23" s="109">
        <v>3</v>
      </c>
      <c r="F23" s="102">
        <v>2021</v>
      </c>
      <c r="G23" s="102">
        <v>2022</v>
      </c>
      <c r="H23" s="102">
        <v>2012</v>
      </c>
      <c r="I23" s="102">
        <v>2014</v>
      </c>
      <c r="J23" s="102">
        <v>2024</v>
      </c>
      <c r="K23" s="102">
        <f t="shared" si="1"/>
        <v>1</v>
      </c>
      <c r="L23" s="102">
        <f t="shared" si="1"/>
        <v>1</v>
      </c>
      <c r="M23" s="102">
        <f t="shared" si="1"/>
        <v>2</v>
      </c>
      <c r="N23" s="102">
        <f t="shared" si="1"/>
        <v>2</v>
      </c>
      <c r="O23" s="102">
        <f t="shared" si="1"/>
        <v>1</v>
      </c>
      <c r="P23" s="121">
        <f t="shared" si="2"/>
        <v>1.4</v>
      </c>
      <c r="Q23" s="102">
        <v>213291</v>
      </c>
      <c r="R23" s="102">
        <f t="shared" si="3"/>
        <v>4</v>
      </c>
      <c r="S23" s="138">
        <v>1259.88122397242</v>
      </c>
      <c r="T23" s="102">
        <f t="shared" si="4"/>
        <v>4</v>
      </c>
      <c r="U23" s="139">
        <v>2278.53338861664</v>
      </c>
      <c r="V23" s="102">
        <f t="shared" si="5"/>
        <v>4</v>
      </c>
      <c r="W23" s="124">
        <v>555.46</v>
      </c>
      <c r="X23" s="102">
        <f t="shared" si="6"/>
        <v>4</v>
      </c>
      <c r="Y23" s="109">
        <v>95</v>
      </c>
      <c r="Z23" s="102">
        <f t="shared" si="7"/>
        <v>2</v>
      </c>
      <c r="AA23" s="125">
        <f t="shared" si="8"/>
        <v>58.199999999999996</v>
      </c>
      <c r="AB23" s="126" t="s">
        <v>579</v>
      </c>
      <c r="AC23" s="126">
        <v>4</v>
      </c>
      <c r="AD23" s="126">
        <v>1</v>
      </c>
      <c r="AE23" s="126">
        <v>4.1324856511377162</v>
      </c>
      <c r="AF23" s="102">
        <f t="shared" si="13"/>
        <v>1</v>
      </c>
      <c r="AG23" s="127">
        <f t="shared" si="9"/>
        <v>6</v>
      </c>
      <c r="AH23" s="128">
        <f t="shared" si="10"/>
        <v>65.599999999999994</v>
      </c>
      <c r="AI23" s="108">
        <v>2031</v>
      </c>
      <c r="AJ23" s="108" t="str">
        <f t="shared" si="11"/>
        <v>early adopter</v>
      </c>
    </row>
    <row r="24" spans="1:36">
      <c r="A24" s="102" t="s">
        <v>335</v>
      </c>
      <c r="B24" s="120" t="s">
        <v>334</v>
      </c>
      <c r="C24" s="120" t="s">
        <v>83</v>
      </c>
      <c r="D24" s="102" t="s">
        <v>75</v>
      </c>
      <c r="E24" s="109">
        <v>3</v>
      </c>
      <c r="F24" s="102">
        <v>2014</v>
      </c>
      <c r="G24" s="102" t="s">
        <v>566</v>
      </c>
      <c r="H24" s="102">
        <v>2014</v>
      </c>
      <c r="I24" s="102">
        <v>2014</v>
      </c>
      <c r="J24" s="102" t="s">
        <v>566</v>
      </c>
      <c r="K24" s="102">
        <f t="shared" si="1"/>
        <v>1</v>
      </c>
      <c r="L24" s="102">
        <f t="shared" si="1"/>
        <v>1</v>
      </c>
      <c r="M24" s="102">
        <f t="shared" si="1"/>
        <v>2</v>
      </c>
      <c r="N24" s="102">
        <f t="shared" si="1"/>
        <v>2</v>
      </c>
      <c r="O24" s="102">
        <f t="shared" si="1"/>
        <v>1</v>
      </c>
      <c r="P24" s="121">
        <f t="shared" si="2"/>
        <v>1.4</v>
      </c>
      <c r="Q24" s="102">
        <v>2568</v>
      </c>
      <c r="R24" s="102">
        <f t="shared" si="3"/>
        <v>4</v>
      </c>
      <c r="S24" s="138">
        <v>2027.9340713660199</v>
      </c>
      <c r="T24" s="102">
        <f t="shared" si="4"/>
        <v>4</v>
      </c>
      <c r="U24" s="139">
        <v>10904.256202009299</v>
      </c>
      <c r="V24" s="102">
        <f t="shared" si="5"/>
        <v>4</v>
      </c>
      <c r="W24" s="124">
        <v>946.01</v>
      </c>
      <c r="X24" s="102">
        <f t="shared" si="6"/>
        <v>4</v>
      </c>
      <c r="Y24" s="109">
        <v>95</v>
      </c>
      <c r="Z24" s="102">
        <f t="shared" si="7"/>
        <v>2</v>
      </c>
      <c r="AA24" s="125">
        <f t="shared" si="8"/>
        <v>58.199999999999996</v>
      </c>
      <c r="AB24" s="126" t="s">
        <v>579</v>
      </c>
      <c r="AC24" s="126">
        <v>4</v>
      </c>
      <c r="AD24" s="126">
        <v>1</v>
      </c>
      <c r="AE24" s="126">
        <v>16.269557214439111</v>
      </c>
      <c r="AF24" s="102">
        <f t="shared" si="13"/>
        <v>1</v>
      </c>
      <c r="AG24" s="127">
        <f t="shared" si="9"/>
        <v>6</v>
      </c>
      <c r="AH24" s="128">
        <f t="shared" si="10"/>
        <v>65.599999999999994</v>
      </c>
      <c r="AI24" s="108">
        <v>2031</v>
      </c>
      <c r="AJ24" s="108" t="str">
        <f t="shared" si="11"/>
        <v>early adopter</v>
      </c>
    </row>
    <row r="25" spans="1:36">
      <c r="A25" s="102" t="s">
        <v>345</v>
      </c>
      <c r="B25" s="120" t="s">
        <v>344</v>
      </c>
      <c r="C25" s="120" t="s">
        <v>74</v>
      </c>
      <c r="D25" s="102" t="s">
        <v>84</v>
      </c>
      <c r="E25" s="109" t="s">
        <v>76</v>
      </c>
      <c r="F25" s="102">
        <v>2009</v>
      </c>
      <c r="G25" s="102">
        <v>2021</v>
      </c>
      <c r="H25" s="102">
        <v>2014</v>
      </c>
      <c r="I25" s="102">
        <v>2018</v>
      </c>
      <c r="J25" s="102" t="s">
        <v>566</v>
      </c>
      <c r="K25" s="102">
        <f t="shared" si="1"/>
        <v>2</v>
      </c>
      <c r="L25" s="102">
        <f t="shared" si="1"/>
        <v>1</v>
      </c>
      <c r="M25" s="102">
        <f t="shared" si="1"/>
        <v>2</v>
      </c>
      <c r="N25" s="102">
        <f t="shared" si="1"/>
        <v>1</v>
      </c>
      <c r="O25" s="102">
        <f t="shared" si="1"/>
        <v>1</v>
      </c>
      <c r="P25" s="121">
        <f t="shared" si="2"/>
        <v>1.4</v>
      </c>
      <c r="Q25" s="102">
        <v>2066</v>
      </c>
      <c r="R25" s="102">
        <f t="shared" si="3"/>
        <v>4</v>
      </c>
      <c r="S25" s="138">
        <v>166.30680897702101</v>
      </c>
      <c r="T25" s="102">
        <f t="shared" si="4"/>
        <v>3</v>
      </c>
      <c r="U25" s="139">
        <v>2798.6836586117402</v>
      </c>
      <c r="V25" s="102">
        <f t="shared" si="5"/>
        <v>4</v>
      </c>
      <c r="W25" s="124">
        <v>2677.2</v>
      </c>
      <c r="X25" s="102">
        <f t="shared" si="6"/>
        <v>4</v>
      </c>
      <c r="Y25" s="109">
        <v>88</v>
      </c>
      <c r="Z25" s="102">
        <f t="shared" si="7"/>
        <v>3</v>
      </c>
      <c r="AA25" s="125">
        <f t="shared" si="8"/>
        <v>58.199999999999996</v>
      </c>
      <c r="AB25" s="126" t="s">
        <v>584</v>
      </c>
      <c r="AC25" s="109">
        <v>2</v>
      </c>
      <c r="AD25" s="126">
        <v>2</v>
      </c>
      <c r="AE25" s="126">
        <v>25.317141295124028</v>
      </c>
      <c r="AF25" s="102">
        <f t="shared" si="13"/>
        <v>2</v>
      </c>
      <c r="AG25" s="127">
        <f t="shared" si="9"/>
        <v>6</v>
      </c>
      <c r="AH25" s="128">
        <f t="shared" si="10"/>
        <v>65.599999999999994</v>
      </c>
      <c r="AI25" s="108">
        <v>2031</v>
      </c>
      <c r="AJ25" s="108" t="str">
        <f t="shared" si="11"/>
        <v>early adopter</v>
      </c>
    </row>
    <row r="26" spans="1:36">
      <c r="A26" s="102" t="s">
        <v>319</v>
      </c>
      <c r="B26" s="120" t="s">
        <v>318</v>
      </c>
      <c r="C26" s="120" t="s">
        <v>83</v>
      </c>
      <c r="D26" s="102" t="s">
        <v>75</v>
      </c>
      <c r="E26" s="109" t="s">
        <v>76</v>
      </c>
      <c r="F26" s="102">
        <v>2015</v>
      </c>
      <c r="G26" s="102">
        <v>2018</v>
      </c>
      <c r="H26" s="102">
        <v>2013</v>
      </c>
      <c r="I26" s="102">
        <v>2015</v>
      </c>
      <c r="J26" s="102">
        <v>2021</v>
      </c>
      <c r="K26" s="102">
        <f t="shared" si="1"/>
        <v>1</v>
      </c>
      <c r="L26" s="102">
        <f t="shared" si="1"/>
        <v>1</v>
      </c>
      <c r="M26" s="102">
        <f t="shared" si="1"/>
        <v>2</v>
      </c>
      <c r="N26" s="102">
        <f t="shared" si="1"/>
        <v>2</v>
      </c>
      <c r="O26" s="102">
        <f t="shared" si="1"/>
        <v>1</v>
      </c>
      <c r="P26" s="121">
        <f t="shared" si="2"/>
        <v>1.4</v>
      </c>
      <c r="Q26" s="102">
        <v>917</v>
      </c>
      <c r="R26" s="102">
        <f t="shared" si="3"/>
        <v>3</v>
      </c>
      <c r="S26" s="138">
        <v>181.435078580142</v>
      </c>
      <c r="T26" s="102">
        <f t="shared" si="4"/>
        <v>3</v>
      </c>
      <c r="U26" s="139">
        <v>639.63848080135006</v>
      </c>
      <c r="V26" s="102">
        <f t="shared" si="5"/>
        <v>4</v>
      </c>
      <c r="W26" s="124">
        <v>321.58</v>
      </c>
      <c r="X26" s="102">
        <f t="shared" si="6"/>
        <v>4</v>
      </c>
      <c r="Y26" s="109">
        <v>53</v>
      </c>
      <c r="Z26" s="102">
        <f t="shared" si="7"/>
        <v>4</v>
      </c>
      <c r="AA26" s="125">
        <f t="shared" si="8"/>
        <v>58.199999999999996</v>
      </c>
      <c r="AB26" s="126" t="s">
        <v>579</v>
      </c>
      <c r="AC26" s="126">
        <v>4</v>
      </c>
      <c r="AD26" s="126">
        <v>1</v>
      </c>
      <c r="AE26" s="126">
        <v>22.558748959859244</v>
      </c>
      <c r="AF26" s="102">
        <f t="shared" si="13"/>
        <v>1</v>
      </c>
      <c r="AG26" s="127">
        <f t="shared" si="9"/>
        <v>6</v>
      </c>
      <c r="AH26" s="128">
        <f t="shared" si="10"/>
        <v>65.599999999999994</v>
      </c>
      <c r="AI26" s="108">
        <v>2031</v>
      </c>
      <c r="AJ26" s="108" t="str">
        <f t="shared" si="11"/>
        <v>early adopter</v>
      </c>
    </row>
    <row r="27" spans="1:36">
      <c r="A27" s="102" t="s">
        <v>385</v>
      </c>
      <c r="B27" s="120" t="s">
        <v>384</v>
      </c>
      <c r="C27" s="120" t="s">
        <v>83</v>
      </c>
      <c r="D27" s="102" t="s">
        <v>84</v>
      </c>
      <c r="E27" s="109">
        <v>3</v>
      </c>
      <c r="F27" s="102">
        <v>2014</v>
      </c>
      <c r="G27" s="102">
        <v>2013</v>
      </c>
      <c r="H27" s="102">
        <v>2013</v>
      </c>
      <c r="I27" s="102">
        <v>2014</v>
      </c>
      <c r="J27" s="102">
        <v>2018</v>
      </c>
      <c r="K27" s="102">
        <f t="shared" si="1"/>
        <v>1</v>
      </c>
      <c r="L27" s="102">
        <f t="shared" si="1"/>
        <v>1</v>
      </c>
      <c r="M27" s="102">
        <f t="shared" si="1"/>
        <v>2</v>
      </c>
      <c r="N27" s="102">
        <f t="shared" si="1"/>
        <v>2</v>
      </c>
      <c r="O27" s="102">
        <f t="shared" si="1"/>
        <v>2</v>
      </c>
      <c r="P27" s="121">
        <f t="shared" si="2"/>
        <v>1.6</v>
      </c>
      <c r="Q27" s="102">
        <v>285</v>
      </c>
      <c r="R27" s="102">
        <f t="shared" si="3"/>
        <v>3</v>
      </c>
      <c r="S27" s="138">
        <v>731.47077867052496</v>
      </c>
      <c r="T27" s="102">
        <f t="shared" si="4"/>
        <v>4</v>
      </c>
      <c r="U27" s="139">
        <v>673.73482594814504</v>
      </c>
      <c r="V27" s="102">
        <f t="shared" si="5"/>
        <v>4</v>
      </c>
      <c r="W27" s="124">
        <v>94.075999999999993</v>
      </c>
      <c r="X27" s="102">
        <f t="shared" si="6"/>
        <v>3</v>
      </c>
      <c r="Y27" s="109">
        <v>58</v>
      </c>
      <c r="Z27" s="102">
        <f t="shared" si="7"/>
        <v>4</v>
      </c>
      <c r="AA27" s="125">
        <f t="shared" si="8"/>
        <v>58.800000000000004</v>
      </c>
      <c r="AB27" s="126" t="s">
        <v>584</v>
      </c>
      <c r="AC27" s="109">
        <v>2</v>
      </c>
      <c r="AD27" s="126">
        <v>2</v>
      </c>
      <c r="AE27" s="126">
        <v>13.042485897812137</v>
      </c>
      <c r="AF27" s="102">
        <f t="shared" si="13"/>
        <v>1</v>
      </c>
      <c r="AG27" s="127">
        <f t="shared" si="9"/>
        <v>5</v>
      </c>
      <c r="AH27" s="128">
        <f t="shared" si="10"/>
        <v>65.400000000000006</v>
      </c>
      <c r="AI27" s="108">
        <v>2031</v>
      </c>
      <c r="AJ27" s="108" t="str">
        <f t="shared" si="11"/>
        <v>early adopter</v>
      </c>
    </row>
    <row r="28" spans="1:36">
      <c r="A28" s="102" t="s">
        <v>439</v>
      </c>
      <c r="B28" s="120" t="s">
        <v>438</v>
      </c>
      <c r="C28" s="120" t="s">
        <v>79</v>
      </c>
      <c r="D28" s="102" t="s">
        <v>80</v>
      </c>
      <c r="E28" s="109">
        <v>1</v>
      </c>
      <c r="F28" s="102">
        <v>1998</v>
      </c>
      <c r="G28" s="102">
        <v>2006</v>
      </c>
      <c r="H28" s="102">
        <v>2008</v>
      </c>
      <c r="I28" s="102" t="s">
        <v>566</v>
      </c>
      <c r="J28" s="102" t="s">
        <v>566</v>
      </c>
      <c r="K28" s="102">
        <f t="shared" si="1"/>
        <v>3</v>
      </c>
      <c r="L28" s="102">
        <f t="shared" si="1"/>
        <v>2</v>
      </c>
      <c r="M28" s="102">
        <f t="shared" si="1"/>
        <v>4</v>
      </c>
      <c r="N28" s="102">
        <f t="shared" si="1"/>
        <v>1</v>
      </c>
      <c r="O28" s="102">
        <f t="shared" si="1"/>
        <v>1</v>
      </c>
      <c r="P28" s="121">
        <f t="shared" si="2"/>
        <v>2.2000000000000002</v>
      </c>
      <c r="Q28" s="102">
        <v>2892</v>
      </c>
      <c r="R28" s="102">
        <f t="shared" si="3"/>
        <v>4</v>
      </c>
      <c r="S28" s="138">
        <v>210.82492567158801</v>
      </c>
      <c r="T28" s="102">
        <f t="shared" si="4"/>
        <v>3</v>
      </c>
      <c r="U28" s="139">
        <v>146.982623733011</v>
      </c>
      <c r="V28" s="102">
        <f t="shared" si="5"/>
        <v>4</v>
      </c>
      <c r="W28" s="124">
        <v>5.1597999999999998E-4</v>
      </c>
      <c r="X28" s="102">
        <f t="shared" si="6"/>
        <v>3</v>
      </c>
      <c r="Y28" s="109">
        <v>93</v>
      </c>
      <c r="Z28" s="102">
        <f t="shared" si="7"/>
        <v>2</v>
      </c>
      <c r="AA28" s="125">
        <f t="shared" si="8"/>
        <v>54.599999999999994</v>
      </c>
      <c r="AB28" s="126" t="s">
        <v>580</v>
      </c>
      <c r="AC28" s="126">
        <v>1</v>
      </c>
      <c r="AD28" s="126">
        <v>3</v>
      </c>
      <c r="AE28" s="126">
        <v>100</v>
      </c>
      <c r="AF28" s="102">
        <f t="shared" si="13"/>
        <v>4</v>
      </c>
      <c r="AG28" s="127">
        <f t="shared" si="9"/>
        <v>8</v>
      </c>
      <c r="AH28" s="128">
        <f t="shared" si="10"/>
        <v>64.8</v>
      </c>
      <c r="AI28" s="108">
        <v>2031</v>
      </c>
      <c r="AJ28" s="108" t="str">
        <f t="shared" si="11"/>
        <v>early adopter</v>
      </c>
    </row>
    <row r="29" spans="1:36">
      <c r="A29" s="102" t="s">
        <v>243</v>
      </c>
      <c r="B29" s="120" t="s">
        <v>242</v>
      </c>
      <c r="C29" s="120" t="s">
        <v>74</v>
      </c>
      <c r="D29" s="102" t="s">
        <v>80</v>
      </c>
      <c r="E29" s="109">
        <v>2</v>
      </c>
      <c r="F29" s="102">
        <v>1989</v>
      </c>
      <c r="G29" s="102">
        <v>1989</v>
      </c>
      <c r="H29" s="102">
        <v>2017</v>
      </c>
      <c r="I29" s="102">
        <v>2012</v>
      </c>
      <c r="J29" s="102" t="s">
        <v>566</v>
      </c>
      <c r="K29" s="102">
        <f t="shared" si="1"/>
        <v>4</v>
      </c>
      <c r="L29" s="102">
        <f t="shared" si="1"/>
        <v>3</v>
      </c>
      <c r="M29" s="102">
        <f t="shared" si="1"/>
        <v>1</v>
      </c>
      <c r="N29" s="102">
        <f t="shared" si="1"/>
        <v>3</v>
      </c>
      <c r="O29" s="102">
        <f t="shared" si="1"/>
        <v>1</v>
      </c>
      <c r="P29" s="121">
        <f t="shared" si="2"/>
        <v>2.4</v>
      </c>
      <c r="Q29" s="102">
        <v>3619</v>
      </c>
      <c r="R29" s="102">
        <f t="shared" si="3"/>
        <v>4</v>
      </c>
      <c r="S29" s="138">
        <v>303.076430862726</v>
      </c>
      <c r="T29" s="102">
        <f t="shared" si="4"/>
        <v>4</v>
      </c>
      <c r="U29" s="139">
        <v>157.205514939018</v>
      </c>
      <c r="V29" s="102">
        <f t="shared" si="5"/>
        <v>4</v>
      </c>
      <c r="W29" s="124">
        <v>0</v>
      </c>
      <c r="X29" s="102">
        <f t="shared" si="6"/>
        <v>2</v>
      </c>
      <c r="Y29" s="109">
        <v>94</v>
      </c>
      <c r="Z29" s="102">
        <f t="shared" si="7"/>
        <v>2</v>
      </c>
      <c r="AA29" s="125">
        <f t="shared" si="8"/>
        <v>55.199999999999996</v>
      </c>
      <c r="AB29" s="126" t="s">
        <v>580</v>
      </c>
      <c r="AC29" s="126">
        <v>1</v>
      </c>
      <c r="AD29" s="126">
        <v>3</v>
      </c>
      <c r="AE29" s="126">
        <v>99.761422518235022</v>
      </c>
      <c r="AF29" s="102">
        <f t="shared" si="13"/>
        <v>3</v>
      </c>
      <c r="AG29" s="127">
        <f t="shared" si="9"/>
        <v>7</v>
      </c>
      <c r="AH29" s="128">
        <f t="shared" si="10"/>
        <v>64.599999999999994</v>
      </c>
      <c r="AI29" s="108">
        <v>2031</v>
      </c>
      <c r="AJ29" s="108" t="str">
        <f t="shared" si="11"/>
        <v>early adopter</v>
      </c>
    </row>
    <row r="30" spans="1:36">
      <c r="A30" s="102" t="s">
        <v>269</v>
      </c>
      <c r="B30" s="120" t="s">
        <v>268</v>
      </c>
      <c r="C30" s="120" t="s">
        <v>99</v>
      </c>
      <c r="D30" s="102" t="s">
        <v>84</v>
      </c>
      <c r="E30" s="109">
        <v>4</v>
      </c>
      <c r="F30" s="102">
        <v>2017</v>
      </c>
      <c r="G30" s="102">
        <v>2012</v>
      </c>
      <c r="H30" s="102">
        <v>2013</v>
      </c>
      <c r="I30" s="102" t="s">
        <v>566</v>
      </c>
      <c r="J30" s="102">
        <v>2020</v>
      </c>
      <c r="K30" s="102">
        <f t="shared" si="1"/>
        <v>1</v>
      </c>
      <c r="L30" s="102">
        <f t="shared" si="1"/>
        <v>2</v>
      </c>
      <c r="M30" s="102">
        <f t="shared" si="1"/>
        <v>2</v>
      </c>
      <c r="N30" s="102">
        <f t="shared" si="1"/>
        <v>1</v>
      </c>
      <c r="O30" s="102">
        <f t="shared" si="1"/>
        <v>1</v>
      </c>
      <c r="P30" s="121">
        <f t="shared" si="2"/>
        <v>1.4</v>
      </c>
      <c r="Q30" s="102">
        <v>1121</v>
      </c>
      <c r="R30" s="102">
        <f t="shared" si="3"/>
        <v>4</v>
      </c>
      <c r="S30" s="138">
        <v>559.16273853627399</v>
      </c>
      <c r="T30" s="102">
        <f t="shared" si="4"/>
        <v>4</v>
      </c>
      <c r="U30" s="139">
        <v>152.60236189583699</v>
      </c>
      <c r="V30" s="102">
        <f t="shared" si="5"/>
        <v>4</v>
      </c>
      <c r="W30" s="124">
        <v>354.5</v>
      </c>
      <c r="X30" s="102">
        <f t="shared" si="6"/>
        <v>4</v>
      </c>
      <c r="Y30" s="109">
        <v>96</v>
      </c>
      <c r="Z30" s="102">
        <f t="shared" si="7"/>
        <v>2</v>
      </c>
      <c r="AA30" s="125">
        <f t="shared" si="8"/>
        <v>58.199999999999996</v>
      </c>
      <c r="AB30" s="109" t="s">
        <v>581</v>
      </c>
      <c r="AC30" s="126">
        <v>1</v>
      </c>
      <c r="AD30" s="126">
        <v>2</v>
      </c>
      <c r="AE30" s="126">
        <v>23.197588480510205</v>
      </c>
      <c r="AF30" s="102">
        <f t="shared" si="13"/>
        <v>2</v>
      </c>
      <c r="AG30" s="127">
        <f t="shared" si="9"/>
        <v>5</v>
      </c>
      <c r="AH30" s="128">
        <f t="shared" si="10"/>
        <v>64.599999999999994</v>
      </c>
      <c r="AI30" s="108">
        <v>2031</v>
      </c>
      <c r="AJ30" s="108" t="str">
        <f t="shared" si="11"/>
        <v>early adopter</v>
      </c>
    </row>
    <row r="31" spans="1:36">
      <c r="A31" s="102" t="s">
        <v>166</v>
      </c>
      <c r="B31" s="120" t="s">
        <v>165</v>
      </c>
      <c r="C31" s="120" t="s">
        <v>83</v>
      </c>
      <c r="D31" s="102" t="s">
        <v>84</v>
      </c>
      <c r="E31" s="109">
        <v>3</v>
      </c>
      <c r="F31" s="102">
        <v>2021</v>
      </c>
      <c r="G31" s="102">
        <v>2018</v>
      </c>
      <c r="H31" s="102">
        <v>2014</v>
      </c>
      <c r="I31" s="102">
        <v>2017</v>
      </c>
      <c r="J31" s="102">
        <v>2019</v>
      </c>
      <c r="K31" s="102">
        <f t="shared" si="1"/>
        <v>1</v>
      </c>
      <c r="L31" s="102">
        <f t="shared" si="1"/>
        <v>1</v>
      </c>
      <c r="M31" s="102">
        <f t="shared" si="1"/>
        <v>2</v>
      </c>
      <c r="N31" s="102">
        <f t="shared" si="1"/>
        <v>1</v>
      </c>
      <c r="O31" s="102">
        <f t="shared" si="1"/>
        <v>2</v>
      </c>
      <c r="P31" s="121">
        <f t="shared" si="2"/>
        <v>1.4</v>
      </c>
      <c r="Q31" s="102">
        <v>392</v>
      </c>
      <c r="R31" s="102">
        <f t="shared" si="3"/>
        <v>3</v>
      </c>
      <c r="S31" s="138">
        <v>117.035280051988</v>
      </c>
      <c r="T31" s="102">
        <f t="shared" si="4"/>
        <v>3</v>
      </c>
      <c r="U31" s="139">
        <v>220.50999732531901</v>
      </c>
      <c r="V31" s="102">
        <f t="shared" si="5"/>
        <v>4</v>
      </c>
      <c r="W31" s="124">
        <v>782.77</v>
      </c>
      <c r="X31" s="102">
        <f t="shared" si="6"/>
        <v>4</v>
      </c>
      <c r="Y31" s="109">
        <v>62</v>
      </c>
      <c r="Z31" s="102">
        <f t="shared" si="7"/>
        <v>4</v>
      </c>
      <c r="AA31" s="125">
        <f t="shared" si="8"/>
        <v>58.199999999999996</v>
      </c>
      <c r="AB31" s="126" t="s">
        <v>581</v>
      </c>
      <c r="AC31" s="126">
        <v>1</v>
      </c>
      <c r="AD31" s="126">
        <v>2</v>
      </c>
      <c r="AE31" s="126">
        <v>54.203482915290543</v>
      </c>
      <c r="AF31" s="102">
        <f t="shared" si="13"/>
        <v>2</v>
      </c>
      <c r="AG31" s="127">
        <f t="shared" si="9"/>
        <v>5</v>
      </c>
      <c r="AH31" s="128">
        <f t="shared" si="10"/>
        <v>64.599999999999994</v>
      </c>
      <c r="AI31" s="108">
        <v>2031</v>
      </c>
      <c r="AJ31" s="108" t="str">
        <f t="shared" si="11"/>
        <v>early adopter</v>
      </c>
    </row>
    <row r="32" spans="1:36">
      <c r="A32" s="102" t="s">
        <v>150</v>
      </c>
      <c r="B32" s="120" t="s">
        <v>149</v>
      </c>
      <c r="C32" s="120" t="s">
        <v>83</v>
      </c>
      <c r="D32" s="102" t="s">
        <v>75</v>
      </c>
      <c r="E32" s="109" t="s">
        <v>76</v>
      </c>
      <c r="F32" s="102" t="s">
        <v>566</v>
      </c>
      <c r="G32" s="102" t="s">
        <v>566</v>
      </c>
      <c r="H32" s="102" t="s">
        <v>566</v>
      </c>
      <c r="I32" s="102">
        <v>2022</v>
      </c>
      <c r="J32" s="102" t="s">
        <v>566</v>
      </c>
      <c r="K32" s="102">
        <f t="shared" si="1"/>
        <v>1</v>
      </c>
      <c r="L32" s="102">
        <f t="shared" si="1"/>
        <v>1</v>
      </c>
      <c r="M32" s="102">
        <f t="shared" si="1"/>
        <v>1</v>
      </c>
      <c r="N32" s="102">
        <f t="shared" si="1"/>
        <v>1</v>
      </c>
      <c r="O32" s="102">
        <f t="shared" si="1"/>
        <v>1</v>
      </c>
      <c r="P32" s="121">
        <f t="shared" si="2"/>
        <v>1</v>
      </c>
      <c r="Q32" s="102">
        <v>1925</v>
      </c>
      <c r="R32" s="102">
        <f t="shared" si="3"/>
        <v>4</v>
      </c>
      <c r="S32" s="138">
        <v>1087.8878053916901</v>
      </c>
      <c r="T32" s="102">
        <f t="shared" si="4"/>
        <v>4</v>
      </c>
      <c r="U32" s="139">
        <v>2778.1665099183701</v>
      </c>
      <c r="V32" s="102">
        <f t="shared" si="5"/>
        <v>4</v>
      </c>
      <c r="W32" s="124">
        <v>576.16</v>
      </c>
      <c r="X32" s="102">
        <f t="shared" si="6"/>
        <v>4</v>
      </c>
      <c r="Y32" s="109">
        <v>96</v>
      </c>
      <c r="Z32" s="102">
        <f t="shared" si="7"/>
        <v>2</v>
      </c>
      <c r="AA32" s="125">
        <f t="shared" si="8"/>
        <v>57</v>
      </c>
      <c r="AB32" s="126" t="s">
        <v>579</v>
      </c>
      <c r="AC32" s="126">
        <v>4</v>
      </c>
      <c r="AD32" s="126">
        <v>1</v>
      </c>
      <c r="AE32" s="126">
        <v>15.818807196821801</v>
      </c>
      <c r="AF32" s="102">
        <f t="shared" si="13"/>
        <v>1</v>
      </c>
      <c r="AG32" s="127">
        <f t="shared" si="9"/>
        <v>6</v>
      </c>
      <c r="AH32" s="128">
        <f t="shared" si="10"/>
        <v>64</v>
      </c>
      <c r="AI32" s="108">
        <v>2031</v>
      </c>
      <c r="AJ32" s="108" t="str">
        <f t="shared" si="11"/>
        <v>early adopter</v>
      </c>
    </row>
    <row r="33" spans="1:36">
      <c r="A33" s="102" t="s">
        <v>101</v>
      </c>
      <c r="B33" s="120" t="s">
        <v>100</v>
      </c>
      <c r="C33" s="120" t="s">
        <v>79</v>
      </c>
      <c r="D33" s="102" t="s">
        <v>87</v>
      </c>
      <c r="E33" s="109">
        <v>1</v>
      </c>
      <c r="F33" s="102">
        <v>1994</v>
      </c>
      <c r="G33" s="102">
        <v>1972</v>
      </c>
      <c r="H33" s="102">
        <v>2014</v>
      </c>
      <c r="I33" s="102">
        <v>2006</v>
      </c>
      <c r="J33" s="102">
        <v>2014</v>
      </c>
      <c r="K33" s="102">
        <f t="shared" si="1"/>
        <v>3</v>
      </c>
      <c r="L33" s="102">
        <f t="shared" si="1"/>
        <v>4</v>
      </c>
      <c r="M33" s="102">
        <f t="shared" si="1"/>
        <v>2</v>
      </c>
      <c r="N33" s="102">
        <f t="shared" si="1"/>
        <v>4</v>
      </c>
      <c r="O33" s="102">
        <f t="shared" si="1"/>
        <v>3</v>
      </c>
      <c r="P33" s="121">
        <f t="shared" si="2"/>
        <v>3.2</v>
      </c>
      <c r="Q33" s="102">
        <v>151</v>
      </c>
      <c r="R33" s="102">
        <f t="shared" si="3"/>
        <v>3</v>
      </c>
      <c r="S33" s="138">
        <v>2.9653008993155399</v>
      </c>
      <c r="T33" s="102">
        <f t="shared" si="4"/>
        <v>2</v>
      </c>
      <c r="U33" s="139">
        <v>1.63197694386676E-2</v>
      </c>
      <c r="V33" s="102">
        <f t="shared" si="5"/>
        <v>2</v>
      </c>
      <c r="W33" s="124">
        <v>4.2596999999999996</v>
      </c>
      <c r="X33" s="102">
        <f t="shared" si="6"/>
        <v>3</v>
      </c>
      <c r="Y33" s="109">
        <v>83</v>
      </c>
      <c r="Z33" s="102">
        <f t="shared" si="7"/>
        <v>4</v>
      </c>
      <c r="AA33" s="125">
        <f t="shared" si="8"/>
        <v>51.599999999999994</v>
      </c>
      <c r="AB33" s="126" t="s">
        <v>580</v>
      </c>
      <c r="AC33" s="126">
        <v>1</v>
      </c>
      <c r="AD33" s="126">
        <v>4</v>
      </c>
      <c r="AE33" s="126" t="s">
        <v>582</v>
      </c>
      <c r="AF33" s="126">
        <v>4</v>
      </c>
      <c r="AG33" s="127">
        <f t="shared" si="9"/>
        <v>9</v>
      </c>
      <c r="AH33" s="128">
        <f t="shared" si="10"/>
        <v>63.8</v>
      </c>
      <c r="AI33" s="108">
        <v>2031</v>
      </c>
      <c r="AJ33" s="108" t="str">
        <f t="shared" si="11"/>
        <v>early adopter</v>
      </c>
    </row>
    <row r="34" spans="1:36">
      <c r="A34" s="102" t="s">
        <v>126</v>
      </c>
      <c r="B34" s="120" t="s">
        <v>125</v>
      </c>
      <c r="C34" s="120" t="s">
        <v>79</v>
      </c>
      <c r="D34" s="102" t="s">
        <v>80</v>
      </c>
      <c r="E34" s="109">
        <v>1</v>
      </c>
      <c r="F34" s="102">
        <v>1971</v>
      </c>
      <c r="G34" s="102">
        <v>1976</v>
      </c>
      <c r="H34" s="102" t="s">
        <v>566</v>
      </c>
      <c r="I34" s="102" t="s">
        <v>566</v>
      </c>
      <c r="J34" s="102" t="s">
        <v>566</v>
      </c>
      <c r="K34" s="102">
        <f t="shared" si="1"/>
        <v>4</v>
      </c>
      <c r="L34" s="102">
        <f t="shared" si="1"/>
        <v>4</v>
      </c>
      <c r="M34" s="102">
        <f t="shared" si="1"/>
        <v>1</v>
      </c>
      <c r="N34" s="102">
        <f t="shared" si="1"/>
        <v>1</v>
      </c>
      <c r="O34" s="102">
        <f t="shared" si="1"/>
        <v>1</v>
      </c>
      <c r="P34" s="121">
        <f t="shared" si="2"/>
        <v>2.2000000000000002</v>
      </c>
      <c r="Q34" s="102">
        <v>1401</v>
      </c>
      <c r="R34" s="102">
        <f t="shared" si="3"/>
        <v>4</v>
      </c>
      <c r="S34" s="138">
        <v>79.941821106577294</v>
      </c>
      <c r="T34" s="102">
        <f t="shared" si="4"/>
        <v>3</v>
      </c>
      <c r="U34" s="139">
        <v>1.93159275104916</v>
      </c>
      <c r="V34" s="102">
        <f t="shared" si="5"/>
        <v>3</v>
      </c>
      <c r="W34" s="124">
        <v>3.3234999999999998E-7</v>
      </c>
      <c r="X34" s="102">
        <f t="shared" si="6"/>
        <v>3</v>
      </c>
      <c r="Y34" s="109">
        <v>90</v>
      </c>
      <c r="Z34" s="102">
        <f t="shared" si="7"/>
        <v>3</v>
      </c>
      <c r="AA34" s="125">
        <f t="shared" si="8"/>
        <v>54.599999999999994</v>
      </c>
      <c r="AB34" s="126" t="s">
        <v>580</v>
      </c>
      <c r="AC34" s="126">
        <v>1</v>
      </c>
      <c r="AD34" s="126">
        <v>3</v>
      </c>
      <c r="AE34" s="126">
        <v>100</v>
      </c>
      <c r="AF34" s="102">
        <v>3</v>
      </c>
      <c r="AG34" s="127">
        <f t="shared" si="9"/>
        <v>7</v>
      </c>
      <c r="AH34" s="128">
        <f t="shared" si="10"/>
        <v>63.8</v>
      </c>
      <c r="AI34" s="108">
        <v>2031</v>
      </c>
      <c r="AJ34" s="108" t="str">
        <f t="shared" si="11"/>
        <v>early adopter</v>
      </c>
    </row>
    <row r="35" spans="1:36">
      <c r="A35" s="102" t="s">
        <v>253</v>
      </c>
      <c r="B35" s="120" t="s">
        <v>252</v>
      </c>
      <c r="C35" s="120" t="s">
        <v>99</v>
      </c>
      <c r="D35" s="102" t="s">
        <v>87</v>
      </c>
      <c r="E35" s="109">
        <v>4</v>
      </c>
      <c r="F35" s="102">
        <v>2006</v>
      </c>
      <c r="G35" s="102">
        <v>1995</v>
      </c>
      <c r="H35" s="102">
        <v>2011</v>
      </c>
      <c r="I35" s="102">
        <v>2020</v>
      </c>
      <c r="J35" s="102">
        <v>2011</v>
      </c>
      <c r="K35" s="102">
        <f t="shared" si="1"/>
        <v>2</v>
      </c>
      <c r="L35" s="102">
        <f t="shared" si="1"/>
        <v>3</v>
      </c>
      <c r="M35" s="102">
        <f t="shared" si="1"/>
        <v>3</v>
      </c>
      <c r="N35" s="102">
        <f t="shared" si="1"/>
        <v>1</v>
      </c>
      <c r="O35" s="102">
        <f t="shared" si="1"/>
        <v>3</v>
      </c>
      <c r="P35" s="121">
        <f t="shared" si="2"/>
        <v>2.4</v>
      </c>
      <c r="Q35" s="102">
        <v>812</v>
      </c>
      <c r="R35" s="102">
        <f t="shared" si="3"/>
        <v>3</v>
      </c>
      <c r="S35" s="138">
        <v>1.0316094646890299</v>
      </c>
      <c r="T35" s="102">
        <f t="shared" si="4"/>
        <v>2</v>
      </c>
      <c r="U35" s="139">
        <v>0.74144761719977204</v>
      </c>
      <c r="V35" s="102">
        <f t="shared" si="5"/>
        <v>3</v>
      </c>
      <c r="W35" s="124">
        <v>2.3955999999999999E-3</v>
      </c>
      <c r="X35" s="102">
        <f t="shared" si="6"/>
        <v>3</v>
      </c>
      <c r="Y35" s="109">
        <v>82</v>
      </c>
      <c r="Z35" s="102">
        <f t="shared" si="7"/>
        <v>4</v>
      </c>
      <c r="AA35" s="125">
        <f t="shared" si="8"/>
        <v>52.199999999999996</v>
      </c>
      <c r="AB35" s="126" t="s">
        <v>580</v>
      </c>
      <c r="AC35" s="126">
        <v>1</v>
      </c>
      <c r="AD35" s="126">
        <v>4</v>
      </c>
      <c r="AE35" s="126" t="s">
        <v>582</v>
      </c>
      <c r="AF35" s="126">
        <v>4</v>
      </c>
      <c r="AG35" s="127">
        <f t="shared" si="9"/>
        <v>9</v>
      </c>
      <c r="AH35" s="128">
        <f t="shared" si="10"/>
        <v>63.599999999999994</v>
      </c>
      <c r="AI35" s="108">
        <v>2031</v>
      </c>
      <c r="AJ35" s="108" t="str">
        <f t="shared" si="11"/>
        <v>early adopter</v>
      </c>
    </row>
    <row r="36" spans="1:36">
      <c r="A36" s="102" t="s">
        <v>160</v>
      </c>
      <c r="B36" s="120" t="s">
        <v>159</v>
      </c>
      <c r="C36" s="120" t="s">
        <v>83</v>
      </c>
      <c r="D36" s="102" t="s">
        <v>84</v>
      </c>
      <c r="E36" s="109">
        <v>3</v>
      </c>
      <c r="F36" s="102">
        <v>2019</v>
      </c>
      <c r="G36" s="102">
        <v>2019</v>
      </c>
      <c r="H36" s="102">
        <v>2012</v>
      </c>
      <c r="I36" s="102">
        <v>2014</v>
      </c>
      <c r="J36" s="102" t="s">
        <v>566</v>
      </c>
      <c r="K36" s="102">
        <f t="shared" ref="K36:O67" si="14">IF(AND(F36&gt;=F$200,F36&lt;F$201),4,IF(AND(F36&gt;=F$201,F36&lt;F$202),3,IF(AND(F36&gt;=F$202,F36&lt;F$203),2,IF(AND(F36&gt;=F$203,F36&lt;=F$204),1,1))))</f>
        <v>1</v>
      </c>
      <c r="L36" s="102">
        <f t="shared" si="14"/>
        <v>1</v>
      </c>
      <c r="M36" s="102">
        <f t="shared" si="14"/>
        <v>2</v>
      </c>
      <c r="N36" s="102">
        <f t="shared" si="14"/>
        <v>2</v>
      </c>
      <c r="O36" s="102">
        <f t="shared" si="14"/>
        <v>1</v>
      </c>
      <c r="P36" s="121">
        <f t="shared" si="2"/>
        <v>1.4</v>
      </c>
      <c r="Q36" s="102">
        <v>70</v>
      </c>
      <c r="R36" s="102">
        <f t="shared" si="3"/>
        <v>3</v>
      </c>
      <c r="S36" s="138">
        <v>1774.8890183425599</v>
      </c>
      <c r="T36" s="102">
        <f t="shared" si="4"/>
        <v>4</v>
      </c>
      <c r="U36" s="139">
        <v>156.10237764654499</v>
      </c>
      <c r="V36" s="102">
        <f t="shared" si="5"/>
        <v>4</v>
      </c>
      <c r="W36" s="124">
        <v>127.57</v>
      </c>
      <c r="X36" s="102">
        <f t="shared" si="6"/>
        <v>3</v>
      </c>
      <c r="Y36" s="109">
        <v>86</v>
      </c>
      <c r="Z36" s="102">
        <f t="shared" si="7"/>
        <v>3</v>
      </c>
      <c r="AA36" s="125">
        <f t="shared" si="8"/>
        <v>55.199999999999996</v>
      </c>
      <c r="AB36" s="126" t="s">
        <v>583</v>
      </c>
      <c r="AC36" s="126">
        <v>3</v>
      </c>
      <c r="AD36" s="126">
        <v>2</v>
      </c>
      <c r="AE36" s="126">
        <v>78.370499375307375</v>
      </c>
      <c r="AF36" s="102">
        <f>IF(AND(AE36&gt;=AE$200,AE36&lt;AE$201),1,IF(AND(AE36&gt;=AE$201,AE36&lt;AE$202),2,IF(AND(AE36&gt;=AE$202,AE36&lt;AE$203),3,IF(AND(AE36&gt;=AE$203,AE36&lt;=AE$204),4,"empty"))))</f>
        <v>2</v>
      </c>
      <c r="AG36" s="127">
        <f t="shared" si="9"/>
        <v>7</v>
      </c>
      <c r="AH36" s="128">
        <f t="shared" si="10"/>
        <v>63.599999999999994</v>
      </c>
      <c r="AI36" s="108">
        <v>2032</v>
      </c>
      <c r="AJ36" s="108" t="str">
        <f t="shared" si="11"/>
        <v>early adopter</v>
      </c>
    </row>
    <row r="37" spans="1:36">
      <c r="A37" s="102" t="s">
        <v>148</v>
      </c>
      <c r="B37" s="120" t="s">
        <v>147</v>
      </c>
      <c r="C37" s="120" t="s">
        <v>83</v>
      </c>
      <c r="D37" s="102" t="s">
        <v>75</v>
      </c>
      <c r="E37" s="109">
        <v>3</v>
      </c>
      <c r="F37" s="102">
        <v>2022</v>
      </c>
      <c r="G37" s="102">
        <v>2022</v>
      </c>
      <c r="H37" s="102">
        <v>2011</v>
      </c>
      <c r="I37" s="102">
        <v>2021</v>
      </c>
      <c r="J37" s="102">
        <v>2023</v>
      </c>
      <c r="K37" s="102">
        <f t="shared" si="14"/>
        <v>1</v>
      </c>
      <c r="L37" s="102">
        <f t="shared" si="14"/>
        <v>1</v>
      </c>
      <c r="M37" s="102">
        <f t="shared" si="14"/>
        <v>3</v>
      </c>
      <c r="N37" s="102">
        <f t="shared" si="14"/>
        <v>1</v>
      </c>
      <c r="O37" s="102">
        <f t="shared" si="14"/>
        <v>1</v>
      </c>
      <c r="P37" s="121">
        <f t="shared" si="2"/>
        <v>1.4</v>
      </c>
      <c r="Q37" s="102">
        <v>1815</v>
      </c>
      <c r="R37" s="102">
        <f t="shared" si="3"/>
        <v>4</v>
      </c>
      <c r="S37" s="138">
        <v>1040.6962842873399</v>
      </c>
      <c r="T37" s="102">
        <f t="shared" si="4"/>
        <v>4</v>
      </c>
      <c r="U37" s="139">
        <v>567.31429420010295</v>
      </c>
      <c r="V37" s="102">
        <f t="shared" si="5"/>
        <v>4</v>
      </c>
      <c r="W37" s="124">
        <v>164.3</v>
      </c>
      <c r="X37" s="102">
        <f t="shared" si="6"/>
        <v>4</v>
      </c>
      <c r="Y37" s="109">
        <v>93</v>
      </c>
      <c r="Z37" s="102">
        <f t="shared" si="7"/>
        <v>2</v>
      </c>
      <c r="AA37" s="125">
        <f t="shared" si="8"/>
        <v>58.199999999999996</v>
      </c>
      <c r="AB37" s="109" t="s">
        <v>584</v>
      </c>
      <c r="AC37" s="109">
        <v>2</v>
      </c>
      <c r="AD37" s="126">
        <v>1</v>
      </c>
      <c r="AE37" s="126">
        <v>4.4267011556296643</v>
      </c>
      <c r="AF37" s="102">
        <f>IF(AND(AE37&gt;=AE$200,AE37&lt;AE$201),1,IF(AND(AE37&gt;=AE$201,AE37&lt;AE$202),2,IF(AND(AE37&gt;=AE$202,AE37&lt;AE$203),3,IF(AND(AE37&gt;=AE$203,AE37&lt;=AE$204),4,"empty"))))</f>
        <v>1</v>
      </c>
      <c r="AG37" s="127">
        <f t="shared" si="9"/>
        <v>4</v>
      </c>
      <c r="AH37" s="128">
        <f t="shared" si="10"/>
        <v>63.599999999999994</v>
      </c>
      <c r="AI37" s="108">
        <v>2032</v>
      </c>
      <c r="AJ37" s="108" t="str">
        <f t="shared" si="11"/>
        <v>early adopter</v>
      </c>
    </row>
    <row r="38" spans="1:36">
      <c r="A38" s="102" t="s">
        <v>142</v>
      </c>
      <c r="B38" s="120" t="s">
        <v>141</v>
      </c>
      <c r="C38" s="120" t="s">
        <v>83</v>
      </c>
      <c r="D38" s="102" t="s">
        <v>84</v>
      </c>
      <c r="E38" s="109">
        <v>3</v>
      </c>
      <c r="F38" s="102">
        <v>2019</v>
      </c>
      <c r="G38" s="102">
        <v>2015</v>
      </c>
      <c r="H38" s="102">
        <v>2011</v>
      </c>
      <c r="I38" s="102">
        <v>2014</v>
      </c>
      <c r="J38" s="102">
        <v>2020</v>
      </c>
      <c r="K38" s="102">
        <f t="shared" si="14"/>
        <v>1</v>
      </c>
      <c r="L38" s="102">
        <f t="shared" si="14"/>
        <v>1</v>
      </c>
      <c r="M38" s="102">
        <f t="shared" si="14"/>
        <v>3</v>
      </c>
      <c r="N38" s="102">
        <f t="shared" si="14"/>
        <v>2</v>
      </c>
      <c r="O38" s="102">
        <f t="shared" si="14"/>
        <v>1</v>
      </c>
      <c r="P38" s="121">
        <f t="shared" si="2"/>
        <v>1.6</v>
      </c>
      <c r="Q38" s="102">
        <v>2849</v>
      </c>
      <c r="R38" s="102">
        <f t="shared" si="3"/>
        <v>4</v>
      </c>
      <c r="S38" s="138">
        <v>557.06836627707901</v>
      </c>
      <c r="T38" s="102">
        <f t="shared" si="4"/>
        <v>4</v>
      </c>
      <c r="U38" s="139">
        <v>2320.6064259629002</v>
      </c>
      <c r="V38" s="102">
        <f t="shared" si="5"/>
        <v>4</v>
      </c>
      <c r="W38" s="124">
        <v>807.2</v>
      </c>
      <c r="X38" s="102">
        <f t="shared" si="6"/>
        <v>4</v>
      </c>
      <c r="Y38" s="109">
        <v>99</v>
      </c>
      <c r="Z38" s="102">
        <f t="shared" si="7"/>
        <v>1</v>
      </c>
      <c r="AA38" s="125">
        <f t="shared" si="8"/>
        <v>55.800000000000004</v>
      </c>
      <c r="AB38" s="109" t="s">
        <v>584</v>
      </c>
      <c r="AC38" s="109">
        <v>2</v>
      </c>
      <c r="AD38" s="126">
        <v>2</v>
      </c>
      <c r="AE38" s="126">
        <v>32.641863799715843</v>
      </c>
      <c r="AF38" s="102">
        <f>IF(AND(AE38&gt;=AE$200,AE38&lt;AE$201),1,IF(AND(AE38&gt;=AE$201,AE38&lt;AE$202),2,IF(AND(AE38&gt;=AE$202,AE38&lt;AE$203),3,IF(AND(AE38&gt;=AE$203,AE38&lt;=AE$204),4,"empty"))))</f>
        <v>2</v>
      </c>
      <c r="AG38" s="127">
        <f t="shared" si="9"/>
        <v>6</v>
      </c>
      <c r="AH38" s="128">
        <f t="shared" si="10"/>
        <v>63.400000000000006</v>
      </c>
      <c r="AI38" s="108">
        <v>2032</v>
      </c>
      <c r="AJ38" s="108" t="str">
        <f t="shared" si="11"/>
        <v>early adopter</v>
      </c>
    </row>
    <row r="39" spans="1:36">
      <c r="A39" s="102" t="s">
        <v>283</v>
      </c>
      <c r="B39" s="120" t="s">
        <v>282</v>
      </c>
      <c r="C39" s="120" t="s">
        <v>79</v>
      </c>
      <c r="D39" s="102" t="s">
        <v>87</v>
      </c>
      <c r="E39" s="109">
        <v>1</v>
      </c>
      <c r="F39" s="102">
        <v>1994</v>
      </c>
      <c r="G39" s="102">
        <v>1986</v>
      </c>
      <c r="H39" s="102">
        <v>2005</v>
      </c>
      <c r="I39" s="102">
        <v>2006</v>
      </c>
      <c r="J39" s="102">
        <v>2008</v>
      </c>
      <c r="K39" s="102">
        <f t="shared" si="14"/>
        <v>3</v>
      </c>
      <c r="L39" s="102">
        <f t="shared" si="14"/>
        <v>4</v>
      </c>
      <c r="M39" s="102">
        <f t="shared" si="14"/>
        <v>4</v>
      </c>
      <c r="N39" s="102">
        <f t="shared" si="14"/>
        <v>4</v>
      </c>
      <c r="O39" s="102">
        <f t="shared" si="14"/>
        <v>4</v>
      </c>
      <c r="P39" s="121">
        <f t="shared" si="2"/>
        <v>3.8</v>
      </c>
      <c r="Q39" s="102">
        <v>24</v>
      </c>
      <c r="R39" s="102">
        <f t="shared" si="3"/>
        <v>2</v>
      </c>
      <c r="S39" s="138">
        <v>7.5606827771686298</v>
      </c>
      <c r="T39" s="102">
        <f t="shared" si="4"/>
        <v>2</v>
      </c>
      <c r="U39" s="139">
        <v>7.6380440184127402E-3</v>
      </c>
      <c r="V39" s="102">
        <f t="shared" si="5"/>
        <v>2</v>
      </c>
      <c r="W39" s="124">
        <v>0.45976</v>
      </c>
      <c r="X39" s="102">
        <f t="shared" si="6"/>
        <v>3</v>
      </c>
      <c r="Y39" s="109">
        <v>83</v>
      </c>
      <c r="Z39" s="102">
        <f t="shared" si="7"/>
        <v>4</v>
      </c>
      <c r="AA39" s="125">
        <f t="shared" si="8"/>
        <v>50.400000000000006</v>
      </c>
      <c r="AB39" s="126" t="s">
        <v>580</v>
      </c>
      <c r="AC39" s="126">
        <v>1</v>
      </c>
      <c r="AD39" s="126">
        <v>4</v>
      </c>
      <c r="AE39" s="126" t="s">
        <v>582</v>
      </c>
      <c r="AF39" s="126">
        <v>4</v>
      </c>
      <c r="AG39" s="127">
        <f t="shared" si="9"/>
        <v>9</v>
      </c>
      <c r="AH39" s="128">
        <f t="shared" si="10"/>
        <v>63.2</v>
      </c>
      <c r="AI39" s="108">
        <v>2032</v>
      </c>
      <c r="AJ39" s="108" t="str">
        <f t="shared" si="11"/>
        <v>early adopter</v>
      </c>
    </row>
    <row r="40" spans="1:36">
      <c r="A40" s="102" t="s">
        <v>383</v>
      </c>
      <c r="B40" s="120" t="s">
        <v>382</v>
      </c>
      <c r="C40" s="120" t="s">
        <v>74</v>
      </c>
      <c r="D40" s="102" t="s">
        <v>87</v>
      </c>
      <c r="E40" s="109">
        <v>1</v>
      </c>
      <c r="F40" s="102">
        <v>1991</v>
      </c>
      <c r="G40" s="102">
        <v>1982</v>
      </c>
      <c r="H40" s="102">
        <v>2009</v>
      </c>
      <c r="I40" s="102">
        <v>2013</v>
      </c>
      <c r="J40" s="102">
        <v>2022</v>
      </c>
      <c r="K40" s="102">
        <f t="shared" si="14"/>
        <v>4</v>
      </c>
      <c r="L40" s="102">
        <f t="shared" si="14"/>
        <v>4</v>
      </c>
      <c r="M40" s="102">
        <f t="shared" si="14"/>
        <v>3</v>
      </c>
      <c r="N40" s="102">
        <f t="shared" si="14"/>
        <v>3</v>
      </c>
      <c r="O40" s="102">
        <f t="shared" si="14"/>
        <v>1</v>
      </c>
      <c r="P40" s="121">
        <f t="shared" si="2"/>
        <v>3</v>
      </c>
      <c r="Q40" s="102">
        <v>1035</v>
      </c>
      <c r="R40" s="102">
        <f t="shared" si="3"/>
        <v>4</v>
      </c>
      <c r="S40" s="138">
        <v>66.384868699739101</v>
      </c>
      <c r="T40" s="102">
        <f t="shared" si="4"/>
        <v>3</v>
      </c>
      <c r="U40" s="139">
        <v>14.222947862983601</v>
      </c>
      <c r="V40" s="102">
        <f t="shared" si="5"/>
        <v>3</v>
      </c>
      <c r="W40" s="124">
        <v>5.6940999999999999E-13</v>
      </c>
      <c r="X40" s="102">
        <f t="shared" si="6"/>
        <v>2</v>
      </c>
      <c r="Y40" s="109">
        <v>94</v>
      </c>
      <c r="Z40" s="102">
        <f t="shared" si="7"/>
        <v>2</v>
      </c>
      <c r="AA40" s="125">
        <f t="shared" si="8"/>
        <v>51</v>
      </c>
      <c r="AB40" s="126" t="s">
        <v>580</v>
      </c>
      <c r="AC40" s="126">
        <v>1</v>
      </c>
      <c r="AD40" s="126">
        <v>4</v>
      </c>
      <c r="AE40" s="126" t="s">
        <v>582</v>
      </c>
      <c r="AF40" s="126">
        <v>4</v>
      </c>
      <c r="AG40" s="127">
        <f t="shared" si="9"/>
        <v>9</v>
      </c>
      <c r="AH40" s="128">
        <f t="shared" si="10"/>
        <v>63</v>
      </c>
      <c r="AI40" s="108">
        <v>2032</v>
      </c>
      <c r="AJ40" s="108" t="str">
        <f t="shared" si="11"/>
        <v>early adopter</v>
      </c>
    </row>
    <row r="41" spans="1:36">
      <c r="A41" s="102" t="s">
        <v>140</v>
      </c>
      <c r="B41" s="120" t="s">
        <v>139</v>
      </c>
      <c r="C41" s="120" t="s">
        <v>99</v>
      </c>
      <c r="D41" s="102" t="s">
        <v>84</v>
      </c>
      <c r="E41" s="109">
        <v>4</v>
      </c>
      <c r="F41" s="102">
        <v>2012</v>
      </c>
      <c r="G41" s="102">
        <v>2013</v>
      </c>
      <c r="H41" s="102">
        <v>2015</v>
      </c>
      <c r="I41" s="102" t="s">
        <v>566</v>
      </c>
      <c r="J41" s="102">
        <v>2022</v>
      </c>
      <c r="K41" s="102">
        <f t="shared" si="14"/>
        <v>1</v>
      </c>
      <c r="L41" s="102">
        <f t="shared" si="14"/>
        <v>1</v>
      </c>
      <c r="M41" s="102">
        <f t="shared" si="14"/>
        <v>1</v>
      </c>
      <c r="N41" s="102">
        <f t="shared" si="14"/>
        <v>1</v>
      </c>
      <c r="O41" s="102">
        <f t="shared" si="14"/>
        <v>1</v>
      </c>
      <c r="P41" s="121">
        <f t="shared" si="2"/>
        <v>1</v>
      </c>
      <c r="Q41" s="102">
        <v>676</v>
      </c>
      <c r="R41" s="102">
        <f t="shared" si="3"/>
        <v>3</v>
      </c>
      <c r="S41" s="138">
        <v>235.77048753173801</v>
      </c>
      <c r="T41" s="102">
        <f t="shared" si="4"/>
        <v>3</v>
      </c>
      <c r="U41" s="139">
        <v>121.42957754053</v>
      </c>
      <c r="V41" s="102">
        <f t="shared" si="5"/>
        <v>4</v>
      </c>
      <c r="W41" s="124">
        <v>838.43</v>
      </c>
      <c r="X41" s="102">
        <f t="shared" si="6"/>
        <v>4</v>
      </c>
      <c r="Y41" s="109">
        <v>65</v>
      </c>
      <c r="Z41" s="102">
        <f t="shared" si="7"/>
        <v>4</v>
      </c>
      <c r="AA41" s="125">
        <f t="shared" si="8"/>
        <v>57</v>
      </c>
      <c r="AB41" s="126" t="s">
        <v>581</v>
      </c>
      <c r="AC41" s="126">
        <v>1</v>
      </c>
      <c r="AD41" s="126">
        <v>2</v>
      </c>
      <c r="AE41" s="126">
        <v>28.146829650507943</v>
      </c>
      <c r="AF41" s="102">
        <f>IF(AND(AE41&gt;=AE$200,AE41&lt;AE$201),1,IF(AND(AE41&gt;=AE$201,AE41&lt;AE$202),2,IF(AND(AE41&gt;=AE$202,AE41&lt;AE$203),3,IF(AND(AE41&gt;=AE$203,AE41&lt;=AE$204),4,"empty"))))</f>
        <v>2</v>
      </c>
      <c r="AG41" s="127">
        <f t="shared" si="9"/>
        <v>5</v>
      </c>
      <c r="AH41" s="128">
        <f t="shared" si="10"/>
        <v>63</v>
      </c>
      <c r="AI41" s="108">
        <v>2032</v>
      </c>
      <c r="AJ41" s="108" t="str">
        <f t="shared" si="11"/>
        <v>early adopter</v>
      </c>
    </row>
    <row r="42" spans="1:36">
      <c r="A42" s="102" t="s">
        <v>217</v>
      </c>
      <c r="B42" s="120" t="s">
        <v>216</v>
      </c>
      <c r="C42" s="120" t="s">
        <v>79</v>
      </c>
      <c r="D42" s="102" t="s">
        <v>87</v>
      </c>
      <c r="E42" s="109">
        <v>1</v>
      </c>
      <c r="F42" s="102">
        <v>1995</v>
      </c>
      <c r="G42" s="102">
        <v>1995</v>
      </c>
      <c r="H42" s="102">
        <v>2006</v>
      </c>
      <c r="I42" s="102">
        <v>2011</v>
      </c>
      <c r="J42" s="102">
        <v>2009</v>
      </c>
      <c r="K42" s="102">
        <f t="shared" si="14"/>
        <v>3</v>
      </c>
      <c r="L42" s="102">
        <f t="shared" si="14"/>
        <v>3</v>
      </c>
      <c r="M42" s="102">
        <f t="shared" si="14"/>
        <v>4</v>
      </c>
      <c r="N42" s="102">
        <f t="shared" si="14"/>
        <v>4</v>
      </c>
      <c r="O42" s="102">
        <f t="shared" si="14"/>
        <v>4</v>
      </c>
      <c r="P42" s="121">
        <f t="shared" si="2"/>
        <v>3.6</v>
      </c>
      <c r="Q42" s="102">
        <v>45</v>
      </c>
      <c r="R42" s="102">
        <f t="shared" si="3"/>
        <v>2</v>
      </c>
      <c r="S42" s="138">
        <v>0.54233673729051801</v>
      </c>
      <c r="T42" s="102">
        <f t="shared" si="4"/>
        <v>2</v>
      </c>
      <c r="U42" s="139">
        <v>1.0287066400294399E-2</v>
      </c>
      <c r="V42" s="102">
        <f t="shared" si="5"/>
        <v>2</v>
      </c>
      <c r="W42" s="124">
        <v>0.1157</v>
      </c>
      <c r="X42" s="102">
        <f t="shared" si="6"/>
        <v>3</v>
      </c>
      <c r="Y42" s="109">
        <v>81</v>
      </c>
      <c r="Z42" s="102">
        <f t="shared" si="7"/>
        <v>4</v>
      </c>
      <c r="AA42" s="125">
        <f t="shared" si="8"/>
        <v>49.800000000000004</v>
      </c>
      <c r="AB42" s="126" t="s">
        <v>580</v>
      </c>
      <c r="AC42" s="126">
        <v>1</v>
      </c>
      <c r="AD42" s="126">
        <v>4</v>
      </c>
      <c r="AE42" s="126" t="s">
        <v>582</v>
      </c>
      <c r="AF42" s="126">
        <v>4</v>
      </c>
      <c r="AG42" s="127">
        <f t="shared" si="9"/>
        <v>9</v>
      </c>
      <c r="AH42" s="128">
        <f t="shared" si="10"/>
        <v>62.400000000000006</v>
      </c>
      <c r="AI42" s="108">
        <v>2032</v>
      </c>
      <c r="AJ42" s="108" t="str">
        <f t="shared" si="11"/>
        <v>early adopter</v>
      </c>
    </row>
    <row r="43" spans="1:36">
      <c r="A43" s="102" t="s">
        <v>215</v>
      </c>
      <c r="B43" s="120" t="s">
        <v>214</v>
      </c>
      <c r="C43" s="120" t="s">
        <v>83</v>
      </c>
      <c r="D43" s="102" t="s">
        <v>84</v>
      </c>
      <c r="E43" s="109">
        <v>3</v>
      </c>
      <c r="F43" s="102">
        <v>2012</v>
      </c>
      <c r="G43" s="102">
        <v>2013</v>
      </c>
      <c r="H43" s="102">
        <v>2012</v>
      </c>
      <c r="I43" s="102">
        <v>2012</v>
      </c>
      <c r="J43" s="102" t="s">
        <v>566</v>
      </c>
      <c r="K43" s="102">
        <f t="shared" si="14"/>
        <v>1</v>
      </c>
      <c r="L43" s="102">
        <f t="shared" si="14"/>
        <v>1</v>
      </c>
      <c r="M43" s="102">
        <f t="shared" si="14"/>
        <v>2</v>
      </c>
      <c r="N43" s="102">
        <f t="shared" si="14"/>
        <v>3</v>
      </c>
      <c r="O43" s="102">
        <f t="shared" si="14"/>
        <v>1</v>
      </c>
      <c r="P43" s="121">
        <f t="shared" si="2"/>
        <v>1.6</v>
      </c>
      <c r="Q43" s="102">
        <v>1420</v>
      </c>
      <c r="R43" s="102">
        <f t="shared" si="3"/>
        <v>4</v>
      </c>
      <c r="S43" s="138">
        <v>363.79736987027798</v>
      </c>
      <c r="T43" s="102">
        <f t="shared" si="4"/>
        <v>4</v>
      </c>
      <c r="U43" s="139">
        <v>587.43071977962597</v>
      </c>
      <c r="V43" s="102">
        <f t="shared" si="5"/>
        <v>4</v>
      </c>
      <c r="W43" s="124">
        <v>939.37</v>
      </c>
      <c r="X43" s="102">
        <f t="shared" si="6"/>
        <v>4</v>
      </c>
      <c r="Y43" s="109">
        <v>98</v>
      </c>
      <c r="Z43" s="102">
        <f t="shared" si="7"/>
        <v>1</v>
      </c>
      <c r="AA43" s="125">
        <f t="shared" si="8"/>
        <v>55.800000000000004</v>
      </c>
      <c r="AB43" s="126" t="s">
        <v>581</v>
      </c>
      <c r="AC43" s="126">
        <v>1</v>
      </c>
      <c r="AD43" s="126">
        <v>2</v>
      </c>
      <c r="AE43" s="126">
        <v>35.502290805142117</v>
      </c>
      <c r="AF43" s="102">
        <f t="shared" ref="AF43:AF48" si="15">IF(AND(AE43&gt;=AE$200,AE43&lt;AE$201),1,IF(AND(AE43&gt;=AE$201,AE43&lt;AE$202),2,IF(AND(AE43&gt;=AE$202,AE43&lt;AE$203),3,IF(AND(AE43&gt;=AE$203,AE43&lt;=AE$204),4,"empty"))))</f>
        <v>2</v>
      </c>
      <c r="AG43" s="127">
        <f t="shared" si="9"/>
        <v>5</v>
      </c>
      <c r="AH43" s="128">
        <f t="shared" si="10"/>
        <v>62.400000000000006</v>
      </c>
      <c r="AI43" s="108">
        <v>2032</v>
      </c>
      <c r="AJ43" s="108" t="str">
        <f t="shared" si="11"/>
        <v>early adopter</v>
      </c>
    </row>
    <row r="44" spans="1:36">
      <c r="A44" s="102" t="s">
        <v>259</v>
      </c>
      <c r="B44" s="120" t="s">
        <v>258</v>
      </c>
      <c r="C44" s="120" t="s">
        <v>83</v>
      </c>
      <c r="D44" s="102" t="s">
        <v>84</v>
      </c>
      <c r="E44" s="109">
        <v>3</v>
      </c>
      <c r="F44" s="102">
        <v>2013</v>
      </c>
      <c r="G44" s="102">
        <v>2017</v>
      </c>
      <c r="H44" s="102">
        <v>2011</v>
      </c>
      <c r="I44" s="102">
        <v>2014</v>
      </c>
      <c r="J44" s="102">
        <v>2019</v>
      </c>
      <c r="K44" s="102">
        <f t="shared" si="14"/>
        <v>1</v>
      </c>
      <c r="L44" s="102">
        <f t="shared" si="14"/>
        <v>1</v>
      </c>
      <c r="M44" s="102">
        <f t="shared" si="14"/>
        <v>3</v>
      </c>
      <c r="N44" s="102">
        <f t="shared" si="14"/>
        <v>2</v>
      </c>
      <c r="O44" s="102">
        <f t="shared" si="14"/>
        <v>2</v>
      </c>
      <c r="P44" s="121">
        <f t="shared" si="2"/>
        <v>1.8</v>
      </c>
      <c r="Q44" s="102">
        <v>439</v>
      </c>
      <c r="R44" s="102">
        <f t="shared" si="3"/>
        <v>3</v>
      </c>
      <c r="S44" s="138">
        <v>210.056487717126</v>
      </c>
      <c r="T44" s="102">
        <f t="shared" si="4"/>
        <v>3</v>
      </c>
      <c r="U44" s="139">
        <v>446.94860947220297</v>
      </c>
      <c r="V44" s="102">
        <f t="shared" si="5"/>
        <v>4</v>
      </c>
      <c r="W44" s="124">
        <v>3259.8</v>
      </c>
      <c r="X44" s="102">
        <f t="shared" si="6"/>
        <v>4</v>
      </c>
      <c r="Y44" s="109">
        <v>90</v>
      </c>
      <c r="Z44" s="102">
        <f t="shared" si="7"/>
        <v>3</v>
      </c>
      <c r="AA44" s="125">
        <f t="shared" si="8"/>
        <v>56.400000000000006</v>
      </c>
      <c r="AB44" s="126" t="s">
        <v>581</v>
      </c>
      <c r="AC44" s="126">
        <v>1</v>
      </c>
      <c r="AD44" s="126">
        <v>2</v>
      </c>
      <c r="AE44" s="126">
        <v>23.09327036599764</v>
      </c>
      <c r="AF44" s="102">
        <f t="shared" si="15"/>
        <v>1</v>
      </c>
      <c r="AG44" s="127">
        <f t="shared" si="9"/>
        <v>4</v>
      </c>
      <c r="AH44" s="128">
        <f t="shared" si="10"/>
        <v>62.2</v>
      </c>
      <c r="AI44" s="108">
        <v>2032</v>
      </c>
      <c r="AJ44" s="108" t="str">
        <f t="shared" si="11"/>
        <v>early adopter</v>
      </c>
    </row>
    <row r="45" spans="1:36">
      <c r="A45" s="102" t="s">
        <v>245</v>
      </c>
      <c r="B45" s="120" t="s">
        <v>244</v>
      </c>
      <c r="C45" s="120" t="s">
        <v>79</v>
      </c>
      <c r="D45" s="102" t="s">
        <v>87</v>
      </c>
      <c r="E45" s="109">
        <v>1</v>
      </c>
      <c r="F45" s="102">
        <v>1992</v>
      </c>
      <c r="G45" s="102">
        <v>1971</v>
      </c>
      <c r="H45" s="102">
        <v>2008</v>
      </c>
      <c r="I45" s="102">
        <v>2016</v>
      </c>
      <c r="J45" s="102">
        <v>2010</v>
      </c>
      <c r="K45" s="102">
        <f t="shared" si="14"/>
        <v>3</v>
      </c>
      <c r="L45" s="102">
        <f t="shared" si="14"/>
        <v>4</v>
      </c>
      <c r="M45" s="102">
        <f t="shared" si="14"/>
        <v>4</v>
      </c>
      <c r="N45" s="102">
        <f t="shared" si="14"/>
        <v>2</v>
      </c>
      <c r="O45" s="102">
        <f t="shared" si="14"/>
        <v>4</v>
      </c>
      <c r="P45" s="121">
        <f t="shared" si="2"/>
        <v>3.4</v>
      </c>
      <c r="Q45" s="102">
        <v>73</v>
      </c>
      <c r="R45" s="102">
        <f t="shared" si="3"/>
        <v>3</v>
      </c>
      <c r="S45" s="138">
        <v>2.4413252048246901</v>
      </c>
      <c r="T45" s="102">
        <f t="shared" si="4"/>
        <v>2</v>
      </c>
      <c r="U45" s="139">
        <v>8.3677971015646193E-3</v>
      </c>
      <c r="V45" s="102">
        <f t="shared" si="5"/>
        <v>2</v>
      </c>
      <c r="W45" s="124">
        <v>2.4067000000000002E-2</v>
      </c>
      <c r="X45" s="102">
        <f t="shared" si="6"/>
        <v>3</v>
      </c>
      <c r="Y45" s="109">
        <v>92</v>
      </c>
      <c r="Z45" s="102">
        <f t="shared" si="7"/>
        <v>3</v>
      </c>
      <c r="AA45" s="125">
        <f t="shared" si="8"/>
        <v>49.199999999999996</v>
      </c>
      <c r="AB45" s="126" t="s">
        <v>580</v>
      </c>
      <c r="AC45" s="126">
        <v>1</v>
      </c>
      <c r="AD45" s="126">
        <v>4</v>
      </c>
      <c r="AE45" s="126">
        <v>100</v>
      </c>
      <c r="AF45" s="102">
        <f t="shared" si="15"/>
        <v>4</v>
      </c>
      <c r="AG45" s="127">
        <f t="shared" si="9"/>
        <v>9</v>
      </c>
      <c r="AH45" s="128">
        <f t="shared" si="10"/>
        <v>61.599999999999994</v>
      </c>
      <c r="AI45" s="108">
        <v>2032</v>
      </c>
      <c r="AJ45" s="108" t="str">
        <f t="shared" si="11"/>
        <v>early adopter</v>
      </c>
    </row>
    <row r="46" spans="1:36">
      <c r="A46" s="102" t="s">
        <v>423</v>
      </c>
      <c r="B46" s="120" t="s">
        <v>422</v>
      </c>
      <c r="C46" s="120" t="s">
        <v>83</v>
      </c>
      <c r="D46" s="102" t="s">
        <v>84</v>
      </c>
      <c r="E46" s="109" t="s">
        <v>76</v>
      </c>
      <c r="F46" s="102">
        <v>2014</v>
      </c>
      <c r="G46" s="102">
        <v>2014</v>
      </c>
      <c r="H46" s="102">
        <v>2013</v>
      </c>
      <c r="I46" s="102">
        <v>2013</v>
      </c>
      <c r="J46" s="102">
        <v>2018</v>
      </c>
      <c r="K46" s="102">
        <f t="shared" si="14"/>
        <v>1</v>
      </c>
      <c r="L46" s="102">
        <f t="shared" si="14"/>
        <v>1</v>
      </c>
      <c r="M46" s="102">
        <f t="shared" si="14"/>
        <v>2</v>
      </c>
      <c r="N46" s="102">
        <f t="shared" si="14"/>
        <v>3</v>
      </c>
      <c r="O46" s="102">
        <f t="shared" si="14"/>
        <v>2</v>
      </c>
      <c r="P46" s="121">
        <f t="shared" si="2"/>
        <v>1.8</v>
      </c>
      <c r="Q46" s="102">
        <v>270</v>
      </c>
      <c r="R46" s="102">
        <f t="shared" si="3"/>
        <v>3</v>
      </c>
      <c r="S46" s="138">
        <v>551.41116814152099</v>
      </c>
      <c r="T46" s="102">
        <f t="shared" si="4"/>
        <v>4</v>
      </c>
      <c r="U46" s="139">
        <v>3293.2778277401999</v>
      </c>
      <c r="V46" s="102">
        <f t="shared" si="5"/>
        <v>4</v>
      </c>
      <c r="W46" s="124">
        <v>2000.7</v>
      </c>
      <c r="X46" s="102">
        <f t="shared" si="6"/>
        <v>4</v>
      </c>
      <c r="Y46" s="109">
        <v>97</v>
      </c>
      <c r="Z46" s="102">
        <f t="shared" si="7"/>
        <v>1</v>
      </c>
      <c r="AA46" s="125">
        <f t="shared" si="8"/>
        <v>53.400000000000006</v>
      </c>
      <c r="AB46" s="109" t="s">
        <v>583</v>
      </c>
      <c r="AC46" s="126">
        <v>3</v>
      </c>
      <c r="AD46" s="126">
        <v>2</v>
      </c>
      <c r="AE46" s="126">
        <v>16.544261542490943</v>
      </c>
      <c r="AF46" s="102">
        <f t="shared" si="15"/>
        <v>1</v>
      </c>
      <c r="AG46" s="127">
        <f t="shared" si="9"/>
        <v>6</v>
      </c>
      <c r="AH46" s="128">
        <f t="shared" si="10"/>
        <v>61.2</v>
      </c>
      <c r="AI46" s="108">
        <v>2032</v>
      </c>
      <c r="AJ46" s="108" t="str">
        <f t="shared" si="11"/>
        <v>early adopter</v>
      </c>
    </row>
    <row r="47" spans="1:36">
      <c r="A47" s="102" t="s">
        <v>138</v>
      </c>
      <c r="B47" s="120" t="s">
        <v>137</v>
      </c>
      <c r="C47" s="120" t="s">
        <v>83</v>
      </c>
      <c r="D47" s="102" t="s">
        <v>75</v>
      </c>
      <c r="E47" s="109">
        <v>3</v>
      </c>
      <c r="F47" s="102">
        <v>2013</v>
      </c>
      <c r="G47" s="102">
        <v>2017</v>
      </c>
      <c r="H47" s="102">
        <v>2011</v>
      </c>
      <c r="I47" s="102">
        <v>2013</v>
      </c>
      <c r="J47" s="102" t="s">
        <v>566</v>
      </c>
      <c r="K47" s="102">
        <f t="shared" si="14"/>
        <v>1</v>
      </c>
      <c r="L47" s="102">
        <f t="shared" si="14"/>
        <v>1</v>
      </c>
      <c r="M47" s="102">
        <f t="shared" si="14"/>
        <v>3</v>
      </c>
      <c r="N47" s="102">
        <f t="shared" si="14"/>
        <v>3</v>
      </c>
      <c r="O47" s="102">
        <f t="shared" si="14"/>
        <v>1</v>
      </c>
      <c r="P47" s="121">
        <f t="shared" si="2"/>
        <v>1.8</v>
      </c>
      <c r="Q47" s="102">
        <v>106</v>
      </c>
      <c r="R47" s="102">
        <f t="shared" si="3"/>
        <v>3</v>
      </c>
      <c r="S47" s="138">
        <v>146.036681108453</v>
      </c>
      <c r="T47" s="102">
        <f t="shared" si="4"/>
        <v>3</v>
      </c>
      <c r="U47" s="139">
        <v>233.09957675083001</v>
      </c>
      <c r="V47" s="102">
        <f t="shared" si="5"/>
        <v>4</v>
      </c>
      <c r="W47" s="124">
        <v>278.43</v>
      </c>
      <c r="X47" s="102">
        <f t="shared" si="6"/>
        <v>4</v>
      </c>
      <c r="Y47" s="109">
        <v>95</v>
      </c>
      <c r="Z47" s="102">
        <f t="shared" si="7"/>
        <v>2</v>
      </c>
      <c r="AA47" s="125">
        <f t="shared" si="8"/>
        <v>53.400000000000006</v>
      </c>
      <c r="AB47" s="126" t="s">
        <v>579</v>
      </c>
      <c r="AC47" s="126">
        <v>4</v>
      </c>
      <c r="AD47" s="126">
        <v>1</v>
      </c>
      <c r="AE47" s="126">
        <v>5.3138778187171214</v>
      </c>
      <c r="AF47" s="102">
        <f t="shared" si="15"/>
        <v>1</v>
      </c>
      <c r="AG47" s="127">
        <f t="shared" si="9"/>
        <v>6</v>
      </c>
      <c r="AH47" s="128">
        <f t="shared" si="10"/>
        <v>61.2</v>
      </c>
      <c r="AI47" s="108">
        <v>2032</v>
      </c>
      <c r="AJ47" s="108" t="str">
        <f t="shared" si="11"/>
        <v>early adopter</v>
      </c>
    </row>
    <row r="48" spans="1:36">
      <c r="A48" s="102" t="s">
        <v>467</v>
      </c>
      <c r="B48" s="120" t="s">
        <v>466</v>
      </c>
      <c r="C48" s="120" t="s">
        <v>83</v>
      </c>
      <c r="D48" s="102" t="s">
        <v>84</v>
      </c>
      <c r="E48" s="109">
        <v>3</v>
      </c>
      <c r="F48" s="102">
        <v>2013</v>
      </c>
      <c r="G48" s="102">
        <v>2017</v>
      </c>
      <c r="H48" s="102">
        <v>2013</v>
      </c>
      <c r="I48" s="102">
        <v>2013</v>
      </c>
      <c r="J48" s="102">
        <v>2019</v>
      </c>
      <c r="K48" s="102">
        <f t="shared" si="14"/>
        <v>1</v>
      </c>
      <c r="L48" s="102">
        <f t="shared" si="14"/>
        <v>1</v>
      </c>
      <c r="M48" s="102">
        <f t="shared" si="14"/>
        <v>2</v>
      </c>
      <c r="N48" s="102">
        <f t="shared" si="14"/>
        <v>3</v>
      </c>
      <c r="O48" s="102">
        <f t="shared" si="14"/>
        <v>2</v>
      </c>
      <c r="P48" s="121">
        <f t="shared" si="2"/>
        <v>1.8</v>
      </c>
      <c r="Q48" s="102">
        <v>124</v>
      </c>
      <c r="R48" s="102">
        <f t="shared" si="3"/>
        <v>3</v>
      </c>
      <c r="S48" s="138">
        <v>156.62154129157</v>
      </c>
      <c r="T48" s="102">
        <f t="shared" si="4"/>
        <v>3</v>
      </c>
      <c r="U48" s="139">
        <v>156.292915641474</v>
      </c>
      <c r="V48" s="102">
        <f t="shared" si="5"/>
        <v>4</v>
      </c>
      <c r="W48" s="124">
        <v>1117.9000000000001</v>
      </c>
      <c r="X48" s="102">
        <f t="shared" si="6"/>
        <v>4</v>
      </c>
      <c r="Y48" s="109">
        <v>93</v>
      </c>
      <c r="Z48" s="102">
        <f t="shared" si="7"/>
        <v>2</v>
      </c>
      <c r="AA48" s="125">
        <f t="shared" si="8"/>
        <v>53.400000000000006</v>
      </c>
      <c r="AB48" s="126" t="s">
        <v>583</v>
      </c>
      <c r="AC48" s="126">
        <v>3</v>
      </c>
      <c r="AD48" s="126">
        <v>2</v>
      </c>
      <c r="AE48" s="126">
        <v>12.87945714920475</v>
      </c>
      <c r="AF48" s="102">
        <f t="shared" si="15"/>
        <v>1</v>
      </c>
      <c r="AG48" s="127">
        <f t="shared" si="9"/>
        <v>6</v>
      </c>
      <c r="AH48" s="128">
        <f t="shared" si="10"/>
        <v>61.2</v>
      </c>
      <c r="AI48" s="108">
        <v>2032</v>
      </c>
      <c r="AJ48" s="108" t="str">
        <f t="shared" si="11"/>
        <v>early adopter</v>
      </c>
    </row>
    <row r="49" spans="1:36">
      <c r="A49" s="102" t="s">
        <v>399</v>
      </c>
      <c r="B49" s="120" t="s">
        <v>398</v>
      </c>
      <c r="C49" s="120" t="s">
        <v>74</v>
      </c>
      <c r="D49" s="102" t="s">
        <v>75</v>
      </c>
      <c r="E49" s="109">
        <v>3</v>
      </c>
      <c r="F49" s="102">
        <v>2021</v>
      </c>
      <c r="G49" s="102" t="s">
        <v>566</v>
      </c>
      <c r="H49" s="102" t="s">
        <v>566</v>
      </c>
      <c r="I49" s="102" t="s">
        <v>566</v>
      </c>
      <c r="J49" s="102" t="s">
        <v>566</v>
      </c>
      <c r="K49" s="102">
        <f t="shared" si="14"/>
        <v>1</v>
      </c>
      <c r="L49" s="102">
        <f t="shared" si="14"/>
        <v>1</v>
      </c>
      <c r="M49" s="102">
        <f t="shared" si="14"/>
        <v>1</v>
      </c>
      <c r="N49" s="102">
        <f t="shared" si="14"/>
        <v>1</v>
      </c>
      <c r="O49" s="102">
        <f t="shared" si="14"/>
        <v>1</v>
      </c>
      <c r="P49" s="121">
        <f t="shared" si="2"/>
        <v>1</v>
      </c>
      <c r="Q49" s="102">
        <v>4504</v>
      </c>
      <c r="R49" s="102">
        <f t="shared" si="3"/>
        <v>4</v>
      </c>
      <c r="S49" s="138">
        <v>848.51917940408396</v>
      </c>
      <c r="T49" s="102">
        <f t="shared" si="4"/>
        <v>4</v>
      </c>
      <c r="U49" s="139">
        <v>7436.6202700365502</v>
      </c>
      <c r="V49" s="102">
        <f t="shared" si="5"/>
        <v>4</v>
      </c>
      <c r="W49" s="124">
        <v>249.51</v>
      </c>
      <c r="X49" s="102">
        <f t="shared" si="6"/>
        <v>4</v>
      </c>
      <c r="Y49" s="109">
        <v>97</v>
      </c>
      <c r="Z49" s="102">
        <f t="shared" si="7"/>
        <v>1</v>
      </c>
      <c r="AA49" s="125">
        <f t="shared" si="8"/>
        <v>54</v>
      </c>
      <c r="AB49" s="126" t="s">
        <v>579</v>
      </c>
      <c r="AC49" s="126">
        <v>4</v>
      </c>
      <c r="AD49" s="126">
        <v>1</v>
      </c>
      <c r="AE49" s="126" t="s">
        <v>582</v>
      </c>
      <c r="AF49" s="102">
        <v>1</v>
      </c>
      <c r="AG49" s="127">
        <f t="shared" si="9"/>
        <v>6</v>
      </c>
      <c r="AH49" s="128">
        <f t="shared" si="10"/>
        <v>61</v>
      </c>
      <c r="AI49" s="108">
        <v>2032</v>
      </c>
      <c r="AJ49" s="108" t="str">
        <f t="shared" si="11"/>
        <v>early adopter</v>
      </c>
    </row>
    <row r="50" spans="1:36">
      <c r="A50" s="102" t="s">
        <v>449</v>
      </c>
      <c r="B50" s="120" t="s">
        <v>448</v>
      </c>
      <c r="C50" s="120" t="s">
        <v>74</v>
      </c>
      <c r="D50" s="102" t="s">
        <v>87</v>
      </c>
      <c r="E50" s="109">
        <v>1</v>
      </c>
      <c r="F50" s="102">
        <v>1985</v>
      </c>
      <c r="G50" s="102">
        <v>1985</v>
      </c>
      <c r="H50" s="102">
        <v>2007</v>
      </c>
      <c r="I50" s="102">
        <v>2014</v>
      </c>
      <c r="J50" s="102">
        <v>2018</v>
      </c>
      <c r="K50" s="102">
        <f t="shared" si="14"/>
        <v>4</v>
      </c>
      <c r="L50" s="102">
        <f t="shared" si="14"/>
        <v>4</v>
      </c>
      <c r="M50" s="102">
        <f t="shared" si="14"/>
        <v>4</v>
      </c>
      <c r="N50" s="102">
        <f t="shared" si="14"/>
        <v>2</v>
      </c>
      <c r="O50" s="102">
        <f t="shared" si="14"/>
        <v>2</v>
      </c>
      <c r="P50" s="121">
        <f t="shared" si="2"/>
        <v>3.2</v>
      </c>
      <c r="Q50" s="102">
        <v>186</v>
      </c>
      <c r="R50" s="102">
        <f t="shared" si="3"/>
        <v>3</v>
      </c>
      <c r="S50" s="138">
        <v>10.9934008286092</v>
      </c>
      <c r="T50" s="102">
        <f t="shared" si="4"/>
        <v>2</v>
      </c>
      <c r="U50" s="139">
        <v>0.38804870509728701</v>
      </c>
      <c r="V50" s="102">
        <f t="shared" si="5"/>
        <v>2</v>
      </c>
      <c r="W50" s="124">
        <v>0</v>
      </c>
      <c r="X50" s="102">
        <f t="shared" si="6"/>
        <v>2</v>
      </c>
      <c r="Y50" s="109">
        <v>47</v>
      </c>
      <c r="Z50" s="102">
        <f t="shared" si="7"/>
        <v>4</v>
      </c>
      <c r="AA50" s="125">
        <f t="shared" si="8"/>
        <v>48.599999999999994</v>
      </c>
      <c r="AB50" s="126" t="s">
        <v>580</v>
      </c>
      <c r="AC50" s="126">
        <v>1</v>
      </c>
      <c r="AD50" s="126">
        <v>4</v>
      </c>
      <c r="AE50" s="126" t="s">
        <v>582</v>
      </c>
      <c r="AF50" s="126">
        <v>4</v>
      </c>
      <c r="AG50" s="127">
        <f t="shared" si="9"/>
        <v>9</v>
      </c>
      <c r="AH50" s="128">
        <f t="shared" si="10"/>
        <v>60.8</v>
      </c>
      <c r="AI50" s="108">
        <v>2032</v>
      </c>
      <c r="AJ50" s="108" t="str">
        <f t="shared" si="11"/>
        <v>early adopter</v>
      </c>
    </row>
    <row r="51" spans="1:36">
      <c r="A51" s="102" t="s">
        <v>463</v>
      </c>
      <c r="B51" s="120" t="s">
        <v>462</v>
      </c>
      <c r="C51" s="120" t="s">
        <v>99</v>
      </c>
      <c r="D51" s="102" t="s">
        <v>84</v>
      </c>
      <c r="E51" s="109">
        <v>4</v>
      </c>
      <c r="F51" s="102">
        <v>2006</v>
      </c>
      <c r="G51" s="102">
        <v>2015</v>
      </c>
      <c r="H51" s="102">
        <v>2025</v>
      </c>
      <c r="I51" s="102" t="s">
        <v>566</v>
      </c>
      <c r="J51" s="102" t="s">
        <v>566</v>
      </c>
      <c r="K51" s="102">
        <f t="shared" si="14"/>
        <v>2</v>
      </c>
      <c r="L51" s="102">
        <f t="shared" si="14"/>
        <v>1</v>
      </c>
      <c r="M51" s="102">
        <f t="shared" si="14"/>
        <v>1</v>
      </c>
      <c r="N51" s="102">
        <f t="shared" si="14"/>
        <v>1</v>
      </c>
      <c r="O51" s="102">
        <f t="shared" si="14"/>
        <v>1</v>
      </c>
      <c r="P51" s="121">
        <f t="shared" si="2"/>
        <v>1.2</v>
      </c>
      <c r="Q51" s="102">
        <v>5654</v>
      </c>
      <c r="R51" s="102">
        <f t="shared" si="3"/>
        <v>4</v>
      </c>
      <c r="S51" s="138">
        <v>102.67271337243901</v>
      </c>
      <c r="T51" s="102">
        <f t="shared" si="4"/>
        <v>3</v>
      </c>
      <c r="U51" s="139">
        <v>211.77866598015299</v>
      </c>
      <c r="V51" s="102">
        <f t="shared" si="5"/>
        <v>4</v>
      </c>
      <c r="W51" s="124">
        <v>3601.5</v>
      </c>
      <c r="X51" s="102">
        <f t="shared" si="6"/>
        <v>4</v>
      </c>
      <c r="Y51" s="109">
        <v>96</v>
      </c>
      <c r="Z51" s="102">
        <f t="shared" si="7"/>
        <v>2</v>
      </c>
      <c r="AA51" s="125">
        <f t="shared" si="8"/>
        <v>54.599999999999994</v>
      </c>
      <c r="AB51" s="109" t="s">
        <v>581</v>
      </c>
      <c r="AC51" s="126">
        <v>1</v>
      </c>
      <c r="AD51" s="126">
        <v>2</v>
      </c>
      <c r="AE51" s="126">
        <v>57.500000000000142</v>
      </c>
      <c r="AF51" s="102">
        <f t="shared" ref="AF51:AF57" si="16">IF(AND(AE51&gt;=AE$200,AE51&lt;AE$201),1,IF(AND(AE51&gt;=AE$201,AE51&lt;AE$202),2,IF(AND(AE51&gt;=AE$202,AE51&lt;AE$203),3,IF(AND(AE51&gt;=AE$203,AE51&lt;=AE$204),4,"empty"))))</f>
        <v>2</v>
      </c>
      <c r="AG51" s="127">
        <f t="shared" si="9"/>
        <v>5</v>
      </c>
      <c r="AH51" s="128">
        <f t="shared" si="10"/>
        <v>60.8</v>
      </c>
      <c r="AI51" s="108">
        <v>2032</v>
      </c>
      <c r="AJ51" s="108" t="str">
        <f t="shared" si="11"/>
        <v>early adopter</v>
      </c>
    </row>
    <row r="52" spans="1:36">
      <c r="A52" s="102" t="s">
        <v>351</v>
      </c>
      <c r="B52" s="120" t="s">
        <v>350</v>
      </c>
      <c r="C52" s="120" t="s">
        <v>99</v>
      </c>
      <c r="D52" s="102" t="s">
        <v>84</v>
      </c>
      <c r="E52" s="109">
        <v>4</v>
      </c>
      <c r="F52" s="102">
        <v>2016</v>
      </c>
      <c r="G52" s="102">
        <v>2015</v>
      </c>
      <c r="H52" s="102">
        <v>2013</v>
      </c>
      <c r="I52" s="102" t="s">
        <v>566</v>
      </c>
      <c r="J52" s="102" t="s">
        <v>566</v>
      </c>
      <c r="K52" s="102">
        <f t="shared" si="14"/>
        <v>1</v>
      </c>
      <c r="L52" s="102">
        <f t="shared" si="14"/>
        <v>1</v>
      </c>
      <c r="M52" s="102">
        <f t="shared" si="14"/>
        <v>2</v>
      </c>
      <c r="N52" s="102">
        <f t="shared" si="14"/>
        <v>1</v>
      </c>
      <c r="O52" s="102">
        <f t="shared" si="14"/>
        <v>1</v>
      </c>
      <c r="P52" s="121">
        <f t="shared" si="2"/>
        <v>1.2</v>
      </c>
      <c r="Q52" s="102">
        <v>1</v>
      </c>
      <c r="R52" s="102">
        <f t="shared" si="3"/>
        <v>2</v>
      </c>
      <c r="S52" s="138">
        <v>811.78149251282196</v>
      </c>
      <c r="T52" s="102">
        <f t="shared" si="4"/>
        <v>4</v>
      </c>
      <c r="U52" s="139">
        <v>563.05707852022795</v>
      </c>
      <c r="V52" s="102">
        <f t="shared" si="5"/>
        <v>4</v>
      </c>
      <c r="W52" s="124">
        <v>454.04</v>
      </c>
      <c r="X52" s="102">
        <f t="shared" si="6"/>
        <v>4</v>
      </c>
      <c r="Y52" s="109">
        <v>90</v>
      </c>
      <c r="Z52" s="102">
        <f t="shared" si="7"/>
        <v>3</v>
      </c>
      <c r="AA52" s="125">
        <f t="shared" si="8"/>
        <v>54.599999999999994</v>
      </c>
      <c r="AB52" s="109" t="s">
        <v>581</v>
      </c>
      <c r="AC52" s="126">
        <v>1</v>
      </c>
      <c r="AD52" s="126">
        <v>2</v>
      </c>
      <c r="AE52" s="126">
        <v>40.885544133167464</v>
      </c>
      <c r="AF52" s="102">
        <f t="shared" si="16"/>
        <v>2</v>
      </c>
      <c r="AG52" s="127">
        <f t="shared" si="9"/>
        <v>5</v>
      </c>
      <c r="AH52" s="128">
        <f t="shared" si="10"/>
        <v>60.8</v>
      </c>
      <c r="AI52" s="108">
        <v>2033</v>
      </c>
      <c r="AJ52" s="108" t="str">
        <f t="shared" si="11"/>
        <v>early adopter</v>
      </c>
    </row>
    <row r="53" spans="1:36">
      <c r="A53" s="102" t="s">
        <v>120</v>
      </c>
      <c r="B53" s="120" t="s">
        <v>119</v>
      </c>
      <c r="C53" s="120" t="s">
        <v>83</v>
      </c>
      <c r="D53" s="102" t="s">
        <v>84</v>
      </c>
      <c r="E53" s="109">
        <v>3</v>
      </c>
      <c r="F53" s="102">
        <v>2022</v>
      </c>
      <c r="G53" s="102">
        <v>2019</v>
      </c>
      <c r="H53" s="102">
        <v>2011</v>
      </c>
      <c r="I53" s="102">
        <v>2019</v>
      </c>
      <c r="J53" s="102">
        <v>2023</v>
      </c>
      <c r="K53" s="102">
        <f t="shared" si="14"/>
        <v>1</v>
      </c>
      <c r="L53" s="102">
        <f t="shared" si="14"/>
        <v>1</v>
      </c>
      <c r="M53" s="102">
        <f t="shared" si="14"/>
        <v>3</v>
      </c>
      <c r="N53" s="102">
        <f t="shared" si="14"/>
        <v>1</v>
      </c>
      <c r="O53" s="102">
        <f t="shared" si="14"/>
        <v>1</v>
      </c>
      <c r="P53" s="121">
        <f t="shared" si="2"/>
        <v>1.4</v>
      </c>
      <c r="Q53" s="102">
        <v>483</v>
      </c>
      <c r="R53" s="102">
        <f t="shared" si="3"/>
        <v>3</v>
      </c>
      <c r="S53" s="138">
        <v>1648.8100599668101</v>
      </c>
      <c r="T53" s="102">
        <f t="shared" si="4"/>
        <v>4</v>
      </c>
      <c r="U53" s="139">
        <v>2489.2110123324801</v>
      </c>
      <c r="V53" s="102">
        <f t="shared" si="5"/>
        <v>4</v>
      </c>
      <c r="W53" s="124">
        <v>908.12</v>
      </c>
      <c r="X53" s="102">
        <f t="shared" si="6"/>
        <v>4</v>
      </c>
      <c r="Y53" s="109">
        <v>98</v>
      </c>
      <c r="Z53" s="102">
        <f t="shared" si="7"/>
        <v>1</v>
      </c>
      <c r="AA53" s="125">
        <f t="shared" si="8"/>
        <v>52.199999999999996</v>
      </c>
      <c r="AB53" s="126" t="s">
        <v>583</v>
      </c>
      <c r="AC53" s="126">
        <v>3</v>
      </c>
      <c r="AD53" s="126">
        <v>2</v>
      </c>
      <c r="AE53" s="126">
        <v>31</v>
      </c>
      <c r="AF53" s="102">
        <f t="shared" si="16"/>
        <v>2</v>
      </c>
      <c r="AG53" s="127">
        <f t="shared" si="9"/>
        <v>7</v>
      </c>
      <c r="AH53" s="128">
        <f t="shared" si="10"/>
        <v>60.599999999999994</v>
      </c>
      <c r="AI53" s="108">
        <v>2033</v>
      </c>
      <c r="AJ53" s="108" t="str">
        <f t="shared" si="11"/>
        <v>early adopter</v>
      </c>
    </row>
    <row r="54" spans="1:36">
      <c r="A54" s="102" t="s">
        <v>154</v>
      </c>
      <c r="B54" s="120" t="s">
        <v>153</v>
      </c>
      <c r="C54" s="120" t="s">
        <v>99</v>
      </c>
      <c r="D54" s="102" t="s">
        <v>80</v>
      </c>
      <c r="E54" s="109">
        <v>1</v>
      </c>
      <c r="F54" s="102">
        <v>1986</v>
      </c>
      <c r="G54" s="102">
        <v>2008</v>
      </c>
      <c r="H54" s="102" t="s">
        <v>566</v>
      </c>
      <c r="I54" s="102" t="s">
        <v>566</v>
      </c>
      <c r="J54" s="102" t="s">
        <v>566</v>
      </c>
      <c r="K54" s="102">
        <f t="shared" si="14"/>
        <v>4</v>
      </c>
      <c r="L54" s="102">
        <f t="shared" si="14"/>
        <v>2</v>
      </c>
      <c r="M54" s="102">
        <f t="shared" si="14"/>
        <v>1</v>
      </c>
      <c r="N54" s="102">
        <f t="shared" si="14"/>
        <v>1</v>
      </c>
      <c r="O54" s="102">
        <f t="shared" si="14"/>
        <v>1</v>
      </c>
      <c r="P54" s="121">
        <f t="shared" si="2"/>
        <v>1.8</v>
      </c>
      <c r="Q54" s="102">
        <v>3098</v>
      </c>
      <c r="R54" s="102">
        <f t="shared" si="3"/>
        <v>4</v>
      </c>
      <c r="S54" s="138">
        <v>61.482822235102603</v>
      </c>
      <c r="T54" s="102">
        <f t="shared" si="4"/>
        <v>3</v>
      </c>
      <c r="U54" s="139">
        <v>686.36799711292099</v>
      </c>
      <c r="V54" s="102">
        <f t="shared" si="5"/>
        <v>4</v>
      </c>
      <c r="W54" s="124">
        <v>7.1701999999999998E-3</v>
      </c>
      <c r="X54" s="102">
        <f t="shared" si="6"/>
        <v>3</v>
      </c>
      <c r="Y54" s="109">
        <v>99</v>
      </c>
      <c r="Z54" s="102">
        <f t="shared" si="7"/>
        <v>1</v>
      </c>
      <c r="AA54" s="125">
        <f t="shared" si="8"/>
        <v>50.400000000000006</v>
      </c>
      <c r="AB54" s="126" t="s">
        <v>580</v>
      </c>
      <c r="AC54" s="126">
        <v>1</v>
      </c>
      <c r="AD54" s="126">
        <v>3</v>
      </c>
      <c r="AE54" s="126">
        <v>100</v>
      </c>
      <c r="AF54" s="102">
        <f t="shared" si="16"/>
        <v>4</v>
      </c>
      <c r="AG54" s="127">
        <f t="shared" si="9"/>
        <v>8</v>
      </c>
      <c r="AH54" s="128">
        <f t="shared" si="10"/>
        <v>60.2</v>
      </c>
      <c r="AI54" s="108">
        <v>2033</v>
      </c>
      <c r="AJ54" s="108" t="str">
        <f t="shared" si="11"/>
        <v>early adopter</v>
      </c>
    </row>
    <row r="55" spans="1:36">
      <c r="A55" s="102" t="s">
        <v>199</v>
      </c>
      <c r="B55" s="120" t="s">
        <v>198</v>
      </c>
      <c r="C55" s="120" t="s">
        <v>83</v>
      </c>
      <c r="D55" s="102" t="s">
        <v>75</v>
      </c>
      <c r="E55" s="109" t="s">
        <v>76</v>
      </c>
      <c r="F55" s="102">
        <v>2019</v>
      </c>
      <c r="G55" s="102" t="s">
        <v>566</v>
      </c>
      <c r="H55" s="102">
        <v>2011</v>
      </c>
      <c r="I55" s="102">
        <v>2014</v>
      </c>
      <c r="J55" s="102">
        <v>2018</v>
      </c>
      <c r="K55" s="102">
        <f t="shared" si="14"/>
        <v>1</v>
      </c>
      <c r="L55" s="102">
        <f t="shared" si="14"/>
        <v>1</v>
      </c>
      <c r="M55" s="102">
        <f t="shared" si="14"/>
        <v>3</v>
      </c>
      <c r="N55" s="102">
        <f t="shared" si="14"/>
        <v>2</v>
      </c>
      <c r="O55" s="102">
        <f t="shared" si="14"/>
        <v>2</v>
      </c>
      <c r="P55" s="121">
        <f t="shared" si="2"/>
        <v>1.8</v>
      </c>
      <c r="Q55" s="102">
        <v>3610</v>
      </c>
      <c r="R55" s="102">
        <f t="shared" si="3"/>
        <v>4</v>
      </c>
      <c r="S55" s="138">
        <v>218.999828722166</v>
      </c>
      <c r="T55" s="102">
        <f t="shared" si="4"/>
        <v>3</v>
      </c>
      <c r="U55" s="139">
        <v>2402.63377898617</v>
      </c>
      <c r="V55" s="102">
        <f t="shared" si="5"/>
        <v>4</v>
      </c>
      <c r="W55" s="124">
        <v>3249.3</v>
      </c>
      <c r="X55" s="102">
        <f t="shared" si="6"/>
        <v>4</v>
      </c>
      <c r="Y55" s="109">
        <v>97</v>
      </c>
      <c r="Z55" s="102">
        <f t="shared" si="7"/>
        <v>1</v>
      </c>
      <c r="AA55" s="125">
        <f t="shared" si="8"/>
        <v>53.400000000000006</v>
      </c>
      <c r="AB55" s="126" t="s">
        <v>583</v>
      </c>
      <c r="AC55" s="126">
        <v>3</v>
      </c>
      <c r="AD55" s="126">
        <v>1</v>
      </c>
      <c r="AE55" s="126">
        <v>14.752474572462514</v>
      </c>
      <c r="AF55" s="102">
        <f t="shared" si="16"/>
        <v>1</v>
      </c>
      <c r="AG55" s="127">
        <f t="shared" si="9"/>
        <v>5</v>
      </c>
      <c r="AH55" s="128">
        <f t="shared" si="10"/>
        <v>60.2</v>
      </c>
      <c r="AI55" s="108">
        <v>2033</v>
      </c>
      <c r="AJ55" s="108" t="str">
        <f t="shared" si="11"/>
        <v>early adopter</v>
      </c>
    </row>
    <row r="56" spans="1:36">
      <c r="A56" s="102" t="s">
        <v>327</v>
      </c>
      <c r="B56" s="120" t="s">
        <v>326</v>
      </c>
      <c r="C56" s="120" t="s">
        <v>110</v>
      </c>
      <c r="D56" s="102" t="s">
        <v>84</v>
      </c>
      <c r="E56" s="109">
        <v>4</v>
      </c>
      <c r="F56" s="102">
        <v>2015</v>
      </c>
      <c r="G56" s="102">
        <v>2013</v>
      </c>
      <c r="H56" s="102">
        <v>2015</v>
      </c>
      <c r="I56" s="102">
        <v>2020</v>
      </c>
      <c r="J56" s="102" t="s">
        <v>566</v>
      </c>
      <c r="K56" s="102">
        <f t="shared" si="14"/>
        <v>1</v>
      </c>
      <c r="L56" s="102">
        <f t="shared" si="14"/>
        <v>1</v>
      </c>
      <c r="M56" s="102">
        <f t="shared" si="14"/>
        <v>1</v>
      </c>
      <c r="N56" s="102">
        <f t="shared" si="14"/>
        <v>1</v>
      </c>
      <c r="O56" s="102">
        <f t="shared" si="14"/>
        <v>1</v>
      </c>
      <c r="P56" s="121">
        <f t="shared" si="2"/>
        <v>1</v>
      </c>
      <c r="Q56" s="102">
        <v>431</v>
      </c>
      <c r="R56" s="102">
        <f t="shared" si="3"/>
        <v>3</v>
      </c>
      <c r="S56" s="138">
        <v>512.13050226390499</v>
      </c>
      <c r="T56" s="102">
        <f t="shared" si="4"/>
        <v>4</v>
      </c>
      <c r="U56" s="139">
        <v>664.64279027411601</v>
      </c>
      <c r="V56" s="102">
        <f t="shared" si="5"/>
        <v>4</v>
      </c>
      <c r="W56" s="124">
        <v>138.65</v>
      </c>
      <c r="X56" s="102">
        <f t="shared" si="6"/>
        <v>3</v>
      </c>
      <c r="Y56" s="109">
        <v>87</v>
      </c>
      <c r="Z56" s="102">
        <f t="shared" si="7"/>
        <v>3</v>
      </c>
      <c r="AA56" s="125">
        <f t="shared" si="8"/>
        <v>54</v>
      </c>
      <c r="AB56" s="126" t="s">
        <v>584</v>
      </c>
      <c r="AC56" s="109">
        <v>2</v>
      </c>
      <c r="AD56" s="126">
        <v>2</v>
      </c>
      <c r="AE56" s="126">
        <v>22.217529383245544</v>
      </c>
      <c r="AF56" s="102">
        <f t="shared" si="16"/>
        <v>1</v>
      </c>
      <c r="AG56" s="127">
        <f t="shared" si="9"/>
        <v>5</v>
      </c>
      <c r="AH56" s="128">
        <f t="shared" si="10"/>
        <v>60</v>
      </c>
      <c r="AI56" s="108">
        <v>2033</v>
      </c>
      <c r="AJ56" s="108" t="str">
        <f t="shared" si="11"/>
        <v>early adopter</v>
      </c>
    </row>
    <row r="57" spans="1:36">
      <c r="A57" s="102" t="s">
        <v>73</v>
      </c>
      <c r="B57" s="120" t="s">
        <v>72</v>
      </c>
      <c r="C57" s="120" t="s">
        <v>74</v>
      </c>
      <c r="D57" s="102" t="s">
        <v>75</v>
      </c>
      <c r="E57" s="109" t="s">
        <v>76</v>
      </c>
      <c r="F57" s="102">
        <v>2004</v>
      </c>
      <c r="G57" s="102" t="s">
        <v>566</v>
      </c>
      <c r="H57" s="102">
        <v>2014</v>
      </c>
      <c r="I57" s="102">
        <v>2018</v>
      </c>
      <c r="J57" s="102" t="s">
        <v>566</v>
      </c>
      <c r="K57" s="102">
        <f t="shared" si="14"/>
        <v>2</v>
      </c>
      <c r="L57" s="102">
        <f t="shared" si="14"/>
        <v>1</v>
      </c>
      <c r="M57" s="102">
        <f t="shared" si="14"/>
        <v>2</v>
      </c>
      <c r="N57" s="102">
        <f t="shared" si="14"/>
        <v>1</v>
      </c>
      <c r="O57" s="102">
        <f t="shared" si="14"/>
        <v>1</v>
      </c>
      <c r="P57" s="121">
        <f t="shared" si="2"/>
        <v>1.4</v>
      </c>
      <c r="Q57" s="102">
        <v>212</v>
      </c>
      <c r="R57" s="102">
        <f t="shared" si="3"/>
        <v>3</v>
      </c>
      <c r="S57" s="138">
        <v>314.98257911520898</v>
      </c>
      <c r="T57" s="102">
        <f t="shared" si="4"/>
        <v>4</v>
      </c>
      <c r="U57" s="139">
        <v>1256.23074481765</v>
      </c>
      <c r="V57" s="102">
        <f t="shared" si="5"/>
        <v>4</v>
      </c>
      <c r="W57" s="124">
        <v>970.61</v>
      </c>
      <c r="X57" s="102">
        <f t="shared" si="6"/>
        <v>4</v>
      </c>
      <c r="Y57" s="109">
        <v>97</v>
      </c>
      <c r="Z57" s="102">
        <f t="shared" si="7"/>
        <v>1</v>
      </c>
      <c r="AA57" s="125">
        <f t="shared" si="8"/>
        <v>52.199999999999996</v>
      </c>
      <c r="AB57" s="126" t="s">
        <v>579</v>
      </c>
      <c r="AC57" s="126">
        <v>4</v>
      </c>
      <c r="AD57" s="126">
        <v>1</v>
      </c>
      <c r="AE57" s="126">
        <v>5.3935321540393977</v>
      </c>
      <c r="AF57" s="102">
        <f t="shared" si="16"/>
        <v>1</v>
      </c>
      <c r="AG57" s="127">
        <f t="shared" si="9"/>
        <v>6</v>
      </c>
      <c r="AH57" s="128">
        <f t="shared" si="10"/>
        <v>59.599999999999994</v>
      </c>
      <c r="AI57" s="108">
        <v>2033</v>
      </c>
      <c r="AJ57" s="108" t="str">
        <f t="shared" si="11"/>
        <v>early adopter</v>
      </c>
    </row>
    <row r="58" spans="1:36">
      <c r="A58" s="102" t="s">
        <v>116</v>
      </c>
      <c r="B58" s="120" t="s">
        <v>115</v>
      </c>
      <c r="C58" s="120" t="s">
        <v>79</v>
      </c>
      <c r="D58" s="102" t="s">
        <v>87</v>
      </c>
      <c r="E58" s="109">
        <v>1</v>
      </c>
      <c r="F58" s="102">
        <v>1994</v>
      </c>
      <c r="G58" s="102">
        <v>1985</v>
      </c>
      <c r="H58" s="102">
        <v>2006</v>
      </c>
      <c r="I58" s="102">
        <v>2007</v>
      </c>
      <c r="J58" s="102">
        <v>2011</v>
      </c>
      <c r="K58" s="102">
        <f t="shared" si="14"/>
        <v>3</v>
      </c>
      <c r="L58" s="102">
        <f t="shared" si="14"/>
        <v>4</v>
      </c>
      <c r="M58" s="102">
        <f t="shared" si="14"/>
        <v>4</v>
      </c>
      <c r="N58" s="102">
        <f t="shared" si="14"/>
        <v>4</v>
      </c>
      <c r="O58" s="102">
        <f t="shared" si="14"/>
        <v>3</v>
      </c>
      <c r="P58" s="121">
        <f t="shared" si="2"/>
        <v>3.6</v>
      </c>
      <c r="Q58" s="102">
        <v>481</v>
      </c>
      <c r="R58" s="102">
        <f t="shared" si="3"/>
        <v>3</v>
      </c>
      <c r="S58" s="138">
        <v>6.3077084034346003</v>
      </c>
      <c r="T58" s="102">
        <f t="shared" si="4"/>
        <v>2</v>
      </c>
      <c r="U58" s="139">
        <v>2.5437275428894499E-2</v>
      </c>
      <c r="V58" s="102">
        <f t="shared" si="5"/>
        <v>2</v>
      </c>
      <c r="W58" s="124">
        <v>1.2278</v>
      </c>
      <c r="X58" s="102">
        <f t="shared" si="6"/>
        <v>3</v>
      </c>
      <c r="Y58" s="109">
        <v>95</v>
      </c>
      <c r="Z58" s="102">
        <f t="shared" si="7"/>
        <v>2</v>
      </c>
      <c r="AA58" s="125">
        <f t="shared" si="8"/>
        <v>46.8</v>
      </c>
      <c r="AB58" s="126" t="s">
        <v>580</v>
      </c>
      <c r="AC58" s="126">
        <v>1</v>
      </c>
      <c r="AD58" s="126">
        <v>4</v>
      </c>
      <c r="AE58" s="126" t="s">
        <v>582</v>
      </c>
      <c r="AF58" s="126">
        <v>4</v>
      </c>
      <c r="AG58" s="127">
        <f t="shared" si="9"/>
        <v>9</v>
      </c>
      <c r="AH58" s="128">
        <f t="shared" si="10"/>
        <v>59.4</v>
      </c>
      <c r="AI58" s="108">
        <v>2033</v>
      </c>
      <c r="AJ58" s="108" t="str">
        <f t="shared" si="11"/>
        <v>early adopter</v>
      </c>
    </row>
    <row r="59" spans="1:36">
      <c r="A59" s="102" t="s">
        <v>451</v>
      </c>
      <c r="B59" s="120" t="s">
        <v>450</v>
      </c>
      <c r="C59" s="120" t="s">
        <v>79</v>
      </c>
      <c r="D59" s="102" t="s">
        <v>87</v>
      </c>
      <c r="E59" s="109">
        <v>1</v>
      </c>
      <c r="F59" s="102">
        <v>1996</v>
      </c>
      <c r="G59" s="102">
        <v>1970</v>
      </c>
      <c r="H59" s="102">
        <v>2006</v>
      </c>
      <c r="I59" s="102">
        <v>2013</v>
      </c>
      <c r="J59" s="102">
        <v>2008</v>
      </c>
      <c r="K59" s="102">
        <f t="shared" si="14"/>
        <v>3</v>
      </c>
      <c r="L59" s="102">
        <f t="shared" si="14"/>
        <v>4</v>
      </c>
      <c r="M59" s="102">
        <f t="shared" si="14"/>
        <v>4</v>
      </c>
      <c r="N59" s="102">
        <f t="shared" si="14"/>
        <v>3</v>
      </c>
      <c r="O59" s="102">
        <f t="shared" si="14"/>
        <v>4</v>
      </c>
      <c r="P59" s="121">
        <f t="shared" si="2"/>
        <v>3.6</v>
      </c>
      <c r="Q59" s="102">
        <v>882</v>
      </c>
      <c r="R59" s="102">
        <f t="shared" si="3"/>
        <v>3</v>
      </c>
      <c r="S59" s="138">
        <v>1.4531570229472199</v>
      </c>
      <c r="T59" s="102">
        <f t="shared" si="4"/>
        <v>2</v>
      </c>
      <c r="U59" s="139">
        <v>0.92792351165657205</v>
      </c>
      <c r="V59" s="102">
        <f t="shared" si="5"/>
        <v>3</v>
      </c>
      <c r="W59" s="124">
        <v>0</v>
      </c>
      <c r="X59" s="102">
        <f t="shared" si="6"/>
        <v>2</v>
      </c>
      <c r="Y59" s="109">
        <v>95</v>
      </c>
      <c r="Z59" s="102">
        <f t="shared" si="7"/>
        <v>2</v>
      </c>
      <c r="AA59" s="125">
        <f t="shared" si="8"/>
        <v>46.8</v>
      </c>
      <c r="AB59" s="126" t="s">
        <v>580</v>
      </c>
      <c r="AC59" s="126">
        <v>1</v>
      </c>
      <c r="AD59" s="126">
        <v>4</v>
      </c>
      <c r="AE59" s="126" t="s">
        <v>582</v>
      </c>
      <c r="AF59" s="126">
        <v>4</v>
      </c>
      <c r="AG59" s="127">
        <f t="shared" si="9"/>
        <v>9</v>
      </c>
      <c r="AH59" s="128">
        <f t="shared" si="10"/>
        <v>59.4</v>
      </c>
      <c r="AI59" s="108">
        <v>2033</v>
      </c>
      <c r="AJ59" s="108" t="str">
        <f t="shared" si="11"/>
        <v>early adopter</v>
      </c>
    </row>
    <row r="60" spans="1:36">
      <c r="A60" s="102" t="s">
        <v>98</v>
      </c>
      <c r="B60" s="120" t="s">
        <v>97</v>
      </c>
      <c r="C60" s="120" t="s">
        <v>99</v>
      </c>
      <c r="D60" s="102" t="s">
        <v>87</v>
      </c>
      <c r="E60" s="109">
        <v>1</v>
      </c>
      <c r="F60" s="102">
        <v>1994</v>
      </c>
      <c r="G60" s="102">
        <v>1989</v>
      </c>
      <c r="H60" s="102">
        <v>2005</v>
      </c>
      <c r="I60" s="102">
        <v>2007</v>
      </c>
      <c r="J60" s="102">
        <v>2007</v>
      </c>
      <c r="K60" s="102">
        <f t="shared" si="14"/>
        <v>3</v>
      </c>
      <c r="L60" s="102">
        <f t="shared" si="14"/>
        <v>3</v>
      </c>
      <c r="M60" s="102">
        <f t="shared" si="14"/>
        <v>4</v>
      </c>
      <c r="N60" s="102">
        <f t="shared" si="14"/>
        <v>4</v>
      </c>
      <c r="O60" s="102">
        <f t="shared" si="14"/>
        <v>4</v>
      </c>
      <c r="P60" s="121">
        <f t="shared" si="2"/>
        <v>3.6</v>
      </c>
      <c r="Q60" s="102">
        <v>285</v>
      </c>
      <c r="R60" s="102">
        <f t="shared" si="3"/>
        <v>3</v>
      </c>
      <c r="S60" s="138">
        <v>1.04145968641955</v>
      </c>
      <c r="T60" s="102">
        <f t="shared" si="4"/>
        <v>2</v>
      </c>
      <c r="U60" s="139">
        <v>9.0849455643886204E-2</v>
      </c>
      <c r="V60" s="102">
        <f t="shared" si="5"/>
        <v>2</v>
      </c>
      <c r="W60" s="124">
        <v>0</v>
      </c>
      <c r="X60" s="102">
        <f t="shared" si="6"/>
        <v>2</v>
      </c>
      <c r="Y60" s="109">
        <v>88</v>
      </c>
      <c r="Z60" s="102">
        <f t="shared" si="7"/>
        <v>3</v>
      </c>
      <c r="AA60" s="125">
        <f t="shared" si="8"/>
        <v>46.8</v>
      </c>
      <c r="AB60" s="126" t="s">
        <v>580</v>
      </c>
      <c r="AC60" s="126">
        <v>1</v>
      </c>
      <c r="AD60" s="126">
        <v>4</v>
      </c>
      <c r="AE60" s="126">
        <v>100</v>
      </c>
      <c r="AF60" s="102">
        <f>IF(AND(AE60&gt;=AE$200,AE60&lt;AE$201),1,IF(AND(AE60&gt;=AE$201,AE60&lt;AE$202),2,IF(AND(AE60&gt;=AE$202,AE60&lt;AE$203),3,IF(AND(AE60&gt;=AE$203,AE60&lt;=AE$204),4,"empty"))))</f>
        <v>4</v>
      </c>
      <c r="AG60" s="127">
        <f t="shared" si="9"/>
        <v>9</v>
      </c>
      <c r="AH60" s="128">
        <f t="shared" si="10"/>
        <v>59.4</v>
      </c>
      <c r="AI60" s="108">
        <v>2033</v>
      </c>
      <c r="AJ60" s="108" t="str">
        <f t="shared" si="11"/>
        <v>early adopter</v>
      </c>
    </row>
    <row r="61" spans="1:36">
      <c r="A61" s="102" t="s">
        <v>437</v>
      </c>
      <c r="B61" s="120" t="s">
        <v>436</v>
      </c>
      <c r="C61" s="120" t="s">
        <v>74</v>
      </c>
      <c r="D61" s="102" t="s">
        <v>84</v>
      </c>
      <c r="E61" s="109">
        <v>3</v>
      </c>
      <c r="F61" s="102">
        <v>1981</v>
      </c>
      <c r="G61" s="102">
        <v>2012</v>
      </c>
      <c r="H61" s="102">
        <v>2019</v>
      </c>
      <c r="I61" s="102" t="s">
        <v>566</v>
      </c>
      <c r="J61" s="102" t="s">
        <v>566</v>
      </c>
      <c r="K61" s="102">
        <f t="shared" si="14"/>
        <v>4</v>
      </c>
      <c r="L61" s="102">
        <f t="shared" si="14"/>
        <v>2</v>
      </c>
      <c r="M61" s="102">
        <f t="shared" si="14"/>
        <v>1</v>
      </c>
      <c r="N61" s="102">
        <f t="shared" si="14"/>
        <v>1</v>
      </c>
      <c r="O61" s="102">
        <f t="shared" si="14"/>
        <v>1</v>
      </c>
      <c r="P61" s="121">
        <f t="shared" si="2"/>
        <v>1.8</v>
      </c>
      <c r="Q61" s="102">
        <v>4674</v>
      </c>
      <c r="R61" s="102">
        <f t="shared" si="3"/>
        <v>4</v>
      </c>
      <c r="S61" s="138">
        <v>201.99982294137601</v>
      </c>
      <c r="T61" s="102">
        <f t="shared" si="4"/>
        <v>3</v>
      </c>
      <c r="U61" s="139">
        <v>29.645145842677</v>
      </c>
      <c r="V61" s="102">
        <f t="shared" si="5"/>
        <v>3</v>
      </c>
      <c r="W61" s="124">
        <v>5.7183999999999999</v>
      </c>
      <c r="X61" s="102">
        <f t="shared" si="6"/>
        <v>3</v>
      </c>
      <c r="Y61" s="109">
        <v>95</v>
      </c>
      <c r="Z61" s="102">
        <f t="shared" si="7"/>
        <v>2</v>
      </c>
      <c r="AA61" s="125">
        <f t="shared" si="8"/>
        <v>50.400000000000006</v>
      </c>
      <c r="AB61" s="126" t="s">
        <v>580</v>
      </c>
      <c r="AC61" s="126">
        <v>1</v>
      </c>
      <c r="AD61" s="126">
        <v>2</v>
      </c>
      <c r="AE61" s="126">
        <v>100</v>
      </c>
      <c r="AF61" s="102">
        <f>IF(AND(AE61&gt;=AE$200,AE61&lt;AE$201),1,IF(AND(AE61&gt;=AE$201,AE61&lt;AE$202),2,IF(AND(AE61&gt;=AE$202,AE61&lt;AE$203),3,IF(AND(AE61&gt;=AE$203,AE61&lt;=AE$204),4,"empty"))))</f>
        <v>4</v>
      </c>
      <c r="AG61" s="127">
        <f t="shared" si="9"/>
        <v>7</v>
      </c>
      <c r="AH61" s="128">
        <f t="shared" si="10"/>
        <v>59.2</v>
      </c>
      <c r="AI61" s="108">
        <v>2033</v>
      </c>
      <c r="AJ61" s="108" t="str">
        <f t="shared" si="11"/>
        <v>early adopter</v>
      </c>
    </row>
    <row r="62" spans="1:36">
      <c r="A62" s="102" t="s">
        <v>267</v>
      </c>
      <c r="B62" s="120" t="s">
        <v>266</v>
      </c>
      <c r="C62" s="120" t="s">
        <v>79</v>
      </c>
      <c r="D62" s="102" t="s">
        <v>84</v>
      </c>
      <c r="E62" s="109">
        <v>1</v>
      </c>
      <c r="F62" s="102">
        <v>1986</v>
      </c>
      <c r="G62" s="102">
        <v>2001</v>
      </c>
      <c r="H62" s="102">
        <v>2016</v>
      </c>
      <c r="I62" s="102">
        <v>2019</v>
      </c>
      <c r="J62" s="102">
        <v>2023</v>
      </c>
      <c r="K62" s="102">
        <f t="shared" si="14"/>
        <v>4</v>
      </c>
      <c r="L62" s="102">
        <f t="shared" si="14"/>
        <v>2</v>
      </c>
      <c r="M62" s="102">
        <f t="shared" si="14"/>
        <v>1</v>
      </c>
      <c r="N62" s="102">
        <f t="shared" si="14"/>
        <v>1</v>
      </c>
      <c r="O62" s="102">
        <f t="shared" si="14"/>
        <v>1</v>
      </c>
      <c r="P62" s="121">
        <f t="shared" si="2"/>
        <v>1.8</v>
      </c>
      <c r="Q62" s="102">
        <v>2303</v>
      </c>
      <c r="R62" s="102">
        <f t="shared" si="3"/>
        <v>4</v>
      </c>
      <c r="S62" s="138">
        <v>65.800408713607695</v>
      </c>
      <c r="T62" s="102">
        <f t="shared" si="4"/>
        <v>3</v>
      </c>
      <c r="U62" s="139">
        <v>2.41948776414635E-2</v>
      </c>
      <c r="V62" s="102">
        <f t="shared" si="5"/>
        <v>2</v>
      </c>
      <c r="W62" s="124">
        <v>0</v>
      </c>
      <c r="X62" s="102">
        <f t="shared" si="6"/>
        <v>2</v>
      </c>
      <c r="Y62" s="109">
        <v>82</v>
      </c>
      <c r="Z62" s="102">
        <f t="shared" si="7"/>
        <v>4</v>
      </c>
      <c r="AA62" s="125">
        <f t="shared" si="8"/>
        <v>50.400000000000006</v>
      </c>
      <c r="AB62" s="109" t="s">
        <v>583</v>
      </c>
      <c r="AC62" s="126">
        <v>3</v>
      </c>
      <c r="AD62" s="126">
        <v>2</v>
      </c>
      <c r="AE62" s="126">
        <v>35.759364974168186</v>
      </c>
      <c r="AF62" s="102">
        <f>IF(AND(AE62&gt;=AE$200,AE62&lt;AE$201),1,IF(AND(AE62&gt;=AE$201,AE62&lt;AE$202),2,IF(AND(AE62&gt;=AE$202,AE62&lt;AE$203),3,IF(AND(AE62&gt;=AE$203,AE62&lt;=AE$204),4,"empty"))))</f>
        <v>2</v>
      </c>
      <c r="AG62" s="127">
        <f t="shared" si="9"/>
        <v>7</v>
      </c>
      <c r="AH62" s="128">
        <f t="shared" si="10"/>
        <v>59.2</v>
      </c>
      <c r="AI62" s="108">
        <v>2033</v>
      </c>
      <c r="AJ62" s="108" t="str">
        <f t="shared" si="11"/>
        <v>early adopter</v>
      </c>
    </row>
    <row r="63" spans="1:36">
      <c r="A63" s="102" t="s">
        <v>369</v>
      </c>
      <c r="B63" s="120" t="s">
        <v>368</v>
      </c>
      <c r="C63" s="120" t="s">
        <v>83</v>
      </c>
      <c r="D63" s="102" t="s">
        <v>75</v>
      </c>
      <c r="E63" s="109">
        <v>3</v>
      </c>
      <c r="F63" s="102">
        <v>2014</v>
      </c>
      <c r="G63" s="102">
        <v>2014</v>
      </c>
      <c r="H63" s="102">
        <v>2009</v>
      </c>
      <c r="I63" s="102">
        <v>2012</v>
      </c>
      <c r="J63" s="102">
        <v>2011</v>
      </c>
      <c r="K63" s="102">
        <f t="shared" si="14"/>
        <v>1</v>
      </c>
      <c r="L63" s="102">
        <f t="shared" si="14"/>
        <v>1</v>
      </c>
      <c r="M63" s="102">
        <f t="shared" si="14"/>
        <v>3</v>
      </c>
      <c r="N63" s="102">
        <f t="shared" si="14"/>
        <v>3</v>
      </c>
      <c r="O63" s="102">
        <f t="shared" si="14"/>
        <v>3</v>
      </c>
      <c r="P63" s="121">
        <f t="shared" si="2"/>
        <v>2.2000000000000002</v>
      </c>
      <c r="Q63" s="102">
        <v>67</v>
      </c>
      <c r="R63" s="102">
        <f t="shared" si="3"/>
        <v>3</v>
      </c>
      <c r="S63" s="138">
        <v>207.991390431805</v>
      </c>
      <c r="T63" s="102">
        <f t="shared" si="4"/>
        <v>3</v>
      </c>
      <c r="U63" s="139">
        <v>211.03140618122799</v>
      </c>
      <c r="V63" s="102">
        <f t="shared" si="5"/>
        <v>4</v>
      </c>
      <c r="W63" s="124">
        <v>407.6</v>
      </c>
      <c r="X63" s="102">
        <f t="shared" si="6"/>
        <v>4</v>
      </c>
      <c r="Y63" s="109">
        <v>99</v>
      </c>
      <c r="Z63" s="102">
        <f t="shared" si="7"/>
        <v>1</v>
      </c>
      <c r="AA63" s="125">
        <f t="shared" si="8"/>
        <v>51.599999999999994</v>
      </c>
      <c r="AB63" s="126" t="s">
        <v>583</v>
      </c>
      <c r="AC63" s="126">
        <v>3</v>
      </c>
      <c r="AD63" s="126">
        <v>1</v>
      </c>
      <c r="AE63" s="126">
        <v>10.55978238633851</v>
      </c>
      <c r="AF63" s="102">
        <f>IF(AND(AE63&gt;=AE$200,AE63&lt;AE$201),1,IF(AND(AE63&gt;=AE$201,AE63&lt;AE$202),2,IF(AND(AE63&gt;=AE$202,AE63&lt;AE$203),3,IF(AND(AE63&gt;=AE$203,AE63&lt;=AE$204),4,"empty"))))</f>
        <v>1</v>
      </c>
      <c r="AG63" s="127">
        <f t="shared" si="9"/>
        <v>5</v>
      </c>
      <c r="AH63" s="128">
        <f t="shared" si="10"/>
        <v>58.8</v>
      </c>
      <c r="AI63" s="108">
        <v>2033</v>
      </c>
      <c r="AJ63" s="108" t="str">
        <f t="shared" si="11"/>
        <v>early adopter</v>
      </c>
    </row>
    <row r="64" spans="1:36">
      <c r="A64" s="102" t="s">
        <v>247</v>
      </c>
      <c r="B64" s="120" t="s">
        <v>246</v>
      </c>
      <c r="C64" s="120" t="s">
        <v>79</v>
      </c>
      <c r="D64" s="102" t="s">
        <v>87</v>
      </c>
      <c r="E64" s="109">
        <v>1</v>
      </c>
      <c r="F64" s="102">
        <v>1995</v>
      </c>
      <c r="G64" s="102">
        <v>1995</v>
      </c>
      <c r="H64" s="102">
        <v>2009</v>
      </c>
      <c r="I64" s="102">
        <v>2010</v>
      </c>
      <c r="J64" s="102">
        <v>2010</v>
      </c>
      <c r="K64" s="102">
        <f t="shared" si="14"/>
        <v>3</v>
      </c>
      <c r="L64" s="102">
        <f t="shared" si="14"/>
        <v>3</v>
      </c>
      <c r="M64" s="102">
        <f t="shared" si="14"/>
        <v>3</v>
      </c>
      <c r="N64" s="102">
        <f t="shared" si="14"/>
        <v>4</v>
      </c>
      <c r="O64" s="102">
        <f t="shared" si="14"/>
        <v>4</v>
      </c>
      <c r="P64" s="121">
        <f t="shared" si="2"/>
        <v>3.4</v>
      </c>
      <c r="Q64" s="102">
        <v>1028</v>
      </c>
      <c r="R64" s="102">
        <f t="shared" si="3"/>
        <v>3</v>
      </c>
      <c r="S64" s="138">
        <v>21.0715517041914</v>
      </c>
      <c r="T64" s="102">
        <f t="shared" si="4"/>
        <v>2</v>
      </c>
      <c r="U64" s="139">
        <v>1.39220129651278E-2</v>
      </c>
      <c r="V64" s="102">
        <f t="shared" si="5"/>
        <v>2</v>
      </c>
      <c r="W64" s="124">
        <v>0</v>
      </c>
      <c r="X64" s="102">
        <f t="shared" si="6"/>
        <v>2</v>
      </c>
      <c r="Y64" s="109">
        <v>85</v>
      </c>
      <c r="Z64" s="102">
        <f t="shared" si="7"/>
        <v>3</v>
      </c>
      <c r="AA64" s="125">
        <f t="shared" si="8"/>
        <v>46.2</v>
      </c>
      <c r="AB64" s="126" t="s">
        <v>580</v>
      </c>
      <c r="AC64" s="126">
        <v>1</v>
      </c>
      <c r="AD64" s="126">
        <v>4</v>
      </c>
      <c r="AE64" s="126" t="s">
        <v>582</v>
      </c>
      <c r="AF64" s="126">
        <v>4</v>
      </c>
      <c r="AG64" s="127">
        <f t="shared" si="9"/>
        <v>9</v>
      </c>
      <c r="AH64" s="128">
        <f t="shared" si="10"/>
        <v>58.6</v>
      </c>
      <c r="AI64" s="108">
        <v>2033</v>
      </c>
      <c r="AJ64" s="108" t="str">
        <f t="shared" si="11"/>
        <v>early adopter</v>
      </c>
    </row>
    <row r="65" spans="1:36">
      <c r="A65" s="102" t="s">
        <v>329</v>
      </c>
      <c r="B65" s="120" t="s">
        <v>328</v>
      </c>
      <c r="C65" s="120" t="s">
        <v>79</v>
      </c>
      <c r="D65" s="102" t="s">
        <v>87</v>
      </c>
      <c r="E65" s="109">
        <v>1</v>
      </c>
      <c r="F65" s="102">
        <v>1987</v>
      </c>
      <c r="G65" s="102">
        <v>1974</v>
      </c>
      <c r="H65" s="102">
        <v>2006</v>
      </c>
      <c r="I65" s="102" t="s">
        <v>566</v>
      </c>
      <c r="J65" s="102">
        <v>2010</v>
      </c>
      <c r="K65" s="102">
        <f t="shared" si="14"/>
        <v>4</v>
      </c>
      <c r="L65" s="102">
        <f t="shared" si="14"/>
        <v>4</v>
      </c>
      <c r="M65" s="102">
        <f t="shared" si="14"/>
        <v>4</v>
      </c>
      <c r="N65" s="102">
        <f t="shared" si="14"/>
        <v>1</v>
      </c>
      <c r="O65" s="102">
        <f t="shared" si="14"/>
        <v>4</v>
      </c>
      <c r="P65" s="121">
        <f t="shared" si="2"/>
        <v>3.4</v>
      </c>
      <c r="Q65" s="102">
        <v>84</v>
      </c>
      <c r="R65" s="102">
        <f t="shared" si="3"/>
        <v>3</v>
      </c>
      <c r="S65" s="138">
        <v>0.47616505150249899</v>
      </c>
      <c r="T65" s="102">
        <f t="shared" si="4"/>
        <v>1</v>
      </c>
      <c r="U65" s="139">
        <v>2.5405033780743401E-2</v>
      </c>
      <c r="V65" s="102">
        <f t="shared" si="5"/>
        <v>2</v>
      </c>
      <c r="W65" s="124">
        <v>0</v>
      </c>
      <c r="X65" s="102">
        <f t="shared" si="6"/>
        <v>2</v>
      </c>
      <c r="Y65" s="109">
        <v>82</v>
      </c>
      <c r="Z65" s="102">
        <f t="shared" si="7"/>
        <v>4</v>
      </c>
      <c r="AA65" s="125">
        <f t="shared" si="8"/>
        <v>46.2</v>
      </c>
      <c r="AB65" s="126" t="s">
        <v>580</v>
      </c>
      <c r="AC65" s="126">
        <v>1</v>
      </c>
      <c r="AD65" s="126">
        <v>4</v>
      </c>
      <c r="AE65" s="126">
        <v>100</v>
      </c>
      <c r="AF65" s="102">
        <f>IF(AND(AE65&gt;=AE$200,AE65&lt;AE$201),1,IF(AND(AE65&gt;=AE$201,AE65&lt;AE$202),2,IF(AND(AE65&gt;=AE$202,AE65&lt;AE$203),3,IF(AND(AE65&gt;=AE$203,AE65&lt;=AE$204),4,"empty"))))</f>
        <v>4</v>
      </c>
      <c r="AG65" s="127">
        <f t="shared" si="9"/>
        <v>9</v>
      </c>
      <c r="AH65" s="128">
        <f t="shared" si="10"/>
        <v>58.6</v>
      </c>
      <c r="AI65" s="108">
        <v>2033</v>
      </c>
      <c r="AJ65" s="108" t="str">
        <f t="shared" si="11"/>
        <v>early adopter</v>
      </c>
    </row>
    <row r="66" spans="1:36">
      <c r="A66" s="102" t="s">
        <v>431</v>
      </c>
      <c r="B66" s="120" t="s">
        <v>430</v>
      </c>
      <c r="C66" s="120" t="s">
        <v>83</v>
      </c>
      <c r="D66" s="102" t="s">
        <v>75</v>
      </c>
      <c r="E66" s="109">
        <v>3</v>
      </c>
      <c r="F66" s="102">
        <v>2019</v>
      </c>
      <c r="G66" s="102">
        <v>2018</v>
      </c>
      <c r="H66" s="102">
        <v>2014</v>
      </c>
      <c r="I66" s="102">
        <v>2014</v>
      </c>
      <c r="J66" s="102">
        <v>2022</v>
      </c>
      <c r="K66" s="102">
        <f t="shared" si="14"/>
        <v>1</v>
      </c>
      <c r="L66" s="102">
        <f t="shared" si="14"/>
        <v>1</v>
      </c>
      <c r="M66" s="102">
        <f t="shared" si="14"/>
        <v>2</v>
      </c>
      <c r="N66" s="102">
        <f t="shared" si="14"/>
        <v>2</v>
      </c>
      <c r="O66" s="102">
        <f t="shared" si="14"/>
        <v>1</v>
      </c>
      <c r="P66" s="121">
        <f t="shared" si="2"/>
        <v>1.4</v>
      </c>
      <c r="Q66" s="102">
        <v>151</v>
      </c>
      <c r="R66" s="102">
        <f t="shared" si="3"/>
        <v>3</v>
      </c>
      <c r="S66" s="138">
        <v>183.25216850755999</v>
      </c>
      <c r="T66" s="102">
        <f t="shared" si="4"/>
        <v>3</v>
      </c>
      <c r="U66" s="139">
        <v>59.560187168346701</v>
      </c>
      <c r="V66" s="102">
        <f t="shared" si="5"/>
        <v>3</v>
      </c>
      <c r="W66" s="124">
        <v>225.44</v>
      </c>
      <c r="X66" s="102">
        <f t="shared" si="6"/>
        <v>4</v>
      </c>
      <c r="Y66" s="109">
        <v>91</v>
      </c>
      <c r="Z66" s="102">
        <f t="shared" si="7"/>
        <v>3</v>
      </c>
      <c r="AA66" s="125">
        <f t="shared" si="8"/>
        <v>52.199999999999996</v>
      </c>
      <c r="AB66" s="126" t="s">
        <v>583</v>
      </c>
      <c r="AC66" s="126">
        <v>3</v>
      </c>
      <c r="AD66" s="126">
        <v>1</v>
      </c>
      <c r="AE66" s="126">
        <v>9.4075068648250557</v>
      </c>
      <c r="AF66" s="102">
        <f>IF(AND(AE66&gt;=AE$200,AE66&lt;AE$201),1,IF(AND(AE66&gt;=AE$201,AE66&lt;AE$202),2,IF(AND(AE66&gt;=AE$202,AE66&lt;AE$203),3,IF(AND(AE66&gt;=AE$203,AE66&lt;=AE$204),4,"empty"))))</f>
        <v>1</v>
      </c>
      <c r="AG66" s="127">
        <f t="shared" si="9"/>
        <v>5</v>
      </c>
      <c r="AH66" s="128">
        <f t="shared" si="10"/>
        <v>58.599999999999994</v>
      </c>
      <c r="AI66" s="108">
        <v>2033</v>
      </c>
      <c r="AJ66" s="108" t="str">
        <f t="shared" si="11"/>
        <v>early adopter</v>
      </c>
    </row>
    <row r="67" spans="1:36">
      <c r="A67" s="102" t="s">
        <v>301</v>
      </c>
      <c r="B67" s="120" t="s">
        <v>300</v>
      </c>
      <c r="C67" s="120" t="s">
        <v>83</v>
      </c>
      <c r="D67" s="102" t="s">
        <v>84</v>
      </c>
      <c r="E67" s="109">
        <v>3</v>
      </c>
      <c r="F67" s="102">
        <v>2021</v>
      </c>
      <c r="G67" s="102">
        <v>2018</v>
      </c>
      <c r="H67" s="102">
        <v>2013</v>
      </c>
      <c r="I67" s="102">
        <v>2014</v>
      </c>
      <c r="J67" s="102">
        <v>2021</v>
      </c>
      <c r="K67" s="102">
        <f t="shared" si="14"/>
        <v>1</v>
      </c>
      <c r="L67" s="102">
        <f t="shared" si="14"/>
        <v>1</v>
      </c>
      <c r="M67" s="102">
        <f t="shared" si="14"/>
        <v>2</v>
      </c>
      <c r="N67" s="102">
        <f t="shared" si="14"/>
        <v>2</v>
      </c>
      <c r="O67" s="102">
        <f t="shared" si="14"/>
        <v>1</v>
      </c>
      <c r="P67" s="121">
        <f t="shared" si="2"/>
        <v>1.4</v>
      </c>
      <c r="Q67" s="102">
        <v>161</v>
      </c>
      <c r="R67" s="102">
        <f t="shared" si="3"/>
        <v>3</v>
      </c>
      <c r="S67" s="138">
        <v>201.21360435497999</v>
      </c>
      <c r="T67" s="102">
        <f t="shared" si="4"/>
        <v>3</v>
      </c>
      <c r="U67" s="139">
        <v>47.6940044229123</v>
      </c>
      <c r="V67" s="102">
        <f t="shared" si="5"/>
        <v>3</v>
      </c>
      <c r="W67" s="124">
        <v>111.68</v>
      </c>
      <c r="X67" s="102">
        <f t="shared" si="6"/>
        <v>3</v>
      </c>
      <c r="Y67" s="109">
        <v>78</v>
      </c>
      <c r="Z67" s="102">
        <f t="shared" si="7"/>
        <v>4</v>
      </c>
      <c r="AA67" s="125">
        <f t="shared" si="8"/>
        <v>52.199999999999996</v>
      </c>
      <c r="AB67" s="126" t="s">
        <v>584</v>
      </c>
      <c r="AC67" s="109">
        <v>2</v>
      </c>
      <c r="AD67" s="126">
        <v>2</v>
      </c>
      <c r="AE67" s="126">
        <v>11.971649574256254</v>
      </c>
      <c r="AF67" s="102">
        <f>IF(AND(AE67&gt;=AE$200,AE67&lt;AE$201),1,IF(AND(AE67&gt;=AE$201,AE67&lt;AE$202),2,IF(AND(AE67&gt;=AE$202,AE67&lt;AE$203),3,IF(AND(AE67&gt;=AE$203,AE67&lt;=AE$204),4,"empty"))))</f>
        <v>1</v>
      </c>
      <c r="AG67" s="127">
        <f t="shared" si="9"/>
        <v>5</v>
      </c>
      <c r="AH67" s="128">
        <f t="shared" si="10"/>
        <v>58.599999999999994</v>
      </c>
      <c r="AI67" s="108">
        <v>2033</v>
      </c>
      <c r="AJ67" s="108" t="str">
        <f t="shared" si="11"/>
        <v>early adopter</v>
      </c>
    </row>
    <row r="68" spans="1:36">
      <c r="A68" s="102" t="s">
        <v>211</v>
      </c>
      <c r="B68" s="120" t="s">
        <v>210</v>
      </c>
      <c r="C68" s="120" t="s">
        <v>79</v>
      </c>
      <c r="D68" s="102" t="s">
        <v>80</v>
      </c>
      <c r="E68" s="109">
        <v>1</v>
      </c>
      <c r="F68" s="102">
        <v>1986</v>
      </c>
      <c r="G68" s="102">
        <v>2004</v>
      </c>
      <c r="H68" s="102">
        <v>2014</v>
      </c>
      <c r="I68" s="102">
        <v>2013</v>
      </c>
      <c r="J68" s="102">
        <v>2019</v>
      </c>
      <c r="K68" s="102">
        <f t="shared" ref="K68:O99" si="17">IF(AND(F68&gt;=F$200,F68&lt;F$201),4,IF(AND(F68&gt;=F$201,F68&lt;F$202),3,IF(AND(F68&gt;=F$202,F68&lt;F$203),2,IF(AND(F68&gt;=F$203,F68&lt;=F$204),1,1))))</f>
        <v>4</v>
      </c>
      <c r="L68" s="102">
        <f t="shared" si="17"/>
        <v>2</v>
      </c>
      <c r="M68" s="102">
        <f t="shared" si="17"/>
        <v>2</v>
      </c>
      <c r="N68" s="102">
        <f t="shared" si="17"/>
        <v>3</v>
      </c>
      <c r="O68" s="102">
        <f t="shared" si="17"/>
        <v>2</v>
      </c>
      <c r="P68" s="121">
        <f t="shared" ref="P68:P131" si="18">AVERAGE(K68:O68)</f>
        <v>2.6</v>
      </c>
      <c r="Q68" s="102">
        <v>3920</v>
      </c>
      <c r="R68" s="102">
        <f t="shared" ref="R68:R131" si="19">IF(AND(Q68&gt;=Q$200,Q68&lt;Q$201),1,IF(AND(Q68&gt;=Q$201,Q68&lt;Q$202),2,IF(AND(Q68&gt;=Q$202,Q68&lt;Q$203),3,IF(AND(Q68&gt;=Q$203,Q68&lt;=Q$204),4,"empty"))))</f>
        <v>4</v>
      </c>
      <c r="S68" s="138">
        <v>211.38164561823501</v>
      </c>
      <c r="T68" s="102">
        <f t="shared" ref="T68:T131" si="20">IF(AND(S68&gt;=S$200,S68&lt;S$201),1,IF(AND(S68&gt;=S$201,S68&lt;S$202),2,IF(AND(S68&gt;=S$202,S68&lt;S$203),3,IF(AND(S68&gt;=S$203,S68&lt;=S$204),4,"empty"))))</f>
        <v>3</v>
      </c>
      <c r="U68" s="139">
        <v>6.4356226391519703E-3</v>
      </c>
      <c r="V68" s="102">
        <f t="shared" ref="V68:V131" si="21">IF(AND(U68&gt;=U$200,U68&lt;U$201),1,IF(AND(U68&gt;=U$201,U68&lt;U$202),2,IF(AND(U68&gt;=U$202,U68&lt;U$203),3,IF(AND(U68&gt;=U$203,U68&lt;=U$204),4,"empty"))))</f>
        <v>1</v>
      </c>
      <c r="W68" s="124">
        <v>0</v>
      </c>
      <c r="X68" s="102">
        <f t="shared" ref="X68:X83" si="22">IF(AND(W68&gt;=W$200,W68&lt;W$201),1,IF(AND(W68&gt;=W$201,W68&lt;W$202),2,IF(AND(W68&gt;=W$202,W68&lt;W$203),3,IF(AND(W68&gt;=W$203,W68&lt;=W$204),4,"empty"))))</f>
        <v>2</v>
      </c>
      <c r="Y68" s="109">
        <v>73</v>
      </c>
      <c r="Z68" s="102">
        <f t="shared" ref="Z68:Z131" si="23">IF(AND(Y68&gt;=Y$200,Y68&lt;Y$201),4,IF(AND(Y68&gt;=Y$201,Y68&lt;Y$202),3,IF(AND(Y68&gt;=Y$202,Y68&lt;Y$203),2,IF(AND(Y68&gt;=Y$203,Y68&lt;=Y$204),1,"empty"))))</f>
        <v>4</v>
      </c>
      <c r="AA68" s="125">
        <f t="shared" ref="AA68:AA131" si="24">(V68+T68+R68+P68+X68+Z68)*$AA$2</f>
        <v>49.800000000000004</v>
      </c>
      <c r="AB68" s="126" t="s">
        <v>581</v>
      </c>
      <c r="AC68" s="126">
        <v>1</v>
      </c>
      <c r="AD68" s="126">
        <v>3</v>
      </c>
      <c r="AE68" s="126">
        <v>91.141000985916037</v>
      </c>
      <c r="AF68" s="102">
        <f>IF(AND(AE68&gt;=AE$200,AE68&lt;AE$201),1,IF(AND(AE68&gt;=AE$201,AE68&lt;AE$202),2,IF(AND(AE68&gt;=AE$202,AE68&lt;AE$203),3,IF(AND(AE68&gt;=AE$203,AE68&lt;=AE$204),4,"empty"))))</f>
        <v>2</v>
      </c>
      <c r="AG68" s="127">
        <f t="shared" ref="AG68:AG131" si="25">SUM(AF68,AD68,AC68)</f>
        <v>6</v>
      </c>
      <c r="AH68" s="128">
        <f t="shared" ref="AH68:AH131" si="26">AA68+P68+AG68</f>
        <v>58.400000000000006</v>
      </c>
      <c r="AI68" s="108">
        <v>2034</v>
      </c>
      <c r="AJ68" s="108" t="str">
        <f t="shared" ref="AJ68:AJ131" si="27">IF(AI68&lt;2034,"early adopter",IF(AI68&gt;2037,"late adopter","mid adopter"))</f>
        <v>mid adopter</v>
      </c>
    </row>
    <row r="69" spans="1:36">
      <c r="A69" s="102" t="s">
        <v>469</v>
      </c>
      <c r="B69" s="120" t="s">
        <v>468</v>
      </c>
      <c r="C69" s="120" t="s">
        <v>83</v>
      </c>
      <c r="D69" s="102" t="s">
        <v>84</v>
      </c>
      <c r="E69" s="109">
        <v>3</v>
      </c>
      <c r="F69" s="102">
        <v>2015</v>
      </c>
      <c r="G69" s="102">
        <v>2015</v>
      </c>
      <c r="H69" s="102">
        <v>2012</v>
      </c>
      <c r="I69" s="102">
        <v>2014</v>
      </c>
      <c r="J69" s="102">
        <v>2018</v>
      </c>
      <c r="K69" s="102">
        <f t="shared" si="17"/>
        <v>1</v>
      </c>
      <c r="L69" s="102">
        <f t="shared" si="17"/>
        <v>1</v>
      </c>
      <c r="M69" s="102">
        <f t="shared" si="17"/>
        <v>2</v>
      </c>
      <c r="N69" s="102">
        <f t="shared" si="17"/>
        <v>2</v>
      </c>
      <c r="O69" s="102">
        <f t="shared" si="17"/>
        <v>2</v>
      </c>
      <c r="P69" s="121">
        <f t="shared" si="18"/>
        <v>1.6</v>
      </c>
      <c r="Q69" s="102">
        <v>3</v>
      </c>
      <c r="R69" s="102">
        <f t="shared" si="19"/>
        <v>2</v>
      </c>
      <c r="S69" s="138">
        <v>247.04345556733099</v>
      </c>
      <c r="T69" s="102">
        <f t="shared" si="20"/>
        <v>4</v>
      </c>
      <c r="U69" s="139">
        <v>413.07232650517801</v>
      </c>
      <c r="V69" s="102">
        <f t="shared" si="21"/>
        <v>4</v>
      </c>
      <c r="W69" s="124">
        <v>424.84</v>
      </c>
      <c r="X69" s="102">
        <f t="shared" si="22"/>
        <v>4</v>
      </c>
      <c r="Y69" s="109">
        <v>94</v>
      </c>
      <c r="Z69" s="102">
        <f t="shared" si="23"/>
        <v>2</v>
      </c>
      <c r="AA69" s="125">
        <f t="shared" si="24"/>
        <v>52.800000000000004</v>
      </c>
      <c r="AB69" s="126" t="s">
        <v>581</v>
      </c>
      <c r="AC69" s="126">
        <v>1</v>
      </c>
      <c r="AD69" s="126">
        <v>2</v>
      </c>
      <c r="AE69" s="126">
        <v>4.1254960214257883</v>
      </c>
      <c r="AF69" s="102">
        <f>IF(AND(AE69&gt;=AE$200,AE69&lt;AE$201),1,IF(AND(AE69&gt;=AE$201,AE69&lt;AE$202),2,IF(AND(AE69&gt;=AE$202,AE69&lt;AE$203),3,IF(AND(AE69&gt;=AE$203,AE69&lt;=AE$204),4,"empty"))))</f>
        <v>1</v>
      </c>
      <c r="AG69" s="127">
        <f t="shared" si="25"/>
        <v>4</v>
      </c>
      <c r="AH69" s="128">
        <f t="shared" si="26"/>
        <v>58.400000000000006</v>
      </c>
      <c r="AI69" s="108">
        <v>2034</v>
      </c>
      <c r="AJ69" s="108" t="str">
        <f t="shared" si="27"/>
        <v>mid adopter</v>
      </c>
    </row>
    <row r="70" spans="1:36">
      <c r="A70" s="102" t="s">
        <v>174</v>
      </c>
      <c r="B70" s="120" t="s">
        <v>173</v>
      </c>
      <c r="C70" s="120" t="s">
        <v>79</v>
      </c>
      <c r="D70" s="102" t="s">
        <v>87</v>
      </c>
      <c r="E70" s="109">
        <v>1</v>
      </c>
      <c r="F70" s="102">
        <v>1975</v>
      </c>
      <c r="G70" s="102">
        <v>1982</v>
      </c>
      <c r="H70" s="102" t="s">
        <v>566</v>
      </c>
      <c r="I70" s="102" t="s">
        <v>566</v>
      </c>
      <c r="J70" s="102">
        <v>2012</v>
      </c>
      <c r="K70" s="102">
        <f t="shared" si="17"/>
        <v>4</v>
      </c>
      <c r="L70" s="102">
        <f t="shared" si="17"/>
        <v>4</v>
      </c>
      <c r="M70" s="102">
        <f t="shared" si="17"/>
        <v>1</v>
      </c>
      <c r="N70" s="102">
        <f t="shared" si="17"/>
        <v>1</v>
      </c>
      <c r="O70" s="102">
        <f t="shared" si="17"/>
        <v>3</v>
      </c>
      <c r="P70" s="121">
        <f t="shared" si="18"/>
        <v>2.6</v>
      </c>
      <c r="Q70" s="102">
        <v>577</v>
      </c>
      <c r="R70" s="102">
        <f t="shared" si="19"/>
        <v>3</v>
      </c>
      <c r="S70" s="138">
        <v>10.5528160550551</v>
      </c>
      <c r="T70" s="102">
        <f t="shared" si="20"/>
        <v>2</v>
      </c>
      <c r="U70" s="139">
        <v>8.9897569546069402E-3</v>
      </c>
      <c r="V70" s="102">
        <f t="shared" si="21"/>
        <v>2</v>
      </c>
      <c r="W70" s="124">
        <v>2.4386000000000001</v>
      </c>
      <c r="X70" s="102">
        <f t="shared" si="22"/>
        <v>3</v>
      </c>
      <c r="Y70" s="109">
        <v>92</v>
      </c>
      <c r="Z70" s="102">
        <f t="shared" si="23"/>
        <v>3</v>
      </c>
      <c r="AA70" s="125">
        <f t="shared" si="24"/>
        <v>46.8</v>
      </c>
      <c r="AB70" s="126" t="s">
        <v>580</v>
      </c>
      <c r="AC70" s="126">
        <v>1</v>
      </c>
      <c r="AD70" s="126">
        <v>4</v>
      </c>
      <c r="AE70" s="126" t="s">
        <v>582</v>
      </c>
      <c r="AF70" s="126">
        <v>4</v>
      </c>
      <c r="AG70" s="127">
        <f t="shared" si="25"/>
        <v>9</v>
      </c>
      <c r="AH70" s="128">
        <f t="shared" si="26"/>
        <v>58.4</v>
      </c>
      <c r="AI70" s="108">
        <v>2034</v>
      </c>
      <c r="AJ70" s="108" t="str">
        <f t="shared" si="27"/>
        <v>mid adopter</v>
      </c>
    </row>
    <row r="71" spans="1:36">
      <c r="A71" s="102" t="s">
        <v>273</v>
      </c>
      <c r="B71" s="120" t="s">
        <v>272</v>
      </c>
      <c r="C71" s="120" t="s">
        <v>74</v>
      </c>
      <c r="D71" s="102" t="s">
        <v>80</v>
      </c>
      <c r="E71" s="109">
        <v>2</v>
      </c>
      <c r="F71" s="102">
        <v>1995</v>
      </c>
      <c r="G71" s="102">
        <v>1995</v>
      </c>
      <c r="H71" s="102">
        <v>2015</v>
      </c>
      <c r="I71" s="102" t="s">
        <v>566</v>
      </c>
      <c r="J71" s="102" t="s">
        <v>566</v>
      </c>
      <c r="K71" s="102">
        <f t="shared" si="17"/>
        <v>3</v>
      </c>
      <c r="L71" s="102">
        <f t="shared" si="17"/>
        <v>3</v>
      </c>
      <c r="M71" s="102">
        <f t="shared" si="17"/>
        <v>1</v>
      </c>
      <c r="N71" s="102">
        <f t="shared" si="17"/>
        <v>1</v>
      </c>
      <c r="O71" s="102">
        <f t="shared" si="17"/>
        <v>1</v>
      </c>
      <c r="P71" s="121">
        <f t="shared" si="18"/>
        <v>1.8</v>
      </c>
      <c r="Q71" s="102">
        <v>1046</v>
      </c>
      <c r="R71" s="102">
        <f t="shared" si="19"/>
        <v>4</v>
      </c>
      <c r="S71" s="138">
        <v>420.21332039730299</v>
      </c>
      <c r="T71" s="102">
        <f t="shared" si="20"/>
        <v>4</v>
      </c>
      <c r="U71" s="139">
        <v>16.7376045459784</v>
      </c>
      <c r="V71" s="102">
        <f t="shared" si="21"/>
        <v>3</v>
      </c>
      <c r="W71" s="124">
        <v>0</v>
      </c>
      <c r="X71" s="102">
        <f t="shared" si="22"/>
        <v>2</v>
      </c>
      <c r="Y71" s="109">
        <v>96</v>
      </c>
      <c r="Z71" s="102">
        <f t="shared" si="23"/>
        <v>2</v>
      </c>
      <c r="AA71" s="125">
        <f t="shared" si="24"/>
        <v>50.400000000000006</v>
      </c>
      <c r="AB71" s="126" t="s">
        <v>580</v>
      </c>
      <c r="AC71" s="126">
        <v>1</v>
      </c>
      <c r="AD71" s="126">
        <v>3</v>
      </c>
      <c r="AE71" s="126">
        <v>52.434782608695606</v>
      </c>
      <c r="AF71" s="102">
        <f>IF(AND(AE71&gt;=AE$200,AE71&lt;AE$201),1,IF(AND(AE71&gt;=AE$201,AE71&lt;AE$202),2,IF(AND(AE71&gt;=AE$202,AE71&lt;AE$203),3,IF(AND(AE71&gt;=AE$203,AE71&lt;=AE$204),4,"empty"))))</f>
        <v>2</v>
      </c>
      <c r="AG71" s="127">
        <f t="shared" si="25"/>
        <v>6</v>
      </c>
      <c r="AH71" s="128">
        <f t="shared" si="26"/>
        <v>58.2</v>
      </c>
      <c r="AI71" s="108">
        <v>2034</v>
      </c>
      <c r="AJ71" s="108" t="str">
        <f t="shared" si="27"/>
        <v>mid adopter</v>
      </c>
    </row>
    <row r="72" spans="1:36">
      <c r="A72" s="102" t="s">
        <v>427</v>
      </c>
      <c r="B72" s="120" t="s">
        <v>426</v>
      </c>
      <c r="C72" s="120" t="s">
        <v>110</v>
      </c>
      <c r="D72" s="102" t="s">
        <v>80</v>
      </c>
      <c r="E72" s="109">
        <v>1</v>
      </c>
      <c r="F72" s="102">
        <v>1996</v>
      </c>
      <c r="G72" s="102">
        <v>1997</v>
      </c>
      <c r="H72" s="102" t="s">
        <v>566</v>
      </c>
      <c r="I72" s="102">
        <v>2020</v>
      </c>
      <c r="J72" s="102">
        <v>2017</v>
      </c>
      <c r="K72" s="102">
        <f t="shared" si="17"/>
        <v>3</v>
      </c>
      <c r="L72" s="102">
        <f t="shared" si="17"/>
        <v>3</v>
      </c>
      <c r="M72" s="102">
        <f t="shared" si="17"/>
        <v>1</v>
      </c>
      <c r="N72" s="102">
        <f t="shared" si="17"/>
        <v>1</v>
      </c>
      <c r="O72" s="102">
        <f t="shared" si="17"/>
        <v>2</v>
      </c>
      <c r="P72" s="121">
        <f t="shared" si="18"/>
        <v>2</v>
      </c>
      <c r="Q72" s="102">
        <v>5373</v>
      </c>
      <c r="R72" s="102">
        <f t="shared" si="19"/>
        <v>4</v>
      </c>
      <c r="S72" s="138">
        <v>139.653964100374</v>
      </c>
      <c r="T72" s="102">
        <f t="shared" si="20"/>
        <v>3</v>
      </c>
      <c r="U72" s="139">
        <v>104.294369228336</v>
      </c>
      <c r="V72" s="102">
        <f t="shared" si="21"/>
        <v>3</v>
      </c>
      <c r="W72" s="124">
        <v>11.2</v>
      </c>
      <c r="X72" s="102">
        <f t="shared" si="22"/>
        <v>3</v>
      </c>
      <c r="Y72" s="109">
        <v>98</v>
      </c>
      <c r="Z72" s="102">
        <f t="shared" si="23"/>
        <v>1</v>
      </c>
      <c r="AA72" s="125">
        <f t="shared" si="24"/>
        <v>48</v>
      </c>
      <c r="AB72" s="126" t="s">
        <v>580</v>
      </c>
      <c r="AC72" s="126">
        <v>1</v>
      </c>
      <c r="AD72" s="126">
        <v>3</v>
      </c>
      <c r="AE72" s="126">
        <v>100</v>
      </c>
      <c r="AF72" s="102">
        <f>IF(AND(AE72&gt;=AE$200,AE72&lt;AE$201),1,IF(AND(AE72&gt;=AE$201,AE72&lt;AE$202),2,IF(AND(AE72&gt;=AE$202,AE72&lt;AE$203),3,IF(AND(AE72&gt;=AE$203,AE72&lt;=AE$204),4,"empty"))))</f>
        <v>4</v>
      </c>
      <c r="AG72" s="127">
        <f t="shared" si="25"/>
        <v>8</v>
      </c>
      <c r="AH72" s="128">
        <f t="shared" si="26"/>
        <v>58</v>
      </c>
      <c r="AI72" s="108">
        <v>2034</v>
      </c>
      <c r="AJ72" s="108" t="str">
        <f t="shared" si="27"/>
        <v>mid adopter</v>
      </c>
    </row>
    <row r="73" spans="1:36">
      <c r="A73" s="102" t="s">
        <v>205</v>
      </c>
      <c r="B73" s="120" t="s">
        <v>204</v>
      </c>
      <c r="C73" s="120" t="s">
        <v>79</v>
      </c>
      <c r="D73" s="102" t="s">
        <v>87</v>
      </c>
      <c r="E73" s="109">
        <v>1</v>
      </c>
      <c r="F73" s="102">
        <v>1996</v>
      </c>
      <c r="G73" s="102">
        <v>1970</v>
      </c>
      <c r="H73" s="102">
        <v>2006</v>
      </c>
      <c r="I73" s="102" t="s">
        <v>566</v>
      </c>
      <c r="J73" s="102">
        <v>2006</v>
      </c>
      <c r="K73" s="102">
        <f t="shared" si="17"/>
        <v>3</v>
      </c>
      <c r="L73" s="102">
        <f t="shared" si="17"/>
        <v>4</v>
      </c>
      <c r="M73" s="102">
        <f t="shared" si="17"/>
        <v>4</v>
      </c>
      <c r="N73" s="102">
        <f t="shared" si="17"/>
        <v>1</v>
      </c>
      <c r="O73" s="102">
        <f t="shared" si="17"/>
        <v>4</v>
      </c>
      <c r="P73" s="121">
        <f t="shared" si="18"/>
        <v>3.2</v>
      </c>
      <c r="Q73" s="102">
        <v>2637</v>
      </c>
      <c r="R73" s="102">
        <f t="shared" si="19"/>
        <v>4</v>
      </c>
      <c r="S73" s="138">
        <v>6.1327627747474001</v>
      </c>
      <c r="T73" s="102">
        <f t="shared" si="20"/>
        <v>2</v>
      </c>
      <c r="U73" s="139">
        <v>0.19215692334357101</v>
      </c>
      <c r="V73" s="102">
        <f t="shared" si="21"/>
        <v>2</v>
      </c>
      <c r="W73" s="124">
        <v>0</v>
      </c>
      <c r="X73" s="102">
        <f t="shared" si="22"/>
        <v>2</v>
      </c>
      <c r="Y73" s="109">
        <v>96</v>
      </c>
      <c r="Z73" s="102">
        <f t="shared" si="23"/>
        <v>2</v>
      </c>
      <c r="AA73" s="125">
        <f t="shared" si="24"/>
        <v>45.599999999999994</v>
      </c>
      <c r="AB73" s="126" t="s">
        <v>580</v>
      </c>
      <c r="AC73" s="126">
        <v>1</v>
      </c>
      <c r="AD73" s="126">
        <v>4</v>
      </c>
      <c r="AE73" s="126" t="s">
        <v>582</v>
      </c>
      <c r="AF73" s="126">
        <v>4</v>
      </c>
      <c r="AG73" s="127">
        <f t="shared" si="25"/>
        <v>9</v>
      </c>
      <c r="AH73" s="128">
        <f t="shared" si="26"/>
        <v>57.8</v>
      </c>
      <c r="AI73" s="108">
        <v>2034</v>
      </c>
      <c r="AJ73" s="108" t="str">
        <f t="shared" si="27"/>
        <v>mid adopter</v>
      </c>
    </row>
    <row r="74" spans="1:36">
      <c r="A74" s="102" t="s">
        <v>419</v>
      </c>
      <c r="B74" s="120" t="s">
        <v>418</v>
      </c>
      <c r="C74" s="120" t="s">
        <v>79</v>
      </c>
      <c r="D74" s="102" t="s">
        <v>87</v>
      </c>
      <c r="E74" s="109">
        <v>1</v>
      </c>
      <c r="F74" s="102">
        <v>1996</v>
      </c>
      <c r="G74" s="102">
        <v>1973</v>
      </c>
      <c r="H74" s="102">
        <v>2006</v>
      </c>
      <c r="I74" s="102" t="s">
        <v>566</v>
      </c>
      <c r="J74" s="102">
        <v>2006</v>
      </c>
      <c r="K74" s="102">
        <f t="shared" si="17"/>
        <v>3</v>
      </c>
      <c r="L74" s="102">
        <f t="shared" si="17"/>
        <v>4</v>
      </c>
      <c r="M74" s="102">
        <f t="shared" si="17"/>
        <v>4</v>
      </c>
      <c r="N74" s="102">
        <f t="shared" si="17"/>
        <v>1</v>
      </c>
      <c r="O74" s="102">
        <f t="shared" si="17"/>
        <v>4</v>
      </c>
      <c r="P74" s="121">
        <f t="shared" si="18"/>
        <v>3.2</v>
      </c>
      <c r="Q74" s="102">
        <v>229</v>
      </c>
      <c r="R74" s="102">
        <f t="shared" si="19"/>
        <v>3</v>
      </c>
      <c r="S74" s="138">
        <v>4.6822073376449396</v>
      </c>
      <c r="T74" s="102">
        <f t="shared" si="20"/>
        <v>2</v>
      </c>
      <c r="U74" s="139">
        <v>9.1920306530373606E-3</v>
      </c>
      <c r="V74" s="102">
        <f t="shared" si="21"/>
        <v>2</v>
      </c>
      <c r="W74" s="124">
        <v>0.28489999999999999</v>
      </c>
      <c r="X74" s="102">
        <f t="shared" si="22"/>
        <v>3</v>
      </c>
      <c r="Y74" s="109">
        <v>96</v>
      </c>
      <c r="Z74" s="102">
        <f t="shared" si="23"/>
        <v>2</v>
      </c>
      <c r="AA74" s="125">
        <f t="shared" si="24"/>
        <v>45.599999999999994</v>
      </c>
      <c r="AB74" s="126" t="s">
        <v>580</v>
      </c>
      <c r="AC74" s="126">
        <v>1</v>
      </c>
      <c r="AD74" s="126">
        <v>4</v>
      </c>
      <c r="AE74" s="126" t="s">
        <v>582</v>
      </c>
      <c r="AF74" s="126">
        <v>4</v>
      </c>
      <c r="AG74" s="127">
        <f t="shared" si="25"/>
        <v>9</v>
      </c>
      <c r="AH74" s="128">
        <f t="shared" si="26"/>
        <v>57.8</v>
      </c>
      <c r="AI74" s="108">
        <v>2034</v>
      </c>
      <c r="AJ74" s="108" t="str">
        <f t="shared" si="27"/>
        <v>mid adopter</v>
      </c>
    </row>
    <row r="75" spans="1:36">
      <c r="A75" s="102" t="s">
        <v>172</v>
      </c>
      <c r="B75" s="120" t="s">
        <v>171</v>
      </c>
      <c r="C75" s="120" t="s">
        <v>79</v>
      </c>
      <c r="D75" s="102" t="s">
        <v>87</v>
      </c>
      <c r="E75" s="109">
        <v>1</v>
      </c>
      <c r="F75" s="102">
        <v>1989</v>
      </c>
      <c r="G75" s="102">
        <v>1974</v>
      </c>
      <c r="H75" s="102">
        <v>2007</v>
      </c>
      <c r="I75" s="102" t="s">
        <v>566</v>
      </c>
      <c r="J75" s="102">
        <v>2016</v>
      </c>
      <c r="K75" s="102">
        <f t="shared" si="17"/>
        <v>4</v>
      </c>
      <c r="L75" s="102">
        <f t="shared" si="17"/>
        <v>4</v>
      </c>
      <c r="M75" s="102">
        <f t="shared" si="17"/>
        <v>4</v>
      </c>
      <c r="N75" s="102">
        <f t="shared" si="17"/>
        <v>1</v>
      </c>
      <c r="O75" s="102">
        <f t="shared" si="17"/>
        <v>3</v>
      </c>
      <c r="P75" s="121">
        <f t="shared" si="18"/>
        <v>3.2</v>
      </c>
      <c r="Q75" s="102">
        <v>6</v>
      </c>
      <c r="R75" s="102">
        <f t="shared" si="19"/>
        <v>2</v>
      </c>
      <c r="S75" s="138">
        <v>0.91303509583027798</v>
      </c>
      <c r="T75" s="102">
        <f t="shared" si="20"/>
        <v>2</v>
      </c>
      <c r="U75" s="139">
        <v>5.3854173067548299E-3</v>
      </c>
      <c r="V75" s="102">
        <f t="shared" si="21"/>
        <v>1</v>
      </c>
      <c r="W75" s="124">
        <v>9.3583E-3</v>
      </c>
      <c r="X75" s="102">
        <f t="shared" si="22"/>
        <v>3</v>
      </c>
      <c r="Y75" s="109">
        <v>69</v>
      </c>
      <c r="Z75" s="102">
        <f t="shared" si="23"/>
        <v>4</v>
      </c>
      <c r="AA75" s="125">
        <f t="shared" si="24"/>
        <v>45.599999999999994</v>
      </c>
      <c r="AB75" s="126" t="s">
        <v>580</v>
      </c>
      <c r="AC75" s="126">
        <v>1</v>
      </c>
      <c r="AD75" s="126">
        <v>4</v>
      </c>
      <c r="AE75" s="126">
        <v>15.397856497231452</v>
      </c>
      <c r="AF75" s="126">
        <v>4</v>
      </c>
      <c r="AG75" s="127">
        <f t="shared" si="25"/>
        <v>9</v>
      </c>
      <c r="AH75" s="128">
        <f t="shared" si="26"/>
        <v>57.8</v>
      </c>
      <c r="AI75" s="108">
        <v>2034</v>
      </c>
      <c r="AJ75" s="108" t="str">
        <f t="shared" si="27"/>
        <v>mid adopter</v>
      </c>
    </row>
    <row r="76" spans="1:36">
      <c r="A76" s="102" t="s">
        <v>317</v>
      </c>
      <c r="B76" s="120" t="s">
        <v>316</v>
      </c>
      <c r="C76" s="120" t="s">
        <v>74</v>
      </c>
      <c r="D76" s="102" t="s">
        <v>84</v>
      </c>
      <c r="E76" s="109">
        <v>3</v>
      </c>
      <c r="F76" s="102">
        <v>2014</v>
      </c>
      <c r="G76" s="102">
        <v>2003</v>
      </c>
      <c r="H76" s="102">
        <v>2010</v>
      </c>
      <c r="I76" s="102">
        <v>2010</v>
      </c>
      <c r="J76" s="102">
        <v>2021</v>
      </c>
      <c r="K76" s="102">
        <f t="shared" si="17"/>
        <v>1</v>
      </c>
      <c r="L76" s="102">
        <f t="shared" si="17"/>
        <v>2</v>
      </c>
      <c r="M76" s="102">
        <f t="shared" si="17"/>
        <v>3</v>
      </c>
      <c r="N76" s="102">
        <f t="shared" si="17"/>
        <v>4</v>
      </c>
      <c r="O76" s="102">
        <f t="shared" si="17"/>
        <v>1</v>
      </c>
      <c r="P76" s="121">
        <f t="shared" si="18"/>
        <v>2.2000000000000002</v>
      </c>
      <c r="Q76" s="102">
        <v>12</v>
      </c>
      <c r="R76" s="102">
        <f t="shared" si="19"/>
        <v>2</v>
      </c>
      <c r="S76" s="138">
        <v>330.82543080117398</v>
      </c>
      <c r="T76" s="102">
        <f t="shared" si="20"/>
        <v>4</v>
      </c>
      <c r="U76" s="139">
        <v>348.11717231953997</v>
      </c>
      <c r="V76" s="102">
        <f t="shared" si="21"/>
        <v>4</v>
      </c>
      <c r="W76" s="124">
        <v>0</v>
      </c>
      <c r="X76" s="102">
        <f t="shared" si="22"/>
        <v>2</v>
      </c>
      <c r="Y76" s="109">
        <v>96</v>
      </c>
      <c r="Z76" s="102">
        <f t="shared" si="23"/>
        <v>2</v>
      </c>
      <c r="AA76" s="125">
        <f t="shared" si="24"/>
        <v>48.599999999999994</v>
      </c>
      <c r="AB76" s="126" t="s">
        <v>580</v>
      </c>
      <c r="AC76" s="126">
        <v>1</v>
      </c>
      <c r="AD76" s="126">
        <v>2</v>
      </c>
      <c r="AE76" s="126">
        <v>100</v>
      </c>
      <c r="AF76" s="102">
        <f t="shared" ref="AF76:AF83" si="28">IF(AND(AE76&gt;=AE$200,AE76&lt;AE$201),1,IF(AND(AE76&gt;=AE$201,AE76&lt;AE$202),2,IF(AND(AE76&gt;=AE$202,AE76&lt;AE$203),3,IF(AND(AE76&gt;=AE$203,AE76&lt;=AE$204),4,"empty"))))</f>
        <v>4</v>
      </c>
      <c r="AG76" s="127">
        <f t="shared" si="25"/>
        <v>7</v>
      </c>
      <c r="AH76" s="128">
        <f t="shared" si="26"/>
        <v>57.8</v>
      </c>
      <c r="AI76" s="108">
        <v>2034</v>
      </c>
      <c r="AJ76" s="108" t="str">
        <f t="shared" si="27"/>
        <v>mid adopter</v>
      </c>
    </row>
    <row r="77" spans="1:36">
      <c r="A77" s="102" t="s">
        <v>109</v>
      </c>
      <c r="B77" s="120" t="s">
        <v>108</v>
      </c>
      <c r="C77" s="120" t="s">
        <v>110</v>
      </c>
      <c r="D77" s="102" t="s">
        <v>84</v>
      </c>
      <c r="E77" s="109" t="s">
        <v>76</v>
      </c>
      <c r="F77" s="102">
        <v>2012</v>
      </c>
      <c r="G77" s="102">
        <v>2012</v>
      </c>
      <c r="H77" s="102">
        <v>2015</v>
      </c>
      <c r="I77" s="102">
        <v>2021</v>
      </c>
      <c r="J77" s="102">
        <v>2022</v>
      </c>
      <c r="K77" s="102">
        <f t="shared" si="17"/>
        <v>1</v>
      </c>
      <c r="L77" s="102">
        <f t="shared" si="17"/>
        <v>2</v>
      </c>
      <c r="M77" s="102">
        <f t="shared" si="17"/>
        <v>1</v>
      </c>
      <c r="N77" s="102">
        <f t="shared" si="17"/>
        <v>1</v>
      </c>
      <c r="O77" s="102">
        <f t="shared" si="17"/>
        <v>1</v>
      </c>
      <c r="P77" s="121">
        <f t="shared" si="18"/>
        <v>1.2</v>
      </c>
      <c r="Q77" s="102">
        <v>5479</v>
      </c>
      <c r="R77" s="102">
        <f t="shared" si="19"/>
        <v>4</v>
      </c>
      <c r="S77" s="138">
        <v>114.31174944432701</v>
      </c>
      <c r="T77" s="102">
        <f t="shared" si="20"/>
        <v>3</v>
      </c>
      <c r="U77" s="139">
        <v>351.233123323651</v>
      </c>
      <c r="V77" s="102">
        <f t="shared" si="21"/>
        <v>4</v>
      </c>
      <c r="W77" s="124">
        <v>4755.5</v>
      </c>
      <c r="X77" s="102">
        <f t="shared" si="22"/>
        <v>4</v>
      </c>
      <c r="Y77" s="109">
        <v>98</v>
      </c>
      <c r="Z77" s="102">
        <f t="shared" si="23"/>
        <v>1</v>
      </c>
      <c r="AA77" s="125">
        <f t="shared" si="24"/>
        <v>51.599999999999994</v>
      </c>
      <c r="AB77" s="126" t="s">
        <v>581</v>
      </c>
      <c r="AC77" s="126">
        <v>1</v>
      </c>
      <c r="AD77" s="126">
        <v>2</v>
      </c>
      <c r="AE77" s="126">
        <v>27.02304526403098</v>
      </c>
      <c r="AF77" s="102">
        <f t="shared" si="28"/>
        <v>2</v>
      </c>
      <c r="AG77" s="127">
        <f t="shared" si="25"/>
        <v>5</v>
      </c>
      <c r="AH77" s="128">
        <f t="shared" si="26"/>
        <v>57.8</v>
      </c>
      <c r="AI77" s="108">
        <v>2034</v>
      </c>
      <c r="AJ77" s="108" t="str">
        <f t="shared" si="27"/>
        <v>mid adopter</v>
      </c>
    </row>
    <row r="78" spans="1:36">
      <c r="A78" s="102" t="s">
        <v>82</v>
      </c>
      <c r="B78" s="120" t="s">
        <v>81</v>
      </c>
      <c r="C78" s="120" t="s">
        <v>83</v>
      </c>
      <c r="D78" s="102" t="s">
        <v>84</v>
      </c>
      <c r="E78" s="109">
        <v>2</v>
      </c>
      <c r="F78" s="102">
        <v>1997</v>
      </c>
      <c r="G78" s="102">
        <v>2014</v>
      </c>
      <c r="H78" s="102">
        <v>2016</v>
      </c>
      <c r="I78" s="102" t="s">
        <v>566</v>
      </c>
      <c r="J78" s="102" t="s">
        <v>566</v>
      </c>
      <c r="K78" s="102">
        <f t="shared" si="17"/>
        <v>3</v>
      </c>
      <c r="L78" s="102">
        <f t="shared" si="17"/>
        <v>1</v>
      </c>
      <c r="M78" s="102">
        <f t="shared" si="17"/>
        <v>1</v>
      </c>
      <c r="N78" s="102">
        <f t="shared" si="17"/>
        <v>1</v>
      </c>
      <c r="O78" s="102">
        <f t="shared" si="17"/>
        <v>1</v>
      </c>
      <c r="P78" s="121">
        <f t="shared" si="18"/>
        <v>1.4</v>
      </c>
      <c r="Q78" s="102">
        <v>2585</v>
      </c>
      <c r="R78" s="102">
        <f t="shared" si="19"/>
        <v>4</v>
      </c>
      <c r="S78" s="138">
        <v>142.47056796290201</v>
      </c>
      <c r="T78" s="102">
        <f t="shared" si="20"/>
        <v>3</v>
      </c>
      <c r="U78" s="139">
        <v>88.4599947356201</v>
      </c>
      <c r="V78" s="102">
        <f t="shared" si="21"/>
        <v>3</v>
      </c>
      <c r="W78" s="124">
        <v>628.20000000000005</v>
      </c>
      <c r="X78" s="102">
        <f t="shared" si="22"/>
        <v>4</v>
      </c>
      <c r="Y78" s="109">
        <v>99</v>
      </c>
      <c r="Z78" s="102">
        <f t="shared" si="23"/>
        <v>1</v>
      </c>
      <c r="AA78" s="125">
        <f t="shared" si="24"/>
        <v>49.199999999999996</v>
      </c>
      <c r="AB78" s="126" t="s">
        <v>580</v>
      </c>
      <c r="AC78" s="126">
        <v>1</v>
      </c>
      <c r="AD78" s="126">
        <v>2</v>
      </c>
      <c r="AE78" s="126">
        <v>100</v>
      </c>
      <c r="AF78" s="102">
        <f t="shared" si="28"/>
        <v>4</v>
      </c>
      <c r="AG78" s="127">
        <f t="shared" si="25"/>
        <v>7</v>
      </c>
      <c r="AH78" s="128">
        <f t="shared" si="26"/>
        <v>57.599999999999994</v>
      </c>
      <c r="AI78" s="108">
        <v>2034</v>
      </c>
      <c r="AJ78" s="108" t="str">
        <f t="shared" si="27"/>
        <v>mid adopter</v>
      </c>
    </row>
    <row r="79" spans="1:36">
      <c r="A79" s="102" t="s">
        <v>146</v>
      </c>
      <c r="B79" s="120" t="s">
        <v>145</v>
      </c>
      <c r="C79" s="120" t="s">
        <v>83</v>
      </c>
      <c r="D79" s="102" t="s">
        <v>84</v>
      </c>
      <c r="E79" s="109">
        <v>2</v>
      </c>
      <c r="F79" s="102">
        <v>2010</v>
      </c>
      <c r="G79" s="102">
        <v>2010</v>
      </c>
      <c r="H79" s="102" t="s">
        <v>566</v>
      </c>
      <c r="I79" s="102" t="s">
        <v>566</v>
      </c>
      <c r="J79" s="102">
        <v>2021</v>
      </c>
      <c r="K79" s="102">
        <f t="shared" si="17"/>
        <v>2</v>
      </c>
      <c r="L79" s="102">
        <f t="shared" si="17"/>
        <v>2</v>
      </c>
      <c r="M79" s="102">
        <f t="shared" si="17"/>
        <v>1</v>
      </c>
      <c r="N79" s="102">
        <f t="shared" si="17"/>
        <v>1</v>
      </c>
      <c r="O79" s="102">
        <f t="shared" si="17"/>
        <v>1</v>
      </c>
      <c r="P79" s="121">
        <f t="shared" si="18"/>
        <v>1.4</v>
      </c>
      <c r="Q79" s="102">
        <v>1</v>
      </c>
      <c r="R79" s="102">
        <f t="shared" si="19"/>
        <v>2</v>
      </c>
      <c r="S79" s="138">
        <v>59.891403253277602</v>
      </c>
      <c r="T79" s="102">
        <f t="shared" si="20"/>
        <v>3</v>
      </c>
      <c r="U79" s="139">
        <v>1.56745069372403</v>
      </c>
      <c r="V79" s="102">
        <f t="shared" si="21"/>
        <v>3</v>
      </c>
      <c r="W79" s="124">
        <v>6.1661999999999999</v>
      </c>
      <c r="X79" s="102">
        <f t="shared" si="22"/>
        <v>3</v>
      </c>
      <c r="Y79" s="109">
        <v>70</v>
      </c>
      <c r="Z79" s="102">
        <f t="shared" si="23"/>
        <v>4</v>
      </c>
      <c r="AA79" s="125">
        <f t="shared" si="24"/>
        <v>49.199999999999996</v>
      </c>
      <c r="AB79" s="126" t="s">
        <v>580</v>
      </c>
      <c r="AC79" s="126">
        <v>1</v>
      </c>
      <c r="AD79" s="126">
        <v>2</v>
      </c>
      <c r="AE79" s="126">
        <v>100</v>
      </c>
      <c r="AF79" s="102">
        <f t="shared" si="28"/>
        <v>4</v>
      </c>
      <c r="AG79" s="127">
        <f t="shared" si="25"/>
        <v>7</v>
      </c>
      <c r="AH79" s="128">
        <f t="shared" si="26"/>
        <v>57.599999999999994</v>
      </c>
      <c r="AI79" s="108">
        <v>2034</v>
      </c>
      <c r="AJ79" s="108" t="str">
        <f t="shared" si="27"/>
        <v>mid adopter</v>
      </c>
    </row>
    <row r="80" spans="1:36">
      <c r="A80" s="102" t="s">
        <v>433</v>
      </c>
      <c r="B80" s="120" t="s">
        <v>432</v>
      </c>
      <c r="C80" s="120" t="s">
        <v>99</v>
      </c>
      <c r="D80" s="102" t="s">
        <v>80</v>
      </c>
      <c r="E80" s="109">
        <v>1</v>
      </c>
      <c r="F80" s="102">
        <v>2002</v>
      </c>
      <c r="G80" s="102">
        <v>2002</v>
      </c>
      <c r="H80" s="102">
        <v>2021</v>
      </c>
      <c r="I80" s="102">
        <v>2021</v>
      </c>
      <c r="J80" s="102">
        <v>2021</v>
      </c>
      <c r="K80" s="102">
        <f t="shared" si="17"/>
        <v>2</v>
      </c>
      <c r="L80" s="102">
        <f t="shared" si="17"/>
        <v>2</v>
      </c>
      <c r="M80" s="102">
        <f t="shared" si="17"/>
        <v>1</v>
      </c>
      <c r="N80" s="102">
        <f t="shared" si="17"/>
        <v>1</v>
      </c>
      <c r="O80" s="102">
        <f t="shared" si="17"/>
        <v>1</v>
      </c>
      <c r="P80" s="121">
        <f t="shared" si="18"/>
        <v>1.4</v>
      </c>
      <c r="Q80" s="102">
        <v>34</v>
      </c>
      <c r="R80" s="102">
        <f t="shared" si="19"/>
        <v>2</v>
      </c>
      <c r="S80" s="138">
        <v>1079.6607132751601</v>
      </c>
      <c r="T80" s="102">
        <f t="shared" si="20"/>
        <v>4</v>
      </c>
      <c r="U80" s="139">
        <v>1.4022517548601701</v>
      </c>
      <c r="V80" s="102">
        <f t="shared" si="21"/>
        <v>3</v>
      </c>
      <c r="W80" s="124">
        <v>1.6724999999999999E-8</v>
      </c>
      <c r="X80" s="102">
        <f t="shared" si="22"/>
        <v>2</v>
      </c>
      <c r="Y80" s="109">
        <v>73</v>
      </c>
      <c r="Z80" s="102">
        <f t="shared" si="23"/>
        <v>4</v>
      </c>
      <c r="AA80" s="125">
        <f t="shared" si="24"/>
        <v>49.199999999999996</v>
      </c>
      <c r="AB80" s="126" t="s">
        <v>580</v>
      </c>
      <c r="AC80" s="126">
        <v>1</v>
      </c>
      <c r="AD80" s="126">
        <v>3</v>
      </c>
      <c r="AE80" s="126">
        <v>98.901098901098862</v>
      </c>
      <c r="AF80" s="102">
        <f t="shared" si="28"/>
        <v>3</v>
      </c>
      <c r="AG80" s="127">
        <f t="shared" si="25"/>
        <v>7</v>
      </c>
      <c r="AH80" s="128">
        <f t="shared" si="26"/>
        <v>57.599999999999994</v>
      </c>
      <c r="AI80" s="108">
        <v>2034</v>
      </c>
      <c r="AJ80" s="108" t="str">
        <f t="shared" si="27"/>
        <v>mid adopter</v>
      </c>
    </row>
    <row r="81" spans="1:36">
      <c r="A81" s="102" t="s">
        <v>447</v>
      </c>
      <c r="B81" s="120" t="s">
        <v>446</v>
      </c>
      <c r="C81" s="120" t="s">
        <v>79</v>
      </c>
      <c r="D81" s="102" t="s">
        <v>84</v>
      </c>
      <c r="E81" s="109">
        <v>1</v>
      </c>
      <c r="F81" s="102">
        <v>2001</v>
      </c>
      <c r="G81" s="102">
        <v>2003</v>
      </c>
      <c r="H81" s="102" t="s">
        <v>566</v>
      </c>
      <c r="I81" s="102" t="s">
        <v>566</v>
      </c>
      <c r="J81" s="102" t="s">
        <v>566</v>
      </c>
      <c r="K81" s="102">
        <f t="shared" si="17"/>
        <v>2</v>
      </c>
      <c r="L81" s="102">
        <f t="shared" si="17"/>
        <v>2</v>
      </c>
      <c r="M81" s="102">
        <f t="shared" si="17"/>
        <v>1</v>
      </c>
      <c r="N81" s="102">
        <f t="shared" si="17"/>
        <v>1</v>
      </c>
      <c r="O81" s="102">
        <f t="shared" si="17"/>
        <v>1</v>
      </c>
      <c r="P81" s="121">
        <f t="shared" si="18"/>
        <v>1.4</v>
      </c>
      <c r="Q81" s="102">
        <v>57332</v>
      </c>
      <c r="R81" s="102">
        <f t="shared" si="19"/>
        <v>4</v>
      </c>
      <c r="S81" s="138">
        <v>246.32856890845599</v>
      </c>
      <c r="T81" s="102">
        <f t="shared" si="20"/>
        <v>3</v>
      </c>
      <c r="U81" s="139">
        <v>9.6663395404563701E-2</v>
      </c>
      <c r="V81" s="102">
        <f t="shared" si="21"/>
        <v>2</v>
      </c>
      <c r="W81" s="124">
        <v>0</v>
      </c>
      <c r="X81" s="102">
        <f t="shared" si="22"/>
        <v>2</v>
      </c>
      <c r="Y81" s="109">
        <v>78</v>
      </c>
      <c r="Z81" s="102">
        <f t="shared" si="23"/>
        <v>4</v>
      </c>
      <c r="AA81" s="125">
        <f t="shared" si="24"/>
        <v>49.199999999999996</v>
      </c>
      <c r="AB81" s="126" t="s">
        <v>580</v>
      </c>
      <c r="AC81" s="126">
        <v>1</v>
      </c>
      <c r="AD81" s="126">
        <v>2</v>
      </c>
      <c r="AE81" s="126">
        <v>100</v>
      </c>
      <c r="AF81" s="102">
        <f t="shared" si="28"/>
        <v>4</v>
      </c>
      <c r="AG81" s="127">
        <f t="shared" si="25"/>
        <v>7</v>
      </c>
      <c r="AH81" s="128">
        <f t="shared" si="26"/>
        <v>57.599999999999994</v>
      </c>
      <c r="AI81" s="108">
        <v>2034</v>
      </c>
      <c r="AJ81" s="108" t="str">
        <f t="shared" si="27"/>
        <v>mid adopter</v>
      </c>
    </row>
    <row r="82" spans="1:36">
      <c r="A82" s="102" t="s">
        <v>391</v>
      </c>
      <c r="B82" s="120" t="s">
        <v>390</v>
      </c>
      <c r="C82" s="120" t="s">
        <v>83</v>
      </c>
      <c r="D82" s="102" t="s">
        <v>75</v>
      </c>
      <c r="E82" s="109">
        <v>3</v>
      </c>
      <c r="F82" s="102">
        <v>2015</v>
      </c>
      <c r="G82" s="102">
        <v>2019</v>
      </c>
      <c r="H82" s="102">
        <v>2011</v>
      </c>
      <c r="I82" s="102">
        <v>2014</v>
      </c>
      <c r="J82" s="102">
        <v>2021</v>
      </c>
      <c r="K82" s="102">
        <f t="shared" si="17"/>
        <v>1</v>
      </c>
      <c r="L82" s="102">
        <f t="shared" si="17"/>
        <v>1</v>
      </c>
      <c r="M82" s="102">
        <f t="shared" si="17"/>
        <v>3</v>
      </c>
      <c r="N82" s="102">
        <f t="shared" si="17"/>
        <v>2</v>
      </c>
      <c r="O82" s="102">
        <f t="shared" si="17"/>
        <v>1</v>
      </c>
      <c r="P82" s="121">
        <f t="shared" si="18"/>
        <v>1.6</v>
      </c>
      <c r="Q82" s="102">
        <v>23</v>
      </c>
      <c r="R82" s="102">
        <f t="shared" si="19"/>
        <v>2</v>
      </c>
      <c r="S82" s="138">
        <v>110.972447780392</v>
      </c>
      <c r="T82" s="102">
        <f t="shared" si="20"/>
        <v>3</v>
      </c>
      <c r="U82" s="139">
        <v>54.811940328541098</v>
      </c>
      <c r="V82" s="102">
        <f t="shared" si="21"/>
        <v>3</v>
      </c>
      <c r="W82" s="124">
        <v>237.02</v>
      </c>
      <c r="X82" s="102">
        <f t="shared" si="22"/>
        <v>4</v>
      </c>
      <c r="Y82" s="109">
        <v>89</v>
      </c>
      <c r="Z82" s="102">
        <f t="shared" si="23"/>
        <v>3</v>
      </c>
      <c r="AA82" s="125">
        <f t="shared" si="24"/>
        <v>49.800000000000004</v>
      </c>
      <c r="AB82" s="126" t="s">
        <v>579</v>
      </c>
      <c r="AC82" s="126">
        <v>4</v>
      </c>
      <c r="AD82" s="126">
        <v>1</v>
      </c>
      <c r="AE82" s="126">
        <v>6.8532021628250295</v>
      </c>
      <c r="AF82" s="102">
        <f t="shared" si="28"/>
        <v>1</v>
      </c>
      <c r="AG82" s="127">
        <f t="shared" si="25"/>
        <v>6</v>
      </c>
      <c r="AH82" s="128">
        <f t="shared" si="26"/>
        <v>57.400000000000006</v>
      </c>
      <c r="AI82" s="108">
        <v>2034</v>
      </c>
      <c r="AJ82" s="108" t="str">
        <f t="shared" si="27"/>
        <v>mid adopter</v>
      </c>
    </row>
    <row r="83" spans="1:36">
      <c r="A83" s="102" t="s">
        <v>275</v>
      </c>
      <c r="B83" s="120" t="s">
        <v>274</v>
      </c>
      <c r="C83" s="120" t="s">
        <v>83</v>
      </c>
      <c r="D83" s="102" t="s">
        <v>84</v>
      </c>
      <c r="E83" s="109">
        <v>3</v>
      </c>
      <c r="F83" s="102">
        <v>1981</v>
      </c>
      <c r="G83" s="102">
        <v>2017</v>
      </c>
      <c r="H83" s="102">
        <v>2015</v>
      </c>
      <c r="I83" s="102">
        <v>2017</v>
      </c>
      <c r="J83" s="102">
        <v>2022</v>
      </c>
      <c r="K83" s="102">
        <f t="shared" si="17"/>
        <v>4</v>
      </c>
      <c r="L83" s="102">
        <f t="shared" si="17"/>
        <v>1</v>
      </c>
      <c r="M83" s="102">
        <f t="shared" si="17"/>
        <v>1</v>
      </c>
      <c r="N83" s="102">
        <f t="shared" si="17"/>
        <v>1</v>
      </c>
      <c r="O83" s="102">
        <f t="shared" si="17"/>
        <v>1</v>
      </c>
      <c r="P83" s="121">
        <f t="shared" si="18"/>
        <v>1.6</v>
      </c>
      <c r="Q83" s="102">
        <v>10</v>
      </c>
      <c r="R83" s="102">
        <f t="shared" si="19"/>
        <v>2</v>
      </c>
      <c r="S83" s="138">
        <v>71.627529885857697</v>
      </c>
      <c r="T83" s="102">
        <f t="shared" si="20"/>
        <v>3</v>
      </c>
      <c r="U83" s="139">
        <v>14.5163060766042</v>
      </c>
      <c r="V83" s="102">
        <f t="shared" si="21"/>
        <v>3</v>
      </c>
      <c r="W83" s="124">
        <v>66.989000000000004</v>
      </c>
      <c r="X83" s="102">
        <f t="shared" si="22"/>
        <v>3</v>
      </c>
      <c r="Y83" s="109">
        <v>42</v>
      </c>
      <c r="Z83" s="102">
        <f t="shared" si="23"/>
        <v>4</v>
      </c>
      <c r="AA83" s="125">
        <f t="shared" si="24"/>
        <v>49.800000000000004</v>
      </c>
      <c r="AB83" s="126" t="s">
        <v>584</v>
      </c>
      <c r="AC83" s="109">
        <v>2</v>
      </c>
      <c r="AD83" s="126">
        <v>2</v>
      </c>
      <c r="AE83" s="126">
        <v>53.711726100455593</v>
      </c>
      <c r="AF83" s="102">
        <f t="shared" si="28"/>
        <v>2</v>
      </c>
      <c r="AG83" s="127">
        <f t="shared" si="25"/>
        <v>6</v>
      </c>
      <c r="AH83" s="128">
        <f t="shared" si="26"/>
        <v>57.400000000000006</v>
      </c>
      <c r="AI83" s="108">
        <v>2034</v>
      </c>
      <c r="AJ83" s="108" t="str">
        <f t="shared" si="27"/>
        <v>mid adopter</v>
      </c>
    </row>
    <row r="84" spans="1:36">
      <c r="A84" s="102" t="s">
        <v>347</v>
      </c>
      <c r="B84" s="120" t="s">
        <v>346</v>
      </c>
      <c r="C84" s="120" t="s">
        <v>99</v>
      </c>
      <c r="D84" s="102" t="s">
        <v>87</v>
      </c>
      <c r="E84" s="109">
        <v>1</v>
      </c>
      <c r="F84" s="102">
        <v>1995</v>
      </c>
      <c r="G84" s="102">
        <v>1986</v>
      </c>
      <c r="H84" s="102">
        <v>2008</v>
      </c>
      <c r="I84" s="102">
        <v>2008</v>
      </c>
      <c r="J84" s="102">
        <v>2008</v>
      </c>
      <c r="K84" s="102">
        <f t="shared" si="17"/>
        <v>3</v>
      </c>
      <c r="L84" s="102">
        <f t="shared" si="17"/>
        <v>4</v>
      </c>
      <c r="M84" s="102">
        <f t="shared" si="17"/>
        <v>4</v>
      </c>
      <c r="N84" s="102">
        <f t="shared" si="17"/>
        <v>4</v>
      </c>
      <c r="O84" s="102">
        <f t="shared" si="17"/>
        <v>4</v>
      </c>
      <c r="P84" s="121">
        <f t="shared" si="18"/>
        <v>3.8</v>
      </c>
      <c r="Q84" s="102">
        <v>0</v>
      </c>
      <c r="R84" s="102">
        <f t="shared" si="19"/>
        <v>1</v>
      </c>
      <c r="S84" s="138">
        <v>414.82234866128698</v>
      </c>
      <c r="T84" s="102">
        <f t="shared" si="20"/>
        <v>4</v>
      </c>
      <c r="U84" s="139">
        <v>4.3538927560150001E-2</v>
      </c>
      <c r="V84" s="102">
        <f t="shared" si="21"/>
        <v>2</v>
      </c>
      <c r="W84" s="124" t="s">
        <v>573</v>
      </c>
      <c r="X84" s="102">
        <v>1</v>
      </c>
      <c r="Y84" s="109">
        <v>86</v>
      </c>
      <c r="Z84" s="102">
        <f t="shared" si="23"/>
        <v>3</v>
      </c>
      <c r="AA84" s="125">
        <f t="shared" si="24"/>
        <v>44.400000000000006</v>
      </c>
      <c r="AB84" s="126" t="s">
        <v>580</v>
      </c>
      <c r="AC84" s="126">
        <v>1</v>
      </c>
      <c r="AD84" s="126">
        <v>4</v>
      </c>
      <c r="AE84" s="126" t="s">
        <v>582</v>
      </c>
      <c r="AF84" s="126">
        <v>4</v>
      </c>
      <c r="AG84" s="127">
        <f t="shared" si="25"/>
        <v>9</v>
      </c>
      <c r="AH84" s="128">
        <f t="shared" si="26"/>
        <v>57.2</v>
      </c>
      <c r="AI84" s="108">
        <v>2035</v>
      </c>
      <c r="AJ84" s="108" t="str">
        <f t="shared" si="27"/>
        <v>mid adopter</v>
      </c>
    </row>
    <row r="85" spans="1:36">
      <c r="A85" s="102" t="s">
        <v>255</v>
      </c>
      <c r="B85" s="120" t="s">
        <v>254</v>
      </c>
      <c r="C85" s="120" t="s">
        <v>74</v>
      </c>
      <c r="D85" s="102" t="s">
        <v>80</v>
      </c>
      <c r="E85" s="109">
        <v>2</v>
      </c>
      <c r="F85" s="102">
        <v>1995</v>
      </c>
      <c r="G85" s="102">
        <v>2000</v>
      </c>
      <c r="H85" s="102" t="s">
        <v>566</v>
      </c>
      <c r="I85" s="102">
        <v>2015</v>
      </c>
      <c r="J85" s="102" t="s">
        <v>566</v>
      </c>
      <c r="K85" s="102">
        <f t="shared" si="17"/>
        <v>3</v>
      </c>
      <c r="L85" s="102">
        <f t="shared" si="17"/>
        <v>2</v>
      </c>
      <c r="M85" s="102">
        <f t="shared" si="17"/>
        <v>1</v>
      </c>
      <c r="N85" s="102">
        <f t="shared" si="17"/>
        <v>2</v>
      </c>
      <c r="O85" s="102">
        <f t="shared" si="17"/>
        <v>1</v>
      </c>
      <c r="P85" s="121">
        <f t="shared" si="18"/>
        <v>1.8</v>
      </c>
      <c r="Q85" s="102">
        <v>45</v>
      </c>
      <c r="R85" s="102">
        <f t="shared" si="19"/>
        <v>2</v>
      </c>
      <c r="S85" s="138">
        <v>518.47375818603405</v>
      </c>
      <c r="T85" s="102">
        <f t="shared" si="20"/>
        <v>4</v>
      </c>
      <c r="U85" s="139">
        <v>53.085010856373799</v>
      </c>
      <c r="V85" s="102">
        <f t="shared" si="21"/>
        <v>3</v>
      </c>
      <c r="W85" s="124">
        <v>0</v>
      </c>
      <c r="X85" s="102">
        <f t="shared" ref="X85:X96" si="29">IF(AND(W85&gt;=W$200,W85&lt;W$201),1,IF(AND(W85&gt;=W$201,W85&lt;W$202),2,IF(AND(W85&gt;=W$202,W85&lt;W$203),3,IF(AND(W85&gt;=W$203,W85&lt;=W$204),4,"empty"))))</f>
        <v>2</v>
      </c>
      <c r="Y85" s="109">
        <v>88</v>
      </c>
      <c r="Z85" s="102">
        <f t="shared" si="23"/>
        <v>3</v>
      </c>
      <c r="AA85" s="125">
        <f t="shared" si="24"/>
        <v>47.400000000000006</v>
      </c>
      <c r="AB85" s="126" t="s">
        <v>580</v>
      </c>
      <c r="AC85" s="126">
        <v>1</v>
      </c>
      <c r="AD85" s="126">
        <v>3</v>
      </c>
      <c r="AE85" s="126">
        <v>100</v>
      </c>
      <c r="AF85" s="102">
        <f>IF(AND(AE85&gt;=AE$200,AE85&lt;AE$201),1,IF(AND(AE85&gt;=AE$201,AE85&lt;AE$202),2,IF(AND(AE85&gt;=AE$202,AE85&lt;AE$203),3,IF(AND(AE85&gt;=AE$203,AE85&lt;=AE$204),4,"empty"))))</f>
        <v>4</v>
      </c>
      <c r="AG85" s="127">
        <f t="shared" si="25"/>
        <v>8</v>
      </c>
      <c r="AH85" s="128">
        <f t="shared" si="26"/>
        <v>57.2</v>
      </c>
      <c r="AI85" s="108">
        <v>2035</v>
      </c>
      <c r="AJ85" s="108" t="str">
        <f t="shared" si="27"/>
        <v>mid adopter</v>
      </c>
    </row>
    <row r="86" spans="1:36">
      <c r="A86" s="102" t="s">
        <v>78</v>
      </c>
      <c r="B86" s="120" t="s">
        <v>77</v>
      </c>
      <c r="C86" s="120" t="s">
        <v>79</v>
      </c>
      <c r="D86" s="102" t="s">
        <v>80</v>
      </c>
      <c r="E86" s="109">
        <v>1</v>
      </c>
      <c r="F86" s="102">
        <v>2001</v>
      </c>
      <c r="G86" s="102">
        <v>2001</v>
      </c>
      <c r="H86" s="102">
        <v>2011</v>
      </c>
      <c r="I86" s="102">
        <v>2019</v>
      </c>
      <c r="J86" s="102" t="s">
        <v>566</v>
      </c>
      <c r="K86" s="102">
        <f t="shared" si="17"/>
        <v>2</v>
      </c>
      <c r="L86" s="102">
        <f t="shared" si="17"/>
        <v>2</v>
      </c>
      <c r="M86" s="102">
        <f t="shared" si="17"/>
        <v>3</v>
      </c>
      <c r="N86" s="102">
        <f t="shared" si="17"/>
        <v>1</v>
      </c>
      <c r="O86" s="102">
        <f t="shared" si="17"/>
        <v>1</v>
      </c>
      <c r="P86" s="121">
        <f t="shared" si="18"/>
        <v>1.8</v>
      </c>
      <c r="Q86" s="102">
        <v>482</v>
      </c>
      <c r="R86" s="102">
        <f t="shared" si="19"/>
        <v>3</v>
      </c>
      <c r="S86" s="138">
        <v>34.922590012952</v>
      </c>
      <c r="T86" s="102">
        <f t="shared" si="20"/>
        <v>2</v>
      </c>
      <c r="U86" s="139">
        <v>1.3927116539414499</v>
      </c>
      <c r="V86" s="102">
        <f t="shared" si="21"/>
        <v>3</v>
      </c>
      <c r="W86" s="124">
        <v>0</v>
      </c>
      <c r="X86" s="102">
        <f t="shared" si="29"/>
        <v>2</v>
      </c>
      <c r="Y86" s="109">
        <v>75</v>
      </c>
      <c r="Z86" s="102">
        <f t="shared" si="23"/>
        <v>4</v>
      </c>
      <c r="AA86" s="125">
        <f t="shared" si="24"/>
        <v>47.400000000000006</v>
      </c>
      <c r="AB86" s="126" t="s">
        <v>580</v>
      </c>
      <c r="AC86" s="126">
        <v>1</v>
      </c>
      <c r="AD86" s="126">
        <v>3</v>
      </c>
      <c r="AE86" s="126">
        <v>100</v>
      </c>
      <c r="AF86" s="102">
        <f>IF(AND(AE86&gt;=AE$200,AE86&lt;AE$201),1,IF(AND(AE86&gt;=AE$201,AE86&lt;AE$202),2,IF(AND(AE86&gt;=AE$202,AE86&lt;AE$203),3,IF(AND(AE86&gt;=AE$203,AE86&lt;=AE$204),4,"empty"))))</f>
        <v>4</v>
      </c>
      <c r="AG86" s="127">
        <f t="shared" si="25"/>
        <v>8</v>
      </c>
      <c r="AH86" s="128">
        <f t="shared" si="26"/>
        <v>57.2</v>
      </c>
      <c r="AI86" s="108">
        <v>2035</v>
      </c>
      <c r="AJ86" s="108" t="str">
        <f t="shared" si="27"/>
        <v>mid adopter</v>
      </c>
    </row>
    <row r="87" spans="1:36">
      <c r="A87" s="102" t="s">
        <v>241</v>
      </c>
      <c r="B87" s="120" t="s">
        <v>240</v>
      </c>
      <c r="C87" s="120" t="s">
        <v>74</v>
      </c>
      <c r="D87" s="102" t="s">
        <v>80</v>
      </c>
      <c r="E87" s="109">
        <v>2</v>
      </c>
      <c r="F87" s="102">
        <v>1984</v>
      </c>
      <c r="G87" s="102">
        <v>2004</v>
      </c>
      <c r="H87" s="102" t="s">
        <v>566</v>
      </c>
      <c r="I87" s="102" t="s">
        <v>566</v>
      </c>
      <c r="J87" s="102" t="s">
        <v>566</v>
      </c>
      <c r="K87" s="102">
        <f t="shared" si="17"/>
        <v>4</v>
      </c>
      <c r="L87" s="102">
        <f t="shared" si="17"/>
        <v>2</v>
      </c>
      <c r="M87" s="102">
        <f t="shared" si="17"/>
        <v>1</v>
      </c>
      <c r="N87" s="102">
        <f t="shared" si="17"/>
        <v>1</v>
      </c>
      <c r="O87" s="102">
        <f t="shared" si="17"/>
        <v>1</v>
      </c>
      <c r="P87" s="121">
        <f t="shared" si="18"/>
        <v>1.8</v>
      </c>
      <c r="Q87" s="102">
        <v>16</v>
      </c>
      <c r="R87" s="102">
        <f t="shared" si="19"/>
        <v>2</v>
      </c>
      <c r="S87" s="138">
        <v>87.840900142946595</v>
      </c>
      <c r="T87" s="102">
        <f t="shared" si="20"/>
        <v>3</v>
      </c>
      <c r="U87" s="139">
        <v>71.324736536536903</v>
      </c>
      <c r="V87" s="102">
        <f t="shared" si="21"/>
        <v>3</v>
      </c>
      <c r="W87" s="124">
        <v>0</v>
      </c>
      <c r="X87" s="102">
        <f t="shared" si="29"/>
        <v>2</v>
      </c>
      <c r="Y87" s="109">
        <v>69</v>
      </c>
      <c r="Z87" s="102">
        <f t="shared" si="23"/>
        <v>4</v>
      </c>
      <c r="AA87" s="125">
        <f t="shared" si="24"/>
        <v>47.400000000000006</v>
      </c>
      <c r="AB87" s="126" t="s">
        <v>580</v>
      </c>
      <c r="AC87" s="126">
        <v>1</v>
      </c>
      <c r="AD87" s="126">
        <v>3</v>
      </c>
      <c r="AE87" s="126">
        <v>100</v>
      </c>
      <c r="AF87" s="102">
        <f>IF(AND(AE87&gt;=AE$200,AE87&lt;AE$201),1,IF(AND(AE87&gt;=AE$201,AE87&lt;AE$202),2,IF(AND(AE87&gt;=AE$202,AE87&lt;AE$203),3,IF(AND(AE87&gt;=AE$203,AE87&lt;=AE$204),4,"empty"))))</f>
        <v>4</v>
      </c>
      <c r="AG87" s="127">
        <f t="shared" si="25"/>
        <v>8</v>
      </c>
      <c r="AH87" s="128">
        <f t="shared" si="26"/>
        <v>57.2</v>
      </c>
      <c r="AI87" s="108">
        <v>2035</v>
      </c>
      <c r="AJ87" s="108" t="str">
        <f t="shared" si="27"/>
        <v>mid adopter</v>
      </c>
    </row>
    <row r="88" spans="1:36">
      <c r="A88" s="102" t="s">
        <v>367</v>
      </c>
      <c r="B88" s="120" t="s">
        <v>366</v>
      </c>
      <c r="C88" s="120" t="s">
        <v>79</v>
      </c>
      <c r="D88" s="102" t="s">
        <v>80</v>
      </c>
      <c r="E88" s="109">
        <v>2</v>
      </c>
      <c r="F88" s="102">
        <v>1987</v>
      </c>
      <c r="G88" s="102">
        <v>2000</v>
      </c>
      <c r="H88" s="102">
        <v>2014</v>
      </c>
      <c r="I88" s="102" t="s">
        <v>566</v>
      </c>
      <c r="J88" s="102" t="s">
        <v>566</v>
      </c>
      <c r="K88" s="102">
        <f t="shared" si="17"/>
        <v>4</v>
      </c>
      <c r="L88" s="102">
        <f t="shared" si="17"/>
        <v>2</v>
      </c>
      <c r="M88" s="102">
        <f t="shared" si="17"/>
        <v>2</v>
      </c>
      <c r="N88" s="102">
        <f t="shared" si="17"/>
        <v>1</v>
      </c>
      <c r="O88" s="102">
        <f t="shared" si="17"/>
        <v>1</v>
      </c>
      <c r="P88" s="121">
        <f t="shared" si="18"/>
        <v>2</v>
      </c>
      <c r="Q88" s="102">
        <v>4171</v>
      </c>
      <c r="R88" s="102">
        <f t="shared" si="19"/>
        <v>4</v>
      </c>
      <c r="S88" s="138">
        <v>3.9564570183562799</v>
      </c>
      <c r="T88" s="102">
        <f t="shared" si="20"/>
        <v>2</v>
      </c>
      <c r="U88" s="139">
        <v>0.44752302369920099</v>
      </c>
      <c r="V88" s="102">
        <f t="shared" si="21"/>
        <v>3</v>
      </c>
      <c r="W88" s="124">
        <v>0</v>
      </c>
      <c r="X88" s="102">
        <f t="shared" si="29"/>
        <v>2</v>
      </c>
      <c r="Y88" s="109">
        <v>87</v>
      </c>
      <c r="Z88" s="102">
        <f t="shared" si="23"/>
        <v>3</v>
      </c>
      <c r="AA88" s="125">
        <f t="shared" si="24"/>
        <v>48</v>
      </c>
      <c r="AB88" s="126" t="s">
        <v>580</v>
      </c>
      <c r="AC88" s="126">
        <v>1</v>
      </c>
      <c r="AD88" s="126">
        <v>3</v>
      </c>
      <c r="AE88" s="126" t="s">
        <v>582</v>
      </c>
      <c r="AF88" s="102">
        <v>3</v>
      </c>
      <c r="AG88" s="127">
        <f t="shared" si="25"/>
        <v>7</v>
      </c>
      <c r="AH88" s="128">
        <f t="shared" si="26"/>
        <v>57</v>
      </c>
      <c r="AI88" s="108">
        <v>2035</v>
      </c>
      <c r="AJ88" s="108" t="str">
        <f t="shared" si="27"/>
        <v>mid adopter</v>
      </c>
    </row>
    <row r="89" spans="1:36">
      <c r="A89" s="102" t="s">
        <v>321</v>
      </c>
      <c r="B89" s="120" t="s">
        <v>320</v>
      </c>
      <c r="C89" s="120" t="s">
        <v>110</v>
      </c>
      <c r="D89" s="102" t="s">
        <v>84</v>
      </c>
      <c r="E89" s="109">
        <v>4</v>
      </c>
      <c r="F89" s="102">
        <v>2012</v>
      </c>
      <c r="G89" s="102">
        <v>2015</v>
      </c>
      <c r="H89" s="102">
        <v>2016</v>
      </c>
      <c r="I89" s="102">
        <v>2020</v>
      </c>
      <c r="J89" s="102">
        <v>2020</v>
      </c>
      <c r="K89" s="102">
        <f t="shared" si="17"/>
        <v>1</v>
      </c>
      <c r="L89" s="102">
        <f t="shared" si="17"/>
        <v>1</v>
      </c>
      <c r="M89" s="102">
        <f t="shared" si="17"/>
        <v>1</v>
      </c>
      <c r="N89" s="102">
        <f t="shared" si="17"/>
        <v>1</v>
      </c>
      <c r="O89" s="102">
        <f t="shared" si="17"/>
        <v>1</v>
      </c>
      <c r="P89" s="121">
        <f t="shared" si="18"/>
        <v>1</v>
      </c>
      <c r="Q89" s="102">
        <v>5244</v>
      </c>
      <c r="R89" s="102">
        <f t="shared" si="19"/>
        <v>4</v>
      </c>
      <c r="S89" s="138">
        <v>199.592799790436</v>
      </c>
      <c r="T89" s="102">
        <f t="shared" si="20"/>
        <v>3</v>
      </c>
      <c r="U89" s="139">
        <v>641.25885788682001</v>
      </c>
      <c r="V89" s="102">
        <f t="shared" si="21"/>
        <v>4</v>
      </c>
      <c r="W89" s="124">
        <v>1162</v>
      </c>
      <c r="X89" s="102">
        <f t="shared" si="29"/>
        <v>4</v>
      </c>
      <c r="Y89" s="109">
        <v>99</v>
      </c>
      <c r="Z89" s="102">
        <f t="shared" si="23"/>
        <v>1</v>
      </c>
      <c r="AA89" s="125">
        <f t="shared" si="24"/>
        <v>51</v>
      </c>
      <c r="AB89" s="126" t="s">
        <v>584</v>
      </c>
      <c r="AC89" s="109">
        <v>2</v>
      </c>
      <c r="AD89" s="126">
        <v>2</v>
      </c>
      <c r="AE89" s="126">
        <v>6.428797028951176</v>
      </c>
      <c r="AF89" s="102">
        <f>IF(AND(AE89&gt;=AE$200,AE89&lt;AE$201),1,IF(AND(AE89&gt;=AE$201,AE89&lt;AE$202),2,IF(AND(AE89&gt;=AE$202,AE89&lt;AE$203),3,IF(AND(AE89&gt;=AE$203,AE89&lt;=AE$204),4,"empty"))))</f>
        <v>1</v>
      </c>
      <c r="AG89" s="127">
        <f t="shared" si="25"/>
        <v>5</v>
      </c>
      <c r="AH89" s="128">
        <f t="shared" si="26"/>
        <v>57</v>
      </c>
      <c r="AI89" s="108">
        <v>2035</v>
      </c>
      <c r="AJ89" s="108" t="str">
        <f t="shared" si="27"/>
        <v>mid adopter</v>
      </c>
    </row>
    <row r="90" spans="1:36">
      <c r="A90" s="102" t="s">
        <v>213</v>
      </c>
      <c r="B90" s="120" t="s">
        <v>212</v>
      </c>
      <c r="C90" s="120" t="s">
        <v>79</v>
      </c>
      <c r="D90" s="102" t="s">
        <v>87</v>
      </c>
      <c r="E90" s="109">
        <v>1</v>
      </c>
      <c r="F90" s="102">
        <v>1991</v>
      </c>
      <c r="G90" s="102">
        <v>1991</v>
      </c>
      <c r="H90" s="102">
        <v>2006</v>
      </c>
      <c r="I90" s="102">
        <v>2013</v>
      </c>
      <c r="J90" s="102">
        <v>2007</v>
      </c>
      <c r="K90" s="102">
        <f t="shared" si="17"/>
        <v>4</v>
      </c>
      <c r="L90" s="102">
        <f t="shared" si="17"/>
        <v>3</v>
      </c>
      <c r="M90" s="102">
        <f t="shared" si="17"/>
        <v>4</v>
      </c>
      <c r="N90" s="102">
        <f t="shared" si="17"/>
        <v>3</v>
      </c>
      <c r="O90" s="102">
        <f t="shared" si="17"/>
        <v>4</v>
      </c>
      <c r="P90" s="121">
        <f t="shared" si="18"/>
        <v>3.6</v>
      </c>
      <c r="Q90" s="102">
        <v>507</v>
      </c>
      <c r="R90" s="102">
        <f t="shared" si="19"/>
        <v>3</v>
      </c>
      <c r="S90" s="138">
        <v>1.0205176359994901</v>
      </c>
      <c r="T90" s="102">
        <f t="shared" si="20"/>
        <v>2</v>
      </c>
      <c r="U90" s="139">
        <v>0.67453115230781102</v>
      </c>
      <c r="V90" s="102">
        <f t="shared" si="21"/>
        <v>3</v>
      </c>
      <c r="W90" s="124">
        <v>0</v>
      </c>
      <c r="X90" s="102">
        <f t="shared" si="29"/>
        <v>2</v>
      </c>
      <c r="Y90" s="109">
        <v>99</v>
      </c>
      <c r="Z90" s="102">
        <f t="shared" si="23"/>
        <v>1</v>
      </c>
      <c r="AA90" s="125">
        <f t="shared" si="24"/>
        <v>43.8</v>
      </c>
      <c r="AB90" s="126" t="s">
        <v>580</v>
      </c>
      <c r="AC90" s="126">
        <v>1</v>
      </c>
      <c r="AD90" s="126">
        <v>4</v>
      </c>
      <c r="AE90" s="126" t="s">
        <v>582</v>
      </c>
      <c r="AF90" s="126">
        <v>4</v>
      </c>
      <c r="AG90" s="127">
        <f t="shared" si="25"/>
        <v>9</v>
      </c>
      <c r="AH90" s="128">
        <f t="shared" si="26"/>
        <v>56.4</v>
      </c>
      <c r="AI90" s="108">
        <v>2035</v>
      </c>
      <c r="AJ90" s="108" t="str">
        <f t="shared" si="27"/>
        <v>mid adopter</v>
      </c>
    </row>
    <row r="91" spans="1:36">
      <c r="A91" s="102" t="s">
        <v>457</v>
      </c>
      <c r="B91" s="120" t="s">
        <v>456</v>
      </c>
      <c r="C91" s="120" t="s">
        <v>79</v>
      </c>
      <c r="D91" s="102" t="s">
        <v>84</v>
      </c>
      <c r="E91" s="109">
        <v>2</v>
      </c>
      <c r="F91" s="102">
        <v>1986</v>
      </c>
      <c r="G91" s="102">
        <v>2006</v>
      </c>
      <c r="H91" s="102">
        <v>2015</v>
      </c>
      <c r="I91" s="102">
        <v>2014</v>
      </c>
      <c r="J91" s="102">
        <v>2019</v>
      </c>
      <c r="K91" s="102">
        <f t="shared" si="17"/>
        <v>4</v>
      </c>
      <c r="L91" s="102">
        <f t="shared" si="17"/>
        <v>2</v>
      </c>
      <c r="M91" s="102">
        <f t="shared" si="17"/>
        <v>1</v>
      </c>
      <c r="N91" s="102">
        <f t="shared" si="17"/>
        <v>2</v>
      </c>
      <c r="O91" s="102">
        <f t="shared" si="17"/>
        <v>2</v>
      </c>
      <c r="P91" s="121">
        <f t="shared" si="18"/>
        <v>2.2000000000000002</v>
      </c>
      <c r="Q91" s="102">
        <v>1750</v>
      </c>
      <c r="R91" s="102">
        <f t="shared" si="19"/>
        <v>4</v>
      </c>
      <c r="S91" s="138">
        <v>1.7035764458460401</v>
      </c>
      <c r="T91" s="102">
        <f t="shared" si="20"/>
        <v>2</v>
      </c>
      <c r="U91" s="139">
        <v>0.288031685593999</v>
      </c>
      <c r="V91" s="102">
        <f t="shared" si="21"/>
        <v>2</v>
      </c>
      <c r="W91" s="124">
        <v>0</v>
      </c>
      <c r="X91" s="102">
        <f t="shared" si="29"/>
        <v>2</v>
      </c>
      <c r="Y91" s="109">
        <v>37</v>
      </c>
      <c r="Z91" s="102">
        <f t="shared" si="23"/>
        <v>4</v>
      </c>
      <c r="AA91" s="125">
        <f t="shared" si="24"/>
        <v>48.599999999999994</v>
      </c>
      <c r="AB91" s="126" t="s">
        <v>581</v>
      </c>
      <c r="AC91" s="126">
        <v>1</v>
      </c>
      <c r="AD91" s="126">
        <v>2</v>
      </c>
      <c r="AE91" s="126">
        <v>44.225777720148869</v>
      </c>
      <c r="AF91" s="102">
        <f>IF(AND(AE91&gt;=AE$200,AE91&lt;AE$201),1,IF(AND(AE91&gt;=AE$201,AE91&lt;AE$202),2,IF(AND(AE91&gt;=AE$202,AE91&lt;AE$203),3,IF(AND(AE91&gt;=AE$203,AE91&lt;=AE$204),4,"empty"))))</f>
        <v>2</v>
      </c>
      <c r="AG91" s="127">
        <f t="shared" si="25"/>
        <v>5</v>
      </c>
      <c r="AH91" s="128">
        <f t="shared" si="26"/>
        <v>55.8</v>
      </c>
      <c r="AI91" s="108">
        <v>2035</v>
      </c>
      <c r="AJ91" s="108" t="str">
        <f t="shared" si="27"/>
        <v>mid adopter</v>
      </c>
    </row>
    <row r="92" spans="1:36">
      <c r="A92" s="102" t="s">
        <v>189</v>
      </c>
      <c r="B92" s="120" t="s">
        <v>188</v>
      </c>
      <c r="C92" s="120" t="s">
        <v>74</v>
      </c>
      <c r="D92" s="102" t="s">
        <v>84</v>
      </c>
      <c r="E92" s="109">
        <v>2</v>
      </c>
      <c r="F92" s="102">
        <v>1999</v>
      </c>
      <c r="G92" s="102">
        <v>1999</v>
      </c>
      <c r="H92" s="102" t="s">
        <v>566</v>
      </c>
      <c r="I92" s="102" t="s">
        <v>566</v>
      </c>
      <c r="J92" s="102" t="s">
        <v>566</v>
      </c>
      <c r="K92" s="102">
        <f t="shared" si="17"/>
        <v>3</v>
      </c>
      <c r="L92" s="102">
        <f t="shared" si="17"/>
        <v>2</v>
      </c>
      <c r="M92" s="102">
        <f t="shared" si="17"/>
        <v>1</v>
      </c>
      <c r="N92" s="102">
        <f t="shared" si="17"/>
        <v>1</v>
      </c>
      <c r="O92" s="102">
        <f t="shared" si="17"/>
        <v>1</v>
      </c>
      <c r="P92" s="121">
        <f t="shared" si="18"/>
        <v>1.6</v>
      </c>
      <c r="Q92" s="102">
        <v>130</v>
      </c>
      <c r="R92" s="102">
        <f t="shared" si="19"/>
        <v>3</v>
      </c>
      <c r="S92" s="138">
        <v>59.043924454298399</v>
      </c>
      <c r="T92" s="102">
        <f t="shared" si="20"/>
        <v>2</v>
      </c>
      <c r="U92" s="139">
        <v>68.503561459102201</v>
      </c>
      <c r="V92" s="102">
        <f t="shared" si="21"/>
        <v>3</v>
      </c>
      <c r="W92" s="124">
        <v>0</v>
      </c>
      <c r="X92" s="102">
        <f t="shared" si="29"/>
        <v>2</v>
      </c>
      <c r="Y92" s="109">
        <v>75</v>
      </c>
      <c r="Z92" s="102">
        <f t="shared" si="23"/>
        <v>4</v>
      </c>
      <c r="AA92" s="125">
        <f t="shared" si="24"/>
        <v>46.8</v>
      </c>
      <c r="AB92" s="126" t="s">
        <v>580</v>
      </c>
      <c r="AC92" s="126">
        <v>1</v>
      </c>
      <c r="AD92" s="126">
        <v>2</v>
      </c>
      <c r="AE92" s="126">
        <v>100</v>
      </c>
      <c r="AF92" s="102">
        <f>IF(AND(AE92&gt;=AE$200,AE92&lt;AE$201),1,IF(AND(AE92&gt;=AE$201,AE92&lt;AE$202),2,IF(AND(AE92&gt;=AE$202,AE92&lt;AE$203),3,IF(AND(AE92&gt;=AE$203,AE92&lt;=AE$204),4,"empty"))))</f>
        <v>4</v>
      </c>
      <c r="AG92" s="127">
        <f t="shared" si="25"/>
        <v>7</v>
      </c>
      <c r="AH92" s="128">
        <f t="shared" si="26"/>
        <v>55.4</v>
      </c>
      <c r="AI92" s="108">
        <v>2035</v>
      </c>
      <c r="AJ92" s="108" t="str">
        <f t="shared" si="27"/>
        <v>mid adopter</v>
      </c>
    </row>
    <row r="93" spans="1:36">
      <c r="A93" s="102" t="s">
        <v>365</v>
      </c>
      <c r="B93" s="120" t="s">
        <v>364</v>
      </c>
      <c r="C93" s="120" t="s">
        <v>79</v>
      </c>
      <c r="D93" s="102" t="s">
        <v>87</v>
      </c>
      <c r="E93" s="109">
        <v>2</v>
      </c>
      <c r="F93" s="102">
        <v>1979</v>
      </c>
      <c r="G93" s="102">
        <v>2002</v>
      </c>
      <c r="H93" s="102">
        <v>2017</v>
      </c>
      <c r="I93" s="102" t="s">
        <v>566</v>
      </c>
      <c r="J93" s="102" t="s">
        <v>566</v>
      </c>
      <c r="K93" s="102">
        <f t="shared" si="17"/>
        <v>4</v>
      </c>
      <c r="L93" s="102">
        <f t="shared" si="17"/>
        <v>2</v>
      </c>
      <c r="M93" s="102">
        <f t="shared" si="17"/>
        <v>1</v>
      </c>
      <c r="N93" s="102">
        <f t="shared" si="17"/>
        <v>1</v>
      </c>
      <c r="O93" s="102">
        <f t="shared" si="17"/>
        <v>1</v>
      </c>
      <c r="P93" s="121">
        <f t="shared" si="18"/>
        <v>1.8</v>
      </c>
      <c r="Q93" s="102">
        <v>1734</v>
      </c>
      <c r="R93" s="102">
        <f t="shared" si="19"/>
        <v>4</v>
      </c>
      <c r="S93" s="138">
        <v>9.3762277416614008</v>
      </c>
      <c r="T93" s="102">
        <f t="shared" si="20"/>
        <v>2</v>
      </c>
      <c r="U93" s="139">
        <v>0.146092299023411</v>
      </c>
      <c r="V93" s="102">
        <f t="shared" si="21"/>
        <v>2</v>
      </c>
      <c r="W93" s="124">
        <v>0</v>
      </c>
      <c r="X93" s="102">
        <f t="shared" si="29"/>
        <v>2</v>
      </c>
      <c r="Y93" s="109">
        <v>90</v>
      </c>
      <c r="Z93" s="102">
        <f t="shared" si="23"/>
        <v>3</v>
      </c>
      <c r="AA93" s="125">
        <f t="shared" si="24"/>
        <v>44.400000000000006</v>
      </c>
      <c r="AB93" s="126" t="s">
        <v>580</v>
      </c>
      <c r="AC93" s="126">
        <v>1</v>
      </c>
      <c r="AD93" s="126">
        <v>4</v>
      </c>
      <c r="AE93" s="126">
        <v>100</v>
      </c>
      <c r="AF93" s="126">
        <v>4</v>
      </c>
      <c r="AG93" s="127">
        <f t="shared" si="25"/>
        <v>9</v>
      </c>
      <c r="AH93" s="128">
        <f t="shared" si="26"/>
        <v>55.2</v>
      </c>
      <c r="AI93" s="108">
        <v>2035</v>
      </c>
      <c r="AJ93" s="108" t="str">
        <f t="shared" si="27"/>
        <v>mid adopter</v>
      </c>
    </row>
    <row r="94" spans="1:36">
      <c r="A94" s="102" t="s">
        <v>180</v>
      </c>
      <c r="B94" s="120" t="s">
        <v>179</v>
      </c>
      <c r="C94" s="120" t="s">
        <v>79</v>
      </c>
      <c r="D94" s="102" t="s">
        <v>87</v>
      </c>
      <c r="E94" s="109">
        <v>1</v>
      </c>
      <c r="F94" s="102">
        <v>1987</v>
      </c>
      <c r="G94" s="102">
        <v>1987</v>
      </c>
      <c r="H94" s="102">
        <v>2007</v>
      </c>
      <c r="I94" s="102" t="s">
        <v>566</v>
      </c>
      <c r="J94" s="102">
        <v>2007</v>
      </c>
      <c r="K94" s="102">
        <f t="shared" si="17"/>
        <v>4</v>
      </c>
      <c r="L94" s="102">
        <f t="shared" si="17"/>
        <v>3</v>
      </c>
      <c r="M94" s="102">
        <f t="shared" si="17"/>
        <v>4</v>
      </c>
      <c r="N94" s="102">
        <f t="shared" si="17"/>
        <v>1</v>
      </c>
      <c r="O94" s="102">
        <f t="shared" si="17"/>
        <v>4</v>
      </c>
      <c r="P94" s="121">
        <f t="shared" si="18"/>
        <v>3.2</v>
      </c>
      <c r="Q94" s="102">
        <v>15</v>
      </c>
      <c r="R94" s="102">
        <f t="shared" si="19"/>
        <v>2</v>
      </c>
      <c r="S94" s="138">
        <v>0.520102455541405</v>
      </c>
      <c r="T94" s="102">
        <f t="shared" si="20"/>
        <v>1</v>
      </c>
      <c r="U94" s="139">
        <v>1.8178558883729799E-2</v>
      </c>
      <c r="V94" s="102">
        <f t="shared" si="21"/>
        <v>2</v>
      </c>
      <c r="W94" s="124">
        <v>0</v>
      </c>
      <c r="X94" s="102">
        <f t="shared" si="29"/>
        <v>2</v>
      </c>
      <c r="Y94" s="109">
        <v>84</v>
      </c>
      <c r="Z94" s="102">
        <f t="shared" si="23"/>
        <v>4</v>
      </c>
      <c r="AA94" s="125">
        <f t="shared" si="24"/>
        <v>42.599999999999994</v>
      </c>
      <c r="AB94" s="126" t="s">
        <v>580</v>
      </c>
      <c r="AC94" s="126">
        <v>1</v>
      </c>
      <c r="AD94" s="126">
        <v>4</v>
      </c>
      <c r="AE94" s="126" t="s">
        <v>582</v>
      </c>
      <c r="AF94" s="126">
        <v>4</v>
      </c>
      <c r="AG94" s="127">
        <f t="shared" si="25"/>
        <v>9</v>
      </c>
      <c r="AH94" s="128">
        <f t="shared" si="26"/>
        <v>54.8</v>
      </c>
      <c r="AI94" s="108">
        <v>2035</v>
      </c>
      <c r="AJ94" s="108" t="str">
        <f t="shared" si="27"/>
        <v>mid adopter</v>
      </c>
    </row>
    <row r="95" spans="1:36">
      <c r="A95" s="102" t="s">
        <v>271</v>
      </c>
      <c r="B95" s="120" t="s">
        <v>270</v>
      </c>
      <c r="C95" s="120" t="s">
        <v>79</v>
      </c>
      <c r="D95" s="102" t="s">
        <v>87</v>
      </c>
      <c r="E95" s="109">
        <v>1</v>
      </c>
      <c r="F95" s="102">
        <v>1987</v>
      </c>
      <c r="G95" s="102">
        <v>1993</v>
      </c>
      <c r="H95" s="102">
        <v>2010</v>
      </c>
      <c r="I95" s="102">
        <v>2015</v>
      </c>
      <c r="J95" s="102">
        <v>2010</v>
      </c>
      <c r="K95" s="102">
        <f t="shared" si="17"/>
        <v>4</v>
      </c>
      <c r="L95" s="102">
        <f t="shared" si="17"/>
        <v>3</v>
      </c>
      <c r="M95" s="102">
        <f t="shared" si="17"/>
        <v>3</v>
      </c>
      <c r="N95" s="102">
        <f t="shared" si="17"/>
        <v>2</v>
      </c>
      <c r="O95" s="102">
        <f t="shared" si="17"/>
        <v>4</v>
      </c>
      <c r="P95" s="121">
        <f t="shared" si="18"/>
        <v>3.2</v>
      </c>
      <c r="Q95" s="102">
        <v>2</v>
      </c>
      <c r="R95" s="102">
        <f t="shared" si="19"/>
        <v>2</v>
      </c>
      <c r="S95" s="138">
        <v>0.106214048049231</v>
      </c>
      <c r="T95" s="102">
        <f t="shared" si="20"/>
        <v>1</v>
      </c>
      <c r="U95" s="139">
        <v>7.1628503444258904E-2</v>
      </c>
      <c r="V95" s="102">
        <f t="shared" si="21"/>
        <v>2</v>
      </c>
      <c r="W95" s="124">
        <v>2.9985999999999999E-10</v>
      </c>
      <c r="X95" s="102">
        <f t="shared" si="29"/>
        <v>2</v>
      </c>
      <c r="Y95" s="109">
        <v>80</v>
      </c>
      <c r="Z95" s="102">
        <f t="shared" si="23"/>
        <v>4</v>
      </c>
      <c r="AA95" s="125">
        <f t="shared" si="24"/>
        <v>42.599999999999994</v>
      </c>
      <c r="AB95" s="126" t="s">
        <v>580</v>
      </c>
      <c r="AC95" s="126">
        <v>1</v>
      </c>
      <c r="AD95" s="126">
        <v>4</v>
      </c>
      <c r="AE95" s="126">
        <v>100</v>
      </c>
      <c r="AF95" s="102">
        <f>IF(AND(AE95&gt;=AE$200,AE95&lt;AE$201),1,IF(AND(AE95&gt;=AE$201,AE95&lt;AE$202),2,IF(AND(AE95&gt;=AE$202,AE95&lt;AE$203),3,IF(AND(AE95&gt;=AE$203,AE95&lt;=AE$204),4,"empty"))))</f>
        <v>4</v>
      </c>
      <c r="AG95" s="127">
        <f t="shared" si="25"/>
        <v>9</v>
      </c>
      <c r="AH95" s="128">
        <f t="shared" si="26"/>
        <v>54.8</v>
      </c>
      <c r="AI95" s="108">
        <v>2035</v>
      </c>
      <c r="AJ95" s="108" t="str">
        <f t="shared" si="27"/>
        <v>mid adopter</v>
      </c>
    </row>
    <row r="96" spans="1:36">
      <c r="A96" s="102" t="s">
        <v>343</v>
      </c>
      <c r="B96" s="120" t="s">
        <v>342</v>
      </c>
      <c r="C96" s="120" t="s">
        <v>74</v>
      </c>
      <c r="D96" s="102" t="s">
        <v>87</v>
      </c>
      <c r="E96" s="109">
        <v>1</v>
      </c>
      <c r="F96" s="102">
        <v>1994</v>
      </c>
      <c r="G96" s="102">
        <v>1994</v>
      </c>
      <c r="H96" s="102">
        <v>2008</v>
      </c>
      <c r="I96" s="102" t="s">
        <v>566</v>
      </c>
      <c r="J96" s="102" t="s">
        <v>566</v>
      </c>
      <c r="K96" s="102">
        <f t="shared" si="17"/>
        <v>3</v>
      </c>
      <c r="L96" s="102">
        <f t="shared" si="17"/>
        <v>3</v>
      </c>
      <c r="M96" s="102">
        <f t="shared" si="17"/>
        <v>4</v>
      </c>
      <c r="N96" s="102">
        <f t="shared" si="17"/>
        <v>1</v>
      </c>
      <c r="O96" s="102">
        <f t="shared" si="17"/>
        <v>1</v>
      </c>
      <c r="P96" s="121">
        <f t="shared" si="18"/>
        <v>2.4</v>
      </c>
      <c r="Q96" s="102">
        <v>21</v>
      </c>
      <c r="R96" s="102">
        <f t="shared" si="19"/>
        <v>2</v>
      </c>
      <c r="S96" s="138">
        <v>8.9724648681786299</v>
      </c>
      <c r="T96" s="102">
        <f t="shared" si="20"/>
        <v>2</v>
      </c>
      <c r="U96" s="139">
        <v>0.22991019356657499</v>
      </c>
      <c r="V96" s="102">
        <f t="shared" si="21"/>
        <v>2</v>
      </c>
      <c r="W96" s="124">
        <v>0</v>
      </c>
      <c r="X96" s="102">
        <f t="shared" si="29"/>
        <v>2</v>
      </c>
      <c r="Y96" s="109">
        <v>79</v>
      </c>
      <c r="Z96" s="102">
        <f t="shared" si="23"/>
        <v>4</v>
      </c>
      <c r="AA96" s="125">
        <f t="shared" si="24"/>
        <v>43.2</v>
      </c>
      <c r="AB96" s="126" t="s">
        <v>580</v>
      </c>
      <c r="AC96" s="126">
        <v>1</v>
      </c>
      <c r="AD96" s="126">
        <v>4</v>
      </c>
      <c r="AE96" s="126" t="s">
        <v>582</v>
      </c>
      <c r="AF96" s="126">
        <v>4</v>
      </c>
      <c r="AG96" s="127">
        <f t="shared" si="25"/>
        <v>9</v>
      </c>
      <c r="AH96" s="128">
        <f t="shared" si="26"/>
        <v>54.6</v>
      </c>
      <c r="AI96" s="108">
        <v>2035</v>
      </c>
      <c r="AJ96" s="108" t="str">
        <f t="shared" si="27"/>
        <v>mid adopter</v>
      </c>
    </row>
    <row r="97" spans="1:36">
      <c r="A97" s="102" t="s">
        <v>299</v>
      </c>
      <c r="B97" s="120" t="s">
        <v>298</v>
      </c>
      <c r="C97" s="120" t="s">
        <v>99</v>
      </c>
      <c r="D97" s="102" t="s">
        <v>80</v>
      </c>
      <c r="E97" s="109">
        <v>1</v>
      </c>
      <c r="F97" s="102">
        <v>1998</v>
      </c>
      <c r="G97" s="102">
        <v>1998</v>
      </c>
      <c r="H97" s="102">
        <v>2009</v>
      </c>
      <c r="I97" s="102">
        <v>2009</v>
      </c>
      <c r="J97" s="102">
        <v>2009</v>
      </c>
      <c r="K97" s="102">
        <f t="shared" si="17"/>
        <v>3</v>
      </c>
      <c r="L97" s="102">
        <f t="shared" si="17"/>
        <v>3</v>
      </c>
      <c r="M97" s="102">
        <f t="shared" si="17"/>
        <v>3</v>
      </c>
      <c r="N97" s="102">
        <f t="shared" si="17"/>
        <v>4</v>
      </c>
      <c r="O97" s="102">
        <f t="shared" si="17"/>
        <v>4</v>
      </c>
      <c r="P97" s="121">
        <f t="shared" si="18"/>
        <v>3.4</v>
      </c>
      <c r="Q97" s="102">
        <v>0</v>
      </c>
      <c r="R97" s="102">
        <f t="shared" si="19"/>
        <v>1</v>
      </c>
      <c r="S97" s="138">
        <v>942.88121366165399</v>
      </c>
      <c r="T97" s="102">
        <f t="shared" si="20"/>
        <v>4</v>
      </c>
      <c r="U97" s="139">
        <v>0.86964733054451304</v>
      </c>
      <c r="V97" s="102">
        <f t="shared" si="21"/>
        <v>3</v>
      </c>
      <c r="W97" s="124" t="s">
        <v>573</v>
      </c>
      <c r="X97" s="102">
        <v>1</v>
      </c>
      <c r="Y97" s="109">
        <v>85</v>
      </c>
      <c r="Z97" s="102">
        <f t="shared" si="23"/>
        <v>3</v>
      </c>
      <c r="AA97" s="125">
        <f t="shared" si="24"/>
        <v>46.2</v>
      </c>
      <c r="AB97" s="126" t="s">
        <v>580</v>
      </c>
      <c r="AC97" s="126">
        <v>1</v>
      </c>
      <c r="AD97" s="126">
        <v>3</v>
      </c>
      <c r="AE97" s="126">
        <v>2.3076923076923079</v>
      </c>
      <c r="AF97" s="102">
        <f>IF(AND(AE97&gt;=AE$200,AE97&lt;AE$201),1,IF(AND(AE97&gt;=AE$201,AE97&lt;AE$202),2,IF(AND(AE97&gt;=AE$202,AE97&lt;AE$203),3,IF(AND(AE97&gt;=AE$203,AE97&lt;=AE$204),4,"empty"))))</f>
        <v>1</v>
      </c>
      <c r="AG97" s="127">
        <f t="shared" si="25"/>
        <v>5</v>
      </c>
      <c r="AH97" s="128">
        <f t="shared" si="26"/>
        <v>54.6</v>
      </c>
      <c r="AI97" s="108">
        <v>2035</v>
      </c>
      <c r="AJ97" s="108" t="str">
        <f t="shared" si="27"/>
        <v>mid adopter</v>
      </c>
    </row>
    <row r="98" spans="1:36">
      <c r="A98" s="102" t="s">
        <v>134</v>
      </c>
      <c r="B98" s="120" t="s">
        <v>133</v>
      </c>
      <c r="C98" s="120" t="s">
        <v>79</v>
      </c>
      <c r="D98" s="102" t="s">
        <v>80</v>
      </c>
      <c r="E98" s="109">
        <v>1</v>
      </c>
      <c r="F98" s="102">
        <v>1983</v>
      </c>
      <c r="G98" s="102">
        <v>1992</v>
      </c>
      <c r="H98" s="102">
        <v>2010</v>
      </c>
      <c r="I98" s="102">
        <v>2018</v>
      </c>
      <c r="J98" s="102">
        <v>2017</v>
      </c>
      <c r="K98" s="102">
        <f t="shared" si="17"/>
        <v>4</v>
      </c>
      <c r="L98" s="102">
        <f t="shared" si="17"/>
        <v>3</v>
      </c>
      <c r="M98" s="102">
        <f t="shared" si="17"/>
        <v>3</v>
      </c>
      <c r="N98" s="102">
        <f t="shared" si="17"/>
        <v>1</v>
      </c>
      <c r="O98" s="102">
        <f t="shared" si="17"/>
        <v>2</v>
      </c>
      <c r="P98" s="121">
        <f t="shared" si="18"/>
        <v>2.6</v>
      </c>
      <c r="Q98" s="102">
        <v>1247</v>
      </c>
      <c r="R98" s="102">
        <f t="shared" si="19"/>
        <v>4</v>
      </c>
      <c r="S98" s="138">
        <v>29.751860808252701</v>
      </c>
      <c r="T98" s="102">
        <f t="shared" si="20"/>
        <v>2</v>
      </c>
      <c r="U98" s="139">
        <v>1.13152262001096E-2</v>
      </c>
      <c r="V98" s="102">
        <f t="shared" si="21"/>
        <v>2</v>
      </c>
      <c r="W98" s="124">
        <v>0</v>
      </c>
      <c r="X98" s="102">
        <f t="shared" ref="X98:X114" si="30">IF(AND(W98&gt;=W$200,W98&lt;W$201),1,IF(AND(W98&gt;=W$201,W98&lt;W$202),2,IF(AND(W98&gt;=W$202,W98&lt;W$203),3,IF(AND(W98&gt;=W$203,W98&lt;=W$204),4,"empty"))))</f>
        <v>2</v>
      </c>
      <c r="Y98" s="109">
        <v>93</v>
      </c>
      <c r="Z98" s="102">
        <f t="shared" si="23"/>
        <v>2</v>
      </c>
      <c r="AA98" s="125">
        <f t="shared" si="24"/>
        <v>43.8</v>
      </c>
      <c r="AB98" s="126" t="s">
        <v>580</v>
      </c>
      <c r="AC98" s="126">
        <v>1</v>
      </c>
      <c r="AD98" s="126">
        <v>3</v>
      </c>
      <c r="AE98" s="126">
        <v>100</v>
      </c>
      <c r="AF98" s="102">
        <f>IF(AND(AE98&gt;=AE$200,AE98&lt;AE$201),1,IF(AND(AE98&gt;=AE$201,AE98&lt;AE$202),2,IF(AND(AE98&gt;=AE$202,AE98&lt;AE$203),3,IF(AND(AE98&gt;=AE$203,AE98&lt;=AE$204),4,"empty"))))</f>
        <v>4</v>
      </c>
      <c r="AG98" s="127">
        <f t="shared" si="25"/>
        <v>8</v>
      </c>
      <c r="AH98" s="128">
        <f t="shared" si="26"/>
        <v>54.4</v>
      </c>
      <c r="AI98" s="108">
        <v>2035</v>
      </c>
      <c r="AJ98" s="108" t="str">
        <f t="shared" si="27"/>
        <v>mid adopter</v>
      </c>
    </row>
    <row r="99" spans="1:36">
      <c r="A99" s="102" t="s">
        <v>279</v>
      </c>
      <c r="B99" s="120" t="s">
        <v>278</v>
      </c>
      <c r="C99" s="120" t="s">
        <v>74</v>
      </c>
      <c r="D99" s="102" t="s">
        <v>80</v>
      </c>
      <c r="E99" s="109">
        <v>2</v>
      </c>
      <c r="F99" s="102">
        <v>1995</v>
      </c>
      <c r="G99" s="102">
        <v>1993</v>
      </c>
      <c r="H99" s="102">
        <v>2013</v>
      </c>
      <c r="I99" s="102">
        <v>2013</v>
      </c>
      <c r="J99" s="102">
        <v>2013</v>
      </c>
      <c r="K99" s="102">
        <f t="shared" si="17"/>
        <v>3</v>
      </c>
      <c r="L99" s="102">
        <f t="shared" si="17"/>
        <v>3</v>
      </c>
      <c r="M99" s="102">
        <f t="shared" si="17"/>
        <v>2</v>
      </c>
      <c r="N99" s="102">
        <f t="shared" si="17"/>
        <v>3</v>
      </c>
      <c r="O99" s="102">
        <f t="shared" si="17"/>
        <v>3</v>
      </c>
      <c r="P99" s="121">
        <f t="shared" si="18"/>
        <v>2.8</v>
      </c>
      <c r="Q99" s="102">
        <v>188</v>
      </c>
      <c r="R99" s="102">
        <f t="shared" si="19"/>
        <v>3</v>
      </c>
      <c r="S99" s="138">
        <v>7.5072200266038598</v>
      </c>
      <c r="T99" s="102">
        <f t="shared" si="20"/>
        <v>2</v>
      </c>
      <c r="U99" s="139">
        <v>0.39490213120901302</v>
      </c>
      <c r="V99" s="102">
        <f t="shared" si="21"/>
        <v>2</v>
      </c>
      <c r="W99" s="124">
        <v>0</v>
      </c>
      <c r="X99" s="102">
        <f t="shared" si="30"/>
        <v>2</v>
      </c>
      <c r="Y99" s="109">
        <v>92</v>
      </c>
      <c r="Z99" s="102">
        <f t="shared" si="23"/>
        <v>3</v>
      </c>
      <c r="AA99" s="125">
        <f t="shared" si="24"/>
        <v>44.400000000000006</v>
      </c>
      <c r="AB99" s="126" t="s">
        <v>580</v>
      </c>
      <c r="AC99" s="126">
        <v>1</v>
      </c>
      <c r="AD99" s="126">
        <v>3</v>
      </c>
      <c r="AE99" s="126" t="s">
        <v>582</v>
      </c>
      <c r="AF99" s="102">
        <v>3</v>
      </c>
      <c r="AG99" s="127">
        <f t="shared" si="25"/>
        <v>7</v>
      </c>
      <c r="AH99" s="128">
        <f t="shared" si="26"/>
        <v>54.2</v>
      </c>
      <c r="AI99" s="108">
        <v>2035</v>
      </c>
      <c r="AJ99" s="108" t="str">
        <f t="shared" si="27"/>
        <v>mid adopter</v>
      </c>
    </row>
    <row r="100" spans="1:36">
      <c r="A100" s="102" t="s">
        <v>393</v>
      </c>
      <c r="B100" s="120" t="s">
        <v>392</v>
      </c>
      <c r="C100" s="120" t="s">
        <v>99</v>
      </c>
      <c r="D100" s="102" t="s">
        <v>87</v>
      </c>
      <c r="E100" s="109">
        <v>1</v>
      </c>
      <c r="F100" s="102">
        <v>1998</v>
      </c>
      <c r="G100" s="102">
        <v>1982</v>
      </c>
      <c r="H100" s="102">
        <v>2009</v>
      </c>
      <c r="I100" s="102" t="s">
        <v>566</v>
      </c>
      <c r="J100" s="102">
        <v>2010</v>
      </c>
      <c r="K100" s="102">
        <f t="shared" ref="K100:O131" si="31">IF(AND(F100&gt;=F$200,F100&lt;F$201),4,IF(AND(F100&gt;=F$201,F100&lt;F$202),3,IF(AND(F100&gt;=F$202,F100&lt;F$203),2,IF(AND(F100&gt;=F$203,F100&lt;=F$204),1,1))))</f>
        <v>3</v>
      </c>
      <c r="L100" s="102">
        <f t="shared" si="31"/>
        <v>4</v>
      </c>
      <c r="M100" s="102">
        <f t="shared" si="31"/>
        <v>3</v>
      </c>
      <c r="N100" s="102">
        <f t="shared" si="31"/>
        <v>1</v>
      </c>
      <c r="O100" s="102">
        <f t="shared" si="31"/>
        <v>4</v>
      </c>
      <c r="P100" s="121">
        <f t="shared" si="18"/>
        <v>3</v>
      </c>
      <c r="Q100" s="102">
        <v>162</v>
      </c>
      <c r="R100" s="102">
        <f t="shared" si="19"/>
        <v>3</v>
      </c>
      <c r="S100" s="138">
        <v>2.89691350211818</v>
      </c>
      <c r="T100" s="102">
        <f t="shared" si="20"/>
        <v>2</v>
      </c>
      <c r="U100" s="139">
        <v>5.0990057358884597E-3</v>
      </c>
      <c r="V100" s="102">
        <f t="shared" si="21"/>
        <v>1</v>
      </c>
      <c r="W100" s="124">
        <v>0</v>
      </c>
      <c r="X100" s="102">
        <f t="shared" si="30"/>
        <v>2</v>
      </c>
      <c r="Y100" s="109">
        <v>85</v>
      </c>
      <c r="Z100" s="102">
        <f t="shared" si="23"/>
        <v>3</v>
      </c>
      <c r="AA100" s="125">
        <f t="shared" si="24"/>
        <v>42</v>
      </c>
      <c r="AB100" s="126" t="s">
        <v>580</v>
      </c>
      <c r="AC100" s="126">
        <v>1</v>
      </c>
      <c r="AD100" s="126">
        <v>4</v>
      </c>
      <c r="AE100" s="126" t="s">
        <v>582</v>
      </c>
      <c r="AF100" s="126">
        <v>4</v>
      </c>
      <c r="AG100" s="127">
        <f t="shared" si="25"/>
        <v>9</v>
      </c>
      <c r="AH100" s="128">
        <f t="shared" si="26"/>
        <v>54</v>
      </c>
      <c r="AI100" s="108">
        <v>2036</v>
      </c>
      <c r="AJ100" s="108" t="str">
        <f t="shared" si="27"/>
        <v>mid adopter</v>
      </c>
    </row>
    <row r="101" spans="1:36">
      <c r="A101" s="102" t="s">
        <v>235</v>
      </c>
      <c r="B101" s="120" t="s">
        <v>234</v>
      </c>
      <c r="C101" s="120" t="s">
        <v>79</v>
      </c>
      <c r="D101" s="102" t="s">
        <v>87</v>
      </c>
      <c r="E101" s="109">
        <v>1</v>
      </c>
      <c r="F101" s="102">
        <v>1976</v>
      </c>
      <c r="G101" s="102">
        <v>1979</v>
      </c>
      <c r="H101" s="102">
        <v>2011</v>
      </c>
      <c r="I101" s="102" t="s">
        <v>566</v>
      </c>
      <c r="J101" s="102">
        <v>2011</v>
      </c>
      <c r="K101" s="102">
        <f t="shared" si="31"/>
        <v>4</v>
      </c>
      <c r="L101" s="102">
        <f t="shared" si="31"/>
        <v>4</v>
      </c>
      <c r="M101" s="102">
        <f t="shared" si="31"/>
        <v>3</v>
      </c>
      <c r="N101" s="102">
        <f t="shared" si="31"/>
        <v>1</v>
      </c>
      <c r="O101" s="102">
        <f t="shared" si="31"/>
        <v>3</v>
      </c>
      <c r="P101" s="121">
        <f t="shared" si="18"/>
        <v>3</v>
      </c>
      <c r="Q101" s="102">
        <v>9</v>
      </c>
      <c r="R101" s="102">
        <f t="shared" si="19"/>
        <v>2</v>
      </c>
      <c r="S101" s="138">
        <v>4.0600641005412204</v>
      </c>
      <c r="T101" s="102">
        <f t="shared" si="20"/>
        <v>2</v>
      </c>
      <c r="U101" s="139">
        <v>2.9734730703534902E-4</v>
      </c>
      <c r="V101" s="102">
        <f t="shared" si="21"/>
        <v>1</v>
      </c>
      <c r="W101" s="124">
        <v>0</v>
      </c>
      <c r="X101" s="102">
        <f t="shared" si="30"/>
        <v>2</v>
      </c>
      <c r="Y101" s="109">
        <v>54</v>
      </c>
      <c r="Z101" s="102">
        <f t="shared" si="23"/>
        <v>4</v>
      </c>
      <c r="AA101" s="125">
        <f t="shared" si="24"/>
        <v>42</v>
      </c>
      <c r="AB101" s="126" t="s">
        <v>580</v>
      </c>
      <c r="AC101" s="126">
        <v>1</v>
      </c>
      <c r="AD101" s="126">
        <v>4</v>
      </c>
      <c r="AE101" s="126">
        <v>100</v>
      </c>
      <c r="AF101" s="102">
        <f>IF(AND(AE101&gt;=AE$200,AE101&lt;AE$201),1,IF(AND(AE101&gt;=AE$201,AE101&lt;AE$202),2,IF(AND(AE101&gt;=AE$202,AE101&lt;AE$203),3,IF(AND(AE101&gt;=AE$203,AE101&lt;=AE$204),4,"empty"))))</f>
        <v>4</v>
      </c>
      <c r="AG101" s="127">
        <f t="shared" si="25"/>
        <v>9</v>
      </c>
      <c r="AH101" s="128">
        <f t="shared" si="26"/>
        <v>54</v>
      </c>
      <c r="AI101" s="108">
        <v>2036</v>
      </c>
      <c r="AJ101" s="108" t="str">
        <f t="shared" si="27"/>
        <v>mid adopter</v>
      </c>
    </row>
    <row r="102" spans="1:36">
      <c r="A102" s="102" t="s">
        <v>193</v>
      </c>
      <c r="B102" s="120" t="s">
        <v>192</v>
      </c>
      <c r="C102" s="120" t="s">
        <v>83</v>
      </c>
      <c r="D102" s="102" t="s">
        <v>80</v>
      </c>
      <c r="E102" s="109">
        <v>3</v>
      </c>
      <c r="F102" s="102">
        <v>2022</v>
      </c>
      <c r="G102" s="102" t="s">
        <v>566</v>
      </c>
      <c r="H102" s="102" t="s">
        <v>566</v>
      </c>
      <c r="I102" s="102" t="s">
        <v>566</v>
      </c>
      <c r="J102" s="102" t="s">
        <v>566</v>
      </c>
      <c r="K102" s="102">
        <f t="shared" si="31"/>
        <v>1</v>
      </c>
      <c r="L102" s="102">
        <f t="shared" si="31"/>
        <v>1</v>
      </c>
      <c r="M102" s="102">
        <f t="shared" si="31"/>
        <v>1</v>
      </c>
      <c r="N102" s="102">
        <f t="shared" si="31"/>
        <v>1</v>
      </c>
      <c r="O102" s="102">
        <f t="shared" si="31"/>
        <v>1</v>
      </c>
      <c r="P102" s="121">
        <f t="shared" si="18"/>
        <v>1</v>
      </c>
      <c r="Q102" s="102">
        <v>47</v>
      </c>
      <c r="R102" s="102">
        <f t="shared" si="19"/>
        <v>2</v>
      </c>
      <c r="S102" s="138">
        <v>1595.9262993806501</v>
      </c>
      <c r="T102" s="102">
        <f t="shared" si="20"/>
        <v>4</v>
      </c>
      <c r="U102" s="139">
        <v>20.108774072591</v>
      </c>
      <c r="V102" s="102">
        <f t="shared" si="21"/>
        <v>3</v>
      </c>
      <c r="W102" s="124">
        <v>27.946000000000002</v>
      </c>
      <c r="X102" s="102">
        <f t="shared" si="30"/>
        <v>3</v>
      </c>
      <c r="Y102" s="109">
        <v>94</v>
      </c>
      <c r="Z102" s="102">
        <f t="shared" si="23"/>
        <v>2</v>
      </c>
      <c r="AA102" s="125">
        <f t="shared" si="24"/>
        <v>45</v>
      </c>
      <c r="AB102" s="126" t="s">
        <v>580</v>
      </c>
      <c r="AC102" s="126">
        <v>1</v>
      </c>
      <c r="AD102" s="126">
        <v>3</v>
      </c>
      <c r="AE102" s="126">
        <v>100</v>
      </c>
      <c r="AF102" s="102">
        <f>IF(AND(AE102&gt;=AE$200,AE102&lt;AE$201),1,IF(AND(AE102&gt;=AE$201,AE102&lt;AE$202),2,IF(AND(AE102&gt;=AE$202,AE102&lt;AE$203),3,IF(AND(AE102&gt;=AE$203,AE102&lt;=AE$204),4,"empty"))))</f>
        <v>4</v>
      </c>
      <c r="AG102" s="127">
        <f t="shared" si="25"/>
        <v>8</v>
      </c>
      <c r="AH102" s="128">
        <f t="shared" si="26"/>
        <v>54</v>
      </c>
      <c r="AI102" s="108">
        <v>2036</v>
      </c>
      <c r="AJ102" s="108" t="str">
        <f t="shared" si="27"/>
        <v>mid adopter</v>
      </c>
    </row>
    <row r="103" spans="1:36">
      <c r="A103" s="102" t="s">
        <v>207</v>
      </c>
      <c r="B103" s="120" t="s">
        <v>206</v>
      </c>
      <c r="C103" s="120" t="s">
        <v>83</v>
      </c>
      <c r="D103" s="102" t="s">
        <v>80</v>
      </c>
      <c r="E103" s="109">
        <v>3</v>
      </c>
      <c r="F103" s="102" t="s">
        <v>566</v>
      </c>
      <c r="G103" s="102" t="s">
        <v>566</v>
      </c>
      <c r="H103" s="102" t="s">
        <v>566</v>
      </c>
      <c r="I103" s="102" t="s">
        <v>566</v>
      </c>
      <c r="J103" s="102" t="s">
        <v>566</v>
      </c>
      <c r="K103" s="102">
        <f t="shared" si="31"/>
        <v>1</v>
      </c>
      <c r="L103" s="102">
        <f t="shared" si="31"/>
        <v>1</v>
      </c>
      <c r="M103" s="102">
        <f t="shared" si="31"/>
        <v>1</v>
      </c>
      <c r="N103" s="102">
        <f t="shared" si="31"/>
        <v>1</v>
      </c>
      <c r="O103" s="102">
        <f t="shared" si="31"/>
        <v>1</v>
      </c>
      <c r="P103" s="121">
        <f t="shared" si="18"/>
        <v>1</v>
      </c>
      <c r="Q103" s="102">
        <v>2</v>
      </c>
      <c r="R103" s="102">
        <f t="shared" si="19"/>
        <v>2</v>
      </c>
      <c r="S103" s="138">
        <v>948.39560711021602</v>
      </c>
      <c r="T103" s="102">
        <f t="shared" si="20"/>
        <v>4</v>
      </c>
      <c r="U103" s="139">
        <v>20.222479705984501</v>
      </c>
      <c r="V103" s="102">
        <f t="shared" si="21"/>
        <v>3</v>
      </c>
      <c r="W103" s="124">
        <v>51.033999999999999</v>
      </c>
      <c r="X103" s="102">
        <f t="shared" si="30"/>
        <v>3</v>
      </c>
      <c r="Y103" s="109">
        <v>94</v>
      </c>
      <c r="Z103" s="102">
        <f t="shared" si="23"/>
        <v>2</v>
      </c>
      <c r="AA103" s="125">
        <f t="shared" si="24"/>
        <v>45</v>
      </c>
      <c r="AB103" s="126" t="s">
        <v>580</v>
      </c>
      <c r="AC103" s="126">
        <v>1</v>
      </c>
      <c r="AD103" s="126">
        <v>3</v>
      </c>
      <c r="AE103" s="126">
        <v>100</v>
      </c>
      <c r="AF103" s="102">
        <f>IF(AND(AE103&gt;=AE$200,AE103&lt;AE$201),1,IF(AND(AE103&gt;=AE$201,AE103&lt;AE$202),2,IF(AND(AE103&gt;=AE$202,AE103&lt;AE$203),3,IF(AND(AE103&gt;=AE$203,AE103&lt;=AE$204),4,"empty"))))</f>
        <v>4</v>
      </c>
      <c r="AG103" s="127">
        <f t="shared" si="25"/>
        <v>8</v>
      </c>
      <c r="AH103" s="128">
        <f t="shared" si="26"/>
        <v>54</v>
      </c>
      <c r="AI103" s="108">
        <v>2036</v>
      </c>
      <c r="AJ103" s="108" t="str">
        <f t="shared" si="27"/>
        <v>mid adopter</v>
      </c>
    </row>
    <row r="104" spans="1:36">
      <c r="A104" s="102" t="s">
        <v>209</v>
      </c>
      <c r="B104" s="120" t="s">
        <v>208</v>
      </c>
      <c r="C104" s="120" t="s">
        <v>83</v>
      </c>
      <c r="D104" s="102" t="s">
        <v>75</v>
      </c>
      <c r="E104" s="109">
        <v>3</v>
      </c>
      <c r="F104" s="102">
        <v>2012</v>
      </c>
      <c r="G104" s="102">
        <v>2016</v>
      </c>
      <c r="H104" s="102">
        <v>2009</v>
      </c>
      <c r="I104" s="102">
        <v>2013</v>
      </c>
      <c r="J104" s="102">
        <v>2019</v>
      </c>
      <c r="K104" s="102">
        <f t="shared" si="31"/>
        <v>1</v>
      </c>
      <c r="L104" s="102">
        <f t="shared" si="31"/>
        <v>1</v>
      </c>
      <c r="M104" s="102">
        <f t="shared" si="31"/>
        <v>3</v>
      </c>
      <c r="N104" s="102">
        <f t="shared" si="31"/>
        <v>3</v>
      </c>
      <c r="O104" s="102">
        <f t="shared" si="31"/>
        <v>2</v>
      </c>
      <c r="P104" s="121">
        <f t="shared" si="18"/>
        <v>2</v>
      </c>
      <c r="Q104" s="102">
        <v>2</v>
      </c>
      <c r="R104" s="102">
        <f t="shared" si="19"/>
        <v>2</v>
      </c>
      <c r="S104" s="138">
        <v>143.45459313573201</v>
      </c>
      <c r="T104" s="102">
        <f t="shared" si="20"/>
        <v>3</v>
      </c>
      <c r="U104" s="139">
        <v>30.117201496743899</v>
      </c>
      <c r="V104" s="102">
        <f t="shared" si="21"/>
        <v>3</v>
      </c>
      <c r="W104" s="124">
        <v>65.055999999999997</v>
      </c>
      <c r="X104" s="102">
        <f t="shared" si="30"/>
        <v>3</v>
      </c>
      <c r="Y104" s="109">
        <v>96</v>
      </c>
      <c r="Z104" s="102">
        <f t="shared" si="23"/>
        <v>2</v>
      </c>
      <c r="AA104" s="125">
        <f t="shared" si="24"/>
        <v>45</v>
      </c>
      <c r="AB104" s="126" t="s">
        <v>579</v>
      </c>
      <c r="AC104" s="126">
        <v>4</v>
      </c>
      <c r="AD104" s="126">
        <v>1</v>
      </c>
      <c r="AE104" s="126">
        <v>39.280253923237836</v>
      </c>
      <c r="AF104" s="102">
        <f>IF(AND(AE104&gt;=AE$200,AE104&lt;AE$201),1,IF(AND(AE104&gt;=AE$201,AE104&lt;AE$202),2,IF(AND(AE104&gt;=AE$202,AE104&lt;AE$203),3,IF(AND(AE104&gt;=AE$203,AE104&lt;=AE$204),4,"empty"))))</f>
        <v>2</v>
      </c>
      <c r="AG104" s="127">
        <f t="shared" si="25"/>
        <v>7</v>
      </c>
      <c r="AH104" s="128">
        <f t="shared" si="26"/>
        <v>54</v>
      </c>
      <c r="AI104" s="108">
        <v>2036</v>
      </c>
      <c r="AJ104" s="108" t="str">
        <f t="shared" si="27"/>
        <v>mid adopter</v>
      </c>
    </row>
    <row r="105" spans="1:36">
      <c r="A105" s="102" t="s">
        <v>341</v>
      </c>
      <c r="B105" s="120" t="s">
        <v>340</v>
      </c>
      <c r="C105" s="120" t="s">
        <v>79</v>
      </c>
      <c r="D105" s="102" t="s">
        <v>87</v>
      </c>
      <c r="E105" s="109">
        <v>1</v>
      </c>
      <c r="F105" s="102">
        <v>1983</v>
      </c>
      <c r="G105" s="102">
        <v>1978</v>
      </c>
      <c r="H105" s="102">
        <v>2006</v>
      </c>
      <c r="I105" s="102">
        <v>2014</v>
      </c>
      <c r="J105" s="102">
        <v>2009</v>
      </c>
      <c r="K105" s="102">
        <f t="shared" si="31"/>
        <v>4</v>
      </c>
      <c r="L105" s="102">
        <f t="shared" si="31"/>
        <v>4</v>
      </c>
      <c r="M105" s="102">
        <f t="shared" si="31"/>
        <v>4</v>
      </c>
      <c r="N105" s="102">
        <f t="shared" si="31"/>
        <v>2</v>
      </c>
      <c r="O105" s="102">
        <f t="shared" si="31"/>
        <v>4</v>
      </c>
      <c r="P105" s="121">
        <f t="shared" si="18"/>
        <v>3.6</v>
      </c>
      <c r="Q105" s="102">
        <v>17</v>
      </c>
      <c r="R105" s="102">
        <f t="shared" si="19"/>
        <v>2</v>
      </c>
      <c r="S105" s="138">
        <v>0.52606119378665295</v>
      </c>
      <c r="T105" s="102">
        <f t="shared" si="20"/>
        <v>1</v>
      </c>
      <c r="U105" s="139">
        <v>1.09377604817271E-2</v>
      </c>
      <c r="V105" s="102">
        <f t="shared" si="21"/>
        <v>2</v>
      </c>
      <c r="W105" s="124">
        <v>3.3032999999999999E-4</v>
      </c>
      <c r="X105" s="102">
        <f t="shared" si="30"/>
        <v>3</v>
      </c>
      <c r="Y105" s="109">
        <v>95</v>
      </c>
      <c r="Z105" s="102">
        <f t="shared" si="23"/>
        <v>2</v>
      </c>
      <c r="AA105" s="125">
        <f t="shared" si="24"/>
        <v>40.799999999999997</v>
      </c>
      <c r="AB105" s="126" t="s">
        <v>580</v>
      </c>
      <c r="AC105" s="126">
        <v>1</v>
      </c>
      <c r="AD105" s="126">
        <v>4</v>
      </c>
      <c r="AE105" s="126">
        <v>100</v>
      </c>
      <c r="AF105" s="126">
        <v>4</v>
      </c>
      <c r="AG105" s="127">
        <f t="shared" si="25"/>
        <v>9</v>
      </c>
      <c r="AH105" s="128">
        <f t="shared" si="26"/>
        <v>53.4</v>
      </c>
      <c r="AI105" s="108">
        <v>2036</v>
      </c>
      <c r="AJ105" s="108" t="str">
        <f t="shared" si="27"/>
        <v>mid adopter</v>
      </c>
    </row>
    <row r="106" spans="1:36">
      <c r="A106" s="102" t="s">
        <v>293</v>
      </c>
      <c r="B106" s="120" t="s">
        <v>292</v>
      </c>
      <c r="C106" s="120" t="s">
        <v>110</v>
      </c>
      <c r="D106" s="102" t="s">
        <v>80</v>
      </c>
      <c r="E106" s="109">
        <v>2</v>
      </c>
      <c r="F106" s="102">
        <v>2007</v>
      </c>
      <c r="G106" s="102">
        <v>2007</v>
      </c>
      <c r="H106" s="102" t="s">
        <v>566</v>
      </c>
      <c r="I106" s="102" t="s">
        <v>566</v>
      </c>
      <c r="J106" s="102">
        <v>2019</v>
      </c>
      <c r="K106" s="102">
        <f t="shared" si="31"/>
        <v>2</v>
      </c>
      <c r="L106" s="102">
        <f t="shared" si="31"/>
        <v>2</v>
      </c>
      <c r="M106" s="102">
        <f t="shared" si="31"/>
        <v>1</v>
      </c>
      <c r="N106" s="102">
        <f t="shared" si="31"/>
        <v>1</v>
      </c>
      <c r="O106" s="102">
        <f t="shared" si="31"/>
        <v>2</v>
      </c>
      <c r="P106" s="121">
        <f t="shared" si="18"/>
        <v>1.6</v>
      </c>
      <c r="Q106" s="102">
        <v>0</v>
      </c>
      <c r="R106" s="102">
        <f t="shared" si="19"/>
        <v>1</v>
      </c>
      <c r="S106" s="138">
        <v>118.262284790761</v>
      </c>
      <c r="T106" s="102">
        <f t="shared" si="20"/>
        <v>3</v>
      </c>
      <c r="U106" s="139">
        <v>1.5489979182179401</v>
      </c>
      <c r="V106" s="102">
        <f t="shared" si="21"/>
        <v>3</v>
      </c>
      <c r="W106" s="124">
        <v>0</v>
      </c>
      <c r="X106" s="102">
        <f t="shared" si="30"/>
        <v>2</v>
      </c>
      <c r="Y106" s="109">
        <v>67</v>
      </c>
      <c r="Z106" s="102">
        <f t="shared" si="23"/>
        <v>4</v>
      </c>
      <c r="AA106" s="125">
        <f t="shared" si="24"/>
        <v>43.8</v>
      </c>
      <c r="AB106" s="126" t="s">
        <v>580</v>
      </c>
      <c r="AC106" s="126">
        <v>1</v>
      </c>
      <c r="AD106" s="126">
        <v>3</v>
      </c>
      <c r="AE106" s="126">
        <v>100</v>
      </c>
      <c r="AF106" s="102">
        <f>IF(AND(AE106&gt;=AE$200,AE106&lt;AE$201),1,IF(AND(AE106&gt;=AE$201,AE106&lt;AE$202),2,IF(AND(AE106&gt;=AE$202,AE106&lt;AE$203),3,IF(AND(AE106&gt;=AE$203,AE106&lt;=AE$204),4,"empty"))))</f>
        <v>4</v>
      </c>
      <c r="AG106" s="127">
        <f t="shared" si="25"/>
        <v>8</v>
      </c>
      <c r="AH106" s="128">
        <f t="shared" si="26"/>
        <v>53.4</v>
      </c>
      <c r="AI106" s="108">
        <v>2036</v>
      </c>
      <c r="AJ106" s="108" t="str">
        <f t="shared" si="27"/>
        <v>mid adopter</v>
      </c>
    </row>
    <row r="107" spans="1:36">
      <c r="A107" s="102" t="s">
        <v>307</v>
      </c>
      <c r="B107" s="120" t="s">
        <v>306</v>
      </c>
      <c r="C107" s="120" t="s">
        <v>99</v>
      </c>
      <c r="D107" s="102" t="s">
        <v>84</v>
      </c>
      <c r="E107" s="109">
        <v>1</v>
      </c>
      <c r="F107" s="102">
        <v>1995</v>
      </c>
      <c r="G107" s="102">
        <v>1982</v>
      </c>
      <c r="H107" s="102">
        <v>2008</v>
      </c>
      <c r="I107" s="102">
        <v>2008</v>
      </c>
      <c r="J107" s="102">
        <v>2010</v>
      </c>
      <c r="K107" s="102">
        <f t="shared" si="31"/>
        <v>3</v>
      </c>
      <c r="L107" s="102">
        <f t="shared" si="31"/>
        <v>4</v>
      </c>
      <c r="M107" s="102">
        <f t="shared" si="31"/>
        <v>4</v>
      </c>
      <c r="N107" s="102">
        <f t="shared" si="31"/>
        <v>4</v>
      </c>
      <c r="O107" s="102">
        <f t="shared" si="31"/>
        <v>4</v>
      </c>
      <c r="P107" s="121">
        <f t="shared" si="18"/>
        <v>3.8</v>
      </c>
      <c r="Q107" s="102">
        <v>0</v>
      </c>
      <c r="R107" s="102">
        <f t="shared" si="19"/>
        <v>1</v>
      </c>
      <c r="S107" s="138">
        <v>139.12061689627399</v>
      </c>
      <c r="T107" s="102">
        <f t="shared" si="20"/>
        <v>3</v>
      </c>
      <c r="U107" s="139">
        <v>0.28931595444963298</v>
      </c>
      <c r="V107" s="102">
        <f t="shared" si="21"/>
        <v>2</v>
      </c>
      <c r="W107" s="124">
        <v>4.4882999999999999E-9</v>
      </c>
      <c r="X107" s="102">
        <f t="shared" si="30"/>
        <v>2</v>
      </c>
      <c r="Y107" s="109">
        <v>92</v>
      </c>
      <c r="Z107" s="102">
        <f t="shared" si="23"/>
        <v>3</v>
      </c>
      <c r="AA107" s="125">
        <f t="shared" si="24"/>
        <v>44.400000000000006</v>
      </c>
      <c r="AB107" s="126" t="s">
        <v>580</v>
      </c>
      <c r="AC107" s="126">
        <v>1</v>
      </c>
      <c r="AD107" s="126">
        <v>2</v>
      </c>
      <c r="AE107" s="126" t="s">
        <v>582</v>
      </c>
      <c r="AF107" s="102">
        <v>2</v>
      </c>
      <c r="AG107" s="127">
        <f t="shared" si="25"/>
        <v>5</v>
      </c>
      <c r="AH107" s="128">
        <f t="shared" si="26"/>
        <v>53.2</v>
      </c>
      <c r="AI107" s="108">
        <v>2036</v>
      </c>
      <c r="AJ107" s="108" t="str">
        <f t="shared" si="27"/>
        <v>mid adopter</v>
      </c>
    </row>
    <row r="108" spans="1:36">
      <c r="A108" s="102" t="s">
        <v>359</v>
      </c>
      <c r="B108" s="120" t="s">
        <v>358</v>
      </c>
      <c r="C108" s="120" t="s">
        <v>79</v>
      </c>
      <c r="D108" s="102" t="s">
        <v>87</v>
      </c>
      <c r="E108" s="109">
        <v>1</v>
      </c>
      <c r="F108" s="102">
        <v>1991</v>
      </c>
      <c r="G108" s="102">
        <v>1988</v>
      </c>
      <c r="H108" s="102">
        <v>2017</v>
      </c>
      <c r="I108" s="102" t="s">
        <v>566</v>
      </c>
      <c r="J108" s="102" t="s">
        <v>566</v>
      </c>
      <c r="K108" s="102">
        <f t="shared" si="31"/>
        <v>4</v>
      </c>
      <c r="L108" s="102">
        <f t="shared" si="31"/>
        <v>3</v>
      </c>
      <c r="M108" s="102">
        <f t="shared" si="31"/>
        <v>1</v>
      </c>
      <c r="N108" s="102">
        <f t="shared" si="31"/>
        <v>1</v>
      </c>
      <c r="O108" s="102">
        <f t="shared" si="31"/>
        <v>1</v>
      </c>
      <c r="P108" s="121">
        <f t="shared" si="18"/>
        <v>2</v>
      </c>
      <c r="Q108" s="102">
        <v>1367</v>
      </c>
      <c r="R108" s="102">
        <f t="shared" si="19"/>
        <v>4</v>
      </c>
      <c r="S108" s="138">
        <v>5.9778363165123798</v>
      </c>
      <c r="T108" s="102">
        <f t="shared" si="20"/>
        <v>2</v>
      </c>
      <c r="U108" s="139">
        <v>4.4662427499980298E-2</v>
      </c>
      <c r="V108" s="102">
        <f t="shared" si="21"/>
        <v>2</v>
      </c>
      <c r="W108" s="124">
        <v>1.4200000000000001E-4</v>
      </c>
      <c r="X108" s="102">
        <f t="shared" si="30"/>
        <v>3</v>
      </c>
      <c r="Y108" s="109">
        <v>97</v>
      </c>
      <c r="Z108" s="102">
        <f t="shared" si="23"/>
        <v>1</v>
      </c>
      <c r="AA108" s="125">
        <f t="shared" si="24"/>
        <v>42</v>
      </c>
      <c r="AB108" s="126" t="s">
        <v>580</v>
      </c>
      <c r="AC108" s="126">
        <v>1</v>
      </c>
      <c r="AD108" s="126">
        <v>4</v>
      </c>
      <c r="AE108" s="126">
        <v>79.365079365079424</v>
      </c>
      <c r="AF108" s="126">
        <v>4</v>
      </c>
      <c r="AG108" s="127">
        <f t="shared" si="25"/>
        <v>9</v>
      </c>
      <c r="AH108" s="128">
        <f t="shared" si="26"/>
        <v>53</v>
      </c>
      <c r="AI108" s="108">
        <v>2036</v>
      </c>
      <c r="AJ108" s="108" t="str">
        <f t="shared" si="27"/>
        <v>mid adopter</v>
      </c>
    </row>
    <row r="109" spans="1:36">
      <c r="A109" s="102" t="s">
        <v>331</v>
      </c>
      <c r="B109" s="120" t="s">
        <v>330</v>
      </c>
      <c r="C109" s="120" t="s">
        <v>99</v>
      </c>
      <c r="D109" s="102" t="s">
        <v>87</v>
      </c>
      <c r="E109" s="109">
        <v>1</v>
      </c>
      <c r="F109" s="102">
        <v>1992</v>
      </c>
      <c r="G109" s="102">
        <v>1970</v>
      </c>
      <c r="H109" s="102">
        <v>2008</v>
      </c>
      <c r="I109" s="102">
        <v>2014</v>
      </c>
      <c r="J109" s="102">
        <v>2008</v>
      </c>
      <c r="K109" s="102">
        <f t="shared" si="31"/>
        <v>3</v>
      </c>
      <c r="L109" s="102">
        <f t="shared" si="31"/>
        <v>4</v>
      </c>
      <c r="M109" s="102">
        <f t="shared" si="31"/>
        <v>4</v>
      </c>
      <c r="N109" s="102">
        <f t="shared" si="31"/>
        <v>2</v>
      </c>
      <c r="O109" s="102">
        <f t="shared" si="31"/>
        <v>4</v>
      </c>
      <c r="P109" s="121">
        <f t="shared" si="18"/>
        <v>3.4</v>
      </c>
      <c r="Q109" s="102">
        <v>2231</v>
      </c>
      <c r="R109" s="102">
        <f t="shared" si="19"/>
        <v>4</v>
      </c>
      <c r="S109" s="138">
        <v>51.038196773982698</v>
      </c>
      <c r="T109" s="102">
        <f t="shared" si="20"/>
        <v>2</v>
      </c>
      <c r="U109" s="139">
        <v>6.1772357858724302E-3</v>
      </c>
      <c r="V109" s="102">
        <f t="shared" si="21"/>
        <v>1</v>
      </c>
      <c r="W109" s="124">
        <v>0</v>
      </c>
      <c r="X109" s="102">
        <f t="shared" si="30"/>
        <v>2</v>
      </c>
      <c r="Y109" s="109">
        <v>99</v>
      </c>
      <c r="Z109" s="102">
        <f t="shared" si="23"/>
        <v>1</v>
      </c>
      <c r="AA109" s="125">
        <f t="shared" si="24"/>
        <v>40.200000000000003</v>
      </c>
      <c r="AB109" s="126" t="s">
        <v>580</v>
      </c>
      <c r="AC109" s="126">
        <v>1</v>
      </c>
      <c r="AD109" s="126">
        <v>4</v>
      </c>
      <c r="AE109" s="126">
        <v>100</v>
      </c>
      <c r="AF109" s="102">
        <f>IF(AND(AE109&gt;=AE$200,AE109&lt;AE$201),1,IF(AND(AE109&gt;=AE$201,AE109&lt;AE$202),2,IF(AND(AE109&gt;=AE$202,AE109&lt;AE$203),3,IF(AND(AE109&gt;=AE$203,AE109&lt;=AE$204),4,"empty"))))</f>
        <v>4</v>
      </c>
      <c r="AG109" s="127">
        <f t="shared" si="25"/>
        <v>9</v>
      </c>
      <c r="AH109" s="128">
        <f t="shared" si="26"/>
        <v>52.6</v>
      </c>
      <c r="AI109" s="108">
        <v>2036</v>
      </c>
      <c r="AJ109" s="108" t="str">
        <f t="shared" si="27"/>
        <v>mid adopter</v>
      </c>
    </row>
    <row r="110" spans="1:36">
      <c r="A110" s="102" t="s">
        <v>201</v>
      </c>
      <c r="B110" s="120" t="s">
        <v>200</v>
      </c>
      <c r="C110" s="120" t="s">
        <v>99</v>
      </c>
      <c r="D110" s="102" t="s">
        <v>80</v>
      </c>
      <c r="E110" s="109">
        <v>4</v>
      </c>
      <c r="F110" s="102">
        <v>2003</v>
      </c>
      <c r="G110" s="102">
        <v>2003</v>
      </c>
      <c r="H110" s="102">
        <v>2012</v>
      </c>
      <c r="I110" s="102">
        <v>2012</v>
      </c>
      <c r="J110" s="102">
        <v>2013</v>
      </c>
      <c r="K110" s="102">
        <f t="shared" si="31"/>
        <v>2</v>
      </c>
      <c r="L110" s="102">
        <f t="shared" si="31"/>
        <v>2</v>
      </c>
      <c r="M110" s="102">
        <f t="shared" si="31"/>
        <v>2</v>
      </c>
      <c r="N110" s="102">
        <f t="shared" si="31"/>
        <v>3</v>
      </c>
      <c r="O110" s="102">
        <f t="shared" si="31"/>
        <v>3</v>
      </c>
      <c r="P110" s="121">
        <f t="shared" si="18"/>
        <v>2.4</v>
      </c>
      <c r="Q110" s="102">
        <v>30</v>
      </c>
      <c r="R110" s="102">
        <f t="shared" si="19"/>
        <v>2</v>
      </c>
      <c r="S110" s="138">
        <v>131.64058665978899</v>
      </c>
      <c r="T110" s="102">
        <f t="shared" si="20"/>
        <v>3</v>
      </c>
      <c r="U110" s="139">
        <v>1.5951316980036401</v>
      </c>
      <c r="V110" s="102">
        <f t="shared" si="21"/>
        <v>3</v>
      </c>
      <c r="W110" s="124">
        <v>1.7067E-3</v>
      </c>
      <c r="X110" s="102">
        <f t="shared" si="30"/>
        <v>3</v>
      </c>
      <c r="Y110" s="109">
        <v>98</v>
      </c>
      <c r="Z110" s="102">
        <f t="shared" si="23"/>
        <v>1</v>
      </c>
      <c r="AA110" s="125">
        <f t="shared" si="24"/>
        <v>43.2</v>
      </c>
      <c r="AB110" s="126" t="s">
        <v>580</v>
      </c>
      <c r="AC110" s="126">
        <v>1</v>
      </c>
      <c r="AD110" s="126">
        <v>3</v>
      </c>
      <c r="AE110" s="126">
        <v>93.000000000000028</v>
      </c>
      <c r="AF110" s="102">
        <v>3</v>
      </c>
      <c r="AG110" s="127">
        <f t="shared" si="25"/>
        <v>7</v>
      </c>
      <c r="AH110" s="128">
        <f t="shared" si="26"/>
        <v>52.6</v>
      </c>
      <c r="AI110" s="108">
        <v>2036</v>
      </c>
      <c r="AJ110" s="108" t="str">
        <f t="shared" si="27"/>
        <v>mid adopter</v>
      </c>
    </row>
    <row r="111" spans="1:36">
      <c r="A111" s="102" t="s">
        <v>225</v>
      </c>
      <c r="B111" s="120" t="s">
        <v>224</v>
      </c>
      <c r="C111" s="120" t="s">
        <v>83</v>
      </c>
      <c r="D111" s="102" t="s">
        <v>75</v>
      </c>
      <c r="E111" s="109">
        <v>3</v>
      </c>
      <c r="F111" s="102">
        <v>2021</v>
      </c>
      <c r="G111" s="102">
        <v>2022</v>
      </c>
      <c r="H111" s="102">
        <v>2015</v>
      </c>
      <c r="I111" s="102">
        <v>2012</v>
      </c>
      <c r="J111" s="102" t="s">
        <v>566</v>
      </c>
      <c r="K111" s="102">
        <f t="shared" si="31"/>
        <v>1</v>
      </c>
      <c r="L111" s="102">
        <f t="shared" si="31"/>
        <v>1</v>
      </c>
      <c r="M111" s="102">
        <f t="shared" si="31"/>
        <v>1</v>
      </c>
      <c r="N111" s="102">
        <f t="shared" si="31"/>
        <v>3</v>
      </c>
      <c r="O111" s="102">
        <f t="shared" si="31"/>
        <v>1</v>
      </c>
      <c r="P111" s="121">
        <f t="shared" si="18"/>
        <v>1.4</v>
      </c>
      <c r="Q111" s="102">
        <v>9.0000000000000002E-6</v>
      </c>
      <c r="R111" s="102">
        <f t="shared" si="19"/>
        <v>1</v>
      </c>
      <c r="S111" s="138">
        <v>1671.7499574515</v>
      </c>
      <c r="T111" s="102">
        <f t="shared" si="20"/>
        <v>4</v>
      </c>
      <c r="U111" s="139">
        <v>579.82077469569799</v>
      </c>
      <c r="V111" s="102">
        <f t="shared" si="21"/>
        <v>4</v>
      </c>
      <c r="W111" s="124">
        <v>69.028000000000006</v>
      </c>
      <c r="X111" s="102">
        <f t="shared" si="30"/>
        <v>3</v>
      </c>
      <c r="Y111" s="109">
        <v>96</v>
      </c>
      <c r="Z111" s="102">
        <f t="shared" si="23"/>
        <v>2</v>
      </c>
      <c r="AA111" s="125">
        <f t="shared" si="24"/>
        <v>46.2</v>
      </c>
      <c r="AB111" s="109" t="s">
        <v>583</v>
      </c>
      <c r="AC111" s="126">
        <v>3</v>
      </c>
      <c r="AD111" s="126">
        <v>1</v>
      </c>
      <c r="AE111" s="126">
        <v>3.2076377914458063</v>
      </c>
      <c r="AF111" s="102">
        <f>IF(AND(AE111&gt;=AE$200,AE111&lt;AE$201),1,IF(AND(AE111&gt;=AE$201,AE111&lt;AE$202),2,IF(AND(AE111&gt;=AE$202,AE111&lt;AE$203),3,IF(AND(AE111&gt;=AE$203,AE111&lt;=AE$204),4,"empty"))))</f>
        <v>1</v>
      </c>
      <c r="AG111" s="127">
        <f t="shared" si="25"/>
        <v>5</v>
      </c>
      <c r="AH111" s="128">
        <f t="shared" si="26"/>
        <v>52.6</v>
      </c>
      <c r="AI111" s="108">
        <v>2036</v>
      </c>
      <c r="AJ111" s="108" t="str">
        <f t="shared" si="27"/>
        <v>mid adopter</v>
      </c>
    </row>
    <row r="112" spans="1:36">
      <c r="A112" s="102" t="s">
        <v>405</v>
      </c>
      <c r="B112" s="120" t="s">
        <v>404</v>
      </c>
      <c r="C112" s="120" t="s">
        <v>79</v>
      </c>
      <c r="D112" s="102" t="s">
        <v>87</v>
      </c>
      <c r="E112" s="109">
        <v>1</v>
      </c>
      <c r="F112" s="102">
        <v>1996</v>
      </c>
      <c r="G112" s="102">
        <v>1978</v>
      </c>
      <c r="H112" s="102">
        <v>2016</v>
      </c>
      <c r="I112" s="102" t="s">
        <v>566</v>
      </c>
      <c r="J112" s="102">
        <v>2007</v>
      </c>
      <c r="K112" s="102">
        <f t="shared" si="31"/>
        <v>3</v>
      </c>
      <c r="L112" s="102">
        <f t="shared" si="31"/>
        <v>4</v>
      </c>
      <c r="M112" s="102">
        <f t="shared" si="31"/>
        <v>1</v>
      </c>
      <c r="N112" s="102">
        <f t="shared" si="31"/>
        <v>1</v>
      </c>
      <c r="O112" s="102">
        <f t="shared" si="31"/>
        <v>4</v>
      </c>
      <c r="P112" s="121">
        <f t="shared" si="18"/>
        <v>2.6</v>
      </c>
      <c r="Q112" s="102">
        <v>292</v>
      </c>
      <c r="R112" s="102">
        <f t="shared" si="19"/>
        <v>3</v>
      </c>
      <c r="S112" s="138">
        <v>0.88448072907217301</v>
      </c>
      <c r="T112" s="102">
        <f t="shared" si="20"/>
        <v>2</v>
      </c>
      <c r="U112" s="139">
        <v>3.88275989095615E-2</v>
      </c>
      <c r="V112" s="102">
        <f t="shared" si="21"/>
        <v>2</v>
      </c>
      <c r="W112" s="124">
        <v>0.77085999999999999</v>
      </c>
      <c r="X112" s="102">
        <f t="shared" si="30"/>
        <v>3</v>
      </c>
      <c r="Y112" s="109">
        <v>97</v>
      </c>
      <c r="Z112" s="102">
        <f t="shared" si="23"/>
        <v>1</v>
      </c>
      <c r="AA112" s="125">
        <f t="shared" si="24"/>
        <v>40.799999999999997</v>
      </c>
      <c r="AB112" s="126" t="s">
        <v>580</v>
      </c>
      <c r="AC112" s="126">
        <v>1</v>
      </c>
      <c r="AD112" s="126">
        <v>4</v>
      </c>
      <c r="AE112" s="126" t="s">
        <v>582</v>
      </c>
      <c r="AF112" s="126">
        <v>4</v>
      </c>
      <c r="AG112" s="127">
        <f t="shared" si="25"/>
        <v>9</v>
      </c>
      <c r="AH112" s="128">
        <f t="shared" si="26"/>
        <v>52.4</v>
      </c>
      <c r="AI112" s="108">
        <v>2036</v>
      </c>
      <c r="AJ112" s="108" t="str">
        <f t="shared" si="27"/>
        <v>mid adopter</v>
      </c>
    </row>
    <row r="113" spans="1:36">
      <c r="A113" s="102" t="s">
        <v>395</v>
      </c>
      <c r="B113" s="120" t="s">
        <v>394</v>
      </c>
      <c r="C113" s="120" t="s">
        <v>79</v>
      </c>
      <c r="D113" s="102" t="s">
        <v>87</v>
      </c>
      <c r="E113" s="109">
        <v>1</v>
      </c>
      <c r="F113" s="102">
        <v>1977</v>
      </c>
      <c r="G113" s="102">
        <v>1985</v>
      </c>
      <c r="H113" s="102">
        <v>2009</v>
      </c>
      <c r="I113" s="102" t="s">
        <v>566</v>
      </c>
      <c r="J113" s="102" t="s">
        <v>566</v>
      </c>
      <c r="K113" s="102">
        <f t="shared" si="31"/>
        <v>4</v>
      </c>
      <c r="L113" s="102">
        <f t="shared" si="31"/>
        <v>4</v>
      </c>
      <c r="M113" s="102">
        <f t="shared" si="31"/>
        <v>3</v>
      </c>
      <c r="N113" s="102">
        <f t="shared" si="31"/>
        <v>1</v>
      </c>
      <c r="O113" s="102">
        <f t="shared" si="31"/>
        <v>1</v>
      </c>
      <c r="P113" s="121">
        <f t="shared" si="18"/>
        <v>2.6</v>
      </c>
      <c r="Q113" s="102">
        <v>312</v>
      </c>
      <c r="R113" s="102">
        <f t="shared" si="19"/>
        <v>3</v>
      </c>
      <c r="S113" s="138">
        <v>11.032793525268101</v>
      </c>
      <c r="T113" s="102">
        <f t="shared" si="20"/>
        <v>2</v>
      </c>
      <c r="U113" s="139">
        <v>0.28936059532645197</v>
      </c>
      <c r="V113" s="102">
        <f t="shared" si="21"/>
        <v>2</v>
      </c>
      <c r="W113" s="124">
        <v>0</v>
      </c>
      <c r="X113" s="102">
        <f t="shared" si="30"/>
        <v>2</v>
      </c>
      <c r="Y113" s="109">
        <v>94</v>
      </c>
      <c r="Z113" s="102">
        <f t="shared" si="23"/>
        <v>2</v>
      </c>
      <c r="AA113" s="125">
        <f t="shared" si="24"/>
        <v>40.799999999999997</v>
      </c>
      <c r="AB113" s="126" t="s">
        <v>580</v>
      </c>
      <c r="AC113" s="126">
        <v>1</v>
      </c>
      <c r="AD113" s="126">
        <v>4</v>
      </c>
      <c r="AE113" s="126">
        <v>90.475434359764591</v>
      </c>
      <c r="AF113" s="126">
        <v>4</v>
      </c>
      <c r="AG113" s="127">
        <f t="shared" si="25"/>
        <v>9</v>
      </c>
      <c r="AH113" s="128">
        <f t="shared" si="26"/>
        <v>52.4</v>
      </c>
      <c r="AI113" s="108">
        <v>2036</v>
      </c>
      <c r="AJ113" s="108" t="str">
        <f t="shared" si="27"/>
        <v>mid adopter</v>
      </c>
    </row>
    <row r="114" spans="1:36">
      <c r="A114" s="102" t="s">
        <v>152</v>
      </c>
      <c r="B114" s="120" t="s">
        <v>151</v>
      </c>
      <c r="C114" s="120" t="s">
        <v>92</v>
      </c>
      <c r="D114" s="102" t="s">
        <v>87</v>
      </c>
      <c r="E114" s="109">
        <v>2</v>
      </c>
      <c r="F114" s="102">
        <v>1992</v>
      </c>
      <c r="G114" s="102">
        <v>1990</v>
      </c>
      <c r="H114" s="102">
        <v>2011</v>
      </c>
      <c r="I114" s="102" t="s">
        <v>566</v>
      </c>
      <c r="J114" s="102">
        <v>2014</v>
      </c>
      <c r="K114" s="102">
        <f t="shared" si="31"/>
        <v>3</v>
      </c>
      <c r="L114" s="102">
        <f t="shared" si="31"/>
        <v>3</v>
      </c>
      <c r="M114" s="102">
        <f t="shared" si="31"/>
        <v>3</v>
      </c>
      <c r="N114" s="102">
        <f t="shared" si="31"/>
        <v>1</v>
      </c>
      <c r="O114" s="102">
        <f t="shared" si="31"/>
        <v>3</v>
      </c>
      <c r="P114" s="121">
        <f t="shared" si="18"/>
        <v>2.6</v>
      </c>
      <c r="Q114" s="102">
        <v>11</v>
      </c>
      <c r="R114" s="102">
        <f t="shared" si="19"/>
        <v>2</v>
      </c>
      <c r="S114" s="138">
        <v>5.4973099428914297E-2</v>
      </c>
      <c r="T114" s="102">
        <f t="shared" si="20"/>
        <v>1</v>
      </c>
      <c r="U114" s="139">
        <v>2.5534432555091399E-2</v>
      </c>
      <c r="V114" s="102">
        <f t="shared" si="21"/>
        <v>2</v>
      </c>
      <c r="W114" s="124">
        <v>4.5859999999999998E-4</v>
      </c>
      <c r="X114" s="102">
        <f t="shared" si="30"/>
        <v>3</v>
      </c>
      <c r="Y114" s="109">
        <v>88</v>
      </c>
      <c r="Z114" s="102">
        <f t="shared" si="23"/>
        <v>3</v>
      </c>
      <c r="AA114" s="125">
        <f t="shared" si="24"/>
        <v>40.799999999999997</v>
      </c>
      <c r="AB114" s="126" t="s">
        <v>580</v>
      </c>
      <c r="AC114" s="126">
        <v>1</v>
      </c>
      <c r="AD114" s="126">
        <v>4</v>
      </c>
      <c r="AE114" s="126">
        <v>100</v>
      </c>
      <c r="AF114" s="102">
        <f>IF(AND(AE114&gt;=AE$200,AE114&lt;AE$201),1,IF(AND(AE114&gt;=AE$201,AE114&lt;AE$202),2,IF(AND(AE114&gt;=AE$202,AE114&lt;AE$203),3,IF(AND(AE114&gt;=AE$203,AE114&lt;=AE$204),4,"empty"))))</f>
        <v>4</v>
      </c>
      <c r="AG114" s="127">
        <f t="shared" si="25"/>
        <v>9</v>
      </c>
      <c r="AH114" s="128">
        <f t="shared" si="26"/>
        <v>52.4</v>
      </c>
      <c r="AI114" s="108">
        <v>2036</v>
      </c>
      <c r="AJ114" s="108" t="str">
        <f t="shared" si="27"/>
        <v>mid adopter</v>
      </c>
    </row>
    <row r="115" spans="1:36">
      <c r="A115" s="102" t="s">
        <v>389</v>
      </c>
      <c r="B115" s="120" t="s">
        <v>388</v>
      </c>
      <c r="C115" s="120" t="s">
        <v>83</v>
      </c>
      <c r="D115" s="102" t="s">
        <v>87</v>
      </c>
      <c r="E115" s="109">
        <v>1</v>
      </c>
      <c r="F115" s="102">
        <v>1989</v>
      </c>
      <c r="G115" s="102">
        <v>1980</v>
      </c>
      <c r="H115" s="102">
        <v>2018</v>
      </c>
      <c r="I115" s="102">
        <v>2017</v>
      </c>
      <c r="J115" s="102">
        <v>2014</v>
      </c>
      <c r="K115" s="102">
        <f t="shared" si="31"/>
        <v>4</v>
      </c>
      <c r="L115" s="102">
        <f t="shared" si="31"/>
        <v>4</v>
      </c>
      <c r="M115" s="102">
        <f t="shared" si="31"/>
        <v>1</v>
      </c>
      <c r="N115" s="102">
        <f t="shared" si="31"/>
        <v>1</v>
      </c>
      <c r="O115" s="102">
        <f t="shared" si="31"/>
        <v>3</v>
      </c>
      <c r="P115" s="121">
        <f t="shared" si="18"/>
        <v>2.6</v>
      </c>
      <c r="Q115" s="102">
        <v>0</v>
      </c>
      <c r="R115" s="102">
        <f t="shared" si="19"/>
        <v>1</v>
      </c>
      <c r="S115" s="138">
        <v>270.67964579522697</v>
      </c>
      <c r="T115" s="102">
        <f t="shared" si="20"/>
        <v>4</v>
      </c>
      <c r="U115" s="139">
        <v>0.28077792975188198</v>
      </c>
      <c r="V115" s="102">
        <f t="shared" si="21"/>
        <v>2</v>
      </c>
      <c r="W115" s="124" t="s">
        <v>573</v>
      </c>
      <c r="X115" s="102">
        <v>1</v>
      </c>
      <c r="Y115" s="109">
        <v>87</v>
      </c>
      <c r="Z115" s="102">
        <f t="shared" si="23"/>
        <v>3</v>
      </c>
      <c r="AA115" s="125">
        <f t="shared" si="24"/>
        <v>40.799999999999997</v>
      </c>
      <c r="AB115" s="126" t="s">
        <v>580</v>
      </c>
      <c r="AC115" s="126">
        <v>1</v>
      </c>
      <c r="AD115" s="126">
        <v>4</v>
      </c>
      <c r="AE115" s="126">
        <v>100</v>
      </c>
      <c r="AF115" s="102">
        <f>IF(AND(AE115&gt;=AE$200,AE115&lt;AE$201),1,IF(AND(AE115&gt;=AE$201,AE115&lt;AE$202),2,IF(AND(AE115&gt;=AE$202,AE115&lt;AE$203),3,IF(AND(AE115&gt;=AE$203,AE115&lt;=AE$204),4,"empty"))))</f>
        <v>4</v>
      </c>
      <c r="AG115" s="127">
        <f t="shared" si="25"/>
        <v>9</v>
      </c>
      <c r="AH115" s="128">
        <f t="shared" si="26"/>
        <v>52.4</v>
      </c>
      <c r="AI115" s="108">
        <v>2036</v>
      </c>
      <c r="AJ115" s="108" t="str">
        <f t="shared" si="27"/>
        <v>mid adopter</v>
      </c>
    </row>
    <row r="116" spans="1:36">
      <c r="A116" s="102" t="s">
        <v>415</v>
      </c>
      <c r="B116" s="120" t="s">
        <v>414</v>
      </c>
      <c r="C116" s="120" t="s">
        <v>83</v>
      </c>
      <c r="D116" s="102" t="s">
        <v>84</v>
      </c>
      <c r="E116" s="109">
        <v>3</v>
      </c>
      <c r="F116" s="102">
        <v>1995</v>
      </c>
      <c r="G116" s="102">
        <v>2016</v>
      </c>
      <c r="H116" s="102">
        <v>2014</v>
      </c>
      <c r="I116" s="102">
        <v>2015</v>
      </c>
      <c r="J116" s="102">
        <v>2022</v>
      </c>
      <c r="K116" s="102">
        <f t="shared" si="31"/>
        <v>3</v>
      </c>
      <c r="L116" s="102">
        <f t="shared" si="31"/>
        <v>1</v>
      </c>
      <c r="M116" s="102">
        <f t="shared" si="31"/>
        <v>2</v>
      </c>
      <c r="N116" s="102">
        <f t="shared" si="31"/>
        <v>2</v>
      </c>
      <c r="O116" s="102">
        <f t="shared" si="31"/>
        <v>1</v>
      </c>
      <c r="P116" s="121">
        <f t="shared" si="18"/>
        <v>1.8</v>
      </c>
      <c r="Q116" s="102">
        <v>0</v>
      </c>
      <c r="R116" s="102">
        <f t="shared" si="19"/>
        <v>1</v>
      </c>
      <c r="S116" s="138">
        <v>101.847718040365</v>
      </c>
      <c r="T116" s="102">
        <f t="shared" si="20"/>
        <v>3</v>
      </c>
      <c r="U116" s="139">
        <v>8.0169108718960302</v>
      </c>
      <c r="V116" s="102">
        <f t="shared" si="21"/>
        <v>3</v>
      </c>
      <c r="W116" s="124">
        <v>41</v>
      </c>
      <c r="X116" s="102">
        <f>IF(AND(W116&gt;=W$200,W116&lt;W$201),1,IF(AND(W116&gt;=W$201,W116&lt;W$202),2,IF(AND(W116&gt;=W$202,W116&lt;W$203),3,IF(AND(W116&gt;=W$203,W116&lt;=W$204),4,"empty"))))</f>
        <v>3</v>
      </c>
      <c r="Y116" s="109">
        <v>87</v>
      </c>
      <c r="Z116" s="102">
        <f t="shared" si="23"/>
        <v>3</v>
      </c>
      <c r="AA116" s="125">
        <f t="shared" si="24"/>
        <v>44.400000000000006</v>
      </c>
      <c r="AB116" s="126" t="s">
        <v>580</v>
      </c>
      <c r="AC116" s="126">
        <v>1</v>
      </c>
      <c r="AD116" s="126">
        <v>2</v>
      </c>
      <c r="AE116" s="126">
        <v>95.296621569074418</v>
      </c>
      <c r="AF116" s="102">
        <f>IF(AND(AE116&gt;=AE$200,AE116&lt;AE$201),1,IF(AND(AE116&gt;=AE$201,AE116&lt;AE$202),2,IF(AND(AE116&gt;=AE$202,AE116&lt;AE$203),3,IF(AND(AE116&gt;=AE$203,AE116&lt;=AE$204),4,"empty"))))</f>
        <v>3</v>
      </c>
      <c r="AG116" s="127">
        <f t="shared" si="25"/>
        <v>6</v>
      </c>
      <c r="AH116" s="128">
        <f t="shared" si="26"/>
        <v>52.2</v>
      </c>
      <c r="AI116" s="108">
        <v>2037</v>
      </c>
      <c r="AJ116" s="108" t="str">
        <f t="shared" si="27"/>
        <v>mid adopter</v>
      </c>
    </row>
    <row r="117" spans="1:36">
      <c r="A117" s="102" t="s">
        <v>158</v>
      </c>
      <c r="B117" s="120" t="s">
        <v>157</v>
      </c>
      <c r="C117" s="120" t="s">
        <v>83</v>
      </c>
      <c r="D117" s="102" t="s">
        <v>84</v>
      </c>
      <c r="E117" s="109">
        <v>3</v>
      </c>
      <c r="F117" s="102">
        <v>2021</v>
      </c>
      <c r="G117" s="102">
        <v>2021</v>
      </c>
      <c r="H117" s="102">
        <v>2022</v>
      </c>
      <c r="I117" s="102" t="s">
        <v>566</v>
      </c>
      <c r="J117" s="102" t="s">
        <v>566</v>
      </c>
      <c r="K117" s="102">
        <f t="shared" si="31"/>
        <v>1</v>
      </c>
      <c r="L117" s="102">
        <f t="shared" si="31"/>
        <v>1</v>
      </c>
      <c r="M117" s="102">
        <f t="shared" si="31"/>
        <v>1</v>
      </c>
      <c r="N117" s="102">
        <f t="shared" si="31"/>
        <v>1</v>
      </c>
      <c r="O117" s="102">
        <f t="shared" si="31"/>
        <v>1</v>
      </c>
      <c r="P117" s="121">
        <f t="shared" si="18"/>
        <v>1</v>
      </c>
      <c r="Q117" s="102">
        <v>64</v>
      </c>
      <c r="R117" s="102">
        <f t="shared" si="19"/>
        <v>3</v>
      </c>
      <c r="S117" s="138">
        <v>976.36673977810301</v>
      </c>
      <c r="T117" s="102">
        <f t="shared" si="20"/>
        <v>4</v>
      </c>
      <c r="U117" s="139">
        <v>38.574053060236899</v>
      </c>
      <c r="V117" s="102">
        <f t="shared" si="21"/>
        <v>3</v>
      </c>
      <c r="W117" s="124">
        <v>21.516999999999999</v>
      </c>
      <c r="X117" s="102">
        <f>IF(AND(W117&gt;=W$200,W117&lt;W$201),1,IF(AND(W117&gt;=W$201,W117&lt;W$202),2,IF(AND(W117&gt;=W$202,W117&lt;W$203),3,IF(AND(W117&gt;=W$203,W117&lt;=W$204),4,"empty"))))</f>
        <v>3</v>
      </c>
      <c r="Y117" s="109">
        <v>98</v>
      </c>
      <c r="Z117" s="102">
        <f t="shared" si="23"/>
        <v>1</v>
      </c>
      <c r="AA117" s="125">
        <f t="shared" si="24"/>
        <v>45</v>
      </c>
      <c r="AB117" s="126" t="s">
        <v>583</v>
      </c>
      <c r="AC117" s="126">
        <v>3</v>
      </c>
      <c r="AD117" s="126">
        <v>2</v>
      </c>
      <c r="AE117" s="126">
        <v>7.59493670886076</v>
      </c>
      <c r="AF117" s="102">
        <f>IF(AND(AE117&gt;=AE$200,AE117&lt;AE$201),1,IF(AND(AE117&gt;=AE$201,AE117&lt;AE$202),2,IF(AND(AE117&gt;=AE$202,AE117&lt;AE$203),3,IF(AND(AE117&gt;=AE$203,AE117&lt;=AE$204),4,"empty"))))</f>
        <v>1</v>
      </c>
      <c r="AG117" s="127">
        <f t="shared" si="25"/>
        <v>6</v>
      </c>
      <c r="AH117" s="128">
        <f t="shared" si="26"/>
        <v>52</v>
      </c>
      <c r="AI117" s="108">
        <v>2037</v>
      </c>
      <c r="AJ117" s="108" t="str">
        <f t="shared" si="27"/>
        <v>mid adopter</v>
      </c>
    </row>
    <row r="118" spans="1:36">
      <c r="A118" s="102" t="s">
        <v>411</v>
      </c>
      <c r="B118" s="120" t="s">
        <v>410</v>
      </c>
      <c r="C118" s="120" t="s">
        <v>74</v>
      </c>
      <c r="D118" s="102" t="s">
        <v>75</v>
      </c>
      <c r="E118" s="109">
        <v>3</v>
      </c>
      <c r="F118" s="102" t="s">
        <v>566</v>
      </c>
      <c r="G118" s="102" t="s">
        <v>566</v>
      </c>
      <c r="H118" s="102" t="s">
        <v>566</v>
      </c>
      <c r="I118" s="102" t="s">
        <v>566</v>
      </c>
      <c r="J118" s="102" t="s">
        <v>566</v>
      </c>
      <c r="K118" s="102">
        <f t="shared" si="31"/>
        <v>1</v>
      </c>
      <c r="L118" s="102">
        <f t="shared" si="31"/>
        <v>1</v>
      </c>
      <c r="M118" s="102">
        <f t="shared" si="31"/>
        <v>1</v>
      </c>
      <c r="N118" s="102">
        <f t="shared" si="31"/>
        <v>1</v>
      </c>
      <c r="O118" s="102">
        <f t="shared" si="31"/>
        <v>1</v>
      </c>
      <c r="P118" s="121">
        <f t="shared" si="18"/>
        <v>1</v>
      </c>
      <c r="Q118" s="102">
        <v>1472</v>
      </c>
      <c r="R118" s="102">
        <f t="shared" si="19"/>
        <v>4</v>
      </c>
      <c r="S118" s="138">
        <v>309.772918235053</v>
      </c>
      <c r="T118" s="102">
        <f t="shared" si="20"/>
        <v>4</v>
      </c>
      <c r="U118" s="139">
        <v>253.20548675842801</v>
      </c>
      <c r="V118" s="102">
        <f t="shared" si="21"/>
        <v>4</v>
      </c>
      <c r="W118" s="124" t="s">
        <v>573</v>
      </c>
      <c r="X118" s="102">
        <v>1</v>
      </c>
      <c r="Y118" s="109">
        <v>99</v>
      </c>
      <c r="Z118" s="102">
        <f t="shared" si="23"/>
        <v>1</v>
      </c>
      <c r="AA118" s="125">
        <f t="shared" si="24"/>
        <v>45</v>
      </c>
      <c r="AB118" s="109" t="s">
        <v>579</v>
      </c>
      <c r="AC118" s="126">
        <v>4</v>
      </c>
      <c r="AD118" s="126">
        <v>1</v>
      </c>
      <c r="AE118" s="126">
        <v>7.7538461538461538</v>
      </c>
      <c r="AF118" s="102">
        <f>IF(AND(AE118&gt;=AE$200,AE118&lt;AE$201),1,IF(AND(AE118&gt;=AE$201,AE118&lt;AE$202),2,IF(AND(AE118&gt;=AE$202,AE118&lt;AE$203),3,IF(AND(AE118&gt;=AE$203,AE118&lt;=AE$204),4,"empty"))))</f>
        <v>1</v>
      </c>
      <c r="AG118" s="127">
        <f t="shared" si="25"/>
        <v>6</v>
      </c>
      <c r="AH118" s="128">
        <f t="shared" si="26"/>
        <v>52</v>
      </c>
      <c r="AI118" s="108">
        <v>2037</v>
      </c>
      <c r="AJ118" s="108" t="str">
        <f t="shared" si="27"/>
        <v>mid adopter</v>
      </c>
    </row>
    <row r="119" spans="1:36">
      <c r="A119" s="102" t="s">
        <v>144</v>
      </c>
      <c r="B119" s="120" t="s">
        <v>143</v>
      </c>
      <c r="C119" s="120" t="s">
        <v>92</v>
      </c>
      <c r="D119" s="102" t="s">
        <v>87</v>
      </c>
      <c r="E119" s="109">
        <v>1</v>
      </c>
      <c r="F119" s="102">
        <v>1997</v>
      </c>
      <c r="G119" s="102">
        <v>1979</v>
      </c>
      <c r="H119" s="102">
        <v>2002</v>
      </c>
      <c r="I119" s="102">
        <v>2017</v>
      </c>
      <c r="J119" s="102">
        <v>2009</v>
      </c>
      <c r="K119" s="102">
        <f t="shared" si="31"/>
        <v>3</v>
      </c>
      <c r="L119" s="102">
        <f t="shared" si="31"/>
        <v>4</v>
      </c>
      <c r="M119" s="102">
        <f t="shared" si="31"/>
        <v>4</v>
      </c>
      <c r="N119" s="102">
        <f t="shared" si="31"/>
        <v>1</v>
      </c>
      <c r="O119" s="102">
        <f t="shared" si="31"/>
        <v>4</v>
      </c>
      <c r="P119" s="121">
        <f t="shared" si="18"/>
        <v>3.2</v>
      </c>
      <c r="Q119" s="102">
        <v>113</v>
      </c>
      <c r="R119" s="102">
        <f t="shared" si="19"/>
        <v>3</v>
      </c>
      <c r="S119" s="138">
        <v>0.41520941476113099</v>
      </c>
      <c r="T119" s="102">
        <f t="shared" si="20"/>
        <v>1</v>
      </c>
      <c r="U119" s="139">
        <v>9.1015753859914103E-2</v>
      </c>
      <c r="V119" s="102">
        <f t="shared" si="21"/>
        <v>2</v>
      </c>
      <c r="W119" s="124">
        <v>4.9812000000000003E-10</v>
      </c>
      <c r="X119" s="102">
        <f t="shared" ref="X119:X129" si="32">IF(AND(W119&gt;=W$200,W119&lt;W$201),1,IF(AND(W119&gt;=W$201,W119&lt;W$202),2,IF(AND(W119&gt;=W$202,W119&lt;W$203),3,IF(AND(W119&gt;=W$203,W119&lt;=W$204),4,"empty"))))</f>
        <v>2</v>
      </c>
      <c r="Y119" s="109">
        <v>96</v>
      </c>
      <c r="Z119" s="102">
        <f t="shared" si="23"/>
        <v>2</v>
      </c>
      <c r="AA119" s="125">
        <f t="shared" si="24"/>
        <v>39.599999999999994</v>
      </c>
      <c r="AB119" s="126" t="s">
        <v>580</v>
      </c>
      <c r="AC119" s="126">
        <v>1</v>
      </c>
      <c r="AD119" s="126">
        <v>4</v>
      </c>
      <c r="AE119" s="126" t="s">
        <v>582</v>
      </c>
      <c r="AF119" s="126">
        <v>4</v>
      </c>
      <c r="AG119" s="127">
        <f t="shared" si="25"/>
        <v>9</v>
      </c>
      <c r="AH119" s="128">
        <f t="shared" si="26"/>
        <v>51.8</v>
      </c>
      <c r="AI119" s="108">
        <v>2037</v>
      </c>
      <c r="AJ119" s="108" t="str">
        <f t="shared" si="27"/>
        <v>mid adopter</v>
      </c>
    </row>
    <row r="120" spans="1:36">
      <c r="A120" s="102" t="s">
        <v>281</v>
      </c>
      <c r="B120" s="120" t="s">
        <v>280</v>
      </c>
      <c r="C120" s="120" t="s">
        <v>79</v>
      </c>
      <c r="D120" s="102" t="s">
        <v>87</v>
      </c>
      <c r="E120" s="109">
        <v>1</v>
      </c>
      <c r="F120" s="102">
        <v>1992</v>
      </c>
      <c r="G120" s="102">
        <v>1992</v>
      </c>
      <c r="H120" s="102">
        <v>2014</v>
      </c>
      <c r="I120" s="102">
        <v>2018</v>
      </c>
      <c r="J120" s="102">
        <v>2016</v>
      </c>
      <c r="K120" s="102">
        <f t="shared" si="31"/>
        <v>3</v>
      </c>
      <c r="L120" s="102">
        <f t="shared" si="31"/>
        <v>3</v>
      </c>
      <c r="M120" s="102">
        <f t="shared" si="31"/>
        <v>2</v>
      </c>
      <c r="N120" s="102">
        <f t="shared" si="31"/>
        <v>1</v>
      </c>
      <c r="O120" s="102">
        <f t="shared" si="31"/>
        <v>3</v>
      </c>
      <c r="P120" s="121">
        <f t="shared" si="18"/>
        <v>2.4</v>
      </c>
      <c r="Q120" s="102">
        <v>832</v>
      </c>
      <c r="R120" s="102">
        <f t="shared" si="19"/>
        <v>3</v>
      </c>
      <c r="S120" s="138">
        <v>52.158245737258</v>
      </c>
      <c r="T120" s="102">
        <f t="shared" si="20"/>
        <v>2</v>
      </c>
      <c r="U120" s="139">
        <v>4.77639340005768E-3</v>
      </c>
      <c r="V120" s="102">
        <f t="shared" si="21"/>
        <v>1</v>
      </c>
      <c r="W120" s="124">
        <v>1.1937000000000001E-12</v>
      </c>
      <c r="X120" s="102">
        <f t="shared" si="32"/>
        <v>2</v>
      </c>
      <c r="Y120" s="109">
        <v>92</v>
      </c>
      <c r="Z120" s="102">
        <f t="shared" si="23"/>
        <v>3</v>
      </c>
      <c r="AA120" s="125">
        <f t="shared" si="24"/>
        <v>40.200000000000003</v>
      </c>
      <c r="AB120" s="126" t="s">
        <v>580</v>
      </c>
      <c r="AC120" s="126">
        <v>1</v>
      </c>
      <c r="AD120" s="126">
        <v>4</v>
      </c>
      <c r="AE120" s="126">
        <v>100</v>
      </c>
      <c r="AF120" s="126">
        <v>4</v>
      </c>
      <c r="AG120" s="127">
        <f t="shared" si="25"/>
        <v>9</v>
      </c>
      <c r="AH120" s="128">
        <f t="shared" si="26"/>
        <v>51.6</v>
      </c>
      <c r="AI120" s="108">
        <v>2037</v>
      </c>
      <c r="AJ120" s="108" t="str">
        <f t="shared" si="27"/>
        <v>mid adopter</v>
      </c>
    </row>
    <row r="121" spans="1:36">
      <c r="A121" s="102" t="s">
        <v>257</v>
      </c>
      <c r="B121" s="120" t="s">
        <v>256</v>
      </c>
      <c r="C121" s="120" t="s">
        <v>79</v>
      </c>
      <c r="D121" s="102" t="s">
        <v>80</v>
      </c>
      <c r="E121" s="109">
        <v>2</v>
      </c>
      <c r="F121" s="102">
        <v>1995</v>
      </c>
      <c r="G121" s="102">
        <v>2004</v>
      </c>
      <c r="H121" s="102">
        <v>2013</v>
      </c>
      <c r="I121" s="102" t="s">
        <v>566</v>
      </c>
      <c r="J121" s="102" t="s">
        <v>566</v>
      </c>
      <c r="K121" s="102">
        <f t="shared" si="31"/>
        <v>3</v>
      </c>
      <c r="L121" s="102">
        <f t="shared" si="31"/>
        <v>2</v>
      </c>
      <c r="M121" s="102">
        <f t="shared" si="31"/>
        <v>2</v>
      </c>
      <c r="N121" s="102">
        <f t="shared" si="31"/>
        <v>1</v>
      </c>
      <c r="O121" s="102">
        <f t="shared" si="31"/>
        <v>1</v>
      </c>
      <c r="P121" s="121">
        <f t="shared" si="18"/>
        <v>1.8</v>
      </c>
      <c r="Q121" s="102">
        <v>13326</v>
      </c>
      <c r="R121" s="102">
        <f t="shared" si="19"/>
        <v>4</v>
      </c>
      <c r="S121" s="138">
        <v>96.282854111036798</v>
      </c>
      <c r="T121" s="102">
        <f t="shared" si="20"/>
        <v>3</v>
      </c>
      <c r="U121" s="139">
        <v>3.2440447330813298E-2</v>
      </c>
      <c r="V121" s="102">
        <f t="shared" si="21"/>
        <v>2</v>
      </c>
      <c r="W121" s="124">
        <v>0</v>
      </c>
      <c r="X121" s="102">
        <f t="shared" si="32"/>
        <v>2</v>
      </c>
      <c r="Y121" s="109">
        <v>99</v>
      </c>
      <c r="Z121" s="102">
        <f t="shared" si="23"/>
        <v>1</v>
      </c>
      <c r="AA121" s="125">
        <f t="shared" si="24"/>
        <v>41.400000000000006</v>
      </c>
      <c r="AB121" s="126" t="s">
        <v>580</v>
      </c>
      <c r="AC121" s="126">
        <v>1</v>
      </c>
      <c r="AD121" s="126">
        <v>3</v>
      </c>
      <c r="AE121" s="126">
        <v>100</v>
      </c>
      <c r="AF121" s="102">
        <f t="shared" ref="AF121:AF129" si="33">IF(AND(AE121&gt;=AE$200,AE121&lt;AE$201),1,IF(AND(AE121&gt;=AE$201,AE121&lt;AE$202),2,IF(AND(AE121&gt;=AE$202,AE121&lt;AE$203),3,IF(AND(AE121&gt;=AE$203,AE121&lt;=AE$204),4,"empty"))))</f>
        <v>4</v>
      </c>
      <c r="AG121" s="127">
        <f t="shared" si="25"/>
        <v>8</v>
      </c>
      <c r="AH121" s="128">
        <f t="shared" si="26"/>
        <v>51.2</v>
      </c>
      <c r="AI121" s="108">
        <v>2037</v>
      </c>
      <c r="AJ121" s="108" t="str">
        <f t="shared" si="27"/>
        <v>mid adopter</v>
      </c>
    </row>
    <row r="122" spans="1:36">
      <c r="A122" s="102" t="s">
        <v>363</v>
      </c>
      <c r="B122" s="120" t="s">
        <v>362</v>
      </c>
      <c r="C122" s="120" t="s">
        <v>74</v>
      </c>
      <c r="D122" s="102" t="s">
        <v>87</v>
      </c>
      <c r="E122" s="109">
        <v>1</v>
      </c>
      <c r="F122" s="102">
        <v>1996</v>
      </c>
      <c r="G122" s="102">
        <v>1992</v>
      </c>
      <c r="H122" s="102">
        <v>2005</v>
      </c>
      <c r="I122" s="102">
        <v>2009</v>
      </c>
      <c r="J122" s="102">
        <v>2020</v>
      </c>
      <c r="K122" s="102">
        <f t="shared" si="31"/>
        <v>3</v>
      </c>
      <c r="L122" s="102">
        <f t="shared" si="31"/>
        <v>3</v>
      </c>
      <c r="M122" s="102">
        <f t="shared" si="31"/>
        <v>4</v>
      </c>
      <c r="N122" s="102">
        <f t="shared" si="31"/>
        <v>4</v>
      </c>
      <c r="O122" s="102">
        <f t="shared" si="31"/>
        <v>1</v>
      </c>
      <c r="P122" s="121">
        <f t="shared" si="18"/>
        <v>3</v>
      </c>
      <c r="Q122" s="102">
        <v>17</v>
      </c>
      <c r="R122" s="102">
        <f t="shared" si="19"/>
        <v>2</v>
      </c>
      <c r="S122" s="138">
        <v>34.326481794494804</v>
      </c>
      <c r="T122" s="102">
        <f t="shared" si="20"/>
        <v>2</v>
      </c>
      <c r="U122" s="139">
        <v>0.48716212337846398</v>
      </c>
      <c r="V122" s="102">
        <f t="shared" si="21"/>
        <v>3</v>
      </c>
      <c r="W122" s="124">
        <v>0</v>
      </c>
      <c r="X122" s="102">
        <f t="shared" si="32"/>
        <v>2</v>
      </c>
      <c r="Y122" s="109">
        <v>99</v>
      </c>
      <c r="Z122" s="102">
        <f t="shared" si="23"/>
        <v>1</v>
      </c>
      <c r="AA122" s="125">
        <f t="shared" si="24"/>
        <v>39</v>
      </c>
      <c r="AB122" s="126" t="s">
        <v>580</v>
      </c>
      <c r="AC122" s="126">
        <v>1</v>
      </c>
      <c r="AD122" s="126">
        <v>4</v>
      </c>
      <c r="AE122" s="126">
        <v>100</v>
      </c>
      <c r="AF122" s="102">
        <f t="shared" si="33"/>
        <v>4</v>
      </c>
      <c r="AG122" s="127">
        <f t="shared" si="25"/>
        <v>9</v>
      </c>
      <c r="AH122" s="128">
        <f t="shared" si="26"/>
        <v>51</v>
      </c>
      <c r="AI122" s="108">
        <v>2037</v>
      </c>
      <c r="AJ122" s="108" t="str">
        <f t="shared" si="27"/>
        <v>mid adopter</v>
      </c>
    </row>
    <row r="123" spans="1:36">
      <c r="A123" s="102" t="s">
        <v>156</v>
      </c>
      <c r="B123" s="120" t="s">
        <v>155</v>
      </c>
      <c r="C123" s="120" t="s">
        <v>92</v>
      </c>
      <c r="D123" s="102" t="s">
        <v>80</v>
      </c>
      <c r="E123" s="109">
        <v>2</v>
      </c>
      <c r="F123" s="102">
        <v>1997</v>
      </c>
      <c r="G123" s="102">
        <v>1995</v>
      </c>
      <c r="H123" s="102">
        <v>2011</v>
      </c>
      <c r="I123" s="102">
        <v>2009</v>
      </c>
      <c r="J123" s="102">
        <v>2012</v>
      </c>
      <c r="K123" s="102">
        <f t="shared" si="31"/>
        <v>3</v>
      </c>
      <c r="L123" s="102">
        <f t="shared" si="31"/>
        <v>3</v>
      </c>
      <c r="M123" s="102">
        <f t="shared" si="31"/>
        <v>3</v>
      </c>
      <c r="N123" s="102">
        <f t="shared" si="31"/>
        <v>4</v>
      </c>
      <c r="O123" s="102">
        <f t="shared" si="31"/>
        <v>3</v>
      </c>
      <c r="P123" s="121">
        <f t="shared" si="18"/>
        <v>3.2</v>
      </c>
      <c r="Q123" s="102">
        <v>244</v>
      </c>
      <c r="R123" s="102">
        <f t="shared" si="19"/>
        <v>3</v>
      </c>
      <c r="S123" s="138">
        <v>0.50862186025713296</v>
      </c>
      <c r="T123" s="102">
        <f t="shared" si="20"/>
        <v>1</v>
      </c>
      <c r="U123" s="139">
        <v>5.8409620879067099E-2</v>
      </c>
      <c r="V123" s="102">
        <f t="shared" si="21"/>
        <v>2</v>
      </c>
      <c r="W123" s="124">
        <v>0</v>
      </c>
      <c r="X123" s="102">
        <f t="shared" si="32"/>
        <v>2</v>
      </c>
      <c r="Y123" s="109">
        <v>93</v>
      </c>
      <c r="Z123" s="102">
        <f t="shared" si="23"/>
        <v>2</v>
      </c>
      <c r="AA123" s="125">
        <f t="shared" si="24"/>
        <v>39.599999999999994</v>
      </c>
      <c r="AB123" s="126" t="s">
        <v>580</v>
      </c>
      <c r="AC123" s="126">
        <v>1</v>
      </c>
      <c r="AD123" s="126">
        <v>3</v>
      </c>
      <c r="AE123" s="126">
        <v>100</v>
      </c>
      <c r="AF123" s="102">
        <f t="shared" si="33"/>
        <v>4</v>
      </c>
      <c r="AG123" s="127">
        <f t="shared" si="25"/>
        <v>8</v>
      </c>
      <c r="AH123" s="128">
        <f t="shared" si="26"/>
        <v>50.8</v>
      </c>
      <c r="AI123" s="108">
        <v>2037</v>
      </c>
      <c r="AJ123" s="108" t="str">
        <f t="shared" si="27"/>
        <v>mid adopter</v>
      </c>
    </row>
    <row r="124" spans="1:36">
      <c r="A124" s="102" t="s">
        <v>233</v>
      </c>
      <c r="B124" s="120" t="s">
        <v>232</v>
      </c>
      <c r="C124" s="120" t="s">
        <v>79</v>
      </c>
      <c r="D124" s="102" t="s">
        <v>87</v>
      </c>
      <c r="E124" s="109">
        <v>1</v>
      </c>
      <c r="F124" s="102">
        <v>1989</v>
      </c>
      <c r="G124" s="102">
        <v>1989</v>
      </c>
      <c r="H124" s="102">
        <v>2009</v>
      </c>
      <c r="I124" s="102" t="s">
        <v>566</v>
      </c>
      <c r="J124" s="102">
        <v>2014</v>
      </c>
      <c r="K124" s="102">
        <f t="shared" si="31"/>
        <v>4</v>
      </c>
      <c r="L124" s="102">
        <f t="shared" si="31"/>
        <v>3</v>
      </c>
      <c r="M124" s="102">
        <f t="shared" si="31"/>
        <v>3</v>
      </c>
      <c r="N124" s="102">
        <f t="shared" si="31"/>
        <v>1</v>
      </c>
      <c r="O124" s="102">
        <f t="shared" si="31"/>
        <v>3</v>
      </c>
      <c r="P124" s="121">
        <f t="shared" si="18"/>
        <v>2.8</v>
      </c>
      <c r="Q124" s="102">
        <v>23</v>
      </c>
      <c r="R124" s="102">
        <f t="shared" si="19"/>
        <v>2</v>
      </c>
      <c r="S124" s="138">
        <v>0.45607488833736598</v>
      </c>
      <c r="T124" s="102">
        <f t="shared" si="20"/>
        <v>1</v>
      </c>
      <c r="U124" s="139">
        <v>1.4772402122607199E-2</v>
      </c>
      <c r="V124" s="102">
        <f t="shared" si="21"/>
        <v>2</v>
      </c>
      <c r="W124" s="124">
        <v>0</v>
      </c>
      <c r="X124" s="102">
        <f t="shared" si="32"/>
        <v>2</v>
      </c>
      <c r="Y124" s="109">
        <v>85</v>
      </c>
      <c r="Z124" s="102">
        <f t="shared" si="23"/>
        <v>3</v>
      </c>
      <c r="AA124" s="125">
        <f t="shared" si="24"/>
        <v>38.400000000000006</v>
      </c>
      <c r="AB124" s="126" t="s">
        <v>580</v>
      </c>
      <c r="AC124" s="126">
        <v>1</v>
      </c>
      <c r="AD124" s="126">
        <v>4</v>
      </c>
      <c r="AE124" s="126">
        <v>100</v>
      </c>
      <c r="AF124" s="102">
        <f t="shared" si="33"/>
        <v>4</v>
      </c>
      <c r="AG124" s="127">
        <f t="shared" si="25"/>
        <v>9</v>
      </c>
      <c r="AH124" s="128">
        <f t="shared" si="26"/>
        <v>50.2</v>
      </c>
      <c r="AI124" s="108">
        <v>2037</v>
      </c>
      <c r="AJ124" s="108" t="str">
        <f t="shared" si="27"/>
        <v>mid adopter</v>
      </c>
    </row>
    <row r="125" spans="1:36">
      <c r="A125" s="102" t="s">
        <v>130</v>
      </c>
      <c r="B125" s="120" t="s">
        <v>129</v>
      </c>
      <c r="C125" s="120" t="s">
        <v>92</v>
      </c>
      <c r="D125" s="102" t="s">
        <v>80</v>
      </c>
      <c r="E125" s="109" t="s">
        <v>76</v>
      </c>
      <c r="F125" s="102">
        <v>2004</v>
      </c>
      <c r="G125" s="102">
        <v>2000</v>
      </c>
      <c r="H125" s="102">
        <v>2010</v>
      </c>
      <c r="I125" s="102">
        <v>2006</v>
      </c>
      <c r="J125" s="102">
        <v>2014</v>
      </c>
      <c r="K125" s="102">
        <f t="shared" si="31"/>
        <v>2</v>
      </c>
      <c r="L125" s="102">
        <f t="shared" si="31"/>
        <v>2</v>
      </c>
      <c r="M125" s="102">
        <f t="shared" si="31"/>
        <v>3</v>
      </c>
      <c r="N125" s="102">
        <f t="shared" si="31"/>
        <v>4</v>
      </c>
      <c r="O125" s="102">
        <f t="shared" si="31"/>
        <v>3</v>
      </c>
      <c r="P125" s="121">
        <f t="shared" si="18"/>
        <v>2.8</v>
      </c>
      <c r="Q125" s="102">
        <v>20901</v>
      </c>
      <c r="R125" s="102">
        <f t="shared" si="19"/>
        <v>4</v>
      </c>
      <c r="S125" s="138">
        <v>6.41981977102615</v>
      </c>
      <c r="T125" s="102">
        <f t="shared" si="20"/>
        <v>2</v>
      </c>
      <c r="U125" s="139">
        <v>0.41745324279148299</v>
      </c>
      <c r="V125" s="102">
        <f t="shared" si="21"/>
        <v>2</v>
      </c>
      <c r="W125" s="124">
        <v>0</v>
      </c>
      <c r="X125" s="102">
        <f t="shared" si="32"/>
        <v>2</v>
      </c>
      <c r="Y125" s="109">
        <v>99</v>
      </c>
      <c r="Z125" s="102">
        <f t="shared" si="23"/>
        <v>1</v>
      </c>
      <c r="AA125" s="125">
        <f t="shared" si="24"/>
        <v>41.400000000000006</v>
      </c>
      <c r="AB125" s="126" t="s">
        <v>580</v>
      </c>
      <c r="AC125" s="126">
        <v>1</v>
      </c>
      <c r="AD125" s="126">
        <v>3</v>
      </c>
      <c r="AE125" s="126">
        <v>87.62651293511135</v>
      </c>
      <c r="AF125" s="102">
        <f t="shared" si="33"/>
        <v>2</v>
      </c>
      <c r="AG125" s="127">
        <f t="shared" si="25"/>
        <v>6</v>
      </c>
      <c r="AH125" s="128">
        <f t="shared" si="26"/>
        <v>50.2</v>
      </c>
      <c r="AI125" s="108">
        <v>2037</v>
      </c>
      <c r="AJ125" s="108" t="str">
        <f t="shared" si="27"/>
        <v>mid adopter</v>
      </c>
    </row>
    <row r="126" spans="1:36">
      <c r="A126" s="102" t="s">
        <v>114</v>
      </c>
      <c r="B126" s="120" t="s">
        <v>113</v>
      </c>
      <c r="C126" s="120" t="s">
        <v>79</v>
      </c>
      <c r="D126" s="102" t="s">
        <v>80</v>
      </c>
      <c r="E126" s="109">
        <v>2</v>
      </c>
      <c r="F126" s="102">
        <v>1987</v>
      </c>
      <c r="G126" s="102">
        <v>1996</v>
      </c>
      <c r="H126" s="102" t="s">
        <v>566</v>
      </c>
      <c r="I126" s="102" t="s">
        <v>566</v>
      </c>
      <c r="J126" s="102" t="s">
        <v>566</v>
      </c>
      <c r="K126" s="102">
        <f t="shared" si="31"/>
        <v>4</v>
      </c>
      <c r="L126" s="102">
        <f t="shared" si="31"/>
        <v>3</v>
      </c>
      <c r="M126" s="102">
        <f t="shared" si="31"/>
        <v>1</v>
      </c>
      <c r="N126" s="102">
        <f t="shared" si="31"/>
        <v>1</v>
      </c>
      <c r="O126" s="102">
        <f t="shared" si="31"/>
        <v>1</v>
      </c>
      <c r="P126" s="121">
        <f t="shared" si="18"/>
        <v>2</v>
      </c>
      <c r="Q126" s="102">
        <v>191</v>
      </c>
      <c r="R126" s="102">
        <f t="shared" si="19"/>
        <v>3</v>
      </c>
      <c r="S126" s="138">
        <v>3.3016383693420801</v>
      </c>
      <c r="T126" s="102">
        <f t="shared" si="20"/>
        <v>2</v>
      </c>
      <c r="U126" s="139">
        <v>8.4151328437706598E-3</v>
      </c>
      <c r="V126" s="102">
        <f t="shared" si="21"/>
        <v>2</v>
      </c>
      <c r="W126" s="124">
        <v>0</v>
      </c>
      <c r="X126" s="102">
        <f t="shared" si="32"/>
        <v>2</v>
      </c>
      <c r="Y126" s="109">
        <v>90</v>
      </c>
      <c r="Z126" s="102">
        <f t="shared" si="23"/>
        <v>3</v>
      </c>
      <c r="AA126" s="125">
        <f t="shared" si="24"/>
        <v>42</v>
      </c>
      <c r="AB126" s="126" t="s">
        <v>580</v>
      </c>
      <c r="AC126" s="126">
        <v>1</v>
      </c>
      <c r="AD126" s="126">
        <v>3</v>
      </c>
      <c r="AE126" s="126">
        <v>58.188564771217258</v>
      </c>
      <c r="AF126" s="102">
        <f t="shared" si="33"/>
        <v>2</v>
      </c>
      <c r="AG126" s="127">
        <f t="shared" si="25"/>
        <v>6</v>
      </c>
      <c r="AH126" s="128">
        <f t="shared" si="26"/>
        <v>50</v>
      </c>
      <c r="AI126" s="108">
        <v>2037</v>
      </c>
      <c r="AJ126" s="108" t="str">
        <f t="shared" si="27"/>
        <v>mid adopter</v>
      </c>
    </row>
    <row r="127" spans="1:36">
      <c r="A127" s="102" t="s">
        <v>107</v>
      </c>
      <c r="B127" s="120" t="s">
        <v>106</v>
      </c>
      <c r="C127" s="120" t="s">
        <v>74</v>
      </c>
      <c r="D127" s="102" t="s">
        <v>87</v>
      </c>
      <c r="E127" s="109">
        <v>1</v>
      </c>
      <c r="F127" s="102">
        <v>1995</v>
      </c>
      <c r="G127" s="102">
        <v>1985</v>
      </c>
      <c r="H127" s="102">
        <v>2008</v>
      </c>
      <c r="I127" s="102">
        <v>2008</v>
      </c>
      <c r="J127" s="102" t="s">
        <v>566</v>
      </c>
      <c r="K127" s="102">
        <f t="shared" si="31"/>
        <v>3</v>
      </c>
      <c r="L127" s="102">
        <f t="shared" si="31"/>
        <v>4</v>
      </c>
      <c r="M127" s="102">
        <f t="shared" si="31"/>
        <v>4</v>
      </c>
      <c r="N127" s="102">
        <f t="shared" si="31"/>
        <v>4</v>
      </c>
      <c r="O127" s="102">
        <f t="shared" si="31"/>
        <v>1</v>
      </c>
      <c r="P127" s="121">
        <f t="shared" si="18"/>
        <v>3.2</v>
      </c>
      <c r="Q127" s="102">
        <v>3</v>
      </c>
      <c r="R127" s="102">
        <f t="shared" si="19"/>
        <v>2</v>
      </c>
      <c r="S127" s="138">
        <v>37.132774333844999</v>
      </c>
      <c r="T127" s="102">
        <f t="shared" si="20"/>
        <v>2</v>
      </c>
      <c r="U127" s="139">
        <v>0.48716342469145002</v>
      </c>
      <c r="V127" s="102">
        <f t="shared" si="21"/>
        <v>3</v>
      </c>
      <c r="W127" s="124">
        <v>0</v>
      </c>
      <c r="X127" s="102">
        <f t="shared" si="32"/>
        <v>2</v>
      </c>
      <c r="Y127" s="109">
        <v>98</v>
      </c>
      <c r="Z127" s="102">
        <f t="shared" si="23"/>
        <v>1</v>
      </c>
      <c r="AA127" s="125">
        <f t="shared" si="24"/>
        <v>39.599999999999994</v>
      </c>
      <c r="AB127" s="126" t="s">
        <v>580</v>
      </c>
      <c r="AC127" s="126">
        <v>1</v>
      </c>
      <c r="AD127" s="126">
        <v>4</v>
      </c>
      <c r="AE127" s="126">
        <v>87.873584494643865</v>
      </c>
      <c r="AF127" s="102">
        <f t="shared" si="33"/>
        <v>2</v>
      </c>
      <c r="AG127" s="127">
        <f t="shared" si="25"/>
        <v>7</v>
      </c>
      <c r="AH127" s="128">
        <f t="shared" si="26"/>
        <v>49.8</v>
      </c>
      <c r="AI127" s="108">
        <v>2037</v>
      </c>
      <c r="AJ127" s="108" t="str">
        <f t="shared" si="27"/>
        <v>mid adopter</v>
      </c>
    </row>
    <row r="128" spans="1:36">
      <c r="A128" s="102" t="s">
        <v>128</v>
      </c>
      <c r="B128" s="120" t="s">
        <v>127</v>
      </c>
      <c r="C128" s="120" t="s">
        <v>83</v>
      </c>
      <c r="D128" s="102" t="s">
        <v>80</v>
      </c>
      <c r="E128" s="109">
        <v>2</v>
      </c>
      <c r="F128" s="102">
        <v>2011</v>
      </c>
      <c r="G128" s="102">
        <v>2016</v>
      </c>
      <c r="H128" s="102">
        <v>2012</v>
      </c>
      <c r="I128" s="102">
        <v>2012</v>
      </c>
      <c r="J128" s="102">
        <v>2015</v>
      </c>
      <c r="K128" s="102">
        <f t="shared" si="31"/>
        <v>2</v>
      </c>
      <c r="L128" s="102">
        <f t="shared" si="31"/>
        <v>1</v>
      </c>
      <c r="M128" s="102">
        <f t="shared" si="31"/>
        <v>2</v>
      </c>
      <c r="N128" s="102">
        <f t="shared" si="31"/>
        <v>3</v>
      </c>
      <c r="O128" s="102">
        <f t="shared" si="31"/>
        <v>3</v>
      </c>
      <c r="P128" s="121">
        <f t="shared" si="18"/>
        <v>2.2000000000000002</v>
      </c>
      <c r="Q128" s="102">
        <v>0</v>
      </c>
      <c r="R128" s="102">
        <f t="shared" si="19"/>
        <v>1</v>
      </c>
      <c r="S128" s="138">
        <v>78.407398870916893</v>
      </c>
      <c r="T128" s="102">
        <f t="shared" si="20"/>
        <v>3</v>
      </c>
      <c r="U128" s="139">
        <v>11.073407142998001</v>
      </c>
      <c r="V128" s="102">
        <f t="shared" si="21"/>
        <v>3</v>
      </c>
      <c r="W128" s="124">
        <v>50.496000000000002</v>
      </c>
      <c r="X128" s="102">
        <f t="shared" si="32"/>
        <v>3</v>
      </c>
      <c r="Y128" s="109">
        <v>98</v>
      </c>
      <c r="Z128" s="102">
        <f t="shared" si="23"/>
        <v>1</v>
      </c>
      <c r="AA128" s="125">
        <f t="shared" si="24"/>
        <v>39.599999999999994</v>
      </c>
      <c r="AB128" s="126" t="s">
        <v>580</v>
      </c>
      <c r="AC128" s="126">
        <v>1</v>
      </c>
      <c r="AD128" s="126">
        <v>3</v>
      </c>
      <c r="AE128" s="126">
        <v>100</v>
      </c>
      <c r="AF128" s="102">
        <f t="shared" si="33"/>
        <v>4</v>
      </c>
      <c r="AG128" s="127">
        <f t="shared" si="25"/>
        <v>8</v>
      </c>
      <c r="AH128" s="128">
        <f t="shared" si="26"/>
        <v>49.8</v>
      </c>
      <c r="AI128" s="108">
        <v>2037</v>
      </c>
      <c r="AJ128" s="108" t="str">
        <f t="shared" si="27"/>
        <v>mid adopter</v>
      </c>
    </row>
    <row r="129" spans="1:36">
      <c r="A129" s="102" t="s">
        <v>195</v>
      </c>
      <c r="B129" s="120" t="s">
        <v>194</v>
      </c>
      <c r="C129" s="120" t="s">
        <v>83</v>
      </c>
      <c r="D129" s="102" t="s">
        <v>75</v>
      </c>
      <c r="E129" s="109">
        <v>3</v>
      </c>
      <c r="F129" s="102">
        <v>2012</v>
      </c>
      <c r="G129" s="102">
        <v>2018</v>
      </c>
      <c r="H129" s="102">
        <v>2015</v>
      </c>
      <c r="I129" s="102">
        <v>2014</v>
      </c>
      <c r="J129" s="102">
        <v>2023</v>
      </c>
      <c r="K129" s="102">
        <f t="shared" si="31"/>
        <v>1</v>
      </c>
      <c r="L129" s="102">
        <f t="shared" si="31"/>
        <v>1</v>
      </c>
      <c r="M129" s="102">
        <f t="shared" si="31"/>
        <v>1</v>
      </c>
      <c r="N129" s="102">
        <f t="shared" si="31"/>
        <v>2</v>
      </c>
      <c r="O129" s="102">
        <f t="shared" si="31"/>
        <v>1</v>
      </c>
      <c r="P129" s="121">
        <f t="shared" si="18"/>
        <v>1.2</v>
      </c>
      <c r="Q129" s="102">
        <v>5</v>
      </c>
      <c r="R129" s="102">
        <f t="shared" si="19"/>
        <v>2</v>
      </c>
      <c r="S129" s="138">
        <v>99.330293302904394</v>
      </c>
      <c r="T129" s="102">
        <f t="shared" si="20"/>
        <v>3</v>
      </c>
      <c r="U129" s="139">
        <v>62.633134558332102</v>
      </c>
      <c r="V129" s="102">
        <f t="shared" si="21"/>
        <v>3</v>
      </c>
      <c r="W129" s="124">
        <v>184.23</v>
      </c>
      <c r="X129" s="102">
        <f t="shared" si="32"/>
        <v>4</v>
      </c>
      <c r="Y129" s="109">
        <v>99</v>
      </c>
      <c r="Z129" s="102">
        <f t="shared" si="23"/>
        <v>1</v>
      </c>
      <c r="AA129" s="125">
        <f t="shared" si="24"/>
        <v>42.599999999999994</v>
      </c>
      <c r="AB129" s="126" t="s">
        <v>579</v>
      </c>
      <c r="AC129" s="126">
        <v>4</v>
      </c>
      <c r="AD129" s="126">
        <v>1</v>
      </c>
      <c r="AE129" s="126">
        <v>13.219797372280869</v>
      </c>
      <c r="AF129" s="102">
        <f t="shared" si="33"/>
        <v>1</v>
      </c>
      <c r="AG129" s="127">
        <f t="shared" si="25"/>
        <v>6</v>
      </c>
      <c r="AH129" s="128">
        <f t="shared" si="26"/>
        <v>49.8</v>
      </c>
      <c r="AI129" s="108">
        <v>2037</v>
      </c>
      <c r="AJ129" s="108" t="str">
        <f t="shared" si="27"/>
        <v>mid adopter</v>
      </c>
    </row>
    <row r="130" spans="1:36">
      <c r="A130" s="102" t="s">
        <v>162</v>
      </c>
      <c r="B130" s="120" t="s">
        <v>161</v>
      </c>
      <c r="C130" s="120" t="s">
        <v>99</v>
      </c>
      <c r="D130" s="102" t="e">
        <v>#N/A</v>
      </c>
      <c r="E130" s="109">
        <v>1</v>
      </c>
      <c r="F130" s="102">
        <v>1982</v>
      </c>
      <c r="G130" s="102">
        <v>2006</v>
      </c>
      <c r="H130" s="102" t="s">
        <v>566</v>
      </c>
      <c r="I130" s="102" t="s">
        <v>566</v>
      </c>
      <c r="J130" s="102">
        <v>2011</v>
      </c>
      <c r="K130" s="102">
        <f t="shared" si="31"/>
        <v>4</v>
      </c>
      <c r="L130" s="102">
        <f t="shared" si="31"/>
        <v>2</v>
      </c>
      <c r="M130" s="102">
        <f t="shared" si="31"/>
        <v>1</v>
      </c>
      <c r="N130" s="102">
        <f t="shared" si="31"/>
        <v>1</v>
      </c>
      <c r="O130" s="102">
        <f t="shared" si="31"/>
        <v>3</v>
      </c>
      <c r="P130" s="121">
        <f t="shared" si="18"/>
        <v>2.2000000000000002</v>
      </c>
      <c r="Q130" s="102">
        <v>0</v>
      </c>
      <c r="R130" s="102">
        <f t="shared" si="19"/>
        <v>1</v>
      </c>
      <c r="S130" s="138">
        <v>364.85674786351399</v>
      </c>
      <c r="T130" s="102">
        <f t="shared" si="20"/>
        <v>4</v>
      </c>
      <c r="U130" s="139">
        <v>2.7218547944444501E-2</v>
      </c>
      <c r="V130" s="102">
        <f t="shared" si="21"/>
        <v>2</v>
      </c>
      <c r="W130" s="124" t="s">
        <v>573</v>
      </c>
      <c r="X130" s="102">
        <v>1</v>
      </c>
      <c r="Y130" s="109">
        <v>81</v>
      </c>
      <c r="Z130" s="102">
        <f t="shared" si="23"/>
        <v>4</v>
      </c>
      <c r="AA130" s="125">
        <f t="shared" si="24"/>
        <v>42.599999999999994</v>
      </c>
      <c r="AB130" s="126" t="s">
        <v>580</v>
      </c>
      <c r="AC130" s="126">
        <v>1</v>
      </c>
      <c r="AD130" s="126">
        <v>2</v>
      </c>
      <c r="AE130" s="126"/>
      <c r="AF130" s="102">
        <v>2</v>
      </c>
      <c r="AG130" s="127">
        <f t="shared" si="25"/>
        <v>5</v>
      </c>
      <c r="AH130" s="128">
        <f t="shared" si="26"/>
        <v>49.8</v>
      </c>
      <c r="AI130" s="108">
        <v>2037</v>
      </c>
      <c r="AJ130" s="108" t="str">
        <f t="shared" si="27"/>
        <v>mid adopter</v>
      </c>
    </row>
    <row r="131" spans="1:36">
      <c r="A131" s="102" t="s">
        <v>182</v>
      </c>
      <c r="B131" s="120" t="s">
        <v>181</v>
      </c>
      <c r="C131" s="120" t="s">
        <v>74</v>
      </c>
      <c r="D131" s="102" t="s">
        <v>84</v>
      </c>
      <c r="E131" s="109">
        <v>3</v>
      </c>
      <c r="F131" s="102">
        <v>2011</v>
      </c>
      <c r="G131" s="102" t="s">
        <v>566</v>
      </c>
      <c r="H131" s="102">
        <v>2012</v>
      </c>
      <c r="I131" s="102">
        <v>2014</v>
      </c>
      <c r="J131" s="102">
        <v>2023</v>
      </c>
      <c r="K131" s="102">
        <f t="shared" si="31"/>
        <v>2</v>
      </c>
      <c r="L131" s="102">
        <f t="shared" si="31"/>
        <v>1</v>
      </c>
      <c r="M131" s="102">
        <f t="shared" si="31"/>
        <v>2</v>
      </c>
      <c r="N131" s="102">
        <f t="shared" si="31"/>
        <v>2</v>
      </c>
      <c r="O131" s="102">
        <f t="shared" si="31"/>
        <v>1</v>
      </c>
      <c r="P131" s="121">
        <f t="shared" si="18"/>
        <v>1.6</v>
      </c>
      <c r="Q131" s="102">
        <v>9.0000000000000002E-6</v>
      </c>
      <c r="R131" s="102">
        <f t="shared" si="19"/>
        <v>1</v>
      </c>
      <c r="S131" s="138">
        <v>162.88488126089399</v>
      </c>
      <c r="T131" s="102">
        <f t="shared" si="20"/>
        <v>3</v>
      </c>
      <c r="U131" s="139">
        <v>13.8301918705952</v>
      </c>
      <c r="V131" s="102">
        <f t="shared" si="21"/>
        <v>3</v>
      </c>
      <c r="W131" s="124">
        <v>13.866</v>
      </c>
      <c r="X131" s="102">
        <f>IF(AND(W131&gt;=W$200,W131&lt;W$201),1,IF(AND(W131&gt;=W$201,W131&lt;W$202),2,IF(AND(W131&gt;=W$202,W131&lt;W$203),3,IF(AND(W131&gt;=W$203,W131&lt;=W$204),4,"empty"))))</f>
        <v>3</v>
      </c>
      <c r="Y131" s="109">
        <v>87</v>
      </c>
      <c r="Z131" s="102">
        <f t="shared" si="23"/>
        <v>3</v>
      </c>
      <c r="AA131" s="125">
        <f t="shared" si="24"/>
        <v>43.8</v>
      </c>
      <c r="AB131" s="126" t="s">
        <v>581</v>
      </c>
      <c r="AC131" s="126">
        <v>1</v>
      </c>
      <c r="AD131" s="126">
        <v>2</v>
      </c>
      <c r="AE131" s="126">
        <v>8.3333333333333321</v>
      </c>
      <c r="AF131" s="102">
        <f>IF(AND(AE131&gt;=AE$200,AE131&lt;AE$201),1,IF(AND(AE131&gt;=AE$201,AE131&lt;AE$202),2,IF(AND(AE131&gt;=AE$202,AE131&lt;AE$203),3,IF(AND(AE131&gt;=AE$203,AE131&lt;=AE$204),4,"empty"))))</f>
        <v>1</v>
      </c>
      <c r="AG131" s="127">
        <f t="shared" si="25"/>
        <v>4</v>
      </c>
      <c r="AH131" s="128">
        <f t="shared" si="26"/>
        <v>49.4</v>
      </c>
      <c r="AI131" s="108">
        <v>2037</v>
      </c>
      <c r="AJ131" s="108" t="str">
        <f t="shared" si="27"/>
        <v>mid adopter</v>
      </c>
    </row>
    <row r="132" spans="1:36">
      <c r="A132" s="102" t="s">
        <v>417</v>
      </c>
      <c r="B132" s="120" t="s">
        <v>416</v>
      </c>
      <c r="C132" s="120" t="s">
        <v>79</v>
      </c>
      <c r="D132" s="102" t="s">
        <v>87</v>
      </c>
      <c r="E132" s="109">
        <v>1</v>
      </c>
      <c r="F132" s="102">
        <v>1982</v>
      </c>
      <c r="G132" s="102">
        <v>1982</v>
      </c>
      <c r="H132" s="102">
        <v>2009</v>
      </c>
      <c r="I132" s="102">
        <v>2019</v>
      </c>
      <c r="J132" s="102">
        <v>2010</v>
      </c>
      <c r="K132" s="102">
        <f t="shared" ref="K132:O163" si="34">IF(AND(F132&gt;=F$200,F132&lt;F$201),4,IF(AND(F132&gt;=F$201,F132&lt;F$202),3,IF(AND(F132&gt;=F$202,F132&lt;F$203),2,IF(AND(F132&gt;=F$203,F132&lt;=F$204),1,1))))</f>
        <v>4</v>
      </c>
      <c r="L132" s="102">
        <f t="shared" si="34"/>
        <v>4</v>
      </c>
      <c r="M132" s="102">
        <f t="shared" si="34"/>
        <v>3</v>
      </c>
      <c r="N132" s="102">
        <f t="shared" si="34"/>
        <v>1</v>
      </c>
      <c r="O132" s="102">
        <f t="shared" si="34"/>
        <v>4</v>
      </c>
      <c r="P132" s="121">
        <f t="shared" ref="P132:P195" si="35">AVERAGE(K132:O132)</f>
        <v>3.2</v>
      </c>
      <c r="Q132" s="102">
        <v>20</v>
      </c>
      <c r="R132" s="102">
        <f t="shared" ref="R132:R195" si="36">IF(AND(Q132&gt;=Q$200,Q132&lt;Q$201),1,IF(AND(Q132&gt;=Q$201,Q132&lt;Q$202),2,IF(AND(Q132&gt;=Q$202,Q132&lt;Q$203),3,IF(AND(Q132&gt;=Q$203,Q132&lt;=Q$204),4,"empty"))))</f>
        <v>2</v>
      </c>
      <c r="S132" s="138">
        <v>0.33402813172338802</v>
      </c>
      <c r="T132" s="102">
        <f t="shared" ref="T132:T195" si="37">IF(AND(S132&gt;=S$200,S132&lt;S$201),1,IF(AND(S132&gt;=S$201,S132&lt;S$202),2,IF(AND(S132&gt;=S$202,S132&lt;S$203),3,IF(AND(S132&gt;=S$203,S132&lt;=S$204),4,"empty"))))</f>
        <v>1</v>
      </c>
      <c r="U132" s="139">
        <v>1.13624571160716E-2</v>
      </c>
      <c r="V132" s="102">
        <f t="shared" ref="V132:V195" si="38">IF(AND(U132&gt;=U$200,U132&lt;U$201),1,IF(AND(U132&gt;=U$201,U132&lt;U$202),2,IF(AND(U132&gt;=U$202,U132&lt;U$203),3,IF(AND(U132&gt;=U$203,U132&lt;=U$204),4,"empty"))))</f>
        <v>2</v>
      </c>
      <c r="W132" s="124">
        <v>0</v>
      </c>
      <c r="X132" s="102">
        <f>IF(AND(W132&gt;=W$200,W132&lt;W$201),1,IF(AND(W132&gt;=W$201,W132&lt;W$202),2,IF(AND(W132&gt;=W$202,W132&lt;W$203),3,IF(AND(W132&gt;=W$203,W132&lt;=W$204),4,"empty"))))</f>
        <v>2</v>
      </c>
      <c r="Y132" s="109">
        <v>95</v>
      </c>
      <c r="Z132" s="102">
        <f t="shared" ref="Z132:Z195" si="39">IF(AND(Y132&gt;=Y$200,Y132&lt;Y$201),4,IF(AND(Y132&gt;=Y$201,Y132&lt;Y$202),3,IF(AND(Y132&gt;=Y$202,Y132&lt;Y$203),2,IF(AND(Y132&gt;=Y$203,Y132&lt;=Y$204),1,"empty"))))</f>
        <v>2</v>
      </c>
      <c r="AA132" s="125">
        <f t="shared" ref="AA132:AA195" si="40">(V132+T132+R132+P132+X132+Z132)*$AA$2</f>
        <v>36.599999999999994</v>
      </c>
      <c r="AB132" s="126" t="s">
        <v>580</v>
      </c>
      <c r="AC132" s="126">
        <v>1</v>
      </c>
      <c r="AD132" s="126">
        <v>4</v>
      </c>
      <c r="AE132" s="126" t="s">
        <v>582</v>
      </c>
      <c r="AF132" s="126">
        <v>4</v>
      </c>
      <c r="AG132" s="127">
        <f t="shared" ref="AG132:AG195" si="41">SUM(AF132,AD132,AC132)</f>
        <v>9</v>
      </c>
      <c r="AH132" s="128">
        <f t="shared" ref="AH132:AH195" si="42">AA132+P132+AG132</f>
        <v>48.8</v>
      </c>
      <c r="AI132" s="108">
        <v>2038</v>
      </c>
      <c r="AJ132" s="108" t="str">
        <f t="shared" ref="AJ132:AJ195" si="43">IF(AI132&lt;2034,"early adopter",IF(AI132&gt;2037,"late adopter","mid adopter"))</f>
        <v>late adopter</v>
      </c>
    </row>
    <row r="133" spans="1:36">
      <c r="A133" s="102" t="s">
        <v>401</v>
      </c>
      <c r="B133" s="120" t="s">
        <v>400</v>
      </c>
      <c r="C133" s="120" t="s">
        <v>99</v>
      </c>
      <c r="D133" s="102" t="s">
        <v>84</v>
      </c>
      <c r="E133" s="109">
        <v>4</v>
      </c>
      <c r="F133" s="102">
        <v>2018</v>
      </c>
      <c r="G133" s="102">
        <v>2013</v>
      </c>
      <c r="H133" s="102">
        <v>2015</v>
      </c>
      <c r="I133" s="102">
        <v>2020</v>
      </c>
      <c r="J133" s="102">
        <v>2019</v>
      </c>
      <c r="K133" s="102">
        <f t="shared" si="34"/>
        <v>1</v>
      </c>
      <c r="L133" s="102">
        <f t="shared" si="34"/>
        <v>1</v>
      </c>
      <c r="M133" s="102">
        <f t="shared" si="34"/>
        <v>1</v>
      </c>
      <c r="N133" s="102">
        <f t="shared" si="34"/>
        <v>1</v>
      </c>
      <c r="O133" s="102">
        <f t="shared" si="34"/>
        <v>2</v>
      </c>
      <c r="P133" s="121">
        <f t="shared" si="35"/>
        <v>1.2</v>
      </c>
      <c r="Q133" s="102">
        <v>0</v>
      </c>
      <c r="R133" s="102">
        <f t="shared" si="36"/>
        <v>1</v>
      </c>
      <c r="S133" s="138">
        <v>288.44605890530403</v>
      </c>
      <c r="T133" s="102">
        <f t="shared" si="37"/>
        <v>4</v>
      </c>
      <c r="U133" s="139">
        <v>8.9015168144683905</v>
      </c>
      <c r="V133" s="102">
        <f t="shared" si="38"/>
        <v>3</v>
      </c>
      <c r="W133" s="124">
        <v>34.679000000000002</v>
      </c>
      <c r="X133" s="102">
        <f>IF(AND(W133&gt;=W$200,W133&lt;W$201),1,IF(AND(W133&gt;=W$201,W133&lt;W$202),2,IF(AND(W133&gt;=W$202,W133&lt;W$203),3,IF(AND(W133&gt;=W$203,W133&lt;=W$204),4,"empty"))))</f>
        <v>3</v>
      </c>
      <c r="Y133" s="109">
        <v>93</v>
      </c>
      <c r="Z133" s="102">
        <f t="shared" si="39"/>
        <v>2</v>
      </c>
      <c r="AA133" s="125">
        <f t="shared" si="40"/>
        <v>42.599999999999994</v>
      </c>
      <c r="AB133" s="109" t="s">
        <v>581</v>
      </c>
      <c r="AC133" s="126">
        <v>1</v>
      </c>
      <c r="AD133" s="126">
        <v>2</v>
      </c>
      <c r="AE133" s="126">
        <v>34.226291981173667</v>
      </c>
      <c r="AF133" s="102">
        <f>IF(AND(AE133&gt;=AE$200,AE133&lt;AE$201),1,IF(AND(AE133&gt;=AE$201,AE133&lt;AE$202),2,IF(AND(AE133&gt;=AE$202,AE133&lt;AE$203),3,IF(AND(AE133&gt;=AE$203,AE133&lt;=AE$204),4,"empty"))))</f>
        <v>2</v>
      </c>
      <c r="AG133" s="127">
        <f t="shared" si="41"/>
        <v>5</v>
      </c>
      <c r="AH133" s="128">
        <f t="shared" si="42"/>
        <v>48.8</v>
      </c>
      <c r="AI133" s="108">
        <v>2038</v>
      </c>
      <c r="AJ133" s="108" t="str">
        <f t="shared" si="43"/>
        <v>late adopter</v>
      </c>
    </row>
    <row r="134" spans="1:36">
      <c r="A134" s="102" t="s">
        <v>265</v>
      </c>
      <c r="B134" s="120" t="s">
        <v>264</v>
      </c>
      <c r="C134" s="120" t="s">
        <v>74</v>
      </c>
      <c r="D134" s="102" t="s">
        <v>87</v>
      </c>
      <c r="E134" s="109">
        <v>1</v>
      </c>
      <c r="F134" s="102">
        <v>1996</v>
      </c>
      <c r="G134" s="102">
        <v>1987</v>
      </c>
      <c r="H134" s="102">
        <v>2007</v>
      </c>
      <c r="I134" s="102">
        <v>2017</v>
      </c>
      <c r="J134" s="102">
        <v>2021</v>
      </c>
      <c r="K134" s="102">
        <f t="shared" si="34"/>
        <v>3</v>
      </c>
      <c r="L134" s="102">
        <f t="shared" si="34"/>
        <v>3</v>
      </c>
      <c r="M134" s="102">
        <f t="shared" si="34"/>
        <v>4</v>
      </c>
      <c r="N134" s="102">
        <f t="shared" si="34"/>
        <v>1</v>
      </c>
      <c r="O134" s="102">
        <f t="shared" si="34"/>
        <v>1</v>
      </c>
      <c r="P134" s="121">
        <f t="shared" si="35"/>
        <v>2.4</v>
      </c>
      <c r="Q134" s="102">
        <v>12</v>
      </c>
      <c r="R134" s="102">
        <f t="shared" si="36"/>
        <v>2</v>
      </c>
      <c r="S134" s="138">
        <v>101.4235470747</v>
      </c>
      <c r="T134" s="102">
        <f t="shared" si="37"/>
        <v>3</v>
      </c>
      <c r="U134" s="139">
        <v>5.29666515647499E-3</v>
      </c>
      <c r="V134" s="102">
        <f t="shared" si="38"/>
        <v>1</v>
      </c>
      <c r="W134" s="124">
        <v>0</v>
      </c>
      <c r="X134" s="102">
        <f>IF(AND(W134&gt;=W$200,W134&lt;W$201),1,IF(AND(W134&gt;=W$201,W134&lt;W$202),2,IF(AND(W134&gt;=W$202,W134&lt;W$203),3,IF(AND(W134&gt;=W$203,W134&lt;=W$204),4,"empty"))))</f>
        <v>2</v>
      </c>
      <c r="Y134" s="109">
        <v>94</v>
      </c>
      <c r="Z134" s="102">
        <f t="shared" si="39"/>
        <v>2</v>
      </c>
      <c r="AA134" s="125">
        <f t="shared" si="40"/>
        <v>37.200000000000003</v>
      </c>
      <c r="AB134" s="126" t="s">
        <v>580</v>
      </c>
      <c r="AC134" s="126">
        <v>1</v>
      </c>
      <c r="AD134" s="126">
        <v>4</v>
      </c>
      <c r="AE134" s="126" t="s">
        <v>582</v>
      </c>
      <c r="AF134" s="126">
        <v>4</v>
      </c>
      <c r="AG134" s="127">
        <f t="shared" si="41"/>
        <v>9</v>
      </c>
      <c r="AH134" s="128">
        <f t="shared" si="42"/>
        <v>48.6</v>
      </c>
      <c r="AI134" s="108">
        <v>2038</v>
      </c>
      <c r="AJ134" s="108" t="str">
        <f t="shared" si="43"/>
        <v>late adopter</v>
      </c>
    </row>
    <row r="135" spans="1:36">
      <c r="A135" s="102" t="s">
        <v>377</v>
      </c>
      <c r="B135" s="120" t="s">
        <v>376</v>
      </c>
      <c r="C135" s="120" t="s">
        <v>99</v>
      </c>
      <c r="D135" s="102" t="s">
        <v>80</v>
      </c>
      <c r="E135" s="109">
        <v>2</v>
      </c>
      <c r="F135" s="102">
        <v>2005</v>
      </c>
      <c r="G135" s="102">
        <v>2004</v>
      </c>
      <c r="H135" s="102">
        <v>2020</v>
      </c>
      <c r="I135" s="102">
        <v>2021</v>
      </c>
      <c r="J135" s="102">
        <v>2021</v>
      </c>
      <c r="K135" s="102">
        <f t="shared" si="34"/>
        <v>2</v>
      </c>
      <c r="L135" s="102">
        <f t="shared" si="34"/>
        <v>2</v>
      </c>
      <c r="M135" s="102">
        <f t="shared" si="34"/>
        <v>1</v>
      </c>
      <c r="N135" s="102">
        <f t="shared" si="34"/>
        <v>1</v>
      </c>
      <c r="O135" s="102">
        <f t="shared" si="34"/>
        <v>1</v>
      </c>
      <c r="P135" s="121">
        <f t="shared" si="35"/>
        <v>1.4</v>
      </c>
      <c r="Q135" s="102">
        <v>47</v>
      </c>
      <c r="R135" s="102">
        <f t="shared" si="36"/>
        <v>2</v>
      </c>
      <c r="S135" s="138">
        <v>2712.6752739959302</v>
      </c>
      <c r="T135" s="102">
        <f t="shared" si="37"/>
        <v>4</v>
      </c>
      <c r="U135" s="139">
        <v>7.7428623860960704</v>
      </c>
      <c r="V135" s="102">
        <f t="shared" si="38"/>
        <v>3</v>
      </c>
      <c r="W135" s="124">
        <v>0</v>
      </c>
      <c r="X135" s="102">
        <f>IF(AND(W135&gt;=W$200,W135&lt;W$201),1,IF(AND(W135&gt;=W$201,W135&lt;W$202),2,IF(AND(W135&gt;=W$202,W135&lt;W$203),3,IF(AND(W135&gt;=W$203,W135&lt;=W$204),4,"empty"))))</f>
        <v>2</v>
      </c>
      <c r="Y135" s="109">
        <v>99</v>
      </c>
      <c r="Z135" s="102">
        <f t="shared" si="39"/>
        <v>1</v>
      </c>
      <c r="AA135" s="125">
        <f t="shared" si="40"/>
        <v>40.200000000000003</v>
      </c>
      <c r="AB135" s="126" t="s">
        <v>580</v>
      </c>
      <c r="AC135" s="126">
        <v>1</v>
      </c>
      <c r="AD135" s="126">
        <v>3</v>
      </c>
      <c r="AE135" s="126" t="s">
        <v>582</v>
      </c>
      <c r="AF135" s="102">
        <v>3</v>
      </c>
      <c r="AG135" s="127">
        <f t="shared" si="41"/>
        <v>7</v>
      </c>
      <c r="AH135" s="128">
        <f t="shared" si="42"/>
        <v>48.6</v>
      </c>
      <c r="AI135" s="108">
        <v>2038</v>
      </c>
      <c r="AJ135" s="108" t="str">
        <f t="shared" si="43"/>
        <v>late adopter</v>
      </c>
    </row>
    <row r="136" spans="1:36">
      <c r="A136" s="102" t="s">
        <v>443</v>
      </c>
      <c r="B136" s="120" t="s">
        <v>442</v>
      </c>
      <c r="C136" s="120" t="s">
        <v>99</v>
      </c>
      <c r="D136" s="102" t="s">
        <v>80</v>
      </c>
      <c r="E136" s="109">
        <v>4</v>
      </c>
      <c r="F136" s="102">
        <v>2005</v>
      </c>
      <c r="G136" s="102">
        <v>2005</v>
      </c>
      <c r="H136" s="102" t="s">
        <v>566</v>
      </c>
      <c r="I136" s="102" t="s">
        <v>566</v>
      </c>
      <c r="J136" s="102">
        <v>2021</v>
      </c>
      <c r="K136" s="102">
        <f t="shared" si="34"/>
        <v>2</v>
      </c>
      <c r="L136" s="102">
        <f t="shared" si="34"/>
        <v>2</v>
      </c>
      <c r="M136" s="102">
        <f t="shared" si="34"/>
        <v>1</v>
      </c>
      <c r="N136" s="102">
        <f t="shared" si="34"/>
        <v>1</v>
      </c>
      <c r="O136" s="102">
        <f t="shared" si="34"/>
        <v>1</v>
      </c>
      <c r="P136" s="121">
        <f t="shared" si="35"/>
        <v>1.4</v>
      </c>
      <c r="Q136" s="102">
        <v>0</v>
      </c>
      <c r="R136" s="102">
        <f t="shared" si="36"/>
        <v>1</v>
      </c>
      <c r="S136" s="138">
        <v>816.78190748408804</v>
      </c>
      <c r="T136" s="102">
        <f t="shared" si="37"/>
        <v>4</v>
      </c>
      <c r="U136" s="139">
        <v>0.14386378601142799</v>
      </c>
      <c r="V136" s="102">
        <f t="shared" si="38"/>
        <v>2</v>
      </c>
      <c r="W136" s="124" t="s">
        <v>573</v>
      </c>
      <c r="X136" s="102">
        <v>1</v>
      </c>
      <c r="Y136" s="109">
        <v>49</v>
      </c>
      <c r="Z136" s="102">
        <f t="shared" si="39"/>
        <v>4</v>
      </c>
      <c r="AA136" s="125">
        <f t="shared" si="40"/>
        <v>40.200000000000003</v>
      </c>
      <c r="AB136" s="126" t="s">
        <v>580</v>
      </c>
      <c r="AC136" s="126">
        <v>1</v>
      </c>
      <c r="AD136" s="126">
        <v>3</v>
      </c>
      <c r="AE136" s="126" t="s">
        <v>582</v>
      </c>
      <c r="AF136" s="102">
        <v>3</v>
      </c>
      <c r="AG136" s="127">
        <f t="shared" si="41"/>
        <v>7</v>
      </c>
      <c r="AH136" s="128">
        <f t="shared" si="42"/>
        <v>48.6</v>
      </c>
      <c r="AI136" s="108">
        <v>2038</v>
      </c>
      <c r="AJ136" s="108" t="str">
        <f t="shared" si="43"/>
        <v>late adopter</v>
      </c>
    </row>
    <row r="137" spans="1:36">
      <c r="A137" s="102" t="s">
        <v>429</v>
      </c>
      <c r="B137" s="120" t="s">
        <v>428</v>
      </c>
      <c r="C137" s="120" t="s">
        <v>110</v>
      </c>
      <c r="D137" s="102" t="s">
        <v>84</v>
      </c>
      <c r="E137" s="109">
        <v>4</v>
      </c>
      <c r="F137" s="102">
        <v>2016</v>
      </c>
      <c r="G137" s="102">
        <v>2016</v>
      </c>
      <c r="H137" s="102">
        <v>2021</v>
      </c>
      <c r="I137" s="102">
        <v>2019</v>
      </c>
      <c r="J137" s="102">
        <v>2022</v>
      </c>
      <c r="K137" s="102">
        <f t="shared" si="34"/>
        <v>1</v>
      </c>
      <c r="L137" s="102">
        <f t="shared" si="34"/>
        <v>1</v>
      </c>
      <c r="M137" s="102">
        <f t="shared" si="34"/>
        <v>1</v>
      </c>
      <c r="N137" s="102">
        <f t="shared" si="34"/>
        <v>1</v>
      </c>
      <c r="O137" s="102">
        <f t="shared" si="34"/>
        <v>1</v>
      </c>
      <c r="P137" s="121">
        <f t="shared" si="35"/>
        <v>1</v>
      </c>
      <c r="Q137" s="102">
        <v>33</v>
      </c>
      <c r="R137" s="102">
        <f t="shared" si="36"/>
        <v>2</v>
      </c>
      <c r="S137" s="138">
        <v>213.15852814356401</v>
      </c>
      <c r="T137" s="102">
        <f t="shared" si="37"/>
        <v>3</v>
      </c>
      <c r="U137" s="139">
        <v>11.880382129292</v>
      </c>
      <c r="V137" s="102">
        <f t="shared" si="38"/>
        <v>3</v>
      </c>
      <c r="W137" s="124">
        <v>56.347999999999999</v>
      </c>
      <c r="X137" s="102">
        <f>IF(AND(W137&gt;=W$200,W137&lt;W$201),1,IF(AND(W137&gt;=W$201,W137&lt;W$202),2,IF(AND(W137&gt;=W$202,W137&lt;W$203),3,IF(AND(W137&gt;=W$203,W137&lt;=W$204),4,"empty"))))</f>
        <v>3</v>
      </c>
      <c r="Y137" s="109">
        <v>96</v>
      </c>
      <c r="Z137" s="102">
        <f t="shared" si="39"/>
        <v>2</v>
      </c>
      <c r="AA137" s="125">
        <f t="shared" si="40"/>
        <v>42</v>
      </c>
      <c r="AB137" s="126" t="s">
        <v>581</v>
      </c>
      <c r="AC137" s="126">
        <v>1</v>
      </c>
      <c r="AD137" s="126">
        <v>2</v>
      </c>
      <c r="AE137" s="126">
        <v>75.623540401681453</v>
      </c>
      <c r="AF137" s="102">
        <f>IF(AND(AE137&gt;=AE$200,AE137&lt;AE$201),1,IF(AND(AE137&gt;=AE$201,AE137&lt;AE$202),2,IF(AND(AE137&gt;=AE$202,AE137&lt;AE$203),3,IF(AND(AE137&gt;=AE$203,AE137&lt;=AE$204),4,"empty"))))</f>
        <v>2</v>
      </c>
      <c r="AG137" s="127">
        <f t="shared" si="41"/>
        <v>5</v>
      </c>
      <c r="AH137" s="128">
        <f t="shared" si="42"/>
        <v>48</v>
      </c>
      <c r="AI137" s="108">
        <v>2038</v>
      </c>
      <c r="AJ137" s="108" t="str">
        <f t="shared" si="43"/>
        <v>late adopter</v>
      </c>
    </row>
    <row r="138" spans="1:36">
      <c r="A138" s="102" t="s">
        <v>305</v>
      </c>
      <c r="B138" s="120" t="s">
        <v>304</v>
      </c>
      <c r="C138" s="120" t="s">
        <v>92</v>
      </c>
      <c r="D138" s="102" t="s">
        <v>80</v>
      </c>
      <c r="E138" s="109">
        <v>2</v>
      </c>
      <c r="F138" s="102">
        <v>1993</v>
      </c>
      <c r="G138" s="102">
        <v>1998</v>
      </c>
      <c r="H138" s="102">
        <v>2009</v>
      </c>
      <c r="I138" s="102">
        <v>2007</v>
      </c>
      <c r="J138" s="102">
        <v>2012</v>
      </c>
      <c r="K138" s="102">
        <f t="shared" si="34"/>
        <v>3</v>
      </c>
      <c r="L138" s="102">
        <f t="shared" si="34"/>
        <v>3</v>
      </c>
      <c r="M138" s="102">
        <f t="shared" si="34"/>
        <v>3</v>
      </c>
      <c r="N138" s="102">
        <f t="shared" si="34"/>
        <v>4</v>
      </c>
      <c r="O138" s="102">
        <f t="shared" si="34"/>
        <v>3</v>
      </c>
      <c r="P138" s="121">
        <f t="shared" si="35"/>
        <v>3.2</v>
      </c>
      <c r="Q138" s="102">
        <v>9.0000000000000002E-6</v>
      </c>
      <c r="R138" s="102">
        <f t="shared" si="36"/>
        <v>1</v>
      </c>
      <c r="S138" s="138">
        <v>3.2373280874691702E-3</v>
      </c>
      <c r="T138" s="102">
        <f t="shared" si="37"/>
        <v>1</v>
      </c>
      <c r="U138" s="139">
        <v>6.5079503918290399E-3</v>
      </c>
      <c r="V138" s="102">
        <f t="shared" si="38"/>
        <v>2</v>
      </c>
      <c r="W138" s="124">
        <v>0</v>
      </c>
      <c r="X138" s="102">
        <f>IF(AND(W138&gt;=W$200,W138&lt;W$201),1,IF(AND(W138&gt;=W$201,W138&lt;W$202),2,IF(AND(W138&gt;=W$202,W138&lt;W$203),3,IF(AND(W138&gt;=W$203,W138&lt;=W$204),4,"empty"))))</f>
        <v>2</v>
      </c>
      <c r="Y138" s="109">
        <v>87</v>
      </c>
      <c r="Z138" s="102">
        <f t="shared" si="39"/>
        <v>3</v>
      </c>
      <c r="AA138" s="125">
        <f t="shared" si="40"/>
        <v>36.599999999999994</v>
      </c>
      <c r="AB138" s="126" t="s">
        <v>580</v>
      </c>
      <c r="AC138" s="126">
        <v>1</v>
      </c>
      <c r="AD138" s="126">
        <v>3</v>
      </c>
      <c r="AE138" s="126">
        <v>100</v>
      </c>
      <c r="AF138" s="102">
        <f>IF(AND(AE138&gt;=AE$200,AE138&lt;AE$201),1,IF(AND(AE138&gt;=AE$201,AE138&lt;AE$202),2,IF(AND(AE138&gt;=AE$202,AE138&lt;AE$203),3,IF(AND(AE138&gt;=AE$203,AE138&lt;=AE$204),4,"empty"))))</f>
        <v>4</v>
      </c>
      <c r="AG138" s="127">
        <f t="shared" si="41"/>
        <v>8</v>
      </c>
      <c r="AH138" s="128">
        <f t="shared" si="42"/>
        <v>47.8</v>
      </c>
      <c r="AI138" s="108">
        <v>2038</v>
      </c>
      <c r="AJ138" s="108" t="str">
        <f t="shared" si="43"/>
        <v>late adopter</v>
      </c>
    </row>
    <row r="139" spans="1:36">
      <c r="A139" s="102" t="s">
        <v>461</v>
      </c>
      <c r="B139" s="120" t="s">
        <v>460</v>
      </c>
      <c r="C139" s="120" t="s">
        <v>92</v>
      </c>
      <c r="D139" s="102" t="s">
        <v>80</v>
      </c>
      <c r="E139" s="109">
        <v>1</v>
      </c>
      <c r="F139" s="102">
        <v>2009</v>
      </c>
      <c r="G139" s="102">
        <v>1998</v>
      </c>
      <c r="H139" s="102">
        <v>2014</v>
      </c>
      <c r="I139" s="102">
        <v>2006</v>
      </c>
      <c r="J139" s="102" t="s">
        <v>566</v>
      </c>
      <c r="K139" s="102">
        <f t="shared" si="34"/>
        <v>2</v>
      </c>
      <c r="L139" s="102">
        <f t="shared" si="34"/>
        <v>3</v>
      </c>
      <c r="M139" s="102">
        <f t="shared" si="34"/>
        <v>2</v>
      </c>
      <c r="N139" s="102">
        <f t="shared" si="34"/>
        <v>4</v>
      </c>
      <c r="O139" s="102">
        <f t="shared" si="34"/>
        <v>1</v>
      </c>
      <c r="P139" s="121">
        <f t="shared" si="35"/>
        <v>2.4</v>
      </c>
      <c r="Q139" s="102">
        <v>548</v>
      </c>
      <c r="R139" s="102">
        <f t="shared" si="36"/>
        <v>3</v>
      </c>
      <c r="S139" s="138">
        <v>2.0801634481795999</v>
      </c>
      <c r="T139" s="102">
        <f t="shared" si="37"/>
        <v>2</v>
      </c>
      <c r="U139" s="139">
        <v>4.2342104822776401E-2</v>
      </c>
      <c r="V139" s="102">
        <f t="shared" si="38"/>
        <v>2</v>
      </c>
      <c r="W139" s="124">
        <v>0</v>
      </c>
      <c r="X139" s="102">
        <f>IF(AND(W139&gt;=W$200,W139&lt;W$201),1,IF(AND(W139&gt;=W$201,W139&lt;W$202),2,IF(AND(W139&gt;=W$202,W139&lt;W$203),3,IF(AND(W139&gt;=W$203,W139&lt;=W$204),4,"empty"))))</f>
        <v>2</v>
      </c>
      <c r="Y139" s="109">
        <v>97</v>
      </c>
      <c r="Z139" s="102">
        <f t="shared" si="39"/>
        <v>1</v>
      </c>
      <c r="AA139" s="125">
        <f t="shared" si="40"/>
        <v>37.200000000000003</v>
      </c>
      <c r="AB139" s="126" t="s">
        <v>580</v>
      </c>
      <c r="AC139" s="126">
        <v>1</v>
      </c>
      <c r="AD139" s="126">
        <v>3</v>
      </c>
      <c r="AE139" s="126">
        <v>100</v>
      </c>
      <c r="AF139" s="102">
        <f>IF(AND(AE139&gt;=AE$200,AE139&lt;AE$201),1,IF(AND(AE139&gt;=AE$201,AE139&lt;AE$202),2,IF(AND(AE139&gt;=AE$202,AE139&lt;AE$203),3,IF(AND(AE139&gt;=AE$203,AE139&lt;=AE$204),4,"empty"))))</f>
        <v>4</v>
      </c>
      <c r="AG139" s="127">
        <f t="shared" si="41"/>
        <v>8</v>
      </c>
      <c r="AH139" s="128">
        <f t="shared" si="42"/>
        <v>47.6</v>
      </c>
      <c r="AI139" s="108">
        <v>2038</v>
      </c>
      <c r="AJ139" s="108" t="str">
        <f t="shared" si="43"/>
        <v>late adopter</v>
      </c>
    </row>
    <row r="140" spans="1:36">
      <c r="A140" s="102" t="s">
        <v>373</v>
      </c>
      <c r="B140" s="120" t="s">
        <v>372</v>
      </c>
      <c r="C140" s="120" t="s">
        <v>92</v>
      </c>
      <c r="D140" s="102" t="s">
        <v>80</v>
      </c>
      <c r="E140" s="109">
        <v>1</v>
      </c>
      <c r="F140" s="102">
        <v>1991</v>
      </c>
      <c r="G140" s="102">
        <v>1986</v>
      </c>
      <c r="H140" s="102" t="s">
        <v>566</v>
      </c>
      <c r="I140" s="102" t="s">
        <v>566</v>
      </c>
      <c r="J140" s="102">
        <v>2019</v>
      </c>
      <c r="K140" s="102">
        <f t="shared" si="34"/>
        <v>4</v>
      </c>
      <c r="L140" s="102">
        <f t="shared" si="34"/>
        <v>4</v>
      </c>
      <c r="M140" s="102">
        <f t="shared" si="34"/>
        <v>1</v>
      </c>
      <c r="N140" s="102">
        <f t="shared" si="34"/>
        <v>1</v>
      </c>
      <c r="O140" s="102">
        <f t="shared" si="34"/>
        <v>2</v>
      </c>
      <c r="P140" s="121">
        <f t="shared" si="35"/>
        <v>2.4</v>
      </c>
      <c r="Q140" s="102">
        <v>1</v>
      </c>
      <c r="R140" s="102">
        <f t="shared" si="36"/>
        <v>2</v>
      </c>
      <c r="S140" s="138">
        <v>1.2147420795361401</v>
      </c>
      <c r="T140" s="102">
        <f t="shared" si="37"/>
        <v>2</v>
      </c>
      <c r="U140" s="139">
        <v>3.6345216960041699E-4</v>
      </c>
      <c r="V140" s="102">
        <f t="shared" si="38"/>
        <v>1</v>
      </c>
      <c r="W140" s="124">
        <v>0</v>
      </c>
      <c r="X140" s="102">
        <f>IF(AND(W140&gt;=W$200,W140&lt;W$201),1,IF(AND(W140&gt;=W$201,W140&lt;W$202),2,IF(AND(W140&gt;=W$202,W140&lt;W$203),3,IF(AND(W140&gt;=W$203,W140&lt;=W$204),4,"empty"))))</f>
        <v>2</v>
      </c>
      <c r="Y140" s="109">
        <v>86</v>
      </c>
      <c r="Z140" s="102">
        <f t="shared" si="39"/>
        <v>3</v>
      </c>
      <c r="AA140" s="125">
        <f t="shared" si="40"/>
        <v>37.200000000000003</v>
      </c>
      <c r="AB140" s="126" t="s">
        <v>580</v>
      </c>
      <c r="AC140" s="126">
        <v>1</v>
      </c>
      <c r="AD140" s="126">
        <v>3</v>
      </c>
      <c r="AE140" s="126">
        <v>100</v>
      </c>
      <c r="AF140" s="102">
        <f>IF(AND(AE140&gt;=AE$200,AE140&lt;AE$201),1,IF(AND(AE140&gt;=AE$201,AE140&lt;AE$202),2,IF(AND(AE140&gt;=AE$202,AE140&lt;AE$203),3,IF(AND(AE140&gt;=AE$203,AE140&lt;=AE$204),4,"empty"))))</f>
        <v>4</v>
      </c>
      <c r="AG140" s="127">
        <f t="shared" si="41"/>
        <v>8</v>
      </c>
      <c r="AH140" s="128">
        <f t="shared" si="42"/>
        <v>47.6</v>
      </c>
      <c r="AI140" s="108">
        <v>2038</v>
      </c>
      <c r="AJ140" s="108" t="str">
        <f t="shared" si="43"/>
        <v>late adopter</v>
      </c>
    </row>
    <row r="141" spans="1:36">
      <c r="A141" s="102" t="s">
        <v>325</v>
      </c>
      <c r="B141" s="120" t="s">
        <v>324</v>
      </c>
      <c r="C141" s="120" t="s">
        <v>99</v>
      </c>
      <c r="D141" s="102" t="s">
        <v>87</v>
      </c>
      <c r="E141" s="109">
        <v>1</v>
      </c>
      <c r="F141" s="102">
        <v>2005</v>
      </c>
      <c r="G141" s="102">
        <v>2006</v>
      </c>
      <c r="H141" s="102" t="s">
        <v>566</v>
      </c>
      <c r="I141" s="102" t="s">
        <v>566</v>
      </c>
      <c r="J141" s="102" t="s">
        <v>566</v>
      </c>
      <c r="K141" s="102">
        <f t="shared" si="34"/>
        <v>2</v>
      </c>
      <c r="L141" s="102">
        <f t="shared" si="34"/>
        <v>2</v>
      </c>
      <c r="M141" s="102">
        <f t="shared" si="34"/>
        <v>1</v>
      </c>
      <c r="N141" s="102">
        <f t="shared" si="34"/>
        <v>1</v>
      </c>
      <c r="O141" s="102">
        <f t="shared" si="34"/>
        <v>1</v>
      </c>
      <c r="P141" s="121">
        <f t="shared" si="35"/>
        <v>1.4</v>
      </c>
      <c r="Q141" s="102">
        <v>0</v>
      </c>
      <c r="R141" s="102">
        <f t="shared" si="36"/>
        <v>1</v>
      </c>
      <c r="S141" s="138">
        <v>156.52246954566499</v>
      </c>
      <c r="T141" s="102">
        <f t="shared" si="37"/>
        <v>3</v>
      </c>
      <c r="U141" s="139">
        <v>3.0592853520440801E-2</v>
      </c>
      <c r="V141" s="102">
        <f t="shared" si="38"/>
        <v>2</v>
      </c>
      <c r="W141" s="124" t="s">
        <v>573</v>
      </c>
      <c r="X141" s="102">
        <v>1</v>
      </c>
      <c r="Y141" s="109">
        <v>72</v>
      </c>
      <c r="Z141" s="102">
        <f t="shared" si="39"/>
        <v>4</v>
      </c>
      <c r="AA141" s="125">
        <f t="shared" si="40"/>
        <v>37.200000000000003</v>
      </c>
      <c r="AB141" s="126" t="s">
        <v>580</v>
      </c>
      <c r="AC141" s="126">
        <v>1</v>
      </c>
      <c r="AD141" s="126">
        <v>4</v>
      </c>
      <c r="AE141" s="126" t="s">
        <v>582</v>
      </c>
      <c r="AF141" s="126">
        <v>4</v>
      </c>
      <c r="AG141" s="127">
        <f t="shared" si="41"/>
        <v>9</v>
      </c>
      <c r="AH141" s="128">
        <f t="shared" si="42"/>
        <v>47.6</v>
      </c>
      <c r="AI141" s="108">
        <v>2038</v>
      </c>
      <c r="AJ141" s="108" t="str">
        <f t="shared" si="43"/>
        <v>late adopter</v>
      </c>
    </row>
    <row r="142" spans="1:36">
      <c r="A142" s="102" t="s">
        <v>263</v>
      </c>
      <c r="B142" s="120" t="s">
        <v>262</v>
      </c>
      <c r="C142" s="120" t="s">
        <v>99</v>
      </c>
      <c r="D142" s="102" t="s">
        <v>87</v>
      </c>
      <c r="E142" s="109">
        <v>1</v>
      </c>
      <c r="F142" s="102">
        <v>1997</v>
      </c>
      <c r="G142" s="102">
        <v>1983</v>
      </c>
      <c r="H142" s="102">
        <v>2014</v>
      </c>
      <c r="I142" s="102" t="s">
        <v>566</v>
      </c>
      <c r="J142" s="102">
        <v>2016</v>
      </c>
      <c r="K142" s="102">
        <f t="shared" si="34"/>
        <v>3</v>
      </c>
      <c r="L142" s="102">
        <f t="shared" si="34"/>
        <v>4</v>
      </c>
      <c r="M142" s="102">
        <f t="shared" si="34"/>
        <v>2</v>
      </c>
      <c r="N142" s="102">
        <f t="shared" si="34"/>
        <v>1</v>
      </c>
      <c r="O142" s="102">
        <f t="shared" si="34"/>
        <v>3</v>
      </c>
      <c r="P142" s="121">
        <f t="shared" si="35"/>
        <v>2.6</v>
      </c>
      <c r="Q142" s="102">
        <v>191</v>
      </c>
      <c r="R142" s="102">
        <f t="shared" si="36"/>
        <v>3</v>
      </c>
      <c r="S142" s="138">
        <v>0.62892322062433204</v>
      </c>
      <c r="T142" s="102">
        <f t="shared" si="37"/>
        <v>2</v>
      </c>
      <c r="U142" s="139">
        <v>0.11855016101810401</v>
      </c>
      <c r="V142" s="102">
        <f t="shared" si="38"/>
        <v>2</v>
      </c>
      <c r="W142" s="124">
        <v>0</v>
      </c>
      <c r="X142" s="102">
        <f t="shared" ref="X142:X156" si="44">IF(AND(W142&gt;=W$200,W142&lt;W$201),1,IF(AND(W142&gt;=W$201,W142&lt;W$202),2,IF(AND(W142&gt;=W$202,W142&lt;W$203),3,IF(AND(W142&gt;=W$203,W142&lt;=W$204),4,"empty"))))</f>
        <v>2</v>
      </c>
      <c r="Y142" s="109">
        <v>98</v>
      </c>
      <c r="Z142" s="102">
        <f t="shared" si="39"/>
        <v>1</v>
      </c>
      <c r="AA142" s="125">
        <f t="shared" si="40"/>
        <v>37.799999999999997</v>
      </c>
      <c r="AB142" s="126" t="s">
        <v>580</v>
      </c>
      <c r="AC142" s="126">
        <v>1</v>
      </c>
      <c r="AD142" s="126">
        <v>4</v>
      </c>
      <c r="AE142" s="126">
        <v>46.00760456273764</v>
      </c>
      <c r="AF142" s="102">
        <f>IF(AND(AE142&gt;=AE$200,AE142&lt;AE$201),1,IF(AND(AE142&gt;=AE$201,AE142&lt;AE$202),2,IF(AND(AE142&gt;=AE$202,AE142&lt;AE$203),3,IF(AND(AE142&gt;=AE$203,AE142&lt;=AE$204),4,"empty"))))</f>
        <v>2</v>
      </c>
      <c r="AG142" s="127">
        <f t="shared" si="41"/>
        <v>7</v>
      </c>
      <c r="AH142" s="128">
        <f t="shared" si="42"/>
        <v>47.4</v>
      </c>
      <c r="AI142" s="108">
        <v>2038</v>
      </c>
      <c r="AJ142" s="108" t="str">
        <f t="shared" si="43"/>
        <v>late adopter</v>
      </c>
    </row>
    <row r="143" spans="1:36">
      <c r="A143" s="102" t="s">
        <v>361</v>
      </c>
      <c r="B143" s="120" t="s">
        <v>360</v>
      </c>
      <c r="C143" s="120" t="s">
        <v>79</v>
      </c>
      <c r="D143" s="102" t="s">
        <v>87</v>
      </c>
      <c r="E143" s="109">
        <v>1</v>
      </c>
      <c r="F143" s="102">
        <v>1990</v>
      </c>
      <c r="G143" s="102">
        <v>1984</v>
      </c>
      <c r="H143" s="102">
        <v>2015</v>
      </c>
      <c r="I143" s="102" t="s">
        <v>566</v>
      </c>
      <c r="J143" s="102">
        <v>2008</v>
      </c>
      <c r="K143" s="102">
        <f t="shared" si="34"/>
        <v>4</v>
      </c>
      <c r="L143" s="102">
        <f t="shared" si="34"/>
        <v>4</v>
      </c>
      <c r="M143" s="102">
        <f t="shared" si="34"/>
        <v>1</v>
      </c>
      <c r="N143" s="102">
        <f t="shared" si="34"/>
        <v>1</v>
      </c>
      <c r="O143" s="102">
        <f t="shared" si="34"/>
        <v>4</v>
      </c>
      <c r="P143" s="121">
        <f t="shared" si="35"/>
        <v>2.8</v>
      </c>
      <c r="Q143" s="102">
        <v>10</v>
      </c>
      <c r="R143" s="102">
        <f t="shared" si="36"/>
        <v>2</v>
      </c>
      <c r="S143" s="138">
        <v>0.18803663414966601</v>
      </c>
      <c r="T143" s="102">
        <f t="shared" si="37"/>
        <v>1</v>
      </c>
      <c r="U143" s="139">
        <v>1.0188608395734201E-2</v>
      </c>
      <c r="V143" s="102">
        <f t="shared" si="38"/>
        <v>2</v>
      </c>
      <c r="W143" s="124">
        <v>1.3217999999999999E-5</v>
      </c>
      <c r="X143" s="102">
        <f t="shared" si="44"/>
        <v>3</v>
      </c>
      <c r="Y143" s="109">
        <v>97</v>
      </c>
      <c r="Z143" s="102">
        <f t="shared" si="39"/>
        <v>1</v>
      </c>
      <c r="AA143" s="125">
        <f t="shared" si="40"/>
        <v>35.400000000000006</v>
      </c>
      <c r="AB143" s="126" t="s">
        <v>580</v>
      </c>
      <c r="AC143" s="126">
        <v>1</v>
      </c>
      <c r="AD143" s="126">
        <v>4</v>
      </c>
      <c r="AE143" s="126">
        <v>100</v>
      </c>
      <c r="AF143" s="126">
        <v>4</v>
      </c>
      <c r="AG143" s="127">
        <f t="shared" si="41"/>
        <v>9</v>
      </c>
      <c r="AH143" s="128">
        <f t="shared" si="42"/>
        <v>47.2</v>
      </c>
      <c r="AI143" s="108">
        <v>2038</v>
      </c>
      <c r="AJ143" s="108" t="str">
        <f t="shared" si="43"/>
        <v>late adopter</v>
      </c>
    </row>
    <row r="144" spans="1:36">
      <c r="A144" s="102" t="s">
        <v>397</v>
      </c>
      <c r="B144" s="120" t="s">
        <v>396</v>
      </c>
      <c r="C144" s="120" t="s">
        <v>79</v>
      </c>
      <c r="D144" s="102" t="s">
        <v>87</v>
      </c>
      <c r="E144" s="109">
        <v>1</v>
      </c>
      <c r="F144" s="102">
        <v>1974</v>
      </c>
      <c r="G144" s="102">
        <v>1972</v>
      </c>
      <c r="H144" s="102">
        <v>2015</v>
      </c>
      <c r="I144" s="102" t="s">
        <v>566</v>
      </c>
      <c r="J144" s="102">
        <v>2009</v>
      </c>
      <c r="K144" s="102">
        <f t="shared" si="34"/>
        <v>4</v>
      </c>
      <c r="L144" s="102">
        <f t="shared" si="34"/>
        <v>4</v>
      </c>
      <c r="M144" s="102">
        <f t="shared" si="34"/>
        <v>1</v>
      </c>
      <c r="N144" s="102">
        <f t="shared" si="34"/>
        <v>1</v>
      </c>
      <c r="O144" s="102">
        <f t="shared" si="34"/>
        <v>4</v>
      </c>
      <c r="P144" s="121">
        <f t="shared" si="35"/>
        <v>2.8</v>
      </c>
      <c r="Q144" s="102">
        <v>48</v>
      </c>
      <c r="R144" s="102">
        <f t="shared" si="36"/>
        <v>2</v>
      </c>
      <c r="S144" s="138">
        <v>1.6371294224192601</v>
      </c>
      <c r="T144" s="102">
        <f t="shared" si="37"/>
        <v>2</v>
      </c>
      <c r="U144" s="139">
        <v>2.26712030758416E-3</v>
      </c>
      <c r="V144" s="102">
        <f t="shared" si="38"/>
        <v>1</v>
      </c>
      <c r="W144" s="124">
        <v>3.3611999999999997E-4</v>
      </c>
      <c r="X144" s="102">
        <f t="shared" si="44"/>
        <v>3</v>
      </c>
      <c r="Y144" s="109">
        <v>99</v>
      </c>
      <c r="Z144" s="102">
        <f t="shared" si="39"/>
        <v>1</v>
      </c>
      <c r="AA144" s="125">
        <f t="shared" si="40"/>
        <v>35.400000000000006</v>
      </c>
      <c r="AB144" s="126" t="s">
        <v>580</v>
      </c>
      <c r="AC144" s="126">
        <v>1</v>
      </c>
      <c r="AD144" s="126">
        <v>4</v>
      </c>
      <c r="AE144" s="126" t="s">
        <v>582</v>
      </c>
      <c r="AF144" s="126">
        <v>4</v>
      </c>
      <c r="AG144" s="127">
        <f t="shared" si="41"/>
        <v>9</v>
      </c>
      <c r="AH144" s="128">
        <f t="shared" si="42"/>
        <v>47.2</v>
      </c>
      <c r="AI144" s="108">
        <v>2038</v>
      </c>
      <c r="AJ144" s="108" t="str">
        <f t="shared" si="43"/>
        <v>late adopter</v>
      </c>
    </row>
    <row r="145" spans="1:36">
      <c r="A145" s="102" t="s">
        <v>112</v>
      </c>
      <c r="B145" s="120" t="s">
        <v>111</v>
      </c>
      <c r="C145" s="120" t="s">
        <v>92</v>
      </c>
      <c r="D145" s="102" t="s">
        <v>87</v>
      </c>
      <c r="E145" s="109">
        <v>1</v>
      </c>
      <c r="F145" s="102">
        <v>1997</v>
      </c>
      <c r="G145" s="102">
        <v>1982</v>
      </c>
      <c r="H145" s="102">
        <v>2009</v>
      </c>
      <c r="I145" s="102" t="s">
        <v>566</v>
      </c>
      <c r="J145" s="102">
        <v>2014</v>
      </c>
      <c r="K145" s="102">
        <f t="shared" si="34"/>
        <v>3</v>
      </c>
      <c r="L145" s="102">
        <f t="shared" si="34"/>
        <v>4</v>
      </c>
      <c r="M145" s="102">
        <f t="shared" si="34"/>
        <v>3</v>
      </c>
      <c r="N145" s="102">
        <f t="shared" si="34"/>
        <v>1</v>
      </c>
      <c r="O145" s="102">
        <f t="shared" si="34"/>
        <v>3</v>
      </c>
      <c r="P145" s="121">
        <f t="shared" si="35"/>
        <v>2.8</v>
      </c>
      <c r="Q145" s="102">
        <v>0</v>
      </c>
      <c r="R145" s="102">
        <f t="shared" si="36"/>
        <v>1</v>
      </c>
      <c r="S145" s="138">
        <v>2.7341516575402802E-2</v>
      </c>
      <c r="T145" s="102">
        <f t="shared" si="37"/>
        <v>1</v>
      </c>
      <c r="U145" s="139">
        <v>0</v>
      </c>
      <c r="V145" s="102">
        <f t="shared" si="38"/>
        <v>1</v>
      </c>
      <c r="W145" s="124">
        <v>0</v>
      </c>
      <c r="X145" s="102">
        <f t="shared" si="44"/>
        <v>2</v>
      </c>
      <c r="Y145" s="109">
        <v>46</v>
      </c>
      <c r="Z145" s="102">
        <f t="shared" si="39"/>
        <v>4</v>
      </c>
      <c r="AA145" s="125">
        <f t="shared" si="40"/>
        <v>35.400000000000006</v>
      </c>
      <c r="AB145" s="126" t="s">
        <v>580</v>
      </c>
      <c r="AC145" s="126">
        <v>1</v>
      </c>
      <c r="AD145" s="126">
        <v>4</v>
      </c>
      <c r="AE145" s="126">
        <v>100</v>
      </c>
      <c r="AF145" s="102">
        <f>IF(AND(AE145&gt;=AE$200,AE145&lt;AE$201),1,IF(AND(AE145&gt;=AE$201,AE145&lt;AE$202),2,IF(AND(AE145&gt;=AE$202,AE145&lt;AE$203),3,IF(AND(AE145&gt;=AE$203,AE145&lt;=AE$204),4,"empty"))))</f>
        <v>4</v>
      </c>
      <c r="AG145" s="127">
        <f t="shared" si="41"/>
        <v>9</v>
      </c>
      <c r="AH145" s="128">
        <f t="shared" si="42"/>
        <v>47.2</v>
      </c>
      <c r="AI145" s="108">
        <v>2038</v>
      </c>
      <c r="AJ145" s="108" t="str">
        <f t="shared" si="43"/>
        <v>late adopter</v>
      </c>
    </row>
    <row r="146" spans="1:36">
      <c r="A146" s="102" t="s">
        <v>387</v>
      </c>
      <c r="B146" s="120" t="s">
        <v>386</v>
      </c>
      <c r="C146" s="120" t="s">
        <v>79</v>
      </c>
      <c r="D146" s="102" t="s">
        <v>80</v>
      </c>
      <c r="E146" s="109">
        <v>1</v>
      </c>
      <c r="F146" s="102">
        <v>1994</v>
      </c>
      <c r="G146" s="102">
        <v>1994</v>
      </c>
      <c r="H146" s="102">
        <v>2018</v>
      </c>
      <c r="I146" s="102" t="s">
        <v>566</v>
      </c>
      <c r="J146" s="102" t="s">
        <v>566</v>
      </c>
      <c r="K146" s="102">
        <f t="shared" si="34"/>
        <v>3</v>
      </c>
      <c r="L146" s="102">
        <f t="shared" si="34"/>
        <v>3</v>
      </c>
      <c r="M146" s="102">
        <f t="shared" si="34"/>
        <v>1</v>
      </c>
      <c r="N146" s="102">
        <f t="shared" si="34"/>
        <v>1</v>
      </c>
      <c r="O146" s="102">
        <f t="shared" si="34"/>
        <v>1</v>
      </c>
      <c r="P146" s="121">
        <f t="shared" si="35"/>
        <v>1.8</v>
      </c>
      <c r="Q146" s="102">
        <v>21</v>
      </c>
      <c r="R146" s="102">
        <f t="shared" si="36"/>
        <v>2</v>
      </c>
      <c r="S146" s="138">
        <v>0.34137686422187402</v>
      </c>
      <c r="T146" s="102">
        <f t="shared" si="37"/>
        <v>1</v>
      </c>
      <c r="U146" s="139">
        <v>1.6086549320541401E-2</v>
      </c>
      <c r="V146" s="102">
        <f t="shared" si="38"/>
        <v>2</v>
      </c>
      <c r="W146" s="124">
        <v>0</v>
      </c>
      <c r="X146" s="102">
        <f t="shared" si="44"/>
        <v>2</v>
      </c>
      <c r="Y146" s="109">
        <v>64</v>
      </c>
      <c r="Z146" s="102">
        <f t="shared" si="39"/>
        <v>4</v>
      </c>
      <c r="AA146" s="125">
        <f t="shared" si="40"/>
        <v>38.400000000000006</v>
      </c>
      <c r="AB146" s="126" t="s">
        <v>580</v>
      </c>
      <c r="AC146" s="126">
        <v>1</v>
      </c>
      <c r="AD146" s="126">
        <v>3</v>
      </c>
      <c r="AE146" s="126" t="s">
        <v>582</v>
      </c>
      <c r="AF146" s="102">
        <v>3</v>
      </c>
      <c r="AG146" s="127">
        <f t="shared" si="41"/>
        <v>7</v>
      </c>
      <c r="AH146" s="128">
        <f t="shared" si="42"/>
        <v>47.2</v>
      </c>
      <c r="AI146" s="108">
        <v>2038</v>
      </c>
      <c r="AJ146" s="108" t="str">
        <f t="shared" si="43"/>
        <v>late adopter</v>
      </c>
    </row>
    <row r="147" spans="1:36">
      <c r="A147" s="102" t="s">
        <v>459</v>
      </c>
      <c r="B147" s="120" t="s">
        <v>458</v>
      </c>
      <c r="C147" s="120" t="s">
        <v>99</v>
      </c>
      <c r="D147" s="102" t="s">
        <v>84</v>
      </c>
      <c r="E147" s="109">
        <v>4</v>
      </c>
      <c r="F147" s="102" t="s">
        <v>566</v>
      </c>
      <c r="G147" s="102">
        <v>2015</v>
      </c>
      <c r="H147" s="102" t="s">
        <v>566</v>
      </c>
      <c r="I147" s="102" t="s">
        <v>566</v>
      </c>
      <c r="J147" s="102">
        <v>2021</v>
      </c>
      <c r="K147" s="102">
        <f t="shared" si="34"/>
        <v>1</v>
      </c>
      <c r="L147" s="102">
        <f t="shared" si="34"/>
        <v>1</v>
      </c>
      <c r="M147" s="102">
        <f t="shared" si="34"/>
        <v>1</v>
      </c>
      <c r="N147" s="102">
        <f t="shared" si="34"/>
        <v>1</v>
      </c>
      <c r="O147" s="102">
        <f t="shared" si="34"/>
        <v>1</v>
      </c>
      <c r="P147" s="121">
        <f t="shared" si="35"/>
        <v>1</v>
      </c>
      <c r="Q147" s="102">
        <v>9.0000000000000002E-6</v>
      </c>
      <c r="R147" s="102">
        <f t="shared" si="36"/>
        <v>1</v>
      </c>
      <c r="S147" s="138">
        <v>662.27313484055901</v>
      </c>
      <c r="T147" s="102">
        <f t="shared" si="37"/>
        <v>4</v>
      </c>
      <c r="U147" s="139">
        <v>5.09458206044342</v>
      </c>
      <c r="V147" s="102">
        <f t="shared" si="38"/>
        <v>3</v>
      </c>
      <c r="W147" s="124">
        <v>15.753</v>
      </c>
      <c r="X147" s="102">
        <f t="shared" si="44"/>
        <v>3</v>
      </c>
      <c r="Y147" s="109">
        <v>95</v>
      </c>
      <c r="Z147" s="102">
        <f t="shared" si="39"/>
        <v>2</v>
      </c>
      <c r="AA147" s="125">
        <f t="shared" si="40"/>
        <v>42</v>
      </c>
      <c r="AB147" s="126" t="s">
        <v>580</v>
      </c>
      <c r="AC147" s="126">
        <v>1</v>
      </c>
      <c r="AD147" s="126">
        <v>2</v>
      </c>
      <c r="AE147" s="126">
        <v>19.130434782608781</v>
      </c>
      <c r="AF147" s="102">
        <f>IF(AND(AE147&gt;=AE$200,AE147&lt;AE$201),1,IF(AND(AE147&gt;=AE$201,AE147&lt;AE$202),2,IF(AND(AE147&gt;=AE$202,AE147&lt;AE$203),3,IF(AND(AE147&gt;=AE$203,AE147&lt;=AE$204),4,"empty"))))</f>
        <v>1</v>
      </c>
      <c r="AG147" s="127">
        <f t="shared" si="41"/>
        <v>4</v>
      </c>
      <c r="AH147" s="128">
        <f t="shared" si="42"/>
        <v>47</v>
      </c>
      <c r="AI147" s="108">
        <v>2038</v>
      </c>
      <c r="AJ147" s="108" t="str">
        <f t="shared" si="43"/>
        <v>late adopter</v>
      </c>
    </row>
    <row r="148" spans="1:36">
      <c r="A148" s="102" t="s">
        <v>176</v>
      </c>
      <c r="B148" s="120" t="s">
        <v>175</v>
      </c>
      <c r="C148" s="120" t="s">
        <v>110</v>
      </c>
      <c r="D148" s="102" t="s">
        <v>75</v>
      </c>
      <c r="E148" s="109">
        <v>4</v>
      </c>
      <c r="F148" s="102">
        <v>2008</v>
      </c>
      <c r="G148" s="102">
        <v>2019</v>
      </c>
      <c r="H148" s="102">
        <v>2023</v>
      </c>
      <c r="I148" s="102" t="s">
        <v>566</v>
      </c>
      <c r="J148" s="102">
        <v>2024</v>
      </c>
      <c r="K148" s="102">
        <f t="shared" si="34"/>
        <v>2</v>
      </c>
      <c r="L148" s="102">
        <f t="shared" si="34"/>
        <v>1</v>
      </c>
      <c r="M148" s="102">
        <f t="shared" si="34"/>
        <v>1</v>
      </c>
      <c r="N148" s="102">
        <f t="shared" si="34"/>
        <v>1</v>
      </c>
      <c r="O148" s="102">
        <f t="shared" si="34"/>
        <v>1</v>
      </c>
      <c r="P148" s="121">
        <f t="shared" si="35"/>
        <v>1.2</v>
      </c>
      <c r="Q148" s="102">
        <v>0</v>
      </c>
      <c r="R148" s="102">
        <f t="shared" si="36"/>
        <v>1</v>
      </c>
      <c r="S148" s="138">
        <v>62.290595779421501</v>
      </c>
      <c r="T148" s="102">
        <f t="shared" si="37"/>
        <v>3</v>
      </c>
      <c r="U148" s="139">
        <v>37.412223600442402</v>
      </c>
      <c r="V148" s="102">
        <f t="shared" si="38"/>
        <v>3</v>
      </c>
      <c r="W148" s="124">
        <v>364.11</v>
      </c>
      <c r="X148" s="102">
        <f t="shared" si="44"/>
        <v>4</v>
      </c>
      <c r="Y148" s="109">
        <v>97</v>
      </c>
      <c r="Z148" s="102">
        <f t="shared" si="39"/>
        <v>1</v>
      </c>
      <c r="AA148" s="125">
        <f t="shared" si="40"/>
        <v>39.599999999999994</v>
      </c>
      <c r="AB148" s="109" t="s">
        <v>579</v>
      </c>
      <c r="AC148" s="126">
        <v>4</v>
      </c>
      <c r="AD148" s="126">
        <v>1</v>
      </c>
      <c r="AE148" s="126">
        <v>21.702048408425537</v>
      </c>
      <c r="AF148" s="102">
        <f>IF(AND(AE148&gt;=AE$200,AE148&lt;AE$201),1,IF(AND(AE148&gt;=AE$201,AE148&lt;AE$202),2,IF(AND(AE148&gt;=AE$202,AE148&lt;AE$203),3,IF(AND(AE148&gt;=AE$203,AE148&lt;=AE$204),4,"empty"))))</f>
        <v>1</v>
      </c>
      <c r="AG148" s="127">
        <f t="shared" si="41"/>
        <v>6</v>
      </c>
      <c r="AH148" s="128">
        <f t="shared" si="42"/>
        <v>46.8</v>
      </c>
      <c r="AI148" s="108">
        <v>2039</v>
      </c>
      <c r="AJ148" s="108" t="str">
        <f t="shared" si="43"/>
        <v>late adopter</v>
      </c>
    </row>
    <row r="149" spans="1:36">
      <c r="A149" s="102" t="s">
        <v>323</v>
      </c>
      <c r="B149" s="120" t="s">
        <v>322</v>
      </c>
      <c r="C149" s="120" t="s">
        <v>83</v>
      </c>
      <c r="D149" s="102" t="s">
        <v>80</v>
      </c>
      <c r="E149" s="109">
        <v>3</v>
      </c>
      <c r="F149" s="102">
        <v>2017</v>
      </c>
      <c r="G149" s="102">
        <v>2016</v>
      </c>
      <c r="H149" s="102">
        <v>2014</v>
      </c>
      <c r="I149" s="102">
        <v>2014</v>
      </c>
      <c r="J149" s="102">
        <v>2022</v>
      </c>
      <c r="K149" s="102">
        <f t="shared" si="34"/>
        <v>1</v>
      </c>
      <c r="L149" s="102">
        <f t="shared" si="34"/>
        <v>1</v>
      </c>
      <c r="M149" s="102">
        <f t="shared" si="34"/>
        <v>2</v>
      </c>
      <c r="N149" s="102">
        <f t="shared" si="34"/>
        <v>2</v>
      </c>
      <c r="O149" s="102">
        <f t="shared" si="34"/>
        <v>1</v>
      </c>
      <c r="P149" s="121">
        <f t="shared" si="35"/>
        <v>1.4</v>
      </c>
      <c r="Q149" s="102">
        <v>19</v>
      </c>
      <c r="R149" s="102">
        <f t="shared" si="36"/>
        <v>2</v>
      </c>
      <c r="S149" s="138">
        <v>7.4763550443595204</v>
      </c>
      <c r="T149" s="102">
        <f t="shared" si="37"/>
        <v>2</v>
      </c>
      <c r="U149" s="139">
        <v>0.94444769867816003</v>
      </c>
      <c r="V149" s="102">
        <f t="shared" si="38"/>
        <v>3</v>
      </c>
      <c r="W149" s="124">
        <v>65.180999999999997</v>
      </c>
      <c r="X149" s="102">
        <f t="shared" si="44"/>
        <v>3</v>
      </c>
      <c r="Y149" s="109">
        <v>99</v>
      </c>
      <c r="Z149" s="102">
        <f t="shared" si="39"/>
        <v>1</v>
      </c>
      <c r="AA149" s="125">
        <f t="shared" si="40"/>
        <v>37.200000000000003</v>
      </c>
      <c r="AB149" s="126" t="s">
        <v>580</v>
      </c>
      <c r="AC149" s="126">
        <v>1</v>
      </c>
      <c r="AD149" s="126">
        <v>3</v>
      </c>
      <c r="AE149" s="126">
        <v>100</v>
      </c>
      <c r="AF149" s="102">
        <f>IF(AND(AE149&gt;=AE$200,AE149&lt;AE$201),1,IF(AND(AE149&gt;=AE$201,AE149&lt;AE$202),2,IF(AND(AE149&gt;=AE$202,AE149&lt;AE$203),3,IF(AND(AE149&gt;=AE$203,AE149&lt;=AE$204),4,"empty"))))</f>
        <v>4</v>
      </c>
      <c r="AG149" s="127">
        <f t="shared" si="41"/>
        <v>8</v>
      </c>
      <c r="AH149" s="128">
        <f t="shared" si="42"/>
        <v>46.6</v>
      </c>
      <c r="AI149" s="108">
        <v>2039</v>
      </c>
      <c r="AJ149" s="108" t="str">
        <f t="shared" si="43"/>
        <v>late adopter</v>
      </c>
    </row>
    <row r="150" spans="1:36">
      <c r="A150" s="102" t="s">
        <v>297</v>
      </c>
      <c r="B150" s="120" t="s">
        <v>296</v>
      </c>
      <c r="C150" s="120" t="s">
        <v>79</v>
      </c>
      <c r="D150" s="102" t="s">
        <v>87</v>
      </c>
      <c r="E150" s="109">
        <v>1</v>
      </c>
      <c r="F150" s="102">
        <v>1989</v>
      </c>
      <c r="G150" s="102">
        <v>1985</v>
      </c>
      <c r="H150" s="102">
        <v>2020</v>
      </c>
      <c r="I150" s="102" t="s">
        <v>566</v>
      </c>
      <c r="J150" s="102">
        <v>2013</v>
      </c>
      <c r="K150" s="102">
        <f t="shared" si="34"/>
        <v>4</v>
      </c>
      <c r="L150" s="102">
        <f t="shared" si="34"/>
        <v>4</v>
      </c>
      <c r="M150" s="102">
        <f t="shared" si="34"/>
        <v>1</v>
      </c>
      <c r="N150" s="102">
        <f t="shared" si="34"/>
        <v>1</v>
      </c>
      <c r="O150" s="102">
        <f t="shared" si="34"/>
        <v>3</v>
      </c>
      <c r="P150" s="121">
        <f t="shared" si="35"/>
        <v>2.6</v>
      </c>
      <c r="Q150" s="102">
        <v>32</v>
      </c>
      <c r="R150" s="102">
        <f t="shared" si="36"/>
        <v>2</v>
      </c>
      <c r="S150" s="138">
        <v>13.667835737190901</v>
      </c>
      <c r="T150" s="102">
        <f t="shared" si="37"/>
        <v>2</v>
      </c>
      <c r="U150" s="139">
        <v>2.7460187877416799E-3</v>
      </c>
      <c r="V150" s="102">
        <f t="shared" si="38"/>
        <v>1</v>
      </c>
      <c r="W150" s="124">
        <v>3.4518000000000001E-3</v>
      </c>
      <c r="X150" s="102">
        <f t="shared" si="44"/>
        <v>3</v>
      </c>
      <c r="Y150" s="109">
        <v>99</v>
      </c>
      <c r="Z150" s="102">
        <f t="shared" si="39"/>
        <v>1</v>
      </c>
      <c r="AA150" s="125">
        <f t="shared" si="40"/>
        <v>34.799999999999997</v>
      </c>
      <c r="AB150" s="126" t="s">
        <v>580</v>
      </c>
      <c r="AC150" s="126">
        <v>1</v>
      </c>
      <c r="AD150" s="126">
        <v>4</v>
      </c>
      <c r="AE150" s="126" t="s">
        <v>582</v>
      </c>
      <c r="AF150" s="126">
        <v>4</v>
      </c>
      <c r="AG150" s="127">
        <f t="shared" si="41"/>
        <v>9</v>
      </c>
      <c r="AH150" s="128">
        <f t="shared" si="42"/>
        <v>46.4</v>
      </c>
      <c r="AI150" s="108">
        <v>2039</v>
      </c>
      <c r="AJ150" s="108" t="str">
        <f t="shared" si="43"/>
        <v>late adopter</v>
      </c>
    </row>
    <row r="151" spans="1:36">
      <c r="A151" s="102" t="s">
        <v>168</v>
      </c>
      <c r="B151" s="120" t="s">
        <v>167</v>
      </c>
      <c r="C151" s="120" t="s">
        <v>79</v>
      </c>
      <c r="D151" s="102" t="s">
        <v>87</v>
      </c>
      <c r="E151" s="109">
        <v>1</v>
      </c>
      <c r="F151" s="102">
        <v>1968</v>
      </c>
      <c r="G151" s="102">
        <v>1975</v>
      </c>
      <c r="H151" s="102">
        <v>2019</v>
      </c>
      <c r="I151" s="102" t="s">
        <v>566</v>
      </c>
      <c r="J151" s="102">
        <v>2016</v>
      </c>
      <c r="K151" s="102">
        <f t="shared" si="34"/>
        <v>4</v>
      </c>
      <c r="L151" s="102">
        <f t="shared" si="34"/>
        <v>4</v>
      </c>
      <c r="M151" s="102">
        <f t="shared" si="34"/>
        <v>1</v>
      </c>
      <c r="N151" s="102">
        <f t="shared" si="34"/>
        <v>1</v>
      </c>
      <c r="O151" s="102">
        <f t="shared" si="34"/>
        <v>3</v>
      </c>
      <c r="P151" s="121">
        <f t="shared" si="35"/>
        <v>2.6</v>
      </c>
      <c r="Q151" s="102">
        <v>52</v>
      </c>
      <c r="R151" s="102">
        <f t="shared" si="36"/>
        <v>2</v>
      </c>
      <c r="S151" s="138">
        <v>0.468052301816064</v>
      </c>
      <c r="T151" s="102">
        <f t="shared" si="37"/>
        <v>1</v>
      </c>
      <c r="U151" s="139">
        <v>3.9296701120553196E-3</v>
      </c>
      <c r="V151" s="102">
        <f t="shared" si="38"/>
        <v>1</v>
      </c>
      <c r="W151" s="124">
        <v>3.0549999999999998E-12</v>
      </c>
      <c r="X151" s="102">
        <f t="shared" si="44"/>
        <v>2</v>
      </c>
      <c r="Y151" s="109">
        <v>90</v>
      </c>
      <c r="Z151" s="102">
        <f t="shared" si="39"/>
        <v>3</v>
      </c>
      <c r="AA151" s="125">
        <f t="shared" si="40"/>
        <v>34.799999999999997</v>
      </c>
      <c r="AB151" s="126" t="s">
        <v>580</v>
      </c>
      <c r="AC151" s="126">
        <v>1</v>
      </c>
      <c r="AD151" s="126">
        <v>4</v>
      </c>
      <c r="AE151" s="126">
        <v>100</v>
      </c>
      <c r="AF151" s="102">
        <f t="shared" ref="AF151:AF156" si="45">IF(AND(AE151&gt;=AE$200,AE151&lt;AE$201),1,IF(AND(AE151&gt;=AE$201,AE151&lt;AE$202),2,IF(AND(AE151&gt;=AE$202,AE151&lt;AE$203),3,IF(AND(AE151&gt;=AE$203,AE151&lt;=AE$204),4,"empty"))))</f>
        <v>4</v>
      </c>
      <c r="AG151" s="127">
        <f t="shared" si="41"/>
        <v>9</v>
      </c>
      <c r="AH151" s="128">
        <f t="shared" si="42"/>
        <v>46.4</v>
      </c>
      <c r="AI151" s="108">
        <v>2039</v>
      </c>
      <c r="AJ151" s="108" t="str">
        <f t="shared" si="43"/>
        <v>late adopter</v>
      </c>
    </row>
    <row r="152" spans="1:36">
      <c r="A152" s="102" t="s">
        <v>103</v>
      </c>
      <c r="B152" s="120" t="s">
        <v>102</v>
      </c>
      <c r="C152" s="120" t="s">
        <v>79</v>
      </c>
      <c r="D152" s="102" t="s">
        <v>80</v>
      </c>
      <c r="E152" s="109">
        <v>1</v>
      </c>
      <c r="F152" s="102">
        <v>2001</v>
      </c>
      <c r="G152" s="102">
        <v>2003</v>
      </c>
      <c r="H152" s="102">
        <v>2013</v>
      </c>
      <c r="I152" s="102" t="s">
        <v>566</v>
      </c>
      <c r="J152" s="102" t="s">
        <v>566</v>
      </c>
      <c r="K152" s="102">
        <f t="shared" si="34"/>
        <v>2</v>
      </c>
      <c r="L152" s="102">
        <f t="shared" si="34"/>
        <v>2</v>
      </c>
      <c r="M152" s="102">
        <f t="shared" si="34"/>
        <v>2</v>
      </c>
      <c r="N152" s="102">
        <f t="shared" si="34"/>
        <v>1</v>
      </c>
      <c r="O152" s="102">
        <f t="shared" si="34"/>
        <v>1</v>
      </c>
      <c r="P152" s="121">
        <f t="shared" si="35"/>
        <v>1.6</v>
      </c>
      <c r="Q152" s="102">
        <v>261</v>
      </c>
      <c r="R152" s="102">
        <f t="shared" si="36"/>
        <v>3</v>
      </c>
      <c r="S152" s="138">
        <v>5.0522498804548999</v>
      </c>
      <c r="T152" s="102">
        <f t="shared" si="37"/>
        <v>2</v>
      </c>
      <c r="U152" s="139">
        <v>0.58498473368512005</v>
      </c>
      <c r="V152" s="102">
        <f t="shared" si="38"/>
        <v>3</v>
      </c>
      <c r="W152" s="124">
        <v>0</v>
      </c>
      <c r="X152" s="102">
        <f t="shared" si="44"/>
        <v>2</v>
      </c>
      <c r="Y152" s="109">
        <v>99</v>
      </c>
      <c r="Z152" s="102">
        <f t="shared" si="39"/>
        <v>1</v>
      </c>
      <c r="AA152" s="125">
        <f t="shared" si="40"/>
        <v>37.799999999999997</v>
      </c>
      <c r="AB152" s="126" t="s">
        <v>581</v>
      </c>
      <c r="AC152" s="126">
        <v>1</v>
      </c>
      <c r="AD152" s="126">
        <v>3</v>
      </c>
      <c r="AE152" s="126">
        <v>95.591835945244256</v>
      </c>
      <c r="AF152" s="102">
        <f t="shared" si="45"/>
        <v>3</v>
      </c>
      <c r="AG152" s="127">
        <f t="shared" si="41"/>
        <v>7</v>
      </c>
      <c r="AH152" s="128">
        <f t="shared" si="42"/>
        <v>46.4</v>
      </c>
      <c r="AI152" s="108">
        <v>2039</v>
      </c>
      <c r="AJ152" s="108" t="str">
        <f t="shared" si="43"/>
        <v>late adopter</v>
      </c>
    </row>
    <row r="153" spans="1:36">
      <c r="A153" s="102" t="s">
        <v>421</v>
      </c>
      <c r="B153" s="120" t="s">
        <v>420</v>
      </c>
      <c r="C153" s="120" t="s">
        <v>74</v>
      </c>
      <c r="D153" s="102" t="s">
        <v>75</v>
      </c>
      <c r="E153" s="109">
        <v>2</v>
      </c>
      <c r="F153" s="102">
        <v>1993</v>
      </c>
      <c r="G153" s="102">
        <v>1999</v>
      </c>
      <c r="H153" s="102" t="s">
        <v>566</v>
      </c>
      <c r="I153" s="102" t="s">
        <v>566</v>
      </c>
      <c r="J153" s="102" t="s">
        <v>566</v>
      </c>
      <c r="K153" s="102">
        <f t="shared" si="34"/>
        <v>3</v>
      </c>
      <c r="L153" s="102">
        <f t="shared" si="34"/>
        <v>2</v>
      </c>
      <c r="M153" s="102">
        <f t="shared" si="34"/>
        <v>1</v>
      </c>
      <c r="N153" s="102">
        <f t="shared" si="34"/>
        <v>1</v>
      </c>
      <c r="O153" s="102">
        <f t="shared" si="34"/>
        <v>1</v>
      </c>
      <c r="P153" s="121">
        <f t="shared" si="35"/>
        <v>1.6</v>
      </c>
      <c r="Q153" s="102">
        <v>27</v>
      </c>
      <c r="R153" s="102">
        <f t="shared" si="36"/>
        <v>2</v>
      </c>
      <c r="S153" s="138">
        <v>17.563228399438501</v>
      </c>
      <c r="T153" s="102">
        <f t="shared" si="37"/>
        <v>2</v>
      </c>
      <c r="U153" s="139">
        <v>5.1349010932018597</v>
      </c>
      <c r="V153" s="102">
        <f t="shared" si="38"/>
        <v>3</v>
      </c>
      <c r="W153" s="124">
        <v>0</v>
      </c>
      <c r="X153" s="102">
        <f t="shared" si="44"/>
        <v>2</v>
      </c>
      <c r="Y153" s="109">
        <v>96</v>
      </c>
      <c r="Z153" s="102">
        <f t="shared" si="39"/>
        <v>2</v>
      </c>
      <c r="AA153" s="125">
        <f t="shared" si="40"/>
        <v>37.799999999999997</v>
      </c>
      <c r="AB153" s="109" t="s">
        <v>579</v>
      </c>
      <c r="AC153" s="126">
        <v>4</v>
      </c>
      <c r="AD153" s="126">
        <v>1</v>
      </c>
      <c r="AE153" s="126">
        <v>52.631578947368418</v>
      </c>
      <c r="AF153" s="102">
        <f t="shared" si="45"/>
        <v>2</v>
      </c>
      <c r="AG153" s="127">
        <f t="shared" si="41"/>
        <v>7</v>
      </c>
      <c r="AH153" s="128">
        <f t="shared" si="42"/>
        <v>46.4</v>
      </c>
      <c r="AI153" s="108">
        <v>2039</v>
      </c>
      <c r="AJ153" s="108" t="str">
        <f t="shared" si="43"/>
        <v>late adopter</v>
      </c>
    </row>
    <row r="154" spans="1:36">
      <c r="A154" s="102" t="s">
        <v>313</v>
      </c>
      <c r="B154" s="120" t="s">
        <v>312</v>
      </c>
      <c r="C154" s="120" t="s">
        <v>99</v>
      </c>
      <c r="D154" s="102" t="s">
        <v>84</v>
      </c>
      <c r="E154" s="109">
        <v>2</v>
      </c>
      <c r="F154" s="102">
        <v>1989</v>
      </c>
      <c r="G154" s="102">
        <v>2009</v>
      </c>
      <c r="H154" s="102">
        <v>2019</v>
      </c>
      <c r="I154" s="102" t="s">
        <v>566</v>
      </c>
      <c r="J154" s="102">
        <v>2021</v>
      </c>
      <c r="K154" s="102">
        <f t="shared" si="34"/>
        <v>4</v>
      </c>
      <c r="L154" s="102">
        <f t="shared" si="34"/>
        <v>2</v>
      </c>
      <c r="M154" s="102">
        <f t="shared" si="34"/>
        <v>1</v>
      </c>
      <c r="N154" s="102">
        <f t="shared" si="34"/>
        <v>1</v>
      </c>
      <c r="O154" s="102">
        <f t="shared" si="34"/>
        <v>1</v>
      </c>
      <c r="P154" s="121">
        <f t="shared" si="35"/>
        <v>1.8</v>
      </c>
      <c r="Q154" s="102">
        <v>2</v>
      </c>
      <c r="R154" s="102">
        <f t="shared" si="36"/>
        <v>2</v>
      </c>
      <c r="S154" s="138">
        <v>0.120594347324235</v>
      </c>
      <c r="T154" s="102">
        <f t="shared" si="37"/>
        <v>1</v>
      </c>
      <c r="U154" s="139">
        <v>6.1873949379296798E-3</v>
      </c>
      <c r="V154" s="102">
        <f t="shared" si="38"/>
        <v>1</v>
      </c>
      <c r="W154" s="124">
        <v>0.19922999999999999</v>
      </c>
      <c r="X154" s="102">
        <f t="shared" si="44"/>
        <v>3</v>
      </c>
      <c r="Y154" s="109">
        <v>75</v>
      </c>
      <c r="Z154" s="102">
        <f t="shared" si="39"/>
        <v>4</v>
      </c>
      <c r="AA154" s="125">
        <f t="shared" si="40"/>
        <v>38.400000000000006</v>
      </c>
      <c r="AB154" s="126" t="s">
        <v>581</v>
      </c>
      <c r="AC154" s="126">
        <v>1</v>
      </c>
      <c r="AD154" s="126">
        <v>2</v>
      </c>
      <c r="AE154" s="126">
        <v>99.489917017849834</v>
      </c>
      <c r="AF154" s="102">
        <f t="shared" si="45"/>
        <v>3</v>
      </c>
      <c r="AG154" s="127">
        <f t="shared" si="41"/>
        <v>6</v>
      </c>
      <c r="AH154" s="128">
        <f t="shared" si="42"/>
        <v>46.2</v>
      </c>
      <c r="AI154" s="108">
        <v>2039</v>
      </c>
      <c r="AJ154" s="108" t="str">
        <f t="shared" si="43"/>
        <v>late adopter</v>
      </c>
    </row>
    <row r="155" spans="1:36">
      <c r="A155" s="102" t="s">
        <v>381</v>
      </c>
      <c r="B155" s="120" t="s">
        <v>380</v>
      </c>
      <c r="C155" s="120" t="s">
        <v>83</v>
      </c>
      <c r="D155" s="102" t="s">
        <v>84</v>
      </c>
      <c r="E155" s="109">
        <v>3</v>
      </c>
      <c r="F155" s="102">
        <v>2013</v>
      </c>
      <c r="G155" s="102">
        <v>2016</v>
      </c>
      <c r="H155" s="102">
        <v>2012</v>
      </c>
      <c r="I155" s="102">
        <v>2016</v>
      </c>
      <c r="J155" s="102">
        <v>2021</v>
      </c>
      <c r="K155" s="102">
        <f t="shared" si="34"/>
        <v>1</v>
      </c>
      <c r="L155" s="102">
        <f t="shared" si="34"/>
        <v>1</v>
      </c>
      <c r="M155" s="102">
        <f t="shared" si="34"/>
        <v>2</v>
      </c>
      <c r="N155" s="102">
        <f t="shared" si="34"/>
        <v>2</v>
      </c>
      <c r="O155" s="102">
        <f t="shared" si="34"/>
        <v>1</v>
      </c>
      <c r="P155" s="121">
        <f t="shared" si="35"/>
        <v>1.4</v>
      </c>
      <c r="Q155" s="102">
        <v>3</v>
      </c>
      <c r="R155" s="102">
        <f t="shared" si="36"/>
        <v>2</v>
      </c>
      <c r="S155" s="138">
        <v>76.202108358386099</v>
      </c>
      <c r="T155" s="102">
        <f t="shared" si="37"/>
        <v>3</v>
      </c>
      <c r="U155" s="139">
        <v>0.89475992755295897</v>
      </c>
      <c r="V155" s="102">
        <f t="shared" si="38"/>
        <v>3</v>
      </c>
      <c r="W155" s="124">
        <v>5.7035</v>
      </c>
      <c r="X155" s="102">
        <f t="shared" si="44"/>
        <v>3</v>
      </c>
      <c r="Y155" s="109">
        <v>99</v>
      </c>
      <c r="Z155" s="102">
        <f t="shared" si="39"/>
        <v>1</v>
      </c>
      <c r="AA155" s="125">
        <f t="shared" si="40"/>
        <v>40.200000000000003</v>
      </c>
      <c r="AB155" s="109" t="s">
        <v>581</v>
      </c>
      <c r="AC155" s="126">
        <v>1</v>
      </c>
      <c r="AD155" s="126">
        <v>2</v>
      </c>
      <c r="AE155" s="126">
        <v>10.108336938908826</v>
      </c>
      <c r="AF155" s="102">
        <f t="shared" si="45"/>
        <v>1</v>
      </c>
      <c r="AG155" s="127">
        <f t="shared" si="41"/>
        <v>4</v>
      </c>
      <c r="AH155" s="128">
        <f t="shared" si="42"/>
        <v>45.6</v>
      </c>
      <c r="AI155" s="108">
        <v>2039</v>
      </c>
      <c r="AJ155" s="108" t="str">
        <f t="shared" si="43"/>
        <v>late adopter</v>
      </c>
    </row>
    <row r="156" spans="1:36">
      <c r="A156" s="102" t="s">
        <v>94</v>
      </c>
      <c r="B156" s="120" t="s">
        <v>93</v>
      </c>
      <c r="C156" s="120" t="s">
        <v>92</v>
      </c>
      <c r="D156" s="102" t="s">
        <v>80</v>
      </c>
      <c r="E156" s="109">
        <v>1</v>
      </c>
      <c r="F156" s="102">
        <v>1998</v>
      </c>
      <c r="G156" s="102">
        <v>1998</v>
      </c>
      <c r="H156" s="102">
        <v>2012</v>
      </c>
      <c r="I156" s="102">
        <v>2015</v>
      </c>
      <c r="J156" s="102">
        <v>2011</v>
      </c>
      <c r="K156" s="102">
        <f t="shared" si="34"/>
        <v>3</v>
      </c>
      <c r="L156" s="102">
        <f t="shared" si="34"/>
        <v>3</v>
      </c>
      <c r="M156" s="102">
        <f t="shared" si="34"/>
        <v>2</v>
      </c>
      <c r="N156" s="102">
        <f t="shared" si="34"/>
        <v>2</v>
      </c>
      <c r="O156" s="102">
        <f t="shared" si="34"/>
        <v>3</v>
      </c>
      <c r="P156" s="121">
        <f t="shared" si="35"/>
        <v>2.6</v>
      </c>
      <c r="Q156" s="102">
        <v>127</v>
      </c>
      <c r="R156" s="102">
        <f t="shared" si="36"/>
        <v>3</v>
      </c>
      <c r="S156" s="138">
        <v>0.20037981240560501</v>
      </c>
      <c r="T156" s="102">
        <f t="shared" si="37"/>
        <v>1</v>
      </c>
      <c r="U156" s="139">
        <v>5.1595230492848899E-2</v>
      </c>
      <c r="V156" s="102">
        <f t="shared" si="38"/>
        <v>2</v>
      </c>
      <c r="W156" s="124">
        <v>0</v>
      </c>
      <c r="X156" s="102">
        <f t="shared" si="44"/>
        <v>2</v>
      </c>
      <c r="Y156" s="109">
        <v>97</v>
      </c>
      <c r="Z156" s="102">
        <f t="shared" si="39"/>
        <v>1</v>
      </c>
      <c r="AA156" s="125">
        <f t="shared" si="40"/>
        <v>34.799999999999997</v>
      </c>
      <c r="AB156" s="126" t="s">
        <v>580</v>
      </c>
      <c r="AC156" s="126">
        <v>1</v>
      </c>
      <c r="AD156" s="126">
        <v>3</v>
      </c>
      <c r="AE156" s="126">
        <v>100</v>
      </c>
      <c r="AF156" s="102">
        <f t="shared" si="45"/>
        <v>4</v>
      </c>
      <c r="AG156" s="127">
        <f t="shared" si="41"/>
        <v>8</v>
      </c>
      <c r="AH156" s="128">
        <f t="shared" si="42"/>
        <v>45.4</v>
      </c>
      <c r="AI156" s="108">
        <v>2039</v>
      </c>
      <c r="AJ156" s="108" t="str">
        <f t="shared" si="43"/>
        <v>late adopter</v>
      </c>
    </row>
    <row r="157" spans="1:36">
      <c r="A157" s="102" t="s">
        <v>261</v>
      </c>
      <c r="B157" s="120" t="s">
        <v>260</v>
      </c>
      <c r="C157" s="120" t="s">
        <v>99</v>
      </c>
      <c r="D157" s="102" t="s">
        <v>84</v>
      </c>
      <c r="E157" s="109">
        <v>4</v>
      </c>
      <c r="F157" s="102">
        <v>2007</v>
      </c>
      <c r="G157" s="102">
        <v>2004</v>
      </c>
      <c r="H157" s="102">
        <v>2013</v>
      </c>
      <c r="I157" s="102">
        <v>2015</v>
      </c>
      <c r="J157" s="102" t="s">
        <v>566</v>
      </c>
      <c r="K157" s="102">
        <f t="shared" si="34"/>
        <v>2</v>
      </c>
      <c r="L157" s="102">
        <f t="shared" si="34"/>
        <v>2</v>
      </c>
      <c r="M157" s="102">
        <f t="shared" si="34"/>
        <v>2</v>
      </c>
      <c r="N157" s="102">
        <f t="shared" si="34"/>
        <v>2</v>
      </c>
      <c r="O157" s="102">
        <f t="shared" si="34"/>
        <v>1</v>
      </c>
      <c r="P157" s="121">
        <f t="shared" si="35"/>
        <v>1.8</v>
      </c>
      <c r="Q157" s="102">
        <v>0</v>
      </c>
      <c r="R157" s="102">
        <f t="shared" si="36"/>
        <v>1</v>
      </c>
      <c r="S157" s="138">
        <v>817.54199163328997</v>
      </c>
      <c r="T157" s="102">
        <f t="shared" si="37"/>
        <v>4</v>
      </c>
      <c r="U157" s="139">
        <v>3.9135316368498398</v>
      </c>
      <c r="V157" s="102">
        <f t="shared" si="38"/>
        <v>3</v>
      </c>
      <c r="W157" s="124" t="s">
        <v>573</v>
      </c>
      <c r="X157" s="102">
        <v>1</v>
      </c>
      <c r="Y157" s="109">
        <v>95</v>
      </c>
      <c r="Z157" s="102">
        <f t="shared" si="39"/>
        <v>2</v>
      </c>
      <c r="AA157" s="125">
        <f t="shared" si="40"/>
        <v>38.400000000000006</v>
      </c>
      <c r="AB157" s="126" t="s">
        <v>581</v>
      </c>
      <c r="AC157" s="126">
        <v>1</v>
      </c>
      <c r="AD157" s="126">
        <v>2</v>
      </c>
      <c r="AE157" s="126" t="s">
        <v>582</v>
      </c>
      <c r="AF157" s="102">
        <v>2</v>
      </c>
      <c r="AG157" s="127">
        <f t="shared" si="41"/>
        <v>5</v>
      </c>
      <c r="AH157" s="128">
        <f t="shared" si="42"/>
        <v>45.2</v>
      </c>
      <c r="AI157" s="108">
        <v>2039</v>
      </c>
      <c r="AJ157" s="108" t="str">
        <f t="shared" si="43"/>
        <v>late adopter</v>
      </c>
    </row>
    <row r="158" spans="1:36">
      <c r="A158" s="102" t="s">
        <v>455</v>
      </c>
      <c r="B158" s="120" t="s">
        <v>454</v>
      </c>
      <c r="C158" s="120" t="s">
        <v>92</v>
      </c>
      <c r="D158" s="102" t="s">
        <v>87</v>
      </c>
      <c r="E158" s="109">
        <v>1</v>
      </c>
      <c r="F158" s="102">
        <v>1992</v>
      </c>
      <c r="G158" s="102">
        <v>1982</v>
      </c>
      <c r="H158" s="102">
        <v>2008</v>
      </c>
      <c r="I158" s="102" t="s">
        <v>566</v>
      </c>
      <c r="J158" s="102">
        <v>2013</v>
      </c>
      <c r="K158" s="102">
        <f t="shared" si="34"/>
        <v>3</v>
      </c>
      <c r="L158" s="102">
        <f t="shared" si="34"/>
        <v>4</v>
      </c>
      <c r="M158" s="102">
        <f t="shared" si="34"/>
        <v>4</v>
      </c>
      <c r="N158" s="102">
        <f t="shared" si="34"/>
        <v>1</v>
      </c>
      <c r="O158" s="102">
        <f t="shared" si="34"/>
        <v>3</v>
      </c>
      <c r="P158" s="121">
        <f t="shared" si="35"/>
        <v>3</v>
      </c>
      <c r="Q158" s="102">
        <v>9</v>
      </c>
      <c r="R158" s="102">
        <f t="shared" si="36"/>
        <v>2</v>
      </c>
      <c r="S158" s="138">
        <v>0.52652024713803802</v>
      </c>
      <c r="T158" s="102">
        <f t="shared" si="37"/>
        <v>2</v>
      </c>
      <c r="U158" s="139">
        <v>5.9554143152627196E-3</v>
      </c>
      <c r="V158" s="102">
        <f t="shared" si="38"/>
        <v>1</v>
      </c>
      <c r="W158" s="124">
        <v>0</v>
      </c>
      <c r="X158" s="102">
        <f>IF(AND(W158&gt;=W$200,W158&lt;W$201),1,IF(AND(W158&gt;=W$201,W158&lt;W$202),2,IF(AND(W158&gt;=W$202,W158&lt;W$203),3,IF(AND(W158&gt;=W$203,W158&lt;=W$204),4,"empty"))))</f>
        <v>2</v>
      </c>
      <c r="Y158" s="109">
        <v>99</v>
      </c>
      <c r="Z158" s="102">
        <f t="shared" si="39"/>
        <v>1</v>
      </c>
      <c r="AA158" s="125">
        <f t="shared" si="40"/>
        <v>33</v>
      </c>
      <c r="AB158" s="126" t="s">
        <v>580</v>
      </c>
      <c r="AC158" s="126">
        <v>1</v>
      </c>
      <c r="AD158" s="126">
        <v>4</v>
      </c>
      <c r="AE158" s="126">
        <v>100</v>
      </c>
      <c r="AF158" s="102">
        <f>IF(AND(AE158&gt;=AE$200,AE158&lt;AE$201),1,IF(AND(AE158&gt;=AE$201,AE158&lt;AE$202),2,IF(AND(AE158&gt;=AE$202,AE158&lt;AE$203),3,IF(AND(AE158&gt;=AE$203,AE158&lt;=AE$204),4,"empty"))))</f>
        <v>4</v>
      </c>
      <c r="AG158" s="127">
        <f t="shared" si="41"/>
        <v>9</v>
      </c>
      <c r="AH158" s="128">
        <f t="shared" si="42"/>
        <v>45</v>
      </c>
      <c r="AI158" s="108">
        <v>2039</v>
      </c>
      <c r="AJ158" s="108" t="str">
        <f t="shared" si="43"/>
        <v>late adopter</v>
      </c>
    </row>
    <row r="159" spans="1:36">
      <c r="A159" s="102" t="s">
        <v>86</v>
      </c>
      <c r="B159" s="120" t="s">
        <v>85</v>
      </c>
      <c r="C159" s="120" t="s">
        <v>79</v>
      </c>
      <c r="D159" s="102" t="s">
        <v>87</v>
      </c>
      <c r="E159" s="109">
        <v>1</v>
      </c>
      <c r="F159" s="102">
        <v>1991</v>
      </c>
      <c r="G159" s="102">
        <v>1988</v>
      </c>
      <c r="H159" s="102">
        <v>2007</v>
      </c>
      <c r="I159" s="102" t="s">
        <v>566</v>
      </c>
      <c r="J159" s="102">
        <v>2014</v>
      </c>
      <c r="K159" s="102">
        <f t="shared" si="34"/>
        <v>4</v>
      </c>
      <c r="L159" s="102">
        <f t="shared" si="34"/>
        <v>3</v>
      </c>
      <c r="M159" s="102">
        <f t="shared" si="34"/>
        <v>4</v>
      </c>
      <c r="N159" s="102">
        <f t="shared" si="34"/>
        <v>1</v>
      </c>
      <c r="O159" s="102">
        <f t="shared" si="34"/>
        <v>3</v>
      </c>
      <c r="P159" s="121">
        <f t="shared" si="35"/>
        <v>3</v>
      </c>
      <c r="Q159" s="102">
        <v>0</v>
      </c>
      <c r="R159" s="102">
        <f t="shared" si="36"/>
        <v>1</v>
      </c>
      <c r="S159" s="138">
        <v>6.4061511929734805E-2</v>
      </c>
      <c r="T159" s="102">
        <f t="shared" si="37"/>
        <v>1</v>
      </c>
      <c r="U159" s="139">
        <v>0</v>
      </c>
      <c r="V159" s="102">
        <f t="shared" si="38"/>
        <v>1</v>
      </c>
      <c r="W159" s="124" t="s">
        <v>573</v>
      </c>
      <c r="X159" s="102">
        <v>1</v>
      </c>
      <c r="Y159" s="109">
        <v>59</v>
      </c>
      <c r="Z159" s="102">
        <f t="shared" si="39"/>
        <v>4</v>
      </c>
      <c r="AA159" s="125">
        <f t="shared" si="40"/>
        <v>33</v>
      </c>
      <c r="AB159" s="126" t="s">
        <v>580</v>
      </c>
      <c r="AC159" s="126">
        <v>1</v>
      </c>
      <c r="AD159" s="126">
        <v>4</v>
      </c>
      <c r="AE159" s="126">
        <v>100</v>
      </c>
      <c r="AF159" s="126">
        <v>4</v>
      </c>
      <c r="AG159" s="127">
        <f t="shared" si="41"/>
        <v>9</v>
      </c>
      <c r="AH159" s="128">
        <f t="shared" si="42"/>
        <v>45</v>
      </c>
      <c r="AI159" s="108">
        <v>2039</v>
      </c>
      <c r="AJ159" s="108" t="str">
        <f t="shared" si="43"/>
        <v>late adopter</v>
      </c>
    </row>
    <row r="160" spans="1:36">
      <c r="A160" s="102" t="s">
        <v>203</v>
      </c>
      <c r="B160" s="120" t="s">
        <v>202</v>
      </c>
      <c r="C160" s="120" t="s">
        <v>79</v>
      </c>
      <c r="D160" s="102" t="s">
        <v>87</v>
      </c>
      <c r="E160" s="109">
        <v>1</v>
      </c>
      <c r="F160" s="102">
        <v>1982</v>
      </c>
      <c r="G160" s="102">
        <v>1975</v>
      </c>
      <c r="H160" s="102">
        <v>2010</v>
      </c>
      <c r="I160" s="102">
        <v>2009</v>
      </c>
      <c r="J160" s="102">
        <v>2013</v>
      </c>
      <c r="K160" s="102">
        <f t="shared" si="34"/>
        <v>4</v>
      </c>
      <c r="L160" s="102">
        <f t="shared" si="34"/>
        <v>4</v>
      </c>
      <c r="M160" s="102">
        <f t="shared" si="34"/>
        <v>3</v>
      </c>
      <c r="N160" s="102">
        <f t="shared" si="34"/>
        <v>4</v>
      </c>
      <c r="O160" s="102">
        <f t="shared" si="34"/>
        <v>3</v>
      </c>
      <c r="P160" s="121">
        <f t="shared" si="35"/>
        <v>3.6</v>
      </c>
      <c r="Q160" s="102">
        <v>12</v>
      </c>
      <c r="R160" s="102">
        <f t="shared" si="36"/>
        <v>2</v>
      </c>
      <c r="S160" s="138">
        <v>0.28764427750925797</v>
      </c>
      <c r="T160" s="102">
        <f t="shared" si="37"/>
        <v>1</v>
      </c>
      <c r="U160" s="139">
        <v>5.6458996120105796E-3</v>
      </c>
      <c r="V160" s="102">
        <f t="shared" si="38"/>
        <v>1</v>
      </c>
      <c r="W160" s="124">
        <v>0</v>
      </c>
      <c r="X160" s="102">
        <f>IF(AND(W160&gt;=W$200,W160&lt;W$201),1,IF(AND(W160&gt;=W$201,W160&lt;W$202),2,IF(AND(W160&gt;=W$202,W160&lt;W$203),3,IF(AND(W160&gt;=W$203,W160&lt;=W$204),4,"empty"))))</f>
        <v>2</v>
      </c>
      <c r="Y160" s="109">
        <v>97</v>
      </c>
      <c r="Z160" s="102">
        <f t="shared" si="39"/>
        <v>1</v>
      </c>
      <c r="AA160" s="125">
        <f t="shared" si="40"/>
        <v>31.799999999999997</v>
      </c>
      <c r="AB160" s="126" t="s">
        <v>580</v>
      </c>
      <c r="AC160" s="126">
        <v>1</v>
      </c>
      <c r="AD160" s="126">
        <v>4</v>
      </c>
      <c r="AE160" s="126">
        <v>100</v>
      </c>
      <c r="AF160" s="102">
        <f>IF(AND(AE160&gt;=AE$200,AE160&lt;AE$201),1,IF(AND(AE160&gt;=AE$201,AE160&lt;AE$202),2,IF(AND(AE160&gt;=AE$202,AE160&lt;AE$203),3,IF(AND(AE160&gt;=AE$203,AE160&lt;=AE$204),4,"empty"))))</f>
        <v>4</v>
      </c>
      <c r="AG160" s="127">
        <f t="shared" si="41"/>
        <v>9</v>
      </c>
      <c r="AH160" s="128">
        <f t="shared" si="42"/>
        <v>44.4</v>
      </c>
      <c r="AI160" s="108">
        <v>2039</v>
      </c>
      <c r="AJ160" s="108" t="str">
        <f t="shared" si="43"/>
        <v>late adopter</v>
      </c>
    </row>
    <row r="161" spans="1:36">
      <c r="A161" s="102" t="s">
        <v>407</v>
      </c>
      <c r="B161" s="120" t="s">
        <v>406</v>
      </c>
      <c r="C161" s="120" t="s">
        <v>110</v>
      </c>
      <c r="D161" s="102" t="s">
        <v>84</v>
      </c>
      <c r="E161" s="109">
        <v>2</v>
      </c>
      <c r="F161" s="102">
        <v>2001</v>
      </c>
      <c r="G161" s="102">
        <v>2001</v>
      </c>
      <c r="H161" s="102" t="s">
        <v>566</v>
      </c>
      <c r="I161" s="102" t="s">
        <v>566</v>
      </c>
      <c r="J161" s="102">
        <v>2017</v>
      </c>
      <c r="K161" s="102">
        <f t="shared" si="34"/>
        <v>2</v>
      </c>
      <c r="L161" s="102">
        <f t="shared" si="34"/>
        <v>2</v>
      </c>
      <c r="M161" s="102">
        <f t="shared" si="34"/>
        <v>1</v>
      </c>
      <c r="N161" s="102">
        <f t="shared" si="34"/>
        <v>1</v>
      </c>
      <c r="O161" s="102">
        <f t="shared" si="34"/>
        <v>2</v>
      </c>
      <c r="P161" s="121">
        <f t="shared" si="35"/>
        <v>1.6</v>
      </c>
      <c r="Q161" s="102">
        <v>49</v>
      </c>
      <c r="R161" s="102">
        <f t="shared" si="36"/>
        <v>2</v>
      </c>
      <c r="S161" s="138">
        <v>107.361253736805</v>
      </c>
      <c r="T161" s="102">
        <f t="shared" si="37"/>
        <v>3</v>
      </c>
      <c r="U161" s="139">
        <v>34.645057755726299</v>
      </c>
      <c r="V161" s="102">
        <f t="shared" si="38"/>
        <v>3</v>
      </c>
      <c r="W161" s="124">
        <v>0</v>
      </c>
      <c r="X161" s="102">
        <f>IF(AND(W161&gt;=W$200,W161&lt;W$201),1,IF(AND(W161&gt;=W$201,W161&lt;W$202),2,IF(AND(W161&gt;=W$202,W161&lt;W$203),3,IF(AND(W161&gt;=W$203,W161&lt;=W$204),4,"empty"))))</f>
        <v>2</v>
      </c>
      <c r="Y161" s="109">
        <v>97</v>
      </c>
      <c r="Z161" s="102">
        <f t="shared" si="39"/>
        <v>1</v>
      </c>
      <c r="AA161" s="125">
        <f t="shared" si="40"/>
        <v>37.799999999999997</v>
      </c>
      <c r="AB161" s="126" t="s">
        <v>581</v>
      </c>
      <c r="AC161" s="126">
        <v>1</v>
      </c>
      <c r="AD161" s="126">
        <v>2</v>
      </c>
      <c r="AE161" s="126">
        <v>81.499999999999943</v>
      </c>
      <c r="AF161" s="102">
        <f>IF(AND(AE161&gt;=AE$200,AE161&lt;AE$201),1,IF(AND(AE161&gt;=AE$201,AE161&lt;AE$202),2,IF(AND(AE161&gt;=AE$202,AE161&lt;AE$203),3,IF(AND(AE161&gt;=AE$203,AE161&lt;=AE$204),4,"empty"))))</f>
        <v>2</v>
      </c>
      <c r="AG161" s="127">
        <f t="shared" si="41"/>
        <v>5</v>
      </c>
      <c r="AH161" s="128">
        <f t="shared" si="42"/>
        <v>44.4</v>
      </c>
      <c r="AI161" s="108">
        <v>2039</v>
      </c>
      <c r="AJ161" s="108" t="str">
        <f t="shared" si="43"/>
        <v>late adopter</v>
      </c>
    </row>
    <row r="162" spans="1:36">
      <c r="A162" s="102" t="s">
        <v>170</v>
      </c>
      <c r="B162" s="120" t="s">
        <v>169</v>
      </c>
      <c r="C162" s="120" t="s">
        <v>92</v>
      </c>
      <c r="D162" s="102" t="s">
        <v>80</v>
      </c>
      <c r="E162" s="109">
        <v>1</v>
      </c>
      <c r="F162" s="102">
        <v>2004</v>
      </c>
      <c r="G162" s="102">
        <v>1986</v>
      </c>
      <c r="H162" s="102" t="s">
        <v>566</v>
      </c>
      <c r="I162" s="102" t="s">
        <v>566</v>
      </c>
      <c r="J162" s="102" t="s">
        <v>566</v>
      </c>
      <c r="K162" s="102">
        <f t="shared" si="34"/>
        <v>2</v>
      </c>
      <c r="L162" s="102">
        <f t="shared" si="34"/>
        <v>4</v>
      </c>
      <c r="M162" s="102">
        <f t="shared" si="34"/>
        <v>1</v>
      </c>
      <c r="N162" s="102">
        <f t="shared" si="34"/>
        <v>1</v>
      </c>
      <c r="O162" s="102">
        <f t="shared" si="34"/>
        <v>1</v>
      </c>
      <c r="P162" s="121">
        <f t="shared" si="35"/>
        <v>1.8</v>
      </c>
      <c r="Q162" s="102">
        <v>1</v>
      </c>
      <c r="R162" s="102">
        <f t="shared" si="36"/>
        <v>2</v>
      </c>
      <c r="S162" s="138">
        <v>1.7353346921088999E-2</v>
      </c>
      <c r="T162" s="102">
        <f t="shared" si="37"/>
        <v>1</v>
      </c>
      <c r="U162" s="139">
        <v>1.7324501548180601E-2</v>
      </c>
      <c r="V162" s="102">
        <f t="shared" si="38"/>
        <v>2</v>
      </c>
      <c r="W162" s="124">
        <v>0</v>
      </c>
      <c r="X162" s="102">
        <f>IF(AND(W162&gt;=W$200,W162&lt;W$201),1,IF(AND(W162&gt;=W$201,W162&lt;W$202),2,IF(AND(W162&gt;=W$202,W162&lt;W$203),3,IF(AND(W162&gt;=W$203,W162&lt;=W$204),4,"empty"))))</f>
        <v>2</v>
      </c>
      <c r="Y162" s="109">
        <v>90</v>
      </c>
      <c r="Z162" s="102">
        <f t="shared" si="39"/>
        <v>3</v>
      </c>
      <c r="AA162" s="125">
        <f t="shared" si="40"/>
        <v>35.400000000000006</v>
      </c>
      <c r="AB162" s="126" t="s">
        <v>581</v>
      </c>
      <c r="AC162" s="126">
        <v>1</v>
      </c>
      <c r="AD162" s="126">
        <v>3</v>
      </c>
      <c r="AE162" s="126">
        <v>98.85501870397529</v>
      </c>
      <c r="AF162" s="102">
        <f>IF(AND(AE162&gt;=AE$200,AE162&lt;AE$201),1,IF(AND(AE162&gt;=AE$201,AE162&lt;AE$202),2,IF(AND(AE162&gt;=AE$202,AE162&lt;AE$203),3,IF(AND(AE162&gt;=AE$203,AE162&lt;=AE$204),4,"empty"))))</f>
        <v>3</v>
      </c>
      <c r="AG162" s="127">
        <f t="shared" si="41"/>
        <v>7</v>
      </c>
      <c r="AH162" s="128">
        <f t="shared" si="42"/>
        <v>44.2</v>
      </c>
      <c r="AI162" s="108">
        <v>2039</v>
      </c>
      <c r="AJ162" s="108" t="str">
        <f t="shared" si="43"/>
        <v>late adopter</v>
      </c>
    </row>
    <row r="163" spans="1:36">
      <c r="A163" s="102" t="s">
        <v>339</v>
      </c>
      <c r="B163" s="120" t="s">
        <v>338</v>
      </c>
      <c r="C163" s="120" t="s">
        <v>99</v>
      </c>
      <c r="D163" s="102" t="e">
        <v>#N/A</v>
      </c>
      <c r="E163" s="109">
        <v>1</v>
      </c>
      <c r="F163" s="102">
        <v>1975</v>
      </c>
      <c r="G163" s="102">
        <v>1980</v>
      </c>
      <c r="H163" s="102">
        <v>2009</v>
      </c>
      <c r="I163" s="102">
        <v>2016</v>
      </c>
      <c r="J163" s="102">
        <v>2019</v>
      </c>
      <c r="K163" s="102">
        <f t="shared" si="34"/>
        <v>4</v>
      </c>
      <c r="L163" s="102">
        <f t="shared" si="34"/>
        <v>4</v>
      </c>
      <c r="M163" s="102">
        <f t="shared" si="34"/>
        <v>3</v>
      </c>
      <c r="N163" s="102">
        <f t="shared" si="34"/>
        <v>2</v>
      </c>
      <c r="O163" s="102">
        <f t="shared" si="34"/>
        <v>2</v>
      </c>
      <c r="P163" s="121">
        <f t="shared" si="35"/>
        <v>3</v>
      </c>
      <c r="Q163" s="102">
        <v>0</v>
      </c>
      <c r="R163" s="102">
        <f t="shared" si="36"/>
        <v>1</v>
      </c>
      <c r="S163" s="138">
        <v>312.31232686934499</v>
      </c>
      <c r="T163" s="102">
        <f t="shared" si="37"/>
        <v>4</v>
      </c>
      <c r="U163" s="139">
        <v>5.1439130668766197E-3</v>
      </c>
      <c r="V163" s="102">
        <f t="shared" si="38"/>
        <v>1</v>
      </c>
      <c r="W163" s="124" t="s">
        <v>573</v>
      </c>
      <c r="X163" s="102">
        <v>1</v>
      </c>
      <c r="Y163" s="109">
        <v>94</v>
      </c>
      <c r="Z163" s="102">
        <f t="shared" si="39"/>
        <v>2</v>
      </c>
      <c r="AA163" s="125">
        <f t="shared" si="40"/>
        <v>36</v>
      </c>
      <c r="AB163" s="126" t="s">
        <v>580</v>
      </c>
      <c r="AC163" s="126">
        <v>1</v>
      </c>
      <c r="AD163" s="126">
        <v>2</v>
      </c>
      <c r="AE163" s="126"/>
      <c r="AF163" s="102">
        <v>2</v>
      </c>
      <c r="AG163" s="127">
        <f t="shared" si="41"/>
        <v>5</v>
      </c>
      <c r="AH163" s="128">
        <f t="shared" si="42"/>
        <v>44</v>
      </c>
      <c r="AI163" s="108">
        <v>2039</v>
      </c>
      <c r="AJ163" s="108" t="str">
        <f t="shared" si="43"/>
        <v>late adopter</v>
      </c>
    </row>
    <row r="164" spans="1:36">
      <c r="A164" s="102" t="s">
        <v>132</v>
      </c>
      <c r="B164" s="120" t="s">
        <v>131</v>
      </c>
      <c r="C164" s="120" t="s">
        <v>99</v>
      </c>
      <c r="D164" s="102" t="s">
        <v>87</v>
      </c>
      <c r="E164" s="109">
        <v>1</v>
      </c>
      <c r="F164" s="102">
        <v>1988</v>
      </c>
      <c r="G164" s="102">
        <v>1984</v>
      </c>
      <c r="H164" s="102" t="s">
        <v>566</v>
      </c>
      <c r="I164" s="102" t="s">
        <v>566</v>
      </c>
      <c r="J164" s="102">
        <v>2012</v>
      </c>
      <c r="K164" s="102">
        <f t="shared" ref="K164:O197" si="46">IF(AND(F164&gt;=F$200,F164&lt;F$201),4,IF(AND(F164&gt;=F$201,F164&lt;F$202),3,IF(AND(F164&gt;=F$202,F164&lt;F$203),2,IF(AND(F164&gt;=F$203,F164&lt;=F$204),1,1))))</f>
        <v>4</v>
      </c>
      <c r="L164" s="102">
        <f t="shared" si="46"/>
        <v>4</v>
      </c>
      <c r="M164" s="102">
        <f t="shared" si="46"/>
        <v>1</v>
      </c>
      <c r="N164" s="102">
        <f t="shared" si="46"/>
        <v>1</v>
      </c>
      <c r="O164" s="102">
        <f t="shared" si="46"/>
        <v>3</v>
      </c>
      <c r="P164" s="121">
        <f t="shared" si="35"/>
        <v>2.6</v>
      </c>
      <c r="Q164" s="102">
        <v>1</v>
      </c>
      <c r="R164" s="102">
        <f t="shared" si="36"/>
        <v>2</v>
      </c>
      <c r="S164" s="138">
        <v>8.7001893841809605E-2</v>
      </c>
      <c r="T164" s="102">
        <f t="shared" si="37"/>
        <v>1</v>
      </c>
      <c r="U164" s="139">
        <v>0</v>
      </c>
      <c r="V164" s="102">
        <f t="shared" si="38"/>
        <v>1</v>
      </c>
      <c r="W164" s="124">
        <v>0</v>
      </c>
      <c r="X164" s="102">
        <f t="shared" ref="X164:X170" si="47">IF(AND(W164&gt;=W$200,W164&lt;W$201),1,IF(AND(W164&gt;=W$201,W164&lt;W$202),2,IF(AND(W164&gt;=W$202,W164&lt;W$203),3,IF(AND(W164&gt;=W$203,W164&lt;=W$204),4,"empty"))))</f>
        <v>2</v>
      </c>
      <c r="Y164" s="109">
        <v>95</v>
      </c>
      <c r="Z164" s="102">
        <f t="shared" si="39"/>
        <v>2</v>
      </c>
      <c r="AA164" s="125">
        <f t="shared" si="40"/>
        <v>31.799999999999997</v>
      </c>
      <c r="AB164" s="126" t="s">
        <v>580</v>
      </c>
      <c r="AC164" s="126">
        <v>1</v>
      </c>
      <c r="AD164" s="126">
        <v>4</v>
      </c>
      <c r="AE164" s="126">
        <v>100</v>
      </c>
      <c r="AF164" s="126">
        <v>4</v>
      </c>
      <c r="AG164" s="127">
        <f t="shared" si="41"/>
        <v>9</v>
      </c>
      <c r="AH164" s="128">
        <f t="shared" si="42"/>
        <v>43.4</v>
      </c>
      <c r="AI164" s="108">
        <v>2040</v>
      </c>
      <c r="AJ164" s="108" t="str">
        <f t="shared" si="43"/>
        <v>late adopter</v>
      </c>
    </row>
    <row r="165" spans="1:36">
      <c r="A165" s="102" t="s">
        <v>96</v>
      </c>
      <c r="B165" s="120" t="s">
        <v>95</v>
      </c>
      <c r="C165" s="120" t="s">
        <v>79</v>
      </c>
      <c r="D165" s="102" t="s">
        <v>80</v>
      </c>
      <c r="E165" s="109">
        <v>1</v>
      </c>
      <c r="F165" s="102">
        <v>1986</v>
      </c>
      <c r="G165" s="102">
        <v>2002</v>
      </c>
      <c r="H165" s="102">
        <v>2014</v>
      </c>
      <c r="I165" s="102">
        <v>2012</v>
      </c>
      <c r="J165" s="102">
        <v>2017</v>
      </c>
      <c r="K165" s="102">
        <f t="shared" si="46"/>
        <v>4</v>
      </c>
      <c r="L165" s="102">
        <f t="shared" si="46"/>
        <v>2</v>
      </c>
      <c r="M165" s="102">
        <f t="shared" si="46"/>
        <v>2</v>
      </c>
      <c r="N165" s="102">
        <f t="shared" si="46"/>
        <v>3</v>
      </c>
      <c r="O165" s="102">
        <f t="shared" si="46"/>
        <v>2</v>
      </c>
      <c r="P165" s="121">
        <f t="shared" si="35"/>
        <v>2.6</v>
      </c>
      <c r="Q165" s="102">
        <v>7</v>
      </c>
      <c r="R165" s="102">
        <f t="shared" si="36"/>
        <v>2</v>
      </c>
      <c r="S165" s="138">
        <v>0.26587487319638398</v>
      </c>
      <c r="T165" s="102">
        <f t="shared" si="37"/>
        <v>1</v>
      </c>
      <c r="U165" s="139">
        <v>4.7370543870346596E-3</v>
      </c>
      <c r="V165" s="102">
        <f t="shared" si="38"/>
        <v>1</v>
      </c>
      <c r="W165" s="124">
        <v>0</v>
      </c>
      <c r="X165" s="102">
        <f t="shared" si="47"/>
        <v>2</v>
      </c>
      <c r="Y165" s="109">
        <v>88</v>
      </c>
      <c r="Z165" s="102">
        <f t="shared" si="39"/>
        <v>3</v>
      </c>
      <c r="AA165" s="125">
        <f t="shared" si="40"/>
        <v>34.799999999999997</v>
      </c>
      <c r="AB165" s="126" t="s">
        <v>581</v>
      </c>
      <c r="AC165" s="126">
        <v>1</v>
      </c>
      <c r="AD165" s="126">
        <v>3</v>
      </c>
      <c r="AE165" s="126">
        <v>80</v>
      </c>
      <c r="AF165" s="102">
        <f t="shared" ref="AF165:AF170" si="48">IF(AND(AE165&gt;=AE$200,AE165&lt;AE$201),1,IF(AND(AE165&gt;=AE$201,AE165&lt;AE$202),2,IF(AND(AE165&gt;=AE$202,AE165&lt;AE$203),3,IF(AND(AE165&gt;=AE$203,AE165&lt;=AE$204),4,"empty"))))</f>
        <v>2</v>
      </c>
      <c r="AG165" s="127">
        <f t="shared" si="41"/>
        <v>6</v>
      </c>
      <c r="AH165" s="128">
        <f t="shared" si="42"/>
        <v>43.4</v>
      </c>
      <c r="AI165" s="108">
        <v>2040</v>
      </c>
      <c r="AJ165" s="108" t="str">
        <f t="shared" si="43"/>
        <v>late adopter</v>
      </c>
    </row>
    <row r="166" spans="1:36">
      <c r="A166" s="102" t="s">
        <v>164</v>
      </c>
      <c r="B166" s="120" t="s">
        <v>163</v>
      </c>
      <c r="C166" s="120" t="s">
        <v>92</v>
      </c>
      <c r="D166" s="102" t="s">
        <v>80</v>
      </c>
      <c r="E166" s="109">
        <v>2</v>
      </c>
      <c r="F166" s="102">
        <v>1992</v>
      </c>
      <c r="G166" s="102">
        <v>1972</v>
      </c>
      <c r="H166" s="102">
        <v>2008</v>
      </c>
      <c r="I166" s="102">
        <v>2019</v>
      </c>
      <c r="J166" s="102">
        <v>2019</v>
      </c>
      <c r="K166" s="102">
        <f t="shared" si="46"/>
        <v>3</v>
      </c>
      <c r="L166" s="102">
        <f t="shared" si="46"/>
        <v>4</v>
      </c>
      <c r="M166" s="102">
        <f t="shared" si="46"/>
        <v>4</v>
      </c>
      <c r="N166" s="102">
        <f t="shared" si="46"/>
        <v>1</v>
      </c>
      <c r="O166" s="102">
        <f t="shared" si="46"/>
        <v>2</v>
      </c>
      <c r="P166" s="121">
        <f t="shared" si="35"/>
        <v>2.8</v>
      </c>
      <c r="Q166" s="102">
        <v>10</v>
      </c>
      <c r="R166" s="102">
        <f t="shared" si="36"/>
        <v>2</v>
      </c>
      <c r="S166" s="138">
        <v>0.42472333536152002</v>
      </c>
      <c r="T166" s="102">
        <f t="shared" si="37"/>
        <v>1</v>
      </c>
      <c r="U166" s="139">
        <v>5.8529433004343798E-3</v>
      </c>
      <c r="V166" s="102">
        <f t="shared" si="38"/>
        <v>1</v>
      </c>
      <c r="W166" s="124">
        <v>0</v>
      </c>
      <c r="X166" s="102">
        <f t="shared" si="47"/>
        <v>2</v>
      </c>
      <c r="Y166" s="109">
        <v>93</v>
      </c>
      <c r="Z166" s="102">
        <f t="shared" si="39"/>
        <v>2</v>
      </c>
      <c r="AA166" s="125">
        <f t="shared" si="40"/>
        <v>32.400000000000006</v>
      </c>
      <c r="AB166" s="126" t="s">
        <v>580</v>
      </c>
      <c r="AC166" s="126">
        <v>1</v>
      </c>
      <c r="AD166" s="126">
        <v>3</v>
      </c>
      <c r="AE166" s="126">
        <v>100</v>
      </c>
      <c r="AF166" s="102">
        <f t="shared" si="48"/>
        <v>4</v>
      </c>
      <c r="AG166" s="127">
        <f t="shared" si="41"/>
        <v>8</v>
      </c>
      <c r="AH166" s="128">
        <f t="shared" si="42"/>
        <v>43.2</v>
      </c>
      <c r="AI166" s="108">
        <v>2040</v>
      </c>
      <c r="AJ166" s="108" t="str">
        <f t="shared" si="43"/>
        <v>late adopter</v>
      </c>
    </row>
    <row r="167" spans="1:36">
      <c r="A167" s="102" t="s">
        <v>355</v>
      </c>
      <c r="B167" s="120" t="s">
        <v>354</v>
      </c>
      <c r="C167" s="120" t="s">
        <v>92</v>
      </c>
      <c r="D167" s="102" t="s">
        <v>80</v>
      </c>
      <c r="E167" s="109">
        <v>2</v>
      </c>
      <c r="F167" s="102">
        <v>2007</v>
      </c>
      <c r="G167" s="102">
        <v>2003</v>
      </c>
      <c r="H167" s="102">
        <v>2009</v>
      </c>
      <c r="I167" s="102">
        <v>2009</v>
      </c>
      <c r="J167" s="102">
        <v>2015</v>
      </c>
      <c r="K167" s="102">
        <f t="shared" si="46"/>
        <v>2</v>
      </c>
      <c r="L167" s="102">
        <f t="shared" si="46"/>
        <v>2</v>
      </c>
      <c r="M167" s="102">
        <f t="shared" si="46"/>
        <v>3</v>
      </c>
      <c r="N167" s="102">
        <f t="shared" si="46"/>
        <v>4</v>
      </c>
      <c r="O167" s="102">
        <f t="shared" si="46"/>
        <v>3</v>
      </c>
      <c r="P167" s="121">
        <f t="shared" si="35"/>
        <v>2.8</v>
      </c>
      <c r="Q167" s="102">
        <v>2</v>
      </c>
      <c r="R167" s="102">
        <f t="shared" si="36"/>
        <v>2</v>
      </c>
      <c r="S167" s="138">
        <v>1.1815923478835399E-2</v>
      </c>
      <c r="T167" s="102">
        <f t="shared" si="37"/>
        <v>1</v>
      </c>
      <c r="U167" s="139">
        <v>5.2560028255040801E-3</v>
      </c>
      <c r="V167" s="102">
        <f t="shared" si="38"/>
        <v>1</v>
      </c>
      <c r="W167" s="124">
        <v>0</v>
      </c>
      <c r="X167" s="102">
        <f t="shared" si="47"/>
        <v>2</v>
      </c>
      <c r="Y167" s="109">
        <v>96</v>
      </c>
      <c r="Z167" s="102">
        <f t="shared" si="39"/>
        <v>2</v>
      </c>
      <c r="AA167" s="125">
        <f t="shared" si="40"/>
        <v>32.400000000000006</v>
      </c>
      <c r="AB167" s="126" t="s">
        <v>580</v>
      </c>
      <c r="AC167" s="126">
        <v>1</v>
      </c>
      <c r="AD167" s="126">
        <v>3</v>
      </c>
      <c r="AE167" s="126">
        <v>100</v>
      </c>
      <c r="AF167" s="102">
        <f t="shared" si="48"/>
        <v>4</v>
      </c>
      <c r="AG167" s="127">
        <f t="shared" si="41"/>
        <v>8</v>
      </c>
      <c r="AH167" s="128">
        <f t="shared" si="42"/>
        <v>43.2</v>
      </c>
      <c r="AI167" s="108">
        <v>2040</v>
      </c>
      <c r="AJ167" s="108" t="str">
        <f t="shared" si="43"/>
        <v>late adopter</v>
      </c>
    </row>
    <row r="168" spans="1:36">
      <c r="A168" s="102" t="s">
        <v>303</v>
      </c>
      <c r="B168" s="120" t="s">
        <v>302</v>
      </c>
      <c r="C168" s="120" t="s">
        <v>83</v>
      </c>
      <c r="D168" s="102" t="s">
        <v>87</v>
      </c>
      <c r="E168" s="109">
        <v>1</v>
      </c>
      <c r="F168" s="102">
        <v>2003</v>
      </c>
      <c r="G168" s="102">
        <v>1996</v>
      </c>
      <c r="H168" s="102">
        <v>2016</v>
      </c>
      <c r="I168" s="102">
        <v>2015</v>
      </c>
      <c r="J168" s="102">
        <v>2017</v>
      </c>
      <c r="K168" s="102">
        <f t="shared" si="46"/>
        <v>2</v>
      </c>
      <c r="L168" s="102">
        <f t="shared" si="46"/>
        <v>3</v>
      </c>
      <c r="M168" s="102">
        <f t="shared" si="46"/>
        <v>1</v>
      </c>
      <c r="N168" s="102">
        <f t="shared" si="46"/>
        <v>2</v>
      </c>
      <c r="O168" s="102">
        <f t="shared" si="46"/>
        <v>2</v>
      </c>
      <c r="P168" s="121">
        <f t="shared" si="35"/>
        <v>2</v>
      </c>
      <c r="Q168" s="102">
        <v>9.0000000000000002E-6</v>
      </c>
      <c r="R168" s="102">
        <f t="shared" si="36"/>
        <v>1</v>
      </c>
      <c r="S168" s="138">
        <v>263.87864467631402</v>
      </c>
      <c r="T168" s="102">
        <f t="shared" si="37"/>
        <v>4</v>
      </c>
      <c r="U168" s="139">
        <v>1.3809255413257599E-3</v>
      </c>
      <c r="V168" s="102">
        <f t="shared" si="38"/>
        <v>1</v>
      </c>
      <c r="W168" s="124">
        <v>0</v>
      </c>
      <c r="X168" s="102">
        <f t="shared" si="47"/>
        <v>2</v>
      </c>
      <c r="Y168" s="109">
        <v>98</v>
      </c>
      <c r="Z168" s="102">
        <f t="shared" si="39"/>
        <v>1</v>
      </c>
      <c r="AA168" s="125">
        <f t="shared" si="40"/>
        <v>33</v>
      </c>
      <c r="AB168" s="126" t="s">
        <v>580</v>
      </c>
      <c r="AC168" s="126">
        <v>1</v>
      </c>
      <c r="AD168" s="126">
        <v>4</v>
      </c>
      <c r="AE168" s="126">
        <v>97.999986494799955</v>
      </c>
      <c r="AF168" s="102">
        <f t="shared" si="48"/>
        <v>3</v>
      </c>
      <c r="AG168" s="127">
        <f t="shared" si="41"/>
        <v>8</v>
      </c>
      <c r="AH168" s="128">
        <f t="shared" si="42"/>
        <v>43</v>
      </c>
      <c r="AI168" s="108">
        <v>2040</v>
      </c>
      <c r="AJ168" s="108" t="str">
        <f t="shared" si="43"/>
        <v>late adopter</v>
      </c>
    </row>
    <row r="169" spans="1:36">
      <c r="A169" s="102" t="s">
        <v>105</v>
      </c>
      <c r="B169" s="120" t="s">
        <v>104</v>
      </c>
      <c r="C169" s="120" t="s">
        <v>92</v>
      </c>
      <c r="D169" s="102" t="s">
        <v>87</v>
      </c>
      <c r="E169" s="109">
        <v>1</v>
      </c>
      <c r="F169" s="102">
        <v>2001</v>
      </c>
      <c r="G169" s="102">
        <v>1991</v>
      </c>
      <c r="H169" s="102">
        <v>2009</v>
      </c>
      <c r="I169" s="102">
        <v>2017</v>
      </c>
      <c r="J169" s="102">
        <v>2015</v>
      </c>
      <c r="K169" s="102">
        <f t="shared" si="46"/>
        <v>2</v>
      </c>
      <c r="L169" s="102">
        <f t="shared" si="46"/>
        <v>3</v>
      </c>
      <c r="M169" s="102">
        <f t="shared" si="46"/>
        <v>3</v>
      </c>
      <c r="N169" s="102">
        <f t="shared" si="46"/>
        <v>1</v>
      </c>
      <c r="O169" s="102">
        <f t="shared" si="46"/>
        <v>3</v>
      </c>
      <c r="P169" s="121">
        <f t="shared" si="35"/>
        <v>2.4</v>
      </c>
      <c r="Q169" s="102">
        <v>3</v>
      </c>
      <c r="R169" s="102">
        <f t="shared" si="36"/>
        <v>2</v>
      </c>
      <c r="S169" s="138">
        <v>1.0539777556212599</v>
      </c>
      <c r="T169" s="102">
        <f t="shared" si="37"/>
        <v>2</v>
      </c>
      <c r="U169" s="139">
        <v>4.7223993949963797E-4</v>
      </c>
      <c r="V169" s="102">
        <f t="shared" si="38"/>
        <v>1</v>
      </c>
      <c r="W169" s="124">
        <v>0</v>
      </c>
      <c r="X169" s="102">
        <f t="shared" si="47"/>
        <v>2</v>
      </c>
      <c r="Y169" s="109">
        <v>99</v>
      </c>
      <c r="Z169" s="102">
        <f t="shared" si="39"/>
        <v>1</v>
      </c>
      <c r="AA169" s="125">
        <f t="shared" si="40"/>
        <v>31.200000000000003</v>
      </c>
      <c r="AB169" s="126" t="s">
        <v>580</v>
      </c>
      <c r="AC169" s="126">
        <v>1</v>
      </c>
      <c r="AD169" s="126">
        <v>4</v>
      </c>
      <c r="AE169" s="126">
        <v>100</v>
      </c>
      <c r="AF169" s="102">
        <f t="shared" si="48"/>
        <v>4</v>
      </c>
      <c r="AG169" s="127">
        <f t="shared" si="41"/>
        <v>9</v>
      </c>
      <c r="AH169" s="128">
        <f t="shared" si="42"/>
        <v>42.6</v>
      </c>
      <c r="AI169" s="108">
        <v>2040</v>
      </c>
      <c r="AJ169" s="108" t="str">
        <f t="shared" si="43"/>
        <v>late adopter</v>
      </c>
    </row>
    <row r="170" spans="1:36">
      <c r="A170" s="102" t="s">
        <v>197</v>
      </c>
      <c r="B170" s="120" t="s">
        <v>196</v>
      </c>
      <c r="C170" s="120" t="s">
        <v>79</v>
      </c>
      <c r="D170" s="102" t="s">
        <v>87</v>
      </c>
      <c r="E170" s="109">
        <v>1</v>
      </c>
      <c r="F170" s="102">
        <v>1994</v>
      </c>
      <c r="G170" s="102">
        <v>1993</v>
      </c>
      <c r="H170" s="102" t="s">
        <v>566</v>
      </c>
      <c r="I170" s="102">
        <v>2014</v>
      </c>
      <c r="J170" s="102">
        <v>2018</v>
      </c>
      <c r="K170" s="102">
        <f t="shared" si="46"/>
        <v>3</v>
      </c>
      <c r="L170" s="102">
        <f t="shared" si="46"/>
        <v>3</v>
      </c>
      <c r="M170" s="102">
        <f t="shared" si="46"/>
        <v>1</v>
      </c>
      <c r="N170" s="102">
        <f t="shared" si="46"/>
        <v>2</v>
      </c>
      <c r="O170" s="102">
        <f t="shared" si="46"/>
        <v>2</v>
      </c>
      <c r="P170" s="121">
        <f t="shared" si="35"/>
        <v>2.2000000000000002</v>
      </c>
      <c r="Q170" s="102">
        <v>27</v>
      </c>
      <c r="R170" s="102">
        <f t="shared" si="36"/>
        <v>2</v>
      </c>
      <c r="S170" s="138">
        <v>3.6579409080391998</v>
      </c>
      <c r="T170" s="102">
        <f t="shared" si="37"/>
        <v>2</v>
      </c>
      <c r="U170" s="139">
        <v>1.1469368088093501E-3</v>
      </c>
      <c r="V170" s="102">
        <f t="shared" si="38"/>
        <v>1</v>
      </c>
      <c r="W170" s="124">
        <v>0</v>
      </c>
      <c r="X170" s="102">
        <f t="shared" si="47"/>
        <v>2</v>
      </c>
      <c r="Y170" s="109">
        <v>99</v>
      </c>
      <c r="Z170" s="102">
        <f t="shared" si="39"/>
        <v>1</v>
      </c>
      <c r="AA170" s="125">
        <f t="shared" si="40"/>
        <v>30.599999999999998</v>
      </c>
      <c r="AB170" s="126" t="s">
        <v>580</v>
      </c>
      <c r="AC170" s="126">
        <v>1</v>
      </c>
      <c r="AD170" s="126">
        <v>4</v>
      </c>
      <c r="AE170" s="126">
        <v>100</v>
      </c>
      <c r="AF170" s="102">
        <f t="shared" si="48"/>
        <v>4</v>
      </c>
      <c r="AG170" s="127">
        <f t="shared" si="41"/>
        <v>9</v>
      </c>
      <c r="AH170" s="128">
        <f t="shared" si="42"/>
        <v>41.8</v>
      </c>
      <c r="AI170" s="108">
        <v>2040</v>
      </c>
      <c r="AJ170" s="108" t="str">
        <f t="shared" si="43"/>
        <v>late adopter</v>
      </c>
    </row>
    <row r="171" spans="1:36">
      <c r="A171" s="102" t="s">
        <v>379</v>
      </c>
      <c r="B171" s="120" t="s">
        <v>378</v>
      </c>
      <c r="C171" s="120" t="s">
        <v>79</v>
      </c>
      <c r="D171" s="102" t="s">
        <v>87</v>
      </c>
      <c r="E171" s="109">
        <v>1</v>
      </c>
      <c r="F171" s="102">
        <v>2001</v>
      </c>
      <c r="G171" s="102">
        <v>1995</v>
      </c>
      <c r="H171" s="102">
        <v>2016</v>
      </c>
      <c r="I171" s="102" t="s">
        <v>566</v>
      </c>
      <c r="J171" s="102">
        <v>2008</v>
      </c>
      <c r="K171" s="102">
        <f t="shared" si="46"/>
        <v>2</v>
      </c>
      <c r="L171" s="102">
        <f t="shared" si="46"/>
        <v>3</v>
      </c>
      <c r="M171" s="102">
        <f t="shared" si="46"/>
        <v>1</v>
      </c>
      <c r="N171" s="102">
        <f t="shared" si="46"/>
        <v>1</v>
      </c>
      <c r="O171" s="102">
        <f t="shared" si="46"/>
        <v>4</v>
      </c>
      <c r="P171" s="121">
        <f t="shared" si="35"/>
        <v>2.2000000000000002</v>
      </c>
      <c r="Q171" s="102">
        <v>11</v>
      </c>
      <c r="R171" s="102">
        <f t="shared" si="36"/>
        <v>2</v>
      </c>
      <c r="S171" s="138">
        <v>9.5364911378017003E-2</v>
      </c>
      <c r="T171" s="102">
        <f t="shared" si="37"/>
        <v>1</v>
      </c>
      <c r="U171" s="139">
        <v>0</v>
      </c>
      <c r="V171" s="102">
        <f t="shared" si="38"/>
        <v>1</v>
      </c>
      <c r="W171" s="124" t="s">
        <v>573</v>
      </c>
      <c r="X171" s="102">
        <v>1</v>
      </c>
      <c r="Y171" s="109">
        <v>85</v>
      </c>
      <c r="Z171" s="102">
        <f t="shared" si="39"/>
        <v>3</v>
      </c>
      <c r="AA171" s="125">
        <f t="shared" si="40"/>
        <v>30.599999999999998</v>
      </c>
      <c r="AB171" s="126" t="s">
        <v>580</v>
      </c>
      <c r="AC171" s="126">
        <v>1</v>
      </c>
      <c r="AD171" s="126">
        <v>4</v>
      </c>
      <c r="AE171" s="126" t="s">
        <v>582</v>
      </c>
      <c r="AF171" s="126">
        <v>4</v>
      </c>
      <c r="AG171" s="127">
        <f t="shared" si="41"/>
        <v>9</v>
      </c>
      <c r="AH171" s="128">
        <f t="shared" si="42"/>
        <v>41.8</v>
      </c>
      <c r="AI171" s="108">
        <v>2040</v>
      </c>
      <c r="AJ171" s="108" t="str">
        <f t="shared" si="43"/>
        <v>late adopter</v>
      </c>
    </row>
    <row r="172" spans="1:36">
      <c r="A172" s="102" t="s">
        <v>371</v>
      </c>
      <c r="B172" s="120" t="s">
        <v>370</v>
      </c>
      <c r="C172" s="120" t="s">
        <v>92</v>
      </c>
      <c r="D172" s="102" t="s">
        <v>87</v>
      </c>
      <c r="E172" s="109">
        <v>1</v>
      </c>
      <c r="F172" s="102">
        <v>1997</v>
      </c>
      <c r="G172" s="102">
        <v>1987</v>
      </c>
      <c r="H172" s="102" t="s">
        <v>566</v>
      </c>
      <c r="I172" s="102" t="s">
        <v>566</v>
      </c>
      <c r="J172" s="102">
        <v>2019</v>
      </c>
      <c r="K172" s="102">
        <f t="shared" si="46"/>
        <v>3</v>
      </c>
      <c r="L172" s="102">
        <f t="shared" si="46"/>
        <v>3</v>
      </c>
      <c r="M172" s="102">
        <f t="shared" si="46"/>
        <v>1</v>
      </c>
      <c r="N172" s="102">
        <f t="shared" si="46"/>
        <v>1</v>
      </c>
      <c r="O172" s="102">
        <f t="shared" si="46"/>
        <v>2</v>
      </c>
      <c r="P172" s="121">
        <f t="shared" si="35"/>
        <v>2</v>
      </c>
      <c r="Q172" s="102">
        <v>0</v>
      </c>
      <c r="R172" s="102">
        <f t="shared" si="36"/>
        <v>1</v>
      </c>
      <c r="S172" s="138">
        <v>3.3935043016016603E-2</v>
      </c>
      <c r="T172" s="102">
        <f t="shared" si="37"/>
        <v>1</v>
      </c>
      <c r="U172" s="139">
        <v>0</v>
      </c>
      <c r="V172" s="102">
        <f t="shared" si="38"/>
        <v>1</v>
      </c>
      <c r="W172" s="124" t="s">
        <v>573</v>
      </c>
      <c r="X172" s="102">
        <v>1</v>
      </c>
      <c r="Y172" s="109">
        <v>80</v>
      </c>
      <c r="Z172" s="102">
        <f t="shared" si="39"/>
        <v>4</v>
      </c>
      <c r="AA172" s="125">
        <f t="shared" si="40"/>
        <v>30</v>
      </c>
      <c r="AB172" s="126" t="s">
        <v>580</v>
      </c>
      <c r="AC172" s="126">
        <v>1</v>
      </c>
      <c r="AD172" s="126">
        <v>4</v>
      </c>
      <c r="AE172" s="126">
        <v>100</v>
      </c>
      <c r="AF172" s="102">
        <f t="shared" ref="AF172:AF189" si="49">IF(AND(AE172&gt;=AE$200,AE172&lt;AE$201),1,IF(AND(AE172&gt;=AE$201,AE172&lt;AE$202),2,IF(AND(AE172&gt;=AE$202,AE172&lt;AE$203),3,IF(AND(AE172&gt;=AE$203,AE172&lt;=AE$204),4,"empty"))))</f>
        <v>4</v>
      </c>
      <c r="AG172" s="127">
        <f t="shared" si="41"/>
        <v>9</v>
      </c>
      <c r="AH172" s="128">
        <f t="shared" si="42"/>
        <v>41</v>
      </c>
      <c r="AI172" s="108">
        <v>2040</v>
      </c>
      <c r="AJ172" s="108" t="str">
        <f t="shared" si="43"/>
        <v>late adopter</v>
      </c>
    </row>
    <row r="173" spans="1:36">
      <c r="A173" s="102" t="s">
        <v>349</v>
      </c>
      <c r="B173" s="120" t="s">
        <v>348</v>
      </c>
      <c r="C173" s="120" t="s">
        <v>92</v>
      </c>
      <c r="D173" s="102" t="s">
        <v>87</v>
      </c>
      <c r="E173" s="109">
        <v>1</v>
      </c>
      <c r="F173" s="102">
        <v>1992</v>
      </c>
      <c r="G173" s="102">
        <v>1984</v>
      </c>
      <c r="H173" s="102">
        <v>2010</v>
      </c>
      <c r="I173" s="102">
        <v>2006</v>
      </c>
      <c r="J173" s="102">
        <v>2008</v>
      </c>
      <c r="K173" s="102">
        <f t="shared" si="46"/>
        <v>3</v>
      </c>
      <c r="L173" s="102">
        <f t="shared" si="46"/>
        <v>4</v>
      </c>
      <c r="M173" s="102">
        <f t="shared" si="46"/>
        <v>3</v>
      </c>
      <c r="N173" s="102">
        <f t="shared" si="46"/>
        <v>4</v>
      </c>
      <c r="O173" s="102">
        <f t="shared" si="46"/>
        <v>4</v>
      </c>
      <c r="P173" s="121">
        <f t="shared" si="35"/>
        <v>3.6</v>
      </c>
      <c r="Q173" s="102">
        <v>0</v>
      </c>
      <c r="R173" s="102">
        <f t="shared" si="36"/>
        <v>1</v>
      </c>
      <c r="S173" s="138">
        <v>1.1151731735071E-2</v>
      </c>
      <c r="T173" s="102">
        <f t="shared" si="37"/>
        <v>1</v>
      </c>
      <c r="U173" s="139">
        <v>0</v>
      </c>
      <c r="V173" s="102">
        <f t="shared" si="38"/>
        <v>1</v>
      </c>
      <c r="W173" s="124">
        <v>0</v>
      </c>
      <c r="X173" s="102">
        <f>IF(AND(W173&gt;=W$200,W173&lt;W$201),1,IF(AND(W173&gt;=W$201,W173&lt;W$202),2,IF(AND(W173&gt;=W$202,W173&lt;W$203),3,IF(AND(W173&gt;=W$203,W173&lt;=W$204),4,"empty"))))</f>
        <v>2</v>
      </c>
      <c r="Y173" s="109">
        <v>99</v>
      </c>
      <c r="Z173" s="102">
        <f t="shared" si="39"/>
        <v>1</v>
      </c>
      <c r="AA173" s="125">
        <f t="shared" si="40"/>
        <v>28.799999999999997</v>
      </c>
      <c r="AB173" s="126" t="s">
        <v>580</v>
      </c>
      <c r="AC173" s="126">
        <v>1</v>
      </c>
      <c r="AD173" s="126">
        <v>4</v>
      </c>
      <c r="AE173" s="126">
        <v>99.978499921922463</v>
      </c>
      <c r="AF173" s="102">
        <f t="shared" si="49"/>
        <v>3</v>
      </c>
      <c r="AG173" s="127">
        <f t="shared" si="41"/>
        <v>8</v>
      </c>
      <c r="AH173" s="128">
        <f t="shared" si="42"/>
        <v>40.4</v>
      </c>
      <c r="AI173" s="108">
        <v>2040</v>
      </c>
      <c r="AJ173" s="108" t="str">
        <f t="shared" si="43"/>
        <v>late adopter</v>
      </c>
    </row>
    <row r="174" spans="1:36">
      <c r="A174" s="102" t="s">
        <v>191</v>
      </c>
      <c r="B174" s="120" t="s">
        <v>190</v>
      </c>
      <c r="C174" s="120" t="s">
        <v>92</v>
      </c>
      <c r="D174" s="102" t="s">
        <v>84</v>
      </c>
      <c r="E174" s="109">
        <v>1</v>
      </c>
      <c r="F174" s="102">
        <v>2000</v>
      </c>
      <c r="G174" s="102">
        <v>1997</v>
      </c>
      <c r="H174" s="102">
        <v>2010</v>
      </c>
      <c r="I174" s="102">
        <v>2006</v>
      </c>
      <c r="J174" s="102">
        <v>2020</v>
      </c>
      <c r="K174" s="102">
        <f t="shared" si="46"/>
        <v>3</v>
      </c>
      <c r="L174" s="102">
        <f t="shared" si="46"/>
        <v>3</v>
      </c>
      <c r="M174" s="102">
        <f t="shared" si="46"/>
        <v>3</v>
      </c>
      <c r="N174" s="102">
        <f t="shared" si="46"/>
        <v>4</v>
      </c>
      <c r="O174" s="102">
        <f t="shared" si="46"/>
        <v>1</v>
      </c>
      <c r="P174" s="121">
        <f t="shared" si="35"/>
        <v>2.8</v>
      </c>
      <c r="Q174" s="102">
        <v>0</v>
      </c>
      <c r="R174" s="102">
        <f t="shared" si="36"/>
        <v>1</v>
      </c>
      <c r="S174" s="138">
        <v>1.1175991143964101E-2</v>
      </c>
      <c r="T174" s="102">
        <f t="shared" si="37"/>
        <v>1</v>
      </c>
      <c r="U174" s="139">
        <v>0</v>
      </c>
      <c r="V174" s="102">
        <f t="shared" si="38"/>
        <v>1</v>
      </c>
      <c r="W174" s="124">
        <v>0</v>
      </c>
      <c r="X174" s="102">
        <f>IF(AND(W174&gt;=W$200,W174&lt;W$201),1,IF(AND(W174&gt;=W$201,W174&lt;W$202),2,IF(AND(W174&gt;=W$202,W174&lt;W$203),3,IF(AND(W174&gt;=W$203,W174&lt;=W$204),4,"empty"))))</f>
        <v>2</v>
      </c>
      <c r="Y174" s="109">
        <v>91</v>
      </c>
      <c r="Z174" s="102">
        <f t="shared" si="39"/>
        <v>3</v>
      </c>
      <c r="AA174" s="125">
        <f t="shared" si="40"/>
        <v>32.400000000000006</v>
      </c>
      <c r="AB174" s="126" t="s">
        <v>580</v>
      </c>
      <c r="AC174" s="126">
        <v>1</v>
      </c>
      <c r="AD174" s="126">
        <v>2</v>
      </c>
      <c r="AE174" s="126">
        <v>89.681219893132933</v>
      </c>
      <c r="AF174" s="102">
        <f t="shared" si="49"/>
        <v>2</v>
      </c>
      <c r="AG174" s="127">
        <f t="shared" si="41"/>
        <v>5</v>
      </c>
      <c r="AH174" s="128">
        <f t="shared" si="42"/>
        <v>40.200000000000003</v>
      </c>
      <c r="AI174" s="108">
        <v>2040</v>
      </c>
      <c r="AJ174" s="108" t="str">
        <f t="shared" si="43"/>
        <v>late adopter</v>
      </c>
    </row>
    <row r="175" spans="1:36">
      <c r="A175" s="102" t="s">
        <v>231</v>
      </c>
      <c r="B175" s="120" t="s">
        <v>230</v>
      </c>
      <c r="C175" s="120" t="s">
        <v>92</v>
      </c>
      <c r="D175" s="102" t="s">
        <v>84</v>
      </c>
      <c r="E175" s="109">
        <v>1</v>
      </c>
      <c r="F175" s="102">
        <v>2018</v>
      </c>
      <c r="G175" s="102">
        <v>1997</v>
      </c>
      <c r="H175" s="102">
        <v>2011</v>
      </c>
      <c r="I175" s="102">
        <v>2009</v>
      </c>
      <c r="J175" s="102">
        <v>2016</v>
      </c>
      <c r="K175" s="102">
        <f t="shared" si="46"/>
        <v>1</v>
      </c>
      <c r="L175" s="102">
        <f t="shared" si="46"/>
        <v>3</v>
      </c>
      <c r="M175" s="102">
        <f t="shared" si="46"/>
        <v>3</v>
      </c>
      <c r="N175" s="102">
        <f t="shared" si="46"/>
        <v>4</v>
      </c>
      <c r="O175" s="102">
        <f t="shared" si="46"/>
        <v>3</v>
      </c>
      <c r="P175" s="121">
        <f t="shared" si="35"/>
        <v>2.8</v>
      </c>
      <c r="Q175" s="102">
        <v>0</v>
      </c>
      <c r="R175" s="102">
        <f t="shared" si="36"/>
        <v>1</v>
      </c>
      <c r="S175" s="138">
        <v>1.52334196831775E-2</v>
      </c>
      <c r="T175" s="102">
        <f t="shared" si="37"/>
        <v>1</v>
      </c>
      <c r="U175" s="139">
        <v>0</v>
      </c>
      <c r="V175" s="102">
        <f t="shared" si="38"/>
        <v>1</v>
      </c>
      <c r="W175" s="124">
        <v>0</v>
      </c>
      <c r="X175" s="102">
        <f>IF(AND(W175&gt;=W$200,W175&lt;W$201),1,IF(AND(W175&gt;=W$201,W175&lt;W$202),2,IF(AND(W175&gt;=W$202,W175&lt;W$203),3,IF(AND(W175&gt;=W$203,W175&lt;=W$204),4,"empty"))))</f>
        <v>2</v>
      </c>
      <c r="Y175" s="109">
        <v>90</v>
      </c>
      <c r="Z175" s="102">
        <f t="shared" si="39"/>
        <v>3</v>
      </c>
      <c r="AA175" s="125">
        <f t="shared" si="40"/>
        <v>32.400000000000006</v>
      </c>
      <c r="AB175" s="126" t="s">
        <v>581</v>
      </c>
      <c r="AC175" s="126">
        <v>1</v>
      </c>
      <c r="AD175" s="126">
        <v>2</v>
      </c>
      <c r="AE175" s="126">
        <v>88.400419568366544</v>
      </c>
      <c r="AF175" s="102">
        <f t="shared" si="49"/>
        <v>2</v>
      </c>
      <c r="AG175" s="127">
        <f t="shared" si="41"/>
        <v>5</v>
      </c>
      <c r="AH175" s="128">
        <f t="shared" si="42"/>
        <v>40.200000000000003</v>
      </c>
      <c r="AI175" s="108">
        <v>2040</v>
      </c>
      <c r="AJ175" s="108" t="str">
        <f t="shared" si="43"/>
        <v>late adopter</v>
      </c>
    </row>
    <row r="176" spans="1:36">
      <c r="A176" s="102" t="s">
        <v>219</v>
      </c>
      <c r="B176" s="120" t="s">
        <v>218</v>
      </c>
      <c r="C176" s="120" t="s">
        <v>92</v>
      </c>
      <c r="D176" s="102" t="s">
        <v>80</v>
      </c>
      <c r="E176" s="109">
        <v>1</v>
      </c>
      <c r="F176" s="102">
        <v>2000</v>
      </c>
      <c r="G176" s="102">
        <v>1993</v>
      </c>
      <c r="H176" s="102" t="s">
        <v>566</v>
      </c>
      <c r="I176" s="102" t="s">
        <v>566</v>
      </c>
      <c r="J176" s="102">
        <v>2019</v>
      </c>
      <c r="K176" s="102">
        <f t="shared" si="46"/>
        <v>3</v>
      </c>
      <c r="L176" s="102">
        <f t="shared" si="46"/>
        <v>3</v>
      </c>
      <c r="M176" s="102">
        <f t="shared" si="46"/>
        <v>1</v>
      </c>
      <c r="N176" s="102">
        <f t="shared" si="46"/>
        <v>1</v>
      </c>
      <c r="O176" s="102">
        <f t="shared" si="46"/>
        <v>2</v>
      </c>
      <c r="P176" s="121">
        <f t="shared" si="35"/>
        <v>2</v>
      </c>
      <c r="Q176" s="102">
        <v>0</v>
      </c>
      <c r="R176" s="102">
        <f t="shared" si="36"/>
        <v>1</v>
      </c>
      <c r="S176" s="138">
        <v>3.6875935248934698E-2</v>
      </c>
      <c r="T176" s="102">
        <f t="shared" si="37"/>
        <v>1</v>
      </c>
      <c r="U176" s="139">
        <v>0</v>
      </c>
      <c r="V176" s="102">
        <f t="shared" si="38"/>
        <v>1</v>
      </c>
      <c r="W176" s="124">
        <v>0</v>
      </c>
      <c r="X176" s="102">
        <f>IF(AND(W176&gt;=W$200,W176&lt;W$201),1,IF(AND(W176&gt;=W$201,W176&lt;W$202),2,IF(AND(W176&gt;=W$202,W176&lt;W$203),3,IF(AND(W176&gt;=W$203,W176&lt;=W$204),4,"empty"))))</f>
        <v>2</v>
      </c>
      <c r="Y176" s="109">
        <v>87</v>
      </c>
      <c r="Z176" s="102">
        <f t="shared" si="39"/>
        <v>3</v>
      </c>
      <c r="AA176" s="125">
        <f t="shared" si="40"/>
        <v>30</v>
      </c>
      <c r="AB176" s="126" t="s">
        <v>580</v>
      </c>
      <c r="AC176" s="126">
        <v>1</v>
      </c>
      <c r="AD176" s="126">
        <v>3</v>
      </c>
      <c r="AE176" s="126">
        <v>100</v>
      </c>
      <c r="AF176" s="102">
        <f t="shared" si="49"/>
        <v>4</v>
      </c>
      <c r="AG176" s="127">
        <f t="shared" si="41"/>
        <v>8</v>
      </c>
      <c r="AH176" s="128">
        <f t="shared" si="42"/>
        <v>40</v>
      </c>
      <c r="AI176" s="108">
        <v>2040</v>
      </c>
      <c r="AJ176" s="108" t="str">
        <f t="shared" si="43"/>
        <v>late adopter</v>
      </c>
    </row>
    <row r="177" spans="1:36">
      <c r="A177" s="102" t="s">
        <v>184</v>
      </c>
      <c r="B177" s="120" t="s">
        <v>183</v>
      </c>
      <c r="C177" s="120" t="s">
        <v>92</v>
      </c>
      <c r="D177" s="102" t="s">
        <v>80</v>
      </c>
      <c r="E177" s="109">
        <v>2</v>
      </c>
      <c r="F177" s="102">
        <v>2018</v>
      </c>
      <c r="G177" s="102">
        <v>2004</v>
      </c>
      <c r="H177" s="102">
        <v>2013</v>
      </c>
      <c r="I177" s="102">
        <v>2012</v>
      </c>
      <c r="J177" s="102">
        <v>2017</v>
      </c>
      <c r="K177" s="102">
        <f t="shared" si="46"/>
        <v>1</v>
      </c>
      <c r="L177" s="102">
        <f t="shared" si="46"/>
        <v>2</v>
      </c>
      <c r="M177" s="102">
        <f t="shared" si="46"/>
        <v>2</v>
      </c>
      <c r="N177" s="102">
        <f t="shared" si="46"/>
        <v>3</v>
      </c>
      <c r="O177" s="102">
        <f t="shared" si="46"/>
        <v>2</v>
      </c>
      <c r="P177" s="121">
        <f t="shared" si="35"/>
        <v>2</v>
      </c>
      <c r="Q177" s="102">
        <v>0</v>
      </c>
      <c r="R177" s="102">
        <f t="shared" si="36"/>
        <v>1</v>
      </c>
      <c r="S177" s="138">
        <v>9.4654481886949193E-2</v>
      </c>
      <c r="T177" s="102">
        <f t="shared" si="37"/>
        <v>1</v>
      </c>
      <c r="U177" s="139">
        <v>0</v>
      </c>
      <c r="V177" s="102">
        <f t="shared" si="38"/>
        <v>1</v>
      </c>
      <c r="W177" s="124" t="s">
        <v>573</v>
      </c>
      <c r="X177" s="102">
        <v>1</v>
      </c>
      <c r="Y177" s="109">
        <v>67</v>
      </c>
      <c r="Z177" s="102">
        <f t="shared" si="39"/>
        <v>4</v>
      </c>
      <c r="AA177" s="125">
        <f t="shared" si="40"/>
        <v>30</v>
      </c>
      <c r="AB177" s="126" t="s">
        <v>580</v>
      </c>
      <c r="AC177" s="126">
        <v>1</v>
      </c>
      <c r="AD177" s="126">
        <v>3</v>
      </c>
      <c r="AE177" s="126">
        <v>100</v>
      </c>
      <c r="AF177" s="102">
        <f t="shared" si="49"/>
        <v>4</v>
      </c>
      <c r="AG177" s="127">
        <f t="shared" si="41"/>
        <v>8</v>
      </c>
      <c r="AH177" s="128">
        <f t="shared" si="42"/>
        <v>40</v>
      </c>
      <c r="AI177" s="108">
        <v>2040</v>
      </c>
      <c r="AJ177" s="108" t="str">
        <f t="shared" si="43"/>
        <v>late adopter</v>
      </c>
    </row>
    <row r="178" spans="1:36">
      <c r="A178" s="102" t="s">
        <v>122</v>
      </c>
      <c r="B178" s="120" t="s">
        <v>121</v>
      </c>
      <c r="C178" s="120" t="s">
        <v>110</v>
      </c>
      <c r="D178" s="102" t="s">
        <v>84</v>
      </c>
      <c r="E178" s="109">
        <v>2</v>
      </c>
      <c r="F178" s="102">
        <v>2006</v>
      </c>
      <c r="G178" s="102">
        <v>2006</v>
      </c>
      <c r="H178" s="102">
        <v>2019</v>
      </c>
      <c r="I178" s="102" t="s">
        <v>566</v>
      </c>
      <c r="J178" s="102">
        <v>2009</v>
      </c>
      <c r="K178" s="102">
        <f t="shared" si="46"/>
        <v>2</v>
      </c>
      <c r="L178" s="102">
        <f t="shared" si="46"/>
        <v>2</v>
      </c>
      <c r="M178" s="102">
        <f t="shared" si="46"/>
        <v>1</v>
      </c>
      <c r="N178" s="102">
        <f t="shared" si="46"/>
        <v>1</v>
      </c>
      <c r="O178" s="102">
        <f t="shared" si="46"/>
        <v>4</v>
      </c>
      <c r="P178" s="121">
        <f t="shared" si="35"/>
        <v>2</v>
      </c>
      <c r="Q178" s="102">
        <v>0</v>
      </c>
      <c r="R178" s="102">
        <f t="shared" si="36"/>
        <v>1</v>
      </c>
      <c r="S178" s="138">
        <v>6.5048677522722702</v>
      </c>
      <c r="T178" s="102">
        <f t="shared" si="37"/>
        <v>2</v>
      </c>
      <c r="U178" s="139">
        <v>0.43542697285890097</v>
      </c>
      <c r="V178" s="102">
        <f t="shared" si="38"/>
        <v>3</v>
      </c>
      <c r="W178" s="124">
        <v>0</v>
      </c>
      <c r="X178" s="102">
        <f t="shared" ref="X178:X193" si="50">IF(AND(W178&gt;=W$200,W178&lt;W$201),1,IF(AND(W178&gt;=W$201,W178&lt;W$202),2,IF(AND(W178&gt;=W$202,W178&lt;W$203),3,IF(AND(W178&gt;=W$203,W178&lt;=W$204),4,"empty"))))</f>
        <v>2</v>
      </c>
      <c r="Y178" s="109">
        <v>98</v>
      </c>
      <c r="Z178" s="102">
        <f t="shared" si="39"/>
        <v>1</v>
      </c>
      <c r="AA178" s="125">
        <f t="shared" si="40"/>
        <v>33</v>
      </c>
      <c r="AB178" s="126" t="s">
        <v>581</v>
      </c>
      <c r="AC178" s="126">
        <v>1</v>
      </c>
      <c r="AD178" s="126">
        <v>2</v>
      </c>
      <c r="AE178" s="126">
        <v>40.004785859959128</v>
      </c>
      <c r="AF178" s="102">
        <f t="shared" si="49"/>
        <v>2</v>
      </c>
      <c r="AG178" s="127">
        <f t="shared" si="41"/>
        <v>5</v>
      </c>
      <c r="AH178" s="128">
        <f t="shared" si="42"/>
        <v>40</v>
      </c>
      <c r="AI178" s="108">
        <v>2040</v>
      </c>
      <c r="AJ178" s="108" t="str">
        <f t="shared" si="43"/>
        <v>late adopter</v>
      </c>
    </row>
    <row r="179" spans="1:36">
      <c r="A179" s="102" t="s">
        <v>425</v>
      </c>
      <c r="B179" s="120" t="s">
        <v>424</v>
      </c>
      <c r="C179" s="120" t="s">
        <v>79</v>
      </c>
      <c r="D179" s="102" t="s">
        <v>75</v>
      </c>
      <c r="E179" s="109">
        <v>2</v>
      </c>
      <c r="F179" s="102">
        <v>1986</v>
      </c>
      <c r="G179" s="102">
        <v>2009</v>
      </c>
      <c r="H179" s="102">
        <v>2022</v>
      </c>
      <c r="I179" s="102">
        <v>2015</v>
      </c>
      <c r="J179" s="102" t="s">
        <v>566</v>
      </c>
      <c r="K179" s="102">
        <f t="shared" si="46"/>
        <v>4</v>
      </c>
      <c r="L179" s="102">
        <f t="shared" si="46"/>
        <v>2</v>
      </c>
      <c r="M179" s="102">
        <f t="shared" si="46"/>
        <v>1</v>
      </c>
      <c r="N179" s="102">
        <f t="shared" si="46"/>
        <v>2</v>
      </c>
      <c r="O179" s="102">
        <f t="shared" si="46"/>
        <v>1</v>
      </c>
      <c r="P179" s="121">
        <f t="shared" si="35"/>
        <v>2</v>
      </c>
      <c r="Q179" s="102">
        <v>7</v>
      </c>
      <c r="R179" s="102">
        <f t="shared" si="36"/>
        <v>2</v>
      </c>
      <c r="S179" s="138">
        <v>0.126931916421097</v>
      </c>
      <c r="T179" s="102">
        <f t="shared" si="37"/>
        <v>1</v>
      </c>
      <c r="U179" s="139">
        <v>4.0066306882184897E-2</v>
      </c>
      <c r="V179" s="102">
        <f t="shared" si="38"/>
        <v>2</v>
      </c>
      <c r="W179" s="124">
        <v>4.0074E-6</v>
      </c>
      <c r="X179" s="102">
        <f t="shared" si="50"/>
        <v>3</v>
      </c>
      <c r="Y179" s="109">
        <v>99</v>
      </c>
      <c r="Z179" s="102">
        <f t="shared" si="39"/>
        <v>1</v>
      </c>
      <c r="AA179" s="125">
        <f t="shared" si="40"/>
        <v>33</v>
      </c>
      <c r="AB179" s="126" t="s">
        <v>583</v>
      </c>
      <c r="AC179" s="126">
        <v>3</v>
      </c>
      <c r="AD179" s="126">
        <v>1</v>
      </c>
      <c r="AE179" s="126">
        <v>17.177622387623074</v>
      </c>
      <c r="AF179" s="102">
        <f t="shared" si="49"/>
        <v>1</v>
      </c>
      <c r="AG179" s="127">
        <f t="shared" si="41"/>
        <v>5</v>
      </c>
      <c r="AH179" s="128">
        <f t="shared" si="42"/>
        <v>40</v>
      </c>
      <c r="AI179" s="108">
        <v>2040</v>
      </c>
      <c r="AJ179" s="108" t="str">
        <f t="shared" si="43"/>
        <v>late adopter</v>
      </c>
    </row>
    <row r="180" spans="1:36">
      <c r="A180" s="102" t="s">
        <v>435</v>
      </c>
      <c r="B180" s="120" t="s">
        <v>434</v>
      </c>
      <c r="C180" s="120" t="s">
        <v>92</v>
      </c>
      <c r="D180" s="102" t="s">
        <v>87</v>
      </c>
      <c r="E180" s="109">
        <v>1</v>
      </c>
      <c r="F180" s="102">
        <v>2001</v>
      </c>
      <c r="G180" s="102">
        <v>1984</v>
      </c>
      <c r="H180" s="102">
        <v>2012</v>
      </c>
      <c r="I180" s="102" t="s">
        <v>566</v>
      </c>
      <c r="J180" s="102">
        <v>2012</v>
      </c>
      <c r="K180" s="102">
        <f t="shared" si="46"/>
        <v>2</v>
      </c>
      <c r="L180" s="102">
        <f t="shared" si="46"/>
        <v>4</v>
      </c>
      <c r="M180" s="102">
        <f t="shared" si="46"/>
        <v>2</v>
      </c>
      <c r="N180" s="102">
        <f t="shared" si="46"/>
        <v>1</v>
      </c>
      <c r="O180" s="102">
        <f t="shared" si="46"/>
        <v>3</v>
      </c>
      <c r="P180" s="121">
        <f t="shared" si="35"/>
        <v>2.4</v>
      </c>
      <c r="Q180" s="102">
        <v>0</v>
      </c>
      <c r="R180" s="102">
        <f t="shared" si="36"/>
        <v>1</v>
      </c>
      <c r="S180" s="138">
        <v>3.5484787879060203E-2</v>
      </c>
      <c r="T180" s="102">
        <f t="shared" si="37"/>
        <v>1</v>
      </c>
      <c r="U180" s="139">
        <v>0</v>
      </c>
      <c r="V180" s="102">
        <f t="shared" si="38"/>
        <v>1</v>
      </c>
      <c r="W180" s="124">
        <v>0</v>
      </c>
      <c r="X180" s="102">
        <f t="shared" si="50"/>
        <v>2</v>
      </c>
      <c r="Y180" s="109">
        <v>95</v>
      </c>
      <c r="Z180" s="102">
        <f t="shared" si="39"/>
        <v>2</v>
      </c>
      <c r="AA180" s="125">
        <f t="shared" si="40"/>
        <v>28.200000000000003</v>
      </c>
      <c r="AB180" s="126" t="s">
        <v>580</v>
      </c>
      <c r="AC180" s="126">
        <v>1</v>
      </c>
      <c r="AD180" s="126">
        <v>4</v>
      </c>
      <c r="AE180" s="126">
        <v>100</v>
      </c>
      <c r="AF180" s="102">
        <f t="shared" si="49"/>
        <v>4</v>
      </c>
      <c r="AG180" s="127">
        <f t="shared" si="41"/>
        <v>9</v>
      </c>
      <c r="AH180" s="128">
        <f t="shared" si="42"/>
        <v>39.6</v>
      </c>
      <c r="AI180" s="108">
        <v>2041</v>
      </c>
      <c r="AJ180" s="108" t="str">
        <f t="shared" si="43"/>
        <v>late adopter</v>
      </c>
    </row>
    <row r="181" spans="1:36">
      <c r="A181" s="102" t="s">
        <v>353</v>
      </c>
      <c r="B181" s="120" t="s">
        <v>352</v>
      </c>
      <c r="C181" s="120" t="s">
        <v>92</v>
      </c>
      <c r="D181" s="102" t="s">
        <v>80</v>
      </c>
      <c r="E181" s="109">
        <v>1</v>
      </c>
      <c r="F181" s="102">
        <v>2004</v>
      </c>
      <c r="G181" s="102">
        <v>2002</v>
      </c>
      <c r="H181" s="102">
        <v>2012</v>
      </c>
      <c r="I181" s="102">
        <v>2010</v>
      </c>
      <c r="J181" s="102">
        <v>2013</v>
      </c>
      <c r="K181" s="102">
        <f t="shared" si="46"/>
        <v>2</v>
      </c>
      <c r="L181" s="102">
        <f t="shared" si="46"/>
        <v>2</v>
      </c>
      <c r="M181" s="102">
        <f t="shared" si="46"/>
        <v>2</v>
      </c>
      <c r="N181" s="102">
        <f t="shared" si="46"/>
        <v>4</v>
      </c>
      <c r="O181" s="102">
        <f t="shared" si="46"/>
        <v>3</v>
      </c>
      <c r="P181" s="121">
        <f t="shared" si="35"/>
        <v>2.6</v>
      </c>
      <c r="Q181" s="102">
        <v>0</v>
      </c>
      <c r="R181" s="102">
        <f t="shared" si="36"/>
        <v>1</v>
      </c>
      <c r="S181" s="138">
        <v>1.3556921366156299E-2</v>
      </c>
      <c r="T181" s="102">
        <f t="shared" si="37"/>
        <v>1</v>
      </c>
      <c r="U181" s="139">
        <v>0</v>
      </c>
      <c r="V181" s="102">
        <f t="shared" si="38"/>
        <v>1</v>
      </c>
      <c r="W181" s="124">
        <v>0</v>
      </c>
      <c r="X181" s="102">
        <f t="shared" si="50"/>
        <v>2</v>
      </c>
      <c r="Y181" s="109">
        <v>96</v>
      </c>
      <c r="Z181" s="102">
        <f t="shared" si="39"/>
        <v>2</v>
      </c>
      <c r="AA181" s="125">
        <f t="shared" si="40"/>
        <v>28.799999999999997</v>
      </c>
      <c r="AB181" s="126" t="s">
        <v>580</v>
      </c>
      <c r="AC181" s="126">
        <v>1</v>
      </c>
      <c r="AD181" s="126">
        <v>3</v>
      </c>
      <c r="AE181" s="126">
        <v>100</v>
      </c>
      <c r="AF181" s="102">
        <f t="shared" si="49"/>
        <v>4</v>
      </c>
      <c r="AG181" s="127">
        <f t="shared" si="41"/>
        <v>8</v>
      </c>
      <c r="AH181" s="128">
        <f t="shared" si="42"/>
        <v>39.4</v>
      </c>
      <c r="AI181" s="108">
        <v>2041</v>
      </c>
      <c r="AJ181" s="108" t="str">
        <f t="shared" si="43"/>
        <v>late adopter</v>
      </c>
    </row>
    <row r="182" spans="1:36">
      <c r="A182" s="102" t="s">
        <v>221</v>
      </c>
      <c r="B182" s="120" t="s">
        <v>220</v>
      </c>
      <c r="C182" s="120" t="s">
        <v>92</v>
      </c>
      <c r="D182" s="102" t="s">
        <v>80</v>
      </c>
      <c r="E182" s="109">
        <v>1</v>
      </c>
      <c r="F182" s="102">
        <v>2016</v>
      </c>
      <c r="G182" s="102">
        <v>2001</v>
      </c>
      <c r="H182" s="102">
        <v>2012</v>
      </c>
      <c r="I182" s="102">
        <v>2010</v>
      </c>
      <c r="J182" s="102">
        <v>2018</v>
      </c>
      <c r="K182" s="102">
        <f t="shared" si="46"/>
        <v>1</v>
      </c>
      <c r="L182" s="102">
        <f t="shared" si="46"/>
        <v>2</v>
      </c>
      <c r="M182" s="102">
        <f t="shared" si="46"/>
        <v>2</v>
      </c>
      <c r="N182" s="102">
        <f t="shared" si="46"/>
        <v>4</v>
      </c>
      <c r="O182" s="102">
        <f t="shared" si="46"/>
        <v>2</v>
      </c>
      <c r="P182" s="121">
        <f t="shared" si="35"/>
        <v>2.2000000000000002</v>
      </c>
      <c r="Q182" s="102">
        <v>0</v>
      </c>
      <c r="R182" s="102">
        <f t="shared" si="36"/>
        <v>1</v>
      </c>
      <c r="S182" s="138">
        <v>1.29060283636049E-2</v>
      </c>
      <c r="T182" s="102">
        <f t="shared" si="37"/>
        <v>1</v>
      </c>
      <c r="U182" s="139">
        <v>0</v>
      </c>
      <c r="V182" s="102">
        <f t="shared" si="38"/>
        <v>1</v>
      </c>
      <c r="W182" s="124">
        <v>0</v>
      </c>
      <c r="X182" s="102">
        <f t="shared" si="50"/>
        <v>2</v>
      </c>
      <c r="Y182" s="109">
        <v>95</v>
      </c>
      <c r="Z182" s="102">
        <f t="shared" si="39"/>
        <v>2</v>
      </c>
      <c r="AA182" s="125">
        <f t="shared" si="40"/>
        <v>27.599999999999998</v>
      </c>
      <c r="AB182" s="126" t="s">
        <v>580</v>
      </c>
      <c r="AC182" s="126">
        <v>1</v>
      </c>
      <c r="AD182" s="126">
        <v>3</v>
      </c>
      <c r="AE182" s="126">
        <v>100</v>
      </c>
      <c r="AF182" s="102">
        <f t="shared" si="49"/>
        <v>4</v>
      </c>
      <c r="AG182" s="127">
        <f t="shared" si="41"/>
        <v>8</v>
      </c>
      <c r="AH182" s="128">
        <f t="shared" si="42"/>
        <v>37.799999999999997</v>
      </c>
      <c r="AI182" s="108">
        <v>2041</v>
      </c>
      <c r="AJ182" s="108" t="str">
        <f t="shared" si="43"/>
        <v>late adopter</v>
      </c>
    </row>
    <row r="183" spans="1:36">
      <c r="A183" s="102" t="s">
        <v>309</v>
      </c>
      <c r="B183" s="120" t="s">
        <v>308</v>
      </c>
      <c r="C183" s="120" t="s">
        <v>79</v>
      </c>
      <c r="D183" s="102" t="s">
        <v>84</v>
      </c>
      <c r="E183" s="109">
        <v>1</v>
      </c>
      <c r="F183" s="102">
        <v>2002</v>
      </c>
      <c r="G183" s="102">
        <v>2002</v>
      </c>
      <c r="H183" s="102" t="s">
        <v>566</v>
      </c>
      <c r="I183" s="102" t="s">
        <v>566</v>
      </c>
      <c r="J183" s="102" t="s">
        <v>566</v>
      </c>
      <c r="K183" s="102">
        <f t="shared" si="46"/>
        <v>2</v>
      </c>
      <c r="L183" s="102">
        <f t="shared" si="46"/>
        <v>2</v>
      </c>
      <c r="M183" s="102">
        <f t="shared" si="46"/>
        <v>1</v>
      </c>
      <c r="N183" s="102">
        <f t="shared" si="46"/>
        <v>1</v>
      </c>
      <c r="O183" s="102">
        <f t="shared" si="46"/>
        <v>1</v>
      </c>
      <c r="P183" s="121">
        <f t="shared" si="35"/>
        <v>1.4</v>
      </c>
      <c r="Q183" s="102">
        <v>89</v>
      </c>
      <c r="R183" s="102">
        <f t="shared" si="36"/>
        <v>3</v>
      </c>
      <c r="S183" s="138">
        <v>2.4596639745940299</v>
      </c>
      <c r="T183" s="102">
        <f t="shared" si="37"/>
        <v>2</v>
      </c>
      <c r="U183" s="139">
        <v>4.3313238940434796E-3</v>
      </c>
      <c r="V183" s="102">
        <f t="shared" si="38"/>
        <v>1</v>
      </c>
      <c r="W183" s="124">
        <v>0</v>
      </c>
      <c r="X183" s="102">
        <f t="shared" si="50"/>
        <v>2</v>
      </c>
      <c r="Y183" s="109">
        <v>99</v>
      </c>
      <c r="Z183" s="102">
        <f t="shared" si="39"/>
        <v>1</v>
      </c>
      <c r="AA183" s="125">
        <f t="shared" si="40"/>
        <v>31.200000000000003</v>
      </c>
      <c r="AB183" s="109" t="s">
        <v>581</v>
      </c>
      <c r="AC183" s="126">
        <v>1</v>
      </c>
      <c r="AD183" s="126">
        <v>2</v>
      </c>
      <c r="AE183" s="126">
        <v>92.691934586042223</v>
      </c>
      <c r="AF183" s="102">
        <f t="shared" si="49"/>
        <v>2</v>
      </c>
      <c r="AG183" s="127">
        <f t="shared" si="41"/>
        <v>5</v>
      </c>
      <c r="AH183" s="128">
        <f t="shared" si="42"/>
        <v>37.6</v>
      </c>
      <c r="AI183" s="108">
        <v>2041</v>
      </c>
      <c r="AJ183" s="108" t="str">
        <f t="shared" si="43"/>
        <v>late adopter</v>
      </c>
    </row>
    <row r="184" spans="1:36">
      <c r="A184" s="102" t="s">
        <v>227</v>
      </c>
      <c r="B184" s="120" t="s">
        <v>226</v>
      </c>
      <c r="C184" s="120" t="s">
        <v>92</v>
      </c>
      <c r="D184" s="102" t="s">
        <v>80</v>
      </c>
      <c r="E184" s="109">
        <v>2</v>
      </c>
      <c r="F184" s="102">
        <v>2001</v>
      </c>
      <c r="G184" s="102">
        <v>1995</v>
      </c>
      <c r="H184" s="102">
        <v>2011</v>
      </c>
      <c r="I184" s="102">
        <v>2010</v>
      </c>
      <c r="J184" s="102">
        <v>2017</v>
      </c>
      <c r="K184" s="102">
        <f t="shared" si="46"/>
        <v>2</v>
      </c>
      <c r="L184" s="102">
        <f t="shared" si="46"/>
        <v>3</v>
      </c>
      <c r="M184" s="102">
        <f t="shared" si="46"/>
        <v>3</v>
      </c>
      <c r="N184" s="102">
        <f t="shared" si="46"/>
        <v>4</v>
      </c>
      <c r="O184" s="102">
        <f t="shared" si="46"/>
        <v>2</v>
      </c>
      <c r="P184" s="121">
        <f t="shared" si="35"/>
        <v>2.8</v>
      </c>
      <c r="Q184" s="102">
        <v>0</v>
      </c>
      <c r="R184" s="102">
        <f t="shared" si="36"/>
        <v>1</v>
      </c>
      <c r="S184" s="138">
        <v>4.96958166360328E-2</v>
      </c>
      <c r="T184" s="102">
        <f t="shared" si="37"/>
        <v>1</v>
      </c>
      <c r="U184" s="139">
        <v>0</v>
      </c>
      <c r="V184" s="102">
        <f t="shared" si="38"/>
        <v>1</v>
      </c>
      <c r="W184" s="124">
        <v>0</v>
      </c>
      <c r="X184" s="102">
        <f t="shared" si="50"/>
        <v>2</v>
      </c>
      <c r="Y184" s="109">
        <v>97</v>
      </c>
      <c r="Z184" s="102">
        <f t="shared" si="39"/>
        <v>1</v>
      </c>
      <c r="AA184" s="125">
        <f t="shared" si="40"/>
        <v>26.400000000000002</v>
      </c>
      <c r="AB184" s="126" t="s">
        <v>581</v>
      </c>
      <c r="AC184" s="126">
        <v>1</v>
      </c>
      <c r="AD184" s="126">
        <v>3</v>
      </c>
      <c r="AE184" s="126">
        <v>100</v>
      </c>
      <c r="AF184" s="102">
        <f t="shared" si="49"/>
        <v>4</v>
      </c>
      <c r="AG184" s="127">
        <f t="shared" si="41"/>
        <v>8</v>
      </c>
      <c r="AH184" s="128">
        <f t="shared" si="42"/>
        <v>37.200000000000003</v>
      </c>
      <c r="AI184" s="108">
        <v>2041</v>
      </c>
      <c r="AJ184" s="108" t="str">
        <f t="shared" si="43"/>
        <v>late adopter</v>
      </c>
    </row>
    <row r="185" spans="1:36">
      <c r="A185" s="102" t="s">
        <v>187</v>
      </c>
      <c r="B185" s="120" t="s">
        <v>186</v>
      </c>
      <c r="C185" s="120" t="s">
        <v>92</v>
      </c>
      <c r="D185" s="102" t="s">
        <v>80</v>
      </c>
      <c r="E185" s="109">
        <v>2</v>
      </c>
      <c r="F185" s="102">
        <v>2009</v>
      </c>
      <c r="G185" s="102">
        <v>1997</v>
      </c>
      <c r="H185" s="102">
        <v>2010</v>
      </c>
      <c r="I185" s="102">
        <v>2007</v>
      </c>
      <c r="J185" s="102">
        <v>2014</v>
      </c>
      <c r="K185" s="102">
        <f t="shared" si="46"/>
        <v>2</v>
      </c>
      <c r="L185" s="102">
        <f t="shared" si="46"/>
        <v>3</v>
      </c>
      <c r="M185" s="102">
        <f t="shared" si="46"/>
        <v>3</v>
      </c>
      <c r="N185" s="102">
        <f t="shared" si="46"/>
        <v>4</v>
      </c>
      <c r="O185" s="102">
        <f t="shared" si="46"/>
        <v>3</v>
      </c>
      <c r="P185" s="121">
        <f t="shared" si="35"/>
        <v>3</v>
      </c>
      <c r="Q185" s="102">
        <v>9.0000000000000002E-6</v>
      </c>
      <c r="R185" s="102">
        <f t="shared" si="36"/>
        <v>1</v>
      </c>
      <c r="S185" s="138">
        <v>9.0602181098293501E-4</v>
      </c>
      <c r="T185" s="102">
        <f t="shared" si="37"/>
        <v>1</v>
      </c>
      <c r="U185" s="139">
        <v>0</v>
      </c>
      <c r="V185" s="102">
        <f t="shared" si="38"/>
        <v>1</v>
      </c>
      <c r="W185" s="124">
        <v>0</v>
      </c>
      <c r="X185" s="102">
        <f t="shared" si="50"/>
        <v>2</v>
      </c>
      <c r="Y185" s="109">
        <v>98</v>
      </c>
      <c r="Z185" s="102">
        <f t="shared" si="39"/>
        <v>1</v>
      </c>
      <c r="AA185" s="125">
        <f t="shared" si="40"/>
        <v>27</v>
      </c>
      <c r="AB185" s="126" t="s">
        <v>580</v>
      </c>
      <c r="AC185" s="126">
        <v>1</v>
      </c>
      <c r="AD185" s="126">
        <v>3</v>
      </c>
      <c r="AE185" s="126">
        <v>99.076176784919156</v>
      </c>
      <c r="AF185" s="102">
        <f t="shared" si="49"/>
        <v>3</v>
      </c>
      <c r="AG185" s="127">
        <f t="shared" si="41"/>
        <v>7</v>
      </c>
      <c r="AH185" s="128">
        <f t="shared" si="42"/>
        <v>37</v>
      </c>
      <c r="AI185" s="108">
        <v>2041</v>
      </c>
      <c r="AJ185" s="108" t="str">
        <f t="shared" si="43"/>
        <v>late adopter</v>
      </c>
    </row>
    <row r="186" spans="1:36">
      <c r="A186" s="102" t="s">
        <v>184</v>
      </c>
      <c r="B186" s="120" t="s">
        <v>185</v>
      </c>
      <c r="C186" s="120" t="s">
        <v>92</v>
      </c>
      <c r="D186" s="102" t="s">
        <v>80</v>
      </c>
      <c r="E186" s="109">
        <v>2</v>
      </c>
      <c r="F186" s="102">
        <v>2018</v>
      </c>
      <c r="G186" s="102">
        <v>2004</v>
      </c>
      <c r="H186" s="102">
        <v>2013</v>
      </c>
      <c r="I186" s="102">
        <v>2012</v>
      </c>
      <c r="J186" s="102">
        <v>2017</v>
      </c>
      <c r="K186" s="102">
        <f t="shared" si="46"/>
        <v>1</v>
      </c>
      <c r="L186" s="102">
        <f t="shared" si="46"/>
        <v>2</v>
      </c>
      <c r="M186" s="102">
        <f t="shared" si="46"/>
        <v>2</v>
      </c>
      <c r="N186" s="102">
        <f t="shared" si="46"/>
        <v>3</v>
      </c>
      <c r="O186" s="102">
        <f t="shared" si="46"/>
        <v>2</v>
      </c>
      <c r="P186" s="121">
        <f t="shared" si="35"/>
        <v>2</v>
      </c>
      <c r="Q186" s="102">
        <v>0</v>
      </c>
      <c r="R186" s="102">
        <f t="shared" si="36"/>
        <v>1</v>
      </c>
      <c r="S186" s="138">
        <v>9.4654481886949193E-2</v>
      </c>
      <c r="T186" s="102">
        <f t="shared" si="37"/>
        <v>1</v>
      </c>
      <c r="U186" s="139">
        <v>0</v>
      </c>
      <c r="V186" s="102">
        <f t="shared" si="38"/>
        <v>1</v>
      </c>
      <c r="W186" s="124">
        <v>0</v>
      </c>
      <c r="X186" s="102">
        <f t="shared" si="50"/>
        <v>2</v>
      </c>
      <c r="Y186" s="109">
        <v>96</v>
      </c>
      <c r="Z186" s="102">
        <f t="shared" si="39"/>
        <v>2</v>
      </c>
      <c r="AA186" s="125">
        <f t="shared" si="40"/>
        <v>27</v>
      </c>
      <c r="AB186" s="126" t="s">
        <v>580</v>
      </c>
      <c r="AC186" s="126">
        <v>1</v>
      </c>
      <c r="AD186" s="126">
        <v>3</v>
      </c>
      <c r="AE186" s="126">
        <v>100</v>
      </c>
      <c r="AF186" s="102">
        <f t="shared" si="49"/>
        <v>4</v>
      </c>
      <c r="AG186" s="127">
        <f t="shared" si="41"/>
        <v>8</v>
      </c>
      <c r="AH186" s="128">
        <f t="shared" si="42"/>
        <v>37</v>
      </c>
      <c r="AI186" s="108">
        <v>2041</v>
      </c>
      <c r="AJ186" s="108" t="str">
        <f t="shared" si="43"/>
        <v>late adopter</v>
      </c>
    </row>
    <row r="187" spans="1:36">
      <c r="A187" s="102" t="s">
        <v>375</v>
      </c>
      <c r="B187" s="120" t="s">
        <v>374</v>
      </c>
      <c r="C187" s="120" t="s">
        <v>92</v>
      </c>
      <c r="D187" s="102" t="s">
        <v>80</v>
      </c>
      <c r="E187" s="109">
        <v>1</v>
      </c>
      <c r="F187" s="102">
        <v>1997</v>
      </c>
      <c r="G187" s="102">
        <v>1991</v>
      </c>
      <c r="H187" s="102" t="s">
        <v>566</v>
      </c>
      <c r="I187" s="102" t="s">
        <v>566</v>
      </c>
      <c r="J187" s="102">
        <v>2017</v>
      </c>
      <c r="K187" s="102">
        <f t="shared" si="46"/>
        <v>3</v>
      </c>
      <c r="L187" s="102">
        <f t="shared" si="46"/>
        <v>3</v>
      </c>
      <c r="M187" s="102">
        <f t="shared" si="46"/>
        <v>1</v>
      </c>
      <c r="N187" s="102">
        <f t="shared" si="46"/>
        <v>1</v>
      </c>
      <c r="O187" s="102">
        <f t="shared" si="46"/>
        <v>2</v>
      </c>
      <c r="P187" s="121">
        <f t="shared" si="35"/>
        <v>2</v>
      </c>
      <c r="Q187" s="102">
        <v>9.0000000000000002E-6</v>
      </c>
      <c r="R187" s="102">
        <f t="shared" si="36"/>
        <v>1</v>
      </c>
      <c r="S187" s="138">
        <v>3.7228984450859502E-2</v>
      </c>
      <c r="T187" s="102">
        <f t="shared" si="37"/>
        <v>1</v>
      </c>
      <c r="U187" s="139">
        <v>0</v>
      </c>
      <c r="V187" s="102">
        <f t="shared" si="38"/>
        <v>1</v>
      </c>
      <c r="W187" s="124">
        <v>0</v>
      </c>
      <c r="X187" s="102">
        <f t="shared" si="50"/>
        <v>2</v>
      </c>
      <c r="Y187" s="109">
        <v>93</v>
      </c>
      <c r="Z187" s="102">
        <f t="shared" si="39"/>
        <v>2</v>
      </c>
      <c r="AA187" s="125">
        <f t="shared" si="40"/>
        <v>27</v>
      </c>
      <c r="AB187" s="126" t="s">
        <v>580</v>
      </c>
      <c r="AC187" s="126">
        <v>1</v>
      </c>
      <c r="AD187" s="126">
        <v>3</v>
      </c>
      <c r="AE187" s="126">
        <v>100</v>
      </c>
      <c r="AF187" s="102">
        <f t="shared" si="49"/>
        <v>4</v>
      </c>
      <c r="AG187" s="127">
        <f t="shared" si="41"/>
        <v>8</v>
      </c>
      <c r="AH187" s="128">
        <f t="shared" si="42"/>
        <v>37</v>
      </c>
      <c r="AI187" s="108">
        <v>2041</v>
      </c>
      <c r="AJ187" s="108" t="str">
        <f t="shared" si="43"/>
        <v>late adopter</v>
      </c>
    </row>
    <row r="188" spans="1:36">
      <c r="A188" s="102" t="s">
        <v>333</v>
      </c>
      <c r="B188" s="120" t="s">
        <v>332</v>
      </c>
      <c r="C188" s="120" t="s">
        <v>92</v>
      </c>
      <c r="D188" s="102" t="s">
        <v>84</v>
      </c>
      <c r="E188" s="109">
        <v>2</v>
      </c>
      <c r="F188" s="102">
        <v>2017</v>
      </c>
      <c r="G188" s="102">
        <v>1980</v>
      </c>
      <c r="H188" s="102">
        <v>2010</v>
      </c>
      <c r="I188" s="102">
        <v>2006</v>
      </c>
      <c r="J188" s="102" t="s">
        <v>566</v>
      </c>
      <c r="K188" s="102">
        <f t="shared" si="46"/>
        <v>1</v>
      </c>
      <c r="L188" s="102">
        <f t="shared" si="46"/>
        <v>4</v>
      </c>
      <c r="M188" s="102">
        <f t="shared" si="46"/>
        <v>3</v>
      </c>
      <c r="N188" s="102">
        <f t="shared" si="46"/>
        <v>4</v>
      </c>
      <c r="O188" s="102">
        <f t="shared" si="46"/>
        <v>1</v>
      </c>
      <c r="P188" s="121">
        <f t="shared" si="35"/>
        <v>2.6</v>
      </c>
      <c r="Q188" s="102">
        <v>0</v>
      </c>
      <c r="R188" s="102">
        <f t="shared" si="36"/>
        <v>1</v>
      </c>
      <c r="S188" s="138">
        <v>1.21524533714724E-2</v>
      </c>
      <c r="T188" s="102">
        <f t="shared" si="37"/>
        <v>1</v>
      </c>
      <c r="U188" s="139">
        <v>0</v>
      </c>
      <c r="V188" s="102">
        <f t="shared" si="38"/>
        <v>1</v>
      </c>
      <c r="W188" s="124">
        <v>0</v>
      </c>
      <c r="X188" s="102">
        <f t="shared" si="50"/>
        <v>2</v>
      </c>
      <c r="Y188" s="109">
        <v>93</v>
      </c>
      <c r="Z188" s="102">
        <f t="shared" si="39"/>
        <v>2</v>
      </c>
      <c r="AA188" s="125">
        <f t="shared" si="40"/>
        <v>28.799999999999997</v>
      </c>
      <c r="AB188" s="126" t="s">
        <v>581</v>
      </c>
      <c r="AC188" s="126">
        <v>1</v>
      </c>
      <c r="AD188" s="126">
        <v>2</v>
      </c>
      <c r="AE188" s="126">
        <v>58.367934902173488</v>
      </c>
      <c r="AF188" s="102">
        <f t="shared" si="49"/>
        <v>2</v>
      </c>
      <c r="AG188" s="127">
        <f t="shared" si="41"/>
        <v>5</v>
      </c>
      <c r="AH188" s="128">
        <f t="shared" si="42"/>
        <v>36.4</v>
      </c>
      <c r="AI188" s="108">
        <v>2041</v>
      </c>
      <c r="AJ188" s="108" t="str">
        <f t="shared" si="43"/>
        <v>late adopter</v>
      </c>
    </row>
    <row r="189" spans="1:36">
      <c r="A189" s="102" t="s">
        <v>251</v>
      </c>
      <c r="B189" s="120" t="s">
        <v>250</v>
      </c>
      <c r="C189" s="120" t="s">
        <v>92</v>
      </c>
      <c r="D189" s="102" t="s">
        <v>80</v>
      </c>
      <c r="E189" s="109">
        <v>1</v>
      </c>
      <c r="F189" s="102">
        <v>2002</v>
      </c>
      <c r="G189" s="102">
        <v>1993</v>
      </c>
      <c r="H189" s="102" t="s">
        <v>566</v>
      </c>
      <c r="I189" s="102" t="s">
        <v>566</v>
      </c>
      <c r="J189" s="102">
        <v>2017</v>
      </c>
      <c r="K189" s="102">
        <f t="shared" si="46"/>
        <v>2</v>
      </c>
      <c r="L189" s="102">
        <f t="shared" si="46"/>
        <v>3</v>
      </c>
      <c r="M189" s="102">
        <f t="shared" si="46"/>
        <v>1</v>
      </c>
      <c r="N189" s="102">
        <f t="shared" si="46"/>
        <v>1</v>
      </c>
      <c r="O189" s="102">
        <f t="shared" si="46"/>
        <v>2</v>
      </c>
      <c r="P189" s="121">
        <f t="shared" si="35"/>
        <v>1.8</v>
      </c>
      <c r="Q189" s="102">
        <v>0</v>
      </c>
      <c r="R189" s="102">
        <f t="shared" si="36"/>
        <v>1</v>
      </c>
      <c r="S189" s="138">
        <v>3.6290511899061198E-2</v>
      </c>
      <c r="T189" s="102">
        <f t="shared" si="37"/>
        <v>1</v>
      </c>
      <c r="U189" s="139">
        <v>0</v>
      </c>
      <c r="V189" s="102">
        <f t="shared" si="38"/>
        <v>1</v>
      </c>
      <c r="W189" s="124">
        <v>0</v>
      </c>
      <c r="X189" s="102">
        <f t="shared" si="50"/>
        <v>2</v>
      </c>
      <c r="Y189" s="109">
        <v>96</v>
      </c>
      <c r="Z189" s="102">
        <f t="shared" si="39"/>
        <v>2</v>
      </c>
      <c r="AA189" s="125">
        <f t="shared" si="40"/>
        <v>26.400000000000002</v>
      </c>
      <c r="AB189" s="126" t="s">
        <v>580</v>
      </c>
      <c r="AC189" s="126">
        <v>1</v>
      </c>
      <c r="AD189" s="126">
        <v>3</v>
      </c>
      <c r="AE189" s="126">
        <v>100</v>
      </c>
      <c r="AF189" s="102">
        <f t="shared" si="49"/>
        <v>4</v>
      </c>
      <c r="AG189" s="127">
        <f t="shared" si="41"/>
        <v>8</v>
      </c>
      <c r="AH189" s="128">
        <f t="shared" si="42"/>
        <v>36.200000000000003</v>
      </c>
      <c r="AI189" s="108">
        <v>2041</v>
      </c>
      <c r="AJ189" s="108" t="str">
        <f t="shared" si="43"/>
        <v>late adopter</v>
      </c>
    </row>
    <row r="190" spans="1:36">
      <c r="A190" s="102" t="s">
        <v>229</v>
      </c>
      <c r="B190" s="120" t="s">
        <v>228</v>
      </c>
      <c r="C190" s="120" t="s">
        <v>92</v>
      </c>
      <c r="D190" s="102" t="s">
        <v>75</v>
      </c>
      <c r="E190" s="109">
        <v>2</v>
      </c>
      <c r="F190" s="102">
        <v>2016</v>
      </c>
      <c r="G190" s="102">
        <v>2008</v>
      </c>
      <c r="H190" s="102">
        <v>2018</v>
      </c>
      <c r="I190" s="102">
        <v>2014</v>
      </c>
      <c r="J190" s="102" t="s">
        <v>566</v>
      </c>
      <c r="K190" s="102">
        <f t="shared" si="46"/>
        <v>1</v>
      </c>
      <c r="L190" s="102">
        <f t="shared" si="46"/>
        <v>2</v>
      </c>
      <c r="M190" s="102">
        <f t="shared" si="46"/>
        <v>1</v>
      </c>
      <c r="N190" s="102">
        <f t="shared" si="46"/>
        <v>2</v>
      </c>
      <c r="O190" s="102">
        <f t="shared" si="46"/>
        <v>1</v>
      </c>
      <c r="P190" s="121">
        <f t="shared" si="35"/>
        <v>1.4</v>
      </c>
      <c r="Q190" s="102">
        <v>0</v>
      </c>
      <c r="R190" s="102">
        <f t="shared" si="36"/>
        <v>1</v>
      </c>
      <c r="S190" s="138">
        <v>7.0335700036831095E-2</v>
      </c>
      <c r="T190" s="102">
        <f t="shared" si="37"/>
        <v>1</v>
      </c>
      <c r="U190" s="139">
        <v>0</v>
      </c>
      <c r="V190" s="102">
        <f t="shared" si="38"/>
        <v>1</v>
      </c>
      <c r="W190" s="124">
        <v>0</v>
      </c>
      <c r="X190" s="102">
        <f t="shared" si="50"/>
        <v>2</v>
      </c>
      <c r="Y190" s="109">
        <v>85</v>
      </c>
      <c r="Z190" s="102">
        <f t="shared" si="39"/>
        <v>3</v>
      </c>
      <c r="AA190" s="125">
        <f t="shared" si="40"/>
        <v>28.200000000000003</v>
      </c>
      <c r="AB190" s="126" t="s">
        <v>579</v>
      </c>
      <c r="AC190" s="126">
        <v>4</v>
      </c>
      <c r="AD190" s="126">
        <v>1</v>
      </c>
      <c r="AE190" s="126" t="s">
        <v>582</v>
      </c>
      <c r="AF190" s="102">
        <v>1</v>
      </c>
      <c r="AG190" s="127">
        <f t="shared" si="41"/>
        <v>6</v>
      </c>
      <c r="AH190" s="128">
        <f t="shared" si="42"/>
        <v>35.6</v>
      </c>
      <c r="AI190" s="108">
        <v>2041</v>
      </c>
      <c r="AJ190" s="108" t="str">
        <f t="shared" si="43"/>
        <v>late adopter</v>
      </c>
    </row>
    <row r="191" spans="1:36">
      <c r="A191" s="102" t="s">
        <v>315</v>
      </c>
      <c r="B191" s="120" t="s">
        <v>314</v>
      </c>
      <c r="C191" s="120" t="s">
        <v>79</v>
      </c>
      <c r="D191" s="102" t="s">
        <v>80</v>
      </c>
      <c r="E191" s="109">
        <v>1</v>
      </c>
      <c r="F191" s="102">
        <v>1994</v>
      </c>
      <c r="G191" s="102">
        <v>1994</v>
      </c>
      <c r="H191" s="102" t="s">
        <v>566</v>
      </c>
      <c r="I191" s="102" t="s">
        <v>566</v>
      </c>
      <c r="J191" s="102" t="s">
        <v>566</v>
      </c>
      <c r="K191" s="102">
        <f t="shared" si="46"/>
        <v>3</v>
      </c>
      <c r="L191" s="102">
        <f t="shared" si="46"/>
        <v>3</v>
      </c>
      <c r="M191" s="102">
        <f t="shared" si="46"/>
        <v>1</v>
      </c>
      <c r="N191" s="102">
        <f t="shared" si="46"/>
        <v>1</v>
      </c>
      <c r="O191" s="102">
        <f t="shared" si="46"/>
        <v>1</v>
      </c>
      <c r="P191" s="121">
        <f t="shared" si="35"/>
        <v>1.8</v>
      </c>
      <c r="Q191" s="102">
        <v>0</v>
      </c>
      <c r="R191" s="102">
        <f t="shared" si="36"/>
        <v>1</v>
      </c>
      <c r="S191" s="138">
        <v>0.27071336337242602</v>
      </c>
      <c r="T191" s="102">
        <f t="shared" si="37"/>
        <v>1</v>
      </c>
      <c r="U191" s="139">
        <v>0</v>
      </c>
      <c r="V191" s="102">
        <f t="shared" si="38"/>
        <v>1</v>
      </c>
      <c r="W191" s="124">
        <v>0</v>
      </c>
      <c r="X191" s="102">
        <f t="shared" si="50"/>
        <v>2</v>
      </c>
      <c r="Y191" s="109">
        <v>95</v>
      </c>
      <c r="Z191" s="102">
        <f t="shared" si="39"/>
        <v>2</v>
      </c>
      <c r="AA191" s="125">
        <f t="shared" si="40"/>
        <v>26.400000000000002</v>
      </c>
      <c r="AB191" s="126" t="s">
        <v>580</v>
      </c>
      <c r="AC191" s="126">
        <v>1</v>
      </c>
      <c r="AD191" s="126">
        <v>3</v>
      </c>
      <c r="AE191" s="126">
        <v>100</v>
      </c>
      <c r="AF191" s="102">
        <v>3</v>
      </c>
      <c r="AG191" s="127">
        <f t="shared" si="41"/>
        <v>7</v>
      </c>
      <c r="AH191" s="128">
        <f t="shared" si="42"/>
        <v>35.200000000000003</v>
      </c>
      <c r="AI191" s="108">
        <v>2041</v>
      </c>
      <c r="AJ191" s="108" t="str">
        <f t="shared" si="43"/>
        <v>late adopter</v>
      </c>
    </row>
    <row r="192" spans="1:36">
      <c r="A192" s="102" t="s">
        <v>441</v>
      </c>
      <c r="B192" s="120" t="s">
        <v>440</v>
      </c>
      <c r="C192" s="120" t="s">
        <v>79</v>
      </c>
      <c r="D192" s="102" t="s">
        <v>80</v>
      </c>
      <c r="E192" s="109">
        <v>1</v>
      </c>
      <c r="F192" s="102">
        <v>1988</v>
      </c>
      <c r="G192" s="102">
        <v>2007</v>
      </c>
      <c r="H192" s="102">
        <v>2019</v>
      </c>
      <c r="I192" s="102">
        <v>2019</v>
      </c>
      <c r="J192" s="102">
        <v>2016</v>
      </c>
      <c r="K192" s="102">
        <f t="shared" si="46"/>
        <v>4</v>
      </c>
      <c r="L192" s="102">
        <f t="shared" si="46"/>
        <v>2</v>
      </c>
      <c r="M192" s="102">
        <f t="shared" si="46"/>
        <v>1</v>
      </c>
      <c r="N192" s="102">
        <f t="shared" si="46"/>
        <v>1</v>
      </c>
      <c r="O192" s="102">
        <f t="shared" si="46"/>
        <v>3</v>
      </c>
      <c r="P192" s="121">
        <f t="shared" si="35"/>
        <v>2.2000000000000002</v>
      </c>
      <c r="Q192" s="102">
        <v>0</v>
      </c>
      <c r="R192" s="102">
        <f t="shared" si="36"/>
        <v>1</v>
      </c>
      <c r="S192" s="138">
        <v>0.279352406495609</v>
      </c>
      <c r="T192" s="102">
        <f t="shared" si="37"/>
        <v>1</v>
      </c>
      <c r="U192" s="139">
        <v>0</v>
      </c>
      <c r="V192" s="102">
        <f t="shared" si="38"/>
        <v>1</v>
      </c>
      <c r="W192" s="124">
        <v>0</v>
      </c>
      <c r="X192" s="102">
        <f t="shared" si="50"/>
        <v>2</v>
      </c>
      <c r="Y192" s="109">
        <v>97</v>
      </c>
      <c r="Z192" s="102">
        <f t="shared" si="39"/>
        <v>1</v>
      </c>
      <c r="AA192" s="125">
        <f t="shared" si="40"/>
        <v>24.599999999999998</v>
      </c>
      <c r="AB192" s="126" t="s">
        <v>580</v>
      </c>
      <c r="AC192" s="126">
        <v>1</v>
      </c>
      <c r="AD192" s="126">
        <v>3</v>
      </c>
      <c r="AE192" s="126">
        <v>100</v>
      </c>
      <c r="AF192" s="102">
        <f>IF(AND(AE192&gt;=AE$200,AE192&lt;AE$201),1,IF(AND(AE192&gt;=AE$201,AE192&lt;AE$202),2,IF(AND(AE192&gt;=AE$202,AE192&lt;AE$203),3,IF(AND(AE192&gt;=AE$203,AE192&lt;=AE$204),4,"empty"))))</f>
        <v>4</v>
      </c>
      <c r="AG192" s="127">
        <f t="shared" si="41"/>
        <v>8</v>
      </c>
      <c r="AH192" s="128">
        <f t="shared" si="42"/>
        <v>34.799999999999997</v>
      </c>
      <c r="AI192" s="108">
        <v>2041</v>
      </c>
      <c r="AJ192" s="108" t="str">
        <f t="shared" si="43"/>
        <v>late adopter</v>
      </c>
    </row>
    <row r="193" spans="1:36">
      <c r="A193" s="102" t="s">
        <v>124</v>
      </c>
      <c r="B193" s="120" t="s">
        <v>123</v>
      </c>
      <c r="C193" s="120" t="s">
        <v>92</v>
      </c>
      <c r="D193" s="102" t="s">
        <v>84</v>
      </c>
      <c r="E193" s="109">
        <v>2</v>
      </c>
      <c r="F193" s="102">
        <v>2018</v>
      </c>
      <c r="G193" s="102">
        <v>2000</v>
      </c>
      <c r="H193" s="102">
        <v>2014</v>
      </c>
      <c r="I193" s="102">
        <v>2008</v>
      </c>
      <c r="J193" s="102">
        <v>2017</v>
      </c>
      <c r="K193" s="102">
        <f t="shared" si="46"/>
        <v>1</v>
      </c>
      <c r="L193" s="102">
        <f t="shared" si="46"/>
        <v>2</v>
      </c>
      <c r="M193" s="102">
        <f t="shared" si="46"/>
        <v>2</v>
      </c>
      <c r="N193" s="102">
        <f t="shared" si="46"/>
        <v>4</v>
      </c>
      <c r="O193" s="102">
        <f t="shared" si="46"/>
        <v>2</v>
      </c>
      <c r="P193" s="121">
        <f t="shared" si="35"/>
        <v>2.2000000000000002</v>
      </c>
      <c r="Q193" s="102">
        <v>0</v>
      </c>
      <c r="R193" s="102">
        <f t="shared" si="36"/>
        <v>1</v>
      </c>
      <c r="S193" s="138">
        <v>1.0893085968866701E-3</v>
      </c>
      <c r="T193" s="102">
        <f t="shared" si="37"/>
        <v>1</v>
      </c>
      <c r="U193" s="139">
        <v>0</v>
      </c>
      <c r="V193" s="102">
        <f t="shared" si="38"/>
        <v>1</v>
      </c>
      <c r="W193" s="124">
        <v>0</v>
      </c>
      <c r="X193" s="102">
        <f t="shared" si="50"/>
        <v>2</v>
      </c>
      <c r="Y193" s="109">
        <v>93</v>
      </c>
      <c r="Z193" s="102">
        <f t="shared" si="39"/>
        <v>2</v>
      </c>
      <c r="AA193" s="125">
        <f t="shared" si="40"/>
        <v>27.599999999999998</v>
      </c>
      <c r="AB193" s="126" t="s">
        <v>581</v>
      </c>
      <c r="AC193" s="126">
        <v>1</v>
      </c>
      <c r="AD193" s="126">
        <v>2</v>
      </c>
      <c r="AE193" s="126">
        <v>74.70494575276301</v>
      </c>
      <c r="AF193" s="102">
        <f>IF(AND(AE193&gt;=AE$200,AE193&lt;AE$201),1,IF(AND(AE193&gt;=AE$201,AE193&lt;AE$202),2,IF(AND(AE193&gt;=AE$202,AE193&lt;AE$203),3,IF(AND(AE193&gt;=AE$203,AE193&lt;=AE$204),4,"empty"))))</f>
        <v>2</v>
      </c>
      <c r="AG193" s="127">
        <f t="shared" si="41"/>
        <v>5</v>
      </c>
      <c r="AH193" s="128">
        <f t="shared" si="42"/>
        <v>34.799999999999997</v>
      </c>
      <c r="AI193" s="108">
        <v>2041</v>
      </c>
      <c r="AJ193" s="108" t="str">
        <f t="shared" si="43"/>
        <v>late adopter</v>
      </c>
    </row>
    <row r="194" spans="1:36">
      <c r="A194" s="102" t="s">
        <v>311</v>
      </c>
      <c r="B194" s="120" t="s">
        <v>310</v>
      </c>
      <c r="C194" s="120" t="s">
        <v>79</v>
      </c>
      <c r="D194" s="102" t="s">
        <v>87</v>
      </c>
      <c r="E194" s="109">
        <v>1</v>
      </c>
      <c r="F194" s="102">
        <v>1996</v>
      </c>
      <c r="G194" s="102">
        <v>1970</v>
      </c>
      <c r="H194" s="102" t="s">
        <v>566</v>
      </c>
      <c r="I194" s="102" t="s">
        <v>566</v>
      </c>
      <c r="J194" s="102">
        <v>2006</v>
      </c>
      <c r="K194" s="102">
        <f t="shared" si="46"/>
        <v>3</v>
      </c>
      <c r="L194" s="102">
        <f t="shared" si="46"/>
        <v>4</v>
      </c>
      <c r="M194" s="102">
        <f t="shared" si="46"/>
        <v>1</v>
      </c>
      <c r="N194" s="102">
        <f t="shared" si="46"/>
        <v>1</v>
      </c>
      <c r="O194" s="102">
        <f t="shared" si="46"/>
        <v>4</v>
      </c>
      <c r="P194" s="121">
        <f t="shared" si="35"/>
        <v>2.6</v>
      </c>
      <c r="Q194" s="102">
        <v>9.0000000000000002E-6</v>
      </c>
      <c r="R194" s="102">
        <f t="shared" si="36"/>
        <v>1</v>
      </c>
      <c r="S194" s="138">
        <v>8.2623014129150393E-2</v>
      </c>
      <c r="T194" s="102">
        <f t="shared" si="37"/>
        <v>1</v>
      </c>
      <c r="U194" s="139">
        <v>0</v>
      </c>
      <c r="V194" s="102">
        <f t="shared" si="38"/>
        <v>1</v>
      </c>
      <c r="W194" s="124" t="s">
        <v>573</v>
      </c>
      <c r="X194" s="102">
        <v>1</v>
      </c>
      <c r="Y194" s="109">
        <v>99</v>
      </c>
      <c r="Z194" s="102">
        <f t="shared" si="39"/>
        <v>1</v>
      </c>
      <c r="AA194" s="125">
        <f t="shared" si="40"/>
        <v>22.799999999999997</v>
      </c>
      <c r="AB194" s="126" t="s">
        <v>580</v>
      </c>
      <c r="AC194" s="126">
        <v>1</v>
      </c>
      <c r="AD194" s="126">
        <v>4</v>
      </c>
      <c r="AE194" s="126" t="s">
        <v>582</v>
      </c>
      <c r="AF194" s="126">
        <v>4</v>
      </c>
      <c r="AG194" s="127">
        <f t="shared" si="41"/>
        <v>9</v>
      </c>
      <c r="AH194" s="128">
        <f t="shared" si="42"/>
        <v>34.4</v>
      </c>
      <c r="AI194" s="108">
        <v>2041</v>
      </c>
      <c r="AJ194" s="108" t="str">
        <f t="shared" si="43"/>
        <v>late adopter</v>
      </c>
    </row>
    <row r="195" spans="1:36">
      <c r="A195" s="102" t="s">
        <v>118</v>
      </c>
      <c r="B195" s="120" t="s">
        <v>117</v>
      </c>
      <c r="C195" s="120" t="s">
        <v>92</v>
      </c>
      <c r="D195" s="102" t="s">
        <v>80</v>
      </c>
      <c r="E195" s="109">
        <v>1</v>
      </c>
      <c r="F195" s="102">
        <v>2005</v>
      </c>
      <c r="G195" s="102">
        <v>1996</v>
      </c>
      <c r="H195" s="102" t="s">
        <v>566</v>
      </c>
      <c r="I195" s="102" t="s">
        <v>566</v>
      </c>
      <c r="J195" s="102">
        <v>2016</v>
      </c>
      <c r="K195" s="102">
        <f t="shared" si="46"/>
        <v>2</v>
      </c>
      <c r="L195" s="102">
        <f t="shared" si="46"/>
        <v>3</v>
      </c>
      <c r="M195" s="102">
        <f t="shared" si="46"/>
        <v>1</v>
      </c>
      <c r="N195" s="102">
        <f t="shared" si="46"/>
        <v>1</v>
      </c>
      <c r="O195" s="102">
        <f t="shared" si="46"/>
        <v>3</v>
      </c>
      <c r="P195" s="121">
        <f t="shared" si="35"/>
        <v>2</v>
      </c>
      <c r="Q195" s="102">
        <v>0</v>
      </c>
      <c r="R195" s="102">
        <f t="shared" si="36"/>
        <v>1</v>
      </c>
      <c r="S195" s="138">
        <v>5.3432643562584203E-2</v>
      </c>
      <c r="T195" s="102">
        <f t="shared" si="37"/>
        <v>1</v>
      </c>
      <c r="U195" s="139">
        <v>0</v>
      </c>
      <c r="V195" s="102">
        <f t="shared" si="38"/>
        <v>1</v>
      </c>
      <c r="W195" s="124">
        <v>0</v>
      </c>
      <c r="X195" s="102">
        <f>IF(AND(W195&gt;=W$200,W195&lt;W$201),1,IF(AND(W195&gt;=W$201,W195&lt;W$202),2,IF(AND(W195&gt;=W$202,W195&lt;W$203),3,IF(AND(W195&gt;=W$203,W195&lt;=W$204),4,"empty"))))</f>
        <v>2</v>
      </c>
      <c r="Y195" s="109">
        <v>99</v>
      </c>
      <c r="Z195" s="102">
        <f t="shared" si="39"/>
        <v>1</v>
      </c>
      <c r="AA195" s="125">
        <f t="shared" si="40"/>
        <v>24</v>
      </c>
      <c r="AB195" s="126" t="s">
        <v>580</v>
      </c>
      <c r="AC195" s="126">
        <v>1</v>
      </c>
      <c r="AD195" s="126">
        <v>3</v>
      </c>
      <c r="AE195" s="126">
        <v>100</v>
      </c>
      <c r="AF195" s="102">
        <f>IF(AND(AE195&gt;=AE$200,AE195&lt;AE$201),1,IF(AND(AE195&gt;=AE$201,AE195&lt;AE$202),2,IF(AND(AE195&gt;=AE$202,AE195&lt;AE$203),3,IF(AND(AE195&gt;=AE$203,AE195&lt;=AE$204),4,"empty"))))</f>
        <v>4</v>
      </c>
      <c r="AG195" s="127">
        <f t="shared" si="41"/>
        <v>8</v>
      </c>
      <c r="AH195" s="128">
        <f t="shared" si="42"/>
        <v>34</v>
      </c>
      <c r="AI195" s="108">
        <v>2041</v>
      </c>
      <c r="AJ195" s="108" t="str">
        <f t="shared" si="43"/>
        <v>late adopter</v>
      </c>
    </row>
    <row r="196" spans="1:36">
      <c r="A196" s="102" t="s">
        <v>413</v>
      </c>
      <c r="B196" s="120" t="s">
        <v>412</v>
      </c>
      <c r="C196" s="120" t="s">
        <v>92</v>
      </c>
      <c r="D196" s="102" t="s">
        <v>80</v>
      </c>
      <c r="E196" s="109">
        <v>1</v>
      </c>
      <c r="F196" s="102">
        <v>2005</v>
      </c>
      <c r="G196" s="102">
        <v>1993</v>
      </c>
      <c r="H196" s="102" t="s">
        <v>566</v>
      </c>
      <c r="I196" s="102" t="s">
        <v>566</v>
      </c>
      <c r="J196" s="102">
        <v>2013</v>
      </c>
      <c r="K196" s="102">
        <f t="shared" si="46"/>
        <v>2</v>
      </c>
      <c r="L196" s="102">
        <f t="shared" si="46"/>
        <v>3</v>
      </c>
      <c r="M196" s="102">
        <f t="shared" si="46"/>
        <v>1</v>
      </c>
      <c r="N196" s="102">
        <f t="shared" si="46"/>
        <v>1</v>
      </c>
      <c r="O196" s="102">
        <f t="shared" si="46"/>
        <v>3</v>
      </c>
      <c r="P196" s="121">
        <f t="shared" ref="P196:P197" si="51">AVERAGE(K196:O196)</f>
        <v>2</v>
      </c>
      <c r="Q196" s="102">
        <v>0</v>
      </c>
      <c r="R196" s="102">
        <f t="shared" ref="R196:R197" si="52">IF(AND(Q196&gt;=Q$200,Q196&lt;Q$201),1,IF(AND(Q196&gt;=Q$201,Q196&lt;Q$202),2,IF(AND(Q196&gt;=Q$202,Q196&lt;Q$203),3,IF(AND(Q196&gt;=Q$203,Q196&lt;=Q$204),4,"empty"))))</f>
        <v>1</v>
      </c>
      <c r="S196" s="138">
        <v>4.7722780240083203E-2</v>
      </c>
      <c r="T196" s="102">
        <f t="shared" ref="T196:T197" si="53">IF(AND(S196&gt;=S$200,S196&lt;S$201),1,IF(AND(S196&gt;=S$201,S196&lt;S$202),2,IF(AND(S196&gt;=S$202,S196&lt;S$203),3,IF(AND(S196&gt;=S$203,S196&lt;=S$204),4,"empty"))))</f>
        <v>1</v>
      </c>
      <c r="U196" s="139">
        <v>0</v>
      </c>
      <c r="V196" s="102">
        <f t="shared" ref="V196:V197" si="54">IF(AND(U196&gt;=U$200,U196&lt;U$201),1,IF(AND(U196&gt;=U$201,U196&lt;U$202),2,IF(AND(U196&gt;=U$202,U196&lt;U$203),3,IF(AND(U196&gt;=U$203,U196&lt;=U$204),4,"empty"))))</f>
        <v>1</v>
      </c>
      <c r="W196" s="124">
        <v>0</v>
      </c>
      <c r="X196" s="102">
        <f>IF(AND(W196&gt;=W$200,W196&lt;W$201),1,IF(AND(W196&gt;=W$201,W196&lt;W$202),2,IF(AND(W196&gt;=W$202,W196&lt;W$203),3,IF(AND(W196&gt;=W$203,W196&lt;=W$204),4,"empty"))))</f>
        <v>2</v>
      </c>
      <c r="Y196" s="109">
        <v>99</v>
      </c>
      <c r="Z196" s="102">
        <f t="shared" ref="Z196:Z197" si="55">IF(AND(Y196&gt;=Y$200,Y196&lt;Y$201),4,IF(AND(Y196&gt;=Y$201,Y196&lt;Y$202),3,IF(AND(Y196&gt;=Y$202,Y196&lt;Y$203),2,IF(AND(Y196&gt;=Y$203,Y196&lt;=Y$204),1,"empty"))))</f>
        <v>1</v>
      </c>
      <c r="AA196" s="125">
        <f t="shared" ref="AA196:AA197" si="56">(V196+T196+R196+P196+X196+Z196)*$AA$2</f>
        <v>24</v>
      </c>
      <c r="AB196" s="126" t="s">
        <v>580</v>
      </c>
      <c r="AC196" s="126">
        <v>1</v>
      </c>
      <c r="AD196" s="126">
        <v>3</v>
      </c>
      <c r="AE196" s="126">
        <v>100</v>
      </c>
      <c r="AF196" s="102">
        <f>IF(AND(AE196&gt;=AE$200,AE196&lt;AE$201),1,IF(AND(AE196&gt;=AE$201,AE196&lt;AE$202),2,IF(AND(AE196&gt;=AE$202,AE196&lt;AE$203),3,IF(AND(AE196&gt;=AE$203,AE196&lt;=AE$204),4,"empty"))))</f>
        <v>4</v>
      </c>
      <c r="AG196" s="127">
        <f t="shared" ref="AG196:AG197" si="57">SUM(AF196,AD196,AC196)</f>
        <v>8</v>
      </c>
      <c r="AH196" s="128">
        <f t="shared" ref="AH196:AH197" si="58">AA196+P196+AG196</f>
        <v>34</v>
      </c>
      <c r="AI196" s="108">
        <v>2042</v>
      </c>
      <c r="AJ196" s="108" t="str">
        <f t="shared" ref="AJ196:AJ197" si="59">IF(AI196&lt;2034,"early adopter",IF(AI196&gt;2037,"late adopter","mid adopter"))</f>
        <v>late adopter</v>
      </c>
    </row>
    <row r="197" spans="1:36">
      <c r="A197" s="102" t="s">
        <v>91</v>
      </c>
      <c r="B197" s="120" t="s">
        <v>90</v>
      </c>
      <c r="C197" s="120" t="s">
        <v>92</v>
      </c>
      <c r="D197" s="102" t="s">
        <v>87</v>
      </c>
      <c r="E197" s="109">
        <v>1</v>
      </c>
      <c r="F197" s="102">
        <v>1997</v>
      </c>
      <c r="G197" s="102">
        <v>1988</v>
      </c>
      <c r="H197" s="102" t="s">
        <v>566</v>
      </c>
      <c r="I197" s="102" t="s">
        <v>566</v>
      </c>
      <c r="J197" s="102">
        <v>2018</v>
      </c>
      <c r="K197" s="102">
        <f t="shared" si="46"/>
        <v>3</v>
      </c>
      <c r="L197" s="102">
        <f t="shared" si="46"/>
        <v>3</v>
      </c>
      <c r="M197" s="102">
        <f t="shared" si="46"/>
        <v>1</v>
      </c>
      <c r="N197" s="102">
        <f t="shared" si="46"/>
        <v>1</v>
      </c>
      <c r="O197" s="102">
        <f t="shared" si="46"/>
        <v>2</v>
      </c>
      <c r="P197" s="121">
        <f t="shared" si="51"/>
        <v>2</v>
      </c>
      <c r="Q197" s="102">
        <v>0</v>
      </c>
      <c r="R197" s="102">
        <f t="shared" si="52"/>
        <v>1</v>
      </c>
      <c r="S197" s="138">
        <v>3.19259182940956E-2</v>
      </c>
      <c r="T197" s="102">
        <f t="shared" si="53"/>
        <v>1</v>
      </c>
      <c r="U197" s="139">
        <v>0</v>
      </c>
      <c r="V197" s="102">
        <f t="shared" si="54"/>
        <v>1</v>
      </c>
      <c r="W197" s="124" t="s">
        <v>573</v>
      </c>
      <c r="X197" s="102">
        <v>1</v>
      </c>
      <c r="Y197" s="109">
        <v>98</v>
      </c>
      <c r="Z197" s="102">
        <f t="shared" si="55"/>
        <v>1</v>
      </c>
      <c r="AA197" s="125">
        <f t="shared" si="56"/>
        <v>21</v>
      </c>
      <c r="AB197" s="126" t="s">
        <v>580</v>
      </c>
      <c r="AC197" s="126">
        <v>1</v>
      </c>
      <c r="AD197" s="126">
        <v>4</v>
      </c>
      <c r="AE197" s="126" t="s">
        <v>582</v>
      </c>
      <c r="AF197" s="126">
        <v>4</v>
      </c>
      <c r="AG197" s="127">
        <f t="shared" si="57"/>
        <v>9</v>
      </c>
      <c r="AH197" s="128">
        <f t="shared" si="58"/>
        <v>32</v>
      </c>
      <c r="AI197" s="108">
        <v>2042</v>
      </c>
      <c r="AJ197" s="108" t="str">
        <f t="shared" si="59"/>
        <v>late adopter</v>
      </c>
    </row>
    <row r="198" spans="1:36">
      <c r="X198" s="102"/>
      <c r="Y198" s="102"/>
      <c r="Z198" s="102"/>
    </row>
    <row r="199" spans="1:36">
      <c r="E199" s="130" t="s">
        <v>609</v>
      </c>
      <c r="X199" s="102"/>
      <c r="Y199" s="102"/>
      <c r="Z199" s="102"/>
    </row>
    <row r="200" spans="1:36">
      <c r="E200" s="130" t="s">
        <v>610</v>
      </c>
      <c r="F200" s="140">
        <f t="shared" ref="F200:J200" si="60">QUARTILE(F$4:F$197,0)</f>
        <v>1968</v>
      </c>
      <c r="G200" s="140">
        <f t="shared" si="60"/>
        <v>1969</v>
      </c>
      <c r="H200" s="140">
        <f t="shared" si="60"/>
        <v>2000</v>
      </c>
      <c r="I200" s="140">
        <f t="shared" si="60"/>
        <v>2006</v>
      </c>
      <c r="J200" s="140">
        <f t="shared" si="60"/>
        <v>2006</v>
      </c>
      <c r="P200" s="121">
        <f t="shared" ref="P200" si="61">QUARTILE(P$4:P$197,0)</f>
        <v>1</v>
      </c>
      <c r="Q200" s="132">
        <v>0</v>
      </c>
      <c r="R200" s="102">
        <f>COUNTIFS(R$4:R$197,1)</f>
        <v>45</v>
      </c>
      <c r="S200" s="132">
        <v>9.0602181098293501E-4</v>
      </c>
      <c r="T200" s="137"/>
      <c r="U200" s="132">
        <v>0</v>
      </c>
      <c r="W200" s="135">
        <f t="shared" ref="W200" si="62">QUARTILE(W$4:W$197,0)</f>
        <v>0</v>
      </c>
      <c r="X200" s="102"/>
      <c r="Y200" s="132">
        <f>QUARTILE(Y$4:Y$197,0)</f>
        <v>37</v>
      </c>
      <c r="Z200" s="132"/>
      <c r="AA200" s="136"/>
      <c r="AE200" s="137">
        <f t="shared" ref="AE200" si="63">QUARTILE(AE$4:AE$197,0)</f>
        <v>2.3076923076923079</v>
      </c>
      <c r="AF200" s="137"/>
      <c r="AH200" s="108">
        <f>_xlfn.PERCENTILE.EXC($AH$4:$AH$197,0.33)</f>
        <v>48.67</v>
      </c>
      <c r="AJ200" s="108" t="s">
        <v>611</v>
      </c>
    </row>
    <row r="201" spans="1:36">
      <c r="E201" s="130" t="s">
        <v>612</v>
      </c>
      <c r="F201" s="140">
        <f t="shared" ref="F201:J201" si="64">QUARTILE(F$4:F$197,1)</f>
        <v>1992</v>
      </c>
      <c r="G201" s="140">
        <f t="shared" si="64"/>
        <v>1986.5</v>
      </c>
      <c r="H201" s="140">
        <f t="shared" si="64"/>
        <v>2009</v>
      </c>
      <c r="I201" s="140">
        <f t="shared" si="64"/>
        <v>2011.25</v>
      </c>
      <c r="J201" s="140">
        <f t="shared" si="64"/>
        <v>2011</v>
      </c>
      <c r="P201" s="121">
        <f t="shared" ref="P201" si="65">QUARTILE(P$4:P$197,1)</f>
        <v>1.6</v>
      </c>
      <c r="Q201" s="132">
        <v>1</v>
      </c>
      <c r="R201" s="102">
        <f>COUNTIFS(R$4:R$197,2)</f>
        <v>52</v>
      </c>
      <c r="S201" s="132">
        <v>0.52617595712449927</v>
      </c>
      <c r="T201" s="137"/>
      <c r="U201" s="132">
        <v>6.4537045773212379E-3</v>
      </c>
      <c r="W201" s="135">
        <f t="shared" ref="W201" si="66">QUARTILE(W$4:W$197,1)</f>
        <v>0</v>
      </c>
      <c r="X201" s="102"/>
      <c r="Y201" s="132">
        <f>QUARTILE(Y$4:Y$197,1)</f>
        <v>84.25</v>
      </c>
      <c r="Z201" s="132"/>
      <c r="AA201" s="136"/>
      <c r="AE201" s="137">
        <f t="shared" ref="AE201" si="67">QUARTILE(AE$4:AE$197,1)</f>
        <v>23.171508951882064</v>
      </c>
      <c r="AF201" s="137"/>
      <c r="AH201" s="108">
        <f>_xlfn.PERCENTILE.EXC($AH$4:$AH$197,0.66)</f>
        <v>58.400000000000006</v>
      </c>
      <c r="AJ201" s="108" t="s">
        <v>613</v>
      </c>
    </row>
    <row r="202" spans="1:36">
      <c r="E202" s="130" t="s">
        <v>614</v>
      </c>
      <c r="F202" s="140">
        <f t="shared" ref="F202:J202" si="68">QUARTILE(F$4:F$197,2)</f>
        <v>2000.5</v>
      </c>
      <c r="G202" s="140">
        <f t="shared" si="68"/>
        <v>1999</v>
      </c>
      <c r="H202" s="140">
        <f t="shared" si="68"/>
        <v>2012</v>
      </c>
      <c r="I202" s="140">
        <f t="shared" si="68"/>
        <v>2014</v>
      </c>
      <c r="J202" s="140">
        <f t="shared" si="68"/>
        <v>2016.5</v>
      </c>
      <c r="P202" s="121">
        <f t="shared" ref="P202" si="69">QUARTILE(P$4:P$197,2)</f>
        <v>2</v>
      </c>
      <c r="Q202" s="132">
        <v>52.5</v>
      </c>
      <c r="R202" s="102">
        <f>COUNTIFS(R$4:R$197,3)</f>
        <v>48</v>
      </c>
      <c r="S202" s="132">
        <v>59.467663853787997</v>
      </c>
      <c r="T202" s="137"/>
      <c r="U202" s="132">
        <v>0.42644010782519198</v>
      </c>
      <c r="W202" s="135">
        <f t="shared" ref="W202" si="70">QUARTILE(W$4:W$197,2)</f>
        <v>8.9324E-8</v>
      </c>
      <c r="X202" s="102"/>
      <c r="Y202" s="132">
        <f>QUARTILE(Y$4:Y$197,2)</f>
        <v>93</v>
      </c>
      <c r="Z202" s="132"/>
      <c r="AA202" s="136"/>
      <c r="AE202" s="137">
        <f t="shared" ref="AE202" si="71">QUARTILE(AE$4:AE$197,2)</f>
        <v>92.845967293021118</v>
      </c>
      <c r="AF202" s="137"/>
      <c r="AH202" s="108">
        <f>_xlfn.PERCENTILE.EXC($AH$4:$AH$197,0.99)</f>
        <v>73.110000000000028</v>
      </c>
      <c r="AJ202" s="108" t="s">
        <v>615</v>
      </c>
    </row>
    <row r="203" spans="1:36">
      <c r="E203" s="130" t="s">
        <v>616</v>
      </c>
      <c r="F203" s="140">
        <f t="shared" ref="F203:J203" si="72">QUARTILE(F$4:F$197,3)</f>
        <v>2012</v>
      </c>
      <c r="G203" s="140">
        <f t="shared" si="72"/>
        <v>2013</v>
      </c>
      <c r="H203" s="140">
        <f t="shared" si="72"/>
        <v>2015</v>
      </c>
      <c r="I203" s="140">
        <f t="shared" si="72"/>
        <v>2017</v>
      </c>
      <c r="J203" s="140">
        <f t="shared" si="72"/>
        <v>2019.75</v>
      </c>
      <c r="P203" s="121">
        <f t="shared" ref="P203" si="73">QUARTILE(P$4:P$197,3)</f>
        <v>2.8</v>
      </c>
      <c r="Q203" s="132">
        <v>1033.25</v>
      </c>
      <c r="R203" s="102">
        <f>COUNTIFS(R$4:R$197,4)</f>
        <v>49</v>
      </c>
      <c r="S203" s="132">
        <v>246.86473390261224</v>
      </c>
      <c r="T203" s="137"/>
      <c r="U203" s="132">
        <v>117.14577546248151</v>
      </c>
      <c r="W203" s="135">
        <f t="shared" ref="W203" si="74">QUARTILE(W$4:W$197,3)</f>
        <v>151.47500000000002</v>
      </c>
      <c r="X203" s="102"/>
      <c r="Y203" s="132">
        <f>QUARTILE(Y$4:Y$197,3)</f>
        <v>97</v>
      </c>
      <c r="Z203" s="132"/>
      <c r="AA203" s="136"/>
      <c r="AE203" s="137">
        <f t="shared" ref="AE203" si="75">QUARTILE(AE$4:AE$197,3)</f>
        <v>100</v>
      </c>
      <c r="AF203" s="137"/>
    </row>
    <row r="204" spans="1:36">
      <c r="E204" s="130" t="s">
        <v>617</v>
      </c>
      <c r="F204" s="140">
        <f t="shared" ref="F204:J204" si="76">QUARTILE(F$4:F$197,4)</f>
        <v>2022</v>
      </c>
      <c r="G204" s="140">
        <f t="shared" si="76"/>
        <v>2023</v>
      </c>
      <c r="H204" s="140">
        <f t="shared" si="76"/>
        <v>2025</v>
      </c>
      <c r="I204" s="140">
        <f t="shared" si="76"/>
        <v>2022</v>
      </c>
      <c r="J204" s="140">
        <f t="shared" si="76"/>
        <v>2024</v>
      </c>
      <c r="K204" s="133"/>
      <c r="L204" s="133"/>
      <c r="M204" s="133"/>
      <c r="N204" s="133"/>
      <c r="O204" s="133"/>
      <c r="P204" s="121">
        <f t="shared" ref="P204" si="77">QUARTILE(P$4:P$197,4)</f>
        <v>4</v>
      </c>
      <c r="Q204" s="132">
        <v>213291</v>
      </c>
      <c r="S204" s="132">
        <v>2712.6752739959302</v>
      </c>
      <c r="T204" s="137"/>
      <c r="U204" s="132">
        <v>10904.256202009299</v>
      </c>
      <c r="W204" s="135">
        <f t="shared" ref="W204" si="78">QUARTILE(W$4:W$197,4)</f>
        <v>40506</v>
      </c>
      <c r="Y204" s="132">
        <f>QUARTILE(Y$4:Y$197,4)</f>
        <v>99</v>
      </c>
      <c r="Z204" s="132"/>
      <c r="AA204" s="136"/>
      <c r="AE204" s="137">
        <f t="shared" ref="AE204" si="79">QUARTILE(AE$4:AE$197,4)</f>
        <v>100</v>
      </c>
      <c r="AF204" s="137"/>
    </row>
    <row r="209" spans="16:36">
      <c r="P209" s="129"/>
      <c r="S209" s="102"/>
      <c r="T209" s="102"/>
      <c r="U209" s="102"/>
      <c r="V209" s="102"/>
      <c r="W209" s="102"/>
      <c r="X209" s="102"/>
      <c r="Y209" s="102"/>
      <c r="Z209" s="102"/>
      <c r="AA209" s="105"/>
      <c r="AB209" s="102"/>
      <c r="AC209" s="102"/>
      <c r="AD209" s="102"/>
      <c r="AE209" s="102"/>
      <c r="AF209" s="102"/>
      <c r="AG209" s="141"/>
      <c r="AH209" s="102"/>
      <c r="AI209" s="102"/>
      <c r="AJ209" s="102"/>
    </row>
  </sheetData>
  <autoFilter ref="A3:AK197" xr:uid="{959A9E96-759B-2944-AD7A-66C94A08405D}"/>
  <mergeCells count="9">
    <mergeCell ref="Y1:Z1"/>
    <mergeCell ref="AB1:AG1"/>
    <mergeCell ref="F2:P2"/>
    <mergeCell ref="S2:V2"/>
    <mergeCell ref="W2:X2"/>
    <mergeCell ref="F1:P1"/>
    <mergeCell ref="S1:T1"/>
    <mergeCell ref="U1:V1"/>
    <mergeCell ref="W1:X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14E14DEF30CC428908146AC64BB51D" ma:contentTypeVersion="16" ma:contentTypeDescription="Create a new document." ma:contentTypeScope="" ma:versionID="89a497407690c7ee7eadc9dd7c8e881c">
  <xsd:schema xmlns:xsd="http://www.w3.org/2001/XMLSchema" xmlns:xs="http://www.w3.org/2001/XMLSchema" xmlns:p="http://schemas.microsoft.com/office/2006/metadata/properties" xmlns:ns1="http://schemas.microsoft.com/sharepoint/v3" xmlns:ns2="4a8ddc12-a805-4358-990c-f1e957053650" xmlns:ns3="ccad3469-b6bc-4e0b-a185-9f47d4cf8779" targetNamespace="http://schemas.microsoft.com/office/2006/metadata/properties" ma:root="true" ma:fieldsID="34e99cc23f516ee11b5217eaeba68b00" ns1:_="" ns2:_="" ns3:_="">
    <xsd:import namespace="http://schemas.microsoft.com/sharepoint/v3"/>
    <xsd:import namespace="4a8ddc12-a805-4358-990c-f1e957053650"/>
    <xsd:import namespace="ccad3469-b6bc-4e0b-a185-9f47d4cf877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CR" minOccurs="0"/>
                <xsd:element ref="ns1:_ip_UnifiedCompliancePolicyProperties" minOccurs="0"/>
                <xsd:element ref="ns1:_ip_UnifiedCompliancePolicyUIAc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a8ddc12-a805-4358-990c-f1e9570536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87a3994-382d-444d-b490-9473c966173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cad3469-b6bc-4e0b-a185-9f47d4cf877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5b8ace9-cab5-464c-8e89-84b41fa5f13c}" ma:internalName="TaxCatchAll" ma:showField="CatchAllData" ma:web="ccad3469-b6bc-4e0b-a185-9f47d4cf87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4a8ddc12-a805-4358-990c-f1e957053650">
      <Terms xmlns="http://schemas.microsoft.com/office/infopath/2007/PartnerControls"/>
    </lcf76f155ced4ddcb4097134ff3c332f>
    <TaxCatchAll xmlns="ccad3469-b6bc-4e0b-a185-9f47d4cf8779" xsi:nil="true"/>
  </documentManagement>
</p:properties>
</file>

<file path=customXml/item4.xml>��
</file>

<file path=customXml/itemProps1.xml><?xml version="1.0" encoding="utf-8"?>
<ds:datastoreItem xmlns:ds="http://schemas.openxmlformats.org/officeDocument/2006/customXml" ds:itemID="{A72E7976-8E4B-4B81-9186-26CC3A97040F}"/>
</file>

<file path=customXml/itemProps2.xml><?xml version="1.0" encoding="utf-8"?>
<ds:datastoreItem xmlns:ds="http://schemas.openxmlformats.org/officeDocument/2006/customXml" ds:itemID="{6F347F78-297E-4B66-B0ED-879B113BB7E7}"/>
</file>

<file path=customXml/itemProps3.xml><?xml version="1.0" encoding="utf-8"?>
<ds:datastoreItem xmlns:ds="http://schemas.openxmlformats.org/officeDocument/2006/customXml" ds:itemID="{23EEDE59-6631-473B-B906-81085A6C188C}"/>
</file>

<file path=customXml/itemProps4.xml><?xml version="1.0" encoding="utf-8"?>
<ds:datastoreItem xmlns:ds="http://schemas.openxmlformats.org/officeDocument/2006/customXml" ds:itemID="{B0385AD2-8E87-435A-8691-28A54EB70B6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Dena Seabrook</dc:creator>
  <cp:keywords/>
  <dc:description/>
  <cp:lastModifiedBy/>
  <cp:revision/>
  <dcterms:created xsi:type="dcterms:W3CDTF">2020-05-27T16:28:10Z</dcterms:created>
  <dcterms:modified xsi:type="dcterms:W3CDTF">2026-02-26T11:07:29Z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0x0101001314E14DEF30CC428908146AC64BB51D</vt:lpwstr>
  </property>
  <property fmtid="{D5CDD505-2E9C-101B-9397-08002B2CF9AE}" pid="3" name="MediaServiceImageTags">
    <vt:lpwstr/>
  </property>
</Properties>
</file>